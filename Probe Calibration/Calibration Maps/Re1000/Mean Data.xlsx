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1000\"/>
    </mc:Choice>
  </mc:AlternateContent>
  <xr:revisionPtr revIDLastSave="0" documentId="13_ncr:1_{917BF524-72E5-46A9-BB3D-5A327993D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B2" i="1"/>
  <c r="A2" i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M104" i="1"/>
  <c r="N104" i="1"/>
  <c r="O104" i="1"/>
  <c r="P104" i="1"/>
  <c r="M105" i="1"/>
  <c r="N105" i="1"/>
  <c r="O105" i="1"/>
  <c r="P105" i="1"/>
  <c r="M106" i="1"/>
  <c r="N106" i="1"/>
  <c r="O106" i="1"/>
  <c r="P106" i="1"/>
  <c r="M107" i="1"/>
  <c r="N107" i="1"/>
  <c r="O107" i="1"/>
  <c r="P107" i="1"/>
  <c r="M108" i="1"/>
  <c r="N108" i="1"/>
  <c r="O108" i="1"/>
  <c r="P108" i="1"/>
  <c r="M109" i="1"/>
  <c r="N109" i="1"/>
  <c r="O109" i="1"/>
  <c r="P109" i="1"/>
  <c r="M110" i="1"/>
  <c r="N110" i="1"/>
  <c r="O110" i="1"/>
  <c r="P110" i="1"/>
  <c r="M111" i="1"/>
  <c r="N111" i="1"/>
  <c r="O111" i="1"/>
  <c r="P111" i="1"/>
  <c r="M112" i="1"/>
  <c r="N112" i="1"/>
  <c r="O112" i="1"/>
  <c r="P112" i="1"/>
  <c r="M113" i="1"/>
  <c r="N113" i="1"/>
  <c r="O113" i="1"/>
  <c r="P113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M120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126" i="1"/>
  <c r="N126" i="1"/>
  <c r="O126" i="1"/>
  <c r="P126" i="1"/>
  <c r="M127" i="1"/>
  <c r="N127" i="1"/>
  <c r="O127" i="1"/>
  <c r="P127" i="1"/>
  <c r="M128" i="1"/>
  <c r="N128" i="1"/>
  <c r="O128" i="1"/>
  <c r="P128" i="1"/>
  <c r="M129" i="1"/>
  <c r="N129" i="1"/>
  <c r="O129" i="1"/>
  <c r="P12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M135" i="1"/>
  <c r="N135" i="1"/>
  <c r="O135" i="1"/>
  <c r="P135" i="1"/>
  <c r="M136" i="1"/>
  <c r="N136" i="1"/>
  <c r="O136" i="1"/>
  <c r="P136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140" i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163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M173" i="1"/>
  <c r="N173" i="1"/>
  <c r="O173" i="1"/>
  <c r="P173" i="1"/>
  <c r="M174" i="1"/>
  <c r="N174" i="1"/>
  <c r="O174" i="1"/>
  <c r="P174" i="1"/>
  <c r="M175" i="1"/>
  <c r="N175" i="1"/>
  <c r="O175" i="1"/>
  <c r="P175" i="1"/>
  <c r="M176" i="1"/>
  <c r="N176" i="1"/>
  <c r="O176" i="1"/>
  <c r="P176" i="1"/>
  <c r="M177" i="1"/>
  <c r="N177" i="1"/>
  <c r="O177" i="1"/>
  <c r="P177" i="1"/>
  <c r="M178" i="1"/>
  <c r="N178" i="1"/>
  <c r="O178" i="1"/>
  <c r="P178" i="1"/>
  <c r="M179" i="1"/>
  <c r="N179" i="1"/>
  <c r="O179" i="1"/>
  <c r="P179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86" i="1"/>
  <c r="N186" i="1"/>
  <c r="O186" i="1"/>
  <c r="P186" i="1"/>
  <c r="M187" i="1"/>
  <c r="N187" i="1"/>
  <c r="O187" i="1"/>
  <c r="P187" i="1"/>
  <c r="M188" i="1"/>
  <c r="N188" i="1"/>
  <c r="O188" i="1"/>
  <c r="P188" i="1"/>
  <c r="M189" i="1"/>
  <c r="N189" i="1"/>
  <c r="O189" i="1"/>
  <c r="P189" i="1"/>
  <c r="M190" i="1"/>
  <c r="N190" i="1"/>
  <c r="O190" i="1"/>
  <c r="P190" i="1"/>
  <c r="M191" i="1"/>
  <c r="N191" i="1"/>
  <c r="O191" i="1"/>
  <c r="P191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201" i="1"/>
  <c r="N201" i="1"/>
  <c r="O201" i="1"/>
  <c r="P201" i="1"/>
  <c r="M202" i="1"/>
  <c r="N202" i="1"/>
  <c r="O202" i="1"/>
  <c r="P202" i="1"/>
  <c r="M203" i="1"/>
  <c r="N203" i="1"/>
  <c r="O203" i="1"/>
  <c r="P203" i="1"/>
  <c r="M204" i="1"/>
  <c r="N204" i="1"/>
  <c r="O204" i="1"/>
  <c r="P204" i="1"/>
  <c r="M205" i="1"/>
  <c r="N205" i="1"/>
  <c r="O205" i="1"/>
  <c r="P205" i="1"/>
  <c r="M206" i="1"/>
  <c r="N206" i="1"/>
  <c r="O206" i="1"/>
  <c r="P206" i="1"/>
  <c r="M207" i="1"/>
  <c r="N207" i="1"/>
  <c r="O207" i="1"/>
  <c r="P207" i="1"/>
  <c r="M208" i="1"/>
  <c r="N208" i="1"/>
  <c r="O208" i="1"/>
  <c r="P208" i="1"/>
  <c r="M209" i="1"/>
  <c r="N209" i="1"/>
  <c r="O209" i="1"/>
  <c r="P209" i="1"/>
  <c r="M210" i="1"/>
  <c r="N210" i="1"/>
  <c r="O210" i="1"/>
  <c r="P210" i="1"/>
  <c r="M211" i="1"/>
  <c r="N211" i="1"/>
  <c r="O211" i="1"/>
  <c r="P211" i="1"/>
  <c r="M212" i="1"/>
  <c r="N212" i="1"/>
  <c r="O212" i="1"/>
  <c r="P212" i="1"/>
  <c r="M213" i="1"/>
  <c r="N213" i="1"/>
  <c r="O213" i="1"/>
  <c r="P213" i="1"/>
  <c r="M214" i="1"/>
  <c r="N214" i="1"/>
  <c r="O214" i="1"/>
  <c r="P214" i="1"/>
  <c r="M215" i="1"/>
  <c r="N215" i="1"/>
  <c r="O215" i="1"/>
  <c r="P215" i="1"/>
  <c r="M216" i="1"/>
  <c r="N216" i="1"/>
  <c r="O216" i="1"/>
  <c r="P216" i="1"/>
  <c r="M217" i="1"/>
  <c r="N217" i="1"/>
  <c r="O217" i="1"/>
  <c r="P217" i="1"/>
  <c r="M218" i="1"/>
  <c r="N218" i="1"/>
  <c r="O218" i="1"/>
  <c r="P218" i="1"/>
  <c r="M219" i="1"/>
  <c r="N219" i="1"/>
  <c r="O219" i="1"/>
  <c r="P219" i="1"/>
  <c r="M220" i="1"/>
  <c r="N220" i="1"/>
  <c r="O220" i="1"/>
  <c r="P220" i="1"/>
  <c r="M221" i="1"/>
  <c r="N221" i="1"/>
  <c r="O221" i="1"/>
  <c r="P221" i="1"/>
  <c r="M222" i="1"/>
  <c r="N222" i="1"/>
  <c r="O222" i="1"/>
  <c r="P222" i="1"/>
  <c r="M223" i="1"/>
  <c r="N223" i="1"/>
  <c r="O223" i="1"/>
  <c r="P223" i="1"/>
  <c r="M224" i="1"/>
  <c r="N224" i="1"/>
  <c r="O224" i="1"/>
  <c r="P224" i="1"/>
  <c r="M225" i="1"/>
  <c r="N225" i="1"/>
  <c r="O225" i="1"/>
  <c r="P225" i="1"/>
  <c r="M226" i="1"/>
  <c r="N226" i="1"/>
  <c r="O226" i="1"/>
  <c r="P226" i="1"/>
  <c r="M227" i="1"/>
  <c r="N227" i="1"/>
  <c r="O227" i="1"/>
  <c r="P227" i="1"/>
  <c r="M228" i="1"/>
  <c r="N228" i="1"/>
  <c r="O228" i="1"/>
  <c r="P228" i="1"/>
  <c r="M229" i="1"/>
  <c r="N229" i="1"/>
  <c r="O229" i="1"/>
  <c r="P229" i="1"/>
  <c r="M230" i="1"/>
  <c r="N230" i="1"/>
  <c r="O230" i="1"/>
  <c r="P230" i="1"/>
  <c r="M231" i="1"/>
  <c r="N231" i="1"/>
  <c r="O231" i="1"/>
  <c r="P231" i="1"/>
  <c r="M232" i="1"/>
  <c r="N232" i="1"/>
  <c r="O232" i="1"/>
  <c r="P232" i="1"/>
  <c r="M233" i="1"/>
  <c r="N233" i="1"/>
  <c r="O233" i="1"/>
  <c r="P233" i="1"/>
  <c r="M234" i="1"/>
  <c r="N234" i="1"/>
  <c r="O234" i="1"/>
  <c r="P234" i="1"/>
  <c r="M235" i="1"/>
  <c r="N235" i="1"/>
  <c r="O235" i="1"/>
  <c r="P235" i="1"/>
  <c r="M236" i="1"/>
  <c r="N236" i="1"/>
  <c r="O236" i="1"/>
  <c r="P236" i="1"/>
  <c r="M237" i="1"/>
  <c r="N237" i="1"/>
  <c r="O237" i="1"/>
  <c r="P237" i="1"/>
  <c r="M238" i="1"/>
  <c r="N238" i="1"/>
  <c r="O238" i="1"/>
  <c r="P238" i="1"/>
  <c r="M239" i="1"/>
  <c r="N239" i="1"/>
  <c r="O239" i="1"/>
  <c r="P239" i="1"/>
  <c r="M240" i="1"/>
  <c r="N240" i="1"/>
  <c r="O240" i="1"/>
  <c r="P240" i="1"/>
  <c r="M241" i="1"/>
  <c r="N241" i="1"/>
  <c r="O241" i="1"/>
  <c r="P241" i="1"/>
  <c r="M242" i="1"/>
  <c r="N242" i="1"/>
  <c r="O242" i="1"/>
  <c r="P242" i="1"/>
  <c r="M243" i="1"/>
  <c r="N243" i="1"/>
  <c r="O243" i="1"/>
  <c r="P243" i="1"/>
  <c r="M244" i="1"/>
  <c r="N244" i="1"/>
  <c r="O244" i="1"/>
  <c r="P244" i="1"/>
  <c r="M245" i="1"/>
  <c r="N245" i="1"/>
  <c r="O245" i="1"/>
  <c r="P245" i="1"/>
  <c r="M246" i="1"/>
  <c r="N246" i="1"/>
  <c r="O246" i="1"/>
  <c r="P246" i="1"/>
  <c r="M247" i="1"/>
  <c r="N247" i="1"/>
  <c r="O247" i="1"/>
  <c r="P247" i="1"/>
  <c r="M248" i="1"/>
  <c r="N248" i="1"/>
  <c r="O248" i="1"/>
  <c r="P248" i="1"/>
  <c r="M249" i="1"/>
  <c r="N249" i="1"/>
  <c r="O249" i="1"/>
  <c r="P249" i="1"/>
  <c r="M250" i="1"/>
  <c r="N250" i="1"/>
  <c r="O250" i="1"/>
  <c r="P250" i="1"/>
  <c r="M251" i="1"/>
  <c r="N251" i="1"/>
  <c r="O251" i="1"/>
  <c r="P251" i="1"/>
  <c r="M252" i="1"/>
  <c r="N252" i="1"/>
  <c r="O252" i="1"/>
  <c r="P252" i="1"/>
  <c r="M253" i="1"/>
  <c r="N253" i="1"/>
  <c r="O253" i="1"/>
  <c r="P253" i="1"/>
  <c r="M254" i="1"/>
  <c r="N254" i="1"/>
  <c r="O254" i="1"/>
  <c r="P254" i="1"/>
  <c r="M255" i="1"/>
  <c r="N255" i="1"/>
  <c r="O255" i="1"/>
  <c r="P255" i="1"/>
  <c r="M256" i="1"/>
  <c r="N256" i="1"/>
  <c r="O256" i="1"/>
  <c r="P256" i="1"/>
  <c r="M257" i="1"/>
  <c r="N257" i="1"/>
  <c r="O257" i="1"/>
  <c r="P257" i="1"/>
  <c r="M258" i="1"/>
  <c r="N258" i="1"/>
  <c r="O258" i="1"/>
  <c r="P258" i="1"/>
  <c r="M259" i="1"/>
  <c r="N259" i="1"/>
  <c r="O259" i="1"/>
  <c r="P259" i="1"/>
  <c r="M260" i="1"/>
  <c r="N260" i="1"/>
  <c r="O260" i="1"/>
  <c r="P260" i="1"/>
  <c r="M261" i="1"/>
  <c r="N261" i="1"/>
  <c r="O261" i="1"/>
  <c r="P261" i="1"/>
  <c r="M262" i="1"/>
  <c r="N262" i="1"/>
  <c r="O262" i="1"/>
  <c r="P262" i="1"/>
  <c r="M263" i="1"/>
  <c r="N263" i="1"/>
  <c r="O263" i="1"/>
  <c r="P263" i="1"/>
  <c r="M264" i="1"/>
  <c r="N264" i="1"/>
  <c r="O264" i="1"/>
  <c r="P264" i="1"/>
  <c r="M265" i="1"/>
  <c r="N265" i="1"/>
  <c r="O265" i="1"/>
  <c r="P265" i="1"/>
  <c r="M266" i="1"/>
  <c r="N266" i="1"/>
  <c r="O266" i="1"/>
  <c r="P266" i="1"/>
  <c r="M267" i="1"/>
  <c r="N267" i="1"/>
  <c r="O267" i="1"/>
  <c r="P267" i="1"/>
  <c r="M268" i="1"/>
  <c r="N268" i="1"/>
  <c r="O268" i="1"/>
  <c r="P268" i="1"/>
  <c r="M269" i="1"/>
  <c r="N269" i="1"/>
  <c r="O269" i="1"/>
  <c r="P269" i="1"/>
  <c r="M270" i="1"/>
  <c r="N270" i="1"/>
  <c r="O270" i="1"/>
  <c r="P270" i="1"/>
  <c r="M271" i="1"/>
  <c r="N271" i="1"/>
  <c r="O271" i="1"/>
  <c r="P271" i="1"/>
  <c r="M272" i="1"/>
  <c r="N272" i="1"/>
  <c r="O272" i="1"/>
  <c r="P272" i="1"/>
  <c r="M273" i="1"/>
  <c r="N273" i="1"/>
  <c r="O273" i="1"/>
  <c r="P273" i="1"/>
  <c r="M274" i="1"/>
  <c r="N274" i="1"/>
  <c r="O274" i="1"/>
  <c r="P274" i="1"/>
  <c r="M275" i="1"/>
  <c r="N275" i="1"/>
  <c r="O275" i="1"/>
  <c r="P275" i="1"/>
  <c r="M276" i="1"/>
  <c r="N276" i="1"/>
  <c r="O276" i="1"/>
  <c r="P276" i="1"/>
  <c r="M277" i="1"/>
  <c r="N277" i="1"/>
  <c r="O277" i="1"/>
  <c r="P277" i="1"/>
  <c r="M278" i="1"/>
  <c r="N278" i="1"/>
  <c r="O278" i="1"/>
  <c r="P278" i="1"/>
  <c r="M279" i="1"/>
  <c r="N279" i="1"/>
  <c r="O279" i="1"/>
  <c r="P279" i="1"/>
  <c r="M280" i="1"/>
  <c r="N280" i="1"/>
  <c r="O280" i="1"/>
  <c r="P280" i="1"/>
  <c r="M281" i="1"/>
  <c r="N281" i="1"/>
  <c r="O281" i="1"/>
  <c r="P281" i="1"/>
  <c r="M282" i="1"/>
  <c r="N282" i="1"/>
  <c r="O282" i="1"/>
  <c r="P282" i="1"/>
  <c r="M283" i="1"/>
  <c r="N283" i="1"/>
  <c r="O283" i="1"/>
  <c r="P283" i="1"/>
  <c r="M284" i="1"/>
  <c r="N284" i="1"/>
  <c r="O284" i="1"/>
  <c r="P284" i="1"/>
  <c r="M285" i="1"/>
  <c r="N285" i="1"/>
  <c r="O285" i="1"/>
  <c r="P285" i="1"/>
  <c r="M286" i="1"/>
  <c r="N286" i="1"/>
  <c r="O286" i="1"/>
  <c r="P286" i="1"/>
  <c r="M287" i="1"/>
  <c r="N287" i="1"/>
  <c r="O287" i="1"/>
  <c r="P287" i="1"/>
  <c r="M288" i="1"/>
  <c r="N288" i="1"/>
  <c r="O288" i="1"/>
  <c r="P288" i="1"/>
  <c r="M289" i="1"/>
  <c r="N289" i="1"/>
  <c r="O289" i="1"/>
  <c r="P289" i="1"/>
  <c r="M290" i="1"/>
  <c r="N290" i="1"/>
  <c r="O290" i="1"/>
  <c r="P290" i="1"/>
  <c r="M291" i="1"/>
  <c r="N291" i="1"/>
  <c r="O291" i="1"/>
  <c r="P291" i="1"/>
  <c r="M292" i="1"/>
  <c r="N292" i="1"/>
  <c r="O292" i="1"/>
  <c r="P292" i="1"/>
  <c r="M293" i="1"/>
  <c r="N293" i="1"/>
  <c r="O293" i="1"/>
  <c r="P293" i="1"/>
  <c r="M294" i="1"/>
  <c r="N294" i="1"/>
  <c r="O294" i="1"/>
  <c r="P294" i="1"/>
  <c r="M295" i="1"/>
  <c r="N295" i="1"/>
  <c r="O295" i="1"/>
  <c r="P295" i="1"/>
  <c r="M296" i="1"/>
  <c r="N296" i="1"/>
  <c r="O296" i="1"/>
  <c r="P296" i="1"/>
  <c r="M297" i="1"/>
  <c r="N297" i="1"/>
  <c r="O297" i="1"/>
  <c r="P297" i="1"/>
  <c r="M298" i="1"/>
  <c r="N298" i="1"/>
  <c r="O298" i="1"/>
  <c r="P298" i="1"/>
  <c r="M299" i="1"/>
  <c r="N299" i="1"/>
  <c r="O299" i="1"/>
  <c r="P299" i="1"/>
  <c r="M300" i="1"/>
  <c r="N300" i="1"/>
  <c r="O300" i="1"/>
  <c r="P300" i="1"/>
  <c r="M301" i="1"/>
  <c r="N301" i="1"/>
  <c r="O301" i="1"/>
  <c r="P301" i="1"/>
  <c r="M302" i="1"/>
  <c r="N302" i="1"/>
  <c r="O302" i="1"/>
  <c r="P302" i="1"/>
  <c r="M303" i="1"/>
  <c r="N303" i="1"/>
  <c r="O303" i="1"/>
  <c r="P303" i="1"/>
  <c r="M304" i="1"/>
  <c r="N304" i="1"/>
  <c r="O304" i="1"/>
  <c r="P304" i="1"/>
  <c r="M305" i="1"/>
  <c r="N305" i="1"/>
  <c r="O305" i="1"/>
  <c r="P305" i="1"/>
  <c r="M306" i="1"/>
  <c r="N306" i="1"/>
  <c r="O306" i="1"/>
  <c r="P306" i="1"/>
  <c r="M307" i="1"/>
  <c r="N307" i="1"/>
  <c r="O307" i="1"/>
  <c r="P307" i="1"/>
  <c r="M308" i="1"/>
  <c r="N308" i="1"/>
  <c r="O308" i="1"/>
  <c r="P308" i="1"/>
  <c r="M309" i="1"/>
  <c r="N309" i="1"/>
  <c r="O309" i="1"/>
  <c r="P309" i="1"/>
  <c r="M310" i="1"/>
  <c r="N310" i="1"/>
  <c r="O310" i="1"/>
  <c r="P310" i="1"/>
  <c r="M311" i="1"/>
  <c r="N311" i="1"/>
  <c r="O311" i="1"/>
  <c r="P311" i="1"/>
  <c r="M312" i="1"/>
  <c r="N312" i="1"/>
  <c r="O312" i="1"/>
  <c r="P312" i="1"/>
  <c r="M313" i="1"/>
  <c r="N313" i="1"/>
  <c r="O313" i="1"/>
  <c r="P313" i="1"/>
  <c r="M314" i="1"/>
  <c r="N314" i="1"/>
  <c r="O314" i="1"/>
  <c r="P314" i="1"/>
  <c r="M315" i="1"/>
  <c r="N315" i="1"/>
  <c r="O315" i="1"/>
  <c r="P315" i="1"/>
  <c r="M316" i="1"/>
  <c r="N316" i="1"/>
  <c r="O316" i="1"/>
  <c r="P316" i="1"/>
  <c r="M317" i="1"/>
  <c r="N317" i="1"/>
  <c r="O317" i="1"/>
  <c r="P317" i="1"/>
  <c r="M318" i="1"/>
  <c r="N318" i="1"/>
  <c r="O318" i="1"/>
  <c r="P318" i="1"/>
  <c r="M319" i="1"/>
  <c r="N319" i="1"/>
  <c r="O319" i="1"/>
  <c r="P319" i="1"/>
  <c r="M320" i="1"/>
  <c r="N320" i="1"/>
  <c r="O320" i="1"/>
  <c r="P320" i="1"/>
  <c r="M321" i="1"/>
  <c r="N321" i="1"/>
  <c r="O321" i="1"/>
  <c r="P321" i="1"/>
  <c r="M322" i="1"/>
  <c r="N322" i="1"/>
  <c r="O322" i="1"/>
  <c r="P322" i="1"/>
  <c r="M323" i="1"/>
  <c r="N323" i="1"/>
  <c r="O323" i="1"/>
  <c r="P323" i="1"/>
  <c r="M324" i="1"/>
  <c r="N324" i="1"/>
  <c r="O324" i="1"/>
  <c r="P324" i="1"/>
  <c r="M325" i="1"/>
  <c r="N325" i="1"/>
  <c r="O325" i="1"/>
  <c r="P325" i="1"/>
  <c r="M326" i="1"/>
  <c r="N326" i="1"/>
  <c r="O326" i="1"/>
  <c r="P326" i="1"/>
  <c r="M327" i="1"/>
  <c r="N327" i="1"/>
  <c r="O327" i="1"/>
  <c r="P327" i="1"/>
  <c r="M328" i="1"/>
  <c r="N328" i="1"/>
  <c r="O328" i="1"/>
  <c r="P328" i="1"/>
  <c r="M329" i="1"/>
  <c r="N329" i="1"/>
  <c r="O329" i="1"/>
  <c r="P329" i="1"/>
  <c r="M330" i="1"/>
  <c r="N330" i="1"/>
  <c r="O330" i="1"/>
  <c r="P330" i="1"/>
  <c r="M331" i="1"/>
  <c r="N331" i="1"/>
  <c r="O331" i="1"/>
  <c r="P331" i="1"/>
  <c r="M332" i="1"/>
  <c r="N332" i="1"/>
  <c r="O332" i="1"/>
  <c r="P332" i="1"/>
  <c r="M333" i="1"/>
  <c r="N333" i="1"/>
  <c r="O333" i="1"/>
  <c r="P333" i="1"/>
  <c r="M334" i="1"/>
  <c r="N334" i="1"/>
  <c r="O334" i="1"/>
  <c r="P334" i="1"/>
  <c r="M335" i="1"/>
  <c r="N335" i="1"/>
  <c r="O335" i="1"/>
  <c r="P335" i="1"/>
  <c r="M336" i="1"/>
  <c r="N336" i="1"/>
  <c r="O336" i="1"/>
  <c r="P336" i="1"/>
  <c r="M337" i="1"/>
  <c r="N337" i="1"/>
  <c r="O337" i="1"/>
  <c r="P337" i="1"/>
  <c r="M338" i="1"/>
  <c r="N338" i="1"/>
  <c r="O338" i="1"/>
  <c r="P338" i="1"/>
  <c r="M339" i="1"/>
  <c r="N339" i="1"/>
  <c r="O339" i="1"/>
  <c r="P339" i="1"/>
  <c r="M340" i="1"/>
  <c r="N340" i="1"/>
  <c r="O340" i="1"/>
  <c r="P340" i="1"/>
  <c r="M341" i="1"/>
  <c r="N341" i="1"/>
  <c r="O341" i="1"/>
  <c r="P341" i="1"/>
  <c r="M342" i="1"/>
  <c r="N342" i="1"/>
  <c r="O342" i="1"/>
  <c r="P342" i="1"/>
  <c r="M343" i="1"/>
  <c r="N343" i="1"/>
  <c r="O343" i="1"/>
  <c r="P343" i="1"/>
  <c r="M344" i="1"/>
  <c r="N344" i="1"/>
  <c r="O344" i="1"/>
  <c r="P344" i="1"/>
  <c r="M345" i="1"/>
  <c r="N345" i="1"/>
  <c r="O345" i="1"/>
  <c r="P345" i="1"/>
  <c r="M346" i="1"/>
  <c r="N346" i="1"/>
  <c r="O346" i="1"/>
  <c r="P346" i="1"/>
  <c r="M347" i="1"/>
  <c r="N347" i="1"/>
  <c r="O347" i="1"/>
  <c r="P347" i="1"/>
  <c r="M348" i="1"/>
  <c r="N348" i="1"/>
  <c r="O348" i="1"/>
  <c r="P348" i="1"/>
  <c r="M349" i="1"/>
  <c r="N349" i="1"/>
  <c r="O349" i="1"/>
  <c r="P349" i="1"/>
  <c r="M350" i="1"/>
  <c r="N350" i="1"/>
  <c r="O350" i="1"/>
  <c r="P350" i="1"/>
  <c r="M351" i="1"/>
  <c r="N351" i="1"/>
  <c r="O351" i="1"/>
  <c r="P351" i="1"/>
  <c r="M352" i="1"/>
  <c r="N352" i="1"/>
  <c r="O352" i="1"/>
  <c r="P352" i="1"/>
  <c r="M353" i="1"/>
  <c r="N353" i="1"/>
  <c r="O353" i="1"/>
  <c r="P353" i="1"/>
  <c r="M354" i="1"/>
  <c r="N354" i="1"/>
  <c r="O354" i="1"/>
  <c r="P354" i="1"/>
  <c r="M355" i="1"/>
  <c r="N355" i="1"/>
  <c r="O355" i="1"/>
  <c r="P355" i="1"/>
  <c r="M356" i="1"/>
  <c r="N356" i="1"/>
  <c r="O356" i="1"/>
  <c r="P356" i="1"/>
  <c r="M357" i="1"/>
  <c r="N357" i="1"/>
  <c r="O357" i="1"/>
  <c r="P357" i="1"/>
  <c r="M358" i="1"/>
  <c r="N358" i="1"/>
  <c r="O358" i="1"/>
  <c r="P358" i="1"/>
  <c r="M359" i="1"/>
  <c r="N359" i="1"/>
  <c r="O359" i="1"/>
  <c r="P359" i="1"/>
  <c r="M360" i="1"/>
  <c r="N360" i="1"/>
  <c r="O360" i="1"/>
  <c r="P360" i="1"/>
  <c r="M361" i="1"/>
  <c r="N361" i="1"/>
  <c r="O361" i="1"/>
  <c r="P361" i="1"/>
  <c r="M362" i="1"/>
  <c r="N362" i="1"/>
  <c r="O362" i="1"/>
  <c r="P362" i="1"/>
  <c r="N2" i="1"/>
  <c r="O2" i="1"/>
  <c r="P2" i="1"/>
  <c r="M2" i="1"/>
  <c r="F3" i="1"/>
  <c r="G3" i="1"/>
  <c r="H3" i="1"/>
  <c r="I3" i="1"/>
  <c r="J3" i="1"/>
  <c r="F4" i="1"/>
  <c r="G4" i="1"/>
  <c r="H4" i="1"/>
  <c r="I4" i="1"/>
  <c r="J4" i="1"/>
  <c r="F5" i="1"/>
  <c r="G5" i="1"/>
  <c r="H5" i="1"/>
  <c r="I5" i="1"/>
  <c r="J5" i="1"/>
  <c r="F6" i="1"/>
  <c r="G6" i="1"/>
  <c r="H6" i="1"/>
  <c r="I6" i="1"/>
  <c r="J6" i="1"/>
  <c r="F7" i="1"/>
  <c r="G7" i="1"/>
  <c r="H7" i="1"/>
  <c r="I7" i="1"/>
  <c r="J7" i="1"/>
  <c r="F8" i="1"/>
  <c r="G8" i="1"/>
  <c r="H8" i="1"/>
  <c r="I8" i="1"/>
  <c r="J8" i="1"/>
  <c r="F9" i="1"/>
  <c r="G9" i="1"/>
  <c r="H9" i="1"/>
  <c r="I9" i="1"/>
  <c r="J9" i="1"/>
  <c r="F10" i="1"/>
  <c r="G10" i="1"/>
  <c r="H10" i="1"/>
  <c r="I10" i="1"/>
  <c r="J10" i="1"/>
  <c r="F11" i="1"/>
  <c r="G11" i="1"/>
  <c r="H11" i="1"/>
  <c r="I11" i="1"/>
  <c r="J11" i="1"/>
  <c r="F12" i="1"/>
  <c r="G12" i="1"/>
  <c r="H12" i="1"/>
  <c r="I12" i="1"/>
  <c r="J12" i="1"/>
  <c r="F13" i="1"/>
  <c r="G13" i="1"/>
  <c r="H13" i="1"/>
  <c r="I13" i="1"/>
  <c r="J13" i="1"/>
  <c r="F14" i="1"/>
  <c r="G14" i="1"/>
  <c r="H14" i="1"/>
  <c r="I14" i="1"/>
  <c r="J14" i="1"/>
  <c r="F15" i="1"/>
  <c r="G15" i="1"/>
  <c r="H15" i="1"/>
  <c r="I15" i="1"/>
  <c r="J15" i="1"/>
  <c r="F16" i="1"/>
  <c r="G16" i="1"/>
  <c r="H16" i="1"/>
  <c r="I16" i="1"/>
  <c r="J16" i="1"/>
  <c r="F17" i="1"/>
  <c r="G17" i="1"/>
  <c r="H17" i="1"/>
  <c r="I17" i="1"/>
  <c r="J17" i="1"/>
  <c r="F18" i="1"/>
  <c r="G18" i="1"/>
  <c r="H18" i="1"/>
  <c r="I18" i="1"/>
  <c r="J18" i="1"/>
  <c r="F19" i="1"/>
  <c r="G19" i="1"/>
  <c r="H19" i="1"/>
  <c r="I19" i="1"/>
  <c r="J19" i="1"/>
  <c r="F20" i="1"/>
  <c r="G20" i="1"/>
  <c r="H20" i="1"/>
  <c r="I20" i="1"/>
  <c r="J20" i="1"/>
  <c r="F21" i="1"/>
  <c r="G21" i="1"/>
  <c r="H21" i="1"/>
  <c r="I21" i="1"/>
  <c r="J21" i="1"/>
  <c r="F22" i="1"/>
  <c r="G22" i="1"/>
  <c r="H22" i="1"/>
  <c r="I22" i="1"/>
  <c r="J22" i="1"/>
  <c r="F23" i="1"/>
  <c r="G23" i="1"/>
  <c r="H23" i="1"/>
  <c r="I23" i="1"/>
  <c r="J23" i="1"/>
  <c r="F24" i="1"/>
  <c r="G24" i="1"/>
  <c r="H24" i="1"/>
  <c r="I24" i="1"/>
  <c r="J24" i="1"/>
  <c r="F25" i="1"/>
  <c r="G25" i="1"/>
  <c r="H25" i="1"/>
  <c r="I25" i="1"/>
  <c r="J25" i="1"/>
  <c r="F26" i="1"/>
  <c r="G26" i="1"/>
  <c r="H26" i="1"/>
  <c r="I26" i="1"/>
  <c r="J26" i="1"/>
  <c r="F27" i="1"/>
  <c r="G27" i="1"/>
  <c r="H27" i="1"/>
  <c r="I27" i="1"/>
  <c r="J27" i="1"/>
  <c r="F28" i="1"/>
  <c r="G28" i="1"/>
  <c r="H28" i="1"/>
  <c r="I28" i="1"/>
  <c r="J28" i="1"/>
  <c r="F29" i="1"/>
  <c r="G29" i="1"/>
  <c r="H29" i="1"/>
  <c r="I29" i="1"/>
  <c r="J29" i="1"/>
  <c r="F30" i="1"/>
  <c r="G30" i="1"/>
  <c r="H30" i="1"/>
  <c r="I30" i="1"/>
  <c r="J30" i="1"/>
  <c r="F31" i="1"/>
  <c r="G31" i="1"/>
  <c r="H31" i="1"/>
  <c r="I31" i="1"/>
  <c r="J31" i="1"/>
  <c r="F32" i="1"/>
  <c r="G32" i="1"/>
  <c r="H32" i="1"/>
  <c r="I32" i="1"/>
  <c r="J32" i="1"/>
  <c r="F33" i="1"/>
  <c r="G33" i="1"/>
  <c r="H33" i="1"/>
  <c r="I33" i="1"/>
  <c r="J33" i="1"/>
  <c r="F34" i="1"/>
  <c r="G34" i="1"/>
  <c r="H34" i="1"/>
  <c r="I34" i="1"/>
  <c r="J34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F38" i="1"/>
  <c r="G38" i="1"/>
  <c r="H38" i="1"/>
  <c r="I38" i="1"/>
  <c r="J38" i="1"/>
  <c r="F39" i="1"/>
  <c r="G39" i="1"/>
  <c r="H39" i="1"/>
  <c r="I39" i="1"/>
  <c r="J39" i="1"/>
  <c r="F40" i="1"/>
  <c r="G40" i="1"/>
  <c r="H40" i="1"/>
  <c r="I40" i="1"/>
  <c r="J40" i="1"/>
  <c r="F41" i="1"/>
  <c r="G41" i="1"/>
  <c r="H41" i="1"/>
  <c r="I41" i="1"/>
  <c r="J41" i="1"/>
  <c r="F42" i="1"/>
  <c r="G42" i="1"/>
  <c r="H42" i="1"/>
  <c r="I42" i="1"/>
  <c r="J42" i="1"/>
  <c r="F43" i="1"/>
  <c r="G43" i="1"/>
  <c r="H43" i="1"/>
  <c r="I43" i="1"/>
  <c r="J43" i="1"/>
  <c r="F44" i="1"/>
  <c r="G44" i="1"/>
  <c r="H44" i="1"/>
  <c r="I44" i="1"/>
  <c r="J44" i="1"/>
  <c r="F45" i="1"/>
  <c r="G45" i="1"/>
  <c r="H45" i="1"/>
  <c r="I45" i="1"/>
  <c r="J45" i="1"/>
  <c r="F46" i="1"/>
  <c r="G46" i="1"/>
  <c r="H46" i="1"/>
  <c r="I46" i="1"/>
  <c r="J46" i="1"/>
  <c r="F47" i="1"/>
  <c r="G47" i="1"/>
  <c r="H47" i="1"/>
  <c r="I47" i="1"/>
  <c r="J47" i="1"/>
  <c r="F48" i="1"/>
  <c r="G48" i="1"/>
  <c r="H48" i="1"/>
  <c r="I48" i="1"/>
  <c r="J48" i="1"/>
  <c r="F49" i="1"/>
  <c r="G49" i="1"/>
  <c r="H49" i="1"/>
  <c r="I49" i="1"/>
  <c r="J49" i="1"/>
  <c r="F50" i="1"/>
  <c r="G50" i="1"/>
  <c r="H50" i="1"/>
  <c r="I50" i="1"/>
  <c r="J50" i="1"/>
  <c r="F51" i="1"/>
  <c r="G51" i="1"/>
  <c r="H51" i="1"/>
  <c r="I51" i="1"/>
  <c r="J51" i="1"/>
  <c r="F52" i="1"/>
  <c r="G52" i="1"/>
  <c r="H52" i="1"/>
  <c r="I52" i="1"/>
  <c r="J52" i="1"/>
  <c r="F53" i="1"/>
  <c r="G53" i="1"/>
  <c r="H53" i="1"/>
  <c r="I53" i="1"/>
  <c r="J53" i="1"/>
  <c r="F54" i="1"/>
  <c r="G54" i="1"/>
  <c r="H54" i="1"/>
  <c r="I54" i="1"/>
  <c r="J54" i="1"/>
  <c r="F55" i="1"/>
  <c r="G55" i="1"/>
  <c r="H55" i="1"/>
  <c r="I55" i="1"/>
  <c r="J55" i="1"/>
  <c r="F56" i="1"/>
  <c r="G56" i="1"/>
  <c r="H56" i="1"/>
  <c r="I56" i="1"/>
  <c r="J56" i="1"/>
  <c r="F57" i="1"/>
  <c r="G57" i="1"/>
  <c r="H57" i="1"/>
  <c r="I57" i="1"/>
  <c r="J57" i="1"/>
  <c r="F58" i="1"/>
  <c r="G58" i="1"/>
  <c r="H58" i="1"/>
  <c r="I58" i="1"/>
  <c r="J58" i="1"/>
  <c r="F59" i="1"/>
  <c r="G59" i="1"/>
  <c r="H59" i="1"/>
  <c r="I59" i="1"/>
  <c r="J59" i="1"/>
  <c r="F60" i="1"/>
  <c r="G60" i="1"/>
  <c r="H60" i="1"/>
  <c r="I60" i="1"/>
  <c r="J60" i="1"/>
  <c r="F61" i="1"/>
  <c r="G61" i="1"/>
  <c r="H61" i="1"/>
  <c r="I61" i="1"/>
  <c r="J61" i="1"/>
  <c r="F62" i="1"/>
  <c r="G62" i="1"/>
  <c r="H62" i="1"/>
  <c r="I62" i="1"/>
  <c r="J62" i="1"/>
  <c r="F63" i="1"/>
  <c r="G63" i="1"/>
  <c r="H63" i="1"/>
  <c r="I63" i="1"/>
  <c r="J63" i="1"/>
  <c r="F64" i="1"/>
  <c r="G64" i="1"/>
  <c r="H64" i="1"/>
  <c r="I64" i="1"/>
  <c r="J64" i="1"/>
  <c r="F65" i="1"/>
  <c r="G65" i="1"/>
  <c r="H65" i="1"/>
  <c r="I65" i="1"/>
  <c r="J65" i="1"/>
  <c r="F66" i="1"/>
  <c r="G66" i="1"/>
  <c r="H66" i="1"/>
  <c r="I66" i="1"/>
  <c r="J66" i="1"/>
  <c r="F67" i="1"/>
  <c r="G67" i="1"/>
  <c r="H67" i="1"/>
  <c r="I67" i="1"/>
  <c r="J67" i="1"/>
  <c r="F68" i="1"/>
  <c r="G68" i="1"/>
  <c r="H68" i="1"/>
  <c r="I68" i="1"/>
  <c r="J68" i="1"/>
  <c r="F69" i="1"/>
  <c r="G69" i="1"/>
  <c r="H69" i="1"/>
  <c r="I69" i="1"/>
  <c r="J69" i="1"/>
  <c r="F70" i="1"/>
  <c r="G70" i="1"/>
  <c r="H70" i="1"/>
  <c r="I70" i="1"/>
  <c r="J70" i="1"/>
  <c r="F71" i="1"/>
  <c r="G71" i="1"/>
  <c r="H71" i="1"/>
  <c r="I71" i="1"/>
  <c r="J71" i="1"/>
  <c r="F72" i="1"/>
  <c r="G72" i="1"/>
  <c r="H72" i="1"/>
  <c r="I72" i="1"/>
  <c r="J72" i="1"/>
  <c r="F73" i="1"/>
  <c r="G73" i="1"/>
  <c r="H73" i="1"/>
  <c r="I73" i="1"/>
  <c r="J73" i="1"/>
  <c r="F74" i="1"/>
  <c r="G74" i="1"/>
  <c r="H74" i="1"/>
  <c r="I74" i="1"/>
  <c r="J74" i="1"/>
  <c r="F75" i="1"/>
  <c r="G75" i="1"/>
  <c r="H75" i="1"/>
  <c r="I75" i="1"/>
  <c r="J75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79" i="1"/>
  <c r="G79" i="1"/>
  <c r="H79" i="1"/>
  <c r="I79" i="1"/>
  <c r="J79" i="1"/>
  <c r="F80" i="1"/>
  <c r="G80" i="1"/>
  <c r="H80" i="1"/>
  <c r="I80" i="1"/>
  <c r="J80" i="1"/>
  <c r="F81" i="1"/>
  <c r="G81" i="1"/>
  <c r="H81" i="1"/>
  <c r="I81" i="1"/>
  <c r="J81" i="1"/>
  <c r="F82" i="1"/>
  <c r="G82" i="1"/>
  <c r="H82" i="1"/>
  <c r="I82" i="1"/>
  <c r="J82" i="1"/>
  <c r="F83" i="1"/>
  <c r="G83" i="1"/>
  <c r="H83" i="1"/>
  <c r="I83" i="1"/>
  <c r="J83" i="1"/>
  <c r="F84" i="1"/>
  <c r="G84" i="1"/>
  <c r="H84" i="1"/>
  <c r="I84" i="1"/>
  <c r="J84" i="1"/>
  <c r="F85" i="1"/>
  <c r="G85" i="1"/>
  <c r="H85" i="1"/>
  <c r="I85" i="1"/>
  <c r="J85" i="1"/>
  <c r="F86" i="1"/>
  <c r="G86" i="1"/>
  <c r="H86" i="1"/>
  <c r="I86" i="1"/>
  <c r="J86" i="1"/>
  <c r="F87" i="1"/>
  <c r="G87" i="1"/>
  <c r="H87" i="1"/>
  <c r="I87" i="1"/>
  <c r="J87" i="1"/>
  <c r="F88" i="1"/>
  <c r="G88" i="1"/>
  <c r="H88" i="1"/>
  <c r="I88" i="1"/>
  <c r="J88" i="1"/>
  <c r="F89" i="1"/>
  <c r="G89" i="1"/>
  <c r="H89" i="1"/>
  <c r="I89" i="1"/>
  <c r="J89" i="1"/>
  <c r="F90" i="1"/>
  <c r="G90" i="1"/>
  <c r="H90" i="1"/>
  <c r="I90" i="1"/>
  <c r="J90" i="1"/>
  <c r="F91" i="1"/>
  <c r="G91" i="1"/>
  <c r="H91" i="1"/>
  <c r="I91" i="1"/>
  <c r="J91" i="1"/>
  <c r="F92" i="1"/>
  <c r="G92" i="1"/>
  <c r="H92" i="1"/>
  <c r="I92" i="1"/>
  <c r="J92" i="1"/>
  <c r="F93" i="1"/>
  <c r="G93" i="1"/>
  <c r="H93" i="1"/>
  <c r="I93" i="1"/>
  <c r="J93" i="1"/>
  <c r="F94" i="1"/>
  <c r="G94" i="1"/>
  <c r="H94" i="1"/>
  <c r="I94" i="1"/>
  <c r="J94" i="1"/>
  <c r="F95" i="1"/>
  <c r="G95" i="1"/>
  <c r="H95" i="1"/>
  <c r="I95" i="1"/>
  <c r="J95" i="1"/>
  <c r="F96" i="1"/>
  <c r="G96" i="1"/>
  <c r="H96" i="1"/>
  <c r="I96" i="1"/>
  <c r="J96" i="1"/>
  <c r="F97" i="1"/>
  <c r="G97" i="1"/>
  <c r="H97" i="1"/>
  <c r="I97" i="1"/>
  <c r="J97" i="1"/>
  <c r="F98" i="1"/>
  <c r="G98" i="1"/>
  <c r="H98" i="1"/>
  <c r="I98" i="1"/>
  <c r="J98" i="1"/>
  <c r="F99" i="1"/>
  <c r="G99" i="1"/>
  <c r="H99" i="1"/>
  <c r="I99" i="1"/>
  <c r="J99" i="1"/>
  <c r="F100" i="1"/>
  <c r="G100" i="1"/>
  <c r="H100" i="1"/>
  <c r="I100" i="1"/>
  <c r="J100" i="1"/>
  <c r="F101" i="1"/>
  <c r="G101" i="1"/>
  <c r="H101" i="1"/>
  <c r="I101" i="1"/>
  <c r="J101" i="1"/>
  <c r="F102" i="1"/>
  <c r="G102" i="1"/>
  <c r="H102" i="1"/>
  <c r="I102" i="1"/>
  <c r="J102" i="1"/>
  <c r="F103" i="1"/>
  <c r="G103" i="1"/>
  <c r="H103" i="1"/>
  <c r="I103" i="1"/>
  <c r="J103" i="1"/>
  <c r="F104" i="1"/>
  <c r="G104" i="1"/>
  <c r="H104" i="1"/>
  <c r="I104" i="1"/>
  <c r="J104" i="1"/>
  <c r="F105" i="1"/>
  <c r="G105" i="1"/>
  <c r="H105" i="1"/>
  <c r="I105" i="1"/>
  <c r="J105" i="1"/>
  <c r="F106" i="1"/>
  <c r="G106" i="1"/>
  <c r="H106" i="1"/>
  <c r="I106" i="1"/>
  <c r="J106" i="1"/>
  <c r="F107" i="1"/>
  <c r="G107" i="1"/>
  <c r="H107" i="1"/>
  <c r="I107" i="1"/>
  <c r="J107" i="1"/>
  <c r="F108" i="1"/>
  <c r="G108" i="1"/>
  <c r="H108" i="1"/>
  <c r="I108" i="1"/>
  <c r="J108" i="1"/>
  <c r="F109" i="1"/>
  <c r="G109" i="1"/>
  <c r="H109" i="1"/>
  <c r="I109" i="1"/>
  <c r="J109" i="1"/>
  <c r="F110" i="1"/>
  <c r="G110" i="1"/>
  <c r="H110" i="1"/>
  <c r="I110" i="1"/>
  <c r="J110" i="1"/>
  <c r="F111" i="1"/>
  <c r="G111" i="1"/>
  <c r="H111" i="1"/>
  <c r="I111" i="1"/>
  <c r="J111" i="1"/>
  <c r="F112" i="1"/>
  <c r="G112" i="1"/>
  <c r="H112" i="1"/>
  <c r="I112" i="1"/>
  <c r="J112" i="1"/>
  <c r="F113" i="1"/>
  <c r="G113" i="1"/>
  <c r="H113" i="1"/>
  <c r="I113" i="1"/>
  <c r="J113" i="1"/>
  <c r="F114" i="1"/>
  <c r="G114" i="1"/>
  <c r="H114" i="1"/>
  <c r="I114" i="1"/>
  <c r="J114" i="1"/>
  <c r="F115" i="1"/>
  <c r="G115" i="1"/>
  <c r="H115" i="1"/>
  <c r="I115" i="1"/>
  <c r="J115" i="1"/>
  <c r="F116" i="1"/>
  <c r="G116" i="1"/>
  <c r="H116" i="1"/>
  <c r="I116" i="1"/>
  <c r="J116" i="1"/>
  <c r="F117" i="1"/>
  <c r="G117" i="1"/>
  <c r="H117" i="1"/>
  <c r="I117" i="1"/>
  <c r="J117" i="1"/>
  <c r="F118" i="1"/>
  <c r="G118" i="1"/>
  <c r="H118" i="1"/>
  <c r="I118" i="1"/>
  <c r="J118" i="1"/>
  <c r="F119" i="1"/>
  <c r="G119" i="1"/>
  <c r="H119" i="1"/>
  <c r="I119" i="1"/>
  <c r="J119" i="1"/>
  <c r="F120" i="1"/>
  <c r="G120" i="1"/>
  <c r="H120" i="1"/>
  <c r="I120" i="1"/>
  <c r="J120" i="1"/>
  <c r="F121" i="1"/>
  <c r="G121" i="1"/>
  <c r="H121" i="1"/>
  <c r="I121" i="1"/>
  <c r="J121" i="1"/>
  <c r="F122" i="1"/>
  <c r="G122" i="1"/>
  <c r="H122" i="1"/>
  <c r="I122" i="1"/>
  <c r="J122" i="1"/>
  <c r="F123" i="1"/>
  <c r="G123" i="1"/>
  <c r="H123" i="1"/>
  <c r="I123" i="1"/>
  <c r="J123" i="1"/>
  <c r="F124" i="1"/>
  <c r="G124" i="1"/>
  <c r="H124" i="1"/>
  <c r="I124" i="1"/>
  <c r="J124" i="1"/>
  <c r="F125" i="1"/>
  <c r="G125" i="1"/>
  <c r="H125" i="1"/>
  <c r="I125" i="1"/>
  <c r="J125" i="1"/>
  <c r="F126" i="1"/>
  <c r="G126" i="1"/>
  <c r="H126" i="1"/>
  <c r="I126" i="1"/>
  <c r="J126" i="1"/>
  <c r="F127" i="1"/>
  <c r="G127" i="1"/>
  <c r="H127" i="1"/>
  <c r="I127" i="1"/>
  <c r="J127" i="1"/>
  <c r="F128" i="1"/>
  <c r="G128" i="1"/>
  <c r="H128" i="1"/>
  <c r="I128" i="1"/>
  <c r="J128" i="1"/>
  <c r="F129" i="1"/>
  <c r="G129" i="1"/>
  <c r="H129" i="1"/>
  <c r="I129" i="1"/>
  <c r="J129" i="1"/>
  <c r="F130" i="1"/>
  <c r="G130" i="1"/>
  <c r="H130" i="1"/>
  <c r="I130" i="1"/>
  <c r="J130" i="1"/>
  <c r="F131" i="1"/>
  <c r="G131" i="1"/>
  <c r="H131" i="1"/>
  <c r="I131" i="1"/>
  <c r="J131" i="1"/>
  <c r="F132" i="1"/>
  <c r="G132" i="1"/>
  <c r="H132" i="1"/>
  <c r="I132" i="1"/>
  <c r="J132" i="1"/>
  <c r="F133" i="1"/>
  <c r="G133" i="1"/>
  <c r="H133" i="1"/>
  <c r="I133" i="1"/>
  <c r="J133" i="1"/>
  <c r="F134" i="1"/>
  <c r="G134" i="1"/>
  <c r="H134" i="1"/>
  <c r="I134" i="1"/>
  <c r="J134" i="1"/>
  <c r="F135" i="1"/>
  <c r="G135" i="1"/>
  <c r="H135" i="1"/>
  <c r="I135" i="1"/>
  <c r="J135" i="1"/>
  <c r="F136" i="1"/>
  <c r="G136" i="1"/>
  <c r="H136" i="1"/>
  <c r="I136" i="1"/>
  <c r="J136" i="1"/>
  <c r="F137" i="1"/>
  <c r="G137" i="1"/>
  <c r="H137" i="1"/>
  <c r="I137" i="1"/>
  <c r="J137" i="1"/>
  <c r="F138" i="1"/>
  <c r="G138" i="1"/>
  <c r="H138" i="1"/>
  <c r="I138" i="1"/>
  <c r="J138" i="1"/>
  <c r="F139" i="1"/>
  <c r="G139" i="1"/>
  <c r="H139" i="1"/>
  <c r="I139" i="1"/>
  <c r="J139" i="1"/>
  <c r="F140" i="1"/>
  <c r="G140" i="1"/>
  <c r="H140" i="1"/>
  <c r="I140" i="1"/>
  <c r="J140" i="1"/>
  <c r="F141" i="1"/>
  <c r="G141" i="1"/>
  <c r="H141" i="1"/>
  <c r="I141" i="1"/>
  <c r="J141" i="1"/>
  <c r="F142" i="1"/>
  <c r="G142" i="1"/>
  <c r="H142" i="1"/>
  <c r="I142" i="1"/>
  <c r="J142" i="1"/>
  <c r="F143" i="1"/>
  <c r="G143" i="1"/>
  <c r="H143" i="1"/>
  <c r="I143" i="1"/>
  <c r="J143" i="1"/>
  <c r="F144" i="1"/>
  <c r="G144" i="1"/>
  <c r="H144" i="1"/>
  <c r="I144" i="1"/>
  <c r="J144" i="1"/>
  <c r="F145" i="1"/>
  <c r="G145" i="1"/>
  <c r="H145" i="1"/>
  <c r="I145" i="1"/>
  <c r="J145" i="1"/>
  <c r="F146" i="1"/>
  <c r="G146" i="1"/>
  <c r="H146" i="1"/>
  <c r="I146" i="1"/>
  <c r="J146" i="1"/>
  <c r="F147" i="1"/>
  <c r="G147" i="1"/>
  <c r="H147" i="1"/>
  <c r="I147" i="1"/>
  <c r="J147" i="1"/>
  <c r="F148" i="1"/>
  <c r="G148" i="1"/>
  <c r="H148" i="1"/>
  <c r="I148" i="1"/>
  <c r="J148" i="1"/>
  <c r="F149" i="1"/>
  <c r="G149" i="1"/>
  <c r="H149" i="1"/>
  <c r="I149" i="1"/>
  <c r="J149" i="1"/>
  <c r="F150" i="1"/>
  <c r="G150" i="1"/>
  <c r="H150" i="1"/>
  <c r="I150" i="1"/>
  <c r="J150" i="1"/>
  <c r="F151" i="1"/>
  <c r="G151" i="1"/>
  <c r="H151" i="1"/>
  <c r="I151" i="1"/>
  <c r="J151" i="1"/>
  <c r="F152" i="1"/>
  <c r="G152" i="1"/>
  <c r="H152" i="1"/>
  <c r="I152" i="1"/>
  <c r="J152" i="1"/>
  <c r="F153" i="1"/>
  <c r="G153" i="1"/>
  <c r="H153" i="1"/>
  <c r="I153" i="1"/>
  <c r="J153" i="1"/>
  <c r="F154" i="1"/>
  <c r="G154" i="1"/>
  <c r="H154" i="1"/>
  <c r="I154" i="1"/>
  <c r="J154" i="1"/>
  <c r="F155" i="1"/>
  <c r="G155" i="1"/>
  <c r="H155" i="1"/>
  <c r="I155" i="1"/>
  <c r="J155" i="1"/>
  <c r="F156" i="1"/>
  <c r="G156" i="1"/>
  <c r="H156" i="1"/>
  <c r="I156" i="1"/>
  <c r="J156" i="1"/>
  <c r="F157" i="1"/>
  <c r="G157" i="1"/>
  <c r="H157" i="1"/>
  <c r="I157" i="1"/>
  <c r="J157" i="1"/>
  <c r="F158" i="1"/>
  <c r="G158" i="1"/>
  <c r="H158" i="1"/>
  <c r="I158" i="1"/>
  <c r="J158" i="1"/>
  <c r="F159" i="1"/>
  <c r="G159" i="1"/>
  <c r="H159" i="1"/>
  <c r="I159" i="1"/>
  <c r="J159" i="1"/>
  <c r="F160" i="1"/>
  <c r="G160" i="1"/>
  <c r="H160" i="1"/>
  <c r="I160" i="1"/>
  <c r="J160" i="1"/>
  <c r="F161" i="1"/>
  <c r="G161" i="1"/>
  <c r="H161" i="1"/>
  <c r="I161" i="1"/>
  <c r="J161" i="1"/>
  <c r="F162" i="1"/>
  <c r="G162" i="1"/>
  <c r="H162" i="1"/>
  <c r="I162" i="1"/>
  <c r="J162" i="1"/>
  <c r="F163" i="1"/>
  <c r="G163" i="1"/>
  <c r="H163" i="1"/>
  <c r="I163" i="1"/>
  <c r="J163" i="1"/>
  <c r="F164" i="1"/>
  <c r="G164" i="1"/>
  <c r="H164" i="1"/>
  <c r="I164" i="1"/>
  <c r="J164" i="1"/>
  <c r="F165" i="1"/>
  <c r="G165" i="1"/>
  <c r="H165" i="1"/>
  <c r="I165" i="1"/>
  <c r="J165" i="1"/>
  <c r="F166" i="1"/>
  <c r="G166" i="1"/>
  <c r="H166" i="1"/>
  <c r="I166" i="1"/>
  <c r="J166" i="1"/>
  <c r="F167" i="1"/>
  <c r="G167" i="1"/>
  <c r="H167" i="1"/>
  <c r="I167" i="1"/>
  <c r="J167" i="1"/>
  <c r="F168" i="1"/>
  <c r="G168" i="1"/>
  <c r="H168" i="1"/>
  <c r="I168" i="1"/>
  <c r="J168" i="1"/>
  <c r="F169" i="1"/>
  <c r="G169" i="1"/>
  <c r="H169" i="1"/>
  <c r="I169" i="1"/>
  <c r="J169" i="1"/>
  <c r="F170" i="1"/>
  <c r="G170" i="1"/>
  <c r="H170" i="1"/>
  <c r="I170" i="1"/>
  <c r="J170" i="1"/>
  <c r="F171" i="1"/>
  <c r="G171" i="1"/>
  <c r="H171" i="1"/>
  <c r="I171" i="1"/>
  <c r="J171" i="1"/>
  <c r="F172" i="1"/>
  <c r="G172" i="1"/>
  <c r="H172" i="1"/>
  <c r="I172" i="1"/>
  <c r="J172" i="1"/>
  <c r="F173" i="1"/>
  <c r="G173" i="1"/>
  <c r="H173" i="1"/>
  <c r="I173" i="1"/>
  <c r="J173" i="1"/>
  <c r="F174" i="1"/>
  <c r="G174" i="1"/>
  <c r="H174" i="1"/>
  <c r="I174" i="1"/>
  <c r="J174" i="1"/>
  <c r="F175" i="1"/>
  <c r="G175" i="1"/>
  <c r="H175" i="1"/>
  <c r="I175" i="1"/>
  <c r="J175" i="1"/>
  <c r="F176" i="1"/>
  <c r="G176" i="1"/>
  <c r="H176" i="1"/>
  <c r="I176" i="1"/>
  <c r="J176" i="1"/>
  <c r="F177" i="1"/>
  <c r="G177" i="1"/>
  <c r="H177" i="1"/>
  <c r="I177" i="1"/>
  <c r="J177" i="1"/>
  <c r="F178" i="1"/>
  <c r="G178" i="1"/>
  <c r="H178" i="1"/>
  <c r="I178" i="1"/>
  <c r="J178" i="1"/>
  <c r="F179" i="1"/>
  <c r="G179" i="1"/>
  <c r="H179" i="1"/>
  <c r="I179" i="1"/>
  <c r="J179" i="1"/>
  <c r="F180" i="1"/>
  <c r="G180" i="1"/>
  <c r="H180" i="1"/>
  <c r="I180" i="1"/>
  <c r="J180" i="1"/>
  <c r="F181" i="1"/>
  <c r="G181" i="1"/>
  <c r="H181" i="1"/>
  <c r="I181" i="1"/>
  <c r="J181" i="1"/>
  <c r="F182" i="1"/>
  <c r="G182" i="1"/>
  <c r="H182" i="1"/>
  <c r="I182" i="1"/>
  <c r="J182" i="1"/>
  <c r="F183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F186" i="1"/>
  <c r="G186" i="1"/>
  <c r="H186" i="1"/>
  <c r="I186" i="1"/>
  <c r="J186" i="1"/>
  <c r="F187" i="1"/>
  <c r="G187" i="1"/>
  <c r="H187" i="1"/>
  <c r="I187" i="1"/>
  <c r="J187" i="1"/>
  <c r="F188" i="1"/>
  <c r="G188" i="1"/>
  <c r="H188" i="1"/>
  <c r="I188" i="1"/>
  <c r="J188" i="1"/>
  <c r="F189" i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2" i="1"/>
  <c r="G192" i="1"/>
  <c r="H192" i="1"/>
  <c r="I192" i="1"/>
  <c r="J192" i="1"/>
  <c r="F193" i="1"/>
  <c r="G193" i="1"/>
  <c r="H193" i="1"/>
  <c r="I193" i="1"/>
  <c r="J193" i="1"/>
  <c r="F194" i="1"/>
  <c r="G194" i="1"/>
  <c r="H194" i="1"/>
  <c r="I194" i="1"/>
  <c r="J194" i="1"/>
  <c r="F195" i="1"/>
  <c r="G195" i="1"/>
  <c r="H195" i="1"/>
  <c r="I195" i="1"/>
  <c r="J195" i="1"/>
  <c r="F196" i="1"/>
  <c r="G196" i="1"/>
  <c r="H196" i="1"/>
  <c r="I196" i="1"/>
  <c r="J196" i="1"/>
  <c r="F197" i="1"/>
  <c r="G197" i="1"/>
  <c r="H197" i="1"/>
  <c r="I197" i="1"/>
  <c r="J197" i="1"/>
  <c r="F198" i="1"/>
  <c r="G198" i="1"/>
  <c r="H198" i="1"/>
  <c r="I198" i="1"/>
  <c r="J198" i="1"/>
  <c r="F199" i="1"/>
  <c r="G199" i="1"/>
  <c r="H199" i="1"/>
  <c r="I199" i="1"/>
  <c r="J199" i="1"/>
  <c r="F200" i="1"/>
  <c r="G200" i="1"/>
  <c r="H200" i="1"/>
  <c r="I200" i="1"/>
  <c r="J200" i="1"/>
  <c r="F201" i="1"/>
  <c r="G201" i="1"/>
  <c r="H201" i="1"/>
  <c r="I201" i="1"/>
  <c r="J201" i="1"/>
  <c r="F202" i="1"/>
  <c r="G202" i="1"/>
  <c r="H202" i="1"/>
  <c r="I202" i="1"/>
  <c r="J202" i="1"/>
  <c r="F203" i="1"/>
  <c r="G203" i="1"/>
  <c r="H203" i="1"/>
  <c r="I203" i="1"/>
  <c r="J203" i="1"/>
  <c r="F204" i="1"/>
  <c r="G204" i="1"/>
  <c r="H204" i="1"/>
  <c r="I204" i="1"/>
  <c r="J204" i="1"/>
  <c r="F205" i="1"/>
  <c r="G205" i="1"/>
  <c r="H205" i="1"/>
  <c r="I205" i="1"/>
  <c r="J205" i="1"/>
  <c r="F206" i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09" i="1"/>
  <c r="G209" i="1"/>
  <c r="H209" i="1"/>
  <c r="I209" i="1"/>
  <c r="J209" i="1"/>
  <c r="F210" i="1"/>
  <c r="G210" i="1"/>
  <c r="H210" i="1"/>
  <c r="I210" i="1"/>
  <c r="J210" i="1"/>
  <c r="F211" i="1"/>
  <c r="G211" i="1"/>
  <c r="H211" i="1"/>
  <c r="I211" i="1"/>
  <c r="J211" i="1"/>
  <c r="F212" i="1"/>
  <c r="G212" i="1"/>
  <c r="H212" i="1"/>
  <c r="I212" i="1"/>
  <c r="J212" i="1"/>
  <c r="F213" i="1"/>
  <c r="G213" i="1"/>
  <c r="H213" i="1"/>
  <c r="I213" i="1"/>
  <c r="J213" i="1"/>
  <c r="F214" i="1"/>
  <c r="G214" i="1"/>
  <c r="H214" i="1"/>
  <c r="I214" i="1"/>
  <c r="J214" i="1"/>
  <c r="F215" i="1"/>
  <c r="G215" i="1"/>
  <c r="H215" i="1"/>
  <c r="I215" i="1"/>
  <c r="J215" i="1"/>
  <c r="F216" i="1"/>
  <c r="G216" i="1"/>
  <c r="H216" i="1"/>
  <c r="I216" i="1"/>
  <c r="J216" i="1"/>
  <c r="F217" i="1"/>
  <c r="G217" i="1"/>
  <c r="H217" i="1"/>
  <c r="I217" i="1"/>
  <c r="J217" i="1"/>
  <c r="F218" i="1"/>
  <c r="G218" i="1"/>
  <c r="H218" i="1"/>
  <c r="I218" i="1"/>
  <c r="J218" i="1"/>
  <c r="F219" i="1"/>
  <c r="G219" i="1"/>
  <c r="H219" i="1"/>
  <c r="I219" i="1"/>
  <c r="J219" i="1"/>
  <c r="F220" i="1"/>
  <c r="G220" i="1"/>
  <c r="H220" i="1"/>
  <c r="I220" i="1"/>
  <c r="J220" i="1"/>
  <c r="F221" i="1"/>
  <c r="G221" i="1"/>
  <c r="H221" i="1"/>
  <c r="I221" i="1"/>
  <c r="J221" i="1"/>
  <c r="F222" i="1"/>
  <c r="G222" i="1"/>
  <c r="H222" i="1"/>
  <c r="I222" i="1"/>
  <c r="J222" i="1"/>
  <c r="F223" i="1"/>
  <c r="G223" i="1"/>
  <c r="H223" i="1"/>
  <c r="I223" i="1"/>
  <c r="J223" i="1"/>
  <c r="F224" i="1"/>
  <c r="G224" i="1"/>
  <c r="H224" i="1"/>
  <c r="I224" i="1"/>
  <c r="J224" i="1"/>
  <c r="F225" i="1"/>
  <c r="G225" i="1"/>
  <c r="H225" i="1"/>
  <c r="I225" i="1"/>
  <c r="J225" i="1"/>
  <c r="F226" i="1"/>
  <c r="G226" i="1"/>
  <c r="H226" i="1"/>
  <c r="I226" i="1"/>
  <c r="J226" i="1"/>
  <c r="F227" i="1"/>
  <c r="G227" i="1"/>
  <c r="H227" i="1"/>
  <c r="I227" i="1"/>
  <c r="J227" i="1"/>
  <c r="F228" i="1"/>
  <c r="G228" i="1"/>
  <c r="H228" i="1"/>
  <c r="I228" i="1"/>
  <c r="J228" i="1"/>
  <c r="F229" i="1"/>
  <c r="G229" i="1"/>
  <c r="H229" i="1"/>
  <c r="I229" i="1"/>
  <c r="J229" i="1"/>
  <c r="F230" i="1"/>
  <c r="G230" i="1"/>
  <c r="H230" i="1"/>
  <c r="I230" i="1"/>
  <c r="J230" i="1"/>
  <c r="F231" i="1"/>
  <c r="G231" i="1"/>
  <c r="H231" i="1"/>
  <c r="I231" i="1"/>
  <c r="J231" i="1"/>
  <c r="F232" i="1"/>
  <c r="G232" i="1"/>
  <c r="H232" i="1"/>
  <c r="I232" i="1"/>
  <c r="J232" i="1"/>
  <c r="F233" i="1"/>
  <c r="G233" i="1"/>
  <c r="H233" i="1"/>
  <c r="I233" i="1"/>
  <c r="J233" i="1"/>
  <c r="F234" i="1"/>
  <c r="G234" i="1"/>
  <c r="H234" i="1"/>
  <c r="I234" i="1"/>
  <c r="J234" i="1"/>
  <c r="F235" i="1"/>
  <c r="G235" i="1"/>
  <c r="H235" i="1"/>
  <c r="I235" i="1"/>
  <c r="J235" i="1"/>
  <c r="F236" i="1"/>
  <c r="G236" i="1"/>
  <c r="H236" i="1"/>
  <c r="I236" i="1"/>
  <c r="J236" i="1"/>
  <c r="F237" i="1"/>
  <c r="G237" i="1"/>
  <c r="H237" i="1"/>
  <c r="I237" i="1"/>
  <c r="J237" i="1"/>
  <c r="F238" i="1"/>
  <c r="G238" i="1"/>
  <c r="H238" i="1"/>
  <c r="I238" i="1"/>
  <c r="J238" i="1"/>
  <c r="F239" i="1"/>
  <c r="G239" i="1"/>
  <c r="H239" i="1"/>
  <c r="I239" i="1"/>
  <c r="J239" i="1"/>
  <c r="F240" i="1"/>
  <c r="G240" i="1"/>
  <c r="H240" i="1"/>
  <c r="I240" i="1"/>
  <c r="J240" i="1"/>
  <c r="F241" i="1"/>
  <c r="G241" i="1"/>
  <c r="H241" i="1"/>
  <c r="I241" i="1"/>
  <c r="J241" i="1"/>
  <c r="F242" i="1"/>
  <c r="G242" i="1"/>
  <c r="H242" i="1"/>
  <c r="I242" i="1"/>
  <c r="J242" i="1"/>
  <c r="F243" i="1"/>
  <c r="G243" i="1"/>
  <c r="H243" i="1"/>
  <c r="I243" i="1"/>
  <c r="J243" i="1"/>
  <c r="F244" i="1"/>
  <c r="G244" i="1"/>
  <c r="H244" i="1"/>
  <c r="I244" i="1"/>
  <c r="J244" i="1"/>
  <c r="F245" i="1"/>
  <c r="G245" i="1"/>
  <c r="H245" i="1"/>
  <c r="I245" i="1"/>
  <c r="J245" i="1"/>
  <c r="F246" i="1"/>
  <c r="G246" i="1"/>
  <c r="H246" i="1"/>
  <c r="I246" i="1"/>
  <c r="J246" i="1"/>
  <c r="F247" i="1"/>
  <c r="G247" i="1"/>
  <c r="H247" i="1"/>
  <c r="I247" i="1"/>
  <c r="J247" i="1"/>
  <c r="F248" i="1"/>
  <c r="G248" i="1"/>
  <c r="H248" i="1"/>
  <c r="I248" i="1"/>
  <c r="J248" i="1"/>
  <c r="F249" i="1"/>
  <c r="G249" i="1"/>
  <c r="H249" i="1"/>
  <c r="I249" i="1"/>
  <c r="J249" i="1"/>
  <c r="F250" i="1"/>
  <c r="G250" i="1"/>
  <c r="H250" i="1"/>
  <c r="I250" i="1"/>
  <c r="J250" i="1"/>
  <c r="F251" i="1"/>
  <c r="G251" i="1"/>
  <c r="H251" i="1"/>
  <c r="I251" i="1"/>
  <c r="J251" i="1"/>
  <c r="F252" i="1"/>
  <c r="G252" i="1"/>
  <c r="H252" i="1"/>
  <c r="I252" i="1"/>
  <c r="J252" i="1"/>
  <c r="F253" i="1"/>
  <c r="G253" i="1"/>
  <c r="H253" i="1"/>
  <c r="I253" i="1"/>
  <c r="J253" i="1"/>
  <c r="F254" i="1"/>
  <c r="G254" i="1"/>
  <c r="H254" i="1"/>
  <c r="I254" i="1"/>
  <c r="J254" i="1"/>
  <c r="F255" i="1"/>
  <c r="G255" i="1"/>
  <c r="H255" i="1"/>
  <c r="I255" i="1"/>
  <c r="J255" i="1"/>
  <c r="F256" i="1"/>
  <c r="G256" i="1"/>
  <c r="H256" i="1"/>
  <c r="I256" i="1"/>
  <c r="J256" i="1"/>
  <c r="F257" i="1"/>
  <c r="G257" i="1"/>
  <c r="H257" i="1"/>
  <c r="I257" i="1"/>
  <c r="J257" i="1"/>
  <c r="F258" i="1"/>
  <c r="G258" i="1"/>
  <c r="H258" i="1"/>
  <c r="I258" i="1"/>
  <c r="J258" i="1"/>
  <c r="F259" i="1"/>
  <c r="G259" i="1"/>
  <c r="H259" i="1"/>
  <c r="I259" i="1"/>
  <c r="J259" i="1"/>
  <c r="F260" i="1"/>
  <c r="G260" i="1"/>
  <c r="H260" i="1"/>
  <c r="I260" i="1"/>
  <c r="J260" i="1"/>
  <c r="F261" i="1"/>
  <c r="G261" i="1"/>
  <c r="H261" i="1"/>
  <c r="I261" i="1"/>
  <c r="J261" i="1"/>
  <c r="F262" i="1"/>
  <c r="G262" i="1"/>
  <c r="H262" i="1"/>
  <c r="I262" i="1"/>
  <c r="J262" i="1"/>
  <c r="F263" i="1"/>
  <c r="G263" i="1"/>
  <c r="H263" i="1"/>
  <c r="I263" i="1"/>
  <c r="J263" i="1"/>
  <c r="F264" i="1"/>
  <c r="G264" i="1"/>
  <c r="H264" i="1"/>
  <c r="I264" i="1"/>
  <c r="J264" i="1"/>
  <c r="F265" i="1"/>
  <c r="G265" i="1"/>
  <c r="H265" i="1"/>
  <c r="I265" i="1"/>
  <c r="J265" i="1"/>
  <c r="F266" i="1"/>
  <c r="G266" i="1"/>
  <c r="H266" i="1"/>
  <c r="I266" i="1"/>
  <c r="J266" i="1"/>
  <c r="F267" i="1"/>
  <c r="G267" i="1"/>
  <c r="H267" i="1"/>
  <c r="I267" i="1"/>
  <c r="J267" i="1"/>
  <c r="F268" i="1"/>
  <c r="G268" i="1"/>
  <c r="H268" i="1"/>
  <c r="I268" i="1"/>
  <c r="J268" i="1"/>
  <c r="F269" i="1"/>
  <c r="G269" i="1"/>
  <c r="H269" i="1"/>
  <c r="I269" i="1"/>
  <c r="J269" i="1"/>
  <c r="F270" i="1"/>
  <c r="G270" i="1"/>
  <c r="H270" i="1"/>
  <c r="I270" i="1"/>
  <c r="J270" i="1"/>
  <c r="F271" i="1"/>
  <c r="G271" i="1"/>
  <c r="H271" i="1"/>
  <c r="I271" i="1"/>
  <c r="J271" i="1"/>
  <c r="F272" i="1"/>
  <c r="G272" i="1"/>
  <c r="H272" i="1"/>
  <c r="I272" i="1"/>
  <c r="J272" i="1"/>
  <c r="F273" i="1"/>
  <c r="G273" i="1"/>
  <c r="H273" i="1"/>
  <c r="I273" i="1"/>
  <c r="J273" i="1"/>
  <c r="F274" i="1"/>
  <c r="G274" i="1"/>
  <c r="H274" i="1"/>
  <c r="I274" i="1"/>
  <c r="J274" i="1"/>
  <c r="F275" i="1"/>
  <c r="G275" i="1"/>
  <c r="H275" i="1"/>
  <c r="I275" i="1"/>
  <c r="J275" i="1"/>
  <c r="F276" i="1"/>
  <c r="G276" i="1"/>
  <c r="H276" i="1"/>
  <c r="I276" i="1"/>
  <c r="J276" i="1"/>
  <c r="F277" i="1"/>
  <c r="G277" i="1"/>
  <c r="H277" i="1"/>
  <c r="I277" i="1"/>
  <c r="J277" i="1"/>
  <c r="F278" i="1"/>
  <c r="G278" i="1"/>
  <c r="H278" i="1"/>
  <c r="I278" i="1"/>
  <c r="J278" i="1"/>
  <c r="F279" i="1"/>
  <c r="G279" i="1"/>
  <c r="H279" i="1"/>
  <c r="I279" i="1"/>
  <c r="J279" i="1"/>
  <c r="F280" i="1"/>
  <c r="G280" i="1"/>
  <c r="H280" i="1"/>
  <c r="I280" i="1"/>
  <c r="J280" i="1"/>
  <c r="F281" i="1"/>
  <c r="G281" i="1"/>
  <c r="H281" i="1"/>
  <c r="I281" i="1"/>
  <c r="J281" i="1"/>
  <c r="F282" i="1"/>
  <c r="G282" i="1"/>
  <c r="H282" i="1"/>
  <c r="I282" i="1"/>
  <c r="J282" i="1"/>
  <c r="F283" i="1"/>
  <c r="G283" i="1"/>
  <c r="H283" i="1"/>
  <c r="I283" i="1"/>
  <c r="J283" i="1"/>
  <c r="F284" i="1"/>
  <c r="G284" i="1"/>
  <c r="H284" i="1"/>
  <c r="I284" i="1"/>
  <c r="J284" i="1"/>
  <c r="F285" i="1"/>
  <c r="G285" i="1"/>
  <c r="H285" i="1"/>
  <c r="I285" i="1"/>
  <c r="J285" i="1"/>
  <c r="F286" i="1"/>
  <c r="G286" i="1"/>
  <c r="H286" i="1"/>
  <c r="I286" i="1"/>
  <c r="J286" i="1"/>
  <c r="F287" i="1"/>
  <c r="G287" i="1"/>
  <c r="H287" i="1"/>
  <c r="I287" i="1"/>
  <c r="J287" i="1"/>
  <c r="F288" i="1"/>
  <c r="G288" i="1"/>
  <c r="H288" i="1"/>
  <c r="I288" i="1"/>
  <c r="J288" i="1"/>
  <c r="F289" i="1"/>
  <c r="G289" i="1"/>
  <c r="H289" i="1"/>
  <c r="I289" i="1"/>
  <c r="J289" i="1"/>
  <c r="F290" i="1"/>
  <c r="G290" i="1"/>
  <c r="H290" i="1"/>
  <c r="I290" i="1"/>
  <c r="J290" i="1"/>
  <c r="F291" i="1"/>
  <c r="G291" i="1"/>
  <c r="H291" i="1"/>
  <c r="I291" i="1"/>
  <c r="J291" i="1"/>
  <c r="F292" i="1"/>
  <c r="G292" i="1"/>
  <c r="H292" i="1"/>
  <c r="I292" i="1"/>
  <c r="J292" i="1"/>
  <c r="F293" i="1"/>
  <c r="G293" i="1"/>
  <c r="H293" i="1"/>
  <c r="I293" i="1"/>
  <c r="J293" i="1"/>
  <c r="F294" i="1"/>
  <c r="G294" i="1"/>
  <c r="H294" i="1"/>
  <c r="I294" i="1"/>
  <c r="J294" i="1"/>
  <c r="F295" i="1"/>
  <c r="G295" i="1"/>
  <c r="H295" i="1"/>
  <c r="I295" i="1"/>
  <c r="J295" i="1"/>
  <c r="F296" i="1"/>
  <c r="G296" i="1"/>
  <c r="H296" i="1"/>
  <c r="I296" i="1"/>
  <c r="J296" i="1"/>
  <c r="F297" i="1"/>
  <c r="G297" i="1"/>
  <c r="H297" i="1"/>
  <c r="I297" i="1"/>
  <c r="J297" i="1"/>
  <c r="F298" i="1"/>
  <c r="G298" i="1"/>
  <c r="H298" i="1"/>
  <c r="I298" i="1"/>
  <c r="J298" i="1"/>
  <c r="F299" i="1"/>
  <c r="G299" i="1"/>
  <c r="H299" i="1"/>
  <c r="I299" i="1"/>
  <c r="J299" i="1"/>
  <c r="F300" i="1"/>
  <c r="G300" i="1"/>
  <c r="H300" i="1"/>
  <c r="I300" i="1"/>
  <c r="J300" i="1"/>
  <c r="F301" i="1"/>
  <c r="G301" i="1"/>
  <c r="H301" i="1"/>
  <c r="I301" i="1"/>
  <c r="J301" i="1"/>
  <c r="F302" i="1"/>
  <c r="G302" i="1"/>
  <c r="H302" i="1"/>
  <c r="I302" i="1"/>
  <c r="J302" i="1"/>
  <c r="F303" i="1"/>
  <c r="G303" i="1"/>
  <c r="H303" i="1"/>
  <c r="I303" i="1"/>
  <c r="J303" i="1"/>
  <c r="F304" i="1"/>
  <c r="G304" i="1"/>
  <c r="H304" i="1"/>
  <c r="I304" i="1"/>
  <c r="J304" i="1"/>
  <c r="F305" i="1"/>
  <c r="G305" i="1"/>
  <c r="H305" i="1"/>
  <c r="I305" i="1"/>
  <c r="J305" i="1"/>
  <c r="F306" i="1"/>
  <c r="G306" i="1"/>
  <c r="H306" i="1"/>
  <c r="I306" i="1"/>
  <c r="J306" i="1"/>
  <c r="F307" i="1"/>
  <c r="G307" i="1"/>
  <c r="H307" i="1"/>
  <c r="I307" i="1"/>
  <c r="J307" i="1"/>
  <c r="F308" i="1"/>
  <c r="G308" i="1"/>
  <c r="H308" i="1"/>
  <c r="I308" i="1"/>
  <c r="J308" i="1"/>
  <c r="F309" i="1"/>
  <c r="G309" i="1"/>
  <c r="H309" i="1"/>
  <c r="I309" i="1"/>
  <c r="J309" i="1"/>
  <c r="F310" i="1"/>
  <c r="G310" i="1"/>
  <c r="H310" i="1"/>
  <c r="I310" i="1"/>
  <c r="J310" i="1"/>
  <c r="F311" i="1"/>
  <c r="G311" i="1"/>
  <c r="H311" i="1"/>
  <c r="I311" i="1"/>
  <c r="J311" i="1"/>
  <c r="F312" i="1"/>
  <c r="G312" i="1"/>
  <c r="H312" i="1"/>
  <c r="I312" i="1"/>
  <c r="J312" i="1"/>
  <c r="F313" i="1"/>
  <c r="G313" i="1"/>
  <c r="H313" i="1"/>
  <c r="I313" i="1"/>
  <c r="J313" i="1"/>
  <c r="F314" i="1"/>
  <c r="G314" i="1"/>
  <c r="H314" i="1"/>
  <c r="I314" i="1"/>
  <c r="J314" i="1"/>
  <c r="F315" i="1"/>
  <c r="G315" i="1"/>
  <c r="H315" i="1"/>
  <c r="I315" i="1"/>
  <c r="J315" i="1"/>
  <c r="F316" i="1"/>
  <c r="G316" i="1"/>
  <c r="H316" i="1"/>
  <c r="I316" i="1"/>
  <c r="J316" i="1"/>
  <c r="F317" i="1"/>
  <c r="G317" i="1"/>
  <c r="H317" i="1"/>
  <c r="I317" i="1"/>
  <c r="J317" i="1"/>
  <c r="F318" i="1"/>
  <c r="G318" i="1"/>
  <c r="H318" i="1"/>
  <c r="I318" i="1"/>
  <c r="J318" i="1"/>
  <c r="F319" i="1"/>
  <c r="G319" i="1"/>
  <c r="H319" i="1"/>
  <c r="I319" i="1"/>
  <c r="J319" i="1"/>
  <c r="F320" i="1"/>
  <c r="G320" i="1"/>
  <c r="H320" i="1"/>
  <c r="I320" i="1"/>
  <c r="J320" i="1"/>
  <c r="F321" i="1"/>
  <c r="G321" i="1"/>
  <c r="H321" i="1"/>
  <c r="I321" i="1"/>
  <c r="J321" i="1"/>
  <c r="F322" i="1"/>
  <c r="G322" i="1"/>
  <c r="H322" i="1"/>
  <c r="I322" i="1"/>
  <c r="J322" i="1"/>
  <c r="F323" i="1"/>
  <c r="G323" i="1"/>
  <c r="H323" i="1"/>
  <c r="I323" i="1"/>
  <c r="J323" i="1"/>
  <c r="F324" i="1"/>
  <c r="G324" i="1"/>
  <c r="H324" i="1"/>
  <c r="I324" i="1"/>
  <c r="J324" i="1"/>
  <c r="F325" i="1"/>
  <c r="G325" i="1"/>
  <c r="H325" i="1"/>
  <c r="I325" i="1"/>
  <c r="J325" i="1"/>
  <c r="F326" i="1"/>
  <c r="G326" i="1"/>
  <c r="H326" i="1"/>
  <c r="I326" i="1"/>
  <c r="J326" i="1"/>
  <c r="F327" i="1"/>
  <c r="G327" i="1"/>
  <c r="H327" i="1"/>
  <c r="I327" i="1"/>
  <c r="J327" i="1"/>
  <c r="F328" i="1"/>
  <c r="G328" i="1"/>
  <c r="H328" i="1"/>
  <c r="I328" i="1"/>
  <c r="J328" i="1"/>
  <c r="F329" i="1"/>
  <c r="G329" i="1"/>
  <c r="H329" i="1"/>
  <c r="I329" i="1"/>
  <c r="J329" i="1"/>
  <c r="F330" i="1"/>
  <c r="G330" i="1"/>
  <c r="H330" i="1"/>
  <c r="I330" i="1"/>
  <c r="J330" i="1"/>
  <c r="F331" i="1"/>
  <c r="G331" i="1"/>
  <c r="H331" i="1"/>
  <c r="I331" i="1"/>
  <c r="J331" i="1"/>
  <c r="F332" i="1"/>
  <c r="G332" i="1"/>
  <c r="H332" i="1"/>
  <c r="I332" i="1"/>
  <c r="J332" i="1"/>
  <c r="F333" i="1"/>
  <c r="G333" i="1"/>
  <c r="H333" i="1"/>
  <c r="I333" i="1"/>
  <c r="J333" i="1"/>
  <c r="F334" i="1"/>
  <c r="G334" i="1"/>
  <c r="H334" i="1"/>
  <c r="I334" i="1"/>
  <c r="J334" i="1"/>
  <c r="F335" i="1"/>
  <c r="G335" i="1"/>
  <c r="H335" i="1"/>
  <c r="I335" i="1"/>
  <c r="J335" i="1"/>
  <c r="F336" i="1"/>
  <c r="G336" i="1"/>
  <c r="H336" i="1"/>
  <c r="I336" i="1"/>
  <c r="J336" i="1"/>
  <c r="F337" i="1"/>
  <c r="G337" i="1"/>
  <c r="H337" i="1"/>
  <c r="I337" i="1"/>
  <c r="J337" i="1"/>
  <c r="F338" i="1"/>
  <c r="G338" i="1"/>
  <c r="H338" i="1"/>
  <c r="I338" i="1"/>
  <c r="J338" i="1"/>
  <c r="F339" i="1"/>
  <c r="G339" i="1"/>
  <c r="H339" i="1"/>
  <c r="I339" i="1"/>
  <c r="J339" i="1"/>
  <c r="F340" i="1"/>
  <c r="G340" i="1"/>
  <c r="H340" i="1"/>
  <c r="I340" i="1"/>
  <c r="J340" i="1"/>
  <c r="F341" i="1"/>
  <c r="G341" i="1"/>
  <c r="H341" i="1"/>
  <c r="I341" i="1"/>
  <c r="J341" i="1"/>
  <c r="F342" i="1"/>
  <c r="G342" i="1"/>
  <c r="H342" i="1"/>
  <c r="I342" i="1"/>
  <c r="J342" i="1"/>
  <c r="F343" i="1"/>
  <c r="G343" i="1"/>
  <c r="H343" i="1"/>
  <c r="I343" i="1"/>
  <c r="J343" i="1"/>
  <c r="F344" i="1"/>
  <c r="G344" i="1"/>
  <c r="H344" i="1"/>
  <c r="I344" i="1"/>
  <c r="J344" i="1"/>
  <c r="F345" i="1"/>
  <c r="G345" i="1"/>
  <c r="H345" i="1"/>
  <c r="I345" i="1"/>
  <c r="J345" i="1"/>
  <c r="F346" i="1"/>
  <c r="G346" i="1"/>
  <c r="H346" i="1"/>
  <c r="I346" i="1"/>
  <c r="J346" i="1"/>
  <c r="F347" i="1"/>
  <c r="G347" i="1"/>
  <c r="H347" i="1"/>
  <c r="I347" i="1"/>
  <c r="J347" i="1"/>
  <c r="F348" i="1"/>
  <c r="G348" i="1"/>
  <c r="H348" i="1"/>
  <c r="I348" i="1"/>
  <c r="J348" i="1"/>
  <c r="F349" i="1"/>
  <c r="G349" i="1"/>
  <c r="H349" i="1"/>
  <c r="I349" i="1"/>
  <c r="J349" i="1"/>
  <c r="F350" i="1"/>
  <c r="G350" i="1"/>
  <c r="H350" i="1"/>
  <c r="I350" i="1"/>
  <c r="J350" i="1"/>
  <c r="F351" i="1"/>
  <c r="G351" i="1"/>
  <c r="H351" i="1"/>
  <c r="I351" i="1"/>
  <c r="J351" i="1"/>
  <c r="F352" i="1"/>
  <c r="G352" i="1"/>
  <c r="H352" i="1"/>
  <c r="I352" i="1"/>
  <c r="J352" i="1"/>
  <c r="F353" i="1"/>
  <c r="G353" i="1"/>
  <c r="H353" i="1"/>
  <c r="I353" i="1"/>
  <c r="J353" i="1"/>
  <c r="F354" i="1"/>
  <c r="G354" i="1"/>
  <c r="H354" i="1"/>
  <c r="I354" i="1"/>
  <c r="J354" i="1"/>
  <c r="F355" i="1"/>
  <c r="G355" i="1"/>
  <c r="H355" i="1"/>
  <c r="I355" i="1"/>
  <c r="J355" i="1"/>
  <c r="F356" i="1"/>
  <c r="G356" i="1"/>
  <c r="H356" i="1"/>
  <c r="I356" i="1"/>
  <c r="J356" i="1"/>
  <c r="F357" i="1"/>
  <c r="G357" i="1"/>
  <c r="H357" i="1"/>
  <c r="I357" i="1"/>
  <c r="J357" i="1"/>
  <c r="F358" i="1"/>
  <c r="G358" i="1"/>
  <c r="H358" i="1"/>
  <c r="I358" i="1"/>
  <c r="J358" i="1"/>
  <c r="F359" i="1"/>
  <c r="G359" i="1"/>
  <c r="H359" i="1"/>
  <c r="I359" i="1"/>
  <c r="J359" i="1"/>
  <c r="F360" i="1"/>
  <c r="G360" i="1"/>
  <c r="H360" i="1"/>
  <c r="I360" i="1"/>
  <c r="J360" i="1"/>
  <c r="F361" i="1"/>
  <c r="G361" i="1"/>
  <c r="H361" i="1"/>
  <c r="I361" i="1"/>
  <c r="J361" i="1"/>
  <c r="F362" i="1"/>
  <c r="G362" i="1"/>
  <c r="H362" i="1"/>
  <c r="I362" i="1"/>
  <c r="J362" i="1"/>
  <c r="F2" i="1"/>
  <c r="G2" i="1"/>
  <c r="H2" i="1"/>
  <c r="I2" i="1"/>
  <c r="J2" i="1"/>
  <c r="E3" i="1"/>
  <c r="K3" i="1" s="1"/>
  <c r="E4" i="1"/>
  <c r="K4" i="1" s="1"/>
  <c r="E5" i="1"/>
  <c r="K5" i="1" s="1"/>
  <c r="E6" i="1"/>
  <c r="E7" i="1"/>
  <c r="K7" i="1" s="1"/>
  <c r="E8" i="1"/>
  <c r="K8" i="1" s="1"/>
  <c r="E9" i="1"/>
  <c r="K9" i="1" s="1"/>
  <c r="E10" i="1"/>
  <c r="E11" i="1"/>
  <c r="K11" i="1" s="1"/>
  <c r="E12" i="1"/>
  <c r="K12" i="1" s="1"/>
  <c r="E13" i="1"/>
  <c r="K13" i="1" s="1"/>
  <c r="E14" i="1"/>
  <c r="E15" i="1"/>
  <c r="K15" i="1" s="1"/>
  <c r="E16" i="1"/>
  <c r="K16" i="1" s="1"/>
  <c r="E17" i="1"/>
  <c r="K17" i="1" s="1"/>
  <c r="E18" i="1"/>
  <c r="E19" i="1"/>
  <c r="K19" i="1" s="1"/>
  <c r="E20" i="1"/>
  <c r="K20" i="1" s="1"/>
  <c r="E21" i="1"/>
  <c r="K21" i="1" s="1"/>
  <c r="E22" i="1"/>
  <c r="E23" i="1"/>
  <c r="K23" i="1" s="1"/>
  <c r="E24" i="1"/>
  <c r="K24" i="1" s="1"/>
  <c r="E25" i="1"/>
  <c r="K25" i="1" s="1"/>
  <c r="E26" i="1"/>
  <c r="E27" i="1"/>
  <c r="K27" i="1" s="1"/>
  <c r="E28" i="1"/>
  <c r="K28" i="1" s="1"/>
  <c r="E29" i="1"/>
  <c r="K29" i="1" s="1"/>
  <c r="E30" i="1"/>
  <c r="E31" i="1"/>
  <c r="K31" i="1" s="1"/>
  <c r="E32" i="1"/>
  <c r="K32" i="1" s="1"/>
  <c r="E33" i="1"/>
  <c r="K33" i="1" s="1"/>
  <c r="E34" i="1"/>
  <c r="E35" i="1"/>
  <c r="K35" i="1" s="1"/>
  <c r="E36" i="1"/>
  <c r="K36" i="1" s="1"/>
  <c r="E37" i="1"/>
  <c r="K37" i="1" s="1"/>
  <c r="E38" i="1"/>
  <c r="E39" i="1"/>
  <c r="K39" i="1" s="1"/>
  <c r="E40" i="1"/>
  <c r="K40" i="1" s="1"/>
  <c r="E41" i="1"/>
  <c r="K41" i="1" s="1"/>
  <c r="E42" i="1"/>
  <c r="E43" i="1"/>
  <c r="K43" i="1" s="1"/>
  <c r="E44" i="1"/>
  <c r="K44" i="1" s="1"/>
  <c r="E45" i="1"/>
  <c r="K45" i="1" s="1"/>
  <c r="E46" i="1"/>
  <c r="E47" i="1"/>
  <c r="K47" i="1" s="1"/>
  <c r="E48" i="1"/>
  <c r="K48" i="1" s="1"/>
  <c r="E49" i="1"/>
  <c r="K49" i="1" s="1"/>
  <c r="E50" i="1"/>
  <c r="E51" i="1"/>
  <c r="K51" i="1" s="1"/>
  <c r="E52" i="1"/>
  <c r="K52" i="1" s="1"/>
  <c r="E53" i="1"/>
  <c r="K53" i="1" s="1"/>
  <c r="E54" i="1"/>
  <c r="E55" i="1"/>
  <c r="K55" i="1" s="1"/>
  <c r="E56" i="1"/>
  <c r="K56" i="1" s="1"/>
  <c r="E57" i="1"/>
  <c r="K57" i="1" s="1"/>
  <c r="E58" i="1"/>
  <c r="E59" i="1"/>
  <c r="K59" i="1" s="1"/>
  <c r="E60" i="1"/>
  <c r="K60" i="1" s="1"/>
  <c r="E61" i="1"/>
  <c r="K61" i="1" s="1"/>
  <c r="E62" i="1"/>
  <c r="E63" i="1"/>
  <c r="K63" i="1" s="1"/>
  <c r="E64" i="1"/>
  <c r="K64" i="1" s="1"/>
  <c r="E65" i="1"/>
  <c r="K65" i="1" s="1"/>
  <c r="E66" i="1"/>
  <c r="E67" i="1"/>
  <c r="K67" i="1" s="1"/>
  <c r="E68" i="1"/>
  <c r="K68" i="1" s="1"/>
  <c r="E69" i="1"/>
  <c r="K69" i="1" s="1"/>
  <c r="E70" i="1"/>
  <c r="E71" i="1"/>
  <c r="K71" i="1" s="1"/>
  <c r="E72" i="1"/>
  <c r="K72" i="1" s="1"/>
  <c r="E73" i="1"/>
  <c r="K73" i="1" s="1"/>
  <c r="E74" i="1"/>
  <c r="E75" i="1"/>
  <c r="K75" i="1" s="1"/>
  <c r="E76" i="1"/>
  <c r="K76" i="1" s="1"/>
  <c r="E77" i="1"/>
  <c r="K77" i="1" s="1"/>
  <c r="E78" i="1"/>
  <c r="E79" i="1"/>
  <c r="K79" i="1" s="1"/>
  <c r="E80" i="1"/>
  <c r="K80" i="1" s="1"/>
  <c r="E81" i="1"/>
  <c r="K81" i="1" s="1"/>
  <c r="E82" i="1"/>
  <c r="E83" i="1"/>
  <c r="K83" i="1" s="1"/>
  <c r="E84" i="1"/>
  <c r="K84" i="1" s="1"/>
  <c r="E85" i="1"/>
  <c r="K85" i="1" s="1"/>
  <c r="E86" i="1"/>
  <c r="E87" i="1"/>
  <c r="K87" i="1" s="1"/>
  <c r="E88" i="1"/>
  <c r="K88" i="1" s="1"/>
  <c r="E89" i="1"/>
  <c r="K89" i="1" s="1"/>
  <c r="E90" i="1"/>
  <c r="E91" i="1"/>
  <c r="K91" i="1" s="1"/>
  <c r="E92" i="1"/>
  <c r="K92" i="1" s="1"/>
  <c r="E93" i="1"/>
  <c r="K93" i="1" s="1"/>
  <c r="E94" i="1"/>
  <c r="E95" i="1"/>
  <c r="K95" i="1" s="1"/>
  <c r="E96" i="1"/>
  <c r="K96" i="1" s="1"/>
  <c r="E97" i="1"/>
  <c r="K97" i="1" s="1"/>
  <c r="E98" i="1"/>
  <c r="E99" i="1"/>
  <c r="K99" i="1" s="1"/>
  <c r="E100" i="1"/>
  <c r="K100" i="1" s="1"/>
  <c r="E101" i="1"/>
  <c r="K101" i="1" s="1"/>
  <c r="E102" i="1"/>
  <c r="E103" i="1"/>
  <c r="K103" i="1" s="1"/>
  <c r="E104" i="1"/>
  <c r="K104" i="1" s="1"/>
  <c r="E105" i="1"/>
  <c r="K105" i="1" s="1"/>
  <c r="E106" i="1"/>
  <c r="E107" i="1"/>
  <c r="K107" i="1" s="1"/>
  <c r="E108" i="1"/>
  <c r="K108" i="1" s="1"/>
  <c r="E109" i="1"/>
  <c r="K109" i="1" s="1"/>
  <c r="E110" i="1"/>
  <c r="E111" i="1"/>
  <c r="K111" i="1" s="1"/>
  <c r="E112" i="1"/>
  <c r="K112" i="1" s="1"/>
  <c r="E113" i="1"/>
  <c r="K113" i="1" s="1"/>
  <c r="E114" i="1"/>
  <c r="E115" i="1"/>
  <c r="K115" i="1" s="1"/>
  <c r="E116" i="1"/>
  <c r="K116" i="1" s="1"/>
  <c r="E117" i="1"/>
  <c r="K117" i="1" s="1"/>
  <c r="E118" i="1"/>
  <c r="E119" i="1"/>
  <c r="K119" i="1" s="1"/>
  <c r="E120" i="1"/>
  <c r="K120" i="1" s="1"/>
  <c r="E121" i="1"/>
  <c r="K121" i="1" s="1"/>
  <c r="E122" i="1"/>
  <c r="E123" i="1"/>
  <c r="K123" i="1" s="1"/>
  <c r="E124" i="1"/>
  <c r="K124" i="1" s="1"/>
  <c r="E125" i="1"/>
  <c r="K125" i="1" s="1"/>
  <c r="E126" i="1"/>
  <c r="E127" i="1"/>
  <c r="K127" i="1" s="1"/>
  <c r="E128" i="1"/>
  <c r="K128" i="1" s="1"/>
  <c r="E129" i="1"/>
  <c r="K129" i="1" s="1"/>
  <c r="E130" i="1"/>
  <c r="E131" i="1"/>
  <c r="K131" i="1" s="1"/>
  <c r="E132" i="1"/>
  <c r="K132" i="1" s="1"/>
  <c r="E133" i="1"/>
  <c r="K133" i="1" s="1"/>
  <c r="E134" i="1"/>
  <c r="E135" i="1"/>
  <c r="K135" i="1" s="1"/>
  <c r="E136" i="1"/>
  <c r="K136" i="1" s="1"/>
  <c r="E137" i="1"/>
  <c r="K137" i="1" s="1"/>
  <c r="E138" i="1"/>
  <c r="E139" i="1"/>
  <c r="K139" i="1" s="1"/>
  <c r="E140" i="1"/>
  <c r="K140" i="1" s="1"/>
  <c r="E141" i="1"/>
  <c r="K141" i="1" s="1"/>
  <c r="E142" i="1"/>
  <c r="E143" i="1"/>
  <c r="K143" i="1" s="1"/>
  <c r="E144" i="1"/>
  <c r="K144" i="1" s="1"/>
  <c r="E145" i="1"/>
  <c r="K145" i="1" s="1"/>
  <c r="E146" i="1"/>
  <c r="E147" i="1"/>
  <c r="K147" i="1" s="1"/>
  <c r="E148" i="1"/>
  <c r="K148" i="1" s="1"/>
  <c r="E149" i="1"/>
  <c r="K149" i="1" s="1"/>
  <c r="E150" i="1"/>
  <c r="E151" i="1"/>
  <c r="K151" i="1" s="1"/>
  <c r="E152" i="1"/>
  <c r="K152" i="1" s="1"/>
  <c r="E153" i="1"/>
  <c r="K153" i="1" s="1"/>
  <c r="E154" i="1"/>
  <c r="E155" i="1"/>
  <c r="K155" i="1" s="1"/>
  <c r="E156" i="1"/>
  <c r="K156" i="1" s="1"/>
  <c r="E157" i="1"/>
  <c r="K157" i="1" s="1"/>
  <c r="E158" i="1"/>
  <c r="E159" i="1"/>
  <c r="K159" i="1" s="1"/>
  <c r="E160" i="1"/>
  <c r="K160" i="1" s="1"/>
  <c r="E161" i="1"/>
  <c r="K161" i="1" s="1"/>
  <c r="E162" i="1"/>
  <c r="E163" i="1"/>
  <c r="K163" i="1" s="1"/>
  <c r="E164" i="1"/>
  <c r="K164" i="1" s="1"/>
  <c r="E165" i="1"/>
  <c r="K165" i="1" s="1"/>
  <c r="E166" i="1"/>
  <c r="E167" i="1"/>
  <c r="K167" i="1" s="1"/>
  <c r="E168" i="1"/>
  <c r="K168" i="1" s="1"/>
  <c r="E169" i="1"/>
  <c r="K169" i="1" s="1"/>
  <c r="E170" i="1"/>
  <c r="E171" i="1"/>
  <c r="K171" i="1" s="1"/>
  <c r="E172" i="1"/>
  <c r="K172" i="1" s="1"/>
  <c r="E173" i="1"/>
  <c r="K173" i="1" s="1"/>
  <c r="E174" i="1"/>
  <c r="E175" i="1"/>
  <c r="K175" i="1" s="1"/>
  <c r="E176" i="1"/>
  <c r="K176" i="1" s="1"/>
  <c r="E177" i="1"/>
  <c r="K177" i="1" s="1"/>
  <c r="E178" i="1"/>
  <c r="E179" i="1"/>
  <c r="K179" i="1" s="1"/>
  <c r="E180" i="1"/>
  <c r="K180" i="1" s="1"/>
  <c r="E181" i="1"/>
  <c r="K181" i="1" s="1"/>
  <c r="E182" i="1"/>
  <c r="E183" i="1"/>
  <c r="K183" i="1" s="1"/>
  <c r="E184" i="1"/>
  <c r="K184" i="1" s="1"/>
  <c r="E185" i="1"/>
  <c r="K185" i="1" s="1"/>
  <c r="E186" i="1"/>
  <c r="E187" i="1"/>
  <c r="K187" i="1" s="1"/>
  <c r="E188" i="1"/>
  <c r="K188" i="1" s="1"/>
  <c r="E189" i="1"/>
  <c r="K189" i="1" s="1"/>
  <c r="E190" i="1"/>
  <c r="E191" i="1"/>
  <c r="K191" i="1" s="1"/>
  <c r="E192" i="1"/>
  <c r="K192" i="1" s="1"/>
  <c r="E193" i="1"/>
  <c r="K193" i="1" s="1"/>
  <c r="E194" i="1"/>
  <c r="E195" i="1"/>
  <c r="K195" i="1" s="1"/>
  <c r="E196" i="1"/>
  <c r="K196" i="1" s="1"/>
  <c r="E197" i="1"/>
  <c r="K197" i="1" s="1"/>
  <c r="E198" i="1"/>
  <c r="E199" i="1"/>
  <c r="K199" i="1" s="1"/>
  <c r="E200" i="1"/>
  <c r="K200" i="1" s="1"/>
  <c r="E201" i="1"/>
  <c r="K201" i="1" s="1"/>
  <c r="E202" i="1"/>
  <c r="E203" i="1"/>
  <c r="K203" i="1" s="1"/>
  <c r="E204" i="1"/>
  <c r="K204" i="1" s="1"/>
  <c r="E205" i="1"/>
  <c r="K205" i="1" s="1"/>
  <c r="E206" i="1"/>
  <c r="E207" i="1"/>
  <c r="K207" i="1" s="1"/>
  <c r="E208" i="1"/>
  <c r="K208" i="1" s="1"/>
  <c r="E209" i="1"/>
  <c r="K209" i="1" s="1"/>
  <c r="E210" i="1"/>
  <c r="E211" i="1"/>
  <c r="K211" i="1" s="1"/>
  <c r="E212" i="1"/>
  <c r="K212" i="1" s="1"/>
  <c r="E213" i="1"/>
  <c r="K213" i="1" s="1"/>
  <c r="E214" i="1"/>
  <c r="E215" i="1"/>
  <c r="K215" i="1" s="1"/>
  <c r="E216" i="1"/>
  <c r="K216" i="1" s="1"/>
  <c r="E217" i="1"/>
  <c r="K217" i="1" s="1"/>
  <c r="E218" i="1"/>
  <c r="E219" i="1"/>
  <c r="K219" i="1" s="1"/>
  <c r="E220" i="1"/>
  <c r="K220" i="1" s="1"/>
  <c r="E221" i="1"/>
  <c r="K221" i="1" s="1"/>
  <c r="E222" i="1"/>
  <c r="E223" i="1"/>
  <c r="K223" i="1" s="1"/>
  <c r="E224" i="1"/>
  <c r="K224" i="1" s="1"/>
  <c r="E225" i="1"/>
  <c r="K225" i="1" s="1"/>
  <c r="E226" i="1"/>
  <c r="E227" i="1"/>
  <c r="K227" i="1" s="1"/>
  <c r="E228" i="1"/>
  <c r="K228" i="1" s="1"/>
  <c r="E229" i="1"/>
  <c r="K229" i="1" s="1"/>
  <c r="E230" i="1"/>
  <c r="E231" i="1"/>
  <c r="K231" i="1" s="1"/>
  <c r="E232" i="1"/>
  <c r="K232" i="1" s="1"/>
  <c r="E233" i="1"/>
  <c r="K233" i="1" s="1"/>
  <c r="E234" i="1"/>
  <c r="E235" i="1"/>
  <c r="K235" i="1" s="1"/>
  <c r="E236" i="1"/>
  <c r="K236" i="1" s="1"/>
  <c r="E237" i="1"/>
  <c r="K237" i="1" s="1"/>
  <c r="E238" i="1"/>
  <c r="E239" i="1"/>
  <c r="K239" i="1" s="1"/>
  <c r="E240" i="1"/>
  <c r="K240" i="1" s="1"/>
  <c r="E241" i="1"/>
  <c r="K241" i="1" s="1"/>
  <c r="E242" i="1"/>
  <c r="E243" i="1"/>
  <c r="K243" i="1" s="1"/>
  <c r="E244" i="1"/>
  <c r="K244" i="1" s="1"/>
  <c r="E245" i="1"/>
  <c r="K245" i="1" s="1"/>
  <c r="E246" i="1"/>
  <c r="E247" i="1"/>
  <c r="K247" i="1" s="1"/>
  <c r="E248" i="1"/>
  <c r="K248" i="1" s="1"/>
  <c r="E249" i="1"/>
  <c r="K249" i="1" s="1"/>
  <c r="E250" i="1"/>
  <c r="E251" i="1"/>
  <c r="K251" i="1" s="1"/>
  <c r="E252" i="1"/>
  <c r="K252" i="1" s="1"/>
  <c r="E253" i="1"/>
  <c r="K253" i="1" s="1"/>
  <c r="E254" i="1"/>
  <c r="E255" i="1"/>
  <c r="K255" i="1" s="1"/>
  <c r="E256" i="1"/>
  <c r="K256" i="1" s="1"/>
  <c r="E257" i="1"/>
  <c r="K257" i="1" s="1"/>
  <c r="E258" i="1"/>
  <c r="E259" i="1"/>
  <c r="K259" i="1" s="1"/>
  <c r="E260" i="1"/>
  <c r="K260" i="1" s="1"/>
  <c r="E261" i="1"/>
  <c r="K261" i="1" s="1"/>
  <c r="E262" i="1"/>
  <c r="E263" i="1"/>
  <c r="K263" i="1" s="1"/>
  <c r="E264" i="1"/>
  <c r="K264" i="1" s="1"/>
  <c r="E265" i="1"/>
  <c r="K265" i="1" s="1"/>
  <c r="E266" i="1"/>
  <c r="E267" i="1"/>
  <c r="K267" i="1" s="1"/>
  <c r="E268" i="1"/>
  <c r="K268" i="1" s="1"/>
  <c r="E269" i="1"/>
  <c r="K269" i="1" s="1"/>
  <c r="E270" i="1"/>
  <c r="E271" i="1"/>
  <c r="K271" i="1" s="1"/>
  <c r="E272" i="1"/>
  <c r="K272" i="1" s="1"/>
  <c r="E273" i="1"/>
  <c r="K273" i="1" s="1"/>
  <c r="E274" i="1"/>
  <c r="E275" i="1"/>
  <c r="K275" i="1" s="1"/>
  <c r="E276" i="1"/>
  <c r="K276" i="1" s="1"/>
  <c r="E277" i="1"/>
  <c r="K277" i="1" s="1"/>
  <c r="E278" i="1"/>
  <c r="E279" i="1"/>
  <c r="K279" i="1" s="1"/>
  <c r="E280" i="1"/>
  <c r="K280" i="1" s="1"/>
  <c r="E281" i="1"/>
  <c r="K281" i="1" s="1"/>
  <c r="E282" i="1"/>
  <c r="E283" i="1"/>
  <c r="K283" i="1" s="1"/>
  <c r="E284" i="1"/>
  <c r="K284" i="1" s="1"/>
  <c r="E285" i="1"/>
  <c r="E286" i="1"/>
  <c r="E287" i="1"/>
  <c r="K287" i="1" s="1"/>
  <c r="E288" i="1"/>
  <c r="K288" i="1" s="1"/>
  <c r="E289" i="1"/>
  <c r="K289" i="1" s="1"/>
  <c r="E290" i="1"/>
  <c r="E291" i="1"/>
  <c r="K291" i="1" s="1"/>
  <c r="E292" i="1"/>
  <c r="K292" i="1" s="1"/>
  <c r="E293" i="1"/>
  <c r="K293" i="1" s="1"/>
  <c r="E294" i="1"/>
  <c r="E295" i="1"/>
  <c r="K295" i="1" s="1"/>
  <c r="E296" i="1"/>
  <c r="K296" i="1" s="1"/>
  <c r="E297" i="1"/>
  <c r="K297" i="1" s="1"/>
  <c r="E298" i="1"/>
  <c r="E299" i="1"/>
  <c r="K299" i="1" s="1"/>
  <c r="E300" i="1"/>
  <c r="K300" i="1" s="1"/>
  <c r="E301" i="1"/>
  <c r="K301" i="1" s="1"/>
  <c r="E302" i="1"/>
  <c r="E303" i="1"/>
  <c r="K303" i="1" s="1"/>
  <c r="E304" i="1"/>
  <c r="K304" i="1" s="1"/>
  <c r="E305" i="1"/>
  <c r="E306" i="1"/>
  <c r="E307" i="1"/>
  <c r="K307" i="1" s="1"/>
  <c r="E308" i="1"/>
  <c r="K308" i="1" s="1"/>
  <c r="E309" i="1"/>
  <c r="K309" i="1" s="1"/>
  <c r="E310" i="1"/>
  <c r="E311" i="1"/>
  <c r="K311" i="1" s="1"/>
  <c r="E312" i="1"/>
  <c r="K312" i="1" s="1"/>
  <c r="E313" i="1"/>
  <c r="K313" i="1" s="1"/>
  <c r="E314" i="1"/>
  <c r="E315" i="1"/>
  <c r="K315" i="1" s="1"/>
  <c r="E316" i="1"/>
  <c r="K316" i="1" s="1"/>
  <c r="E317" i="1"/>
  <c r="K317" i="1" s="1"/>
  <c r="E318" i="1"/>
  <c r="E319" i="1"/>
  <c r="K319" i="1" s="1"/>
  <c r="E320" i="1"/>
  <c r="K320" i="1" s="1"/>
  <c r="E321" i="1"/>
  <c r="K321" i="1" s="1"/>
  <c r="E322" i="1"/>
  <c r="E323" i="1"/>
  <c r="K323" i="1" s="1"/>
  <c r="E324" i="1"/>
  <c r="K324" i="1" s="1"/>
  <c r="E325" i="1"/>
  <c r="E326" i="1"/>
  <c r="E327" i="1"/>
  <c r="K327" i="1" s="1"/>
  <c r="E328" i="1"/>
  <c r="K328" i="1" s="1"/>
  <c r="E329" i="1"/>
  <c r="K329" i="1" s="1"/>
  <c r="E330" i="1"/>
  <c r="E331" i="1"/>
  <c r="K331" i="1" s="1"/>
  <c r="E332" i="1"/>
  <c r="K332" i="1" s="1"/>
  <c r="E333" i="1"/>
  <c r="K333" i="1" s="1"/>
  <c r="E334" i="1"/>
  <c r="E335" i="1"/>
  <c r="K335" i="1" s="1"/>
  <c r="E336" i="1"/>
  <c r="K336" i="1" s="1"/>
  <c r="E337" i="1"/>
  <c r="K337" i="1" s="1"/>
  <c r="E338" i="1"/>
  <c r="E339" i="1"/>
  <c r="K339" i="1" s="1"/>
  <c r="E340" i="1"/>
  <c r="K340" i="1" s="1"/>
  <c r="E341" i="1"/>
  <c r="K341" i="1" s="1"/>
  <c r="E342" i="1"/>
  <c r="E343" i="1"/>
  <c r="K343" i="1" s="1"/>
  <c r="E344" i="1"/>
  <c r="K344" i="1" s="1"/>
  <c r="E345" i="1"/>
  <c r="E346" i="1"/>
  <c r="E347" i="1"/>
  <c r="K347" i="1" s="1"/>
  <c r="E348" i="1"/>
  <c r="K348" i="1" s="1"/>
  <c r="E349" i="1"/>
  <c r="K349" i="1" s="1"/>
  <c r="E350" i="1"/>
  <c r="E351" i="1"/>
  <c r="K351" i="1" s="1"/>
  <c r="E352" i="1"/>
  <c r="K352" i="1" s="1"/>
  <c r="E353" i="1"/>
  <c r="E354" i="1"/>
  <c r="E355" i="1"/>
  <c r="K355" i="1" s="1"/>
  <c r="E356" i="1"/>
  <c r="K356" i="1" s="1"/>
  <c r="E357" i="1"/>
  <c r="K357" i="1" s="1"/>
  <c r="E358" i="1"/>
  <c r="E359" i="1"/>
  <c r="K359" i="1" s="1"/>
  <c r="E360" i="1"/>
  <c r="K360" i="1" s="1"/>
  <c r="E361" i="1"/>
  <c r="K361" i="1" s="1"/>
  <c r="E362" i="1"/>
  <c r="E2" i="1"/>
  <c r="K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2" i="1"/>
  <c r="D2" i="1" s="1"/>
  <c r="K350" i="1" l="1"/>
  <c r="K330" i="1"/>
  <c r="K310" i="1"/>
  <c r="K290" i="1"/>
  <c r="K270" i="1"/>
  <c r="K250" i="1"/>
  <c r="K230" i="1"/>
  <c r="K210" i="1"/>
  <c r="K190" i="1"/>
  <c r="K170" i="1"/>
  <c r="K150" i="1"/>
  <c r="K130" i="1"/>
  <c r="K110" i="1"/>
  <c r="K90" i="1"/>
  <c r="K70" i="1"/>
  <c r="K50" i="1"/>
  <c r="K30" i="1"/>
  <c r="K10" i="1"/>
  <c r="K286" i="1"/>
  <c r="K206" i="1"/>
  <c r="K166" i="1"/>
  <c r="K146" i="1"/>
  <c r="K126" i="1"/>
  <c r="K106" i="1"/>
  <c r="K86" i="1"/>
  <c r="K66" i="1"/>
  <c r="K46" i="1"/>
  <c r="K26" i="1"/>
  <c r="K6" i="1"/>
  <c r="K266" i="1"/>
  <c r="K186" i="1"/>
  <c r="K246" i="1"/>
  <c r="K226" i="1"/>
  <c r="K362" i="1"/>
  <c r="K342" i="1"/>
  <c r="K322" i="1"/>
  <c r="K302" i="1"/>
  <c r="K282" i="1"/>
  <c r="K262" i="1"/>
  <c r="K242" i="1"/>
  <c r="K222" i="1"/>
  <c r="K202" i="1"/>
  <c r="K182" i="1"/>
  <c r="K162" i="1"/>
  <c r="K142" i="1"/>
  <c r="K122" i="1"/>
  <c r="K102" i="1"/>
  <c r="K82" i="1"/>
  <c r="K62" i="1"/>
  <c r="K42" i="1"/>
  <c r="K22" i="1"/>
  <c r="K306" i="1"/>
  <c r="K346" i="1"/>
  <c r="K326" i="1"/>
  <c r="K358" i="1"/>
  <c r="K338" i="1"/>
  <c r="K318" i="1"/>
  <c r="K298" i="1"/>
  <c r="K278" i="1"/>
  <c r="K258" i="1"/>
  <c r="K238" i="1"/>
  <c r="K218" i="1"/>
  <c r="K198" i="1"/>
  <c r="K178" i="1"/>
  <c r="K158" i="1"/>
  <c r="K138" i="1"/>
  <c r="K118" i="1"/>
  <c r="K98" i="1"/>
  <c r="K78" i="1"/>
  <c r="K58" i="1"/>
  <c r="K38" i="1"/>
  <c r="K18" i="1"/>
  <c r="K354" i="1"/>
  <c r="K334" i="1"/>
  <c r="K314" i="1"/>
  <c r="K294" i="1"/>
  <c r="K274" i="1"/>
  <c r="K254" i="1"/>
  <c r="K234" i="1"/>
  <c r="K214" i="1"/>
  <c r="K194" i="1"/>
  <c r="K174" i="1"/>
  <c r="K154" i="1"/>
  <c r="K134" i="1"/>
  <c r="K114" i="1"/>
  <c r="K94" i="1"/>
  <c r="K74" i="1"/>
  <c r="K54" i="1"/>
  <c r="K34" i="1"/>
  <c r="K14" i="1"/>
  <c r="K353" i="1"/>
  <c r="K345" i="1"/>
  <c r="K325" i="1"/>
  <c r="K305" i="1"/>
  <c r="K285" i="1"/>
  <c r="R4" i="1"/>
  <c r="S4" i="1"/>
  <c r="U4" i="1"/>
  <c r="T4" i="1"/>
  <c r="S2" i="1"/>
  <c r="R2" i="1"/>
  <c r="U2" i="1"/>
  <c r="T2" i="1"/>
  <c r="R3" i="1"/>
  <c r="U3" i="1"/>
  <c r="T3" i="1"/>
  <c r="S3" i="1"/>
  <c r="R7" i="1" l="1"/>
  <c r="R6" i="1"/>
  <c r="S6" i="1"/>
  <c r="T6" i="1"/>
  <c r="U6" i="1"/>
</calcChain>
</file>

<file path=xl/sharedStrings.xml><?xml version="1.0" encoding="utf-8"?>
<sst xmlns="http://schemas.openxmlformats.org/spreadsheetml/2006/main" count="58" uniqueCount="17">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</sst>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2"/>
  <sheetViews>
    <sheetView tabSelected="1" workbookViewId="0">
      <selection activeCell="I1" sqref="I1:J1048576"/>
    </sheetView>
  </sheetViews>
  <sheetFormatPr defaultRowHeight="15" x14ac:dyDescent="0.25"/>
  <cols>
    <col min="6" max="6" width="13.140625" bestFit="1" customWidth="1"/>
    <col min="18" max="18" width="12" bestFit="1" customWidth="1"/>
  </cols>
  <sheetData>
    <row r="1" spans="1:21" x14ac:dyDescent="0.25"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21" x14ac:dyDescent="0.25">
      <c r="A2">
        <f>AVERAGE('R1'!F2,'R2'!F2,'R3'!F2)</f>
        <v>8.1237833333333329E-2</v>
      </c>
      <c r="B2">
        <f>AVERAGE('R1'!G2,'R2'!G2,'R3'!G2)</f>
        <v>18.261624416666667</v>
      </c>
      <c r="C2">
        <f>-'R1'!H2</f>
        <v>36</v>
      </c>
      <c r="D2">
        <f>DEGREES(ATAN(-SIN(RADIANS(('R1'!I2)))/(COS(RADIANS(Sheet1!C2))*COS(RADIANS('R1'!I2)))))</f>
        <v>41.925613925819086</v>
      </c>
      <c r="E2">
        <f>AVERAGE('R1'!J2,'R2'!J2,'R3'!J2)</f>
        <v>1.1675</v>
      </c>
      <c r="F2">
        <f>AVERAGE('R1'!K2,'R2'!K2,'R3'!K2)</f>
        <v>5.5785044166666671</v>
      </c>
      <c r="G2">
        <f>AVERAGE('R1'!L2,'R2'!L2,'R3'!L2)</f>
        <v>1.8542935864930421</v>
      </c>
      <c r="H2">
        <f>AVERAGE('R1'!M2,'R2'!M2,'R3'!M2)</f>
        <v>-2.1559967808451224</v>
      </c>
      <c r="I2">
        <f>AVERAGE('R1'!N2,'R2'!N2,'R3'!N2)</f>
        <v>-1.5055347924936091</v>
      </c>
      <c r="J2">
        <f>AVERAGE('R1'!O2,'R2'!O2,'R3'!O2)</f>
        <v>-1.141970564795342</v>
      </c>
      <c r="K2">
        <f>10^5*E2*F2*0.003/1.8</f>
        <v>1085.4839844097223</v>
      </c>
      <c r="M2">
        <f>_xlfn.STDEV.S('R1'!L2,'R2'!L2,'R3'!L2)</f>
        <v>7.825298828584893E-3</v>
      </c>
      <c r="N2">
        <f>_xlfn.STDEV.S('R1'!M2,'R2'!M2,'R3'!M2)</f>
        <v>1.3855703169198165E-2</v>
      </c>
      <c r="O2">
        <f>_xlfn.STDEV.S('R1'!N2,'R2'!N2,'R3'!N2)</f>
        <v>2.2538356782010525E-2</v>
      </c>
      <c r="P2">
        <f>_xlfn.STDEV.S('R1'!O2,'R2'!O2,'R3'!O2)</f>
        <v>2.8853764412215435E-3</v>
      </c>
      <c r="R2">
        <f>MAX(M:M)</f>
        <v>4.0517269014505704E-2</v>
      </c>
      <c r="S2">
        <f t="shared" ref="S2:U2" si="0">MAX(N:N)</f>
        <v>3.2475855972491301E-2</v>
      </c>
      <c r="T2">
        <f t="shared" si="0"/>
        <v>4.9942050704809594E-2</v>
      </c>
      <c r="U2">
        <f t="shared" si="0"/>
        <v>2.5343396522664294E-2</v>
      </c>
    </row>
    <row r="3" spans="1:21" x14ac:dyDescent="0.25">
      <c r="A3">
        <f>AVERAGE('R1'!F3,'R2'!F3,'R3'!F3)</f>
        <v>8.1237833333333329E-2</v>
      </c>
      <c r="B3">
        <f>AVERAGE('R1'!G3,'R2'!G3,'R3'!G3)</f>
        <v>18.540432083333332</v>
      </c>
      <c r="C3">
        <f>-'R1'!H3</f>
        <v>36</v>
      </c>
      <c r="D3">
        <f>DEGREES(ATAN(-SIN(RADIANS(('R1'!I3)))/(COS(RADIANS(Sheet1!C3))*COS(RADIANS('R1'!I3)))))</f>
        <v>37.681815805789164</v>
      </c>
      <c r="E3">
        <f>AVERAGE('R1'!J3,'R2'!J3,'R3'!J3)</f>
        <v>1.1675</v>
      </c>
      <c r="F3">
        <f>AVERAGE('R1'!K3,'R2'!K3,'R3'!K3)</f>
        <v>5.6212262499999994</v>
      </c>
      <c r="G3">
        <f>AVERAGE('R1'!L3,'R2'!L3,'R3'!L3)</f>
        <v>1.7179256630906243</v>
      </c>
      <c r="H3">
        <f>AVERAGE('R1'!M3,'R2'!M3,'R3'!M3)</f>
        <v>-2.1436985016037355</v>
      </c>
      <c r="I3">
        <f>AVERAGE('R1'!N3,'R2'!N3,'R3'!N3)</f>
        <v>-1.3960239148009699</v>
      </c>
      <c r="J3">
        <f>AVERAGE('R1'!O3,'R2'!O3,'R3'!O3)</f>
        <v>-1.0235795628172106</v>
      </c>
      <c r="K3">
        <f t="shared" ref="K3:K66" si="1">10^5*E3*F3*0.003/1.8</f>
        <v>1093.7969411458332</v>
      </c>
      <c r="M3">
        <f>_xlfn.STDEV.S('R1'!L3,'R2'!L3,'R3'!L3)</f>
        <v>7.4070217429512584E-3</v>
      </c>
      <c r="N3">
        <f>_xlfn.STDEV.S('R1'!M3,'R2'!M3,'R3'!M3)</f>
        <v>3.8764245617534912E-3</v>
      </c>
      <c r="O3">
        <f>_xlfn.STDEV.S('R1'!N3,'R2'!N3,'R3'!N3)</f>
        <v>1.7643530501751492E-2</v>
      </c>
      <c r="P3">
        <f>_xlfn.STDEV.S('R1'!O3,'R2'!O3,'R3'!O3)</f>
        <v>4.6616479649526843E-3</v>
      </c>
      <c r="R3">
        <f>MIN(M:M)</f>
        <v>3.072824024722976E-4</v>
      </c>
      <c r="S3">
        <f t="shared" ref="S3:U3" si="2">MIN(N:N)</f>
        <v>5.4957974770105853E-4</v>
      </c>
      <c r="T3">
        <f t="shared" si="2"/>
        <v>3.8196944504029946E-3</v>
      </c>
      <c r="U3">
        <f t="shared" si="2"/>
        <v>7.2860230362982339E-4</v>
      </c>
    </row>
    <row r="4" spans="1:21" x14ac:dyDescent="0.25">
      <c r="A4">
        <f>AVERAGE('R1'!F4,'R2'!F4,'R3'!F4)</f>
        <v>9.7479999999999997E-2</v>
      </c>
      <c r="B4">
        <f>AVERAGE('R1'!G4,'R2'!G4,'R3'!G4)</f>
        <v>18.915315249999999</v>
      </c>
      <c r="C4">
        <f>-'R1'!H4</f>
        <v>36</v>
      </c>
      <c r="D4">
        <f>DEGREES(ATAN(-SIN(RADIANS(('R1'!I4)))/(COS(RADIANS(Sheet1!C4))*COS(RADIANS('R1'!I4)))))</f>
        <v>33.314077817276932</v>
      </c>
      <c r="E4">
        <f>AVERAGE('R1'!J4,'R2'!J4,'R3'!J4)</f>
        <v>1.1691666666666667</v>
      </c>
      <c r="F4">
        <f>AVERAGE('R1'!K4,'R2'!K4,'R3'!K4)</f>
        <v>5.6709800833333333</v>
      </c>
      <c r="G4">
        <f>AVERAGE('R1'!L4,'R2'!L4,'R3'!L4)</f>
        <v>1.5712139020650218</v>
      </c>
      <c r="H4">
        <f>AVERAGE('R1'!M4,'R2'!M4,'R3'!M4)</f>
        <v>-2.1548202581328346</v>
      </c>
      <c r="I4">
        <f>AVERAGE('R1'!N4,'R2'!N4,'R3'!N4)</f>
        <v>-1.2981895630372045</v>
      </c>
      <c r="J4">
        <f>AVERAGE('R1'!O4,'R2'!O4,'R3'!O4)</f>
        <v>-0.90795633710569701</v>
      </c>
      <c r="K4">
        <f t="shared" si="1"/>
        <v>1105.0534801273147</v>
      </c>
      <c r="M4">
        <f>_xlfn.STDEV.S('R1'!L4,'R2'!L4,'R3'!L4)</f>
        <v>1.0983198844686851E-2</v>
      </c>
      <c r="N4">
        <f>_xlfn.STDEV.S('R1'!M4,'R2'!M4,'R3'!M4)</f>
        <v>9.2719608631271679E-3</v>
      </c>
      <c r="O4">
        <f>_xlfn.STDEV.S('R1'!N4,'R2'!N4,'R3'!N4)</f>
        <v>1.8776566909297982E-2</v>
      </c>
      <c r="P4">
        <f>_xlfn.STDEV.S('R1'!O4,'R2'!O4,'R3'!O4)</f>
        <v>2.5894026297452986E-3</v>
      </c>
      <c r="R4">
        <f>AVERAGE(M:M)</f>
        <v>9.755521296617763E-3</v>
      </c>
      <c r="S4">
        <f t="shared" ref="S4:U4" si="3">AVERAGE(N:N)</f>
        <v>9.8623926862803617E-3</v>
      </c>
      <c r="T4">
        <f t="shared" si="3"/>
        <v>1.7804474779716147E-2</v>
      </c>
      <c r="U4">
        <f t="shared" si="3"/>
        <v>7.2335556491618007E-3</v>
      </c>
    </row>
    <row r="5" spans="1:21" x14ac:dyDescent="0.25">
      <c r="A5">
        <f>AVERAGE('R1'!F5,'R2'!F5,'R3'!F5)</f>
        <v>9.7479999999999997E-2</v>
      </c>
      <c r="B5">
        <f>AVERAGE('R1'!G5,'R2'!G5,'R3'!G5)</f>
        <v>19.261786333333333</v>
      </c>
      <c r="C5">
        <f>-'R1'!H5</f>
        <v>36</v>
      </c>
      <c r="D5">
        <f>DEGREES(ATAN(-SIN(RADIANS(('R1'!I5)))/(COS(RADIANS(Sheet1!C5))*COS(RADIANS('R1'!I5)))))</f>
        <v>28.825436554649738</v>
      </c>
      <c r="E5">
        <f>AVERAGE('R1'!J5,'R2'!J5,'R3'!J5)</f>
        <v>1.1683333333333332</v>
      </c>
      <c r="F5">
        <f>AVERAGE('R1'!K5,'R2'!K5,'R3'!K5)</f>
        <v>5.7250488333333331</v>
      </c>
      <c r="G5">
        <f>AVERAGE('R1'!L5,'R2'!L5,'R3'!L5)</f>
        <v>1.4197912270348532</v>
      </c>
      <c r="H5">
        <f>AVERAGE('R1'!M5,'R2'!M5,'R3'!M5)</f>
        <v>-2.2050502464641286</v>
      </c>
      <c r="I5">
        <f>AVERAGE('R1'!N5,'R2'!N5,'R3'!N5)</f>
        <v>-1.248970847754159</v>
      </c>
      <c r="J5">
        <f>AVERAGE('R1'!O5,'R2'!O5,'R3'!O5)</f>
        <v>-0.80890104362642357</v>
      </c>
      <c r="K5">
        <f t="shared" si="1"/>
        <v>1114.7942311574072</v>
      </c>
      <c r="M5">
        <f>_xlfn.STDEV.S('R1'!L5,'R2'!L5,'R3'!L5)</f>
        <v>9.9412860613237661E-3</v>
      </c>
      <c r="N5">
        <f>_xlfn.STDEV.S('R1'!M5,'R2'!M5,'R3'!M5)</f>
        <v>1.1782693812688743E-2</v>
      </c>
      <c r="O5">
        <f>_xlfn.STDEV.S('R1'!N5,'R2'!N5,'R3'!N5)</f>
        <v>2.112302909511337E-2</v>
      </c>
      <c r="P5">
        <f>_xlfn.STDEV.S('R1'!O5,'R2'!O5,'R3'!O5)</f>
        <v>3.6354653198694595E-3</v>
      </c>
    </row>
    <row r="6" spans="1:21" x14ac:dyDescent="0.25">
      <c r="A6">
        <f>AVERAGE('R1'!F6,'R2'!F6,'R3'!F6)</f>
        <v>9.7479999999999997E-2</v>
      </c>
      <c r="B6">
        <f>AVERAGE('R1'!G6,'R2'!G6,'R3'!G6)</f>
        <v>19.581943583333334</v>
      </c>
      <c r="C6">
        <f>-'R1'!H6</f>
        <v>36</v>
      </c>
      <c r="D6">
        <f>DEGREES(ATAN(-SIN(RADIANS(('R1'!I6)))/(COS(RADIANS(Sheet1!C6))*COS(RADIANS('R1'!I6)))))</f>
        <v>24.22259689172926</v>
      </c>
      <c r="E6">
        <f>AVERAGE('R1'!J6,'R2'!J6,'R3'!J6)</f>
        <v>1.17</v>
      </c>
      <c r="F6">
        <f>AVERAGE('R1'!K6,'R2'!K6,'R3'!K6)</f>
        <v>5.7683980833333335</v>
      </c>
      <c r="G6">
        <f>AVERAGE('R1'!L6,'R2'!L6,'R3'!L6)</f>
        <v>1.2407671050388718</v>
      </c>
      <c r="H6">
        <f>AVERAGE('R1'!M6,'R2'!M6,'R3'!M6)</f>
        <v>-2.2817157780353807</v>
      </c>
      <c r="I6">
        <f>AVERAGE('R1'!N6,'R2'!N6,'R3'!N6)</f>
        <v>-1.2151575823446856</v>
      </c>
      <c r="J6">
        <f>AVERAGE('R1'!O6,'R2'!O6,'R3'!O6)</f>
        <v>-0.7117945516773232</v>
      </c>
      <c r="K6">
        <f t="shared" si="1"/>
        <v>1124.8376262499999</v>
      </c>
      <c r="M6">
        <f>_xlfn.STDEV.S('R1'!L6,'R2'!L6,'R3'!L6)</f>
        <v>1.6722288273103088E-3</v>
      </c>
      <c r="N6">
        <f>_xlfn.STDEV.S('R1'!M6,'R2'!M6,'R3'!M6)</f>
        <v>1.5226182640389047E-2</v>
      </c>
      <c r="O6">
        <f>_xlfn.STDEV.S('R1'!N6,'R2'!N6,'R3'!N6)</f>
        <v>2.055744207909262E-2</v>
      </c>
      <c r="P6">
        <f>_xlfn.STDEV.S('R1'!O6,'R2'!O6,'R3'!O6)</f>
        <v>6.1979528991535299E-3</v>
      </c>
      <c r="R6">
        <f>AVERAGE(R2:R4)</f>
        <v>1.6860024237865253E-2</v>
      </c>
      <c r="S6">
        <f t="shared" ref="S6:U6" si="4">AVERAGE(S2:S4)</f>
        <v>1.4295942802157574E-2</v>
      </c>
      <c r="T6">
        <f t="shared" si="4"/>
        <v>2.3855406644976245E-2</v>
      </c>
      <c r="U6">
        <f t="shared" si="4"/>
        <v>1.1101851491818639E-2</v>
      </c>
    </row>
    <row r="7" spans="1:21" x14ac:dyDescent="0.25">
      <c r="A7">
        <f>AVERAGE('R1'!F7,'R2'!F7,'R3'!F7)</f>
        <v>6.5034666666666671E-2</v>
      </c>
      <c r="B7">
        <f>AVERAGE('R1'!G7,'R2'!G7,'R3'!G7)</f>
        <v>19.915784416666668</v>
      </c>
      <c r="C7">
        <f>-'R1'!H7</f>
        <v>36</v>
      </c>
      <c r="D7">
        <f>DEGREES(ATAN(-SIN(RADIANS(('R1'!I7)))/(COS(RADIANS(Sheet1!C7))*COS(RADIANS('R1'!I7)))))</f>
        <v>19.516199251096932</v>
      </c>
      <c r="E7">
        <f>AVERAGE('R1'!J7,'R2'!J7,'R3'!J7)</f>
        <v>1.1683333333333332</v>
      </c>
      <c r="F7">
        <f>AVERAGE('R1'!K7,'R2'!K7,'R3'!K7)</f>
        <v>5.8268138333333335</v>
      </c>
      <c r="G7">
        <f>AVERAGE('R1'!L7,'R2'!L7,'R3'!L7)</f>
        <v>1.025415876298065</v>
      </c>
      <c r="H7">
        <f>AVERAGE('R1'!M7,'R2'!M7,'R3'!M7)</f>
        <v>-2.3893501553766359</v>
      </c>
      <c r="I7">
        <f>AVERAGE('R1'!N7,'R2'!N7,'R3'!N7)</f>
        <v>-1.1989106146734663</v>
      </c>
      <c r="J7">
        <f>AVERAGE('R1'!O7,'R2'!O7,'R3'!O7)</f>
        <v>-0.61946196099744399</v>
      </c>
      <c r="K7">
        <f t="shared" si="1"/>
        <v>1134.610138101852</v>
      </c>
      <c r="M7">
        <f>_xlfn.STDEV.S('R1'!L7,'R2'!L7,'R3'!L7)</f>
        <v>8.139137212211163E-3</v>
      </c>
      <c r="N7">
        <f>_xlfn.STDEV.S('R1'!M7,'R2'!M7,'R3'!M7)</f>
        <v>1.0211712841975524E-2</v>
      </c>
      <c r="O7">
        <f>_xlfn.STDEV.S('R1'!N7,'R2'!N7,'R3'!N7)</f>
        <v>1.8929125406497185E-2</v>
      </c>
      <c r="P7">
        <f>_xlfn.STDEV.S('R1'!O7,'R2'!O7,'R3'!O7)</f>
        <v>6.5419108637983668E-3</v>
      </c>
      <c r="R7">
        <f>AVERAGE(K:K)</f>
        <v>1128.1966989707412</v>
      </c>
    </row>
    <row r="8" spans="1:21" x14ac:dyDescent="0.25">
      <c r="A8">
        <f>AVERAGE('R1'!F8,'R2'!F8,'R3'!F8)</f>
        <v>8.1237833333333329E-2</v>
      </c>
      <c r="B8">
        <f>AVERAGE('R1'!G8,'R2'!G8,'R3'!G8)</f>
        <v>20.26258975</v>
      </c>
      <c r="C8">
        <f>-'R1'!H8</f>
        <v>36</v>
      </c>
      <c r="D8">
        <f>DEGREES(ATAN(-SIN(RADIANS(('R1'!I8)))/(COS(RADIANS(Sheet1!C8))*COS(RADIANS('R1'!I8)))))</f>
        <v>14.720865361542916</v>
      </c>
      <c r="E8">
        <f>AVERAGE('R1'!J8,'R2'!J8,'R3'!J8)</f>
        <v>1.1683333333333332</v>
      </c>
      <c r="F8">
        <f>AVERAGE('R1'!K8,'R2'!K8,'R3'!K8)</f>
        <v>5.8753083333333338</v>
      </c>
      <c r="G8">
        <f>AVERAGE('R1'!L8,'R2'!L8,'R3'!L8)</f>
        <v>0.78140542960330794</v>
      </c>
      <c r="H8">
        <f>AVERAGE('R1'!M8,'R2'!M8,'R3'!M8)</f>
        <v>-2.5320600768130461</v>
      </c>
      <c r="I8">
        <f>AVERAGE('R1'!N8,'R2'!N8,'R3'!N8)</f>
        <v>-1.227234754276022</v>
      </c>
      <c r="J8">
        <f>AVERAGE('R1'!O8,'R2'!O8,'R3'!O8)</f>
        <v>-0.53560032832844795</v>
      </c>
      <c r="K8">
        <f t="shared" si="1"/>
        <v>1144.0530949074075</v>
      </c>
      <c r="M8">
        <f>_xlfn.STDEV.S('R1'!L8,'R2'!L8,'R3'!L8)</f>
        <v>1.2348981441095737E-2</v>
      </c>
      <c r="N8">
        <f>_xlfn.STDEV.S('R1'!M8,'R2'!M8,'R3'!M8)</f>
        <v>1.9145284986468312E-2</v>
      </c>
      <c r="O8">
        <f>_xlfn.STDEV.S('R1'!N8,'R2'!N8,'R3'!N8)</f>
        <v>1.8078048201587558E-2</v>
      </c>
      <c r="P8">
        <f>_xlfn.STDEV.S('R1'!O8,'R2'!O8,'R3'!O8)</f>
        <v>9.9524747815523569E-3</v>
      </c>
    </row>
    <row r="9" spans="1:21" x14ac:dyDescent="0.25">
      <c r="A9">
        <f>AVERAGE('R1'!F9,'R2'!F9,'R3'!F9)</f>
        <v>9.7479999999999997E-2</v>
      </c>
      <c r="B9">
        <f>AVERAGE('R1'!G9,'R2'!G9,'R3'!G9)</f>
        <v>20.543112333333333</v>
      </c>
      <c r="C9">
        <f>-'R1'!H9</f>
        <v>36</v>
      </c>
      <c r="D9">
        <f>DEGREES(ATAN(-SIN(RADIANS(('R1'!I9)))/(COS(RADIANS(Sheet1!C9))*COS(RADIANS('R1'!I9)))))</f>
        <v>9.8549609037615156</v>
      </c>
      <c r="E9">
        <f>AVERAGE('R1'!J9,'R2'!J9,'R3'!J9)</f>
        <v>1.1691666666666667</v>
      </c>
      <c r="F9">
        <f>AVERAGE('R1'!K9,'R2'!K9,'R3'!K9)</f>
        <v>5.9113858333333331</v>
      </c>
      <c r="G9">
        <f>AVERAGE('R1'!L9,'R2'!L9,'R3'!L9)</f>
        <v>0.49595079616374455</v>
      </c>
      <c r="H9">
        <f>AVERAGE('R1'!M9,'R2'!M9,'R3'!M9)</f>
        <v>-2.7088923811741967</v>
      </c>
      <c r="I9">
        <f>AVERAGE('R1'!N9,'R2'!N9,'R3'!N9)</f>
        <v>-1.2673467712704409</v>
      </c>
      <c r="J9">
        <f>AVERAGE('R1'!O9,'R2'!O9,'R3'!O9)</f>
        <v>-0.45125698018275262</v>
      </c>
      <c r="K9">
        <f t="shared" si="1"/>
        <v>1151.899211689815</v>
      </c>
      <c r="M9">
        <f>_xlfn.STDEV.S('R1'!L9,'R2'!L9,'R3'!L9)</f>
        <v>1.0272376053639849E-3</v>
      </c>
      <c r="N9">
        <f>_xlfn.STDEV.S('R1'!M9,'R2'!M9,'R3'!M9)</f>
        <v>1.0125317409717553E-2</v>
      </c>
      <c r="O9">
        <f>_xlfn.STDEV.S('R1'!N9,'R2'!N9,'R3'!N9)</f>
        <v>1.7577795414657895E-2</v>
      </c>
      <c r="P9">
        <f>_xlfn.STDEV.S('R1'!O9,'R2'!O9,'R3'!O9)</f>
        <v>1.6009839307796017E-3</v>
      </c>
    </row>
    <row r="10" spans="1:21" x14ac:dyDescent="0.25">
      <c r="A10">
        <f>AVERAGE('R1'!F10,'R2'!F10,'R3'!F10)</f>
        <v>9.7479999999999997E-2</v>
      </c>
      <c r="B10">
        <f>AVERAGE('R1'!G10,'R2'!G10,'R3'!G10)</f>
        <v>20.849902833333331</v>
      </c>
      <c r="C10">
        <f>-'R1'!H10</f>
        <v>36</v>
      </c>
      <c r="D10">
        <f>DEGREES(ATAN(-SIN(RADIANS(('R1'!I10)))/(COS(RADIANS(Sheet1!C10))*COS(RADIANS('R1'!I10)))))</f>
        <v>4.940042441862353</v>
      </c>
      <c r="E10">
        <f>AVERAGE('R1'!J10,'R2'!J10,'R3'!J10)</f>
        <v>1.17</v>
      </c>
      <c r="F10">
        <f>AVERAGE('R1'!K10,'R2'!K10,'R3'!K10)</f>
        <v>5.95322525</v>
      </c>
      <c r="G10">
        <f>AVERAGE('R1'!L10,'R2'!L10,'R3'!L10)</f>
        <v>0.17662815760755582</v>
      </c>
      <c r="H10">
        <f>AVERAGE('R1'!M10,'R2'!M10,'R3'!M10)</f>
        <v>-2.8961107750515063</v>
      </c>
      <c r="I10">
        <f>AVERAGE('R1'!N10,'R2'!N10,'R3'!N10)</f>
        <v>-1.3237070893634229</v>
      </c>
      <c r="J10">
        <f>AVERAGE('R1'!O10,'R2'!O10,'R3'!O10)</f>
        <v>-0.3810571871058232</v>
      </c>
      <c r="K10">
        <f t="shared" si="1"/>
        <v>1160.8789237499998</v>
      </c>
      <c r="M10">
        <f>_xlfn.STDEV.S('R1'!L10,'R2'!L10,'R3'!L10)</f>
        <v>1.5391839480197287E-2</v>
      </c>
      <c r="N10">
        <f>_xlfn.STDEV.S('R1'!M10,'R2'!M10,'R3'!M10)</f>
        <v>1.5210763351177442E-2</v>
      </c>
      <c r="O10">
        <f>_xlfn.STDEV.S('R1'!N10,'R2'!N10,'R3'!N10)</f>
        <v>2.6692694785274647E-2</v>
      </c>
      <c r="P10">
        <f>_xlfn.STDEV.S('R1'!O10,'R2'!O10,'R3'!O10)</f>
        <v>2.2823367892319557E-3</v>
      </c>
    </row>
    <row r="11" spans="1:21" x14ac:dyDescent="0.25">
      <c r="A11">
        <f>AVERAGE('R1'!F11,'R2'!F11,'R3'!F11)</f>
        <v>0.11372216666666667</v>
      </c>
      <c r="B11">
        <f>AVERAGE('R1'!G11,'R2'!G11,'R3'!G11)</f>
        <v>21.076311916666668</v>
      </c>
      <c r="C11">
        <f>-'R1'!H11</f>
        <v>36</v>
      </c>
      <c r="D11">
        <f>DEGREES(ATAN(-SIN(RADIANS(('R1'!I11)))/(COS(RADIANS(Sheet1!C11))*COS(RADIANS('R1'!I11)))))</f>
        <v>0</v>
      </c>
      <c r="E11">
        <f>AVERAGE('R1'!J11,'R2'!J11,'R3'!J11)</f>
        <v>1.1675</v>
      </c>
      <c r="F11">
        <f>AVERAGE('R1'!K11,'R2'!K11,'R3'!K11)</f>
        <v>5.9900467500000003</v>
      </c>
      <c r="G11">
        <f>AVERAGE('R1'!L11,'R2'!L11,'R3'!L11)</f>
        <v>-0.18978178273565813</v>
      </c>
      <c r="H11">
        <f>AVERAGE('R1'!M11,'R2'!M11,'R3'!M11)</f>
        <v>-2.8572857838392167</v>
      </c>
      <c r="I11">
        <f>AVERAGE('R1'!N11,'R2'!N11,'R3'!N11)</f>
        <v>-1.2966272332024769</v>
      </c>
      <c r="J11">
        <f>AVERAGE('R1'!O11,'R2'!O11,'R3'!O11)</f>
        <v>-0.36687393799111517</v>
      </c>
      <c r="K11">
        <f t="shared" si="1"/>
        <v>1165.5632634374999</v>
      </c>
      <c r="M11">
        <f>_xlfn.STDEV.S('R1'!L11,'R2'!L11,'R3'!L11)</f>
        <v>1.1138835861028058E-2</v>
      </c>
      <c r="N11">
        <f>_xlfn.STDEV.S('R1'!M11,'R2'!M11,'R3'!M11)</f>
        <v>1.8503461438852765E-2</v>
      </c>
      <c r="O11">
        <f>_xlfn.STDEV.S('R1'!N11,'R2'!N11,'R3'!N11)</f>
        <v>2.6053425905596703E-2</v>
      </c>
      <c r="P11">
        <f>_xlfn.STDEV.S('R1'!O11,'R2'!O11,'R3'!O11)</f>
        <v>3.158806488704671E-3</v>
      </c>
    </row>
    <row r="12" spans="1:21" x14ac:dyDescent="0.25">
      <c r="A12">
        <f>AVERAGE('R1'!F12,'R2'!F12,'R3'!F12)</f>
        <v>0.12996433333333332</v>
      </c>
      <c r="B12">
        <f>AVERAGE('R1'!G12,'R2'!G12,'R3'!G12)</f>
        <v>20.996628583333333</v>
      </c>
      <c r="C12">
        <f>-'R1'!H12</f>
        <v>36</v>
      </c>
      <c r="D12">
        <f>DEGREES(ATAN(-SIN(RADIANS(('R1'!I12)))/(COS(RADIANS(Sheet1!C12))*COS(RADIANS('R1'!I12)))))</f>
        <v>-4.940042441862353</v>
      </c>
      <c r="E12">
        <f>AVERAGE('R1'!J12,'R2'!J12,'R3'!J12)</f>
        <v>1.1683333333333332</v>
      </c>
      <c r="F12">
        <f>AVERAGE('R1'!K12,'R2'!K12,'R3'!K12)</f>
        <v>5.9727204166666672</v>
      </c>
      <c r="G12">
        <f>AVERAGE('R1'!L12,'R2'!L12,'R3'!L12)</f>
        <v>-0.52568158299702039</v>
      </c>
      <c r="H12">
        <f>AVERAGE('R1'!M12,'R2'!M12,'R3'!M12)</f>
        <v>-2.5929384057994187</v>
      </c>
      <c r="I12">
        <f>AVERAGE('R1'!N12,'R2'!N12,'R3'!N12)</f>
        <v>-1.1785766322294917</v>
      </c>
      <c r="J12">
        <f>AVERAGE('R1'!O12,'R2'!O12,'R3'!O12)</f>
        <v>-0.42825836720013544</v>
      </c>
      <c r="K12">
        <f t="shared" si="1"/>
        <v>1163.0213922453706</v>
      </c>
      <c r="M12">
        <f>_xlfn.STDEV.S('R1'!L12,'R2'!L12,'R3'!L12)</f>
        <v>1.6996186030461494E-2</v>
      </c>
      <c r="N12">
        <f>_xlfn.STDEV.S('R1'!M12,'R2'!M12,'R3'!M12)</f>
        <v>9.8216035080190989E-3</v>
      </c>
      <c r="O12">
        <f>_xlfn.STDEV.S('R1'!N12,'R2'!N12,'R3'!N12)</f>
        <v>7.3438653046070364E-3</v>
      </c>
      <c r="P12">
        <f>_xlfn.STDEV.S('R1'!O12,'R2'!O12,'R3'!O12)</f>
        <v>3.9408996042414358E-3</v>
      </c>
    </row>
    <row r="13" spans="1:21" x14ac:dyDescent="0.25">
      <c r="A13">
        <f>AVERAGE('R1'!F13,'R2'!F13,'R3'!F13)</f>
        <v>8.1237833333333329E-2</v>
      </c>
      <c r="B13">
        <f>AVERAGE('R1'!G13,'R2'!G13,'R3'!G13)</f>
        <v>20.315180833333333</v>
      </c>
      <c r="C13">
        <f>-'R1'!H13</f>
        <v>36</v>
      </c>
      <c r="D13">
        <f>DEGREES(ATAN(-SIN(RADIANS(('R1'!I13)))/(COS(RADIANS(Sheet1!C13))*COS(RADIANS('R1'!I13)))))</f>
        <v>-9.8549609037615156</v>
      </c>
      <c r="E13">
        <f>AVERAGE('R1'!J13,'R2'!J13,'R3'!J13)</f>
        <v>1.1675</v>
      </c>
      <c r="F13">
        <f>AVERAGE('R1'!K13,'R2'!K13,'R3'!K13)</f>
        <v>5.8844149999999997</v>
      </c>
      <c r="G13">
        <f>AVERAGE('R1'!L13,'R2'!L13,'R3'!L13)</f>
        <v>-0.79173087925331542</v>
      </c>
      <c r="H13">
        <f>AVERAGE('R1'!M13,'R2'!M13,'R3'!M13)</f>
        <v>-2.4052648690586662</v>
      </c>
      <c r="I13">
        <f>AVERAGE('R1'!N13,'R2'!N13,'R3'!N13)</f>
        <v>-1.1213582410278231</v>
      </c>
      <c r="J13">
        <f>AVERAGE('R1'!O13,'R2'!O13,'R3'!O13)</f>
        <v>-0.4821600337150011</v>
      </c>
      <c r="K13">
        <f t="shared" si="1"/>
        <v>1145.0090854166665</v>
      </c>
      <c r="M13">
        <f>_xlfn.STDEV.S('R1'!L13,'R2'!L13,'R3'!L13)</f>
        <v>1.6524753378348377E-2</v>
      </c>
      <c r="N13">
        <f>_xlfn.STDEV.S('R1'!M13,'R2'!M13,'R3'!M13)</f>
        <v>7.3651863780465135E-3</v>
      </c>
      <c r="O13">
        <f>_xlfn.STDEV.S('R1'!N13,'R2'!N13,'R3'!N13)</f>
        <v>1.7208690350128043E-2</v>
      </c>
      <c r="P13">
        <f>_xlfn.STDEV.S('R1'!O13,'R2'!O13,'R3'!O13)</f>
        <v>6.7571925015527754E-3</v>
      </c>
    </row>
    <row r="14" spans="1:21" x14ac:dyDescent="0.25">
      <c r="A14">
        <f>AVERAGE('R1'!F14,'R2'!F14,'R3'!F14)</f>
        <v>9.7518999999999981E-2</v>
      </c>
      <c r="B14">
        <f>AVERAGE('R1'!G14,'R2'!G14,'R3'!G14)</f>
        <v>19.769027083333331</v>
      </c>
      <c r="C14">
        <f>-'R1'!H14</f>
        <v>36</v>
      </c>
      <c r="D14">
        <f>DEGREES(ATAN(-SIN(RADIANS(('R1'!I14)))/(COS(RADIANS(Sheet1!C14))*COS(RADIANS('R1'!I14)))))</f>
        <v>-14.720865361542916</v>
      </c>
      <c r="E14">
        <f>AVERAGE('R1'!J14,'R2'!J14,'R3'!J14)</f>
        <v>1.1666666666666667</v>
      </c>
      <c r="F14">
        <f>AVERAGE('R1'!K14,'R2'!K14,'R3'!K14)</f>
        <v>5.804198583333334</v>
      </c>
      <c r="G14">
        <f>AVERAGE('R1'!L14,'R2'!L14,'R3'!L14)</f>
        <v>-1.0335891649209386</v>
      </c>
      <c r="H14">
        <f>AVERAGE('R1'!M14,'R2'!M14,'R3'!M14)</f>
        <v>-2.2662604633475394</v>
      </c>
      <c r="I14">
        <f>AVERAGE('R1'!N14,'R2'!N14,'R3'!N14)</f>
        <v>-1.1086798236273634</v>
      </c>
      <c r="J14">
        <f>AVERAGE('R1'!O14,'R2'!O14,'R3'!O14)</f>
        <v>-0.54858843428766957</v>
      </c>
      <c r="K14">
        <f t="shared" si="1"/>
        <v>1128.5941689814817</v>
      </c>
      <c r="M14">
        <f>_xlfn.STDEV.S('R1'!L14,'R2'!L14,'R3'!L14)</f>
        <v>5.4876925156222044E-3</v>
      </c>
      <c r="N14">
        <f>_xlfn.STDEV.S('R1'!M14,'R2'!M14,'R3'!M14)</f>
        <v>2.0165201077635315E-2</v>
      </c>
      <c r="O14">
        <f>_xlfn.STDEV.S('R1'!N14,'R2'!N14,'R3'!N14)</f>
        <v>2.9658945757885399E-2</v>
      </c>
      <c r="P14">
        <f>_xlfn.STDEV.S('R1'!O14,'R2'!O14,'R3'!O14)</f>
        <v>7.4333622796395717E-3</v>
      </c>
    </row>
    <row r="15" spans="1:21" x14ac:dyDescent="0.25">
      <c r="A15">
        <f>AVERAGE('R1'!F15,'R2'!F15,'R3'!F15)</f>
        <v>0.11372216666666667</v>
      </c>
      <c r="B15">
        <f>AVERAGE('R1'!G15,'R2'!G15,'R3'!G15)</f>
        <v>19.474132749999999</v>
      </c>
      <c r="C15">
        <f>-'R1'!H15</f>
        <v>36</v>
      </c>
      <c r="D15">
        <f>DEGREES(ATAN(-SIN(RADIANS(('R1'!I15)))/(COS(RADIANS(Sheet1!C15))*COS(RADIANS('R1'!I15)))))</f>
        <v>-19.516199251096932</v>
      </c>
      <c r="E15">
        <f>AVERAGE('R1'!J15,'R2'!J15,'R3'!J15)</f>
        <v>1.1666666666666667</v>
      </c>
      <c r="F15">
        <f>AVERAGE('R1'!K15,'R2'!K15,'R3'!K15)</f>
        <v>5.7584159999999995</v>
      </c>
      <c r="G15">
        <f>AVERAGE('R1'!L15,'R2'!L15,'R3'!L15)</f>
        <v>-1.2587112135906593</v>
      </c>
      <c r="H15">
        <f>AVERAGE('R1'!M15,'R2'!M15,'R3'!M15)</f>
        <v>-2.1828591191763613</v>
      </c>
      <c r="I15">
        <f>AVERAGE('R1'!N15,'R2'!N15,'R3'!N15)</f>
        <v>-1.1452201865932248</v>
      </c>
      <c r="J15">
        <f>AVERAGE('R1'!O15,'R2'!O15,'R3'!O15)</f>
        <v>-0.62957702237521496</v>
      </c>
      <c r="K15">
        <f t="shared" si="1"/>
        <v>1119.692</v>
      </c>
      <c r="M15">
        <f>_xlfn.STDEV.S('R1'!L15,'R2'!L15,'R3'!L15)</f>
        <v>7.9631320304260605E-3</v>
      </c>
      <c r="N15">
        <f>_xlfn.STDEV.S('R1'!M15,'R2'!M15,'R3'!M15)</f>
        <v>8.3765987131536844E-3</v>
      </c>
      <c r="O15">
        <f>_xlfn.STDEV.S('R1'!N15,'R2'!N15,'R3'!N15)</f>
        <v>1.3853826536707957E-2</v>
      </c>
      <c r="P15">
        <f>_xlfn.STDEV.S('R1'!O15,'R2'!O15,'R3'!O15)</f>
        <v>7.6134096802417959E-3</v>
      </c>
    </row>
    <row r="16" spans="1:21" x14ac:dyDescent="0.25">
      <c r="A16">
        <f>AVERAGE('R1'!F16,'R2'!F16,'R3'!F16)</f>
        <v>6.499566666666666E-2</v>
      </c>
      <c r="B16">
        <f>AVERAGE('R1'!G16,'R2'!G16,'R3'!G16)</f>
        <v>18.954232916666665</v>
      </c>
      <c r="C16">
        <f>-'R1'!H16</f>
        <v>36</v>
      </c>
      <c r="D16">
        <f>DEGREES(ATAN(-SIN(RADIANS(('R1'!I16)))/(COS(RADIANS(Sheet1!C16))*COS(RADIANS('R1'!I16)))))</f>
        <v>-24.22259689172926</v>
      </c>
      <c r="E16">
        <f>AVERAGE('R1'!J16,'R2'!J16,'R3'!J16)</f>
        <v>1.1691666666666667</v>
      </c>
      <c r="F16">
        <f>AVERAGE('R1'!K16,'R2'!K16,'R3'!K16)</f>
        <v>5.6821529166666664</v>
      </c>
      <c r="G16">
        <f>AVERAGE('R1'!L16,'R2'!L16,'R3'!L16)</f>
        <v>-1.4649623590764591</v>
      </c>
      <c r="H16">
        <f>AVERAGE('R1'!M16,'R2'!M16,'R3'!M16)</f>
        <v>-2.1465888096132235</v>
      </c>
      <c r="I16">
        <f>AVERAGE('R1'!N16,'R2'!N16,'R3'!N16)</f>
        <v>-1.2179284324533846</v>
      </c>
      <c r="J16">
        <f>AVERAGE('R1'!O16,'R2'!O16,'R3'!O16)</f>
        <v>-0.72767190140863747</v>
      </c>
      <c r="K16">
        <f t="shared" si="1"/>
        <v>1107.2306308449072</v>
      </c>
      <c r="M16">
        <f>_xlfn.STDEV.S('R1'!L16,'R2'!L16,'R3'!L16)</f>
        <v>3.3390371396562163E-3</v>
      </c>
      <c r="N16">
        <f>_xlfn.STDEV.S('R1'!M16,'R2'!M16,'R3'!M16)</f>
        <v>2.6176328875375226E-3</v>
      </c>
      <c r="O16">
        <f>_xlfn.STDEV.S('R1'!N16,'R2'!N16,'R3'!N16)</f>
        <v>5.568179657676124E-3</v>
      </c>
      <c r="P16">
        <f>_xlfn.STDEV.S('R1'!O16,'R2'!O16,'R3'!O16)</f>
        <v>1.3393423449545019E-3</v>
      </c>
    </row>
    <row r="17" spans="1:16" x14ac:dyDescent="0.25">
      <c r="A17">
        <f>AVERAGE('R1'!F17,'R2'!F17,'R3'!F17)</f>
        <v>8.1237833333333329E-2</v>
      </c>
      <c r="B17">
        <f>AVERAGE('R1'!G17,'R2'!G17,'R3'!G17)</f>
        <v>18.955336083333332</v>
      </c>
      <c r="C17">
        <f>-'R1'!H17</f>
        <v>36</v>
      </c>
      <c r="D17">
        <f>DEGREES(ATAN(-SIN(RADIANS(('R1'!I17)))/(COS(RADIANS(Sheet1!C17))*COS(RADIANS('R1'!I17)))))</f>
        <v>-28.825436554649738</v>
      </c>
      <c r="E17">
        <f>AVERAGE('R1'!J17,'R2'!J17,'R3'!J17)</f>
        <v>1.1658333333333333</v>
      </c>
      <c r="F17">
        <f>AVERAGE('R1'!K17,'R2'!K17,'R3'!K17)</f>
        <v>5.6874199166666664</v>
      </c>
      <c r="G17">
        <f>AVERAGE('R1'!L17,'R2'!L17,'R3'!L17)</f>
        <v>-1.6529441910103815</v>
      </c>
      <c r="H17">
        <f>AVERAGE('R1'!M17,'R2'!M17,'R3'!M17)</f>
        <v>-2.1416682908718676</v>
      </c>
      <c r="I17">
        <f>AVERAGE('R1'!N17,'R2'!N17,'R3'!N17)</f>
        <v>-1.3028147144180167</v>
      </c>
      <c r="J17">
        <f>AVERAGE('R1'!O17,'R2'!O17,'R3'!O17)</f>
        <v>-0.84434285034389112</v>
      </c>
      <c r="K17">
        <f t="shared" si="1"/>
        <v>1105.0972865856479</v>
      </c>
      <c r="M17">
        <f>_xlfn.STDEV.S('R1'!L17,'R2'!L17,'R3'!L17)</f>
        <v>2.3840908855341056E-2</v>
      </c>
      <c r="N17">
        <f>_xlfn.STDEV.S('R1'!M17,'R2'!M17,'R3'!M17)</f>
        <v>1.5867392491558018E-2</v>
      </c>
      <c r="O17">
        <f>_xlfn.STDEV.S('R1'!N17,'R2'!N17,'R3'!N17)</f>
        <v>2.6619985787690644E-2</v>
      </c>
      <c r="P17">
        <f>_xlfn.STDEV.S('R1'!O17,'R2'!O17,'R3'!O17)</f>
        <v>1.5226433751104562E-2</v>
      </c>
    </row>
    <row r="18" spans="1:16" x14ac:dyDescent="0.25">
      <c r="A18">
        <f>AVERAGE('R1'!F18,'R2'!F18,'R3'!F18)</f>
        <v>0.12996433333333332</v>
      </c>
      <c r="B18">
        <f>AVERAGE('R1'!G18,'R2'!G18,'R3'!G18)</f>
        <v>19.18141125</v>
      </c>
      <c r="C18">
        <f>-'R1'!H18</f>
        <v>36</v>
      </c>
      <c r="D18">
        <f>DEGREES(ATAN(-SIN(RADIANS(('R1'!I18)))/(COS(RADIANS(Sheet1!C18))*COS(RADIANS('R1'!I18)))))</f>
        <v>-33.314077817276932</v>
      </c>
      <c r="E18">
        <f>AVERAGE('R1'!J18,'R2'!J18,'R3'!J18)</f>
        <v>1.1691666666666667</v>
      </c>
      <c r="F18">
        <f>AVERAGE('R1'!K18,'R2'!K18,'R3'!K18)</f>
        <v>5.7045360000000001</v>
      </c>
      <c r="G18">
        <f>AVERAGE('R1'!L18,'R2'!L18,'R3'!L18)</f>
        <v>-1.8408218206874964</v>
      </c>
      <c r="H18">
        <f>AVERAGE('R1'!M18,'R2'!M18,'R3'!M18)</f>
        <v>-2.1922156688575694</v>
      </c>
      <c r="I18">
        <f>AVERAGE('R1'!N18,'R2'!N18,'R3'!N18)</f>
        <v>-1.4391981285639732</v>
      </c>
      <c r="J18">
        <f>AVERAGE('R1'!O18,'R2'!O18,'R3'!O18)</f>
        <v>-0.99577927235354746</v>
      </c>
      <c r="K18">
        <f t="shared" si="1"/>
        <v>1111.5922233333333</v>
      </c>
      <c r="M18">
        <f>_xlfn.STDEV.S('R1'!L18,'R2'!L18,'R3'!L18)</f>
        <v>1.7671132155458902E-2</v>
      </c>
      <c r="N18">
        <f>_xlfn.STDEV.S('R1'!M18,'R2'!M18,'R3'!M18)</f>
        <v>5.2674482814088486E-3</v>
      </c>
      <c r="O18">
        <f>_xlfn.STDEV.S('R1'!N18,'R2'!N18,'R3'!N18)</f>
        <v>2.1698185049463341E-2</v>
      </c>
      <c r="P18">
        <f>_xlfn.STDEV.S('R1'!O18,'R2'!O18,'R3'!O18)</f>
        <v>9.690366767347091E-3</v>
      </c>
    </row>
    <row r="19" spans="1:16" x14ac:dyDescent="0.25">
      <c r="A19">
        <f>AVERAGE('R1'!F19,'R2'!F19,'R3'!F19)</f>
        <v>4.8753499999999998E-2</v>
      </c>
      <c r="B19">
        <f>AVERAGE('R1'!G19,'R2'!G19,'R3'!G19)</f>
        <v>19.182829083333331</v>
      </c>
      <c r="C19">
        <f>-'R1'!H19</f>
        <v>36</v>
      </c>
      <c r="D19">
        <f>DEGREES(ATAN(-SIN(RADIANS(('R1'!I19)))/(COS(RADIANS(Sheet1!C19))*COS(RADIANS('R1'!I19)))))</f>
        <v>-37.681815805789164</v>
      </c>
      <c r="E19">
        <f>AVERAGE('R1'!J19,'R2'!J19,'R3'!J19)</f>
        <v>1.1675</v>
      </c>
      <c r="F19">
        <f>AVERAGE('R1'!K19,'R2'!K19,'R3'!K19)</f>
        <v>5.7207267499999999</v>
      </c>
      <c r="G19">
        <f>AVERAGE('R1'!L19,'R2'!L19,'R3'!L19)</f>
        <v>-2.0393312464387701</v>
      </c>
      <c r="H19">
        <f>AVERAGE('R1'!M19,'R2'!M19,'R3'!M19)</f>
        <v>-2.2908762781669694</v>
      </c>
      <c r="I19">
        <f>AVERAGE('R1'!N19,'R2'!N19,'R3'!N19)</f>
        <v>-1.6314327613825166</v>
      </c>
      <c r="J19">
        <f>AVERAGE('R1'!O19,'R2'!O19,'R3'!O19)</f>
        <v>-1.1630806227808945</v>
      </c>
      <c r="K19">
        <f t="shared" si="1"/>
        <v>1113.1580801041666</v>
      </c>
      <c r="M19">
        <f>_xlfn.STDEV.S('R1'!L19,'R2'!L19,'R3'!L19)</f>
        <v>8.8936042879109011E-3</v>
      </c>
      <c r="N19">
        <f>_xlfn.STDEV.S('R1'!M19,'R2'!M19,'R3'!M19)</f>
        <v>8.4766488512912994E-3</v>
      </c>
      <c r="O19">
        <f>_xlfn.STDEV.S('R1'!N19,'R2'!N19,'R3'!N19)</f>
        <v>1.571719485429476E-2</v>
      </c>
      <c r="P19">
        <f>_xlfn.STDEV.S('R1'!O19,'R2'!O19,'R3'!O19)</f>
        <v>1.0275720604436541E-2</v>
      </c>
    </row>
    <row r="20" spans="1:16" x14ac:dyDescent="0.25">
      <c r="A20">
        <f>AVERAGE('R1'!F20,'R2'!F20,'R3'!F20)</f>
        <v>0.11372216666666667</v>
      </c>
      <c r="B20">
        <f>AVERAGE('R1'!G20,'R2'!G20,'R3'!G20)</f>
        <v>19.675331833333335</v>
      </c>
      <c r="C20">
        <f>-'R1'!H20</f>
        <v>36</v>
      </c>
      <c r="D20">
        <f>DEGREES(ATAN(-SIN(RADIANS(('R1'!I20)))/(COS(RADIANS(Sheet1!C20))*COS(RADIANS('R1'!I20)))))</f>
        <v>-41.925613925819086</v>
      </c>
      <c r="E20">
        <f>AVERAGE('R1'!J20,'R2'!J20,'R3'!J20)</f>
        <v>1.1675</v>
      </c>
      <c r="F20">
        <f>AVERAGE('R1'!K20,'R2'!K20,'R3'!K20)</f>
        <v>5.7846945000000005</v>
      </c>
      <c r="G20">
        <f>AVERAGE('R1'!L20,'R2'!L20,'R3'!L20)</f>
        <v>-2.2715997015562661</v>
      </c>
      <c r="H20">
        <f>AVERAGE('R1'!M20,'R2'!M20,'R3'!M20)</f>
        <v>-2.4275716390327888</v>
      </c>
      <c r="I20">
        <f>AVERAGE('R1'!N20,'R2'!N20,'R3'!N20)</f>
        <v>-1.8850408003920622</v>
      </c>
      <c r="J20">
        <f>AVERAGE('R1'!O20,'R2'!O20,'R3'!O20)</f>
        <v>-1.3701758290071411</v>
      </c>
      <c r="K20">
        <f t="shared" si="1"/>
        <v>1125.6051381250002</v>
      </c>
      <c r="M20">
        <f>_xlfn.STDEV.S('R1'!L20,'R2'!L20,'R3'!L20)</f>
        <v>1.1282286651081368E-2</v>
      </c>
      <c r="N20">
        <f>_xlfn.STDEV.S('R1'!M20,'R2'!M20,'R3'!M20)</f>
        <v>2.9040034190499562E-3</v>
      </c>
      <c r="O20">
        <f>_xlfn.STDEV.S('R1'!N20,'R2'!N20,'R3'!N20)</f>
        <v>1.4291901853648611E-2</v>
      </c>
      <c r="P20">
        <f>_xlfn.STDEV.S('R1'!O20,'R2'!O20,'R3'!O20)</f>
        <v>5.3499873635572568E-3</v>
      </c>
    </row>
    <row r="21" spans="1:16" x14ac:dyDescent="0.25">
      <c r="A21">
        <f>AVERAGE('R1'!F21,'R2'!F21,'R3'!F21)</f>
        <v>4.8753499999999998E-2</v>
      </c>
      <c r="B21">
        <f>AVERAGE('R1'!G21,'R2'!G21,'R3'!G21)</f>
        <v>20.103288499999998</v>
      </c>
      <c r="C21">
        <f>-'R1'!H21</f>
        <v>32</v>
      </c>
      <c r="D21">
        <f>DEGREES(ATAN(-SIN(RADIANS(('R1'!I21)))/(COS(RADIANS(Sheet1!C21))*COS(RADIANS('R1'!I21)))))</f>
        <v>40.587432696870117</v>
      </c>
      <c r="E21">
        <f>AVERAGE('R1'!J21,'R2'!J21,'R3'!J21)</f>
        <v>1.17</v>
      </c>
      <c r="F21">
        <f>AVERAGE('R1'!K21,'R2'!K21,'R3'!K21)</f>
        <v>5.8511222500000004</v>
      </c>
      <c r="G21">
        <f>AVERAGE('R1'!L21,'R2'!L21,'R3'!L21)</f>
        <v>1.7848649895494682</v>
      </c>
      <c r="H21">
        <f>AVERAGE('R1'!M21,'R2'!M21,'R3'!M21)</f>
        <v>-1.9069037232068513</v>
      </c>
      <c r="I21">
        <f>AVERAGE('R1'!N21,'R2'!N21,'R3'!N21)</f>
        <v>-1.2531232089177728</v>
      </c>
      <c r="J21">
        <f>AVERAGE('R1'!O21,'R2'!O21,'R3'!O21)</f>
        <v>-0.98881923158836971</v>
      </c>
      <c r="K21">
        <f t="shared" si="1"/>
        <v>1140.96883875</v>
      </c>
      <c r="M21">
        <f>_xlfn.STDEV.S('R1'!L21,'R2'!L21,'R3'!L21)</f>
        <v>2.7939402389957841E-3</v>
      </c>
      <c r="N21">
        <f>_xlfn.STDEV.S('R1'!M21,'R2'!M21,'R3'!M21)</f>
        <v>7.3322955946640333E-3</v>
      </c>
      <c r="O21">
        <f>_xlfn.STDEV.S('R1'!N21,'R2'!N21,'R3'!N21)</f>
        <v>1.1568173190305892E-2</v>
      </c>
      <c r="P21">
        <f>_xlfn.STDEV.S('R1'!O21,'R2'!O21,'R3'!O21)</f>
        <v>3.2279839912499855E-3</v>
      </c>
    </row>
    <row r="22" spans="1:16" x14ac:dyDescent="0.25">
      <c r="A22">
        <f>AVERAGE('R1'!F22,'R2'!F22,'R3'!F22)</f>
        <v>8.1237833333333329E-2</v>
      </c>
      <c r="B22">
        <f>AVERAGE('R1'!G22,'R2'!G22,'R3'!G22)</f>
        <v>20.343404916666668</v>
      </c>
      <c r="C22">
        <f>-'R1'!H22</f>
        <v>32</v>
      </c>
      <c r="D22">
        <f>DEGREES(ATAN(-SIN(RADIANS(('R1'!I22)))/(COS(RADIANS(Sheet1!C22))*COS(RADIANS('R1'!I22)))))</f>
        <v>36.383993076218225</v>
      </c>
      <c r="E22">
        <f>AVERAGE('R1'!J22,'R2'!J22,'R3'!J22)</f>
        <v>1.17</v>
      </c>
      <c r="F22">
        <f>AVERAGE('R1'!K22,'R2'!K22,'R3'!K22)</f>
        <v>5.8811634999999995</v>
      </c>
      <c r="G22">
        <f>AVERAGE('R1'!L22,'R2'!L22,'R3'!L22)</f>
        <v>1.6468342187231277</v>
      </c>
      <c r="H22">
        <f>AVERAGE('R1'!M22,'R2'!M22,'R3'!M22)</f>
        <v>-1.8836642743043719</v>
      </c>
      <c r="I22">
        <f>AVERAGE('R1'!N22,'R2'!N22,'R3'!N22)</f>
        <v>-1.1327266364948392</v>
      </c>
      <c r="J22">
        <f>AVERAGE('R1'!O22,'R2'!O22,'R3'!O22)</f>
        <v>-0.8537904542757323</v>
      </c>
      <c r="K22">
        <f t="shared" si="1"/>
        <v>1146.8268824999998</v>
      </c>
      <c r="M22">
        <f>_xlfn.STDEV.S('R1'!L22,'R2'!L22,'R3'!L22)</f>
        <v>1.5303989644564519E-3</v>
      </c>
      <c r="N22">
        <f>_xlfn.STDEV.S('R1'!M22,'R2'!M22,'R3'!M22)</f>
        <v>5.0500043160204627E-3</v>
      </c>
      <c r="O22">
        <f>_xlfn.STDEV.S('R1'!N22,'R2'!N22,'R3'!N22)</f>
        <v>6.2960104439424283E-3</v>
      </c>
      <c r="P22">
        <f>_xlfn.STDEV.S('R1'!O22,'R2'!O22,'R3'!O22)</f>
        <v>2.6723662277189503E-3</v>
      </c>
    </row>
    <row r="23" spans="1:16" x14ac:dyDescent="0.25">
      <c r="A23">
        <f>AVERAGE('R1'!F23,'R2'!F23,'R3'!F23)</f>
        <v>9.7479999999999997E-2</v>
      </c>
      <c r="B23">
        <f>AVERAGE('R1'!G23,'R2'!G23,'R3'!G23)</f>
        <v>20.809147666666664</v>
      </c>
      <c r="C23">
        <f>-'R1'!H23</f>
        <v>32</v>
      </c>
      <c r="D23">
        <f>DEGREES(ATAN(-SIN(RADIANS(('R1'!I23)))/(COS(RADIANS(Sheet1!C23))*COS(RADIANS('R1'!I23)))))</f>
        <v>32.086900972819144</v>
      </c>
      <c r="E23">
        <f>AVERAGE('R1'!J23,'R2'!J23,'R3'!J23)</f>
        <v>1.1675</v>
      </c>
      <c r="F23">
        <f>AVERAGE('R1'!K23,'R2'!K23,'R3'!K23)</f>
        <v>5.9528609999999995</v>
      </c>
      <c r="G23">
        <f>AVERAGE('R1'!L23,'R2'!L23,'R3'!L23)</f>
        <v>1.5004981929870322</v>
      </c>
      <c r="H23">
        <f>AVERAGE('R1'!M23,'R2'!M23,'R3'!M23)</f>
        <v>-1.8839917372596009</v>
      </c>
      <c r="I23">
        <f>AVERAGE('R1'!N23,'R2'!N23,'R3'!N23)</f>
        <v>-1.0428292979948199</v>
      </c>
      <c r="J23">
        <f>AVERAGE('R1'!O23,'R2'!O23,'R3'!O23)</f>
        <v>-0.72778138353284894</v>
      </c>
      <c r="K23">
        <f t="shared" si="1"/>
        <v>1158.3275362499999</v>
      </c>
      <c r="M23">
        <f>_xlfn.STDEV.S('R1'!L23,'R2'!L23,'R3'!L23)</f>
        <v>1.0708914934681664E-2</v>
      </c>
      <c r="N23">
        <f>_xlfn.STDEV.S('R1'!M23,'R2'!M23,'R3'!M23)</f>
        <v>1.0303331715352124E-2</v>
      </c>
      <c r="O23">
        <f>_xlfn.STDEV.S('R1'!N23,'R2'!N23,'R3'!N23)</f>
        <v>1.6054463004598552E-2</v>
      </c>
      <c r="P23">
        <f>_xlfn.STDEV.S('R1'!O23,'R2'!O23,'R3'!O23)</f>
        <v>3.3989331680911749E-3</v>
      </c>
    </row>
    <row r="24" spans="1:16" x14ac:dyDescent="0.25">
      <c r="A24">
        <f>AVERAGE('R1'!F24,'R2'!F24,'R3'!F24)</f>
        <v>0.11372216666666667</v>
      </c>
      <c r="B24">
        <f>AVERAGE('R1'!G24,'R2'!G24,'R3'!G24)</f>
        <v>20.755792666666668</v>
      </c>
      <c r="C24">
        <f>-'R1'!H24</f>
        <v>32</v>
      </c>
      <c r="D24">
        <f>DEGREES(ATAN(-SIN(RADIANS(('R1'!I24)))/(COS(RADIANS(Sheet1!C24))*COS(RADIANS('R1'!I24)))))</f>
        <v>27.699654729206667</v>
      </c>
      <c r="E24">
        <f>AVERAGE('R1'!J24,'R2'!J24,'R3'!J24)</f>
        <v>1.1666666666666667</v>
      </c>
      <c r="F24">
        <f>AVERAGE('R1'!K24,'R2'!K24,'R3'!K24)</f>
        <v>5.9446489166666678</v>
      </c>
      <c r="G24">
        <f>AVERAGE('R1'!L24,'R2'!L24,'R3'!L24)</f>
        <v>1.3352378978793837</v>
      </c>
      <c r="H24">
        <f>AVERAGE('R1'!M24,'R2'!M24,'R3'!M24)</f>
        <v>-1.9039689468860901</v>
      </c>
      <c r="I24">
        <f>AVERAGE('R1'!N24,'R2'!N24,'R3'!N24)</f>
        <v>-0.96442094067723794</v>
      </c>
      <c r="J24">
        <f>AVERAGE('R1'!O24,'R2'!O24,'R3'!O24)</f>
        <v>-0.60937001434469429</v>
      </c>
      <c r="K24">
        <f t="shared" si="1"/>
        <v>1155.903956018519</v>
      </c>
      <c r="M24">
        <f>_xlfn.STDEV.S('R1'!L24,'R2'!L24,'R3'!L24)</f>
        <v>6.3830577225703553E-3</v>
      </c>
      <c r="N24">
        <f>_xlfn.STDEV.S('R1'!M24,'R2'!M24,'R3'!M24)</f>
        <v>6.3829523537394265E-3</v>
      </c>
      <c r="O24">
        <f>_xlfn.STDEV.S('R1'!N24,'R2'!N24,'R3'!N24)</f>
        <v>8.08871393223674E-3</v>
      </c>
      <c r="P24">
        <f>_xlfn.STDEV.S('R1'!O24,'R2'!O24,'R3'!O24)</f>
        <v>4.7832846692024101E-3</v>
      </c>
    </row>
    <row r="25" spans="1:16" x14ac:dyDescent="0.25">
      <c r="A25">
        <f>AVERAGE('R1'!F25,'R2'!F25,'R3'!F25)</f>
        <v>0.11372216666666667</v>
      </c>
      <c r="B25">
        <f>AVERAGE('R1'!G25,'R2'!G25,'R3'!G25)</f>
        <v>20.395990666666666</v>
      </c>
      <c r="C25">
        <f>-'R1'!H25</f>
        <v>32</v>
      </c>
      <c r="D25">
        <f>DEGREES(ATAN(-SIN(RADIANS(('R1'!I25)))/(COS(RADIANS(Sheet1!C25))*COS(RADIANS('R1'!I25)))))</f>
        <v>23.228324501561271</v>
      </c>
      <c r="E25">
        <f>AVERAGE('R1'!J25,'R2'!J25,'R3'!J25)</f>
        <v>1.1683333333333332</v>
      </c>
      <c r="F25">
        <f>AVERAGE('R1'!K25,'R2'!K25,'R3'!K25)</f>
        <v>5.8886035833333326</v>
      </c>
      <c r="G25">
        <f>AVERAGE('R1'!L25,'R2'!L25,'R3'!L25)</f>
        <v>1.1561578821568914</v>
      </c>
      <c r="H25">
        <f>AVERAGE('R1'!M25,'R2'!M25,'R3'!M25)</f>
        <v>-1.9521150192590209</v>
      </c>
      <c r="I25">
        <f>AVERAGE('R1'!N25,'R2'!N25,'R3'!N25)</f>
        <v>-0.90747054930555782</v>
      </c>
      <c r="J25">
        <f>AVERAGE('R1'!O25,'R2'!O25,'R3'!O25)</f>
        <v>-0.49866275092437878</v>
      </c>
      <c r="K25">
        <f t="shared" si="1"/>
        <v>1146.6419755324071</v>
      </c>
      <c r="M25">
        <f>_xlfn.STDEV.S('R1'!L25,'R2'!L25,'R3'!L25)</f>
        <v>1.657554713469516E-3</v>
      </c>
      <c r="N25">
        <f>_xlfn.STDEV.S('R1'!M25,'R2'!M25,'R3'!M25)</f>
        <v>9.1469799432960467E-3</v>
      </c>
      <c r="O25">
        <f>_xlfn.STDEV.S('R1'!N25,'R2'!N25,'R3'!N25)</f>
        <v>1.2403058826877521E-2</v>
      </c>
      <c r="P25">
        <f>_xlfn.STDEV.S('R1'!O25,'R2'!O25,'R3'!O25)</f>
        <v>6.0302981202587135E-3</v>
      </c>
    </row>
    <row r="26" spans="1:16" x14ac:dyDescent="0.25">
      <c r="A26">
        <f>AVERAGE('R1'!F26,'R2'!F26,'R3'!F26)</f>
        <v>9.7479999999999997E-2</v>
      </c>
      <c r="B26">
        <f>AVERAGE('R1'!G26,'R2'!G26,'R3'!G26)</f>
        <v>20.12917775</v>
      </c>
      <c r="C26">
        <f>-'R1'!H26</f>
        <v>32</v>
      </c>
      <c r="D26">
        <f>DEGREES(ATAN(-SIN(RADIANS(('R1'!I26)))/(COS(RADIANS(Sheet1!C26))*COS(RADIANS('R1'!I26)))))</f>
        <v>18.681627509923402</v>
      </c>
      <c r="E26">
        <f>AVERAGE('R1'!J26,'R2'!J26,'R3'!J26)</f>
        <v>1.1691666666666667</v>
      </c>
      <c r="F26">
        <f>AVERAGE('R1'!K26,'R2'!K26,'R3'!K26)</f>
        <v>5.8502299166666658</v>
      </c>
      <c r="G26">
        <f>AVERAGE('R1'!L26,'R2'!L26,'R3'!L26)</f>
        <v>0.95350854315361444</v>
      </c>
      <c r="H26">
        <f>AVERAGE('R1'!M26,'R2'!M26,'R3'!M26)</f>
        <v>-2.0247793792298494</v>
      </c>
      <c r="I26">
        <f>AVERAGE('R1'!N26,'R2'!N26,'R3'!N26)</f>
        <v>-0.87696963034180853</v>
      </c>
      <c r="J26">
        <f>AVERAGE('R1'!O26,'R2'!O26,'R3'!O26)</f>
        <v>-0.40489053945378811</v>
      </c>
      <c r="K26">
        <f t="shared" si="1"/>
        <v>1139.9823018171294</v>
      </c>
      <c r="M26">
        <f>_xlfn.STDEV.S('R1'!L26,'R2'!L26,'R3'!L26)</f>
        <v>7.932501940757444E-3</v>
      </c>
      <c r="N26">
        <f>_xlfn.STDEV.S('R1'!M26,'R2'!M26,'R3'!M26)</f>
        <v>1.0238846711115588E-2</v>
      </c>
      <c r="O26">
        <f>_xlfn.STDEV.S('R1'!N26,'R2'!N26,'R3'!N26)</f>
        <v>1.3348770078073868E-2</v>
      </c>
      <c r="P26">
        <f>_xlfn.STDEV.S('R1'!O26,'R2'!O26,'R3'!O26)</f>
        <v>4.5810277705843096E-3</v>
      </c>
    </row>
    <row r="27" spans="1:16" x14ac:dyDescent="0.25">
      <c r="A27">
        <f>AVERAGE('R1'!F27,'R2'!F27,'R3'!F27)</f>
        <v>8.1237833333333329E-2</v>
      </c>
      <c r="B27">
        <f>AVERAGE('R1'!G27,'R2'!G27,'R3'!G27)</f>
        <v>19.849501833333335</v>
      </c>
      <c r="C27">
        <f>-'R1'!H27</f>
        <v>32</v>
      </c>
      <c r="D27">
        <f>DEGREES(ATAN(-SIN(RADIANS(('R1'!I27)))/(COS(RADIANS(Sheet1!C27))*COS(RADIANS('R1'!I27)))))</f>
        <v>14.070864136056453</v>
      </c>
      <c r="E27">
        <f>AVERAGE('R1'!J27,'R2'!J27,'R3'!J27)</f>
        <v>1.1683333333333332</v>
      </c>
      <c r="F27">
        <f>AVERAGE('R1'!K27,'R2'!K27,'R3'!K27)</f>
        <v>5.8136288333333326</v>
      </c>
      <c r="G27">
        <f>AVERAGE('R1'!L27,'R2'!L27,'R3'!L27)</f>
        <v>0.72497225878811811</v>
      </c>
      <c r="H27">
        <f>AVERAGE('R1'!M27,'R2'!M27,'R3'!M27)</f>
        <v>-2.1140641990321627</v>
      </c>
      <c r="I27">
        <f>AVERAGE('R1'!N27,'R2'!N27,'R3'!N27)</f>
        <v>-0.85995271186169697</v>
      </c>
      <c r="J27">
        <f>AVERAGE('R1'!O27,'R2'!O27,'R3'!O27)</f>
        <v>-0.30251109994646846</v>
      </c>
      <c r="K27">
        <f t="shared" si="1"/>
        <v>1132.0427256018518</v>
      </c>
      <c r="M27">
        <f>_xlfn.STDEV.S('R1'!L27,'R2'!L27,'R3'!L27)</f>
        <v>7.2142257442714772E-3</v>
      </c>
      <c r="N27">
        <f>_xlfn.STDEV.S('R1'!M27,'R2'!M27,'R3'!M27)</f>
        <v>2.4486737733828007E-2</v>
      </c>
      <c r="O27">
        <f>_xlfn.STDEV.S('R1'!N27,'R2'!N27,'R3'!N27)</f>
        <v>2.4807497946478293E-2</v>
      </c>
      <c r="P27">
        <f>_xlfn.STDEV.S('R1'!O27,'R2'!O27,'R3'!O27)</f>
        <v>1.199609717018988E-2</v>
      </c>
    </row>
    <row r="28" spans="1:16" x14ac:dyDescent="0.25">
      <c r="A28">
        <f>AVERAGE('R1'!F28,'R2'!F28,'R3'!F28)</f>
        <v>9.7479999999999997E-2</v>
      </c>
      <c r="B28">
        <f>AVERAGE('R1'!G28,'R2'!G28,'R3'!G28)</f>
        <v>19.794907083333332</v>
      </c>
      <c r="C28">
        <f>-'R1'!H28</f>
        <v>32</v>
      </c>
      <c r="D28">
        <f>DEGREES(ATAN(-SIN(RADIANS(('R1'!I28)))/(COS(RADIANS(Sheet1!C28))*COS(RADIANS('R1'!I28)))))</f>
        <v>9.4096915772201388</v>
      </c>
      <c r="E28">
        <f>AVERAGE('R1'!J28,'R2'!J28,'R3'!J28)</f>
        <v>1.1683333333333332</v>
      </c>
      <c r="F28">
        <f>AVERAGE('R1'!K28,'R2'!K28,'R3'!K28)</f>
        <v>5.8025288333333336</v>
      </c>
      <c r="G28">
        <f>AVERAGE('R1'!L28,'R2'!L28,'R3'!L28)</f>
        <v>0.48430106637756981</v>
      </c>
      <c r="H28">
        <f>AVERAGE('R1'!M28,'R2'!M28,'R3'!M28)</f>
        <v>-2.2274890376945606</v>
      </c>
      <c r="I28">
        <f>AVERAGE('R1'!N28,'R2'!N28,'R3'!N28)</f>
        <v>-0.87715393127877583</v>
      </c>
      <c r="J28">
        <f>AVERAGE('R1'!O28,'R2'!O28,'R3'!O28)</f>
        <v>-0.21854934286048802</v>
      </c>
      <c r="K28">
        <f t="shared" si="1"/>
        <v>1129.8813089351852</v>
      </c>
      <c r="M28">
        <f>_xlfn.STDEV.S('R1'!L28,'R2'!L28,'R3'!L28)</f>
        <v>7.2924584100104621E-3</v>
      </c>
      <c r="N28">
        <f>_xlfn.STDEV.S('R1'!M28,'R2'!M28,'R3'!M28)</f>
        <v>2.4914627093650891E-2</v>
      </c>
      <c r="O28">
        <f>_xlfn.STDEV.S('R1'!N28,'R2'!N28,'R3'!N28)</f>
        <v>1.8827264098521899E-2</v>
      </c>
      <c r="P28">
        <f>_xlfn.STDEV.S('R1'!O28,'R2'!O28,'R3'!O28)</f>
        <v>6.4390933663741566E-3</v>
      </c>
    </row>
    <row r="29" spans="1:16" x14ac:dyDescent="0.25">
      <c r="A29">
        <f>AVERAGE('R1'!F29,'R2'!F29,'R3'!F29)</f>
        <v>9.7479999999999997E-2</v>
      </c>
      <c r="B29">
        <f>AVERAGE('R1'!G29,'R2'!G29,'R3'!G29)</f>
        <v>19.301763250000004</v>
      </c>
      <c r="C29">
        <f>-'R1'!H29</f>
        <v>32</v>
      </c>
      <c r="D29">
        <f>DEGREES(ATAN(-SIN(RADIANS(('R1'!I29)))/(COS(RADIANS(Sheet1!C29))*COS(RADIANS('R1'!I29)))))</f>
        <v>4.7137278648813155</v>
      </c>
      <c r="E29">
        <f>AVERAGE('R1'!J29,'R2'!J29,'R3'!J29)</f>
        <v>1.1675</v>
      </c>
      <c r="F29">
        <f>AVERAGE('R1'!K29,'R2'!K29,'R3'!K29)</f>
        <v>5.7314436666666664</v>
      </c>
      <c r="G29">
        <f>AVERAGE('R1'!L29,'R2'!L29,'R3'!L29)</f>
        <v>0.18965692737578679</v>
      </c>
      <c r="H29">
        <f>AVERAGE('R1'!M29,'R2'!M29,'R3'!M29)</f>
        <v>-2.3870827199760267</v>
      </c>
      <c r="I29">
        <f>AVERAGE('R1'!N29,'R2'!N29,'R3'!N29)</f>
        <v>-0.92125068780343311</v>
      </c>
      <c r="J29">
        <f>AVERAGE('R1'!O29,'R2'!O29,'R3'!O29)</f>
        <v>-0.12576127248752508</v>
      </c>
      <c r="K29">
        <f t="shared" si="1"/>
        <v>1115.2434134722223</v>
      </c>
      <c r="M29">
        <f>_xlfn.STDEV.S('R1'!L29,'R2'!L29,'R3'!L29)</f>
        <v>7.08830731612454E-3</v>
      </c>
      <c r="N29">
        <f>_xlfn.STDEV.S('R1'!M29,'R2'!M29,'R3'!M29)</f>
        <v>1.2512698033848312E-2</v>
      </c>
      <c r="O29">
        <f>_xlfn.STDEV.S('R1'!N29,'R2'!N29,'R3'!N29)</f>
        <v>1.7964221306578345E-2</v>
      </c>
      <c r="P29">
        <f>_xlfn.STDEV.S('R1'!O29,'R2'!O29,'R3'!O29)</f>
        <v>8.6565489588630688E-3</v>
      </c>
    </row>
    <row r="30" spans="1:16" x14ac:dyDescent="0.25">
      <c r="A30">
        <f>AVERAGE('R1'!F30,'R2'!F30,'R3'!F30)</f>
        <v>0.11372216666666667</v>
      </c>
      <c r="B30">
        <f>AVERAGE('R1'!G30,'R2'!G30,'R3'!G30)</f>
        <v>18.914209416666665</v>
      </c>
      <c r="C30">
        <f>-'R1'!H30</f>
        <v>32</v>
      </c>
      <c r="D30">
        <f>DEGREES(ATAN(-SIN(RADIANS(('R1'!I30)))/(COS(RADIANS(Sheet1!C30))*COS(RADIANS('R1'!I30)))))</f>
        <v>0</v>
      </c>
      <c r="E30">
        <f>AVERAGE('R1'!J30,'R2'!J30,'R3'!J30)</f>
        <v>1.1666666666666667</v>
      </c>
      <c r="F30">
        <f>AVERAGE('R1'!K30,'R2'!K30,'R3'!K30)</f>
        <v>5.6734866666666663</v>
      </c>
      <c r="G30">
        <f>AVERAGE('R1'!L30,'R2'!L30,'R3'!L30)</f>
        <v>-0.15008088411928841</v>
      </c>
      <c r="H30">
        <f>AVERAGE('R1'!M30,'R2'!M30,'R3'!M30)</f>
        <v>-2.3850159805746141</v>
      </c>
      <c r="I30">
        <f>AVERAGE('R1'!N30,'R2'!N30,'R3'!N30)</f>
        <v>-0.9180389574809027</v>
      </c>
      <c r="J30">
        <f>AVERAGE('R1'!O30,'R2'!O30,'R3'!O30)</f>
        <v>-0.10343832196642826</v>
      </c>
      <c r="K30">
        <f t="shared" si="1"/>
        <v>1103.177962962963</v>
      </c>
      <c r="M30">
        <f>_xlfn.STDEV.S('R1'!L30,'R2'!L30,'R3'!L30)</f>
        <v>2.0304707669605074E-2</v>
      </c>
      <c r="N30">
        <f>_xlfn.STDEV.S('R1'!M30,'R2'!M30,'R3'!M30)</f>
        <v>1.0915713792914703E-2</v>
      </c>
      <c r="O30">
        <f>_xlfn.STDEV.S('R1'!N30,'R2'!N30,'R3'!N30)</f>
        <v>9.8745139862065467E-3</v>
      </c>
      <c r="P30">
        <f>_xlfn.STDEV.S('R1'!O30,'R2'!O30,'R3'!O30)</f>
        <v>9.7053931974372416E-3</v>
      </c>
    </row>
    <row r="31" spans="1:16" x14ac:dyDescent="0.25">
      <c r="A31">
        <f>AVERAGE('R1'!F31,'R2'!F31,'R3'!F31)</f>
        <v>8.1237833333333329E-2</v>
      </c>
      <c r="B31">
        <f>AVERAGE('R1'!G31,'R2'!G31,'R3'!G31)</f>
        <v>18.8349005</v>
      </c>
      <c r="C31">
        <f>-'R1'!H31</f>
        <v>32</v>
      </c>
      <c r="D31">
        <f>DEGREES(ATAN(-SIN(RADIANS(('R1'!I31)))/(COS(RADIANS(Sheet1!C31))*COS(RADIANS('R1'!I31)))))</f>
        <v>-4.7137278648813155</v>
      </c>
      <c r="E31">
        <f>AVERAGE('R1'!J31,'R2'!J31,'R3'!J31)</f>
        <v>1.17</v>
      </c>
      <c r="F31">
        <f>AVERAGE('R1'!K31,'R2'!K31,'R3'!K31)</f>
        <v>5.6596478333333335</v>
      </c>
      <c r="G31">
        <f>AVERAGE('R1'!L31,'R2'!L31,'R3'!L31)</f>
        <v>-0.45326432593748711</v>
      </c>
      <c r="H31">
        <f>AVERAGE('R1'!M31,'R2'!M31,'R3'!M31)</f>
        <v>-2.2013442976111781</v>
      </c>
      <c r="I31">
        <f>AVERAGE('R1'!N31,'R2'!N31,'R3'!N31)</f>
        <v>-0.84993361211048957</v>
      </c>
      <c r="J31">
        <f>AVERAGE('R1'!O31,'R2'!O31,'R3'!O31)</f>
        <v>-0.17296190130082534</v>
      </c>
      <c r="K31">
        <f t="shared" si="1"/>
        <v>1103.6313275000002</v>
      </c>
      <c r="M31">
        <f>_xlfn.STDEV.S('R1'!L31,'R2'!L31,'R3'!L31)</f>
        <v>1.0950718969088932E-2</v>
      </c>
      <c r="N31">
        <f>_xlfn.STDEV.S('R1'!M31,'R2'!M31,'R3'!M31)</f>
        <v>1.863716047442341E-2</v>
      </c>
      <c r="O31">
        <f>_xlfn.STDEV.S('R1'!N31,'R2'!N31,'R3'!N31)</f>
        <v>2.1785683689624594E-2</v>
      </c>
      <c r="P31">
        <f>_xlfn.STDEV.S('R1'!O31,'R2'!O31,'R3'!O31)</f>
        <v>8.7633881389577208E-3</v>
      </c>
    </row>
    <row r="32" spans="1:16" x14ac:dyDescent="0.25">
      <c r="A32">
        <f>AVERAGE('R1'!F32,'R2'!F32,'R3'!F32)</f>
        <v>6.499566666666666E-2</v>
      </c>
      <c r="B32">
        <f>AVERAGE('R1'!G32,'R2'!G32,'R3'!G32)</f>
        <v>19.007254166666666</v>
      </c>
      <c r="C32">
        <f>-'R1'!H32</f>
        <v>32</v>
      </c>
      <c r="D32">
        <f>DEGREES(ATAN(-SIN(RADIANS(('R1'!I32)))/(COS(RADIANS(Sheet1!C32))*COS(RADIANS('R1'!I32)))))</f>
        <v>-9.4096915772201388</v>
      </c>
      <c r="E32">
        <f>AVERAGE('R1'!J32,'R2'!J32,'R3'!J32)</f>
        <v>1.1666666666666667</v>
      </c>
      <c r="F32">
        <f>AVERAGE('R1'!K32,'R2'!K32,'R3'!K32)</f>
        <v>5.6970027500000002</v>
      </c>
      <c r="G32">
        <f>AVERAGE('R1'!L32,'R2'!L32,'R3'!L32)</f>
        <v>-0.7148040908600034</v>
      </c>
      <c r="H32">
        <f>AVERAGE('R1'!M32,'R2'!M32,'R3'!M32)</f>
        <v>-2.053982786697063</v>
      </c>
      <c r="I32">
        <f>AVERAGE('R1'!N32,'R2'!N32,'R3'!N32)</f>
        <v>-0.81938701524756563</v>
      </c>
      <c r="J32">
        <f>AVERAGE('R1'!O32,'R2'!O32,'R3'!O32)</f>
        <v>-0.24250852067422199</v>
      </c>
      <c r="K32">
        <f t="shared" si="1"/>
        <v>1107.7505347222223</v>
      </c>
      <c r="M32">
        <f>_xlfn.STDEV.S('R1'!L32,'R2'!L32,'R3'!L32)</f>
        <v>1.4546554589432525E-2</v>
      </c>
      <c r="N32">
        <f>_xlfn.STDEV.S('R1'!M32,'R2'!M32,'R3'!M32)</f>
        <v>1.8318534978744874E-2</v>
      </c>
      <c r="O32">
        <f>_xlfn.STDEV.S('R1'!N32,'R2'!N32,'R3'!N32)</f>
        <v>1.9266225840081981E-2</v>
      </c>
      <c r="P32">
        <f>_xlfn.STDEV.S('R1'!O32,'R2'!O32,'R3'!O32)</f>
        <v>5.9322233586207151E-3</v>
      </c>
    </row>
    <row r="33" spans="1:16" x14ac:dyDescent="0.25">
      <c r="A33">
        <f>AVERAGE('R1'!F33,'R2'!F33,'R3'!F33)</f>
        <v>8.1237833333333329E-2</v>
      </c>
      <c r="B33">
        <f>AVERAGE('R1'!G33,'R2'!G33,'R3'!G33)</f>
        <v>18.9949975</v>
      </c>
      <c r="C33">
        <f>-'R1'!H33</f>
        <v>32</v>
      </c>
      <c r="D33">
        <f>DEGREES(ATAN(-SIN(RADIANS(('R1'!I33)))/(COS(RADIANS(Sheet1!C33))*COS(RADIANS('R1'!I33)))))</f>
        <v>-14.070864136056453</v>
      </c>
      <c r="E33">
        <f>AVERAGE('R1'!J33,'R2'!J33,'R3'!J33)</f>
        <v>1.1675</v>
      </c>
      <c r="F33">
        <f>AVERAGE('R1'!K33,'R2'!K33,'R3'!K33)</f>
        <v>5.6902090000000003</v>
      </c>
      <c r="G33">
        <f>AVERAGE('R1'!L33,'R2'!L33,'R3'!L33)</f>
        <v>-0.95311157649083389</v>
      </c>
      <c r="H33">
        <f>AVERAGE('R1'!M33,'R2'!M33,'R3'!M33)</f>
        <v>-1.9491548762436846</v>
      </c>
      <c r="I33">
        <f>AVERAGE('R1'!N33,'R2'!N33,'R3'!N33)</f>
        <v>-0.82269005164084896</v>
      </c>
      <c r="J33">
        <f>AVERAGE('R1'!O33,'R2'!O33,'R3'!O33)</f>
        <v>-0.32562843586989398</v>
      </c>
      <c r="K33">
        <f t="shared" si="1"/>
        <v>1107.2198345833333</v>
      </c>
      <c r="M33">
        <f>_xlfn.STDEV.S('R1'!L33,'R2'!L33,'R3'!L33)</f>
        <v>8.9816075934263245E-3</v>
      </c>
      <c r="N33">
        <f>_xlfn.STDEV.S('R1'!M33,'R2'!M33,'R3'!M33)</f>
        <v>1.9475456701729333E-2</v>
      </c>
      <c r="O33">
        <f>_xlfn.STDEV.S('R1'!N33,'R2'!N33,'R3'!N33)</f>
        <v>2.2520093341241994E-2</v>
      </c>
      <c r="P33">
        <f>_xlfn.STDEV.S('R1'!O33,'R2'!O33,'R3'!O33)</f>
        <v>4.0984353623569093E-3</v>
      </c>
    </row>
    <row r="34" spans="1:16" x14ac:dyDescent="0.25">
      <c r="A34">
        <f>AVERAGE('R1'!F34,'R2'!F34,'R3'!F34)</f>
        <v>0.11372216666666667</v>
      </c>
      <c r="B34">
        <f>AVERAGE('R1'!G34,'R2'!G34,'R3'!G34)</f>
        <v>19.23475075</v>
      </c>
      <c r="C34">
        <f>-'R1'!H34</f>
        <v>32</v>
      </c>
      <c r="D34">
        <f>DEGREES(ATAN(-SIN(RADIANS(('R1'!I34)))/(COS(RADIANS(Sheet1!C34))*COS(RADIANS('R1'!I34)))))</f>
        <v>-18.681627509923402</v>
      </c>
      <c r="E34">
        <f>AVERAGE('R1'!J34,'R2'!J34,'R3'!J34)</f>
        <v>1.1683333333333332</v>
      </c>
      <c r="F34">
        <f>AVERAGE('R1'!K34,'R2'!K34,'R3'!K34)</f>
        <v>5.7185174999999999</v>
      </c>
      <c r="G34">
        <f>AVERAGE('R1'!L34,'R2'!L34,'R3'!L34)</f>
        <v>-1.1729935968588929</v>
      </c>
      <c r="H34">
        <f>AVERAGE('R1'!M34,'R2'!M34,'R3'!M34)</f>
        <v>-1.8823306959755843</v>
      </c>
      <c r="I34">
        <f>AVERAGE('R1'!N34,'R2'!N34,'R3'!N34)</f>
        <v>-0.86849339679352255</v>
      </c>
      <c r="J34">
        <f>AVERAGE('R1'!O34,'R2'!O34,'R3'!O34)</f>
        <v>-0.41434725361616936</v>
      </c>
      <c r="K34">
        <f t="shared" si="1"/>
        <v>1113.5224354166664</v>
      </c>
      <c r="M34">
        <f>_xlfn.STDEV.S('R1'!L34,'R2'!L34,'R3'!L34)</f>
        <v>8.5830299142333356E-3</v>
      </c>
      <c r="N34">
        <f>_xlfn.STDEV.S('R1'!M34,'R2'!M34,'R3'!M34)</f>
        <v>1.4520979284979987E-2</v>
      </c>
      <c r="O34">
        <f>_xlfn.STDEV.S('R1'!N34,'R2'!N34,'R3'!N34)</f>
        <v>2.021098637309484E-2</v>
      </c>
      <c r="P34">
        <f>_xlfn.STDEV.S('R1'!O34,'R2'!O34,'R3'!O34)</f>
        <v>4.0995234464658642E-3</v>
      </c>
    </row>
    <row r="35" spans="1:16" x14ac:dyDescent="0.25">
      <c r="A35">
        <f>AVERAGE('R1'!F35,'R2'!F35,'R3'!F35)</f>
        <v>0.12996433333333332</v>
      </c>
      <c r="B35">
        <f>AVERAGE('R1'!G35,'R2'!G35,'R3'!G35)</f>
        <v>19.302893583333333</v>
      </c>
      <c r="C35">
        <f>-'R1'!H35</f>
        <v>32</v>
      </c>
      <c r="D35">
        <f>DEGREES(ATAN(-SIN(RADIANS(('R1'!I35)))/(COS(RADIANS(Sheet1!C35))*COS(RADIANS('R1'!I35)))))</f>
        <v>-23.228324501561271</v>
      </c>
      <c r="E35">
        <f>AVERAGE('R1'!J35,'R2'!J35,'R3'!J35)</f>
        <v>1.17</v>
      </c>
      <c r="F35">
        <f>AVERAGE('R1'!K35,'R2'!K35,'R3'!K35)</f>
        <v>5.7212125</v>
      </c>
      <c r="G35">
        <f>AVERAGE('R1'!L35,'R2'!L35,'R3'!L35)</f>
        <v>-1.3785815999056779</v>
      </c>
      <c r="H35">
        <f>AVERAGE('R1'!M35,'R2'!M35,'R3'!M35)</f>
        <v>-1.8673745627913723</v>
      </c>
      <c r="I35">
        <f>AVERAGE('R1'!N35,'R2'!N35,'R3'!N35)</f>
        <v>-0.94441796696771663</v>
      </c>
      <c r="J35">
        <f>AVERAGE('R1'!O35,'R2'!O35,'R3'!O35)</f>
        <v>-0.52334527140959219</v>
      </c>
      <c r="K35">
        <f t="shared" si="1"/>
        <v>1115.6364375000001</v>
      </c>
      <c r="M35">
        <f>_xlfn.STDEV.S('R1'!L35,'R2'!L35,'R3'!L35)</f>
        <v>8.4614439389697933E-3</v>
      </c>
      <c r="N35">
        <f>_xlfn.STDEV.S('R1'!M35,'R2'!M35,'R3'!M35)</f>
        <v>7.5152549563347014E-3</v>
      </c>
      <c r="O35">
        <f>_xlfn.STDEV.S('R1'!N35,'R2'!N35,'R3'!N35)</f>
        <v>2.1087812115008604E-2</v>
      </c>
      <c r="P35">
        <f>_xlfn.STDEV.S('R1'!O35,'R2'!O35,'R3'!O35)</f>
        <v>3.6479478593392524E-3</v>
      </c>
    </row>
    <row r="36" spans="1:16" x14ac:dyDescent="0.25">
      <c r="A36">
        <f>AVERAGE('R1'!F36,'R2'!F36,'R3'!F36)</f>
        <v>8.1237833333333329E-2</v>
      </c>
      <c r="B36">
        <f>AVERAGE('R1'!G36,'R2'!G36,'R3'!G36)</f>
        <v>19.688643916666667</v>
      </c>
      <c r="C36">
        <f>-'R1'!H36</f>
        <v>32</v>
      </c>
      <c r="D36">
        <f>DEGREES(ATAN(-SIN(RADIANS(('R1'!I36)))/(COS(RADIANS(Sheet1!C36))*COS(RADIANS('R1'!I36)))))</f>
        <v>-27.699654729206667</v>
      </c>
      <c r="E36">
        <f>AVERAGE('R1'!J36,'R2'!J36,'R3'!J36)</f>
        <v>1.1683333333333332</v>
      </c>
      <c r="F36">
        <f>AVERAGE('R1'!K36,'R2'!K36,'R3'!K36)</f>
        <v>5.7908280833333334</v>
      </c>
      <c r="G36">
        <f>AVERAGE('R1'!L36,'R2'!L36,'R3'!L36)</f>
        <v>-1.5829542385284467</v>
      </c>
      <c r="H36">
        <f>AVERAGE('R1'!M36,'R2'!M36,'R3'!M36)</f>
        <v>-1.903134791161964</v>
      </c>
      <c r="I36">
        <f>AVERAGE('R1'!N36,'R2'!N36,'R3'!N36)</f>
        <v>-1.0700519847682288</v>
      </c>
      <c r="J36">
        <f>AVERAGE('R1'!O36,'R2'!O36,'R3'!O36)</f>
        <v>-0.6582126301994311</v>
      </c>
      <c r="K36">
        <f t="shared" si="1"/>
        <v>1127.6029128935186</v>
      </c>
      <c r="M36">
        <f>_xlfn.STDEV.S('R1'!L36,'R2'!L36,'R3'!L36)</f>
        <v>7.6968866100169484E-3</v>
      </c>
      <c r="N36">
        <f>_xlfn.STDEV.S('R1'!M36,'R2'!M36,'R3'!M36)</f>
        <v>3.6329507885989164E-3</v>
      </c>
      <c r="O36">
        <f>_xlfn.STDEV.S('R1'!N36,'R2'!N36,'R3'!N36)</f>
        <v>1.1478814438026064E-2</v>
      </c>
      <c r="P36">
        <f>_xlfn.STDEV.S('R1'!O36,'R2'!O36,'R3'!O36)</f>
        <v>1.0584783100640193E-2</v>
      </c>
    </row>
    <row r="37" spans="1:16" x14ac:dyDescent="0.25">
      <c r="A37">
        <f>AVERAGE('R1'!F37,'R2'!F37,'R3'!F37)</f>
        <v>0.11372216666666667</v>
      </c>
      <c r="B37">
        <f>AVERAGE('R1'!G37,'R2'!G37,'R3'!G37)</f>
        <v>20.0488</v>
      </c>
      <c r="C37">
        <f>-'R1'!H37</f>
        <v>32</v>
      </c>
      <c r="D37">
        <f>DEGREES(ATAN(-SIN(RADIANS(('R1'!I37)))/(COS(RADIANS(Sheet1!C37))*COS(RADIANS('R1'!I37)))))</f>
        <v>-32.086900972819144</v>
      </c>
      <c r="E37">
        <f>AVERAGE('R1'!J37,'R2'!J37,'R3'!J37)</f>
        <v>1.1666666666666667</v>
      </c>
      <c r="F37">
        <f>AVERAGE('R1'!K37,'R2'!K37,'R3'!K37)</f>
        <v>5.8436162500000002</v>
      </c>
      <c r="G37">
        <f>AVERAGE('R1'!L37,'R2'!L37,'R3'!L37)</f>
        <v>-1.7815995805923588</v>
      </c>
      <c r="H37">
        <f>AVERAGE('R1'!M37,'R2'!M37,'R3'!M37)</f>
        <v>-1.9710662077260828</v>
      </c>
      <c r="I37">
        <f>AVERAGE('R1'!N37,'R2'!N37,'R3'!N37)</f>
        <v>-1.2310881059184293</v>
      </c>
      <c r="J37">
        <f>AVERAGE('R1'!O37,'R2'!O37,'R3'!O37)</f>
        <v>-0.81548493154124035</v>
      </c>
      <c r="K37">
        <f t="shared" si="1"/>
        <v>1136.2587152777778</v>
      </c>
      <c r="M37">
        <f>_xlfn.STDEV.S('R1'!L37,'R2'!L37,'R3'!L37)</f>
        <v>7.3043761382904559E-3</v>
      </c>
      <c r="N37">
        <f>_xlfn.STDEV.S('R1'!M37,'R2'!M37,'R3'!M37)</f>
        <v>9.8739668848229645E-3</v>
      </c>
      <c r="O37">
        <f>_xlfn.STDEV.S('R1'!N37,'R2'!N37,'R3'!N37)</f>
        <v>1.1445445109675637E-2</v>
      </c>
      <c r="P37">
        <f>_xlfn.STDEV.S('R1'!O37,'R2'!O37,'R3'!O37)</f>
        <v>1.5237406482890782E-3</v>
      </c>
    </row>
    <row r="38" spans="1:16" x14ac:dyDescent="0.25">
      <c r="A38">
        <f>AVERAGE('R1'!F38,'R2'!F38,'R3'!F38)</f>
        <v>0.11372216666666667</v>
      </c>
      <c r="B38">
        <f>AVERAGE('R1'!G38,'R2'!G38,'R3'!G38)</f>
        <v>20.249261749999999</v>
      </c>
      <c r="C38">
        <f>-'R1'!H38</f>
        <v>32</v>
      </c>
      <c r="D38">
        <f>DEGREES(ATAN(-SIN(RADIANS(('R1'!I38)))/(COS(RADIANS(Sheet1!C38))*COS(RADIANS('R1'!I38)))))</f>
        <v>-36.383993076218225</v>
      </c>
      <c r="E38">
        <f>AVERAGE('R1'!J38,'R2'!J38,'R3'!J38)</f>
        <v>1.165</v>
      </c>
      <c r="F38">
        <f>AVERAGE('R1'!K38,'R2'!K38,'R3'!K38)</f>
        <v>5.8771990833333332</v>
      </c>
      <c r="G38">
        <f>AVERAGE('R1'!L38,'R2'!L38,'R3'!L38)</f>
        <v>-1.9913756466705157</v>
      </c>
      <c r="H38">
        <f>AVERAGE('R1'!M38,'R2'!M38,'R3'!M38)</f>
        <v>-2.0812979728903884</v>
      </c>
      <c r="I38">
        <f>AVERAGE('R1'!N38,'R2'!N38,'R3'!N38)</f>
        <v>-1.4333899217891191</v>
      </c>
      <c r="J38">
        <f>AVERAGE('R1'!O38,'R2'!O38,'R3'!O38)</f>
        <v>-0.99597481170745927</v>
      </c>
      <c r="K38">
        <f t="shared" si="1"/>
        <v>1141.1561553472222</v>
      </c>
      <c r="M38">
        <f>_xlfn.STDEV.S('R1'!L38,'R2'!L38,'R3'!L38)</f>
        <v>2.5438682002721456E-2</v>
      </c>
      <c r="N38">
        <f>_xlfn.STDEV.S('R1'!M38,'R2'!M38,'R3'!M38)</f>
        <v>1.7983545772498982E-2</v>
      </c>
      <c r="O38">
        <f>_xlfn.STDEV.S('R1'!N38,'R2'!N38,'R3'!N38)</f>
        <v>3.2078811850215924E-2</v>
      </c>
      <c r="P38">
        <f>_xlfn.STDEV.S('R1'!O38,'R2'!O38,'R3'!O38)</f>
        <v>1.2224807915486196E-2</v>
      </c>
    </row>
    <row r="39" spans="1:16" x14ac:dyDescent="0.25">
      <c r="A39">
        <f>AVERAGE('R1'!F39,'R2'!F39,'R3'!F39)</f>
        <v>0.12996433333333332</v>
      </c>
      <c r="B39">
        <f>AVERAGE('R1'!G39,'R2'!G39,'R3'!G39)</f>
        <v>20.516435833333333</v>
      </c>
      <c r="C39">
        <f>-'R1'!H39</f>
        <v>32</v>
      </c>
      <c r="D39">
        <f>DEGREES(ATAN(-SIN(RADIANS(('R1'!I39)))/(COS(RADIANS(Sheet1!C39))*COS(RADIANS('R1'!I39)))))</f>
        <v>-40.587432696870117</v>
      </c>
      <c r="E39">
        <f>AVERAGE('R1'!J39,'R2'!J39,'R3'!J39)</f>
        <v>1.17</v>
      </c>
      <c r="F39">
        <f>AVERAGE('R1'!K39,'R2'!K39,'R3'!K39)</f>
        <v>5.9007401666666661</v>
      </c>
      <c r="G39">
        <f>AVERAGE('R1'!L39,'R2'!L39,'R3'!L39)</f>
        <v>-2.2256290913936483</v>
      </c>
      <c r="H39">
        <f>AVERAGE('R1'!M39,'R2'!M39,'R3'!M39)</f>
        <v>-2.2261983038306732</v>
      </c>
      <c r="I39">
        <f>AVERAGE('R1'!N39,'R2'!N39,'R3'!N39)</f>
        <v>-1.6887260480587256</v>
      </c>
      <c r="J39">
        <f>AVERAGE('R1'!O39,'R2'!O39,'R3'!O39)</f>
        <v>-1.2032731556024119</v>
      </c>
      <c r="K39">
        <f t="shared" si="1"/>
        <v>1150.6443324999998</v>
      </c>
      <c r="M39">
        <f>_xlfn.STDEV.S('R1'!L39,'R2'!L39,'R3'!L39)</f>
        <v>1.3778799307821794E-2</v>
      </c>
      <c r="N39">
        <f>_xlfn.STDEV.S('R1'!M39,'R2'!M39,'R3'!M39)</f>
        <v>9.3954018179358504E-3</v>
      </c>
      <c r="O39">
        <f>_xlfn.STDEV.S('R1'!N39,'R2'!N39,'R3'!N39)</f>
        <v>2.332874696767602E-2</v>
      </c>
      <c r="P39">
        <f>_xlfn.STDEV.S('R1'!O39,'R2'!O39,'R3'!O39)</f>
        <v>5.6533262206652597E-3</v>
      </c>
    </row>
    <row r="40" spans="1:16" x14ac:dyDescent="0.25">
      <c r="A40">
        <f>AVERAGE('R1'!F40,'R2'!F40,'R3'!F40)</f>
        <v>0.12996433333333332</v>
      </c>
      <c r="B40">
        <f>AVERAGE('R1'!G40,'R2'!G40,'R3'!G40)</f>
        <v>20.50349675</v>
      </c>
      <c r="C40">
        <f>-'R1'!H40</f>
        <v>28</v>
      </c>
      <c r="D40">
        <f>DEGREES(ATAN(-SIN(RADIANS(('R1'!I40)))/(COS(RADIANS(Sheet1!C40))*COS(RADIANS('R1'!I40)))))</f>
        <v>39.449608335498439</v>
      </c>
      <c r="E40">
        <f>AVERAGE('R1'!J40,'R2'!J40,'R3'!J40)</f>
        <v>1.17</v>
      </c>
      <c r="F40">
        <f>AVERAGE('R1'!K40,'R2'!K40,'R3'!K40)</f>
        <v>5.8972998333333324</v>
      </c>
      <c r="G40">
        <f>AVERAGE('R1'!L40,'R2'!L40,'R3'!L40)</f>
        <v>1.7560826388862278</v>
      </c>
      <c r="H40">
        <f>AVERAGE('R1'!M40,'R2'!M40,'R3'!M40)</f>
        <v>-1.7279918107054535</v>
      </c>
      <c r="I40">
        <f>AVERAGE('R1'!N40,'R2'!N40,'R3'!N40)</f>
        <v>-1.1013487634019181</v>
      </c>
      <c r="J40">
        <f>AVERAGE('R1'!O40,'R2'!O40,'R3'!O40)</f>
        <v>-0.85869660844076645</v>
      </c>
      <c r="K40">
        <f t="shared" si="1"/>
        <v>1149.9734674999997</v>
      </c>
      <c r="M40">
        <f>_xlfn.STDEV.S('R1'!L40,'R2'!L40,'R3'!L40)</f>
        <v>4.028812100535884E-3</v>
      </c>
      <c r="N40">
        <f>_xlfn.STDEV.S('R1'!M40,'R2'!M40,'R3'!M40)</f>
        <v>3.7137946303939279E-3</v>
      </c>
      <c r="O40">
        <f>_xlfn.STDEV.S('R1'!N40,'R2'!N40,'R3'!N40)</f>
        <v>1.1338664888514054E-2</v>
      </c>
      <c r="P40">
        <f>_xlfn.STDEV.S('R1'!O40,'R2'!O40,'R3'!O40)</f>
        <v>2.638479122877989E-3</v>
      </c>
    </row>
    <row r="41" spans="1:16" x14ac:dyDescent="0.25">
      <c r="A41">
        <f>AVERAGE('R1'!F41,'R2'!F41,'R3'!F41)</f>
        <v>0.11372216666666667</v>
      </c>
      <c r="B41">
        <f>AVERAGE('R1'!G41,'R2'!G41,'R3'!G41)</f>
        <v>20.569446833333334</v>
      </c>
      <c r="C41">
        <f>-'R1'!H41</f>
        <v>28</v>
      </c>
      <c r="D41">
        <f>DEGREES(ATAN(-SIN(RADIANS(('R1'!I41)))/(COS(RADIANS(Sheet1!C41))*COS(RADIANS('R1'!I41)))))</f>
        <v>35.287360012327973</v>
      </c>
      <c r="E41">
        <f>AVERAGE('R1'!J41,'R2'!J41,'R3'!J41)</f>
        <v>1.17</v>
      </c>
      <c r="F41">
        <f>AVERAGE('R1'!K41,'R2'!K41,'R3'!K41)</f>
        <v>5.9076054166666667</v>
      </c>
      <c r="G41">
        <f>AVERAGE('R1'!L41,'R2'!L41,'R3'!L41)</f>
        <v>1.602233534514701</v>
      </c>
      <c r="H41">
        <f>AVERAGE('R1'!M41,'R2'!M41,'R3'!M41)</f>
        <v>-1.6913161401581045</v>
      </c>
      <c r="I41">
        <f>AVERAGE('R1'!N41,'R2'!N41,'R3'!N41)</f>
        <v>-0.96643542552227901</v>
      </c>
      <c r="J41">
        <f>AVERAGE('R1'!O41,'R2'!O41,'R3'!O41)</f>
        <v>-0.70666280059464892</v>
      </c>
      <c r="K41">
        <f t="shared" si="1"/>
        <v>1151.9830562499999</v>
      </c>
      <c r="M41">
        <f>_xlfn.STDEV.S('R1'!L41,'R2'!L41,'R3'!L41)</f>
        <v>5.1166396522063697E-3</v>
      </c>
      <c r="N41">
        <f>_xlfn.STDEV.S('R1'!M41,'R2'!M41,'R3'!M41)</f>
        <v>6.5211987531113994E-3</v>
      </c>
      <c r="O41">
        <f>_xlfn.STDEV.S('R1'!N41,'R2'!N41,'R3'!N41)</f>
        <v>1.3785771998927061E-2</v>
      </c>
      <c r="P41">
        <f>_xlfn.STDEV.S('R1'!O41,'R2'!O41,'R3'!O41)</f>
        <v>2.175552219058787E-3</v>
      </c>
    </row>
    <row r="42" spans="1:16" x14ac:dyDescent="0.25">
      <c r="A42">
        <f>AVERAGE('R1'!F42,'R2'!F42,'R3'!F42)</f>
        <v>0.12996433333333332</v>
      </c>
      <c r="B42">
        <f>AVERAGE('R1'!G42,'R2'!G42,'R3'!G42)</f>
        <v>20.489356083333334</v>
      </c>
      <c r="C42">
        <f>-'R1'!H42</f>
        <v>28</v>
      </c>
      <c r="D42">
        <f>DEGREES(ATAN(-SIN(RADIANS(('R1'!I42)))/(COS(RADIANS(Sheet1!C42))*COS(RADIANS('R1'!I42)))))</f>
        <v>31.056274317680661</v>
      </c>
      <c r="E42">
        <f>AVERAGE('R1'!J42,'R2'!J42,'R3'!J42)</f>
        <v>1.1683333333333332</v>
      </c>
      <c r="F42">
        <f>AVERAGE('R1'!K42,'R2'!K42,'R3'!K42)</f>
        <v>5.897225999999999</v>
      </c>
      <c r="G42">
        <f>AVERAGE('R1'!L42,'R2'!L42,'R3'!L42)</f>
        <v>1.4451988674613407</v>
      </c>
      <c r="H42">
        <f>AVERAGE('R1'!M42,'R2'!M42,'R3'!M42)</f>
        <v>-1.6669404659497433</v>
      </c>
      <c r="I42">
        <f>AVERAGE('R1'!N42,'R2'!N42,'R3'!N42)</f>
        <v>-0.84753175500226796</v>
      </c>
      <c r="J42">
        <f>AVERAGE('R1'!O42,'R2'!O42,'R3'!O42)</f>
        <v>-0.5645841463890916</v>
      </c>
      <c r="K42">
        <f t="shared" si="1"/>
        <v>1148.3209516666666</v>
      </c>
      <c r="M42">
        <f>_xlfn.STDEV.S('R1'!L42,'R2'!L42,'R3'!L42)</f>
        <v>3.0866801328113661E-3</v>
      </c>
      <c r="N42">
        <f>_xlfn.STDEV.S('R1'!M42,'R2'!M42,'R3'!M42)</f>
        <v>7.0612353957243577E-3</v>
      </c>
      <c r="O42">
        <f>_xlfn.STDEV.S('R1'!N42,'R2'!N42,'R3'!N42)</f>
        <v>1.3352441625790546E-2</v>
      </c>
      <c r="P42">
        <f>_xlfn.STDEV.S('R1'!O42,'R2'!O42,'R3'!O42)</f>
        <v>3.605201745880172E-3</v>
      </c>
    </row>
    <row r="43" spans="1:16" x14ac:dyDescent="0.25">
      <c r="A43">
        <f>AVERAGE('R1'!F43,'R2'!F43,'R3'!F43)</f>
        <v>9.7479999999999997E-2</v>
      </c>
      <c r="B43">
        <f>AVERAGE('R1'!G43,'R2'!G43,'R3'!G43)</f>
        <v>20.20921375</v>
      </c>
      <c r="C43">
        <f>-'R1'!H43</f>
        <v>28</v>
      </c>
      <c r="D43">
        <f>DEGREES(ATAN(-SIN(RADIANS(('R1'!I43)))/(COS(RADIANS(Sheet1!C43))*COS(RADIANS('R1'!I43)))))</f>
        <v>26.759647654377044</v>
      </c>
      <c r="E43">
        <f>AVERAGE('R1'!J43,'R2'!J43,'R3'!J43)</f>
        <v>1.1675</v>
      </c>
      <c r="F43">
        <f>AVERAGE('R1'!K43,'R2'!K43,'R3'!K43)</f>
        <v>5.8642728333333336</v>
      </c>
      <c r="G43">
        <f>AVERAGE('R1'!L43,'R2'!L43,'R3'!L43)</f>
        <v>1.2773109914343044</v>
      </c>
      <c r="H43">
        <f>AVERAGE('R1'!M43,'R2'!M43,'R3'!M43)</f>
        <v>-1.6627530730761819</v>
      </c>
      <c r="I43">
        <f>AVERAGE('R1'!N43,'R2'!N43,'R3'!N43)</f>
        <v>-0.75788429687661107</v>
      </c>
      <c r="J43">
        <f>AVERAGE('R1'!O43,'R2'!O43,'R3'!O43)</f>
        <v>-0.43795247521758562</v>
      </c>
      <c r="K43">
        <f t="shared" si="1"/>
        <v>1141.0897554861112</v>
      </c>
      <c r="M43">
        <f>_xlfn.STDEV.S('R1'!L43,'R2'!L43,'R3'!L43)</f>
        <v>8.2464235715961638E-3</v>
      </c>
      <c r="N43">
        <f>_xlfn.STDEV.S('R1'!M43,'R2'!M43,'R3'!M43)</f>
        <v>5.0635511641550527E-3</v>
      </c>
      <c r="O43">
        <f>_xlfn.STDEV.S('R1'!N43,'R2'!N43,'R3'!N43)</f>
        <v>1.4122437023629419E-2</v>
      </c>
      <c r="P43">
        <f>_xlfn.STDEV.S('R1'!O43,'R2'!O43,'R3'!O43)</f>
        <v>7.2087545251343452E-3</v>
      </c>
    </row>
    <row r="44" spans="1:16" x14ac:dyDescent="0.25">
      <c r="A44">
        <f>AVERAGE('R1'!F44,'R2'!F44,'R3'!F44)</f>
        <v>9.7479999999999997E-2</v>
      </c>
      <c r="B44">
        <f>AVERAGE('R1'!G44,'R2'!G44,'R3'!G44)</f>
        <v>19.889060749999999</v>
      </c>
      <c r="C44">
        <f>-'R1'!H44</f>
        <v>28</v>
      </c>
      <c r="D44">
        <f>DEGREES(ATAN(-SIN(RADIANS(('R1'!I44)))/(COS(RADIANS(Sheet1!C44))*COS(RADIANS('R1'!I44)))))</f>
        <v>22.402523646885253</v>
      </c>
      <c r="E44">
        <f>AVERAGE('R1'!J44,'R2'!J44,'R3'!J44)</f>
        <v>1.1683333333333332</v>
      </c>
      <c r="F44">
        <f>AVERAGE('R1'!K44,'R2'!K44,'R3'!K44)</f>
        <v>5.8151556666666666</v>
      </c>
      <c r="G44">
        <f>AVERAGE('R1'!L44,'R2'!L44,'R3'!L44)</f>
        <v>1.0996197205201099</v>
      </c>
      <c r="H44">
        <f>AVERAGE('R1'!M44,'R2'!M44,'R3'!M44)</f>
        <v>-1.6841116126570785</v>
      </c>
      <c r="I44">
        <f>AVERAGE('R1'!N44,'R2'!N44,'R3'!N44)</f>
        <v>-0.68456968680572661</v>
      </c>
      <c r="J44">
        <f>AVERAGE('R1'!O44,'R2'!O44,'R3'!O44)</f>
        <v>-0.32115819369332882</v>
      </c>
      <c r="K44">
        <f t="shared" si="1"/>
        <v>1132.3400339814814</v>
      </c>
      <c r="M44">
        <f>_xlfn.STDEV.S('R1'!L44,'R2'!L44,'R3'!L44)</f>
        <v>3.8452793350019802E-3</v>
      </c>
      <c r="N44">
        <f>_xlfn.STDEV.S('R1'!M44,'R2'!M44,'R3'!M44)</f>
        <v>4.1918820534377395E-3</v>
      </c>
      <c r="O44">
        <f>_xlfn.STDEV.S('R1'!N44,'R2'!N44,'R3'!N44)</f>
        <v>1.2296767598728683E-2</v>
      </c>
      <c r="P44">
        <f>_xlfn.STDEV.S('R1'!O44,'R2'!O44,'R3'!O44)</f>
        <v>5.1313391216181127E-3</v>
      </c>
    </row>
    <row r="45" spans="1:16" x14ac:dyDescent="0.25">
      <c r="A45">
        <f>AVERAGE('R1'!F45,'R2'!F45,'R3'!F45)</f>
        <v>6.5034666666666671E-2</v>
      </c>
      <c r="B45">
        <f>AVERAGE('R1'!G45,'R2'!G45,'R3'!G45)</f>
        <v>19.341866749999998</v>
      </c>
      <c r="C45">
        <f>-'R1'!H45</f>
        <v>28</v>
      </c>
      <c r="D45">
        <f>DEGREES(ATAN(-SIN(RADIANS(('R1'!I45)))/(COS(RADIANS(Sheet1!C45))*COS(RADIANS('R1'!I45)))))</f>
        <v>17.991683837765329</v>
      </c>
      <c r="E45">
        <f>AVERAGE('R1'!J45,'R2'!J45,'R3'!J45)</f>
        <v>1.1683333333333332</v>
      </c>
      <c r="F45">
        <f>AVERAGE('R1'!K45,'R2'!K45,'R3'!K45)</f>
        <v>5.7402038333333332</v>
      </c>
      <c r="G45">
        <f>AVERAGE('R1'!L45,'R2'!L45,'R3'!L45)</f>
        <v>0.90440675354989386</v>
      </c>
      <c r="H45">
        <f>AVERAGE('R1'!M45,'R2'!M45,'R3'!M45)</f>
        <v>-1.7300448111686129</v>
      </c>
      <c r="I45">
        <f>AVERAGE('R1'!N45,'R2'!N45,'R3'!N45)</f>
        <v>-0.63783501829166467</v>
      </c>
      <c r="J45">
        <f>AVERAGE('R1'!O45,'R2'!O45,'R3'!O45)</f>
        <v>-0.20883550317187363</v>
      </c>
      <c r="K45">
        <f t="shared" si="1"/>
        <v>1117.7452464351852</v>
      </c>
      <c r="M45">
        <f>_xlfn.STDEV.S('R1'!L45,'R2'!L45,'R3'!L45)</f>
        <v>6.4807685247764398E-3</v>
      </c>
      <c r="N45">
        <f>_xlfn.STDEV.S('R1'!M45,'R2'!M45,'R3'!M45)</f>
        <v>1.1592949191319942E-2</v>
      </c>
      <c r="O45">
        <f>_xlfn.STDEV.S('R1'!N45,'R2'!N45,'R3'!N45)</f>
        <v>2.012436209133172E-2</v>
      </c>
      <c r="P45">
        <f>_xlfn.STDEV.S('R1'!O45,'R2'!O45,'R3'!O45)</f>
        <v>6.2799035837912184E-3</v>
      </c>
    </row>
    <row r="46" spans="1:16" x14ac:dyDescent="0.25">
      <c r="A46">
        <f>AVERAGE('R1'!F46,'R2'!F46,'R3'!F46)</f>
        <v>0.12996433333333332</v>
      </c>
      <c r="B46">
        <f>AVERAGE('R1'!G46,'R2'!G46,'R3'!G46)</f>
        <v>19.114694833333331</v>
      </c>
      <c r="C46">
        <f>-'R1'!H46</f>
        <v>28</v>
      </c>
      <c r="D46">
        <f>DEGREES(ATAN(-SIN(RADIANS(('R1'!I46)))/(COS(RADIANS(Sheet1!C46))*COS(RADIANS('R1'!I46)))))</f>
        <v>13.535556072482301</v>
      </c>
      <c r="E46">
        <f>AVERAGE('R1'!J46,'R2'!J46,'R3'!J46)</f>
        <v>1.1666666666666667</v>
      </c>
      <c r="F46">
        <f>AVERAGE('R1'!K46,'R2'!K46,'R3'!K46)</f>
        <v>5.7021907499999998</v>
      </c>
      <c r="G46">
        <f>AVERAGE('R1'!L46,'R2'!L46,'R3'!L46)</f>
        <v>0.70202136054938091</v>
      </c>
      <c r="H46">
        <f>AVERAGE('R1'!M46,'R2'!M46,'R3'!M46)</f>
        <v>-1.7872199461629164</v>
      </c>
      <c r="I46">
        <f>AVERAGE('R1'!N46,'R2'!N46,'R3'!N46)</f>
        <v>-0.60884322456852269</v>
      </c>
      <c r="J46">
        <f>AVERAGE('R1'!O46,'R2'!O46,'R3'!O46)</f>
        <v>-0.12803371608442313</v>
      </c>
      <c r="K46">
        <f t="shared" si="1"/>
        <v>1108.7593125000001</v>
      </c>
      <c r="M46">
        <f>_xlfn.STDEV.S('R1'!L46,'R2'!L46,'R3'!L46)</f>
        <v>4.6978546749103216E-3</v>
      </c>
      <c r="N46">
        <f>_xlfn.STDEV.S('R1'!M46,'R2'!M46,'R3'!M46)</f>
        <v>2.3203540438778879E-2</v>
      </c>
      <c r="O46">
        <f>_xlfn.STDEV.S('R1'!N46,'R2'!N46,'R3'!N46)</f>
        <v>2.0172893360898902E-2</v>
      </c>
      <c r="P46">
        <f>_xlfn.STDEV.S('R1'!O46,'R2'!O46,'R3'!O46)</f>
        <v>6.4027820937933751E-3</v>
      </c>
    </row>
    <row r="47" spans="1:16" x14ac:dyDescent="0.25">
      <c r="A47">
        <f>AVERAGE('R1'!F47,'R2'!F47,'R3'!F47)</f>
        <v>8.1276833333333326E-2</v>
      </c>
      <c r="B47">
        <f>AVERAGE('R1'!G47,'R2'!G47,'R3'!G47)</f>
        <v>19.007940000000001</v>
      </c>
      <c r="C47">
        <f>-'R1'!H47</f>
        <v>28</v>
      </c>
      <c r="D47">
        <f>DEGREES(ATAN(-SIN(RADIANS(('R1'!I47)))/(COS(RADIANS(Sheet1!C47))*COS(RADIANS('R1'!I47)))))</f>
        <v>9.0440332369115684</v>
      </c>
      <c r="E47">
        <f>AVERAGE('R1'!J47,'R2'!J47,'R3'!J47)</f>
        <v>1.1666666666666667</v>
      </c>
      <c r="F47">
        <f>AVERAGE('R1'!K47,'R2'!K47,'R3'!K47)</f>
        <v>5.6947528333333333</v>
      </c>
      <c r="G47">
        <f>AVERAGE('R1'!L47,'R2'!L47,'R3'!L47)</f>
        <v>0.46898062108797922</v>
      </c>
      <c r="H47">
        <f>AVERAGE('R1'!M47,'R2'!M47,'R3'!M47)</f>
        <v>-1.8761951227211104</v>
      </c>
      <c r="I47">
        <f>AVERAGE('R1'!N47,'R2'!N47,'R3'!N47)</f>
        <v>-0.60136896433549014</v>
      </c>
      <c r="J47">
        <f>AVERAGE('R1'!O47,'R2'!O47,'R3'!O47)</f>
        <v>-2.4444407122998366E-2</v>
      </c>
      <c r="K47">
        <f t="shared" si="1"/>
        <v>1107.3130509259258</v>
      </c>
      <c r="M47">
        <f>_xlfn.STDEV.S('R1'!L47,'R2'!L47,'R3'!L47)</f>
        <v>7.3781788296990733E-3</v>
      </c>
      <c r="N47">
        <f>_xlfn.STDEV.S('R1'!M47,'R2'!M47,'R3'!M47)</f>
        <v>1.3752755504325129E-2</v>
      </c>
      <c r="O47">
        <f>_xlfn.STDEV.S('R1'!N47,'R2'!N47,'R3'!N47)</f>
        <v>1.7423793927901249E-2</v>
      </c>
      <c r="P47">
        <f>_xlfn.STDEV.S('R1'!O47,'R2'!O47,'R3'!O47)</f>
        <v>1.1039887451274197E-2</v>
      </c>
    </row>
    <row r="48" spans="1:16" x14ac:dyDescent="0.25">
      <c r="A48">
        <f>AVERAGE('R1'!F48,'R2'!F48,'R3'!F48)</f>
        <v>8.1237833333333329E-2</v>
      </c>
      <c r="B48">
        <f>AVERAGE('R1'!G48,'R2'!G48,'R3'!G48)</f>
        <v>18.915293500000001</v>
      </c>
      <c r="C48">
        <f>-'R1'!H48</f>
        <v>28</v>
      </c>
      <c r="D48">
        <f>DEGREES(ATAN(-SIN(RADIANS(('R1'!I48)))/(COS(RADIANS(Sheet1!C48))*COS(RADIANS('R1'!I48)))))</f>
        <v>4.5282031595057557</v>
      </c>
      <c r="E48">
        <f>AVERAGE('R1'!J48,'R2'!J48,'R3'!J48)</f>
        <v>1.1683333333333332</v>
      </c>
      <c r="F48">
        <f>AVERAGE('R1'!K48,'R2'!K48,'R3'!K48)</f>
        <v>5.6772071666666664</v>
      </c>
      <c r="G48">
        <f>AVERAGE('R1'!L48,'R2'!L48,'R3'!L48)</f>
        <v>0.1957242382767107</v>
      </c>
      <c r="H48">
        <f>AVERAGE('R1'!M48,'R2'!M48,'R3'!M48)</f>
        <v>-1.9916189552165038</v>
      </c>
      <c r="I48">
        <f>AVERAGE('R1'!N48,'R2'!N48,'R3'!N48)</f>
        <v>-0.60634605966015254</v>
      </c>
      <c r="J48">
        <f>AVERAGE('R1'!O48,'R2'!O48,'R3'!O48)</f>
        <v>7.3233104330138341E-2</v>
      </c>
      <c r="K48">
        <f t="shared" si="1"/>
        <v>1105.4783955092591</v>
      </c>
      <c r="M48">
        <f>_xlfn.STDEV.S('R1'!L48,'R2'!L48,'R3'!L48)</f>
        <v>8.3063794245345855E-3</v>
      </c>
      <c r="N48">
        <f>_xlfn.STDEV.S('R1'!M48,'R2'!M48,'R3'!M48)</f>
        <v>1.3029108886367314E-2</v>
      </c>
      <c r="O48">
        <f>_xlfn.STDEV.S('R1'!N48,'R2'!N48,'R3'!N48)</f>
        <v>1.4500997420650761E-2</v>
      </c>
      <c r="P48">
        <f>_xlfn.STDEV.S('R1'!O48,'R2'!O48,'R3'!O48)</f>
        <v>6.9396307919724568E-3</v>
      </c>
    </row>
    <row r="49" spans="1:16" x14ac:dyDescent="0.25">
      <c r="A49">
        <f>AVERAGE('R1'!F49,'R2'!F49,'R3'!F49)</f>
        <v>0.11372216666666667</v>
      </c>
      <c r="B49">
        <f>AVERAGE('R1'!G49,'R2'!G49,'R3'!G49)</f>
        <v>19.047629499999999</v>
      </c>
      <c r="C49">
        <f>-'R1'!H49</f>
        <v>28</v>
      </c>
      <c r="D49">
        <f>DEGREES(ATAN(-SIN(RADIANS(('R1'!I49)))/(COS(RADIANS(Sheet1!C49))*COS(RADIANS('R1'!I49)))))</f>
        <v>0</v>
      </c>
      <c r="E49">
        <f>AVERAGE('R1'!J49,'R2'!J49,'R3'!J49)</f>
        <v>1.17</v>
      </c>
      <c r="F49">
        <f>AVERAGE('R1'!K49,'R2'!K49,'R3'!K49)</f>
        <v>5.6872699166666676</v>
      </c>
      <c r="G49">
        <f>AVERAGE('R1'!L49,'R2'!L49,'R3'!L49)</f>
        <v>-0.1167177949384081</v>
      </c>
      <c r="H49">
        <f>AVERAGE('R1'!M49,'R2'!M49,'R3'!M49)</f>
        <v>-2.0323470765723592</v>
      </c>
      <c r="I49">
        <f>AVERAGE('R1'!N49,'R2'!N49,'R3'!N49)</f>
        <v>-0.62175275303827082</v>
      </c>
      <c r="J49">
        <f>AVERAGE('R1'!O49,'R2'!O49,'R3'!O49)</f>
        <v>0.1030009862361439</v>
      </c>
      <c r="K49">
        <f t="shared" si="1"/>
        <v>1109.0176337500002</v>
      </c>
      <c r="M49">
        <f>_xlfn.STDEV.S('R1'!L49,'R2'!L49,'R3'!L49)</f>
        <v>6.9766790320958654E-3</v>
      </c>
      <c r="N49">
        <f>_xlfn.STDEV.S('R1'!M49,'R2'!M49,'R3'!M49)</f>
        <v>1.2866288699994226E-2</v>
      </c>
      <c r="O49">
        <f>_xlfn.STDEV.S('R1'!N49,'R2'!N49,'R3'!N49)</f>
        <v>1.2294876857010702E-2</v>
      </c>
      <c r="P49">
        <f>_xlfn.STDEV.S('R1'!O49,'R2'!O49,'R3'!O49)</f>
        <v>8.2159915172831091E-4</v>
      </c>
    </row>
    <row r="50" spans="1:16" x14ac:dyDescent="0.25">
      <c r="A50">
        <f>AVERAGE('R1'!F50,'R2'!F50,'R3'!F50)</f>
        <v>9.7479999999999997E-2</v>
      </c>
      <c r="B50">
        <f>AVERAGE('R1'!G50,'R2'!G50,'R3'!G50)</f>
        <v>19.168778833333331</v>
      </c>
      <c r="C50">
        <f>-'R1'!H50</f>
        <v>28</v>
      </c>
      <c r="D50">
        <f>DEGREES(ATAN(-SIN(RADIANS(('R1'!I50)))/(COS(RADIANS(Sheet1!C50))*COS(RADIANS('R1'!I50)))))</f>
        <v>-4.5282031595057557</v>
      </c>
      <c r="E50">
        <f>AVERAGE('R1'!J50,'R2'!J50,'R3'!J50)</f>
        <v>1.1666666666666667</v>
      </c>
      <c r="F50">
        <f>AVERAGE('R1'!K50,'R2'!K50,'R3'!K50)</f>
        <v>5.7153464999999999</v>
      </c>
      <c r="G50">
        <f>AVERAGE('R1'!L50,'R2'!L50,'R3'!L50)</f>
        <v>-0.41067010455851305</v>
      </c>
      <c r="H50">
        <f>AVERAGE('R1'!M50,'R2'!M50,'R3'!M50)</f>
        <v>-1.869286942777012</v>
      </c>
      <c r="I50">
        <f>AVERAGE('R1'!N50,'R2'!N50,'R3'!N50)</f>
        <v>-0.57509646141055715</v>
      </c>
      <c r="J50">
        <f>AVERAGE('R1'!O50,'R2'!O50,'R3'!O50)</f>
        <v>2.4432280376766119E-2</v>
      </c>
      <c r="K50">
        <f t="shared" si="1"/>
        <v>1111.3173750000001</v>
      </c>
      <c r="M50">
        <f>_xlfn.STDEV.S('R1'!L50,'R2'!L50,'R3'!L50)</f>
        <v>3.1539541701027475E-3</v>
      </c>
      <c r="N50">
        <f>_xlfn.STDEV.S('R1'!M50,'R2'!M50,'R3'!M50)</f>
        <v>4.5988284818708255E-3</v>
      </c>
      <c r="O50">
        <f>_xlfn.STDEV.S('R1'!N50,'R2'!N50,'R3'!N50)</f>
        <v>1.1906768105486694E-2</v>
      </c>
      <c r="P50">
        <f>_xlfn.STDEV.S('R1'!O50,'R2'!O50,'R3'!O50)</f>
        <v>4.6276669827852689E-3</v>
      </c>
    </row>
    <row r="51" spans="1:16" x14ac:dyDescent="0.25">
      <c r="A51">
        <f>AVERAGE('R1'!F51,'R2'!F51,'R3'!F51)</f>
        <v>8.1237833333333329E-2</v>
      </c>
      <c r="B51">
        <f>AVERAGE('R1'!G51,'R2'!G51,'R3'!G51)</f>
        <v>19.328857916666667</v>
      </c>
      <c r="C51">
        <f>-'R1'!H51</f>
        <v>28</v>
      </c>
      <c r="D51">
        <f>DEGREES(ATAN(-SIN(RADIANS(('R1'!I51)))/(COS(RADIANS(Sheet1!C51))*COS(RADIANS('R1'!I51)))))</f>
        <v>-9.0440332369115684</v>
      </c>
      <c r="E51">
        <f>AVERAGE('R1'!J51,'R2'!J51,'R3'!J51)</f>
        <v>1.1683333333333332</v>
      </c>
      <c r="F51">
        <f>AVERAGE('R1'!K51,'R2'!K51,'R3'!K51)</f>
        <v>5.7369202499999998</v>
      </c>
      <c r="G51">
        <f>AVERAGE('R1'!L51,'R2'!L51,'R3'!L51)</f>
        <v>-0.66581787496105926</v>
      </c>
      <c r="H51">
        <f>AVERAGE('R1'!M51,'R2'!M51,'R3'!M51)</f>
        <v>-1.7497831049885624</v>
      </c>
      <c r="I51">
        <f>AVERAGE('R1'!N51,'R2'!N51,'R3'!N51)</f>
        <v>-0.56768382157980024</v>
      </c>
      <c r="J51">
        <f>AVERAGE('R1'!O51,'R2'!O51,'R3'!O51)</f>
        <v>-5.8050409910820215E-2</v>
      </c>
      <c r="K51">
        <f t="shared" si="1"/>
        <v>1117.1058597916665</v>
      </c>
      <c r="M51">
        <f>_xlfn.STDEV.S('R1'!L51,'R2'!L51,'R3'!L51)</f>
        <v>1.5053315539008634E-2</v>
      </c>
      <c r="N51">
        <f>_xlfn.STDEV.S('R1'!M51,'R2'!M51,'R3'!M51)</f>
        <v>7.7855191980057163E-3</v>
      </c>
      <c r="O51">
        <f>_xlfn.STDEV.S('R1'!N51,'R2'!N51,'R3'!N51)</f>
        <v>2.0287332808309889E-2</v>
      </c>
      <c r="P51">
        <f>_xlfn.STDEV.S('R1'!O51,'R2'!O51,'R3'!O51)</f>
        <v>3.0450721400881479E-3</v>
      </c>
    </row>
    <row r="52" spans="1:16" x14ac:dyDescent="0.25">
      <c r="A52">
        <f>AVERAGE('R1'!F52,'R2'!F52,'R3'!F52)</f>
        <v>6.499566666666666E-2</v>
      </c>
      <c r="B52">
        <f>AVERAGE('R1'!G52,'R2'!G52,'R3'!G52)</f>
        <v>19.688640166666669</v>
      </c>
      <c r="C52">
        <f>-'R1'!H52</f>
        <v>28</v>
      </c>
      <c r="D52">
        <f>DEGREES(ATAN(-SIN(RADIANS(('R1'!I52)))/(COS(RADIANS(Sheet1!C52))*COS(RADIANS('R1'!I52)))))</f>
        <v>-13.535556072482301</v>
      </c>
      <c r="E52">
        <f>AVERAGE('R1'!J52,'R2'!J52,'R3'!J52)</f>
        <v>1.1675</v>
      </c>
      <c r="F52">
        <f>AVERAGE('R1'!K52,'R2'!K52,'R3'!K52)</f>
        <v>5.7953148333333333</v>
      </c>
      <c r="G52">
        <f>AVERAGE('R1'!L52,'R2'!L52,'R3'!L52)</f>
        <v>-0.89193666109172975</v>
      </c>
      <c r="H52">
        <f>AVERAGE('R1'!M52,'R2'!M52,'R3'!M52)</f>
        <v>-1.6673439550372169</v>
      </c>
      <c r="I52">
        <f>AVERAGE('R1'!N52,'R2'!N52,'R3'!N52)</f>
        <v>-0.58910769047569123</v>
      </c>
      <c r="J52">
        <f>AVERAGE('R1'!O52,'R2'!O52,'R3'!O52)</f>
        <v>-0.13883985696453829</v>
      </c>
      <c r="K52">
        <f t="shared" si="1"/>
        <v>1127.671677986111</v>
      </c>
      <c r="M52">
        <f>_xlfn.STDEV.S('R1'!L52,'R2'!L52,'R3'!L52)</f>
        <v>1.6869794787286674E-2</v>
      </c>
      <c r="N52">
        <f>_xlfn.STDEV.S('R1'!M52,'R2'!M52,'R3'!M52)</f>
        <v>2.618536616617284E-3</v>
      </c>
      <c r="O52">
        <f>_xlfn.STDEV.S('R1'!N52,'R2'!N52,'R3'!N52)</f>
        <v>1.4369417715696338E-2</v>
      </c>
      <c r="P52">
        <f>_xlfn.STDEV.S('R1'!O52,'R2'!O52,'R3'!O52)</f>
        <v>6.3920036629827462E-3</v>
      </c>
    </row>
    <row r="53" spans="1:16" x14ac:dyDescent="0.25">
      <c r="A53">
        <f>AVERAGE('R1'!F53,'R2'!F53,'R3'!F53)</f>
        <v>9.7479999999999997E-2</v>
      </c>
      <c r="B53">
        <f>AVERAGE('R1'!G53,'R2'!G53,'R3'!G53)</f>
        <v>20.102158750000001</v>
      </c>
      <c r="C53">
        <f>-'R1'!H53</f>
        <v>28</v>
      </c>
      <c r="D53">
        <f>DEGREES(ATAN(-SIN(RADIANS(('R1'!I53)))/(COS(RADIANS(Sheet1!C53))*COS(RADIANS('R1'!I53)))))</f>
        <v>-17.991683837765329</v>
      </c>
      <c r="E53">
        <f>AVERAGE('R1'!J53,'R2'!J53,'R3'!J53)</f>
        <v>1.1683333333333332</v>
      </c>
      <c r="F53">
        <f>AVERAGE('R1'!K53,'R2'!K53,'R3'!K53)</f>
        <v>5.8490992499999992</v>
      </c>
      <c r="G53">
        <f>AVERAGE('R1'!L53,'R2'!L53,'R3'!L53)</f>
        <v>-1.1136794272433999</v>
      </c>
      <c r="H53">
        <f>AVERAGE('R1'!M53,'R2'!M53,'R3'!M53)</f>
        <v>-1.6317314426816967</v>
      </c>
      <c r="I53">
        <f>AVERAGE('R1'!N53,'R2'!N53,'R3'!N53)</f>
        <v>-0.65792908126547867</v>
      </c>
      <c r="J53">
        <f>AVERAGE('R1'!O53,'R2'!O53,'R3'!O53)</f>
        <v>-0.23468442888309451</v>
      </c>
      <c r="K53">
        <f t="shared" si="1"/>
        <v>1138.9496039583332</v>
      </c>
      <c r="M53">
        <f>_xlfn.STDEV.S('R1'!L53,'R2'!L53,'R3'!L53)</f>
        <v>1.2466898499237494E-2</v>
      </c>
      <c r="N53">
        <f>_xlfn.STDEV.S('R1'!M53,'R2'!M53,'R3'!M53)</f>
        <v>6.1123027993307414E-3</v>
      </c>
      <c r="O53">
        <f>_xlfn.STDEV.S('R1'!N53,'R2'!N53,'R3'!N53)</f>
        <v>1.8905406547366242E-2</v>
      </c>
      <c r="P53">
        <f>_xlfn.STDEV.S('R1'!O53,'R2'!O53,'R3'!O53)</f>
        <v>1.3408027009905162E-3</v>
      </c>
    </row>
    <row r="54" spans="1:16" x14ac:dyDescent="0.25">
      <c r="A54">
        <f>AVERAGE('R1'!F54,'R2'!F54,'R3'!F54)</f>
        <v>0.11372216666666667</v>
      </c>
      <c r="B54">
        <f>AVERAGE('R1'!G54,'R2'!G54,'R3'!G54)</f>
        <v>20.328545833333333</v>
      </c>
      <c r="C54">
        <f>-'R1'!H54</f>
        <v>28</v>
      </c>
      <c r="D54">
        <f>DEGREES(ATAN(-SIN(RADIANS(('R1'!I54)))/(COS(RADIANS(Sheet1!C54))*COS(RADIANS('R1'!I54)))))</f>
        <v>-22.402523646885253</v>
      </c>
      <c r="E54">
        <f>AVERAGE('R1'!J54,'R2'!J54,'R3'!J54)</f>
        <v>1.17</v>
      </c>
      <c r="F54">
        <f>AVERAGE('R1'!K54,'R2'!K54,'R3'!K54)</f>
        <v>5.8757022499999998</v>
      </c>
      <c r="G54">
        <f>AVERAGE('R1'!L54,'R2'!L54,'R3'!L54)</f>
        <v>-1.3196648651606928</v>
      </c>
      <c r="H54">
        <f>AVERAGE('R1'!M54,'R2'!M54,'R3'!M54)</f>
        <v>-1.6395180224083858</v>
      </c>
      <c r="I54">
        <f>AVERAGE('R1'!N54,'R2'!N54,'R3'!N54)</f>
        <v>-0.75576062341992933</v>
      </c>
      <c r="J54">
        <f>AVERAGE('R1'!O54,'R2'!O54,'R3'!O54)</f>
        <v>-0.3508325410802085</v>
      </c>
      <c r="K54">
        <f t="shared" si="1"/>
        <v>1145.7619387499999</v>
      </c>
      <c r="M54">
        <f>_xlfn.STDEV.S('R1'!L54,'R2'!L54,'R3'!L54)</f>
        <v>1.997878984534391E-2</v>
      </c>
      <c r="N54">
        <f>_xlfn.STDEV.S('R1'!M54,'R2'!M54,'R3'!M54)</f>
        <v>1.288741966017452E-2</v>
      </c>
      <c r="O54">
        <f>_xlfn.STDEV.S('R1'!N54,'R2'!N54,'R3'!N54)</f>
        <v>2.221287878974584E-2</v>
      </c>
      <c r="P54">
        <f>_xlfn.STDEV.S('R1'!O54,'R2'!O54,'R3'!O54)</f>
        <v>2.9534476029509909E-3</v>
      </c>
    </row>
    <row r="55" spans="1:16" x14ac:dyDescent="0.25">
      <c r="A55">
        <f>AVERAGE('R1'!F55,'R2'!F55,'R3'!F55)</f>
        <v>0.11372216666666667</v>
      </c>
      <c r="B55">
        <f>AVERAGE('R1'!G55,'R2'!G55,'R3'!G55)</f>
        <v>20.448980666666667</v>
      </c>
      <c r="C55">
        <f>-'R1'!H55</f>
        <v>28</v>
      </c>
      <c r="D55">
        <f>DEGREES(ATAN(-SIN(RADIANS(('R1'!I55)))/(COS(RADIANS(Sheet1!C55))*COS(RADIANS('R1'!I55)))))</f>
        <v>-26.759647654377044</v>
      </c>
      <c r="E55">
        <f>AVERAGE('R1'!J55,'R2'!J55,'R3'!J55)</f>
        <v>1.1675</v>
      </c>
      <c r="F55">
        <f>AVERAGE('R1'!K55,'R2'!K55,'R3'!K55)</f>
        <v>5.8990038333333326</v>
      </c>
      <c r="G55">
        <f>AVERAGE('R1'!L55,'R2'!L55,'R3'!L55)</f>
        <v>-1.5292496086224869</v>
      </c>
      <c r="H55">
        <f>AVERAGE('R1'!M55,'R2'!M55,'R3'!M55)</f>
        <v>-1.6888937480672217</v>
      </c>
      <c r="I55">
        <f>AVERAGE('R1'!N55,'R2'!N55,'R3'!N55)</f>
        <v>-0.89186290359900955</v>
      </c>
      <c r="J55">
        <f>AVERAGE('R1'!O55,'R2'!O55,'R3'!O55)</f>
        <v>-0.48982476662217828</v>
      </c>
      <c r="K55">
        <f t="shared" si="1"/>
        <v>1147.847829236111</v>
      </c>
      <c r="M55">
        <f>_xlfn.STDEV.S('R1'!L55,'R2'!L55,'R3'!L55)</f>
        <v>1.1140388121024266E-2</v>
      </c>
      <c r="N55">
        <f>_xlfn.STDEV.S('R1'!M55,'R2'!M55,'R3'!M55)</f>
        <v>7.2659257590599498E-3</v>
      </c>
      <c r="O55">
        <f>_xlfn.STDEV.S('R1'!N55,'R2'!N55,'R3'!N55)</f>
        <v>1.7689765715642857E-2</v>
      </c>
      <c r="P55">
        <f>_xlfn.STDEV.S('R1'!O55,'R2'!O55,'R3'!O55)</f>
        <v>3.0494326681615473E-3</v>
      </c>
    </row>
    <row r="56" spans="1:16" x14ac:dyDescent="0.25">
      <c r="A56">
        <f>AVERAGE('R1'!F56,'R2'!F56,'R3'!F56)</f>
        <v>8.1237833333333329E-2</v>
      </c>
      <c r="B56">
        <f>AVERAGE('R1'!G56,'R2'!G56,'R3'!G56)</f>
        <v>20.3967785</v>
      </c>
      <c r="C56">
        <f>-'R1'!H56</f>
        <v>28</v>
      </c>
      <c r="D56">
        <f>DEGREES(ATAN(-SIN(RADIANS(('R1'!I56)))/(COS(RADIANS(Sheet1!C56))*COS(RADIANS('R1'!I56)))))</f>
        <v>-31.056274317680661</v>
      </c>
      <c r="E56">
        <f>AVERAGE('R1'!J56,'R2'!J56,'R3'!J56)</f>
        <v>1.17</v>
      </c>
      <c r="F56">
        <f>AVERAGE('R1'!K56,'R2'!K56,'R3'!K56)</f>
        <v>5.8882750000000001</v>
      </c>
      <c r="G56">
        <f>AVERAGE('R1'!L56,'R2'!L56,'R3'!L56)</f>
        <v>-1.7313621530923908</v>
      </c>
      <c r="H56">
        <f>AVERAGE('R1'!M56,'R2'!M56,'R3'!M56)</f>
        <v>-1.7711873425973153</v>
      </c>
      <c r="I56">
        <f>AVERAGE('R1'!N56,'R2'!N56,'R3'!N56)</f>
        <v>-1.0556567084409008</v>
      </c>
      <c r="J56">
        <f>AVERAGE('R1'!O56,'R2'!O56,'R3'!O56)</f>
        <v>-0.64906249951435468</v>
      </c>
      <c r="K56">
        <f t="shared" si="1"/>
        <v>1148.2136250000001</v>
      </c>
      <c r="M56">
        <f>_xlfn.STDEV.S('R1'!L56,'R2'!L56,'R3'!L56)</f>
        <v>1.5231451366674108E-2</v>
      </c>
      <c r="N56">
        <f>_xlfn.STDEV.S('R1'!M56,'R2'!M56,'R3'!M56)</f>
        <v>1.1944266360312329E-2</v>
      </c>
      <c r="O56">
        <f>_xlfn.STDEV.S('R1'!N56,'R2'!N56,'R3'!N56)</f>
        <v>2.6098133422389352E-2</v>
      </c>
      <c r="P56">
        <f>_xlfn.STDEV.S('R1'!O56,'R2'!O56,'R3'!O56)</f>
        <v>8.4223864112021839E-3</v>
      </c>
    </row>
    <row r="57" spans="1:16" x14ac:dyDescent="0.25">
      <c r="A57">
        <f>AVERAGE('R1'!F57,'R2'!F57,'R3'!F57)</f>
        <v>6.499566666666666E-2</v>
      </c>
      <c r="B57">
        <f>AVERAGE('R1'!G57,'R2'!G57,'R3'!G57)</f>
        <v>20.462735083333332</v>
      </c>
      <c r="C57">
        <f>-'R1'!H57</f>
        <v>28</v>
      </c>
      <c r="D57">
        <f>DEGREES(ATAN(-SIN(RADIANS(('R1'!I57)))/(COS(RADIANS(Sheet1!C57))*COS(RADIANS('R1'!I57)))))</f>
        <v>-35.287360012327973</v>
      </c>
      <c r="E57">
        <f>AVERAGE('R1'!J57,'R2'!J57,'R3'!J57)</f>
        <v>1.1691666666666667</v>
      </c>
      <c r="F57">
        <f>AVERAGE('R1'!K57,'R2'!K57,'R3'!K57)</f>
        <v>5.9008974999999992</v>
      </c>
      <c r="G57">
        <f>AVERAGE('R1'!L57,'R2'!L57,'R3'!L57)</f>
        <v>-1.9661629142384331</v>
      </c>
      <c r="H57">
        <f>AVERAGE('R1'!M57,'R2'!M57,'R3'!M57)</f>
        <v>-1.895848235181661</v>
      </c>
      <c r="I57">
        <f>AVERAGE('R1'!N57,'R2'!N57,'R3'!N57)</f>
        <v>-1.2888654051767461</v>
      </c>
      <c r="J57">
        <f>AVERAGE('R1'!O57,'R2'!O57,'R3'!O57)</f>
        <v>-0.8371145862092968</v>
      </c>
      <c r="K57">
        <f t="shared" si="1"/>
        <v>1149.8554434027778</v>
      </c>
      <c r="M57">
        <f>_xlfn.STDEV.S('R1'!L57,'R2'!L57,'R3'!L57)</f>
        <v>2.4744772550049338E-2</v>
      </c>
      <c r="N57">
        <f>_xlfn.STDEV.S('R1'!M57,'R2'!M57,'R3'!M57)</f>
        <v>1.3253239644814179E-2</v>
      </c>
      <c r="O57">
        <f>_xlfn.STDEV.S('R1'!N57,'R2'!N57,'R3'!N57)</f>
        <v>2.8562898242588335E-2</v>
      </c>
      <c r="P57">
        <f>_xlfn.STDEV.S('R1'!O57,'R2'!O57,'R3'!O57)</f>
        <v>1.4250412420229269E-2</v>
      </c>
    </row>
    <row r="58" spans="1:16" x14ac:dyDescent="0.25">
      <c r="A58">
        <f>AVERAGE('R1'!F58,'R2'!F58,'R3'!F58)</f>
        <v>0.11372216666666667</v>
      </c>
      <c r="B58">
        <f>AVERAGE('R1'!G58,'R2'!G58,'R3'!G58)</f>
        <v>20.288966416666668</v>
      </c>
      <c r="C58">
        <f>-'R1'!H58</f>
        <v>28</v>
      </c>
      <c r="D58">
        <f>DEGREES(ATAN(-SIN(RADIANS(('R1'!I58)))/(COS(RADIANS(Sheet1!C58))*COS(RADIANS('R1'!I58)))))</f>
        <v>-39.449608335498439</v>
      </c>
      <c r="E58">
        <f>AVERAGE('R1'!J58,'R2'!J58,'R3'!J58)</f>
        <v>1.17</v>
      </c>
      <c r="F58">
        <f>AVERAGE('R1'!K58,'R2'!K58,'R3'!K58)</f>
        <v>5.8667221666666665</v>
      </c>
      <c r="G58">
        <f>AVERAGE('R1'!L58,'R2'!L58,'R3'!L58)</f>
        <v>-2.2395490408502852</v>
      </c>
      <c r="H58">
        <f>AVERAGE('R1'!M58,'R2'!M58,'R3'!M58)</f>
        <v>-2.0643437089324759</v>
      </c>
      <c r="I58">
        <f>AVERAGE('R1'!N58,'R2'!N58,'R3'!N58)</f>
        <v>-1.5904924214746965</v>
      </c>
      <c r="J58">
        <f>AVERAGE('R1'!O58,'R2'!O58,'R3'!O58)</f>
        <v>-1.0679214861528397</v>
      </c>
      <c r="K58">
        <f t="shared" si="1"/>
        <v>1144.0108224999999</v>
      </c>
      <c r="M58">
        <f>_xlfn.STDEV.S('R1'!L58,'R2'!L58,'R3'!L58)</f>
        <v>3.2660090725150806E-3</v>
      </c>
      <c r="N58">
        <f>_xlfn.STDEV.S('R1'!M58,'R2'!M58,'R3'!M58)</f>
        <v>8.4358681066951137E-3</v>
      </c>
      <c r="O58">
        <f>_xlfn.STDEV.S('R1'!N58,'R2'!N58,'R3'!N58)</f>
        <v>8.387403100511448E-3</v>
      </c>
      <c r="P58">
        <f>_xlfn.STDEV.S('R1'!O58,'R2'!O58,'R3'!O58)</f>
        <v>8.6390046842746877E-3</v>
      </c>
    </row>
    <row r="59" spans="1:16" x14ac:dyDescent="0.25">
      <c r="A59">
        <f>AVERAGE('R1'!F59,'R2'!F59,'R3'!F59)</f>
        <v>9.7479999999999997E-2</v>
      </c>
      <c r="B59">
        <f>AVERAGE('R1'!G59,'R2'!G59,'R3'!G59)</f>
        <v>19.982089999999999</v>
      </c>
      <c r="C59">
        <f>-'R1'!H59</f>
        <v>24</v>
      </c>
      <c r="D59">
        <f>DEGREES(ATAN(-SIN(RADIANS(('R1'!I59)))/(COS(RADIANS(Sheet1!C59))*COS(RADIANS('R1'!I59)))))</f>
        <v>38.495223358359183</v>
      </c>
      <c r="E59">
        <f>AVERAGE('R1'!J59,'R2'!J59,'R3'!J59)</f>
        <v>1.1691666666666667</v>
      </c>
      <c r="F59">
        <f>AVERAGE('R1'!K59,'R2'!K59,'R3'!K59)</f>
        <v>5.827219416666666</v>
      </c>
      <c r="G59">
        <f>AVERAGE('R1'!L59,'R2'!L59,'R3'!L59)</f>
        <v>1.7625258774928947</v>
      </c>
      <c r="H59">
        <f>AVERAGE('R1'!M59,'R2'!M59,'R3'!M59)</f>
        <v>-1.5703406681071084</v>
      </c>
      <c r="I59">
        <f>AVERAGE('R1'!N59,'R2'!N59,'R3'!N59)</f>
        <v>-1.0154998914912816</v>
      </c>
      <c r="J59">
        <f>AVERAGE('R1'!O59,'R2'!O59,'R3'!O59)</f>
        <v>-0.73795838263854596</v>
      </c>
      <c r="K59">
        <f t="shared" si="1"/>
        <v>1135.4984502199072</v>
      </c>
      <c r="M59">
        <f>_xlfn.STDEV.S('R1'!L59,'R2'!L59,'R3'!L59)</f>
        <v>9.6279960718406478E-3</v>
      </c>
      <c r="N59">
        <f>_xlfn.STDEV.S('R1'!M59,'R2'!M59,'R3'!M59)</f>
        <v>8.9894467103593355E-3</v>
      </c>
      <c r="O59">
        <f>_xlfn.STDEV.S('R1'!N59,'R2'!N59,'R3'!N59)</f>
        <v>1.7000733496924932E-2</v>
      </c>
      <c r="P59">
        <f>_xlfn.STDEV.S('R1'!O59,'R2'!O59,'R3'!O59)</f>
        <v>5.7270982598043507E-3</v>
      </c>
    </row>
    <row r="60" spans="1:16" x14ac:dyDescent="0.25">
      <c r="A60">
        <f>AVERAGE('R1'!F60,'R2'!F60,'R3'!F60)</f>
        <v>0.11372216666666667</v>
      </c>
      <c r="B60">
        <f>AVERAGE('R1'!G60,'R2'!G60,'R3'!G60)</f>
        <v>19.781997333333333</v>
      </c>
      <c r="C60">
        <f>-'R1'!H60</f>
        <v>24</v>
      </c>
      <c r="D60">
        <f>DEGREES(ATAN(-SIN(RADIANS(('R1'!I60)))/(COS(RADIANS(Sheet1!C60))*COS(RADIANS('R1'!I60)))))</f>
        <v>34.372309890771753</v>
      </c>
      <c r="E60">
        <f>AVERAGE('R1'!J60,'R2'!J60,'R3'!J60)</f>
        <v>1.1675</v>
      </c>
      <c r="F60">
        <f>AVERAGE('R1'!K60,'R2'!K60,'R3'!K60)</f>
        <v>5.7989774999999995</v>
      </c>
      <c r="G60">
        <f>AVERAGE('R1'!L60,'R2'!L60,'R3'!L60)</f>
        <v>1.5944607040676519</v>
      </c>
      <c r="H60">
        <f>AVERAGE('R1'!M60,'R2'!M60,'R3'!M60)</f>
        <v>-1.5152639407058015</v>
      </c>
      <c r="I60">
        <f>AVERAGE('R1'!N60,'R2'!N60,'R3'!N60)</f>
        <v>-0.85625325451319456</v>
      </c>
      <c r="J60">
        <f>AVERAGE('R1'!O60,'R2'!O60,'R3'!O60)</f>
        <v>-0.57324947248889468</v>
      </c>
      <c r="K60">
        <f t="shared" si="1"/>
        <v>1128.3843718749999</v>
      </c>
      <c r="M60">
        <f>_xlfn.STDEV.S('R1'!L60,'R2'!L60,'R3'!L60)</f>
        <v>2.0943001649922658E-3</v>
      </c>
      <c r="N60">
        <f>_xlfn.STDEV.S('R1'!M60,'R2'!M60,'R3'!M60)</f>
        <v>7.6206191602060137E-3</v>
      </c>
      <c r="O60">
        <f>_xlfn.STDEV.S('R1'!N60,'R2'!N60,'R3'!N60)</f>
        <v>1.6801034027175057E-2</v>
      </c>
      <c r="P60">
        <f>_xlfn.STDEV.S('R1'!O60,'R2'!O60,'R3'!O60)</f>
        <v>4.7626990615149715E-3</v>
      </c>
    </row>
    <row r="61" spans="1:16" x14ac:dyDescent="0.25">
      <c r="A61">
        <f>AVERAGE('R1'!F61,'R2'!F61,'R3'!F61)</f>
        <v>4.8753499999999998E-2</v>
      </c>
      <c r="B61">
        <f>AVERAGE('R1'!G61,'R2'!G61,'R3'!G61)</f>
        <v>19.342126166666667</v>
      </c>
      <c r="C61">
        <f>-'R1'!H61</f>
        <v>24</v>
      </c>
      <c r="D61">
        <f>DEGREES(ATAN(-SIN(RADIANS(('R1'!I61)))/(COS(RADIANS(Sheet1!C61))*COS(RADIANS('R1'!I61)))))</f>
        <v>30.200622081370245</v>
      </c>
      <c r="E61">
        <f>AVERAGE('R1'!J61,'R2'!J61,'R3'!J61)</f>
        <v>1.17</v>
      </c>
      <c r="F61">
        <f>AVERAGE('R1'!K61,'R2'!K61,'R3'!K61)</f>
        <v>5.7367939999999997</v>
      </c>
      <c r="G61">
        <f>AVERAGE('R1'!L61,'R2'!L61,'R3'!L61)</f>
        <v>1.431165337549805</v>
      </c>
      <c r="H61">
        <f>AVERAGE('R1'!M61,'R2'!M61,'R3'!M61)</f>
        <v>-1.475501092622957</v>
      </c>
      <c r="I61">
        <f>AVERAGE('R1'!N61,'R2'!N61,'R3'!N61)</f>
        <v>-0.72660377301728796</v>
      </c>
      <c r="J61">
        <f>AVERAGE('R1'!O61,'R2'!O61,'R3'!O61)</f>
        <v>-0.41941481147123622</v>
      </c>
      <c r="K61">
        <f t="shared" si="1"/>
        <v>1118.6748299999999</v>
      </c>
      <c r="M61">
        <f>_xlfn.STDEV.S('R1'!L61,'R2'!L61,'R3'!L61)</f>
        <v>6.7180540988114141E-3</v>
      </c>
      <c r="N61">
        <f>_xlfn.STDEV.S('R1'!M61,'R2'!M61,'R3'!M61)</f>
        <v>1.0084409479560356E-2</v>
      </c>
      <c r="O61">
        <f>_xlfn.STDEV.S('R1'!N61,'R2'!N61,'R3'!N61)</f>
        <v>1.0750763702592087E-2</v>
      </c>
      <c r="P61">
        <f>_xlfn.STDEV.S('R1'!O61,'R2'!O61,'R3'!O61)</f>
        <v>6.3068770806623828E-3</v>
      </c>
    </row>
    <row r="62" spans="1:16" x14ac:dyDescent="0.25">
      <c r="A62">
        <f>AVERAGE('R1'!F62,'R2'!F62,'R3'!F62)</f>
        <v>0.11372216666666667</v>
      </c>
      <c r="B62">
        <f>AVERAGE('R1'!G62,'R2'!G62,'R3'!G62)</f>
        <v>19.088398000000002</v>
      </c>
      <c r="C62">
        <f>-'R1'!H62</f>
        <v>24</v>
      </c>
      <c r="D62">
        <f>DEGREES(ATAN(-SIN(RADIANS(('R1'!I62)))/(COS(RADIANS(Sheet1!C62))*COS(RADIANS('R1'!I62)))))</f>
        <v>25.982912809070061</v>
      </c>
      <c r="E62">
        <f>AVERAGE('R1'!J62,'R2'!J62,'R3'!J62)</f>
        <v>1.1683333333333332</v>
      </c>
      <c r="F62">
        <f>AVERAGE('R1'!K62,'R2'!K62,'R3'!K62)</f>
        <v>5.6960590000000009</v>
      </c>
      <c r="G62">
        <f>AVERAGE('R1'!L62,'R2'!L62,'R3'!L62)</f>
        <v>1.252659210595028</v>
      </c>
      <c r="H62">
        <f>AVERAGE('R1'!M62,'R2'!M62,'R3'!M62)</f>
        <v>-1.4600354479992343</v>
      </c>
      <c r="I62">
        <f>AVERAGE('R1'!N62,'R2'!N62,'R3'!N62)</f>
        <v>-0.61305794032795646</v>
      </c>
      <c r="J62">
        <f>AVERAGE('R1'!O62,'R2'!O62,'R3'!O62)</f>
        <v>-0.28581814804266398</v>
      </c>
      <c r="K62">
        <f t="shared" si="1"/>
        <v>1109.1492663888889</v>
      </c>
      <c r="M62">
        <f>_xlfn.STDEV.S('R1'!L62,'R2'!L62,'R3'!L62)</f>
        <v>6.1332623553370181E-3</v>
      </c>
      <c r="N62">
        <f>_xlfn.STDEV.S('R1'!M62,'R2'!M62,'R3'!M62)</f>
        <v>5.4181042597626697E-3</v>
      </c>
      <c r="O62">
        <f>_xlfn.STDEV.S('R1'!N62,'R2'!N62,'R3'!N62)</f>
        <v>1.1378608983251411E-2</v>
      </c>
      <c r="P62">
        <f>_xlfn.STDEV.S('R1'!O62,'R2'!O62,'R3'!O62)</f>
        <v>1.4346916607679465E-3</v>
      </c>
    </row>
    <row r="63" spans="1:16" x14ac:dyDescent="0.25">
      <c r="A63">
        <f>AVERAGE('R1'!F63,'R2'!F63,'R3'!F63)</f>
        <v>9.7479999999999997E-2</v>
      </c>
      <c r="B63">
        <f>AVERAGE('R1'!G63,'R2'!G63,'R3'!G63)</f>
        <v>18.915620499999999</v>
      </c>
      <c r="C63">
        <f>-'R1'!H63</f>
        <v>24</v>
      </c>
      <c r="D63">
        <f>DEGREES(ATAN(-SIN(RADIANS(('R1'!I63)))/(COS(RADIANS(Sheet1!C63))*COS(RADIANS('R1'!I63)))))</f>
        <v>21.723080079379415</v>
      </c>
      <c r="E63">
        <f>AVERAGE('R1'!J63,'R2'!J63,'R3'!J63)</f>
        <v>1.1666666666666667</v>
      </c>
      <c r="F63">
        <f>AVERAGE('R1'!K63,'R2'!K63,'R3'!K63)</f>
        <v>5.6781911666666671</v>
      </c>
      <c r="G63">
        <f>AVERAGE('R1'!L63,'R2'!L63,'R3'!L63)</f>
        <v>1.0738827650727965</v>
      </c>
      <c r="H63">
        <f>AVERAGE('R1'!M63,'R2'!M63,'R3'!M63)</f>
        <v>-1.4662108682081538</v>
      </c>
      <c r="I63">
        <f>AVERAGE('R1'!N63,'R2'!N63,'R3'!N63)</f>
        <v>-0.52242792714116737</v>
      </c>
      <c r="J63">
        <f>AVERAGE('R1'!O63,'R2'!O63,'R3'!O63)</f>
        <v>-0.1630210963403799</v>
      </c>
      <c r="K63">
        <f t="shared" si="1"/>
        <v>1104.0927268518519</v>
      </c>
      <c r="M63">
        <f>_xlfn.STDEV.S('R1'!L63,'R2'!L63,'R3'!L63)</f>
        <v>2.2603901052106004E-3</v>
      </c>
      <c r="N63">
        <f>_xlfn.STDEV.S('R1'!M63,'R2'!M63,'R3'!M63)</f>
        <v>5.3224234998221253E-3</v>
      </c>
      <c r="O63">
        <f>_xlfn.STDEV.S('R1'!N63,'R2'!N63,'R3'!N63)</f>
        <v>8.7151767271924051E-3</v>
      </c>
      <c r="P63">
        <f>_xlfn.STDEV.S('R1'!O63,'R2'!O63,'R3'!O63)</f>
        <v>7.4193765849243113E-3</v>
      </c>
    </row>
    <row r="64" spans="1:16" x14ac:dyDescent="0.25">
      <c r="A64">
        <f>AVERAGE('R1'!F64,'R2'!F64,'R3'!F64)</f>
        <v>8.1237833333333329E-2</v>
      </c>
      <c r="B64">
        <f>AVERAGE('R1'!G64,'R2'!G64,'R3'!G64)</f>
        <v>18.782286833333334</v>
      </c>
      <c r="C64">
        <f>-'R1'!H64</f>
        <v>24</v>
      </c>
      <c r="D64">
        <f>DEGREES(ATAN(-SIN(RADIANS(('R1'!I64)))/(COS(RADIANS(Sheet1!C64))*COS(RADIANS('R1'!I64)))))</f>
        <v>17.426129149372727</v>
      </c>
      <c r="E64">
        <f>AVERAGE('R1'!J64,'R2'!J64,'R3'!J64)</f>
        <v>1.1691666666666667</v>
      </c>
      <c r="F64">
        <f>AVERAGE('R1'!K64,'R2'!K64,'R3'!K64)</f>
        <v>5.6551665</v>
      </c>
      <c r="G64">
        <f>AVERAGE('R1'!L64,'R2'!L64,'R3'!L64)</f>
        <v>0.88559491436433813</v>
      </c>
      <c r="H64">
        <f>AVERAGE('R1'!M64,'R2'!M64,'R3'!M64)</f>
        <v>-1.4795688859479637</v>
      </c>
      <c r="I64">
        <f>AVERAGE('R1'!N64,'R2'!N64,'R3'!N64)</f>
        <v>-0.45085522097270486</v>
      </c>
      <c r="J64">
        <f>AVERAGE('R1'!O64,'R2'!O64,'R3'!O64)</f>
        <v>-5.193878180798011E-2</v>
      </c>
      <c r="K64">
        <f t="shared" si="1"/>
        <v>1101.9720277083334</v>
      </c>
      <c r="M64">
        <f>_xlfn.STDEV.S('R1'!L64,'R2'!L64,'R3'!L64)</f>
        <v>6.6295350480968596E-3</v>
      </c>
      <c r="N64">
        <f>_xlfn.STDEV.S('R1'!M64,'R2'!M64,'R3'!M64)</f>
        <v>5.7452164204988823E-3</v>
      </c>
      <c r="O64">
        <f>_xlfn.STDEV.S('R1'!N64,'R2'!N64,'R3'!N64)</f>
        <v>1.4473581140979769E-2</v>
      </c>
      <c r="P64">
        <f>_xlfn.STDEV.S('R1'!O64,'R2'!O64,'R3'!O64)</f>
        <v>6.9136583054749991E-3</v>
      </c>
    </row>
    <row r="65" spans="1:16" x14ac:dyDescent="0.25">
      <c r="A65">
        <f>AVERAGE('R1'!F65,'R2'!F65,'R3'!F65)</f>
        <v>0.12996433333333332</v>
      </c>
      <c r="B65">
        <f>AVERAGE('R1'!G65,'R2'!G65,'R3'!G65)</f>
        <v>18.901981083333336</v>
      </c>
      <c r="C65">
        <f>-'R1'!H65</f>
        <v>24</v>
      </c>
      <c r="D65">
        <f>DEGREES(ATAN(-SIN(RADIANS(('R1'!I65)))/(COS(RADIANS(Sheet1!C65))*COS(RADIANS('R1'!I65)))))</f>
        <v>13.09808863151425</v>
      </c>
      <c r="E65">
        <f>AVERAGE('R1'!J65,'R2'!J65,'R3'!J65)</f>
        <v>1.1683333333333332</v>
      </c>
      <c r="F65">
        <f>AVERAGE('R1'!K65,'R2'!K65,'R3'!K65)</f>
        <v>5.6675105833333328</v>
      </c>
      <c r="G65">
        <f>AVERAGE('R1'!L65,'R2'!L65,'R3'!L65)</f>
        <v>0.69329841543578663</v>
      </c>
      <c r="H65">
        <f>AVERAGE('R1'!M65,'R2'!M65,'R3'!M65)</f>
        <v>-1.5213714669620959</v>
      </c>
      <c r="I65">
        <f>AVERAGE('R1'!N65,'R2'!N65,'R3'!N65)</f>
        <v>-0.40919207839433164</v>
      </c>
      <c r="J65">
        <f>AVERAGE('R1'!O65,'R2'!O65,'R3'!O65)</f>
        <v>3.7356307687630048E-2</v>
      </c>
      <c r="K65">
        <f t="shared" si="1"/>
        <v>1103.5902552546295</v>
      </c>
      <c r="M65">
        <f>_xlfn.STDEV.S('R1'!L65,'R2'!L65,'R3'!L65)</f>
        <v>6.3467264124620476E-3</v>
      </c>
      <c r="N65">
        <f>_xlfn.STDEV.S('R1'!M65,'R2'!M65,'R3'!M65)</f>
        <v>1.1174307896534013E-2</v>
      </c>
      <c r="O65">
        <f>_xlfn.STDEV.S('R1'!N65,'R2'!N65,'R3'!N65)</f>
        <v>2.2900776708489869E-2</v>
      </c>
      <c r="P65">
        <f>_xlfn.STDEV.S('R1'!O65,'R2'!O65,'R3'!O65)</f>
        <v>6.574249988971703E-3</v>
      </c>
    </row>
    <row r="66" spans="1:16" x14ac:dyDescent="0.25">
      <c r="A66">
        <f>AVERAGE('R1'!F66,'R2'!F66,'R3'!F66)</f>
        <v>8.1237833333333329E-2</v>
      </c>
      <c r="B66">
        <f>AVERAGE('R1'!G66,'R2'!G66,'R3'!G66)</f>
        <v>19.263231166666667</v>
      </c>
      <c r="C66">
        <f>-'R1'!H66</f>
        <v>24</v>
      </c>
      <c r="D66">
        <f>DEGREES(ATAN(-SIN(RADIANS(('R1'!I66)))/(COS(RADIANS(Sheet1!C66))*COS(RADIANS('R1'!I66)))))</f>
        <v>8.7458791850141893</v>
      </c>
      <c r="E66">
        <f>AVERAGE('R1'!J66,'R2'!J66,'R3'!J66)</f>
        <v>1.1683333333333332</v>
      </c>
      <c r="F66">
        <f>AVERAGE('R1'!K66,'R2'!K66,'R3'!K66)</f>
        <v>5.7287378333333336</v>
      </c>
      <c r="G66">
        <f>AVERAGE('R1'!L66,'R2'!L66,'R3'!L66)</f>
        <v>0.45379239963557527</v>
      </c>
      <c r="H66">
        <f>AVERAGE('R1'!M66,'R2'!M66,'R3'!M66)</f>
        <v>-1.5916179979399352</v>
      </c>
      <c r="I66">
        <f>AVERAGE('R1'!N66,'R2'!N66,'R3'!N66)</f>
        <v>-0.3878583580199178</v>
      </c>
      <c r="J66">
        <f>AVERAGE('R1'!O66,'R2'!O66,'R3'!O66)</f>
        <v>0.14709509478360408</v>
      </c>
      <c r="K66">
        <f t="shared" si="1"/>
        <v>1115.5125614351853</v>
      </c>
      <c r="M66">
        <f>_xlfn.STDEV.S('R1'!L66,'R2'!L66,'R3'!L66)</f>
        <v>1.5819546004644991E-3</v>
      </c>
      <c r="N66">
        <f>_xlfn.STDEV.S('R1'!M66,'R2'!M66,'R3'!M66)</f>
        <v>1.2717291516828381E-2</v>
      </c>
      <c r="O66">
        <f>_xlfn.STDEV.S('R1'!N66,'R2'!N66,'R3'!N66)</f>
        <v>2.2643156447703146E-2</v>
      </c>
      <c r="P66">
        <f>_xlfn.STDEV.S('R1'!O66,'R2'!O66,'R3'!O66)</f>
        <v>3.775039713381645E-3</v>
      </c>
    </row>
    <row r="67" spans="1:16" x14ac:dyDescent="0.25">
      <c r="A67">
        <f>AVERAGE('R1'!F67,'R2'!F67,'R3'!F67)</f>
        <v>9.7479999999999997E-2</v>
      </c>
      <c r="B67">
        <f>AVERAGE('R1'!G67,'R2'!G67,'R3'!G67)</f>
        <v>19.662701999999999</v>
      </c>
      <c r="C67">
        <f>-'R1'!H67</f>
        <v>24</v>
      </c>
      <c r="D67">
        <f>DEGREES(ATAN(-SIN(RADIANS(('R1'!I67)))/(COS(RADIANS(Sheet1!C67))*COS(RADIANS('R1'!I67)))))</f>
        <v>4.3771372039965373</v>
      </c>
      <c r="E67">
        <f>AVERAGE('R1'!J67,'R2'!J67,'R3'!J67)</f>
        <v>1.1666666666666667</v>
      </c>
      <c r="F67">
        <f>AVERAGE('R1'!K67,'R2'!K67,'R3'!K67)</f>
        <v>5.7903042499999993</v>
      </c>
      <c r="G67">
        <f>AVERAGE('R1'!L67,'R2'!L67,'R3'!L67)</f>
        <v>0.19229221537700711</v>
      </c>
      <c r="H67">
        <f>AVERAGE('R1'!M67,'R2'!M67,'R3'!M67)</f>
        <v>-1.6911391285456021</v>
      </c>
      <c r="I67">
        <f>AVERAGE('R1'!N67,'R2'!N67,'R3'!N67)</f>
        <v>-0.39547715044700643</v>
      </c>
      <c r="J67">
        <f>AVERAGE('R1'!O67,'R2'!O67,'R3'!O67)</f>
        <v>0.24146791585745705</v>
      </c>
      <c r="K67">
        <f t="shared" ref="K67:K130" si="5">10^5*E67*F67*0.003/1.8</f>
        <v>1125.8924930555554</v>
      </c>
      <c r="M67">
        <f>_xlfn.STDEV.S('R1'!L67,'R2'!L67,'R3'!L67)</f>
        <v>9.2130282873615788E-3</v>
      </c>
      <c r="N67">
        <f>_xlfn.STDEV.S('R1'!M67,'R2'!M67,'R3'!M67)</f>
        <v>1.5748574817022833E-2</v>
      </c>
      <c r="O67">
        <f>_xlfn.STDEV.S('R1'!N67,'R2'!N67,'R3'!N67)</f>
        <v>2.4357499806508191E-2</v>
      </c>
      <c r="P67">
        <f>_xlfn.STDEV.S('R1'!O67,'R2'!O67,'R3'!O67)</f>
        <v>2.8579775149151776E-3</v>
      </c>
    </row>
    <row r="68" spans="1:16" x14ac:dyDescent="0.25">
      <c r="A68">
        <f>AVERAGE('R1'!F68,'R2'!F68,'R3'!F68)</f>
        <v>8.1237833333333329E-2</v>
      </c>
      <c r="B68">
        <f>AVERAGE('R1'!G68,'R2'!G68,'R3'!G68)</f>
        <v>19.956173333333336</v>
      </c>
      <c r="C68">
        <f>-'R1'!H68</f>
        <v>24</v>
      </c>
      <c r="D68">
        <f>DEGREES(ATAN(-SIN(RADIANS(('R1'!I68)))/(COS(RADIANS(Sheet1!C68))*COS(RADIANS('R1'!I68)))))</f>
        <v>0</v>
      </c>
      <c r="E68">
        <f>AVERAGE('R1'!J68,'R2'!J68,'R3'!J68)</f>
        <v>1.1666666666666667</v>
      </c>
      <c r="F68">
        <f>AVERAGE('R1'!K68,'R2'!K68,'R3'!K68)</f>
        <v>5.835909833333333</v>
      </c>
      <c r="G68">
        <f>AVERAGE('R1'!L68,'R2'!L68,'R3'!L68)</f>
        <v>-0.11477931819088581</v>
      </c>
      <c r="H68">
        <f>AVERAGE('R1'!M68,'R2'!M68,'R3'!M68)</f>
        <v>-1.7096155084851168</v>
      </c>
      <c r="I68">
        <f>AVERAGE('R1'!N68,'R2'!N68,'R3'!N68)</f>
        <v>-0.3912854816365397</v>
      </c>
      <c r="J68">
        <f>AVERAGE('R1'!O68,'R2'!O68,'R3'!O68)</f>
        <v>0.28686500594197467</v>
      </c>
      <c r="K68">
        <f t="shared" si="5"/>
        <v>1134.7602453703703</v>
      </c>
      <c r="M68">
        <f>_xlfn.STDEV.S('R1'!L68,'R2'!L68,'R3'!L68)</f>
        <v>7.5951099018082609E-3</v>
      </c>
      <c r="N68">
        <f>_xlfn.STDEV.S('R1'!M68,'R2'!M68,'R3'!M68)</f>
        <v>8.4553540908084614E-3</v>
      </c>
      <c r="O68">
        <f>_xlfn.STDEV.S('R1'!N68,'R2'!N68,'R3'!N68)</f>
        <v>2.336845427001321E-2</v>
      </c>
      <c r="P68">
        <f>_xlfn.STDEV.S('R1'!O68,'R2'!O68,'R3'!O68)</f>
        <v>1.1094308892468889E-2</v>
      </c>
    </row>
    <row r="69" spans="1:16" x14ac:dyDescent="0.25">
      <c r="A69">
        <f>AVERAGE('R1'!F69,'R2'!F69,'R3'!F69)</f>
        <v>0.12996433333333332</v>
      </c>
      <c r="B69">
        <f>AVERAGE('R1'!G69,'R2'!G69,'R3'!G69)</f>
        <v>20.275567749999997</v>
      </c>
      <c r="C69">
        <f>-'R1'!H69</f>
        <v>24</v>
      </c>
      <c r="D69">
        <f>DEGREES(ATAN(-SIN(RADIANS(('R1'!I69)))/(COS(RADIANS(Sheet1!C69))*COS(RADIANS('R1'!I69)))))</f>
        <v>-4.3771372039965373</v>
      </c>
      <c r="E69">
        <f>AVERAGE('R1'!J69,'R2'!J69,'R3'!J69)</f>
        <v>1.1691666666666667</v>
      </c>
      <c r="F69">
        <f>AVERAGE('R1'!K69,'R2'!K69,'R3'!K69)</f>
        <v>5.8685269166666671</v>
      </c>
      <c r="G69">
        <f>AVERAGE('R1'!L69,'R2'!L69,'R3'!L69)</f>
        <v>-0.38214691520499039</v>
      </c>
      <c r="H69">
        <f>AVERAGE('R1'!M69,'R2'!M69,'R3'!M69)</f>
        <v>-1.5972406410944215</v>
      </c>
      <c r="I69">
        <f>AVERAGE('R1'!N69,'R2'!N69,'R3'!N69)</f>
        <v>-0.37928793036797342</v>
      </c>
      <c r="J69">
        <f>AVERAGE('R1'!O69,'R2'!O69,'R3'!O69)</f>
        <v>0.19656752888680659</v>
      </c>
      <c r="K69">
        <f t="shared" si="5"/>
        <v>1143.5476755671298</v>
      </c>
      <c r="M69">
        <f>_xlfn.STDEV.S('R1'!L69,'R2'!L69,'R3'!L69)</f>
        <v>5.5930976522637864E-3</v>
      </c>
      <c r="N69">
        <f>_xlfn.STDEV.S('R1'!M69,'R2'!M69,'R3'!M69)</f>
        <v>9.2308204231788347E-3</v>
      </c>
      <c r="O69">
        <f>_xlfn.STDEV.S('R1'!N69,'R2'!N69,'R3'!N69)</f>
        <v>1.8606010196525264E-2</v>
      </c>
      <c r="P69">
        <f>_xlfn.STDEV.S('R1'!O69,'R2'!O69,'R3'!O69)</f>
        <v>1.0373554517636316E-2</v>
      </c>
    </row>
    <row r="70" spans="1:16" x14ac:dyDescent="0.25">
      <c r="A70">
        <f>AVERAGE('R1'!F70,'R2'!F70,'R3'!F70)</f>
        <v>9.7479999999999997E-2</v>
      </c>
      <c r="B70">
        <f>AVERAGE('R1'!G70,'R2'!G70,'R3'!G70)</f>
        <v>20.503063666666666</v>
      </c>
      <c r="C70">
        <f>-'R1'!H70</f>
        <v>24</v>
      </c>
      <c r="D70">
        <f>DEGREES(ATAN(-SIN(RADIANS(('R1'!I70)))/(COS(RADIANS(Sheet1!C70))*COS(RADIANS('R1'!I70)))))</f>
        <v>-8.7458791850141893</v>
      </c>
      <c r="E70">
        <f>AVERAGE('R1'!J70,'R2'!J70,'R3'!J70)</f>
        <v>1.17</v>
      </c>
      <c r="F70">
        <f>AVERAGE('R1'!K70,'R2'!K70,'R3'!K70)</f>
        <v>5.9040028333333332</v>
      </c>
      <c r="G70">
        <f>AVERAGE('R1'!L70,'R2'!L70,'R3'!L70)</f>
        <v>-0.62531131625007041</v>
      </c>
      <c r="H70">
        <f>AVERAGE('R1'!M70,'R2'!M70,'R3'!M70)</f>
        <v>-1.4983541387541059</v>
      </c>
      <c r="I70">
        <f>AVERAGE('R1'!N70,'R2'!N70,'R3'!N70)</f>
        <v>-0.38585623120486234</v>
      </c>
      <c r="J70">
        <f>AVERAGE('R1'!O70,'R2'!O70,'R3'!O70)</f>
        <v>0.12177115859378713</v>
      </c>
      <c r="K70">
        <f t="shared" si="5"/>
        <v>1151.2805524999999</v>
      </c>
      <c r="M70">
        <f>_xlfn.STDEV.S('R1'!L70,'R2'!L70,'R3'!L70)</f>
        <v>7.9921568585423937E-3</v>
      </c>
      <c r="N70">
        <f>_xlfn.STDEV.S('R1'!M70,'R2'!M70,'R3'!M70)</f>
        <v>7.6853256394080506E-3</v>
      </c>
      <c r="O70">
        <f>_xlfn.STDEV.S('R1'!N70,'R2'!N70,'R3'!N70)</f>
        <v>1.9166192935633933E-2</v>
      </c>
      <c r="P70">
        <f>_xlfn.STDEV.S('R1'!O70,'R2'!O70,'R3'!O70)</f>
        <v>3.820550122306283E-3</v>
      </c>
    </row>
    <row r="71" spans="1:16" x14ac:dyDescent="0.25">
      <c r="A71">
        <f>AVERAGE('R1'!F71,'R2'!F71,'R3'!F71)</f>
        <v>0.11372216666666667</v>
      </c>
      <c r="B71">
        <f>AVERAGE('R1'!G71,'R2'!G71,'R3'!G71)</f>
        <v>20.796159416666665</v>
      </c>
      <c r="C71">
        <f>-'R1'!H71</f>
        <v>24</v>
      </c>
      <c r="D71">
        <f>DEGREES(ATAN(-SIN(RADIANS(('R1'!I71)))/(COS(RADIANS(Sheet1!C71))*COS(RADIANS('R1'!I71)))))</f>
        <v>-13.09808863151425</v>
      </c>
      <c r="E71">
        <f>AVERAGE('R1'!J71,'R2'!J71,'R3'!J71)</f>
        <v>1.17</v>
      </c>
      <c r="F71">
        <f>AVERAGE('R1'!K71,'R2'!K71,'R3'!K71)</f>
        <v>5.9438911666666669</v>
      </c>
      <c r="G71">
        <f>AVERAGE('R1'!L71,'R2'!L71,'R3'!L71)</f>
        <v>-0.85502350063077603</v>
      </c>
      <c r="H71">
        <f>AVERAGE('R1'!M71,'R2'!M71,'R3'!M71)</f>
        <v>-1.4336571816708836</v>
      </c>
      <c r="I71">
        <f>AVERAGE('R1'!N71,'R2'!N71,'R3'!N71)</f>
        <v>-0.42183651517922183</v>
      </c>
      <c r="J71">
        <f>AVERAGE('R1'!O71,'R2'!O71,'R3'!O71)</f>
        <v>2.9739727327486271E-2</v>
      </c>
      <c r="K71">
        <f t="shared" si="5"/>
        <v>1159.0587774999999</v>
      </c>
      <c r="M71">
        <f>_xlfn.STDEV.S('R1'!L71,'R2'!L71,'R3'!L71)</f>
        <v>1.1007865820734408E-2</v>
      </c>
      <c r="N71">
        <f>_xlfn.STDEV.S('R1'!M71,'R2'!M71,'R3'!M71)</f>
        <v>7.3575197203249185E-3</v>
      </c>
      <c r="O71">
        <f>_xlfn.STDEV.S('R1'!N71,'R2'!N71,'R3'!N71)</f>
        <v>1.711568676468208E-2</v>
      </c>
      <c r="P71">
        <f>_xlfn.STDEV.S('R1'!O71,'R2'!O71,'R3'!O71)</f>
        <v>9.8647315580289094E-3</v>
      </c>
    </row>
    <row r="72" spans="1:16" x14ac:dyDescent="0.25">
      <c r="A72">
        <f>AVERAGE('R1'!F72,'R2'!F72,'R3'!F72)</f>
        <v>9.7479999999999997E-2</v>
      </c>
      <c r="B72">
        <f>AVERAGE('R1'!G72,'R2'!G72,'R3'!G72)</f>
        <v>20.929996166666665</v>
      </c>
      <c r="C72">
        <f>-'R1'!H72</f>
        <v>24</v>
      </c>
      <c r="D72">
        <f>DEGREES(ATAN(-SIN(RADIANS(('R1'!I72)))/(COS(RADIANS(Sheet1!C72))*COS(RADIANS('R1'!I72)))))</f>
        <v>-17.426129149372727</v>
      </c>
      <c r="E72">
        <f>AVERAGE('R1'!J72,'R2'!J72,'R3'!J72)</f>
        <v>1.1691666666666667</v>
      </c>
      <c r="F72">
        <f>AVERAGE('R1'!K72,'R2'!K72,'R3'!K72)</f>
        <v>5.9669424999999991</v>
      </c>
      <c r="G72">
        <f>AVERAGE('R1'!L72,'R2'!L72,'R3'!L72)</f>
        <v>-1.0804319211979199</v>
      </c>
      <c r="H72">
        <f>AVERAGE('R1'!M72,'R2'!M72,'R3'!M72)</f>
        <v>-1.407835348769626</v>
      </c>
      <c r="I72">
        <f>AVERAGE('R1'!N72,'R2'!N72,'R3'!N72)</f>
        <v>-0.49423765656728363</v>
      </c>
      <c r="J72">
        <f>AVERAGE('R1'!O72,'R2'!O72,'R3'!O72)</f>
        <v>-7.559295048342686E-2</v>
      </c>
      <c r="K72">
        <f t="shared" si="5"/>
        <v>1162.725045486111</v>
      </c>
      <c r="M72">
        <f>_xlfn.STDEV.S('R1'!L72,'R2'!L72,'R3'!L72)</f>
        <v>1.0524399454191192E-2</v>
      </c>
      <c r="N72">
        <f>_xlfn.STDEV.S('R1'!M72,'R2'!M72,'R3'!M72)</f>
        <v>1.0847986956431315E-2</v>
      </c>
      <c r="O72">
        <f>_xlfn.STDEV.S('R1'!N72,'R2'!N72,'R3'!N72)</f>
        <v>2.2546347564598779E-2</v>
      </c>
      <c r="P72">
        <f>_xlfn.STDEV.S('R1'!O72,'R2'!O72,'R3'!O72)</f>
        <v>6.7394298329057738E-3</v>
      </c>
    </row>
    <row r="73" spans="1:16" x14ac:dyDescent="0.25">
      <c r="A73">
        <f>AVERAGE('R1'!F73,'R2'!F73,'R3'!F73)</f>
        <v>0.11372216666666667</v>
      </c>
      <c r="B73">
        <f>AVERAGE('R1'!G73,'R2'!G73,'R3'!G73)</f>
        <v>20.621631000000004</v>
      </c>
      <c r="C73">
        <f>-'R1'!H73</f>
        <v>24</v>
      </c>
      <c r="D73">
        <f>DEGREES(ATAN(-SIN(RADIANS(('R1'!I73)))/(COS(RADIANS(Sheet1!C73))*COS(RADIANS('R1'!I73)))))</f>
        <v>-21.723080079379415</v>
      </c>
      <c r="E73">
        <f>AVERAGE('R1'!J73,'R2'!J73,'R3'!J73)</f>
        <v>1.1675</v>
      </c>
      <c r="F73">
        <f>AVERAGE('R1'!K73,'R2'!K73,'R3'!K73)</f>
        <v>5.922994583333332</v>
      </c>
      <c r="G73">
        <f>AVERAGE('R1'!L73,'R2'!L73,'R3'!L73)</f>
        <v>-1.2750154100206024</v>
      </c>
      <c r="H73">
        <f>AVERAGE('R1'!M73,'R2'!M73,'R3'!M73)</f>
        <v>-1.4219477776539664</v>
      </c>
      <c r="I73">
        <f>AVERAGE('R1'!N73,'R2'!N73,'R3'!N73)</f>
        <v>-0.59527427733835603</v>
      </c>
      <c r="J73">
        <f>AVERAGE('R1'!O73,'R2'!O73,'R3'!O73)</f>
        <v>-0.1933366269474843</v>
      </c>
      <c r="K73">
        <f t="shared" si="5"/>
        <v>1152.5160293402776</v>
      </c>
      <c r="M73">
        <f>_xlfn.STDEV.S('R1'!L73,'R2'!L73,'R3'!L73)</f>
        <v>1.0118583463995974E-2</v>
      </c>
      <c r="N73">
        <f>_xlfn.STDEV.S('R1'!M73,'R2'!M73,'R3'!M73)</f>
        <v>6.5349971969178673E-3</v>
      </c>
      <c r="O73">
        <f>_xlfn.STDEV.S('R1'!N73,'R2'!N73,'R3'!N73)</f>
        <v>1.6919439587410368E-2</v>
      </c>
      <c r="P73">
        <f>_xlfn.STDEV.S('R1'!O73,'R2'!O73,'R3'!O73)</f>
        <v>5.4858304384047402E-3</v>
      </c>
    </row>
    <row r="74" spans="1:16" x14ac:dyDescent="0.25">
      <c r="A74">
        <f>AVERAGE('R1'!F74,'R2'!F74,'R3'!F74)</f>
        <v>0.11372216666666667</v>
      </c>
      <c r="B74">
        <f>AVERAGE('R1'!G74,'R2'!G74,'R3'!G74)</f>
        <v>20.395620500000003</v>
      </c>
      <c r="C74">
        <f>-'R1'!H74</f>
        <v>24</v>
      </c>
      <c r="D74">
        <f>DEGREES(ATAN(-SIN(RADIANS(('R1'!I74)))/(COS(RADIANS(Sheet1!C74))*COS(RADIANS('R1'!I74)))))</f>
        <v>-25.982912809070061</v>
      </c>
      <c r="E74">
        <f>AVERAGE('R1'!J74,'R2'!J74,'R3'!J74)</f>
        <v>1.17</v>
      </c>
      <c r="F74">
        <f>AVERAGE('R1'!K74,'R2'!K74,'R3'!K74)</f>
        <v>5.881356750000001</v>
      </c>
      <c r="G74">
        <f>AVERAGE('R1'!L74,'R2'!L74,'R3'!L74)</f>
        <v>-1.4866505075464722</v>
      </c>
      <c r="H74">
        <f>AVERAGE('R1'!M74,'R2'!M74,'R3'!M74)</f>
        <v>-1.4835714988610409</v>
      </c>
      <c r="I74">
        <f>AVERAGE('R1'!N74,'R2'!N74,'R3'!N74)</f>
        <v>-0.74466912017431941</v>
      </c>
      <c r="J74">
        <f>AVERAGE('R1'!O74,'R2'!O74,'R3'!O74)</f>
        <v>-0.33909059079200859</v>
      </c>
      <c r="K74">
        <f t="shared" si="5"/>
        <v>1146.8645662500001</v>
      </c>
      <c r="M74">
        <f>_xlfn.STDEV.S('R1'!L74,'R2'!L74,'R3'!L74)</f>
        <v>1.8401695969076808E-2</v>
      </c>
      <c r="N74">
        <f>_xlfn.STDEV.S('R1'!M74,'R2'!M74,'R3'!M74)</f>
        <v>9.3112683389887999E-3</v>
      </c>
      <c r="O74">
        <f>_xlfn.STDEV.S('R1'!N74,'R2'!N74,'R3'!N74)</f>
        <v>2.529156634246715E-2</v>
      </c>
      <c r="P74">
        <f>_xlfn.STDEV.S('R1'!O74,'R2'!O74,'R3'!O74)</f>
        <v>1.2658595900120469E-2</v>
      </c>
    </row>
    <row r="75" spans="1:16" x14ac:dyDescent="0.25">
      <c r="A75">
        <f>AVERAGE('R1'!F75,'R2'!F75,'R3'!F75)</f>
        <v>9.7479999999999997E-2</v>
      </c>
      <c r="B75">
        <f>AVERAGE('R1'!G75,'R2'!G75,'R3'!G75)</f>
        <v>19.768701</v>
      </c>
      <c r="C75">
        <f>-'R1'!H75</f>
        <v>24</v>
      </c>
      <c r="D75">
        <f>DEGREES(ATAN(-SIN(RADIANS(('R1'!I75)))/(COS(RADIANS(Sheet1!C75))*COS(RADIANS('R1'!I75)))))</f>
        <v>-30.200622081370245</v>
      </c>
      <c r="E75">
        <f>AVERAGE('R1'!J75,'R2'!J75,'R3'!J75)</f>
        <v>1.1675</v>
      </c>
      <c r="F75">
        <f>AVERAGE('R1'!K75,'R2'!K75,'R3'!K75)</f>
        <v>5.7989900833333339</v>
      </c>
      <c r="G75">
        <f>AVERAGE('R1'!L75,'R2'!L75,'R3'!L75)</f>
        <v>-1.7095691985140349</v>
      </c>
      <c r="H75">
        <f>AVERAGE('R1'!M75,'R2'!M75,'R3'!M75)</f>
        <v>-1.5848810130440494</v>
      </c>
      <c r="I75">
        <f>AVERAGE('R1'!N75,'R2'!N75,'R3'!N75)</f>
        <v>-0.93825236745306839</v>
      </c>
      <c r="J75">
        <f>AVERAGE('R1'!O75,'R2'!O75,'R3'!O75)</f>
        <v>-0.50306283300516907</v>
      </c>
      <c r="K75">
        <f t="shared" si="5"/>
        <v>1128.3868203819447</v>
      </c>
      <c r="M75">
        <f>_xlfn.STDEV.S('R1'!L75,'R2'!L75,'R3'!L75)</f>
        <v>1.4039043760695129E-2</v>
      </c>
      <c r="N75">
        <f>_xlfn.STDEV.S('R1'!M75,'R2'!M75,'R3'!M75)</f>
        <v>8.9948920005257001E-3</v>
      </c>
      <c r="O75">
        <f>_xlfn.STDEV.S('R1'!N75,'R2'!N75,'R3'!N75)</f>
        <v>2.286455360758885E-2</v>
      </c>
      <c r="P75">
        <f>_xlfn.STDEV.S('R1'!O75,'R2'!O75,'R3'!O75)</f>
        <v>4.6522406900458722E-3</v>
      </c>
    </row>
    <row r="76" spans="1:16" x14ac:dyDescent="0.25">
      <c r="A76">
        <f>AVERAGE('R1'!F76,'R2'!F76,'R3'!F76)</f>
        <v>8.1237833333333329E-2</v>
      </c>
      <c r="B76">
        <f>AVERAGE('R1'!G76,'R2'!G76,'R3'!G76)</f>
        <v>19.341833166666671</v>
      </c>
      <c r="C76">
        <f>-'R1'!H76</f>
        <v>24</v>
      </c>
      <c r="D76">
        <f>DEGREES(ATAN(-SIN(RADIANS(('R1'!I76)))/(COS(RADIANS(Sheet1!C76))*COS(RADIANS('R1'!I76)))))</f>
        <v>-34.372309890771753</v>
      </c>
      <c r="E76">
        <f>AVERAGE('R1'!J76,'R2'!J76,'R3'!J76)</f>
        <v>1.17</v>
      </c>
      <c r="F76">
        <f>AVERAGE('R1'!K76,'R2'!K76,'R3'!K76)</f>
        <v>5.733568916666667</v>
      </c>
      <c r="G76">
        <f>AVERAGE('R1'!L76,'R2'!L76,'R3'!L76)</f>
        <v>-1.9631371520307457</v>
      </c>
      <c r="H76">
        <f>AVERAGE('R1'!M76,'R2'!M76,'R3'!M76)</f>
        <v>-1.7084206642615982</v>
      </c>
      <c r="I76">
        <f>AVERAGE('R1'!N76,'R2'!N76,'R3'!N76)</f>
        <v>-1.1856240217198388</v>
      </c>
      <c r="J76">
        <f>AVERAGE('R1'!O76,'R2'!O76,'R3'!O76)</f>
        <v>-0.69470575172354609</v>
      </c>
      <c r="K76">
        <f t="shared" si="5"/>
        <v>1118.04593875</v>
      </c>
      <c r="M76">
        <f>_xlfn.STDEV.S('R1'!L76,'R2'!L76,'R3'!L76)</f>
        <v>3.0337319604262633E-3</v>
      </c>
      <c r="N76">
        <f>_xlfn.STDEV.S('R1'!M76,'R2'!M76,'R3'!M76)</f>
        <v>4.3423653252615702E-3</v>
      </c>
      <c r="O76">
        <f>_xlfn.STDEV.S('R1'!N76,'R2'!N76,'R3'!N76)</f>
        <v>3.8196944504029946E-3</v>
      </c>
      <c r="P76">
        <f>_xlfn.STDEV.S('R1'!O76,'R2'!O76,'R3'!O76)</f>
        <v>6.0559240460535835E-3</v>
      </c>
    </row>
    <row r="77" spans="1:16" x14ac:dyDescent="0.25">
      <c r="A77">
        <f>AVERAGE('R1'!F77,'R2'!F77,'R3'!F77)</f>
        <v>9.7479999999999997E-2</v>
      </c>
      <c r="B77">
        <f>AVERAGE('R1'!G77,'R2'!G77,'R3'!G77)</f>
        <v>19.035395666666666</v>
      </c>
      <c r="C77">
        <f>-'R1'!H77</f>
        <v>24</v>
      </c>
      <c r="D77">
        <f>DEGREES(ATAN(-SIN(RADIANS(('R1'!I77)))/(COS(RADIANS(Sheet1!C77))*COS(RADIANS('R1'!I77)))))</f>
        <v>-38.495223358359183</v>
      </c>
      <c r="E77">
        <f>AVERAGE('R1'!J77,'R2'!J77,'R3'!J77)</f>
        <v>1.1683333333333332</v>
      </c>
      <c r="F77">
        <f>AVERAGE('R1'!K77,'R2'!K77,'R3'!K77)</f>
        <v>5.6900854166666663</v>
      </c>
      <c r="G77">
        <f>AVERAGE('R1'!L77,'R2'!L77,'R3'!L77)</f>
        <v>-2.2741973342464399</v>
      </c>
      <c r="H77">
        <f>AVERAGE('R1'!M77,'R2'!M77,'R3'!M77)</f>
        <v>-1.8829099860909635</v>
      </c>
      <c r="I77">
        <f>AVERAGE('R1'!N77,'R2'!N77,'R3'!N77)</f>
        <v>-1.5151808399753346</v>
      </c>
      <c r="J77">
        <f>AVERAGE('R1'!O77,'R2'!O77,'R3'!O77)</f>
        <v>-0.9340418509690448</v>
      </c>
      <c r="K77">
        <f t="shared" si="5"/>
        <v>1107.9860769675925</v>
      </c>
      <c r="M77">
        <f>_xlfn.STDEV.S('R1'!L77,'R2'!L77,'R3'!L77)</f>
        <v>3.1172489945859656E-2</v>
      </c>
      <c r="N77">
        <f>_xlfn.STDEV.S('R1'!M77,'R2'!M77,'R3'!M77)</f>
        <v>1.484358659395495E-2</v>
      </c>
      <c r="O77">
        <f>_xlfn.STDEV.S('R1'!N77,'R2'!N77,'R3'!N77)</f>
        <v>2.7648646584299979E-2</v>
      </c>
      <c r="P77">
        <f>_xlfn.STDEV.S('R1'!O77,'R2'!O77,'R3'!O77)</f>
        <v>1.2830665837682437E-2</v>
      </c>
    </row>
    <row r="78" spans="1:16" x14ac:dyDescent="0.25">
      <c r="A78">
        <f>AVERAGE('R1'!F78,'R2'!F78,'R3'!F78)</f>
        <v>8.1276833333333326E-2</v>
      </c>
      <c r="B78">
        <f>AVERAGE('R1'!G78,'R2'!G78,'R3'!G78)</f>
        <v>18.475135916666662</v>
      </c>
      <c r="C78">
        <f>-'R1'!H78</f>
        <v>20</v>
      </c>
      <c r="D78">
        <f>DEGREES(ATAN(-SIN(RADIANS(('R1'!I78)))/(COS(RADIANS(Sheet1!C78))*COS(RADIANS('R1'!I78)))))</f>
        <v>37.710134449764993</v>
      </c>
      <c r="E78">
        <f>AVERAGE('R1'!J78,'R2'!J78,'R3'!J78)</f>
        <v>1.1683333333333332</v>
      </c>
      <c r="F78">
        <f>AVERAGE('R1'!K78,'R2'!K78,'R3'!K78)</f>
        <v>5.6081794999999994</v>
      </c>
      <c r="G78">
        <f>AVERAGE('R1'!L78,'R2'!L78,'R3'!L78)</f>
        <v>1.8063124887597244</v>
      </c>
      <c r="H78">
        <f>AVERAGE('R1'!M78,'R2'!M78,'R3'!M78)</f>
        <v>-1.3975570497811607</v>
      </c>
      <c r="I78">
        <f>AVERAGE('R1'!N78,'R2'!N78,'R3'!N78)</f>
        <v>-0.95032754181873147</v>
      </c>
      <c r="J78">
        <f>AVERAGE('R1'!O78,'R2'!O78,'R3'!O78)</f>
        <v>-0.6365986499341737</v>
      </c>
      <c r="K78">
        <f t="shared" si="5"/>
        <v>1092.037174861111</v>
      </c>
      <c r="M78">
        <f>_xlfn.STDEV.S('R1'!L78,'R2'!L78,'R3'!L78)</f>
        <v>4.1884481101269588E-3</v>
      </c>
      <c r="N78">
        <f>_xlfn.STDEV.S('R1'!M78,'R2'!M78,'R3'!M78)</f>
        <v>4.0945552338965911E-3</v>
      </c>
      <c r="O78">
        <f>_xlfn.STDEV.S('R1'!N78,'R2'!N78,'R3'!N78)</f>
        <v>1.6565621468071334E-2</v>
      </c>
      <c r="P78">
        <f>_xlfn.STDEV.S('R1'!O78,'R2'!O78,'R3'!O78)</f>
        <v>3.2680440653393007E-3</v>
      </c>
    </row>
    <row r="79" spans="1:16" x14ac:dyDescent="0.25">
      <c r="A79">
        <f>AVERAGE('R1'!F79,'R2'!F79,'R3'!F79)</f>
        <v>0.11372216666666667</v>
      </c>
      <c r="B79">
        <f>AVERAGE('R1'!G79,'R2'!G79,'R3'!G79)</f>
        <v>18.781928666666669</v>
      </c>
      <c r="C79">
        <f>-'R1'!H79</f>
        <v>20</v>
      </c>
      <c r="D79">
        <f>DEGREES(ATAN(-SIN(RADIANS(('R1'!I79)))/(COS(RADIANS(Sheet1!C79))*COS(RADIANS('R1'!I79)))))</f>
        <v>33.622796746730245</v>
      </c>
      <c r="E79">
        <f>AVERAGE('R1'!J79,'R2'!J79,'R3'!J79)</f>
        <v>1.1658333333333333</v>
      </c>
      <c r="F79">
        <f>AVERAGE('R1'!K79,'R2'!K79,'R3'!K79)</f>
        <v>5.6551396666666669</v>
      </c>
      <c r="G79">
        <f>AVERAGE('R1'!L79,'R2'!L79,'R3'!L79)</f>
        <v>1.6200989308304929</v>
      </c>
      <c r="H79">
        <f>AVERAGE('R1'!M79,'R2'!M79,'R3'!M79)</f>
        <v>-1.3336255610431056</v>
      </c>
      <c r="I79">
        <f>AVERAGE('R1'!N79,'R2'!N79,'R3'!N79)</f>
        <v>-0.77112626771039883</v>
      </c>
      <c r="J79">
        <f>AVERAGE('R1'!O79,'R2'!O79,'R3'!O79)</f>
        <v>-0.46205040133202635</v>
      </c>
      <c r="K79">
        <f t="shared" si="5"/>
        <v>1098.8250546759259</v>
      </c>
      <c r="M79">
        <f>_xlfn.STDEV.S('R1'!L79,'R2'!L79,'R3'!L79)</f>
        <v>1.5806376394829104E-2</v>
      </c>
      <c r="N79">
        <f>_xlfn.STDEV.S('R1'!M79,'R2'!M79,'R3'!M79)</f>
        <v>8.0853859541528093E-3</v>
      </c>
      <c r="O79">
        <f>_xlfn.STDEV.S('R1'!N79,'R2'!N79,'R3'!N79)</f>
        <v>1.6636048188217078E-2</v>
      </c>
      <c r="P79">
        <f>_xlfn.STDEV.S('R1'!O79,'R2'!O79,'R3'!O79)</f>
        <v>4.2607661323744161E-3</v>
      </c>
    </row>
    <row r="80" spans="1:16" x14ac:dyDescent="0.25">
      <c r="A80">
        <f>AVERAGE('R1'!F80,'R2'!F80,'R3'!F80)</f>
        <v>0.11376116666666665</v>
      </c>
      <c r="B80">
        <f>AVERAGE('R1'!G80,'R2'!G80,'R3'!G80)</f>
        <v>18.967296416666667</v>
      </c>
      <c r="C80">
        <f>-'R1'!H80</f>
        <v>20</v>
      </c>
      <c r="D80">
        <f>DEGREES(ATAN(-SIN(RADIANS(('R1'!I80)))/(COS(RADIANS(Sheet1!C80))*COS(RADIANS('R1'!I80)))))</f>
        <v>29.502629281345779</v>
      </c>
      <c r="E80">
        <f>AVERAGE('R1'!J80,'R2'!J80,'R3'!J80)</f>
        <v>1.1641666666666668</v>
      </c>
      <c r="F80">
        <f>AVERAGE('R1'!K80,'R2'!K80,'R3'!K80)</f>
        <v>5.6867805000000002</v>
      </c>
      <c r="G80">
        <f>AVERAGE('R1'!L80,'R2'!L80,'R3'!L80)</f>
        <v>1.4412678457592325</v>
      </c>
      <c r="H80">
        <f>AVERAGE('R1'!M80,'R2'!M80,'R3'!M80)</f>
        <v>-1.2847128914408623</v>
      </c>
      <c r="I80">
        <f>AVERAGE('R1'!N80,'R2'!N80,'R3'!N80)</f>
        <v>-0.62333728579136283</v>
      </c>
      <c r="J80">
        <f>AVERAGE('R1'!O80,'R2'!O80,'R3'!O80)</f>
        <v>-0.30359488379713678</v>
      </c>
      <c r="K80">
        <f t="shared" si="5"/>
        <v>1103.3933831250004</v>
      </c>
      <c r="M80">
        <f>_xlfn.STDEV.S('R1'!L80,'R2'!L80,'R3'!L80)</f>
        <v>6.1245316161104733E-3</v>
      </c>
      <c r="N80">
        <f>_xlfn.STDEV.S('R1'!M80,'R2'!M80,'R3'!M80)</f>
        <v>1.4806455579099605E-2</v>
      </c>
      <c r="O80">
        <f>_xlfn.STDEV.S('R1'!N80,'R2'!N80,'R3'!N80)</f>
        <v>1.3823396228404519E-2</v>
      </c>
      <c r="P80">
        <f>_xlfn.STDEV.S('R1'!O80,'R2'!O80,'R3'!O80)</f>
        <v>4.8756651254075432E-3</v>
      </c>
    </row>
    <row r="81" spans="1:16" x14ac:dyDescent="0.25">
      <c r="A81">
        <f>AVERAGE('R1'!F81,'R2'!F81,'R3'!F81)</f>
        <v>0.12996433333333332</v>
      </c>
      <c r="B81">
        <f>AVERAGE('R1'!G81,'R2'!G81,'R3'!G81)</f>
        <v>19.128069333333332</v>
      </c>
      <c r="C81">
        <f>-'R1'!H81</f>
        <v>20</v>
      </c>
      <c r="D81">
        <f>DEGREES(ATAN(-SIN(RADIANS(('R1'!I81)))/(COS(RADIANS(Sheet1!C81))*COS(RADIANS('R1'!I81)))))</f>
        <v>25.351709771061881</v>
      </c>
      <c r="E81">
        <f>AVERAGE('R1'!J81,'R2'!J81,'R3'!J81)</f>
        <v>1.1633333333333333</v>
      </c>
      <c r="F81">
        <f>AVERAGE('R1'!K81,'R2'!K81,'R3'!K81)</f>
        <v>5.7100615833333341</v>
      </c>
      <c r="G81">
        <f>AVERAGE('R1'!L81,'R2'!L81,'R3'!L81)</f>
        <v>1.2521614992145329</v>
      </c>
      <c r="H81">
        <f>AVERAGE('R1'!M81,'R2'!M81,'R3'!M81)</f>
        <v>-1.2527781129725499</v>
      </c>
      <c r="I81">
        <f>AVERAGE('R1'!N81,'R2'!N81,'R3'!N81)</f>
        <v>-0.48799464116441432</v>
      </c>
      <c r="J81">
        <f>AVERAGE('R1'!O81,'R2'!O81,'R3'!O81)</f>
        <v>-0.157089983725028</v>
      </c>
      <c r="K81">
        <f t="shared" si="5"/>
        <v>1107.1174958796296</v>
      </c>
      <c r="M81">
        <f>_xlfn.STDEV.S('R1'!L81,'R2'!L81,'R3'!L81)</f>
        <v>4.7248695443686348E-3</v>
      </c>
      <c r="N81">
        <f>_xlfn.STDEV.S('R1'!M81,'R2'!M81,'R3'!M81)</f>
        <v>4.1191932879717161E-3</v>
      </c>
      <c r="O81">
        <f>_xlfn.STDEV.S('R1'!N81,'R2'!N81,'R3'!N81)</f>
        <v>1.0223995397508921E-2</v>
      </c>
      <c r="P81">
        <f>_xlfn.STDEV.S('R1'!O81,'R2'!O81,'R3'!O81)</f>
        <v>9.4164783073559365E-3</v>
      </c>
    </row>
    <row r="82" spans="1:16" x14ac:dyDescent="0.25">
      <c r="A82">
        <f>AVERAGE('R1'!F82,'R2'!F82,'R3'!F82)</f>
        <v>0.11372216666666667</v>
      </c>
      <c r="B82">
        <f>AVERAGE('R1'!G82,'R2'!G82,'R3'!G82)</f>
        <v>19.608985999999998</v>
      </c>
      <c r="C82">
        <f>-'R1'!H82</f>
        <v>20</v>
      </c>
      <c r="D82">
        <f>DEGREES(ATAN(-SIN(RADIANS(('R1'!I82)))/(COS(RADIANS(Sheet1!C82))*COS(RADIANS('R1'!I82)))))</f>
        <v>21.172832185162978</v>
      </c>
      <c r="E82">
        <f>AVERAGE('R1'!J82,'R2'!J82,'R3'!J82)</f>
        <v>1.1633333333333333</v>
      </c>
      <c r="F82">
        <f>AVERAGE('R1'!K82,'R2'!K82,'R3'!K82)</f>
        <v>5.7849306666666669</v>
      </c>
      <c r="G82">
        <f>AVERAGE('R1'!L82,'R2'!L82,'R3'!L82)</f>
        <v>1.0706560429758323</v>
      </c>
      <c r="H82">
        <f>AVERAGE('R1'!M82,'R2'!M82,'R3'!M82)</f>
        <v>-1.2536119505157133</v>
      </c>
      <c r="I82">
        <f>AVERAGE('R1'!N82,'R2'!N82,'R3'!N82)</f>
        <v>-0.39372411017301046</v>
      </c>
      <c r="J82">
        <f>AVERAGE('R1'!O82,'R2'!O82,'R3'!O82)</f>
        <v>-2.5124142194835965E-2</v>
      </c>
      <c r="K82">
        <f t="shared" si="5"/>
        <v>1121.6337792592592</v>
      </c>
      <c r="M82">
        <f>_xlfn.STDEV.S('R1'!L82,'R2'!L82,'R3'!L82)</f>
        <v>2.7315504453512148E-3</v>
      </c>
      <c r="N82">
        <f>_xlfn.STDEV.S('R1'!M82,'R2'!M82,'R3'!M82)</f>
        <v>7.5591972920673852E-3</v>
      </c>
      <c r="O82">
        <f>_xlfn.STDEV.S('R1'!N82,'R2'!N82,'R3'!N82)</f>
        <v>1.7163430922419957E-2</v>
      </c>
      <c r="P82">
        <f>_xlfn.STDEV.S('R1'!O82,'R2'!O82,'R3'!O82)</f>
        <v>6.2136447715042198E-3</v>
      </c>
    </row>
    <row r="83" spans="1:16" x14ac:dyDescent="0.25">
      <c r="A83">
        <f>AVERAGE('R1'!F83,'R2'!F83,'R3'!F83)</f>
        <v>0.11372216666666667</v>
      </c>
      <c r="B83">
        <f>AVERAGE('R1'!G83,'R2'!G83,'R3'!G83)</f>
        <v>19.943215333333331</v>
      </c>
      <c r="C83">
        <f>-'R1'!H83</f>
        <v>20</v>
      </c>
      <c r="D83">
        <f>DEGREES(ATAN(-SIN(RADIANS(('R1'!I83)))/(COS(RADIANS(Sheet1!C83))*COS(RADIANS('R1'!I83)))))</f>
        <v>16.969467099429082</v>
      </c>
      <c r="E83">
        <f>AVERAGE('R1'!J83,'R2'!J83,'R3'!J83)</f>
        <v>1.1666666666666667</v>
      </c>
      <c r="F83">
        <f>AVERAGE('R1'!K83,'R2'!K83,'R3'!K83)</f>
        <v>5.8266264999999997</v>
      </c>
      <c r="G83">
        <f>AVERAGE('R1'!L83,'R2'!L83,'R3'!L83)</f>
        <v>0.88384182291411106</v>
      </c>
      <c r="H83">
        <f>AVERAGE('R1'!M83,'R2'!M83,'R3'!M83)</f>
        <v>-1.2554366432260406</v>
      </c>
      <c r="I83">
        <f>AVERAGE('R1'!N83,'R2'!N83,'R3'!N83)</f>
        <v>-0.31140364836197193</v>
      </c>
      <c r="J83">
        <f>AVERAGE('R1'!O83,'R2'!O83,'R3'!O83)</f>
        <v>8.0879074735909245E-2</v>
      </c>
      <c r="K83">
        <f t="shared" si="5"/>
        <v>1132.9551527777778</v>
      </c>
      <c r="M83">
        <f>_xlfn.STDEV.S('R1'!L83,'R2'!L83,'R3'!L83)</f>
        <v>2.2865849789604374E-3</v>
      </c>
      <c r="N83">
        <f>_xlfn.STDEV.S('R1'!M83,'R2'!M83,'R3'!M83)</f>
        <v>9.685337889301527E-3</v>
      </c>
      <c r="O83">
        <f>_xlfn.STDEV.S('R1'!N83,'R2'!N83,'R3'!N83)</f>
        <v>1.9231716965859593E-2</v>
      </c>
      <c r="P83">
        <f>_xlfn.STDEV.S('R1'!O83,'R2'!O83,'R3'!O83)</f>
        <v>3.4249073715142122E-3</v>
      </c>
    </row>
    <row r="84" spans="1:16" x14ac:dyDescent="0.25">
      <c r="A84">
        <f>AVERAGE('R1'!F84,'R2'!F84,'R3'!F84)</f>
        <v>0.11372216666666667</v>
      </c>
      <c r="B84">
        <f>AVERAGE('R1'!G84,'R2'!G84,'R3'!G84)</f>
        <v>20.422319083333335</v>
      </c>
      <c r="C84">
        <f>-'R1'!H84</f>
        <v>20</v>
      </c>
      <c r="D84">
        <f>DEGREES(ATAN(-SIN(RADIANS(('R1'!I84)))/(COS(RADIANS(Sheet1!C84))*COS(RADIANS('R1'!I84)))))</f>
        <v>12.745697846757086</v>
      </c>
      <c r="E84">
        <f>AVERAGE('R1'!J84,'R2'!J84,'R3'!J84)</f>
        <v>1.17</v>
      </c>
      <c r="F84">
        <f>AVERAGE('R1'!K84,'R2'!K84,'R3'!K84)</f>
        <v>5.8883069166666671</v>
      </c>
      <c r="G84">
        <f>AVERAGE('R1'!L84,'R2'!L84,'R3'!L84)</f>
        <v>0.67732890654264344</v>
      </c>
      <c r="H84">
        <f>AVERAGE('R1'!M84,'R2'!M84,'R3'!M84)</f>
        <v>-1.2940026325993401</v>
      </c>
      <c r="I84">
        <f>AVERAGE('R1'!N84,'R2'!N84,'R3'!N84)</f>
        <v>-0.27276264771964343</v>
      </c>
      <c r="J84">
        <f>AVERAGE('R1'!O84,'R2'!O84,'R3'!O84)</f>
        <v>0.18970086113163429</v>
      </c>
      <c r="K84">
        <f t="shared" si="5"/>
        <v>1148.21984875</v>
      </c>
      <c r="M84">
        <f>_xlfn.STDEV.S('R1'!L84,'R2'!L84,'R3'!L84)</f>
        <v>3.6975712559029917E-3</v>
      </c>
      <c r="N84">
        <f>_xlfn.STDEV.S('R1'!M84,'R2'!M84,'R3'!M84)</f>
        <v>4.7656335346506892E-3</v>
      </c>
      <c r="O84">
        <f>_xlfn.STDEV.S('R1'!N84,'R2'!N84,'R3'!N84)</f>
        <v>1.0242884266533666E-2</v>
      </c>
      <c r="P84">
        <f>_xlfn.STDEV.S('R1'!O84,'R2'!O84,'R3'!O84)</f>
        <v>7.984783432190324E-3</v>
      </c>
    </row>
    <row r="85" spans="1:16" x14ac:dyDescent="0.25">
      <c r="A85">
        <f>AVERAGE('R1'!F85,'R2'!F85,'R3'!F85)</f>
        <v>6.499566666666666E-2</v>
      </c>
      <c r="B85">
        <f>AVERAGE('R1'!G85,'R2'!G85,'R3'!G85)</f>
        <v>20.84955325</v>
      </c>
      <c r="C85">
        <f>-'R1'!H85</f>
        <v>20</v>
      </c>
      <c r="D85">
        <f>DEGREES(ATAN(-SIN(RADIANS(('R1'!I85)))/(COS(RADIANS(Sheet1!C85))*COS(RADIANS('R1'!I85)))))</f>
        <v>8.5061328568771426</v>
      </c>
      <c r="E85">
        <f>AVERAGE('R1'!J85,'R2'!J85,'R3'!J85)</f>
        <v>1.1675</v>
      </c>
      <c r="F85">
        <f>AVERAGE('R1'!K85,'R2'!K85,'R3'!K85)</f>
        <v>5.9641037499999996</v>
      </c>
      <c r="G85">
        <f>AVERAGE('R1'!L85,'R2'!L85,'R3'!L85)</f>
        <v>0.44776069739589008</v>
      </c>
      <c r="H85">
        <f>AVERAGE('R1'!M85,'R2'!M85,'R3'!M85)</f>
        <v>-1.3486303004866527</v>
      </c>
      <c r="I85">
        <f>AVERAGE('R1'!N85,'R2'!N85,'R3'!N85)</f>
        <v>-0.2414700552122773</v>
      </c>
      <c r="J85">
        <f>AVERAGE('R1'!O85,'R2'!O85,'R3'!O85)</f>
        <v>0.29748263581172435</v>
      </c>
      <c r="K85">
        <f t="shared" si="5"/>
        <v>1160.5151880208334</v>
      </c>
      <c r="M85">
        <f>_xlfn.STDEV.S('R1'!L85,'R2'!L85,'R3'!L85)</f>
        <v>9.1290996992417703E-3</v>
      </c>
      <c r="N85">
        <f>_xlfn.STDEV.S('R1'!M85,'R2'!M85,'R3'!M85)</f>
        <v>6.9883099026330645E-3</v>
      </c>
      <c r="O85">
        <f>_xlfn.STDEV.S('R1'!N85,'R2'!N85,'R3'!N85)</f>
        <v>9.0810257022126278E-3</v>
      </c>
      <c r="P85">
        <f>_xlfn.STDEV.S('R1'!O85,'R2'!O85,'R3'!O85)</f>
        <v>5.7291135306872052E-3</v>
      </c>
    </row>
    <row r="86" spans="1:16" x14ac:dyDescent="0.25">
      <c r="A86">
        <f>AVERAGE('R1'!F86,'R2'!F86,'R3'!F86)</f>
        <v>0.11372216666666667</v>
      </c>
      <c r="B86">
        <f>AVERAGE('R1'!G86,'R2'!G86,'R3'!G86)</f>
        <v>21.023368666666666</v>
      </c>
      <c r="C86">
        <f>-'R1'!H86</f>
        <v>20</v>
      </c>
      <c r="D86">
        <f>DEGREES(ATAN(-SIN(RADIANS(('R1'!I86)))/(COS(RADIANS(Sheet1!C86))*COS(RADIANS('R1'!I86)))))</f>
        <v>4.2557962016512016</v>
      </c>
      <c r="E86">
        <f>AVERAGE('R1'!J86,'R2'!J86,'R3'!J86)</f>
        <v>1.1683333333333332</v>
      </c>
      <c r="F86">
        <f>AVERAGE('R1'!K86,'R2'!K86,'R3'!K86)</f>
        <v>5.9795305833333332</v>
      </c>
      <c r="G86">
        <f>AVERAGE('R1'!L86,'R2'!L86,'R3'!L86)</f>
        <v>0.19466145401236681</v>
      </c>
      <c r="H86">
        <f>AVERAGE('R1'!M86,'R2'!M86,'R3'!M86)</f>
        <v>-1.4258585000361927</v>
      </c>
      <c r="I86">
        <f>AVERAGE('R1'!N86,'R2'!N86,'R3'!N86)</f>
        <v>-0.23259107424630066</v>
      </c>
      <c r="J86">
        <f>AVERAGE('R1'!O86,'R2'!O86,'R3'!O86)</f>
        <v>0.39860302277991089</v>
      </c>
      <c r="K86">
        <f t="shared" si="5"/>
        <v>1164.3474830324071</v>
      </c>
      <c r="M86">
        <f>_xlfn.STDEV.S('R1'!L86,'R2'!L86,'R3'!L86)</f>
        <v>4.0012534200112486E-3</v>
      </c>
      <c r="N86">
        <f>_xlfn.STDEV.S('R1'!M86,'R2'!M86,'R3'!M86)</f>
        <v>1.6149069717824375E-2</v>
      </c>
      <c r="O86">
        <f>_xlfn.STDEV.S('R1'!N86,'R2'!N86,'R3'!N86)</f>
        <v>2.4657256551551716E-2</v>
      </c>
      <c r="P86">
        <f>_xlfn.STDEV.S('R1'!O86,'R2'!O86,'R3'!O86)</f>
        <v>4.3095274969753581E-3</v>
      </c>
    </row>
    <row r="87" spans="1:16" x14ac:dyDescent="0.25">
      <c r="A87">
        <f>AVERAGE('R1'!F87,'R2'!F87,'R3'!F87)</f>
        <v>0.11372216666666667</v>
      </c>
      <c r="B87">
        <f>AVERAGE('R1'!G87,'R2'!G87,'R3'!G87)</f>
        <v>20.942940916666668</v>
      </c>
      <c r="C87">
        <f>-'R1'!H87</f>
        <v>20</v>
      </c>
      <c r="D87">
        <f>DEGREES(ATAN(-SIN(RADIANS(('R1'!I87)))/(COS(RADIANS(Sheet1!C87))*COS(RADIANS('R1'!I87)))))</f>
        <v>0</v>
      </c>
      <c r="E87">
        <f>AVERAGE('R1'!J87,'R2'!J87,'R3'!J87)</f>
        <v>1.17</v>
      </c>
      <c r="F87">
        <f>AVERAGE('R1'!K87,'R2'!K87,'R3'!K87)</f>
        <v>5.9647522500000001</v>
      </c>
      <c r="G87">
        <f>AVERAGE('R1'!L87,'R2'!L87,'R3'!L87)</f>
        <v>-9.6793623098595002E-2</v>
      </c>
      <c r="H87">
        <f>AVERAGE('R1'!M87,'R2'!M87,'R3'!M87)</f>
        <v>-1.450574860615901</v>
      </c>
      <c r="I87">
        <f>AVERAGE('R1'!N87,'R2'!N87,'R3'!N87)</f>
        <v>-0.23264610173925535</v>
      </c>
      <c r="J87">
        <f>AVERAGE('R1'!O87,'R2'!O87,'R3'!O87)</f>
        <v>0.45104505349974944</v>
      </c>
      <c r="K87">
        <f t="shared" si="5"/>
        <v>1163.1266887499999</v>
      </c>
      <c r="M87">
        <f>_xlfn.STDEV.S('R1'!L87,'R2'!L87,'R3'!L87)</f>
        <v>1.4330717019518015E-3</v>
      </c>
      <c r="N87">
        <f>_xlfn.STDEV.S('R1'!M87,'R2'!M87,'R3'!M87)</f>
        <v>1.1296223468807121E-2</v>
      </c>
      <c r="O87">
        <f>_xlfn.STDEV.S('R1'!N87,'R2'!N87,'R3'!N87)</f>
        <v>2.2162516563936984E-2</v>
      </c>
      <c r="P87">
        <f>_xlfn.STDEV.S('R1'!O87,'R2'!O87,'R3'!O87)</f>
        <v>2.3424036961786545E-3</v>
      </c>
    </row>
    <row r="88" spans="1:16" x14ac:dyDescent="0.25">
      <c r="A88">
        <f>AVERAGE('R1'!F88,'R2'!F88,'R3'!F88)</f>
        <v>9.7518999999999981E-2</v>
      </c>
      <c r="B88">
        <f>AVERAGE('R1'!G88,'R2'!G88,'R3'!G88)</f>
        <v>20.543517583333333</v>
      </c>
      <c r="C88">
        <f>-'R1'!H88</f>
        <v>20</v>
      </c>
      <c r="D88">
        <f>DEGREES(ATAN(-SIN(RADIANS(('R1'!I88)))/(COS(RADIANS(Sheet1!C88))*COS(RADIANS('R1'!I88)))))</f>
        <v>-4.2557962016512016</v>
      </c>
      <c r="E88">
        <f>AVERAGE('R1'!J88,'R2'!J88,'R3'!J88)</f>
        <v>1.17</v>
      </c>
      <c r="F88">
        <f>AVERAGE('R1'!K88,'R2'!K88,'R3'!K88)</f>
        <v>5.9092451666666674</v>
      </c>
      <c r="G88">
        <f>AVERAGE('R1'!L88,'R2'!L88,'R3'!L88)</f>
        <v>-0.36546106958648455</v>
      </c>
      <c r="H88">
        <f>AVERAGE('R1'!M88,'R2'!M88,'R3'!M88)</f>
        <v>-1.3463387460742222</v>
      </c>
      <c r="I88">
        <f>AVERAGE('R1'!N88,'R2'!N88,'R3'!N88)</f>
        <v>-0.22154559329001144</v>
      </c>
      <c r="J88">
        <f>AVERAGE('R1'!O88,'R2'!O88,'R3'!O88)</f>
        <v>0.35195276860510694</v>
      </c>
      <c r="K88">
        <f t="shared" si="5"/>
        <v>1152.3028075000002</v>
      </c>
      <c r="M88">
        <f>_xlfn.STDEV.S('R1'!L88,'R2'!L88,'R3'!L88)</f>
        <v>4.6195957580031852E-3</v>
      </c>
      <c r="N88">
        <f>_xlfn.STDEV.S('R1'!M88,'R2'!M88,'R3'!M88)</f>
        <v>9.620088577893612E-3</v>
      </c>
      <c r="O88">
        <f>_xlfn.STDEV.S('R1'!N88,'R2'!N88,'R3'!N88)</f>
        <v>2.0311588208144136E-2</v>
      </c>
      <c r="P88">
        <f>_xlfn.STDEV.S('R1'!O88,'R2'!O88,'R3'!O88)</f>
        <v>8.8570194952125609E-3</v>
      </c>
    </row>
    <row r="89" spans="1:16" x14ac:dyDescent="0.25">
      <c r="A89">
        <f>AVERAGE('R1'!F89,'R2'!F89,'R3'!F89)</f>
        <v>0.11372216666666667</v>
      </c>
      <c r="B89">
        <f>AVERAGE('R1'!G89,'R2'!G89,'R3'!G89)</f>
        <v>19.915781749999997</v>
      </c>
      <c r="C89">
        <f>-'R1'!H89</f>
        <v>20</v>
      </c>
      <c r="D89">
        <f>DEGREES(ATAN(-SIN(RADIANS(('R1'!I89)))/(COS(RADIANS(Sheet1!C89))*COS(RADIANS('R1'!I89)))))</f>
        <v>-8.5061328568771426</v>
      </c>
      <c r="E89">
        <f>AVERAGE('R1'!J89,'R2'!J89,'R3'!J89)</f>
        <v>1.17</v>
      </c>
      <c r="F89">
        <f>AVERAGE('R1'!K89,'R2'!K89,'R3'!K89)</f>
        <v>5.8157040833333333</v>
      </c>
      <c r="G89">
        <f>AVERAGE('R1'!L89,'R2'!L89,'R3'!L89)</f>
        <v>-0.6031530118428452</v>
      </c>
      <c r="H89">
        <f>AVERAGE('R1'!M89,'R2'!M89,'R3'!M89)</f>
        <v>-1.2657293094286002</v>
      </c>
      <c r="I89">
        <f>AVERAGE('R1'!N89,'R2'!N89,'R3'!N89)</f>
        <v>-0.24303804870692222</v>
      </c>
      <c r="J89">
        <f>AVERAGE('R1'!O89,'R2'!O89,'R3'!O89)</f>
        <v>0.27070079862557672</v>
      </c>
      <c r="K89">
        <f t="shared" si="5"/>
        <v>1134.0622962499999</v>
      </c>
      <c r="M89">
        <f>_xlfn.STDEV.S('R1'!L89,'R2'!L89,'R3'!L89)</f>
        <v>1.1240379703265937E-2</v>
      </c>
      <c r="N89">
        <f>_xlfn.STDEV.S('R1'!M89,'R2'!M89,'R3'!M89)</f>
        <v>7.60479751051995E-3</v>
      </c>
      <c r="O89">
        <f>_xlfn.STDEV.S('R1'!N89,'R2'!N89,'R3'!N89)</f>
        <v>1.6603052680278927E-2</v>
      </c>
      <c r="P89">
        <f>_xlfn.STDEV.S('R1'!O89,'R2'!O89,'R3'!O89)</f>
        <v>3.3454988131738734E-3</v>
      </c>
    </row>
    <row r="90" spans="1:16" x14ac:dyDescent="0.25">
      <c r="A90">
        <f>AVERAGE('R1'!F90,'R2'!F90,'R3'!F90)</f>
        <v>0.11372216666666667</v>
      </c>
      <c r="B90">
        <f>AVERAGE('R1'!G90,'R2'!G90,'R3'!G90)</f>
        <v>19.448524000000003</v>
      </c>
      <c r="C90">
        <f>-'R1'!H90</f>
        <v>20</v>
      </c>
      <c r="D90">
        <f>DEGREES(ATAN(-SIN(RADIANS(('R1'!I90)))/(COS(RADIANS(Sheet1!C90))*COS(RADIANS('R1'!I90)))))</f>
        <v>-12.745697846757086</v>
      </c>
      <c r="E90">
        <f>AVERAGE('R1'!J90,'R2'!J90,'R3'!J90)</f>
        <v>1.1683333333333332</v>
      </c>
      <c r="F90">
        <f>AVERAGE('R1'!K90,'R2'!K90,'R3'!K90)</f>
        <v>5.7506181666666665</v>
      </c>
      <c r="G90">
        <f>AVERAGE('R1'!L90,'R2'!L90,'R3'!L90)</f>
        <v>-0.82260805374529256</v>
      </c>
      <c r="H90">
        <f>AVERAGE('R1'!M90,'R2'!M90,'R3'!M90)</f>
        <v>-1.2104655272759768</v>
      </c>
      <c r="I90">
        <f>AVERAGE('R1'!N90,'R2'!N90,'R3'!N90)</f>
        <v>-0.28373271255726046</v>
      </c>
      <c r="J90">
        <f>AVERAGE('R1'!O90,'R2'!O90,'R3'!O90)</f>
        <v>0.17895941113926997</v>
      </c>
      <c r="K90">
        <f t="shared" si="5"/>
        <v>1119.7731485648146</v>
      </c>
      <c r="M90">
        <f>_xlfn.STDEV.S('R1'!L90,'R2'!L90,'R3'!L90)</f>
        <v>9.9226533031687245E-3</v>
      </c>
      <c r="N90">
        <f>_xlfn.STDEV.S('R1'!M90,'R2'!M90,'R3'!M90)</f>
        <v>7.6452914786728889E-3</v>
      </c>
      <c r="O90">
        <f>_xlfn.STDEV.S('R1'!N90,'R2'!N90,'R3'!N90)</f>
        <v>1.7495336393731107E-2</v>
      </c>
      <c r="P90">
        <f>_xlfn.STDEV.S('R1'!O90,'R2'!O90,'R3'!O90)</f>
        <v>7.0206149502883754E-3</v>
      </c>
    </row>
    <row r="91" spans="1:16" x14ac:dyDescent="0.25">
      <c r="A91">
        <f>AVERAGE('R1'!F91,'R2'!F91,'R3'!F91)</f>
        <v>8.1237833333333329E-2</v>
      </c>
      <c r="B91">
        <f>AVERAGE('R1'!G91,'R2'!G91,'R3'!G91)</f>
        <v>18.941973583333333</v>
      </c>
      <c r="C91">
        <f>-'R1'!H91</f>
        <v>20</v>
      </c>
      <c r="D91">
        <f>DEGREES(ATAN(-SIN(RADIANS(('R1'!I91)))/(COS(RADIANS(Sheet1!C91))*COS(RADIANS('R1'!I91)))))</f>
        <v>-16.969467099429082</v>
      </c>
      <c r="E91">
        <f>AVERAGE('R1'!J91,'R2'!J91,'R3'!J91)</f>
        <v>1.1675</v>
      </c>
      <c r="F91">
        <f>AVERAGE('R1'!K91,'R2'!K91,'R3'!K91)</f>
        <v>5.6821968333333333</v>
      </c>
      <c r="G91">
        <f>AVERAGE('R1'!L91,'R2'!L91,'R3'!L91)</f>
        <v>-1.038205796062506</v>
      </c>
      <c r="H91">
        <f>AVERAGE('R1'!M91,'R2'!M91,'R3'!M91)</f>
        <v>-1.1939345362135925</v>
      </c>
      <c r="I91">
        <f>AVERAGE('R1'!N91,'R2'!N91,'R3'!N91)</f>
        <v>-0.36217946185862665</v>
      </c>
      <c r="J91">
        <f>AVERAGE('R1'!O91,'R2'!O91,'R3'!O91)</f>
        <v>7.488959212483208E-2</v>
      </c>
      <c r="K91">
        <f t="shared" si="5"/>
        <v>1105.6608004861112</v>
      </c>
      <c r="M91">
        <f>_xlfn.STDEV.S('R1'!L91,'R2'!L91,'R3'!L91)</f>
        <v>7.3469308129301769E-3</v>
      </c>
      <c r="N91">
        <f>_xlfn.STDEV.S('R1'!M91,'R2'!M91,'R3'!M91)</f>
        <v>5.7559225268041438E-3</v>
      </c>
      <c r="O91">
        <f>_xlfn.STDEV.S('R1'!N91,'R2'!N91,'R3'!N91)</f>
        <v>1.2735028744475256E-2</v>
      </c>
      <c r="P91">
        <f>_xlfn.STDEV.S('R1'!O91,'R2'!O91,'R3'!O91)</f>
        <v>6.3544175443265892E-3</v>
      </c>
    </row>
    <row r="92" spans="1:16" x14ac:dyDescent="0.25">
      <c r="A92">
        <f>AVERAGE('R1'!F92,'R2'!F92,'R3'!F92)</f>
        <v>0.12996433333333332</v>
      </c>
      <c r="B92">
        <f>AVERAGE('R1'!G92,'R2'!G92,'R3'!G92)</f>
        <v>18.581863666666667</v>
      </c>
      <c r="C92">
        <f>-'R1'!H92</f>
        <v>20</v>
      </c>
      <c r="D92">
        <f>DEGREES(ATAN(-SIN(RADIANS(('R1'!I92)))/(COS(RADIANS(Sheet1!C92))*COS(RADIANS('R1'!I92)))))</f>
        <v>-21.172832185162978</v>
      </c>
      <c r="E92">
        <f>AVERAGE('R1'!J92,'R2'!J92,'R3'!J92)</f>
        <v>1.1675</v>
      </c>
      <c r="F92">
        <f>AVERAGE('R1'!K92,'R2'!K92,'R3'!K92)</f>
        <v>5.6203156666666665</v>
      </c>
      <c r="G92">
        <f>AVERAGE('R1'!L92,'R2'!L92,'R3'!L92)</f>
        <v>-1.2520745387975962</v>
      </c>
      <c r="H92">
        <f>AVERAGE('R1'!M92,'R2'!M92,'R3'!M92)</f>
        <v>-1.2101836947803011</v>
      </c>
      <c r="I92">
        <f>AVERAGE('R1'!N92,'R2'!N92,'R3'!N92)</f>
        <v>-0.47547191515698861</v>
      </c>
      <c r="J92">
        <f>AVERAGE('R1'!O92,'R2'!O92,'R3'!O92)</f>
        <v>-5.3271407073837429E-2</v>
      </c>
      <c r="K92">
        <f t="shared" si="5"/>
        <v>1093.6197568055554</v>
      </c>
      <c r="M92">
        <f>_xlfn.STDEV.S('R1'!L92,'R2'!L92,'R3'!L92)</f>
        <v>8.9685844260784693E-3</v>
      </c>
      <c r="N92">
        <f>_xlfn.STDEV.S('R1'!M92,'R2'!M92,'R3'!M92)</f>
        <v>7.5070924993397032E-3</v>
      </c>
      <c r="O92">
        <f>_xlfn.STDEV.S('R1'!N92,'R2'!N92,'R3'!N92)</f>
        <v>1.6415760534279875E-2</v>
      </c>
      <c r="P92">
        <f>_xlfn.STDEV.S('R1'!O92,'R2'!O92,'R3'!O92)</f>
        <v>8.3121013008168754E-3</v>
      </c>
    </row>
    <row r="93" spans="1:16" x14ac:dyDescent="0.25">
      <c r="A93">
        <f>AVERAGE('R1'!F93,'R2'!F93,'R3'!F93)</f>
        <v>0.11372216666666667</v>
      </c>
      <c r="B93">
        <f>AVERAGE('R1'!G93,'R2'!G93,'R3'!G93)</f>
        <v>18.314328166666666</v>
      </c>
      <c r="C93">
        <f>-'R1'!H93</f>
        <v>20</v>
      </c>
      <c r="D93">
        <f>DEGREES(ATAN(-SIN(RADIANS(('R1'!I93)))/(COS(RADIANS(Sheet1!C93))*COS(RADIANS('R1'!I93)))))</f>
        <v>-25.351709771061881</v>
      </c>
      <c r="E93">
        <f>AVERAGE('R1'!J93,'R2'!J93,'R3'!J93)</f>
        <v>1.1691666666666667</v>
      </c>
      <c r="F93">
        <f>AVERAGE('R1'!K93,'R2'!K93,'R3'!K93)</f>
        <v>5.5778615</v>
      </c>
      <c r="G93">
        <f>AVERAGE('R1'!L93,'R2'!L93,'R3'!L93)</f>
        <v>-1.4668720174689247</v>
      </c>
      <c r="H93">
        <f>AVERAGE('R1'!M93,'R2'!M93,'R3'!M93)</f>
        <v>-1.2726389280765273</v>
      </c>
      <c r="I93">
        <f>AVERAGE('R1'!N93,'R2'!N93,'R3'!N93)</f>
        <v>-0.63342255518853563</v>
      </c>
      <c r="J93">
        <f>AVERAGE('R1'!O93,'R2'!O93,'R3'!O93)</f>
        <v>-0.19789215860654163</v>
      </c>
      <c r="K93">
        <f t="shared" si="5"/>
        <v>1086.9082895138888</v>
      </c>
      <c r="M93">
        <f>_xlfn.STDEV.S('R1'!L93,'R2'!L93,'R3'!L93)</f>
        <v>1.2501417760271262E-2</v>
      </c>
      <c r="N93">
        <f>_xlfn.STDEV.S('R1'!M93,'R2'!M93,'R3'!M93)</f>
        <v>5.9412360120368315E-3</v>
      </c>
      <c r="O93">
        <f>_xlfn.STDEV.S('R1'!N93,'R2'!N93,'R3'!N93)</f>
        <v>1.6317443205483412E-2</v>
      </c>
      <c r="P93">
        <f>_xlfn.STDEV.S('R1'!O93,'R2'!O93,'R3'!O93)</f>
        <v>7.3876618824997731E-3</v>
      </c>
    </row>
    <row r="94" spans="1:16" x14ac:dyDescent="0.25">
      <c r="A94">
        <f>AVERAGE('R1'!F94,'R2'!F94,'R3'!F94)</f>
        <v>8.1237833333333329E-2</v>
      </c>
      <c r="B94">
        <f>AVERAGE('R1'!G94,'R2'!G94,'R3'!G94)</f>
        <v>18.181297249999997</v>
      </c>
      <c r="C94">
        <f>-'R1'!H94</f>
        <v>20</v>
      </c>
      <c r="D94">
        <f>DEGREES(ATAN(-SIN(RADIANS(('R1'!I94)))/(COS(RADIANS(Sheet1!C94))*COS(RADIANS('R1'!I94)))))</f>
        <v>-29.502629281345779</v>
      </c>
      <c r="E94">
        <f>AVERAGE('R1'!J94,'R2'!J94,'R3'!J94)</f>
        <v>1.1675</v>
      </c>
      <c r="F94">
        <f>AVERAGE('R1'!K94,'R2'!K94,'R3'!K94)</f>
        <v>5.5656921666666674</v>
      </c>
      <c r="G94">
        <f>AVERAGE('R1'!L94,'R2'!L94,'R3'!L94)</f>
        <v>-1.7125490654911852</v>
      </c>
      <c r="H94">
        <f>AVERAGE('R1'!M94,'R2'!M94,'R3'!M94)</f>
        <v>-1.3681807272081661</v>
      </c>
      <c r="I94">
        <f>AVERAGE('R1'!N94,'R2'!N94,'R3'!N94)</f>
        <v>-0.8388222912151666</v>
      </c>
      <c r="J94">
        <f>AVERAGE('R1'!O94,'R2'!O94,'R3'!O94)</f>
        <v>-0.3704481091899951</v>
      </c>
      <c r="K94">
        <f t="shared" si="5"/>
        <v>1082.9909340972224</v>
      </c>
      <c r="M94">
        <f>_xlfn.STDEV.S('R1'!L94,'R2'!L94,'R3'!L94)</f>
        <v>1.5095423273803603E-2</v>
      </c>
      <c r="N94">
        <f>_xlfn.STDEV.S('R1'!M94,'R2'!M94,'R3'!M94)</f>
        <v>1.3077812607943875E-2</v>
      </c>
      <c r="O94">
        <f>_xlfn.STDEV.S('R1'!N94,'R2'!N94,'R3'!N94)</f>
        <v>1.9577496521333837E-2</v>
      </c>
      <c r="P94">
        <f>_xlfn.STDEV.S('R1'!O94,'R2'!O94,'R3'!O94)</f>
        <v>3.5445130497821103E-3</v>
      </c>
    </row>
    <row r="95" spans="1:16" x14ac:dyDescent="0.25">
      <c r="A95">
        <f>AVERAGE('R1'!F95,'R2'!F95,'R3'!F95)</f>
        <v>6.499566666666666E-2</v>
      </c>
      <c r="B95">
        <f>AVERAGE('R1'!G95,'R2'!G95,'R3'!G95)</f>
        <v>18.5414815</v>
      </c>
      <c r="C95">
        <f>-'R1'!H95</f>
        <v>20</v>
      </c>
      <c r="D95">
        <f>DEGREES(ATAN(-SIN(RADIANS(('R1'!I95)))/(COS(RADIANS(Sheet1!C95))*COS(RADIANS('R1'!I95)))))</f>
        <v>-33.622796746730245</v>
      </c>
      <c r="E95">
        <f>AVERAGE('R1'!J95,'R2'!J95,'R3'!J95)</f>
        <v>1.1666666666666667</v>
      </c>
      <c r="F95">
        <f>AVERAGE('R1'!K95,'R2'!K95,'R3'!K95)</f>
        <v>5.6255113333333329</v>
      </c>
      <c r="G95">
        <f>AVERAGE('R1'!L95,'R2'!L95,'R3'!L95)</f>
        <v>-1.9993261483287421</v>
      </c>
      <c r="H95">
        <f>AVERAGE('R1'!M95,'R2'!M95,'R3'!M95)</f>
        <v>-1.4995819172696097</v>
      </c>
      <c r="I95">
        <f>AVERAGE('R1'!N95,'R2'!N95,'R3'!N95)</f>
        <v>-1.1117412804340534</v>
      </c>
      <c r="J95">
        <f>AVERAGE('R1'!O95,'R2'!O95,'R3'!O95)</f>
        <v>-0.56809760477541971</v>
      </c>
      <c r="K95">
        <f t="shared" si="5"/>
        <v>1093.8494259259257</v>
      </c>
      <c r="M95">
        <f>_xlfn.STDEV.S('R1'!L95,'R2'!L95,'R3'!L95)</f>
        <v>1.8007838112815238E-2</v>
      </c>
      <c r="N95">
        <f>_xlfn.STDEV.S('R1'!M95,'R2'!M95,'R3'!M95)</f>
        <v>8.8457193185140781E-3</v>
      </c>
      <c r="O95">
        <f>_xlfn.STDEV.S('R1'!N95,'R2'!N95,'R3'!N95)</f>
        <v>2.2550040264106654E-2</v>
      </c>
      <c r="P95">
        <f>_xlfn.STDEV.S('R1'!O95,'R2'!O95,'R3'!O95)</f>
        <v>6.1254445738406814E-3</v>
      </c>
    </row>
    <row r="96" spans="1:16" x14ac:dyDescent="0.25">
      <c r="A96">
        <f>AVERAGE('R1'!F96,'R2'!F96,'R3'!F96)</f>
        <v>0.11372216666666667</v>
      </c>
      <c r="B96">
        <f>AVERAGE('R1'!G96,'R2'!G96,'R3'!G96)</f>
        <v>18.942011583333336</v>
      </c>
      <c r="C96">
        <f>-'R1'!H96</f>
        <v>20</v>
      </c>
      <c r="D96">
        <f>DEGREES(ATAN(-SIN(RADIANS(('R1'!I96)))/(COS(RADIANS(Sheet1!C96))*COS(RADIANS('R1'!I96)))))</f>
        <v>-37.710134449764993</v>
      </c>
      <c r="E96">
        <f>AVERAGE('R1'!J96,'R2'!J96,'R3'!J96)</f>
        <v>1.1683333333333332</v>
      </c>
      <c r="F96">
        <f>AVERAGE('R1'!K96,'R2'!K96,'R3'!K96)</f>
        <v>5.6738594999999998</v>
      </c>
      <c r="G96">
        <f>AVERAGE('R1'!L96,'R2'!L96,'R3'!L96)</f>
        <v>-2.3712529615111868</v>
      </c>
      <c r="H96">
        <f>AVERAGE('R1'!M96,'R2'!M96,'R3'!M96)</f>
        <v>-1.6971315011111761</v>
      </c>
      <c r="I96">
        <f>AVERAGE('R1'!N96,'R2'!N96,'R3'!N96)</f>
        <v>-1.4924677256886785</v>
      </c>
      <c r="J96">
        <f>AVERAGE('R1'!O96,'R2'!O96,'R3'!O96)</f>
        <v>-0.82903092187896466</v>
      </c>
      <c r="K96">
        <f t="shared" si="5"/>
        <v>1104.8265304166666</v>
      </c>
      <c r="M96">
        <f>_xlfn.STDEV.S('R1'!L96,'R2'!L96,'R3'!L96)</f>
        <v>2.74226419706344E-2</v>
      </c>
      <c r="N96">
        <f>_xlfn.STDEV.S('R1'!M96,'R2'!M96,'R3'!M96)</f>
        <v>2.151343422197018E-2</v>
      </c>
      <c r="O96">
        <f>_xlfn.STDEV.S('R1'!N96,'R2'!N96,'R3'!N96)</f>
        <v>3.8570458027870444E-2</v>
      </c>
      <c r="P96">
        <f>_xlfn.STDEV.S('R1'!O96,'R2'!O96,'R3'!O96)</f>
        <v>1.1712018600392718E-2</v>
      </c>
    </row>
    <row r="97" spans="1:16" x14ac:dyDescent="0.25">
      <c r="A97">
        <f>AVERAGE('R1'!F97,'R2'!F97,'R3'!F97)</f>
        <v>8.1237833333333329E-2</v>
      </c>
      <c r="B97">
        <f>AVERAGE('R1'!G97,'R2'!G97,'R3'!G97)</f>
        <v>19.355886499999997</v>
      </c>
      <c r="C97">
        <f>-'R1'!H97</f>
        <v>16</v>
      </c>
      <c r="D97">
        <f>DEGREES(ATAN(-SIN(RADIANS(('R1'!I97)))/(COS(RADIANS(Sheet1!C97))*COS(RADIANS('R1'!I97)))))</f>
        <v>37.082782431142171</v>
      </c>
      <c r="E97">
        <f>AVERAGE('R1'!J97,'R2'!J97,'R3'!J97)</f>
        <v>1.1675</v>
      </c>
      <c r="F97">
        <f>AVERAGE('R1'!K97,'R2'!K97,'R3'!K97)</f>
        <v>5.7432192500000001</v>
      </c>
      <c r="G97">
        <f>AVERAGE('R1'!L97,'R2'!L97,'R3'!L97)</f>
        <v>1.8896310164294787</v>
      </c>
      <c r="H97">
        <f>AVERAGE('R1'!M97,'R2'!M97,'R3'!M97)</f>
        <v>-1.1903669848150615</v>
      </c>
      <c r="I97">
        <f>AVERAGE('R1'!N97,'R2'!N97,'R3'!N97)</f>
        <v>-0.8985342856155647</v>
      </c>
      <c r="J97">
        <f>AVERAGE('R1'!O97,'R2'!O97,'R3'!O97)</f>
        <v>-0.55464385721311771</v>
      </c>
      <c r="K97">
        <f t="shared" si="5"/>
        <v>1117.5347457291666</v>
      </c>
      <c r="M97">
        <f>_xlfn.STDEV.S('R1'!L97,'R2'!L97,'R3'!L97)</f>
        <v>7.3033517823858475E-3</v>
      </c>
      <c r="N97">
        <f>_xlfn.STDEV.S('R1'!M97,'R2'!M97,'R3'!M97)</f>
        <v>3.000523670907453E-3</v>
      </c>
      <c r="O97">
        <f>_xlfn.STDEV.S('R1'!N97,'R2'!N97,'R3'!N97)</f>
        <v>6.3553614068596253E-3</v>
      </c>
      <c r="P97">
        <f>_xlfn.STDEV.S('R1'!O97,'R2'!O97,'R3'!O97)</f>
        <v>5.24125680258959E-3</v>
      </c>
    </row>
    <row r="98" spans="1:16" x14ac:dyDescent="0.25">
      <c r="A98">
        <f>AVERAGE('R1'!F98,'R2'!F98,'R3'!F98)</f>
        <v>0.12996433333333332</v>
      </c>
      <c r="B98">
        <f>AVERAGE('R1'!G98,'R2'!G98,'R3'!G98)</f>
        <v>19.767958666666669</v>
      </c>
      <c r="C98">
        <f>-'R1'!H98</f>
        <v>16</v>
      </c>
      <c r="D98">
        <f>DEGREES(ATAN(-SIN(RADIANS(('R1'!I98)))/(COS(RADIANS(Sheet1!C98))*COS(RADIANS('R1'!I98)))))</f>
        <v>33.025931133441695</v>
      </c>
      <c r="E98">
        <f>AVERAGE('R1'!J98,'R2'!J98,'R3'!J98)</f>
        <v>1.17</v>
      </c>
      <c r="F98">
        <f>AVERAGE('R1'!K98,'R2'!K98,'R3'!K98)</f>
        <v>5.7906949999999995</v>
      </c>
      <c r="G98">
        <f>AVERAGE('R1'!L98,'R2'!L98,'R3'!L98)</f>
        <v>1.6809519953123047</v>
      </c>
      <c r="H98">
        <f>AVERAGE('R1'!M98,'R2'!M98,'R3'!M98)</f>
        <v>-1.1241957682118957</v>
      </c>
      <c r="I98">
        <f>AVERAGE('R1'!N98,'R2'!N98,'R3'!N98)</f>
        <v>-0.70621382088101914</v>
      </c>
      <c r="J98">
        <f>AVERAGE('R1'!O98,'R2'!O98,'R3'!O98)</f>
        <v>-0.38146744795702442</v>
      </c>
      <c r="K98">
        <f t="shared" si="5"/>
        <v>1129.1855249999999</v>
      </c>
      <c r="M98">
        <f>_xlfn.STDEV.S('R1'!L98,'R2'!L98,'R3'!L98)</f>
        <v>4.1834402709840842E-3</v>
      </c>
      <c r="N98">
        <f>_xlfn.STDEV.S('R1'!M98,'R2'!M98,'R3'!M98)</f>
        <v>5.6335286484048E-3</v>
      </c>
      <c r="O98">
        <f>_xlfn.STDEV.S('R1'!N98,'R2'!N98,'R3'!N98)</f>
        <v>6.4363281686469981E-3</v>
      </c>
      <c r="P98">
        <f>_xlfn.STDEV.S('R1'!O98,'R2'!O98,'R3'!O98)</f>
        <v>5.0994694147523147E-3</v>
      </c>
    </row>
    <row r="99" spans="1:16" x14ac:dyDescent="0.25">
      <c r="A99">
        <f>AVERAGE('R1'!F99,'R2'!F99,'R3'!F99)</f>
        <v>0.12996433333333332</v>
      </c>
      <c r="B99">
        <f>AVERAGE('R1'!G99,'R2'!G99,'R3'!G99)</f>
        <v>20.048816583333334</v>
      </c>
      <c r="C99">
        <f>-'R1'!H99</f>
        <v>16</v>
      </c>
      <c r="D99">
        <f>DEGREES(ATAN(-SIN(RADIANS(('R1'!I99)))/(COS(RADIANS(Sheet1!C99))*COS(RADIANS('R1'!I99)))))</f>
        <v>28.948605633454871</v>
      </c>
      <c r="E99">
        <f>AVERAGE('R1'!J99,'R2'!J99,'R3'!J99)</f>
        <v>1.1658333333333333</v>
      </c>
      <c r="F99">
        <f>AVERAGE('R1'!K99,'R2'!K99,'R3'!K99)</f>
        <v>5.8424809166666671</v>
      </c>
      <c r="G99">
        <f>AVERAGE('R1'!L99,'R2'!L99,'R3'!L99)</f>
        <v>1.4891810996159149</v>
      </c>
      <c r="H99">
        <f>AVERAGE('R1'!M99,'R2'!M99,'R3'!M99)</f>
        <v>-1.078952474758333</v>
      </c>
      <c r="I99">
        <f>AVERAGE('R1'!N99,'R2'!N99,'R3'!N99)</f>
        <v>-0.54928579749992534</v>
      </c>
      <c r="J99">
        <f>AVERAGE('R1'!O99,'R2'!O99,'R3'!O99)</f>
        <v>-0.20730563272773192</v>
      </c>
      <c r="K99">
        <f t="shared" si="5"/>
        <v>1135.2265003356481</v>
      </c>
      <c r="M99">
        <f>_xlfn.STDEV.S('R1'!L99,'R2'!L99,'R3'!L99)</f>
        <v>4.097686878135773E-3</v>
      </c>
      <c r="N99">
        <f>_xlfn.STDEV.S('R1'!M99,'R2'!M99,'R3'!M99)</f>
        <v>7.2042661875248229E-3</v>
      </c>
      <c r="O99">
        <f>_xlfn.STDEV.S('R1'!N99,'R2'!N99,'R3'!N99)</f>
        <v>1.3231723772742269E-2</v>
      </c>
      <c r="P99">
        <f>_xlfn.STDEV.S('R1'!O99,'R2'!O99,'R3'!O99)</f>
        <v>1.7004510327453333E-3</v>
      </c>
    </row>
    <row r="100" spans="1:16" x14ac:dyDescent="0.25">
      <c r="A100">
        <f>AVERAGE('R1'!F100,'R2'!F100,'R3'!F100)</f>
        <v>0.11372216666666667</v>
      </c>
      <c r="B100">
        <f>AVERAGE('R1'!G100,'R2'!G100,'R3'!G100)</f>
        <v>20.328925999999999</v>
      </c>
      <c r="C100">
        <f>-'R1'!H100</f>
        <v>16</v>
      </c>
      <c r="D100">
        <f>DEGREES(ATAN(-SIN(RADIANS(('R1'!I100)))/(COS(RADIANS(Sheet1!C100))*COS(RADIANS('R1'!I100)))))</f>
        <v>24.852211192112133</v>
      </c>
      <c r="E100">
        <f>AVERAGE('R1'!J100,'R2'!J100,'R3'!J100)</f>
        <v>1.1658333333333333</v>
      </c>
      <c r="F100">
        <f>AVERAGE('R1'!K100,'R2'!K100,'R3'!K100)</f>
        <v>5.8857090833333343</v>
      </c>
      <c r="G100">
        <f>AVERAGE('R1'!L100,'R2'!L100,'R3'!L100)</f>
        <v>1.2902756825234813</v>
      </c>
      <c r="H100">
        <f>AVERAGE('R1'!M100,'R2'!M100,'R3'!M100)</f>
        <v>-1.0492442274001519</v>
      </c>
      <c r="I100">
        <f>AVERAGE('R1'!N100,'R2'!N100,'R3'!N100)</f>
        <v>-0.41301530644152967</v>
      </c>
      <c r="J100">
        <f>AVERAGE('R1'!O100,'R2'!O100,'R3'!O100)</f>
        <v>-4.5443901102443091E-2</v>
      </c>
      <c r="K100">
        <f t="shared" si="5"/>
        <v>1143.6259732754631</v>
      </c>
      <c r="M100">
        <f>_xlfn.STDEV.S('R1'!L100,'R2'!L100,'R3'!L100)</f>
        <v>8.1928165863606999E-3</v>
      </c>
      <c r="N100">
        <f>_xlfn.STDEV.S('R1'!M100,'R2'!M100,'R3'!M100)</f>
        <v>4.3738724081781918E-3</v>
      </c>
      <c r="O100">
        <f>_xlfn.STDEV.S('R1'!N100,'R2'!N100,'R3'!N100)</f>
        <v>1.9800137184728488E-2</v>
      </c>
      <c r="P100">
        <f>_xlfn.STDEV.S('R1'!O100,'R2'!O100,'R3'!O100)</f>
        <v>6.840001714692746E-3</v>
      </c>
    </row>
    <row r="101" spans="1:16" x14ac:dyDescent="0.25">
      <c r="A101">
        <f>AVERAGE('R1'!F101,'R2'!F101,'R3'!F101)</f>
        <v>0.11372216666666667</v>
      </c>
      <c r="B101">
        <f>AVERAGE('R1'!G101,'R2'!G101,'R3'!G101)</f>
        <v>20.68831308333333</v>
      </c>
      <c r="C101">
        <f>-'R1'!H101</f>
        <v>16</v>
      </c>
      <c r="D101">
        <f>DEGREES(ATAN(-SIN(RADIANS(('R1'!I101)))/(COS(RADIANS(Sheet1!C101))*COS(RADIANS('R1'!I101)))))</f>
        <v>20.738571475352053</v>
      </c>
      <c r="E101">
        <f>AVERAGE('R1'!J101,'R2'!J101,'R3'!J101)</f>
        <v>1.1675</v>
      </c>
      <c r="F101">
        <f>AVERAGE('R1'!K101,'R2'!K101,'R3'!K101)</f>
        <v>5.9338202500000001</v>
      </c>
      <c r="G101">
        <f>AVERAGE('R1'!L101,'R2'!L101,'R3'!L101)</f>
        <v>1.101726603039529</v>
      </c>
      <c r="H101">
        <f>AVERAGE('R1'!M101,'R2'!M101,'R3'!M101)</f>
        <v>-1.0345736746327416</v>
      </c>
      <c r="I101">
        <f>AVERAGE('R1'!N101,'R2'!N101,'R3'!N101)</f>
        <v>-0.30452110917813563</v>
      </c>
      <c r="J101">
        <f>AVERAGE('R1'!O101,'R2'!O101,'R3'!O101)</f>
        <v>8.3132707137885217E-2</v>
      </c>
      <c r="K101">
        <f t="shared" si="5"/>
        <v>1154.6225236458333</v>
      </c>
      <c r="M101">
        <f>_xlfn.STDEV.S('R1'!L101,'R2'!L101,'R3'!L101)</f>
        <v>6.7854365837657039E-3</v>
      </c>
      <c r="N101">
        <f>_xlfn.STDEV.S('R1'!M101,'R2'!M101,'R3'!M101)</f>
        <v>7.4340066219854683E-3</v>
      </c>
      <c r="O101">
        <f>_xlfn.STDEV.S('R1'!N101,'R2'!N101,'R3'!N101)</f>
        <v>1.1799908595147339E-2</v>
      </c>
      <c r="P101">
        <f>_xlfn.STDEV.S('R1'!O101,'R2'!O101,'R3'!O101)</f>
        <v>7.8444797831149059E-3</v>
      </c>
    </row>
    <row r="102" spans="1:16" x14ac:dyDescent="0.25">
      <c r="A102">
        <f>AVERAGE('R1'!F102,'R2'!F102,'R3'!F102)</f>
        <v>9.7479999999999997E-2</v>
      </c>
      <c r="B102">
        <f>AVERAGE('R1'!G102,'R2'!G102,'R3'!G102)</f>
        <v>20.902524583333335</v>
      </c>
      <c r="C102">
        <f>-'R1'!H102</f>
        <v>16</v>
      </c>
      <c r="D102">
        <f>DEGREES(ATAN(-SIN(RADIANS(('R1'!I102)))/(COS(RADIANS(Sheet1!C102))*COS(RADIANS('R1'!I102)))))</f>
        <v>16.609898016932938</v>
      </c>
      <c r="E102">
        <f>AVERAGE('R1'!J102,'R2'!J102,'R3'!J102)</f>
        <v>1.1666666666666667</v>
      </c>
      <c r="F102">
        <f>AVERAGE('R1'!K102,'R2'!K102,'R3'!K102)</f>
        <v>5.9694837499999993</v>
      </c>
      <c r="G102">
        <f>AVERAGE('R1'!L102,'R2'!L102,'R3'!L102)</f>
        <v>0.90197688846707502</v>
      </c>
      <c r="H102">
        <f>AVERAGE('R1'!M102,'R2'!M102,'R3'!M102)</f>
        <v>-1.0408860246231153</v>
      </c>
      <c r="I102">
        <f>AVERAGE('R1'!N102,'R2'!N102,'R3'!N102)</f>
        <v>-0.22179422603728086</v>
      </c>
      <c r="J102">
        <f>AVERAGE('R1'!O102,'R2'!O102,'R3'!O102)</f>
        <v>0.21018661180480083</v>
      </c>
      <c r="K102">
        <f t="shared" si="5"/>
        <v>1160.7329513888888</v>
      </c>
      <c r="M102">
        <f>_xlfn.STDEV.S('R1'!L102,'R2'!L102,'R3'!L102)</f>
        <v>6.7631538004858712E-3</v>
      </c>
      <c r="N102">
        <f>_xlfn.STDEV.S('R1'!M102,'R2'!M102,'R3'!M102)</f>
        <v>8.9764437565420015E-3</v>
      </c>
      <c r="O102">
        <f>_xlfn.STDEV.S('R1'!N102,'R2'!N102,'R3'!N102)</f>
        <v>1.3197988625810045E-2</v>
      </c>
      <c r="P102">
        <f>_xlfn.STDEV.S('R1'!O102,'R2'!O102,'R3'!O102)</f>
        <v>3.9845069387923837E-3</v>
      </c>
    </row>
    <row r="103" spans="1:16" x14ac:dyDescent="0.25">
      <c r="A103">
        <f>AVERAGE('R1'!F103,'R2'!F103,'R3'!F103)</f>
        <v>0.12996433333333332</v>
      </c>
      <c r="B103">
        <f>AVERAGE('R1'!G103,'R2'!G103,'R3'!G103)</f>
        <v>21.143788583333333</v>
      </c>
      <c r="C103">
        <f>-'R1'!H103</f>
        <v>16</v>
      </c>
      <c r="D103">
        <f>DEGREES(ATAN(-SIN(RADIANS(('R1'!I103)))/(COS(RADIANS(Sheet1!C103))*COS(RADIANS('R1'!I103)))))</f>
        <v>12.468747879350856</v>
      </c>
      <c r="E103">
        <f>AVERAGE('R1'!J103,'R2'!J103,'R3'!J103)</f>
        <v>1.17</v>
      </c>
      <c r="F103">
        <f>AVERAGE('R1'!K103,'R2'!K103,'R3'!K103)</f>
        <v>5.9900790833333337</v>
      </c>
      <c r="G103">
        <f>AVERAGE('R1'!L103,'R2'!L103,'R3'!L103)</f>
        <v>0.68968584670590782</v>
      </c>
      <c r="H103">
        <f>AVERAGE('R1'!M103,'R2'!M103,'R3'!M103)</f>
        <v>-1.0688311703417421</v>
      </c>
      <c r="I103">
        <f>AVERAGE('R1'!N103,'R2'!N103,'R3'!N103)</f>
        <v>-0.16267856926525806</v>
      </c>
      <c r="J103">
        <f>AVERAGE('R1'!O103,'R2'!O103,'R3'!O103)</f>
        <v>0.33342371093827977</v>
      </c>
      <c r="K103">
        <f t="shared" si="5"/>
        <v>1168.0654212500003</v>
      </c>
      <c r="M103">
        <f>_xlfn.STDEV.S('R1'!L103,'R2'!L103,'R3'!L103)</f>
        <v>9.7743148254467293E-3</v>
      </c>
      <c r="N103">
        <f>_xlfn.STDEV.S('R1'!M103,'R2'!M103,'R3'!M103)</f>
        <v>6.5092155122387155E-3</v>
      </c>
      <c r="O103">
        <f>_xlfn.STDEV.S('R1'!N103,'R2'!N103,'R3'!N103)</f>
        <v>1.5182991443766867E-2</v>
      </c>
      <c r="P103">
        <f>_xlfn.STDEV.S('R1'!O103,'R2'!O103,'R3'!O103)</f>
        <v>7.4720989072517337E-3</v>
      </c>
    </row>
    <row r="104" spans="1:16" x14ac:dyDescent="0.25">
      <c r="A104">
        <f>AVERAGE('R1'!F104,'R2'!F104,'R3'!F104)</f>
        <v>0.11372216666666667</v>
      </c>
      <c r="B104">
        <f>AVERAGE('R1'!G104,'R2'!G104,'R3'!G104)</f>
        <v>20.849092916666667</v>
      </c>
      <c r="C104">
        <f>-'R1'!H104</f>
        <v>16</v>
      </c>
      <c r="D104">
        <f>DEGREES(ATAN(-SIN(RADIANS(('R1'!I104)))/(COS(RADIANS(Sheet1!C104))*COS(RADIANS('R1'!I104)))))</f>
        <v>8.3179701536192301</v>
      </c>
      <c r="E104">
        <f>AVERAGE('R1'!J104,'R2'!J104,'R3'!J104)</f>
        <v>1.1683333333333332</v>
      </c>
      <c r="F104">
        <f>AVERAGE('R1'!K104,'R2'!K104,'R3'!K104)</f>
        <v>5.9549374999999998</v>
      </c>
      <c r="G104">
        <f>AVERAGE('R1'!L104,'R2'!L104,'R3'!L104)</f>
        <v>0.4639184133139988</v>
      </c>
      <c r="H104">
        <f>AVERAGE('R1'!M104,'R2'!M104,'R3'!M104)</f>
        <v>-1.1159884098336359</v>
      </c>
      <c r="I104">
        <f>AVERAGE('R1'!N104,'R2'!N104,'R3'!N104)</f>
        <v>-0.13154187399091169</v>
      </c>
      <c r="J104">
        <f>AVERAGE('R1'!O104,'R2'!O104,'R3'!O104)</f>
        <v>0.43972813491357915</v>
      </c>
      <c r="K104">
        <f t="shared" si="5"/>
        <v>1159.5586631944443</v>
      </c>
      <c r="M104">
        <f>_xlfn.STDEV.S('R1'!L104,'R2'!L104,'R3'!L104)</f>
        <v>7.1647799415926628E-3</v>
      </c>
      <c r="N104">
        <f>_xlfn.STDEV.S('R1'!M104,'R2'!M104,'R3'!M104)</f>
        <v>1.6387467022179827E-2</v>
      </c>
      <c r="O104">
        <f>_xlfn.STDEV.S('R1'!N104,'R2'!N104,'R3'!N104)</f>
        <v>2.0062874607254411E-2</v>
      </c>
      <c r="P104">
        <f>_xlfn.STDEV.S('R1'!O104,'R2'!O104,'R3'!O104)</f>
        <v>7.514399882635533E-3</v>
      </c>
    </row>
    <row r="105" spans="1:16" x14ac:dyDescent="0.25">
      <c r="A105">
        <f>AVERAGE('R1'!F105,'R2'!F105,'R3'!F105)</f>
        <v>0.11372216666666667</v>
      </c>
      <c r="B105">
        <f>AVERAGE('R1'!G105,'R2'!G105,'R3'!G105)</f>
        <v>20.088839083333337</v>
      </c>
      <c r="C105">
        <f>-'R1'!H105</f>
        <v>16</v>
      </c>
      <c r="D105">
        <f>DEGREES(ATAN(-SIN(RADIANS(('R1'!I105)))/(COS(RADIANS(Sheet1!C105))*COS(RADIANS('R1'!I105)))))</f>
        <v>4.1606425592731879</v>
      </c>
      <c r="E105">
        <f>AVERAGE('R1'!J105,'R2'!J105,'R3'!J105)</f>
        <v>1.17</v>
      </c>
      <c r="F105">
        <f>AVERAGE('R1'!K105,'R2'!K105,'R3'!K105)</f>
        <v>5.8406672500000001</v>
      </c>
      <c r="G105">
        <f>AVERAGE('R1'!L105,'R2'!L105,'R3'!L105)</f>
        <v>0.20834883667166129</v>
      </c>
      <c r="H105">
        <f>AVERAGE('R1'!M105,'R2'!M105,'R3'!M105)</f>
        <v>-1.1757231807965225</v>
      </c>
      <c r="I105">
        <f>AVERAGE('R1'!N105,'R2'!N105,'R3'!N105)</f>
        <v>-0.11440498806046118</v>
      </c>
      <c r="J105">
        <f>AVERAGE('R1'!O105,'R2'!O105,'R3'!O105)</f>
        <v>0.55422281916125704</v>
      </c>
      <c r="K105">
        <f t="shared" si="5"/>
        <v>1138.9301137500001</v>
      </c>
      <c r="M105">
        <f>_xlfn.STDEV.S('R1'!L105,'R2'!L105,'R3'!L105)</f>
        <v>6.2518667071752706E-3</v>
      </c>
      <c r="N105">
        <f>_xlfn.STDEV.S('R1'!M105,'R2'!M105,'R3'!M105)</f>
        <v>5.018992370488082E-3</v>
      </c>
      <c r="O105">
        <f>_xlfn.STDEV.S('R1'!N105,'R2'!N105,'R3'!N105)</f>
        <v>1.4878565382477192E-2</v>
      </c>
      <c r="P105">
        <f>_xlfn.STDEV.S('R1'!O105,'R2'!O105,'R3'!O105)</f>
        <v>2.8421774579251921E-3</v>
      </c>
    </row>
    <row r="106" spans="1:16" x14ac:dyDescent="0.25">
      <c r="A106">
        <f>AVERAGE('R1'!F106,'R2'!F106,'R3'!F106)</f>
        <v>0.12996433333333332</v>
      </c>
      <c r="B106">
        <f>AVERAGE('R1'!G106,'R2'!G106,'R3'!G106)</f>
        <v>19.635666083333334</v>
      </c>
      <c r="C106">
        <f>-'R1'!H106</f>
        <v>16</v>
      </c>
      <c r="D106">
        <f>DEGREES(ATAN(-SIN(RADIANS(('R1'!I106)))/(COS(RADIANS(Sheet1!C106))*COS(RADIANS('R1'!I106)))))</f>
        <v>0</v>
      </c>
      <c r="E106">
        <f>AVERAGE('R1'!J106,'R2'!J106,'R3'!J106)</f>
        <v>1.17</v>
      </c>
      <c r="F106">
        <f>AVERAGE('R1'!K106,'R2'!K106,'R3'!K106)</f>
        <v>5.7709999999999999</v>
      </c>
      <c r="G106">
        <f>AVERAGE('R1'!L106,'R2'!L106,'R3'!L106)</f>
        <v>-7.6193613164178345E-2</v>
      </c>
      <c r="H106">
        <f>AVERAGE('R1'!M106,'R2'!M106,'R3'!M106)</f>
        <v>-1.2038295662051006</v>
      </c>
      <c r="I106">
        <f>AVERAGE('R1'!N106,'R2'!N106,'R3'!N106)</f>
        <v>-0.1067067842989096</v>
      </c>
      <c r="J106">
        <f>AVERAGE('R1'!O106,'R2'!O106,'R3'!O106)</f>
        <v>0.61548059292652135</v>
      </c>
      <c r="K106">
        <f t="shared" si="5"/>
        <v>1125.345</v>
      </c>
      <c r="M106">
        <f>_xlfn.STDEV.S('R1'!L106,'R2'!L106,'R3'!L106)</f>
        <v>6.0508364405077184E-3</v>
      </c>
      <c r="N106">
        <f>_xlfn.STDEV.S('R1'!M106,'R2'!M106,'R3'!M106)</f>
        <v>4.519958826685321E-3</v>
      </c>
      <c r="O106">
        <f>_xlfn.STDEV.S('R1'!N106,'R2'!N106,'R3'!N106)</f>
        <v>2.1213683351873635E-2</v>
      </c>
      <c r="P106">
        <f>_xlfn.STDEV.S('R1'!O106,'R2'!O106,'R3'!O106)</f>
        <v>1.2150758171284989E-2</v>
      </c>
    </row>
    <row r="107" spans="1:16" x14ac:dyDescent="0.25">
      <c r="A107">
        <f>AVERAGE('R1'!F107,'R2'!F107,'R3'!F107)</f>
        <v>0.11372216666666667</v>
      </c>
      <c r="B107">
        <f>AVERAGE('R1'!G107,'R2'!G107,'R3'!G107)</f>
        <v>19.181395416666664</v>
      </c>
      <c r="C107">
        <f>-'R1'!H107</f>
        <v>16</v>
      </c>
      <c r="D107">
        <f>DEGREES(ATAN(-SIN(RADIANS(('R1'!I107)))/(COS(RADIANS(Sheet1!C107))*COS(RADIANS('R1'!I107)))))</f>
        <v>-4.1606425592731879</v>
      </c>
      <c r="E107">
        <f>AVERAGE('R1'!J107,'R2'!J107,'R3'!J107)</f>
        <v>1.17</v>
      </c>
      <c r="F107">
        <f>AVERAGE('R1'!K107,'R2'!K107,'R3'!K107)</f>
        <v>5.7064207499999995</v>
      </c>
      <c r="G107">
        <f>AVERAGE('R1'!L107,'R2'!L107,'R3'!L107)</f>
        <v>-0.35660843763979111</v>
      </c>
      <c r="H107">
        <f>AVERAGE('R1'!M107,'R2'!M107,'R3'!M107)</f>
        <v>-1.1170533094578763</v>
      </c>
      <c r="I107">
        <f>AVERAGE('R1'!N107,'R2'!N107,'R3'!N107)</f>
        <v>-0.12086077498051469</v>
      </c>
      <c r="J107">
        <f>AVERAGE('R1'!O107,'R2'!O107,'R3'!O107)</f>
        <v>0.50417144350905529</v>
      </c>
      <c r="K107">
        <f t="shared" si="5"/>
        <v>1112.7520462499999</v>
      </c>
      <c r="M107">
        <f>_xlfn.STDEV.S('R1'!L107,'R2'!L107,'R3'!L107)</f>
        <v>1.3529697253481986E-2</v>
      </c>
      <c r="N107">
        <f>_xlfn.STDEV.S('R1'!M107,'R2'!M107,'R3'!M107)</f>
        <v>1.9057186435077226E-3</v>
      </c>
      <c r="O107">
        <f>_xlfn.STDEV.S('R1'!N107,'R2'!N107,'R3'!N107)</f>
        <v>1.6188772073964779E-2</v>
      </c>
      <c r="P107">
        <f>_xlfn.STDEV.S('R1'!O107,'R2'!O107,'R3'!O107)</f>
        <v>6.6166844816276243E-3</v>
      </c>
    </row>
    <row r="108" spans="1:16" x14ac:dyDescent="0.25">
      <c r="A108">
        <f>AVERAGE('R1'!F108,'R2'!F108,'R3'!F108)</f>
        <v>4.8792499999999996E-2</v>
      </c>
      <c r="B108">
        <f>AVERAGE('R1'!G108,'R2'!G108,'R3'!G108)</f>
        <v>18.808220166666668</v>
      </c>
      <c r="C108">
        <f>-'R1'!H108</f>
        <v>16</v>
      </c>
      <c r="D108">
        <f>DEGREES(ATAN(-SIN(RADIANS(('R1'!I108)))/(COS(RADIANS(Sheet1!C108))*COS(RADIANS('R1'!I108)))))</f>
        <v>-8.3179701536192301</v>
      </c>
      <c r="E108">
        <f>AVERAGE('R1'!J108,'R2'!J108,'R3'!J108)</f>
        <v>1.17</v>
      </c>
      <c r="F108">
        <f>AVERAGE('R1'!K108,'R2'!K108,'R3'!K108)</f>
        <v>5.6603480833333331</v>
      </c>
      <c r="G108">
        <f>AVERAGE('R1'!L108,'R2'!L108,'R3'!L108)</f>
        <v>-0.59472161935709078</v>
      </c>
      <c r="H108">
        <f>AVERAGE('R1'!M108,'R2'!M108,'R3'!M108)</f>
        <v>-1.0426185229940774</v>
      </c>
      <c r="I108">
        <f>AVERAGE('R1'!N108,'R2'!N108,'R3'!N108)</f>
        <v>-0.14003799134847725</v>
      </c>
      <c r="J108">
        <f>AVERAGE('R1'!O108,'R2'!O108,'R3'!O108)</f>
        <v>0.41950370994539293</v>
      </c>
      <c r="K108">
        <f t="shared" si="5"/>
        <v>1103.76787625</v>
      </c>
      <c r="M108">
        <f>_xlfn.STDEV.S('R1'!L108,'R2'!L108,'R3'!L108)</f>
        <v>6.6406656623860267E-3</v>
      </c>
      <c r="N108">
        <f>_xlfn.STDEV.S('R1'!M108,'R2'!M108,'R3'!M108)</f>
        <v>8.1065924020157342E-3</v>
      </c>
      <c r="O108">
        <f>_xlfn.STDEV.S('R1'!N108,'R2'!N108,'R3'!N108)</f>
        <v>1.2311203158303955E-2</v>
      </c>
      <c r="P108">
        <f>_xlfn.STDEV.S('R1'!O108,'R2'!O108,'R3'!O108)</f>
        <v>5.9484951976063929E-3</v>
      </c>
    </row>
    <row r="109" spans="1:16" x14ac:dyDescent="0.25">
      <c r="A109">
        <f>AVERAGE('R1'!F109,'R2'!F109,'R3'!F109)</f>
        <v>8.1237833333333329E-2</v>
      </c>
      <c r="B109">
        <f>AVERAGE('R1'!G109,'R2'!G109,'R3'!G109)</f>
        <v>18.688545083333334</v>
      </c>
      <c r="C109">
        <f>-'R1'!H109</f>
        <v>16</v>
      </c>
      <c r="D109">
        <f>DEGREES(ATAN(-SIN(RADIANS(('R1'!I109)))/(COS(RADIANS(Sheet1!C109))*COS(RADIANS('R1'!I109)))))</f>
        <v>-12.468747879350856</v>
      </c>
      <c r="E109">
        <f>AVERAGE('R1'!J109,'R2'!J109,'R3'!J109)</f>
        <v>1.1666666666666667</v>
      </c>
      <c r="F109">
        <f>AVERAGE('R1'!K109,'R2'!K109,'R3'!K109)</f>
        <v>5.6466394166666669</v>
      </c>
      <c r="G109">
        <f>AVERAGE('R1'!L109,'R2'!L109,'R3'!L109)</f>
        <v>-0.82040399395924701</v>
      </c>
      <c r="H109">
        <f>AVERAGE('R1'!M109,'R2'!M109,'R3'!M109)</f>
        <v>-0.99248995383913086</v>
      </c>
      <c r="I109">
        <f>AVERAGE('R1'!N109,'R2'!N109,'R3'!N109)</f>
        <v>-0.17962226706294473</v>
      </c>
      <c r="J109">
        <f>AVERAGE('R1'!O109,'R2'!O109,'R3'!O109)</f>
        <v>0.3175256780158327</v>
      </c>
      <c r="K109">
        <f t="shared" si="5"/>
        <v>1097.9576643518519</v>
      </c>
      <c r="M109">
        <f>_xlfn.STDEV.S('R1'!L109,'R2'!L109,'R3'!L109)</f>
        <v>7.3271889447325241E-3</v>
      </c>
      <c r="N109">
        <f>_xlfn.STDEV.S('R1'!M109,'R2'!M109,'R3'!M109)</f>
        <v>4.2577434807275624E-3</v>
      </c>
      <c r="O109">
        <f>_xlfn.STDEV.S('R1'!N109,'R2'!N109,'R3'!N109)</f>
        <v>1.4314393239496568E-2</v>
      </c>
      <c r="P109">
        <f>_xlfn.STDEV.S('R1'!O109,'R2'!O109,'R3'!O109)</f>
        <v>4.7164838421223194E-3</v>
      </c>
    </row>
    <row r="110" spans="1:16" x14ac:dyDescent="0.25">
      <c r="A110">
        <f>AVERAGE('R1'!F110,'R2'!F110,'R3'!F110)</f>
        <v>9.7479999999999997E-2</v>
      </c>
      <c r="B110">
        <f>AVERAGE('R1'!G110,'R2'!G110,'R3'!G110)</f>
        <v>18.848625916666666</v>
      </c>
      <c r="C110">
        <f>-'R1'!H110</f>
        <v>16</v>
      </c>
      <c r="D110">
        <f>DEGREES(ATAN(-SIN(RADIANS(('R1'!I110)))/(COS(RADIANS(Sheet1!C110))*COS(RADIANS('R1'!I110)))))</f>
        <v>-16.609898016932938</v>
      </c>
      <c r="E110">
        <f>AVERAGE('R1'!J110,'R2'!J110,'R3'!J110)</f>
        <v>1.1658333333333333</v>
      </c>
      <c r="F110">
        <f>AVERAGE('R1'!K110,'R2'!K110,'R3'!K110)</f>
        <v>5.6695106666666666</v>
      </c>
      <c r="G110">
        <f>AVERAGE('R1'!L110,'R2'!L110,'R3'!L110)</f>
        <v>-1.0504499617453853</v>
      </c>
      <c r="H110">
        <f>AVERAGE('R1'!M110,'R2'!M110,'R3'!M110)</f>
        <v>-0.97373833432245915</v>
      </c>
      <c r="I110">
        <f>AVERAGE('R1'!N110,'R2'!N110,'R3'!N110)</f>
        <v>-0.26443050502877852</v>
      </c>
      <c r="J110">
        <f>AVERAGE('R1'!O110,'R2'!O110,'R3'!O110)</f>
        <v>0.19844209695320478</v>
      </c>
      <c r="K110">
        <f t="shared" si="5"/>
        <v>1101.6174198148149</v>
      </c>
      <c r="M110">
        <f>_xlfn.STDEV.S('R1'!L110,'R2'!L110,'R3'!L110)</f>
        <v>7.7132770221011214E-3</v>
      </c>
      <c r="N110">
        <f>_xlfn.STDEV.S('R1'!M110,'R2'!M110,'R3'!M110)</f>
        <v>1.1821429754084524E-2</v>
      </c>
      <c r="O110">
        <f>_xlfn.STDEV.S('R1'!N110,'R2'!N110,'R3'!N110)</f>
        <v>1.7486091024719649E-2</v>
      </c>
      <c r="P110">
        <f>_xlfn.STDEV.S('R1'!O110,'R2'!O110,'R3'!O110)</f>
        <v>2.8361044798002328E-3</v>
      </c>
    </row>
    <row r="111" spans="1:16" x14ac:dyDescent="0.25">
      <c r="A111">
        <f>AVERAGE('R1'!F111,'R2'!F111,'R3'!F111)</f>
        <v>0.11372216666666667</v>
      </c>
      <c r="B111">
        <f>AVERAGE('R1'!G111,'R2'!G111,'R3'!G111)</f>
        <v>19.182467083333336</v>
      </c>
      <c r="C111">
        <f>-'R1'!H111</f>
        <v>16</v>
      </c>
      <c r="D111">
        <f>DEGREES(ATAN(-SIN(RADIANS(('R1'!I111)))/(COS(RADIANS(Sheet1!C111))*COS(RADIANS('R1'!I111)))))</f>
        <v>-20.738571475352053</v>
      </c>
      <c r="E111">
        <f>AVERAGE('R1'!J111,'R2'!J111,'R3'!J111)</f>
        <v>1.1641666666666666</v>
      </c>
      <c r="F111">
        <f>AVERAGE('R1'!K111,'R2'!K111,'R3'!K111)</f>
        <v>5.7207959166666669</v>
      </c>
      <c r="G111">
        <f>AVERAGE('R1'!L111,'R2'!L111,'R3'!L111)</f>
        <v>-1.2642250828953263</v>
      </c>
      <c r="H111">
        <f>AVERAGE('R1'!M111,'R2'!M111,'R3'!M111)</f>
        <v>-0.99575278448450266</v>
      </c>
      <c r="I111">
        <f>AVERAGE('R1'!N111,'R2'!N111,'R3'!N111)</f>
        <v>-0.38244596432547912</v>
      </c>
      <c r="J111">
        <f>AVERAGE('R1'!O111,'R2'!O111,'R3'!O111)</f>
        <v>5.8168786355967561E-2</v>
      </c>
      <c r="K111">
        <f t="shared" si="5"/>
        <v>1109.9933188310183</v>
      </c>
      <c r="M111">
        <f>_xlfn.STDEV.S('R1'!L111,'R2'!L111,'R3'!L111)</f>
        <v>1.2812641954320469E-2</v>
      </c>
      <c r="N111">
        <f>_xlfn.STDEV.S('R1'!M111,'R2'!M111,'R3'!M111)</f>
        <v>9.3236940141423977E-3</v>
      </c>
      <c r="O111">
        <f>_xlfn.STDEV.S('R1'!N111,'R2'!N111,'R3'!N111)</f>
        <v>2.4011589441928039E-2</v>
      </c>
      <c r="P111">
        <f>_xlfn.STDEV.S('R1'!O111,'R2'!O111,'R3'!O111)</f>
        <v>5.3426600991064574E-3</v>
      </c>
    </row>
    <row r="112" spans="1:16" x14ac:dyDescent="0.25">
      <c r="A112">
        <f>AVERAGE('R1'!F112,'R2'!F112,'R3'!F112)</f>
        <v>0.11372216666666667</v>
      </c>
      <c r="B112">
        <f>AVERAGE('R1'!G112,'R2'!G112,'R3'!G112)</f>
        <v>19.67493275</v>
      </c>
      <c r="C112">
        <f>-'R1'!H112</f>
        <v>16</v>
      </c>
      <c r="D112">
        <f>DEGREES(ATAN(-SIN(RADIANS(('R1'!I112)))/(COS(RADIANS(Sheet1!C112))*COS(RADIANS('R1'!I112)))))</f>
        <v>-24.852211192112133</v>
      </c>
      <c r="E112">
        <f>AVERAGE('R1'!J112,'R2'!J112,'R3'!J112)</f>
        <v>1.1658333333333333</v>
      </c>
      <c r="F112">
        <f>AVERAGE('R1'!K112,'R2'!K112,'R3'!K112)</f>
        <v>5.7899867499999997</v>
      </c>
      <c r="G112">
        <f>AVERAGE('R1'!L112,'R2'!L112,'R3'!L112)</f>
        <v>-1.5022661309004881</v>
      </c>
      <c r="H112">
        <f>AVERAGE('R1'!M112,'R2'!M112,'R3'!M112)</f>
        <v>-1.0560697971931674</v>
      </c>
      <c r="I112">
        <f>AVERAGE('R1'!N112,'R2'!N112,'R3'!N112)</f>
        <v>-0.55392426946057471</v>
      </c>
      <c r="J112">
        <f>AVERAGE('R1'!O112,'R2'!O112,'R3'!O112)</f>
        <v>-9.9550226863623539E-2</v>
      </c>
      <c r="K112">
        <f t="shared" si="5"/>
        <v>1125.0265921180553</v>
      </c>
      <c r="M112">
        <f>_xlfn.STDEV.S('R1'!L112,'R2'!L112,'R3'!L112)</f>
        <v>1.6753389321569247E-2</v>
      </c>
      <c r="N112">
        <f>_xlfn.STDEV.S('R1'!M112,'R2'!M112,'R3'!M112)</f>
        <v>1.0250677571023012E-2</v>
      </c>
      <c r="O112">
        <f>_xlfn.STDEV.S('R1'!N112,'R2'!N112,'R3'!N112)</f>
        <v>2.2734029407870188E-2</v>
      </c>
      <c r="P112">
        <f>_xlfn.STDEV.S('R1'!O112,'R2'!O112,'R3'!O112)</f>
        <v>9.567302983788396E-3</v>
      </c>
    </row>
    <row r="113" spans="1:16" x14ac:dyDescent="0.25">
      <c r="A113">
        <f>AVERAGE('R1'!F113,'R2'!F113,'R3'!F113)</f>
        <v>8.1237833333333329E-2</v>
      </c>
      <c r="B113">
        <f>AVERAGE('R1'!G113,'R2'!G113,'R3'!G113)</f>
        <v>19.92874175</v>
      </c>
      <c r="C113">
        <f>-'R1'!H113</f>
        <v>16</v>
      </c>
      <c r="D113">
        <f>DEGREES(ATAN(-SIN(RADIANS(('R1'!I113)))/(COS(RADIANS(Sheet1!C113))*COS(RADIANS('R1'!I113)))))</f>
        <v>-28.948605633454871</v>
      </c>
      <c r="E113">
        <f>AVERAGE('R1'!J113,'R2'!J113,'R3'!J113)</f>
        <v>1.1675</v>
      </c>
      <c r="F113">
        <f>AVERAGE('R1'!K113,'R2'!K113,'R3'!K113)</f>
        <v>5.8284947499999999</v>
      </c>
      <c r="G113">
        <f>AVERAGE('R1'!L113,'R2'!L113,'R3'!L113)</f>
        <v>-1.7633262552054678</v>
      </c>
      <c r="H113">
        <f>AVERAGE('R1'!M113,'R2'!M113,'R3'!M113)</f>
        <v>-1.1408965979877284</v>
      </c>
      <c r="I113">
        <f>AVERAGE('R1'!N113,'R2'!N113,'R3'!N113)</f>
        <v>-0.76923097003156915</v>
      </c>
      <c r="J113">
        <f>AVERAGE('R1'!O113,'R2'!O113,'R3'!O113)</f>
        <v>-0.2687301389988494</v>
      </c>
      <c r="K113">
        <f t="shared" si="5"/>
        <v>1134.1279367708335</v>
      </c>
      <c r="M113">
        <f>_xlfn.STDEV.S('R1'!L113,'R2'!L113,'R3'!L113)</f>
        <v>1.2605900274799419E-2</v>
      </c>
      <c r="N113">
        <f>_xlfn.STDEV.S('R1'!M113,'R2'!M113,'R3'!M113)</f>
        <v>1.5905290308275762E-2</v>
      </c>
      <c r="O113">
        <f>_xlfn.STDEV.S('R1'!N113,'R2'!N113,'R3'!N113)</f>
        <v>2.2182888555776055E-2</v>
      </c>
      <c r="P113">
        <f>_xlfn.STDEV.S('R1'!O113,'R2'!O113,'R3'!O113)</f>
        <v>1.0487650516400706E-2</v>
      </c>
    </row>
    <row r="114" spans="1:16" x14ac:dyDescent="0.25">
      <c r="A114">
        <f>AVERAGE('R1'!F114,'R2'!F114,'R3'!F114)</f>
        <v>0.12996433333333332</v>
      </c>
      <c r="B114">
        <f>AVERAGE('R1'!G114,'R2'!G114,'R3'!G114)</f>
        <v>20.222204583333333</v>
      </c>
      <c r="C114">
        <f>-'R1'!H114</f>
        <v>16</v>
      </c>
      <c r="D114">
        <f>DEGREES(ATAN(-SIN(RADIANS(('R1'!I114)))/(COS(RADIANS(Sheet1!C114))*COS(RADIANS('R1'!I114)))))</f>
        <v>-33.025931133441695</v>
      </c>
      <c r="E114">
        <f>AVERAGE('R1'!J114,'R2'!J114,'R3'!J114)</f>
        <v>1.1691666666666667</v>
      </c>
      <c r="F114">
        <f>AVERAGE('R1'!K114,'R2'!K114,'R3'!K114)</f>
        <v>5.8601839166666663</v>
      </c>
      <c r="G114">
        <f>AVERAGE('R1'!L114,'R2'!L114,'R3'!L114)</f>
        <v>-2.0856545153172976</v>
      </c>
      <c r="H114">
        <f>AVERAGE('R1'!M114,'R2'!M114,'R3'!M114)</f>
        <v>-1.2647845699486582</v>
      </c>
      <c r="I114">
        <f>AVERAGE('R1'!N114,'R2'!N114,'R3'!N114)</f>
        <v>-1.0630462208781211</v>
      </c>
      <c r="J114">
        <f>AVERAGE('R1'!O114,'R2'!O114,'R3'!O114)</f>
        <v>-0.47928182536028446</v>
      </c>
      <c r="K114">
        <f t="shared" si="5"/>
        <v>1141.9219493171295</v>
      </c>
      <c r="M114">
        <f>_xlfn.STDEV.S('R1'!L114,'R2'!L114,'R3'!L114)</f>
        <v>1.0650336233229706E-2</v>
      </c>
      <c r="N114">
        <f>_xlfn.STDEV.S('R1'!M114,'R2'!M114,'R3'!M114)</f>
        <v>8.5714006581590445E-3</v>
      </c>
      <c r="O114">
        <f>_xlfn.STDEV.S('R1'!N114,'R2'!N114,'R3'!N114)</f>
        <v>1.6015435084221631E-2</v>
      </c>
      <c r="P114">
        <f>_xlfn.STDEV.S('R1'!O114,'R2'!O114,'R3'!O114)</f>
        <v>9.5533600276451816E-3</v>
      </c>
    </row>
    <row r="115" spans="1:16" x14ac:dyDescent="0.25">
      <c r="A115">
        <f>AVERAGE('R1'!F115,'R2'!F115,'R3'!F115)</f>
        <v>9.7479999999999997E-2</v>
      </c>
      <c r="B115">
        <f>AVERAGE('R1'!G115,'R2'!G115,'R3'!G115)</f>
        <v>20.476418333333335</v>
      </c>
      <c r="C115">
        <f>-'R1'!H115</f>
        <v>16</v>
      </c>
      <c r="D115">
        <f>DEGREES(ATAN(-SIN(RADIANS(('R1'!I115)))/(COS(RADIANS(Sheet1!C115))*COS(RADIANS('R1'!I115)))))</f>
        <v>-37.082782431142171</v>
      </c>
      <c r="E115">
        <f>AVERAGE('R1'!J115,'R2'!J115,'R3'!J115)</f>
        <v>1.1675</v>
      </c>
      <c r="F115">
        <f>AVERAGE('R1'!K115,'R2'!K115,'R3'!K115)</f>
        <v>5.9062166666666656</v>
      </c>
      <c r="G115">
        <f>AVERAGE('R1'!L115,'R2'!L115,'R3'!L115)</f>
        <v>-2.492134398277523</v>
      </c>
      <c r="H115">
        <f>AVERAGE('R1'!M115,'R2'!M115,'R3'!M115)</f>
        <v>-1.438508884787133</v>
      </c>
      <c r="I115">
        <f>AVERAGE('R1'!N115,'R2'!N115,'R3'!N115)</f>
        <v>-1.4639912897650789</v>
      </c>
      <c r="J115">
        <f>AVERAGE('R1'!O115,'R2'!O115,'R3'!O115)</f>
        <v>-0.73484507872023153</v>
      </c>
      <c r="K115">
        <f t="shared" si="5"/>
        <v>1149.2513263888884</v>
      </c>
      <c r="M115">
        <f>_xlfn.STDEV.S('R1'!L115,'R2'!L115,'R3'!L115)</f>
        <v>2.4763376036529994E-2</v>
      </c>
      <c r="N115">
        <f>_xlfn.STDEV.S('R1'!M115,'R2'!M115,'R3'!M115)</f>
        <v>1.2712743912230604E-2</v>
      </c>
      <c r="O115">
        <f>_xlfn.STDEV.S('R1'!N115,'R2'!N115,'R3'!N115)</f>
        <v>3.1232642689441772E-2</v>
      </c>
      <c r="P115">
        <f>_xlfn.STDEV.S('R1'!O115,'R2'!O115,'R3'!O115)</f>
        <v>5.4736697127117919E-3</v>
      </c>
    </row>
    <row r="116" spans="1:16" x14ac:dyDescent="0.25">
      <c r="A116">
        <f>AVERAGE('R1'!F116,'R2'!F116,'R3'!F116)</f>
        <v>0.11372216666666667</v>
      </c>
      <c r="B116">
        <f>AVERAGE('R1'!G116,'R2'!G116,'R3'!G116)</f>
        <v>20.422359666666665</v>
      </c>
      <c r="C116">
        <f>-'R1'!H116</f>
        <v>12</v>
      </c>
      <c r="D116">
        <f>DEGREES(ATAN(-SIN(RADIANS(('R1'!I116)))/(COS(RADIANS(Sheet1!C116))*COS(RADIANS('R1'!I116)))))</f>
        <v>36.604002006988381</v>
      </c>
      <c r="E116">
        <f>AVERAGE('R1'!J116,'R2'!J116,'R3'!J116)</f>
        <v>1.1666666666666667</v>
      </c>
      <c r="F116">
        <f>AVERAGE('R1'!K116,'R2'!K116,'R3'!K116)</f>
        <v>5.8966129999999994</v>
      </c>
      <c r="G116">
        <f>AVERAGE('R1'!L116,'R2'!L116,'R3'!L116)</f>
        <v>1.9988416140435608</v>
      </c>
      <c r="H116">
        <f>AVERAGE('R1'!M116,'R2'!M116,'R3'!M116)</f>
        <v>-0.95502028219028778</v>
      </c>
      <c r="I116">
        <f>AVERAGE('R1'!N116,'R2'!N116,'R3'!N116)</f>
        <v>-0.87765130296900973</v>
      </c>
      <c r="J116">
        <f>AVERAGE('R1'!O116,'R2'!O116,'R3'!O116)</f>
        <v>-0.49253002260940204</v>
      </c>
      <c r="K116">
        <f t="shared" si="5"/>
        <v>1146.5636388888888</v>
      </c>
      <c r="M116">
        <f>_xlfn.STDEV.S('R1'!L116,'R2'!L116,'R3'!L116)</f>
        <v>2.6660723479069465E-3</v>
      </c>
      <c r="N116">
        <f>_xlfn.STDEV.S('R1'!M116,'R2'!M116,'R3'!M116)</f>
        <v>2.0734518234950573E-3</v>
      </c>
      <c r="O116">
        <f>_xlfn.STDEV.S('R1'!N116,'R2'!N116,'R3'!N116)</f>
        <v>6.4714575307737721E-3</v>
      </c>
      <c r="P116">
        <f>_xlfn.STDEV.S('R1'!O116,'R2'!O116,'R3'!O116)</f>
        <v>3.3745086266015918E-3</v>
      </c>
    </row>
    <row r="117" spans="1:16" x14ac:dyDescent="0.25">
      <c r="A117">
        <f>AVERAGE('R1'!F117,'R2'!F117,'R3'!F117)</f>
        <v>0.11372216666666667</v>
      </c>
      <c r="B117">
        <f>AVERAGE('R1'!G117,'R2'!G117,'R3'!G117)</f>
        <v>20.503150833333333</v>
      </c>
      <c r="C117">
        <f>-'R1'!H117</f>
        <v>12</v>
      </c>
      <c r="D117">
        <f>DEGREES(ATAN(-SIN(RADIANS(('R1'!I117)))/(COS(RADIANS(Sheet1!C117))*COS(RADIANS('R1'!I117)))))</f>
        <v>32.571632726288172</v>
      </c>
      <c r="E117">
        <f>AVERAGE('R1'!J117,'R2'!J117,'R3'!J117)</f>
        <v>1.1683333333333332</v>
      </c>
      <c r="F117">
        <f>AVERAGE('R1'!K117,'R2'!K117,'R3'!K117)</f>
        <v>5.9017047500000004</v>
      </c>
      <c r="G117">
        <f>AVERAGE('R1'!L117,'R2'!L117,'R3'!L117)</f>
        <v>1.7730423946081233</v>
      </c>
      <c r="H117">
        <f>AVERAGE('R1'!M117,'R2'!M117,'R3'!M117)</f>
        <v>-0.89750816103904185</v>
      </c>
      <c r="I117">
        <f>AVERAGE('R1'!N117,'R2'!N117,'R3'!N117)</f>
        <v>-0.66921900187644445</v>
      </c>
      <c r="J117">
        <f>AVERAGE('R1'!O117,'R2'!O117,'R3'!O117)</f>
        <v>-0.30146301748651561</v>
      </c>
      <c r="K117">
        <f t="shared" si="5"/>
        <v>1149.1930638194444</v>
      </c>
      <c r="M117">
        <f>_xlfn.STDEV.S('R1'!L117,'R2'!L117,'R3'!L117)</f>
        <v>5.2089975912073512E-3</v>
      </c>
      <c r="N117">
        <f>_xlfn.STDEV.S('R1'!M117,'R2'!M117,'R3'!M117)</f>
        <v>5.7243536260738132E-3</v>
      </c>
      <c r="O117">
        <f>_xlfn.STDEV.S('R1'!N117,'R2'!N117,'R3'!N117)</f>
        <v>1.4255406535675329E-2</v>
      </c>
      <c r="P117">
        <f>_xlfn.STDEV.S('R1'!O117,'R2'!O117,'R3'!O117)</f>
        <v>7.2860230362982339E-4</v>
      </c>
    </row>
    <row r="118" spans="1:16" x14ac:dyDescent="0.25">
      <c r="A118">
        <f>AVERAGE('R1'!F118,'R2'!F118,'R3'!F118)</f>
        <v>0.11372216666666667</v>
      </c>
      <c r="B118">
        <f>AVERAGE('R1'!G118,'R2'!G118,'R3'!G118)</f>
        <v>20.436120416666668</v>
      </c>
      <c r="C118">
        <f>-'R1'!H118</f>
        <v>12</v>
      </c>
      <c r="D118">
        <f>DEGREES(ATAN(-SIN(RADIANS(('R1'!I118)))/(COS(RADIANS(Sheet1!C118))*COS(RADIANS('R1'!I118)))))</f>
        <v>28.527978326363606</v>
      </c>
      <c r="E118">
        <f>AVERAGE('R1'!J118,'R2'!J118,'R3'!J118)</f>
        <v>1.1666666666666667</v>
      </c>
      <c r="F118">
        <f>AVERAGE('R1'!K118,'R2'!K118,'R3'!K118)</f>
        <v>5.8953168333333332</v>
      </c>
      <c r="G118">
        <f>AVERAGE('R1'!L118,'R2'!L118,'R3'!L118)</f>
        <v>1.5525946782876936</v>
      </c>
      <c r="H118">
        <f>AVERAGE('R1'!M118,'R2'!M118,'R3'!M118)</f>
        <v>-0.85005976763944202</v>
      </c>
      <c r="I118">
        <f>AVERAGE('R1'!N118,'R2'!N118,'R3'!N118)</f>
        <v>-0.4994052230398946</v>
      </c>
      <c r="J118">
        <f>AVERAGE('R1'!O118,'R2'!O118,'R3'!O118)</f>
        <v>-0.12112375117463377</v>
      </c>
      <c r="K118">
        <f t="shared" si="5"/>
        <v>1146.3116064814815</v>
      </c>
      <c r="M118">
        <f>_xlfn.STDEV.S('R1'!L118,'R2'!L118,'R3'!L118)</f>
        <v>1.1938368024287585E-2</v>
      </c>
      <c r="N118">
        <f>_xlfn.STDEV.S('R1'!M118,'R2'!M118,'R3'!M118)</f>
        <v>2.1490699922945325E-3</v>
      </c>
      <c r="O118">
        <f>_xlfn.STDEV.S('R1'!N118,'R2'!N118,'R3'!N118)</f>
        <v>1.7389276548395664E-2</v>
      </c>
      <c r="P118">
        <f>_xlfn.STDEV.S('R1'!O118,'R2'!O118,'R3'!O118)</f>
        <v>3.2397595096133091E-3</v>
      </c>
    </row>
    <row r="119" spans="1:16" x14ac:dyDescent="0.25">
      <c r="A119">
        <f>AVERAGE('R1'!F119,'R2'!F119,'R3'!F119)</f>
        <v>0.11372216666666667</v>
      </c>
      <c r="B119">
        <f>AVERAGE('R1'!G119,'R2'!G119,'R3'!G119)</f>
        <v>20.169263916666669</v>
      </c>
      <c r="C119">
        <f>-'R1'!H119</f>
        <v>12</v>
      </c>
      <c r="D119">
        <f>DEGREES(ATAN(-SIN(RADIANS(('R1'!I119)))/(COS(RADIANS(Sheet1!C119))*COS(RADIANS('R1'!I119)))))</f>
        <v>24.473858605038014</v>
      </c>
      <c r="E119">
        <f>AVERAGE('R1'!J119,'R2'!J119,'R3'!J119)</f>
        <v>1.1691666666666667</v>
      </c>
      <c r="F119">
        <f>AVERAGE('R1'!K119,'R2'!K119,'R3'!K119)</f>
        <v>5.8509734166666663</v>
      </c>
      <c r="G119">
        <f>AVERAGE('R1'!L119,'R2'!L119,'R3'!L119)</f>
        <v>1.3454445275150946</v>
      </c>
      <c r="H119">
        <f>AVERAGE('R1'!M119,'R2'!M119,'R3'!M119)</f>
        <v>-0.82176437745067865</v>
      </c>
      <c r="I119">
        <f>AVERAGE('R1'!N119,'R2'!N119,'R3'!N119)</f>
        <v>-0.3604335966540686</v>
      </c>
      <c r="J119">
        <f>AVERAGE('R1'!O119,'R2'!O119,'R3'!O119)</f>
        <v>4.7771259377383919E-2</v>
      </c>
      <c r="K119">
        <f t="shared" si="5"/>
        <v>1140.1271810532407</v>
      </c>
      <c r="M119">
        <f>_xlfn.STDEV.S('R1'!L119,'R2'!L119,'R3'!L119)</f>
        <v>4.5810782150916473E-3</v>
      </c>
      <c r="N119">
        <f>_xlfn.STDEV.S('R1'!M119,'R2'!M119,'R3'!M119)</f>
        <v>4.2005021888191314E-3</v>
      </c>
      <c r="O119">
        <f>_xlfn.STDEV.S('R1'!N119,'R2'!N119,'R3'!N119)</f>
        <v>1.0264196169933262E-2</v>
      </c>
      <c r="P119">
        <f>_xlfn.STDEV.S('R1'!O119,'R2'!O119,'R3'!O119)</f>
        <v>5.6426610475653989E-3</v>
      </c>
    </row>
    <row r="120" spans="1:16" x14ac:dyDescent="0.25">
      <c r="A120">
        <f>AVERAGE('R1'!F120,'R2'!F120,'R3'!F120)</f>
        <v>8.1237833333333329E-2</v>
      </c>
      <c r="B120">
        <f>AVERAGE('R1'!G120,'R2'!G120,'R3'!G120)</f>
        <v>19.9954365</v>
      </c>
      <c r="C120">
        <f>-'R1'!H120</f>
        <v>12</v>
      </c>
      <c r="D120">
        <f>DEGREES(ATAN(-SIN(RADIANS(('R1'!I120)))/(COS(RADIANS(Sheet1!C120))*COS(RADIANS('R1'!I120)))))</f>
        <v>20.410311753659691</v>
      </c>
      <c r="E120">
        <f>AVERAGE('R1'!J120,'R2'!J120,'R3'!J120)</f>
        <v>1.17</v>
      </c>
      <c r="F120">
        <f>AVERAGE('R1'!K120,'R2'!K120,'R3'!K120)</f>
        <v>5.8282078333333338</v>
      </c>
      <c r="G120">
        <f>AVERAGE('R1'!L120,'R2'!L120,'R3'!L120)</f>
        <v>1.155357263702012</v>
      </c>
      <c r="H120">
        <f>AVERAGE('R1'!M120,'R2'!M120,'R3'!M120)</f>
        <v>-0.80716865632188861</v>
      </c>
      <c r="I120">
        <f>AVERAGE('R1'!N120,'R2'!N120,'R3'!N120)</f>
        <v>-0.24879488203770705</v>
      </c>
      <c r="J120">
        <f>AVERAGE('R1'!O120,'R2'!O120,'R3'!O120)</f>
        <v>0.1911659119793834</v>
      </c>
      <c r="K120">
        <f t="shared" si="5"/>
        <v>1136.5005275000001</v>
      </c>
      <c r="M120">
        <f>_xlfn.STDEV.S('R1'!L120,'R2'!L120,'R3'!L120)</f>
        <v>4.8282901730543632E-3</v>
      </c>
      <c r="N120">
        <f>_xlfn.STDEV.S('R1'!M120,'R2'!M120,'R3'!M120)</f>
        <v>3.900489429576303E-3</v>
      </c>
      <c r="O120">
        <f>_xlfn.STDEV.S('R1'!N120,'R2'!N120,'R3'!N120)</f>
        <v>9.7905234415523613E-3</v>
      </c>
      <c r="P120">
        <f>_xlfn.STDEV.S('R1'!O120,'R2'!O120,'R3'!O120)</f>
        <v>6.4235328559691992E-3</v>
      </c>
    </row>
    <row r="121" spans="1:16" x14ac:dyDescent="0.25">
      <c r="A121">
        <f>AVERAGE('R1'!F121,'R2'!F121,'R3'!F121)</f>
        <v>9.7479999999999997E-2</v>
      </c>
      <c r="B121">
        <f>AVERAGE('R1'!G121,'R2'!G121,'R3'!G121)</f>
        <v>19.302591083333336</v>
      </c>
      <c r="C121">
        <f>-'R1'!H121</f>
        <v>12</v>
      </c>
      <c r="D121">
        <f>DEGREES(ATAN(-SIN(RADIANS(('R1'!I121)))/(COS(RADIANS(Sheet1!C121))*COS(RADIANS('R1'!I121)))))</f>
        <v>16.338575476506957</v>
      </c>
      <c r="E121">
        <f>AVERAGE('R1'!J121,'R2'!J121,'R3'!J121)</f>
        <v>1.1675</v>
      </c>
      <c r="F121">
        <f>AVERAGE('R1'!K121,'R2'!K121,'R3'!K121)</f>
        <v>5.7301999166666668</v>
      </c>
      <c r="G121">
        <f>AVERAGE('R1'!L121,'R2'!L121,'R3'!L121)</f>
        <v>0.95137466389202296</v>
      </c>
      <c r="H121">
        <f>AVERAGE('R1'!M121,'R2'!M121,'R3'!M121)</f>
        <v>-0.81478002227878077</v>
      </c>
      <c r="I121">
        <f>AVERAGE('R1'!N121,'R2'!N121,'R3'!N121)</f>
        <v>-0.16095563134432214</v>
      </c>
      <c r="J121">
        <f>AVERAGE('R1'!O121,'R2'!O121,'R3'!O121)</f>
        <v>0.32423756528406505</v>
      </c>
      <c r="K121">
        <f t="shared" si="5"/>
        <v>1115.0014004513889</v>
      </c>
      <c r="M121">
        <f>_xlfn.STDEV.S('R1'!L121,'R2'!L121,'R3'!L121)</f>
        <v>3.4521665161281185E-3</v>
      </c>
      <c r="N121">
        <f>_xlfn.STDEV.S('R1'!M121,'R2'!M121,'R3'!M121)</f>
        <v>4.1241619973069136E-3</v>
      </c>
      <c r="O121">
        <f>_xlfn.STDEV.S('R1'!N121,'R2'!N121,'R3'!N121)</f>
        <v>1.6977831041905932E-2</v>
      </c>
      <c r="P121">
        <f>_xlfn.STDEV.S('R1'!O121,'R2'!O121,'R3'!O121)</f>
        <v>5.834684775621185E-3</v>
      </c>
    </row>
    <row r="122" spans="1:16" x14ac:dyDescent="0.25">
      <c r="A122">
        <f>AVERAGE('R1'!F122,'R2'!F122,'R3'!F122)</f>
        <v>0.11372216666666667</v>
      </c>
      <c r="B122">
        <f>AVERAGE('R1'!G122,'R2'!G122,'R3'!G122)</f>
        <v>19.222141916666665</v>
      </c>
      <c r="C122">
        <f>-'R1'!H122</f>
        <v>12</v>
      </c>
      <c r="D122">
        <f>DEGREES(ATAN(-SIN(RADIANS(('R1'!I122)))/(COS(RADIANS(Sheet1!C122))*COS(RADIANS('R1'!I122)))))</f>
        <v>12.260062948059348</v>
      </c>
      <c r="E122">
        <f>AVERAGE('R1'!J122,'R2'!J122,'R3'!J122)</f>
        <v>1.1666666666666667</v>
      </c>
      <c r="F122">
        <f>AVERAGE('R1'!K122,'R2'!K122,'R3'!K122)</f>
        <v>5.7201815833333329</v>
      </c>
      <c r="G122">
        <f>AVERAGE('R1'!L122,'R2'!L122,'R3'!L122)</f>
        <v>0.73954423514998702</v>
      </c>
      <c r="H122">
        <f>AVERAGE('R1'!M122,'R2'!M122,'R3'!M122)</f>
        <v>-0.83989765014892159</v>
      </c>
      <c r="I122">
        <f>AVERAGE('R1'!N122,'R2'!N122,'R3'!N122)</f>
        <v>-0.10311557190995735</v>
      </c>
      <c r="J122">
        <f>AVERAGE('R1'!O122,'R2'!O122,'R3'!O122)</f>
        <v>0.44953171857342172</v>
      </c>
      <c r="K122">
        <f t="shared" si="5"/>
        <v>1112.2575300925926</v>
      </c>
      <c r="M122">
        <f>_xlfn.STDEV.S('R1'!L122,'R2'!L122,'R3'!L122)</f>
        <v>5.6554011260427396E-3</v>
      </c>
      <c r="N122">
        <f>_xlfn.STDEV.S('R1'!M122,'R2'!M122,'R3'!M122)</f>
        <v>6.2287044123489309E-3</v>
      </c>
      <c r="O122">
        <f>_xlfn.STDEV.S('R1'!N122,'R2'!N122,'R3'!N122)</f>
        <v>1.2856747974343068E-2</v>
      </c>
      <c r="P122">
        <f>_xlfn.STDEV.S('R1'!O122,'R2'!O122,'R3'!O122)</f>
        <v>8.0758564766687437E-3</v>
      </c>
    </row>
    <row r="123" spans="1:16" x14ac:dyDescent="0.25">
      <c r="A123">
        <f>AVERAGE('R1'!F123,'R2'!F123,'R3'!F123)</f>
        <v>0.11372216666666667</v>
      </c>
      <c r="B123">
        <f>AVERAGE('R1'!G123,'R2'!G123,'R3'!G123)</f>
        <v>19.087999749999998</v>
      </c>
      <c r="C123">
        <f>-'R1'!H123</f>
        <v>12</v>
      </c>
      <c r="D123">
        <f>DEGREES(ATAN(-SIN(RADIANS(('R1'!I123)))/(COS(RADIANS(Sheet1!C123))*COS(RADIANS('R1'!I123)))))</f>
        <v>8.1763340518815415</v>
      </c>
      <c r="E123">
        <f>AVERAGE('R1'!J123,'R2'!J123,'R3'!J123)</f>
        <v>1.1683333333333332</v>
      </c>
      <c r="F123">
        <f>AVERAGE('R1'!K123,'R2'!K123,'R3'!K123)</f>
        <v>5.6976690000000003</v>
      </c>
      <c r="G123">
        <f>AVERAGE('R1'!L123,'R2'!L123,'R3'!L123)</f>
        <v>0.50461608752591702</v>
      </c>
      <c r="H123">
        <f>AVERAGE('R1'!M123,'R2'!M123,'R3'!M123)</f>
        <v>-0.87734097323871063</v>
      </c>
      <c r="I123">
        <f>AVERAGE('R1'!N123,'R2'!N123,'R3'!N123)</f>
        <v>-6.1733488183849251E-2</v>
      </c>
      <c r="J123">
        <f>AVERAGE('R1'!O123,'R2'!O123,'R3'!O123)</f>
        <v>0.57500823966604797</v>
      </c>
      <c r="K123">
        <f t="shared" si="5"/>
        <v>1109.4627691666667</v>
      </c>
      <c r="M123">
        <f>_xlfn.STDEV.S('R1'!L123,'R2'!L123,'R3'!L123)</f>
        <v>4.9600365153705363E-3</v>
      </c>
      <c r="N123">
        <f>_xlfn.STDEV.S('R1'!M123,'R2'!M123,'R3'!M123)</f>
        <v>3.6416701058349819E-3</v>
      </c>
      <c r="O123">
        <f>_xlfn.STDEV.S('R1'!N123,'R2'!N123,'R3'!N123)</f>
        <v>7.9470848585632432E-3</v>
      </c>
      <c r="P123">
        <f>_xlfn.STDEV.S('R1'!O123,'R2'!O123,'R3'!O123)</f>
        <v>1.7388702903846164E-2</v>
      </c>
    </row>
    <row r="124" spans="1:16" x14ac:dyDescent="0.25">
      <c r="A124">
        <f>AVERAGE('R1'!F124,'R2'!F124,'R3'!F124)</f>
        <v>0.12996433333333332</v>
      </c>
      <c r="B124">
        <f>AVERAGE('R1'!G124,'R2'!G124,'R3'!G124)</f>
        <v>18.821563916666666</v>
      </c>
      <c r="C124">
        <f>-'R1'!H124</f>
        <v>12</v>
      </c>
      <c r="D124">
        <f>DEGREES(ATAN(-SIN(RADIANS(('R1'!I124)))/(COS(RADIANS(Sheet1!C124))*COS(RADIANS('R1'!I124)))))</f>
        <v>4.0890625478299265</v>
      </c>
      <c r="E124">
        <f>AVERAGE('R1'!J124,'R2'!J124,'R3'!J124)</f>
        <v>1.1675</v>
      </c>
      <c r="F124">
        <f>AVERAGE('R1'!K124,'R2'!K124,'R3'!K124)</f>
        <v>5.6577684166666664</v>
      </c>
      <c r="G124">
        <f>AVERAGE('R1'!L124,'R2'!L124,'R3'!L124)</f>
        <v>0.24706728988919457</v>
      </c>
      <c r="H124">
        <f>AVERAGE('R1'!M124,'R2'!M124,'R3'!M124)</f>
        <v>-0.92893748776883889</v>
      </c>
      <c r="I124">
        <f>AVERAGE('R1'!N124,'R2'!N124,'R3'!N124)</f>
        <v>-3.7288465392824904E-2</v>
      </c>
      <c r="J124">
        <f>AVERAGE('R1'!O124,'R2'!O124,'R3'!O124)</f>
        <v>0.69991209787030628</v>
      </c>
      <c r="K124">
        <f t="shared" si="5"/>
        <v>1100.9074377430554</v>
      </c>
      <c r="M124">
        <f>_xlfn.STDEV.S('R1'!L124,'R2'!L124,'R3'!L124)</f>
        <v>7.04797970774022E-3</v>
      </c>
      <c r="N124">
        <f>_xlfn.STDEV.S('R1'!M124,'R2'!M124,'R3'!M124)</f>
        <v>7.0199989367798086E-3</v>
      </c>
      <c r="O124">
        <f>_xlfn.STDEV.S('R1'!N124,'R2'!N124,'R3'!N124)</f>
        <v>1.2913051430073774E-2</v>
      </c>
      <c r="P124">
        <f>_xlfn.STDEV.S('R1'!O124,'R2'!O124,'R3'!O124)</f>
        <v>1.9772284525579158E-2</v>
      </c>
    </row>
    <row r="125" spans="1:16" x14ac:dyDescent="0.25">
      <c r="A125">
        <f>AVERAGE('R1'!F125,'R2'!F125,'R3'!F125)</f>
        <v>9.7518999999999981E-2</v>
      </c>
      <c r="B125">
        <f>AVERAGE('R1'!G125,'R2'!G125,'R3'!G125)</f>
        <v>18.808226083333334</v>
      </c>
      <c r="C125">
        <f>-'R1'!H125</f>
        <v>12</v>
      </c>
      <c r="D125">
        <f>DEGREES(ATAN(-SIN(RADIANS(('R1'!I125)))/(COS(RADIANS(Sheet1!C125))*COS(RADIANS('R1'!I125)))))</f>
        <v>0</v>
      </c>
      <c r="E125">
        <f>AVERAGE('R1'!J125,'R2'!J125,'R3'!J125)</f>
        <v>1.17</v>
      </c>
      <c r="F125">
        <f>AVERAGE('R1'!K125,'R2'!K125,'R3'!K125)</f>
        <v>5.6546662499999991</v>
      </c>
      <c r="G125">
        <f>AVERAGE('R1'!L125,'R2'!L125,'R3'!L125)</f>
        <v>-6.0634047219648463E-2</v>
      </c>
      <c r="H125">
        <f>AVERAGE('R1'!M125,'R2'!M125,'R3'!M125)</f>
        <v>-0.97039661536207567</v>
      </c>
      <c r="I125">
        <f>AVERAGE('R1'!N125,'R2'!N125,'R3'!N125)</f>
        <v>-3.0423831194587692E-2</v>
      </c>
      <c r="J125">
        <f>AVERAGE('R1'!O125,'R2'!O125,'R3'!O125)</f>
        <v>0.79024843138690404</v>
      </c>
      <c r="K125">
        <f t="shared" si="5"/>
        <v>1102.6599187499999</v>
      </c>
      <c r="M125">
        <f>_xlfn.STDEV.S('R1'!L125,'R2'!L125,'R3'!L125)</f>
        <v>7.521317439561752E-3</v>
      </c>
      <c r="N125">
        <f>_xlfn.STDEV.S('R1'!M125,'R2'!M125,'R3'!M125)</f>
        <v>4.0192463355707524E-3</v>
      </c>
      <c r="O125">
        <f>_xlfn.STDEV.S('R1'!N125,'R2'!N125,'R3'!N125)</f>
        <v>1.7870663311180056E-2</v>
      </c>
      <c r="P125">
        <f>_xlfn.STDEV.S('R1'!O125,'R2'!O125,'R3'!O125)</f>
        <v>7.5537049184918742E-3</v>
      </c>
    </row>
    <row r="126" spans="1:16" x14ac:dyDescent="0.25">
      <c r="A126">
        <f>AVERAGE('R1'!F126,'R2'!F126,'R3'!F126)</f>
        <v>0.12996433333333332</v>
      </c>
      <c r="B126">
        <f>AVERAGE('R1'!G126,'R2'!G126,'R3'!G126)</f>
        <v>18.914598583333333</v>
      </c>
      <c r="C126">
        <f>-'R1'!H126</f>
        <v>12</v>
      </c>
      <c r="D126">
        <f>DEGREES(ATAN(-SIN(RADIANS(('R1'!I126)))/(COS(RADIANS(Sheet1!C126))*COS(RADIANS('R1'!I126)))))</f>
        <v>-4.0890625478299265</v>
      </c>
      <c r="E126">
        <f>AVERAGE('R1'!J126,'R2'!J126,'R3'!J126)</f>
        <v>1.17</v>
      </c>
      <c r="F126">
        <f>AVERAGE('R1'!K126,'R2'!K126,'R3'!K126)</f>
        <v>5.6650572499999994</v>
      </c>
      <c r="G126">
        <f>AVERAGE('R1'!L126,'R2'!L126,'R3'!L126)</f>
        <v>-0.3520338965343206</v>
      </c>
      <c r="H126">
        <f>AVERAGE('R1'!M126,'R2'!M126,'R3'!M126)</f>
        <v>-0.88569715529903659</v>
      </c>
      <c r="I126">
        <f>AVERAGE('R1'!N126,'R2'!N126,'R3'!N126)</f>
        <v>-3.6469565340474165E-2</v>
      </c>
      <c r="J126">
        <f>AVERAGE('R1'!O126,'R2'!O126,'R3'!O126)</f>
        <v>0.66344436459833667</v>
      </c>
      <c r="K126">
        <f t="shared" si="5"/>
        <v>1104.6861637499999</v>
      </c>
      <c r="M126">
        <f>_xlfn.STDEV.S('R1'!L126,'R2'!L126,'R3'!L126)</f>
        <v>7.7891709607821099E-3</v>
      </c>
      <c r="N126">
        <f>_xlfn.STDEV.S('R1'!M126,'R2'!M126,'R3'!M126)</f>
        <v>2.964687336821023E-3</v>
      </c>
      <c r="O126">
        <f>_xlfn.STDEV.S('R1'!N126,'R2'!N126,'R3'!N126)</f>
        <v>1.4267527241924741E-2</v>
      </c>
      <c r="P126">
        <f>_xlfn.STDEV.S('R1'!O126,'R2'!O126,'R3'!O126)</f>
        <v>1.711965059736844E-2</v>
      </c>
    </row>
    <row r="127" spans="1:16" x14ac:dyDescent="0.25">
      <c r="A127">
        <f>AVERAGE('R1'!F127,'R2'!F127,'R3'!F127)</f>
        <v>0.12996433333333332</v>
      </c>
      <c r="B127">
        <f>AVERAGE('R1'!G127,'R2'!G127,'R3'!G127)</f>
        <v>19.2487885</v>
      </c>
      <c r="C127">
        <f>-'R1'!H127</f>
        <v>12</v>
      </c>
      <c r="D127">
        <f>DEGREES(ATAN(-SIN(RADIANS(('R1'!I127)))/(COS(RADIANS(Sheet1!C127))*COS(RADIANS('R1'!I127)))))</f>
        <v>-8.1763340518815415</v>
      </c>
      <c r="E127">
        <f>AVERAGE('R1'!J127,'R2'!J127,'R3'!J127)</f>
        <v>1.1691666666666667</v>
      </c>
      <c r="F127">
        <f>AVERAGE('R1'!K127,'R2'!K127,'R3'!K127)</f>
        <v>5.7169185833333342</v>
      </c>
      <c r="G127">
        <f>AVERAGE('R1'!L127,'R2'!L127,'R3'!L127)</f>
        <v>-0.60994928674992333</v>
      </c>
      <c r="H127">
        <f>AVERAGE('R1'!M127,'R2'!M127,'R3'!M127)</f>
        <v>-0.82179128483558384</v>
      </c>
      <c r="I127">
        <f>AVERAGE('R1'!N127,'R2'!N127,'R3'!N127)</f>
        <v>-6.0444468516271617E-2</v>
      </c>
      <c r="J127">
        <f>AVERAGE('R1'!O127,'R2'!O127,'R3'!O127)</f>
        <v>0.54532998239869368</v>
      </c>
      <c r="K127">
        <f t="shared" si="5"/>
        <v>1114.0051072800927</v>
      </c>
      <c r="M127">
        <f>_xlfn.STDEV.S('R1'!L127,'R2'!L127,'R3'!L127)</f>
        <v>7.4772245785276669E-3</v>
      </c>
      <c r="N127">
        <f>_xlfn.STDEV.S('R1'!M127,'R2'!M127,'R3'!M127)</f>
        <v>5.4957974770105853E-4</v>
      </c>
      <c r="O127">
        <f>_xlfn.STDEV.S('R1'!N127,'R2'!N127,'R3'!N127)</f>
        <v>1.7154936182024547E-2</v>
      </c>
      <c r="P127">
        <f>_xlfn.STDEV.S('R1'!O127,'R2'!O127,'R3'!O127)</f>
        <v>1.0212213605731135E-2</v>
      </c>
    </row>
    <row r="128" spans="1:16" x14ac:dyDescent="0.25">
      <c r="A128">
        <f>AVERAGE('R1'!F128,'R2'!F128,'R3'!F128)</f>
        <v>9.7479999999999997E-2</v>
      </c>
      <c r="B128">
        <f>AVERAGE('R1'!G128,'R2'!G128,'R3'!G128)</f>
        <v>19.78088275</v>
      </c>
      <c r="C128">
        <f>-'R1'!H128</f>
        <v>12</v>
      </c>
      <c r="D128">
        <f>DEGREES(ATAN(-SIN(RADIANS(('R1'!I128)))/(COS(RADIANS(Sheet1!C128))*COS(RADIANS('R1'!I128)))))</f>
        <v>-12.260062948059348</v>
      </c>
      <c r="E128">
        <f>AVERAGE('R1'!J128,'R2'!J128,'R3'!J128)</f>
        <v>1.1683333333333332</v>
      </c>
      <c r="F128">
        <f>AVERAGE('R1'!K128,'R2'!K128,'R3'!K128)</f>
        <v>5.8033394166666668</v>
      </c>
      <c r="G128">
        <f>AVERAGE('R1'!L128,'R2'!L128,'R3'!L128)</f>
        <v>-0.84632000108460737</v>
      </c>
      <c r="H128">
        <f>AVERAGE('R1'!M128,'R2'!M128,'R3'!M128)</f>
        <v>-0.77091930573042511</v>
      </c>
      <c r="I128">
        <f>AVERAGE('R1'!N128,'R2'!N128,'R3'!N128)</f>
        <v>-0.12057033460568338</v>
      </c>
      <c r="J128">
        <f>AVERAGE('R1'!O128,'R2'!O128,'R3'!O128)</f>
        <v>0.43709214345223885</v>
      </c>
      <c r="K128">
        <f t="shared" si="5"/>
        <v>1130.0391475231481</v>
      </c>
      <c r="M128">
        <f>_xlfn.STDEV.S('R1'!L128,'R2'!L128,'R3'!L128)</f>
        <v>5.7103641802621142E-3</v>
      </c>
      <c r="N128">
        <f>_xlfn.STDEV.S('R1'!M128,'R2'!M128,'R3'!M128)</f>
        <v>8.1958203968472872E-3</v>
      </c>
      <c r="O128">
        <f>_xlfn.STDEV.S('R1'!N128,'R2'!N128,'R3'!N128)</f>
        <v>9.4769404821785207E-3</v>
      </c>
      <c r="P128">
        <f>_xlfn.STDEV.S('R1'!O128,'R2'!O128,'R3'!O128)</f>
        <v>7.8252196075381218E-3</v>
      </c>
    </row>
    <row r="129" spans="1:16" x14ac:dyDescent="0.25">
      <c r="A129">
        <f>AVERAGE('R1'!F129,'R2'!F129,'R3'!F129)</f>
        <v>0.12996433333333332</v>
      </c>
      <c r="B129">
        <f>AVERAGE('R1'!G129,'R2'!G129,'R3'!G129)</f>
        <v>20.021730666666667</v>
      </c>
      <c r="C129">
        <f>-'R1'!H129</f>
        <v>12</v>
      </c>
      <c r="D129">
        <f>DEGREES(ATAN(-SIN(RADIANS(('R1'!I129)))/(COS(RADIANS(Sheet1!C129))*COS(RADIANS('R1'!I129)))))</f>
        <v>-16.338575476506957</v>
      </c>
      <c r="E129">
        <f>AVERAGE('R1'!J129,'R2'!J129,'R3'!J129)</f>
        <v>1.1691666666666667</v>
      </c>
      <c r="F129">
        <f>AVERAGE('R1'!K129,'R2'!K129,'R3'!K129)</f>
        <v>5.8315882500000003</v>
      </c>
      <c r="G129">
        <f>AVERAGE('R1'!L129,'R2'!L129,'R3'!L129)</f>
        <v>-1.0676943222849271</v>
      </c>
      <c r="H129">
        <f>AVERAGE('R1'!M129,'R2'!M129,'R3'!M129)</f>
        <v>-0.75177447261382024</v>
      </c>
      <c r="I129">
        <f>AVERAGE('R1'!N129,'R2'!N129,'R3'!N129)</f>
        <v>-0.19665599552956722</v>
      </c>
      <c r="J129">
        <f>AVERAGE('R1'!O129,'R2'!O129,'R3'!O129)</f>
        <v>0.30995581636251607</v>
      </c>
      <c r="K129">
        <f t="shared" si="5"/>
        <v>1136.3497659375</v>
      </c>
      <c r="M129">
        <f>_xlfn.STDEV.S('R1'!L129,'R2'!L129,'R3'!L129)</f>
        <v>1.3834869699684E-2</v>
      </c>
      <c r="N129">
        <f>_xlfn.STDEV.S('R1'!M129,'R2'!M129,'R3'!M129)</f>
        <v>1.4000852464658385E-3</v>
      </c>
      <c r="O129">
        <f>_xlfn.STDEV.S('R1'!N129,'R2'!N129,'R3'!N129)</f>
        <v>1.8260530056873111E-2</v>
      </c>
      <c r="P129">
        <f>_xlfn.STDEV.S('R1'!O129,'R2'!O129,'R3'!O129)</f>
        <v>8.6696628167505056E-3</v>
      </c>
    </row>
    <row r="130" spans="1:16" x14ac:dyDescent="0.25">
      <c r="A130">
        <f>AVERAGE('R1'!F130,'R2'!F130,'R3'!F130)</f>
        <v>9.7479999999999997E-2</v>
      </c>
      <c r="B130">
        <f>AVERAGE('R1'!G130,'R2'!G130,'R3'!G130)</f>
        <v>20.328526583333332</v>
      </c>
      <c r="C130">
        <f>-'R1'!H130</f>
        <v>12</v>
      </c>
      <c r="D130">
        <f>DEGREES(ATAN(-SIN(RADIANS(('R1'!I130)))/(COS(RADIANS(Sheet1!C130))*COS(RADIANS('R1'!I130)))))</f>
        <v>-20.410311753659691</v>
      </c>
      <c r="E130">
        <f>AVERAGE('R1'!J130,'R2'!J130,'R3'!J130)</f>
        <v>1.1675</v>
      </c>
      <c r="F130">
        <f>AVERAGE('R1'!K130,'R2'!K130,'R3'!K130)</f>
        <v>5.885575750000001</v>
      </c>
      <c r="G130">
        <f>AVERAGE('R1'!L130,'R2'!L130,'R3'!L130)</f>
        <v>-1.2980569246919254</v>
      </c>
      <c r="H130">
        <f>AVERAGE('R1'!M130,'R2'!M130,'R3'!M130)</f>
        <v>-0.7615823524916786</v>
      </c>
      <c r="I130">
        <f>AVERAGE('R1'!N130,'R2'!N130,'R3'!N130)</f>
        <v>-0.32128780649294258</v>
      </c>
      <c r="J130">
        <f>AVERAGE('R1'!O130,'R2'!O130,'R3'!O130)</f>
        <v>0.17282692071855363</v>
      </c>
      <c r="K130">
        <f t="shared" si="5"/>
        <v>1145.2349480208336</v>
      </c>
      <c r="M130">
        <f>_xlfn.STDEV.S('R1'!L130,'R2'!L130,'R3'!L130)</f>
        <v>1.1314594992621546E-2</v>
      </c>
      <c r="N130">
        <f>_xlfn.STDEV.S('R1'!M130,'R2'!M130,'R3'!M130)</f>
        <v>2.9630414892987838E-3</v>
      </c>
      <c r="O130">
        <f>_xlfn.STDEV.S('R1'!N130,'R2'!N130,'R3'!N130)</f>
        <v>1.4944234932768018E-2</v>
      </c>
      <c r="P130">
        <f>_xlfn.STDEV.S('R1'!O130,'R2'!O130,'R3'!O130)</f>
        <v>8.3477546322571188E-3</v>
      </c>
    </row>
    <row r="131" spans="1:16" x14ac:dyDescent="0.25">
      <c r="A131">
        <f>AVERAGE('R1'!F131,'R2'!F131,'R3'!F131)</f>
        <v>0.12996433333333332</v>
      </c>
      <c r="B131">
        <f>AVERAGE('R1'!G131,'R2'!G131,'R3'!G131)</f>
        <v>20.530165</v>
      </c>
      <c r="C131">
        <f>-'R1'!H131</f>
        <v>12</v>
      </c>
      <c r="D131">
        <f>DEGREES(ATAN(-SIN(RADIANS(('R1'!I131)))/(COS(RADIANS(Sheet1!C131))*COS(RADIANS('R1'!I131)))))</f>
        <v>-24.473858605038014</v>
      </c>
      <c r="E131">
        <f>AVERAGE('R1'!J131,'R2'!J131,'R3'!J131)</f>
        <v>1.1666666666666667</v>
      </c>
      <c r="F131">
        <f>AVERAGE('R1'!K131,'R2'!K131,'R3'!K131)</f>
        <v>5.9116986666666671</v>
      </c>
      <c r="G131">
        <f>AVERAGE('R1'!L131,'R2'!L131,'R3'!L131)</f>
        <v>-1.5486919941813191</v>
      </c>
      <c r="H131">
        <f>AVERAGE('R1'!M131,'R2'!M131,'R3'!M131)</f>
        <v>-0.80941514062319353</v>
      </c>
      <c r="I131">
        <f>AVERAGE('R1'!N131,'R2'!N131,'R3'!N131)</f>
        <v>-0.49349513574035075</v>
      </c>
      <c r="J131">
        <f>AVERAGE('R1'!O131,'R2'!O131,'R3'!O131)</f>
        <v>2.7589450660546306E-3</v>
      </c>
      <c r="K131">
        <f t="shared" ref="K131:K194" si="6">10^5*E131*F131*0.003/1.8</f>
        <v>1149.4969629629632</v>
      </c>
      <c r="M131">
        <f>_xlfn.STDEV.S('R1'!L131,'R2'!L131,'R3'!L131)</f>
        <v>9.0953410285316161E-3</v>
      </c>
      <c r="N131">
        <f>_xlfn.STDEV.S('R1'!M131,'R2'!M131,'R3'!M131)</f>
        <v>2.781892307604698E-3</v>
      </c>
      <c r="O131">
        <f>_xlfn.STDEV.S('R1'!N131,'R2'!N131,'R3'!N131)</f>
        <v>1.3457011766221568E-2</v>
      </c>
      <c r="P131">
        <f>_xlfn.STDEV.S('R1'!O131,'R2'!O131,'R3'!O131)</f>
        <v>1.0331357148291077E-2</v>
      </c>
    </row>
    <row r="132" spans="1:16" x14ac:dyDescent="0.25">
      <c r="A132">
        <f>AVERAGE('R1'!F132,'R2'!F132,'R3'!F132)</f>
        <v>9.7479999999999997E-2</v>
      </c>
      <c r="B132">
        <f>AVERAGE('R1'!G132,'R2'!G132,'R3'!G132)</f>
        <v>20.462744166666667</v>
      </c>
      <c r="C132">
        <f>-'R1'!H132</f>
        <v>12</v>
      </c>
      <c r="D132">
        <f>DEGREES(ATAN(-SIN(RADIANS(('R1'!I132)))/(COS(RADIANS(Sheet1!C132))*COS(RADIANS('R1'!I132)))))</f>
        <v>-28.527978326363606</v>
      </c>
      <c r="E132">
        <f>AVERAGE('R1'!J132,'R2'!J132,'R3'!J132)</f>
        <v>1.1691666666666667</v>
      </c>
      <c r="F132">
        <f>AVERAGE('R1'!K132,'R2'!K132,'R3'!K132)</f>
        <v>5.8987231666666666</v>
      </c>
      <c r="G132">
        <f>AVERAGE('R1'!L132,'R2'!L132,'R3'!L132)</f>
        <v>-1.8442862226030805</v>
      </c>
      <c r="H132">
        <f>AVERAGE('R1'!M132,'R2'!M132,'R3'!M132)</f>
        <v>-0.88002634336635521</v>
      </c>
      <c r="I132">
        <f>AVERAGE('R1'!N132,'R2'!N132,'R3'!N132)</f>
        <v>-0.72941918973871267</v>
      </c>
      <c r="J132">
        <f>AVERAGE('R1'!O132,'R2'!O132,'R3'!O132)</f>
        <v>-0.17354194762387065</v>
      </c>
      <c r="K132">
        <f t="shared" si="6"/>
        <v>1149.4317503935188</v>
      </c>
      <c r="M132">
        <f>_xlfn.STDEV.S('R1'!L132,'R2'!L132,'R3'!L132)</f>
        <v>1.6804043175044928E-2</v>
      </c>
      <c r="N132">
        <f>_xlfn.STDEV.S('R1'!M132,'R2'!M132,'R3'!M132)</f>
        <v>6.0126073924666205E-3</v>
      </c>
      <c r="O132">
        <f>_xlfn.STDEV.S('R1'!N132,'R2'!N132,'R3'!N132)</f>
        <v>1.9845580324326581E-2</v>
      </c>
      <c r="P132">
        <f>_xlfn.STDEV.S('R1'!O132,'R2'!O132,'R3'!O132)</f>
        <v>4.8756722931758258E-3</v>
      </c>
    </row>
    <row r="133" spans="1:16" x14ac:dyDescent="0.25">
      <c r="A133">
        <f>AVERAGE('R1'!F133,'R2'!F133,'R3'!F133)</f>
        <v>0.12996433333333332</v>
      </c>
      <c r="B133">
        <f>AVERAGE('R1'!G133,'R2'!G133,'R3'!G133)</f>
        <v>20.582781333333333</v>
      </c>
      <c r="C133">
        <f>-'R1'!H133</f>
        <v>12</v>
      </c>
      <c r="D133">
        <f>DEGREES(ATAN(-SIN(RADIANS(('R1'!I133)))/(COS(RADIANS(Sheet1!C133))*COS(RADIANS('R1'!I133)))))</f>
        <v>-32.571632726288172</v>
      </c>
      <c r="E133">
        <f>AVERAGE('R1'!J133,'R2'!J133,'R3'!J133)</f>
        <v>1.17</v>
      </c>
      <c r="F133">
        <f>AVERAGE('R1'!K133,'R2'!K133,'R3'!K133)</f>
        <v>5.9074467499999992</v>
      </c>
      <c r="G133">
        <f>AVERAGE('R1'!L133,'R2'!L133,'R3'!L133)</f>
        <v>-2.1958939142543303</v>
      </c>
      <c r="H133">
        <f>AVERAGE('R1'!M133,'R2'!M133,'R3'!M133)</f>
        <v>-0.98221359674468889</v>
      </c>
      <c r="I133">
        <f>AVERAGE('R1'!N133,'R2'!N133,'R3'!N133)</f>
        <v>-1.0384498097733748</v>
      </c>
      <c r="J133">
        <f>AVERAGE('R1'!O133,'R2'!O133,'R3'!O133)</f>
        <v>-0.38719814197267066</v>
      </c>
      <c r="K133">
        <f t="shared" si="6"/>
        <v>1151.9521162499998</v>
      </c>
      <c r="M133">
        <f>_xlfn.STDEV.S('R1'!L133,'R2'!L133,'R3'!L133)</f>
        <v>2.9814919910301305E-3</v>
      </c>
      <c r="N133">
        <f>_xlfn.STDEV.S('R1'!M133,'R2'!M133,'R3'!M133)</f>
        <v>7.7389328757536758E-3</v>
      </c>
      <c r="O133">
        <f>_xlfn.STDEV.S('R1'!N133,'R2'!N133,'R3'!N133)</f>
        <v>1.0937379669110023E-2</v>
      </c>
      <c r="P133">
        <f>_xlfn.STDEV.S('R1'!O133,'R2'!O133,'R3'!O133)</f>
        <v>5.4166718359785048E-3</v>
      </c>
    </row>
    <row r="134" spans="1:16" x14ac:dyDescent="0.25">
      <c r="A134">
        <f>AVERAGE('R1'!F134,'R2'!F134,'R3'!F134)</f>
        <v>0.11372216666666667</v>
      </c>
      <c r="B134">
        <f>AVERAGE('R1'!G134,'R2'!G134,'R3'!G134)</f>
        <v>20.675001583333337</v>
      </c>
      <c r="C134">
        <f>-'R1'!H134</f>
        <v>12</v>
      </c>
      <c r="D134">
        <f>DEGREES(ATAN(-SIN(RADIANS(('R1'!I134)))/(COS(RADIANS(Sheet1!C134))*COS(RADIANS('R1'!I134)))))</f>
        <v>-36.604002006988381</v>
      </c>
      <c r="E134">
        <f>AVERAGE('R1'!J134,'R2'!J134,'R3'!J134)</f>
        <v>1.17</v>
      </c>
      <c r="F134">
        <f>AVERAGE('R1'!K134,'R2'!K134,'R3'!K134)</f>
        <v>5.9210189166666671</v>
      </c>
      <c r="G134">
        <f>AVERAGE('R1'!L134,'R2'!L134,'R3'!L134)</f>
        <v>-2.6748785089661289</v>
      </c>
      <c r="H134">
        <f>AVERAGE('R1'!M134,'R2'!M134,'R3'!M134)</f>
        <v>-1.1393515960976506</v>
      </c>
      <c r="I134">
        <f>AVERAGE('R1'!N134,'R2'!N134,'R3'!N134)</f>
        <v>-1.4918767873281815</v>
      </c>
      <c r="J134">
        <f>AVERAGE('R1'!O134,'R2'!O134,'R3'!O134)</f>
        <v>-0.65650525272172577</v>
      </c>
      <c r="K134">
        <f t="shared" si="6"/>
        <v>1154.5986887500001</v>
      </c>
      <c r="M134">
        <f>_xlfn.STDEV.S('R1'!L134,'R2'!L134,'R3'!L134)</f>
        <v>3.1060463327676854E-2</v>
      </c>
      <c r="N134">
        <f>_xlfn.STDEV.S('R1'!M134,'R2'!M134,'R3'!M134)</f>
        <v>1.0293951474470047E-2</v>
      </c>
      <c r="O134">
        <f>_xlfn.STDEV.S('R1'!N134,'R2'!N134,'R3'!N134)</f>
        <v>3.5594992543349274E-2</v>
      </c>
      <c r="P134">
        <f>_xlfn.STDEV.S('R1'!O134,'R2'!O134,'R3'!O134)</f>
        <v>1.2166451005519585E-2</v>
      </c>
    </row>
    <row r="135" spans="1:16" x14ac:dyDescent="0.25">
      <c r="A135">
        <f>AVERAGE('R1'!F135,'R2'!F135,'R3'!F135)</f>
        <v>0.12996433333333332</v>
      </c>
      <c r="B135">
        <f>AVERAGE('R1'!G135,'R2'!G135,'R3'!G135)</f>
        <v>20.407863583333334</v>
      </c>
      <c r="C135">
        <f>-'R1'!H135</f>
        <v>8</v>
      </c>
      <c r="D135">
        <f>DEGREES(ATAN(-SIN(RADIANS(('R1'!I135)))/(COS(RADIANS(Sheet1!C135))*COS(RADIANS('R1'!I135)))))</f>
        <v>36.2668517150396</v>
      </c>
      <c r="E135">
        <f>AVERAGE('R1'!J135,'R2'!J135,'R3'!J135)</f>
        <v>1.1675</v>
      </c>
      <c r="F135">
        <f>AVERAGE('R1'!K135,'R2'!K135,'R3'!K135)</f>
        <v>5.8869371666666668</v>
      </c>
      <c r="G135">
        <f>AVERAGE('R1'!L135,'R2'!L135,'R3'!L135)</f>
        <v>2.1608922725005177</v>
      </c>
      <c r="H135">
        <f>AVERAGE('R1'!M135,'R2'!M135,'R3'!M135)</f>
        <v>-0.70265881784067952</v>
      </c>
      <c r="I135">
        <f>AVERAGE('R1'!N135,'R2'!N135,'R3'!N135)</f>
        <v>-0.91316685624960536</v>
      </c>
      <c r="J135">
        <f>AVERAGE('R1'!O135,'R2'!O135,'R3'!O135)</f>
        <v>-0.43572310105934281</v>
      </c>
      <c r="K135">
        <f t="shared" si="6"/>
        <v>1145.4998570138889</v>
      </c>
      <c r="M135">
        <f>_xlfn.STDEV.S('R1'!L135,'R2'!L135,'R3'!L135)</f>
        <v>1.7879363961485813E-2</v>
      </c>
      <c r="N135">
        <f>_xlfn.STDEV.S('R1'!M135,'R2'!M135,'R3'!M135)</f>
        <v>4.1037034730889337E-3</v>
      </c>
      <c r="O135">
        <f>_xlfn.STDEV.S('R1'!N135,'R2'!N135,'R3'!N135)</f>
        <v>2.1142725274489696E-2</v>
      </c>
      <c r="P135">
        <f>_xlfn.STDEV.S('R1'!O135,'R2'!O135,'R3'!O135)</f>
        <v>3.0758381021542447E-3</v>
      </c>
    </row>
    <row r="136" spans="1:16" x14ac:dyDescent="0.25">
      <c r="A136">
        <f>AVERAGE('R1'!F136,'R2'!F136,'R3'!F136)</f>
        <v>9.7518999999999981E-2</v>
      </c>
      <c r="B136">
        <f>AVERAGE('R1'!G136,'R2'!G136,'R3'!G136)</f>
        <v>19.902416666666664</v>
      </c>
      <c r="C136">
        <f>-'R1'!H136</f>
        <v>8</v>
      </c>
      <c r="D136">
        <f>DEGREES(ATAN(-SIN(RADIANS(('R1'!I136)))/(COS(RADIANS(Sheet1!C136))*COS(RADIANS('R1'!I136)))))</f>
        <v>32.252347723135095</v>
      </c>
      <c r="E136">
        <f>AVERAGE('R1'!J136,'R2'!J136,'R3'!J136)</f>
        <v>1.17</v>
      </c>
      <c r="F136">
        <f>AVERAGE('R1'!K136,'R2'!K136,'R3'!K136)</f>
        <v>5.8120050000000001</v>
      </c>
      <c r="G136">
        <f>AVERAGE('R1'!L136,'R2'!L136,'R3'!L136)</f>
        <v>1.890548572190526</v>
      </c>
      <c r="H136">
        <f>AVERAGE('R1'!M136,'R2'!M136,'R3'!M136)</f>
        <v>-0.6493442857202143</v>
      </c>
      <c r="I136">
        <f>AVERAGE('R1'!N136,'R2'!N136,'R3'!N136)</f>
        <v>-0.67639205016441384</v>
      </c>
      <c r="J136">
        <f>AVERAGE('R1'!O136,'R2'!O136,'R3'!O136)</f>
        <v>-0.23077929449239046</v>
      </c>
      <c r="K136">
        <f t="shared" si="6"/>
        <v>1133.3409749999998</v>
      </c>
      <c r="M136">
        <f>_xlfn.STDEV.S('R1'!L136,'R2'!L136,'R3'!L136)</f>
        <v>7.7357414401159098E-3</v>
      </c>
      <c r="N136">
        <f>_xlfn.STDEV.S('R1'!M136,'R2'!M136,'R3'!M136)</f>
        <v>9.7589356753804753E-3</v>
      </c>
      <c r="O136">
        <f>_xlfn.STDEV.S('R1'!N136,'R2'!N136,'R3'!N136)</f>
        <v>1.5011324320371198E-2</v>
      </c>
      <c r="P136">
        <f>_xlfn.STDEV.S('R1'!O136,'R2'!O136,'R3'!O136)</f>
        <v>1.2119808933696299E-3</v>
      </c>
    </row>
    <row r="137" spans="1:16" x14ac:dyDescent="0.25">
      <c r="A137">
        <f>AVERAGE('R1'!F137,'R2'!F137,'R3'!F137)</f>
        <v>9.7479999999999997E-2</v>
      </c>
      <c r="B137">
        <f>AVERAGE('R1'!G137,'R2'!G137,'R3'!G137)</f>
        <v>19.301149166666665</v>
      </c>
      <c r="C137">
        <f>-'R1'!H137</f>
        <v>8</v>
      </c>
      <c r="D137">
        <f>DEGREES(ATAN(-SIN(RADIANS(('R1'!I137)))/(COS(RADIANS(Sheet1!C137))*COS(RADIANS('R1'!I137)))))</f>
        <v>28.23290083045832</v>
      </c>
      <c r="E137">
        <f>AVERAGE('R1'!J137,'R2'!J137,'R3'!J137)</f>
        <v>1.17</v>
      </c>
      <c r="F137">
        <f>AVERAGE('R1'!K137,'R2'!K137,'R3'!K137)</f>
        <v>5.7238801666666674</v>
      </c>
      <c r="G137">
        <f>AVERAGE('R1'!L137,'R2'!L137,'R3'!L137)</f>
        <v>1.6592460647490828</v>
      </c>
      <c r="H137">
        <f>AVERAGE('R1'!M137,'R2'!M137,'R3'!M137)</f>
        <v>-0.60344424624357673</v>
      </c>
      <c r="I137">
        <f>AVERAGE('R1'!N137,'R2'!N137,'R3'!N137)</f>
        <v>-0.49137786051597332</v>
      </c>
      <c r="J137">
        <f>AVERAGE('R1'!O137,'R2'!O137,'R3'!O137)</f>
        <v>-4.0091695421459454E-2</v>
      </c>
      <c r="K137">
        <f t="shared" si="6"/>
        <v>1116.1566325000001</v>
      </c>
      <c r="M137">
        <f>_xlfn.STDEV.S('R1'!L137,'R2'!L137,'R3'!L137)</f>
        <v>1.0437813200235875E-2</v>
      </c>
      <c r="N137">
        <f>_xlfn.STDEV.S('R1'!M137,'R2'!M137,'R3'!M137)</f>
        <v>1.3313376693761002E-2</v>
      </c>
      <c r="O137">
        <f>_xlfn.STDEV.S('R1'!N137,'R2'!N137,'R3'!N137)</f>
        <v>2.0286978646701842E-2</v>
      </c>
      <c r="P137">
        <f>_xlfn.STDEV.S('R1'!O137,'R2'!O137,'R3'!O137)</f>
        <v>3.4345867303501765E-3</v>
      </c>
    </row>
    <row r="138" spans="1:16" x14ac:dyDescent="0.25">
      <c r="A138">
        <f>AVERAGE('R1'!F138,'R2'!F138,'R3'!F138)</f>
        <v>0.11372216666666667</v>
      </c>
      <c r="B138">
        <f>AVERAGE('R1'!G138,'R2'!G138,'R3'!G138)</f>
        <v>19.141771083333335</v>
      </c>
      <c r="C138">
        <f>-'R1'!H138</f>
        <v>8</v>
      </c>
      <c r="D138">
        <f>DEGREES(ATAN(-SIN(RADIANS(('R1'!I138)))/(COS(RADIANS(Sheet1!C138))*COS(RADIANS('R1'!I138)))))</f>
        <v>24.208883875277589</v>
      </c>
      <c r="E138">
        <f>AVERAGE('R1'!J138,'R2'!J138,'R3'!J138)</f>
        <v>1.17</v>
      </c>
      <c r="F138">
        <f>AVERAGE('R1'!K138,'R2'!K138,'R3'!K138)</f>
        <v>5.6991615833333329</v>
      </c>
      <c r="G138">
        <f>AVERAGE('R1'!L138,'R2'!L138,'R3'!L138)</f>
        <v>1.4364082624502483</v>
      </c>
      <c r="H138">
        <f>AVERAGE('R1'!M138,'R2'!M138,'R3'!M138)</f>
        <v>-0.58275522867537932</v>
      </c>
      <c r="I138">
        <f>AVERAGE('R1'!N138,'R2'!N138,'R3'!N138)</f>
        <v>-0.33596987867033157</v>
      </c>
      <c r="J138">
        <f>AVERAGE('R1'!O138,'R2'!O138,'R3'!O138)</f>
        <v>0.12999137740882349</v>
      </c>
      <c r="K138">
        <f t="shared" si="6"/>
        <v>1111.3365087499999</v>
      </c>
      <c r="M138">
        <f>_xlfn.STDEV.S('R1'!L138,'R2'!L138,'R3'!L138)</f>
        <v>5.0963205539080502E-3</v>
      </c>
      <c r="N138">
        <f>_xlfn.STDEV.S('R1'!M138,'R2'!M138,'R3'!M138)</f>
        <v>3.2071692457457126E-3</v>
      </c>
      <c r="O138">
        <f>_xlfn.STDEV.S('R1'!N138,'R2'!N138,'R3'!N138)</f>
        <v>8.6618221771334013E-3</v>
      </c>
      <c r="P138">
        <f>_xlfn.STDEV.S('R1'!O138,'R2'!O138,'R3'!O138)</f>
        <v>1.124941284733387E-2</v>
      </c>
    </row>
    <row r="139" spans="1:16" x14ac:dyDescent="0.25">
      <c r="A139">
        <f>AVERAGE('R1'!F139,'R2'!F139,'R3'!F139)</f>
        <v>3.2550333333333327E-2</v>
      </c>
      <c r="B139">
        <f>AVERAGE('R1'!G139,'R2'!G139,'R3'!G139)</f>
        <v>18.98202225</v>
      </c>
      <c r="C139">
        <f>-'R1'!H139</f>
        <v>8</v>
      </c>
      <c r="D139">
        <f>DEGREES(ATAN(-SIN(RADIANS(('R1'!I139)))/(COS(RADIANS(Sheet1!C139))*COS(RADIANS('R1'!I139)))))</f>
        <v>20.180761513231211</v>
      </c>
      <c r="E139">
        <f>AVERAGE('R1'!J139,'R2'!J139,'R3'!J139)</f>
        <v>1.1675</v>
      </c>
      <c r="F139">
        <f>AVERAGE('R1'!K139,'R2'!K139,'R3'!K139)</f>
        <v>5.6954166666666666</v>
      </c>
      <c r="G139">
        <f>AVERAGE('R1'!L139,'R2'!L139,'R3'!L139)</f>
        <v>1.2286550264871887</v>
      </c>
      <c r="H139">
        <f>AVERAGE('R1'!M139,'R2'!M139,'R3'!M139)</f>
        <v>-0.57424330870864126</v>
      </c>
      <c r="I139">
        <f>AVERAGE('R1'!N139,'R2'!N139,'R3'!N139)</f>
        <v>-0.21179063376697579</v>
      </c>
      <c r="J139">
        <f>AVERAGE('R1'!O139,'R2'!O139,'R3'!O139)</f>
        <v>0.27875763072189752</v>
      </c>
      <c r="K139">
        <f t="shared" si="6"/>
        <v>1108.2331597222224</v>
      </c>
      <c r="M139">
        <f>_xlfn.STDEV.S('R1'!L139,'R2'!L139,'R3'!L139)</f>
        <v>1.0019334141302684E-2</v>
      </c>
      <c r="N139">
        <f>_xlfn.STDEV.S('R1'!M139,'R2'!M139,'R3'!M139)</f>
        <v>5.6304110823753549E-3</v>
      </c>
      <c r="O139">
        <f>_xlfn.STDEV.S('R1'!N139,'R2'!N139,'R3'!N139)</f>
        <v>1.5853602983646561E-2</v>
      </c>
      <c r="P139">
        <f>_xlfn.STDEV.S('R1'!O139,'R2'!O139,'R3'!O139)</f>
        <v>8.290763261144125E-3</v>
      </c>
    </row>
    <row r="140" spans="1:16" x14ac:dyDescent="0.25">
      <c r="A140">
        <f>AVERAGE('R1'!F140,'R2'!F140,'R3'!F140)</f>
        <v>0.11376116666666665</v>
      </c>
      <c r="B140">
        <f>AVERAGE('R1'!G140,'R2'!G140,'R3'!G140)</f>
        <v>18.754869083333332</v>
      </c>
      <c r="C140">
        <f>-'R1'!H140</f>
        <v>8</v>
      </c>
      <c r="D140">
        <f>DEGREES(ATAN(-SIN(RADIANS(('R1'!I140)))/(COS(RADIANS(Sheet1!C140))*COS(RADIANS('R1'!I140)))))</f>
        <v>16.149081403494897</v>
      </c>
      <c r="E140">
        <f>AVERAGE('R1'!J140,'R2'!J140,'R3'!J140)</f>
        <v>1.1683333333333332</v>
      </c>
      <c r="F140">
        <f>AVERAGE('R1'!K140,'R2'!K140,'R3'!K140)</f>
        <v>5.6473620833333342</v>
      </c>
      <c r="G140">
        <f>AVERAGE('R1'!L140,'R2'!L140,'R3'!L140)</f>
        <v>1.0196919713075825</v>
      </c>
      <c r="H140">
        <f>AVERAGE('R1'!M140,'R2'!M140,'R3'!M140)</f>
        <v>-0.58323659507062575</v>
      </c>
      <c r="I140">
        <f>AVERAGE('R1'!N140,'R2'!N140,'R3'!N140)</f>
        <v>-0.12238102502789154</v>
      </c>
      <c r="J140">
        <f>AVERAGE('R1'!O140,'R2'!O140,'R3'!O140)</f>
        <v>0.4199040849921391</v>
      </c>
      <c r="K140">
        <f t="shared" si="6"/>
        <v>1099.6668945601853</v>
      </c>
      <c r="M140">
        <f>_xlfn.STDEV.S('R1'!L140,'R2'!L140,'R3'!L140)</f>
        <v>5.9142756084212484E-3</v>
      </c>
      <c r="N140">
        <f>_xlfn.STDEV.S('R1'!M140,'R2'!M140,'R3'!M140)</f>
        <v>9.6726598500177976E-3</v>
      </c>
      <c r="O140">
        <f>_xlfn.STDEV.S('R1'!N140,'R2'!N140,'R3'!N140)</f>
        <v>1.7807731343020897E-2</v>
      </c>
      <c r="P140">
        <f>_xlfn.STDEV.S('R1'!O140,'R2'!O140,'R3'!O140)</f>
        <v>1.7989211852792054E-2</v>
      </c>
    </row>
    <row r="141" spans="1:16" x14ac:dyDescent="0.25">
      <c r="A141">
        <f>AVERAGE('R1'!F141,'R2'!F141,'R3'!F141)</f>
        <v>9.7479999999999997E-2</v>
      </c>
      <c r="B141">
        <f>AVERAGE('R1'!G141,'R2'!G141,'R3'!G141)</f>
        <v>18.902693500000002</v>
      </c>
      <c r="C141">
        <f>-'R1'!H141</f>
        <v>8</v>
      </c>
      <c r="D141">
        <f>DEGREES(ATAN(-SIN(RADIANS(('R1'!I141)))/(COS(RADIANS(Sheet1!C141))*COS(RADIANS('R1'!I141)))))</f>
        <v>12.114463536188838</v>
      </c>
      <c r="E141">
        <f>AVERAGE('R1'!J141,'R2'!J141,'R3'!J141)</f>
        <v>1.17</v>
      </c>
      <c r="F141">
        <f>AVERAGE('R1'!K141,'R2'!K141,'R3'!K141)</f>
        <v>5.666918083333333</v>
      </c>
      <c r="G141">
        <f>AVERAGE('R1'!L141,'R2'!L141,'R3'!L141)</f>
        <v>0.79741661896642346</v>
      </c>
      <c r="H141">
        <f>AVERAGE('R1'!M141,'R2'!M141,'R3'!M141)</f>
        <v>-0.59647527573054893</v>
      </c>
      <c r="I141">
        <f>AVERAGE('R1'!N141,'R2'!N141,'R3'!N141)</f>
        <v>-4.5868931569971773E-2</v>
      </c>
      <c r="J141">
        <f>AVERAGE('R1'!O141,'R2'!O141,'R3'!O141)</f>
        <v>0.56203576045484627</v>
      </c>
      <c r="K141">
        <f t="shared" si="6"/>
        <v>1105.0490262499998</v>
      </c>
      <c r="M141">
        <f>_xlfn.STDEV.S('R1'!L141,'R2'!L141,'R3'!L141)</f>
        <v>5.4545577728645723E-3</v>
      </c>
      <c r="N141">
        <f>_xlfn.STDEV.S('R1'!M141,'R2'!M141,'R3'!M141)</f>
        <v>5.2200096333931299E-3</v>
      </c>
      <c r="O141">
        <f>_xlfn.STDEV.S('R1'!N141,'R2'!N141,'R3'!N141)</f>
        <v>1.721475389938661E-2</v>
      </c>
      <c r="P141">
        <f>_xlfn.STDEV.S('R1'!O141,'R2'!O141,'R3'!O141)</f>
        <v>7.5071075559142069E-3</v>
      </c>
    </row>
    <row r="142" spans="1:16" x14ac:dyDescent="0.25">
      <c r="A142">
        <f>AVERAGE('R1'!F142,'R2'!F142,'R3'!F142)</f>
        <v>0.11372216666666667</v>
      </c>
      <c r="B142">
        <f>AVERAGE('R1'!G142,'R2'!G142,'R3'!G142)</f>
        <v>19.088762750000001</v>
      </c>
      <c r="C142">
        <f>-'R1'!H142</f>
        <v>8</v>
      </c>
      <c r="D142">
        <f>DEGREES(ATAN(-SIN(RADIANS(('R1'!I142)))/(COS(RADIANS(Sheet1!C142))*COS(RADIANS('R1'!I142)))))</f>
        <v>8.0775879081011936</v>
      </c>
      <c r="E142">
        <f>AVERAGE('R1'!J142,'R2'!J142,'R3'!J142)</f>
        <v>1.1683333333333332</v>
      </c>
      <c r="F142">
        <f>AVERAGE('R1'!K142,'R2'!K142,'R3'!K142)</f>
        <v>5.6957456666666673</v>
      </c>
      <c r="G142">
        <f>AVERAGE('R1'!L142,'R2'!L142,'R3'!L142)</f>
        <v>0.55532174147181468</v>
      </c>
      <c r="H142">
        <f>AVERAGE('R1'!M142,'R2'!M142,'R3'!M142)</f>
        <v>-0.62950820131985463</v>
      </c>
      <c r="I142">
        <f>AVERAGE('R1'!N142,'R2'!N142,'R3'!N142)</f>
        <v>-1.1535238341234958E-2</v>
      </c>
      <c r="J142">
        <f>AVERAGE('R1'!O142,'R2'!O142,'R3'!O142)</f>
        <v>0.70099054307769437</v>
      </c>
      <c r="K142">
        <f t="shared" si="6"/>
        <v>1109.088253425926</v>
      </c>
      <c r="M142">
        <f>_xlfn.STDEV.S('R1'!L142,'R2'!L142,'R3'!L142)</f>
        <v>7.3497332435133482E-3</v>
      </c>
      <c r="N142">
        <f>_xlfn.STDEV.S('R1'!M142,'R2'!M142,'R3'!M142)</f>
        <v>8.5212467364440027E-3</v>
      </c>
      <c r="O142">
        <f>_xlfn.STDEV.S('R1'!N142,'R2'!N142,'R3'!N142)</f>
        <v>2.2697691300177295E-2</v>
      </c>
      <c r="P142">
        <f>_xlfn.STDEV.S('R1'!O142,'R2'!O142,'R3'!O142)</f>
        <v>1.113667232595642E-2</v>
      </c>
    </row>
    <row r="143" spans="1:16" x14ac:dyDescent="0.25">
      <c r="A143">
        <f>AVERAGE('R1'!F143,'R2'!F143,'R3'!F143)</f>
        <v>9.7479999999999997E-2</v>
      </c>
      <c r="B143">
        <f>AVERAGE('R1'!G143,'R2'!G143,'R3'!G143)</f>
        <v>19.421855416666666</v>
      </c>
      <c r="C143">
        <f>-'R1'!H143</f>
        <v>8</v>
      </c>
      <c r="D143">
        <f>DEGREES(ATAN(-SIN(RADIANS(('R1'!I143)))/(COS(RADIANS(Sheet1!C143))*COS(RADIANS('R1'!I143)))))</f>
        <v>4.0391808057079874</v>
      </c>
      <c r="E143">
        <f>AVERAGE('R1'!J143,'R2'!J143,'R3'!J143)</f>
        <v>1.17</v>
      </c>
      <c r="F143">
        <f>AVERAGE('R1'!K143,'R2'!K143,'R3'!K143)</f>
        <v>5.7435624166666663</v>
      </c>
      <c r="G143">
        <f>AVERAGE('R1'!L143,'R2'!L143,'R3'!L143)</f>
        <v>0.26921468701742018</v>
      </c>
      <c r="H143">
        <f>AVERAGE('R1'!M143,'R2'!M143,'R3'!M143)</f>
        <v>-0.67158671794874891</v>
      </c>
      <c r="I143">
        <f>AVERAGE('R1'!N143,'R2'!N143,'R3'!N143)</f>
        <v>1.4804130791515579E-2</v>
      </c>
      <c r="J143">
        <f>AVERAGE('R1'!O143,'R2'!O143,'R3'!O143)</f>
        <v>0.86622817261011187</v>
      </c>
      <c r="K143">
        <f t="shared" si="6"/>
        <v>1119.9946712499998</v>
      </c>
      <c r="M143">
        <f>_xlfn.STDEV.S('R1'!L143,'R2'!L143,'R3'!L143)</f>
        <v>3.9539208936894867E-3</v>
      </c>
      <c r="N143">
        <f>_xlfn.STDEV.S('R1'!M143,'R2'!M143,'R3'!M143)</f>
        <v>5.1634470404399117E-3</v>
      </c>
      <c r="O143">
        <f>_xlfn.STDEV.S('R1'!N143,'R2'!N143,'R3'!N143)</f>
        <v>2.1847515635455079E-2</v>
      </c>
      <c r="P143">
        <f>_xlfn.STDEV.S('R1'!O143,'R2'!O143,'R3'!O143)</f>
        <v>1.6342011618305605E-2</v>
      </c>
    </row>
    <row r="144" spans="1:16" x14ac:dyDescent="0.25">
      <c r="A144">
        <f>AVERAGE('R1'!F144,'R2'!F144,'R3'!F144)</f>
        <v>0.12996433333333332</v>
      </c>
      <c r="B144">
        <f>AVERAGE('R1'!G144,'R2'!G144,'R3'!G144)</f>
        <v>19.862424666666669</v>
      </c>
      <c r="C144">
        <f>-'R1'!H144</f>
        <v>8</v>
      </c>
      <c r="D144">
        <f>DEGREES(ATAN(-SIN(RADIANS(('R1'!I144)))/(COS(RADIANS(Sheet1!C144))*COS(RADIANS('R1'!I144)))))</f>
        <v>0</v>
      </c>
      <c r="E144">
        <f>AVERAGE('R1'!J144,'R2'!J144,'R3'!J144)</f>
        <v>1.17</v>
      </c>
      <c r="F144">
        <f>AVERAGE('R1'!K144,'R2'!K144,'R3'!K144)</f>
        <v>5.8039495833333339</v>
      </c>
      <c r="G144">
        <f>AVERAGE('R1'!L144,'R2'!L144,'R3'!L144)</f>
        <v>-5.7117048779599555E-2</v>
      </c>
      <c r="H144">
        <f>AVERAGE('R1'!M144,'R2'!M144,'R3'!M144)</f>
        <v>-0.70425630694473318</v>
      </c>
      <c r="I144">
        <f>AVERAGE('R1'!N144,'R2'!N144,'R3'!N144)</f>
        <v>2.1682363001252179E-2</v>
      </c>
      <c r="J144">
        <f>AVERAGE('R1'!O144,'R2'!O144,'R3'!O144)</f>
        <v>0.97780560132293404</v>
      </c>
      <c r="K144">
        <f t="shared" si="6"/>
        <v>1131.77016875</v>
      </c>
      <c r="M144">
        <f>_xlfn.STDEV.S('R1'!L144,'R2'!L144,'R3'!L144)</f>
        <v>1.4419644133134044E-2</v>
      </c>
      <c r="N144">
        <f>_xlfn.STDEV.S('R1'!M144,'R2'!M144,'R3'!M144)</f>
        <v>5.1464272957445533E-3</v>
      </c>
      <c r="O144">
        <f>_xlfn.STDEV.S('R1'!N144,'R2'!N144,'R3'!N144)</f>
        <v>1.9340970825966614E-2</v>
      </c>
      <c r="P144">
        <f>_xlfn.STDEV.S('R1'!O144,'R2'!O144,'R3'!O144)</f>
        <v>1.3128656361585627E-2</v>
      </c>
    </row>
    <row r="145" spans="1:16" x14ac:dyDescent="0.25">
      <c r="A145">
        <f>AVERAGE('R1'!F145,'R2'!F145,'R3'!F145)</f>
        <v>0.11372216666666667</v>
      </c>
      <c r="B145">
        <f>AVERAGE('R1'!G145,'R2'!G145,'R3'!G145)</f>
        <v>20.089200999999999</v>
      </c>
      <c r="C145">
        <f>-'R1'!H145</f>
        <v>8</v>
      </c>
      <c r="D145">
        <f>DEGREES(ATAN(-SIN(RADIANS(('R1'!I145)))/(COS(RADIANS(Sheet1!C145))*COS(RADIANS('R1'!I145)))))</f>
        <v>-4.0391808057079874</v>
      </c>
      <c r="E145">
        <f>AVERAGE('R1'!J145,'R2'!J145,'R3'!J145)</f>
        <v>1.1675</v>
      </c>
      <c r="F145">
        <f>AVERAGE('R1'!K145,'R2'!K145,'R3'!K145)</f>
        <v>5.8460040833333338</v>
      </c>
      <c r="G145">
        <f>AVERAGE('R1'!L145,'R2'!L145,'R3'!L145)</f>
        <v>-0.37471207749644747</v>
      </c>
      <c r="H145">
        <f>AVERAGE('R1'!M145,'R2'!M145,'R3'!M145)</f>
        <v>-0.63758865259856246</v>
      </c>
      <c r="I145">
        <f>AVERAGE('R1'!N145,'R2'!N145,'R3'!N145)</f>
        <v>1.1612110717271683E-2</v>
      </c>
      <c r="J145">
        <f>AVERAGE('R1'!O145,'R2'!O145,'R3'!O145)</f>
        <v>0.8220921054931839</v>
      </c>
      <c r="K145">
        <f t="shared" si="6"/>
        <v>1137.5349612152779</v>
      </c>
      <c r="M145">
        <f>_xlfn.STDEV.S('R1'!L145,'R2'!L145,'R3'!L145)</f>
        <v>4.5606287733469149E-3</v>
      </c>
      <c r="N145">
        <f>_xlfn.STDEV.S('R1'!M145,'R2'!M145,'R3'!M145)</f>
        <v>6.341646468625106E-3</v>
      </c>
      <c r="O145">
        <f>_xlfn.STDEV.S('R1'!N145,'R2'!N145,'R3'!N145)</f>
        <v>2.1413027638639493E-2</v>
      </c>
      <c r="P145">
        <f>_xlfn.STDEV.S('R1'!O145,'R2'!O145,'R3'!O145)</f>
        <v>1.4308554672300501E-2</v>
      </c>
    </row>
    <row r="146" spans="1:16" x14ac:dyDescent="0.25">
      <c r="A146">
        <f>AVERAGE('R1'!F146,'R2'!F146,'R3'!F146)</f>
        <v>0.12996433333333332</v>
      </c>
      <c r="B146">
        <f>AVERAGE('R1'!G146,'R2'!G146,'R3'!G146)</f>
        <v>20.422309583333334</v>
      </c>
      <c r="C146">
        <f>-'R1'!H146</f>
        <v>8</v>
      </c>
      <c r="D146">
        <f>DEGREES(ATAN(-SIN(RADIANS(('R1'!I146)))/(COS(RADIANS(Sheet1!C146))*COS(RADIANS('R1'!I146)))))</f>
        <v>-8.0775879081011936</v>
      </c>
      <c r="E146">
        <f>AVERAGE('R1'!J146,'R2'!J146,'R3'!J146)</f>
        <v>1.1675</v>
      </c>
      <c r="F146">
        <f>AVERAGE('R1'!K146,'R2'!K146,'R3'!K146)</f>
        <v>5.8922875833333324</v>
      </c>
      <c r="G146">
        <f>AVERAGE('R1'!L146,'R2'!L146,'R3'!L146)</f>
        <v>-0.64160605927057945</v>
      </c>
      <c r="H146">
        <f>AVERAGE('R1'!M146,'R2'!M146,'R3'!M146)</f>
        <v>-0.57765925903965176</v>
      </c>
      <c r="I146">
        <f>AVERAGE('R1'!N146,'R2'!N146,'R3'!N146)</f>
        <v>-1.7283770793606254E-2</v>
      </c>
      <c r="J146">
        <f>AVERAGE('R1'!O146,'R2'!O146,'R3'!O146)</f>
        <v>0.68087366956683881</v>
      </c>
      <c r="K146">
        <f t="shared" si="6"/>
        <v>1146.540958923611</v>
      </c>
      <c r="M146">
        <f>_xlfn.STDEV.S('R1'!L146,'R2'!L146,'R3'!L146)</f>
        <v>1.4382984111503851E-2</v>
      </c>
      <c r="N146">
        <f>_xlfn.STDEV.S('R1'!M146,'R2'!M146,'R3'!M146)</f>
        <v>2.3940942977660313E-3</v>
      </c>
      <c r="O146">
        <f>_xlfn.STDEV.S('R1'!N146,'R2'!N146,'R3'!N146)</f>
        <v>1.6999049862380444E-2</v>
      </c>
      <c r="P146">
        <f>_xlfn.STDEV.S('R1'!O146,'R2'!O146,'R3'!O146)</f>
        <v>1.087110142951163E-2</v>
      </c>
    </row>
    <row r="147" spans="1:16" x14ac:dyDescent="0.25">
      <c r="A147">
        <f>AVERAGE('R1'!F147,'R2'!F147,'R3'!F147)</f>
        <v>0.12996433333333332</v>
      </c>
      <c r="B147">
        <f>AVERAGE('R1'!G147,'R2'!G147,'R3'!G147)</f>
        <v>20.689474583333332</v>
      </c>
      <c r="C147">
        <f>-'R1'!H147</f>
        <v>8</v>
      </c>
      <c r="D147">
        <f>DEGREES(ATAN(-SIN(RADIANS(('R1'!I147)))/(COS(RADIANS(Sheet1!C147))*COS(RADIANS('R1'!I147)))))</f>
        <v>-12.114463536188838</v>
      </c>
      <c r="E147">
        <f>AVERAGE('R1'!J147,'R2'!J147,'R3'!J147)</f>
        <v>1.17</v>
      </c>
      <c r="F147">
        <f>AVERAGE('R1'!K147,'R2'!K147,'R3'!K147)</f>
        <v>5.9242205833333328</v>
      </c>
      <c r="G147">
        <f>AVERAGE('R1'!L147,'R2'!L147,'R3'!L147)</f>
        <v>-0.88094156064158335</v>
      </c>
      <c r="H147">
        <f>AVERAGE('R1'!M147,'R2'!M147,'R3'!M147)</f>
        <v>-0.5429162175737221</v>
      </c>
      <c r="I147">
        <f>AVERAGE('R1'!N147,'R2'!N147,'R3'!N147)</f>
        <v>-7.2828163568660051E-2</v>
      </c>
      <c r="J147">
        <f>AVERAGE('R1'!O147,'R2'!O147,'R3'!O147)</f>
        <v>0.55176182859429324</v>
      </c>
      <c r="K147">
        <f t="shared" si="6"/>
        <v>1155.2230137499996</v>
      </c>
      <c r="M147">
        <f>_xlfn.STDEV.S('R1'!L147,'R2'!L147,'R3'!L147)</f>
        <v>6.5140478129548408E-3</v>
      </c>
      <c r="N147">
        <f>_xlfn.STDEV.S('R1'!M147,'R2'!M147,'R3'!M147)</f>
        <v>7.3320858001712065E-3</v>
      </c>
      <c r="O147">
        <f>_xlfn.STDEV.S('R1'!N147,'R2'!N147,'R3'!N147)</f>
        <v>1.4564863985611173E-2</v>
      </c>
      <c r="P147">
        <f>_xlfn.STDEV.S('R1'!O147,'R2'!O147,'R3'!O147)</f>
        <v>9.0925654585992076E-3</v>
      </c>
    </row>
    <row r="148" spans="1:16" x14ac:dyDescent="0.25">
      <c r="A148">
        <f>AVERAGE('R1'!F148,'R2'!F148,'R3'!F148)</f>
        <v>0.11372216666666667</v>
      </c>
      <c r="B148">
        <f>AVERAGE('R1'!G148,'R2'!G148,'R3'!G148)</f>
        <v>20.543150583333333</v>
      </c>
      <c r="C148">
        <f>-'R1'!H148</f>
        <v>8</v>
      </c>
      <c r="D148">
        <f>DEGREES(ATAN(-SIN(RADIANS(('R1'!I148)))/(COS(RADIANS(Sheet1!C148))*COS(RADIANS('R1'!I148)))))</f>
        <v>-16.149081403494897</v>
      </c>
      <c r="E148">
        <f>AVERAGE('R1'!J148,'R2'!J148,'R3'!J148)</f>
        <v>1.17</v>
      </c>
      <c r="F148">
        <f>AVERAGE('R1'!K148,'R2'!K148,'R3'!K148)</f>
        <v>5.9039878333333329</v>
      </c>
      <c r="G148">
        <f>AVERAGE('R1'!L148,'R2'!L148,'R3'!L148)</f>
        <v>-1.1051329713044444</v>
      </c>
      <c r="H148">
        <f>AVERAGE('R1'!M148,'R2'!M148,'R3'!M148)</f>
        <v>-0.51351750640085225</v>
      </c>
      <c r="I148">
        <f>AVERAGE('R1'!N148,'R2'!N148,'R3'!N148)</f>
        <v>-0.15101354790397747</v>
      </c>
      <c r="J148">
        <f>AVERAGE('R1'!O148,'R2'!O148,'R3'!O148)</f>
        <v>0.41786084831841003</v>
      </c>
      <c r="K148">
        <f t="shared" si="6"/>
        <v>1151.2776274999999</v>
      </c>
      <c r="M148">
        <f>_xlfn.STDEV.S('R1'!L148,'R2'!L148,'R3'!L148)</f>
        <v>9.0539290779569903E-3</v>
      </c>
      <c r="N148">
        <f>_xlfn.STDEV.S('R1'!M148,'R2'!M148,'R3'!M148)</f>
        <v>8.4672878044050686E-4</v>
      </c>
      <c r="O148">
        <f>_xlfn.STDEV.S('R1'!N148,'R2'!N148,'R3'!N148)</f>
        <v>1.5761659560562427E-2</v>
      </c>
      <c r="P148">
        <f>_xlfn.STDEV.S('R1'!O148,'R2'!O148,'R3'!O148)</f>
        <v>1.3433817159942539E-2</v>
      </c>
    </row>
    <row r="149" spans="1:16" x14ac:dyDescent="0.25">
      <c r="A149">
        <f>AVERAGE('R1'!F149,'R2'!F149,'R3'!F149)</f>
        <v>9.7479999999999997E-2</v>
      </c>
      <c r="B149">
        <f>AVERAGE('R1'!G149,'R2'!G149,'R3'!G149)</f>
        <v>20.235554</v>
      </c>
      <c r="C149">
        <f>-'R1'!H149</f>
        <v>8</v>
      </c>
      <c r="D149">
        <f>DEGREES(ATAN(-SIN(RADIANS(('R1'!I149)))/(COS(RADIANS(Sheet1!C149))*COS(RADIANS('R1'!I149)))))</f>
        <v>-20.180761513231211</v>
      </c>
      <c r="E149">
        <f>AVERAGE('R1'!J149,'R2'!J149,'R3'!J149)</f>
        <v>1.17</v>
      </c>
      <c r="F149">
        <f>AVERAGE('R1'!K149,'R2'!K149,'R3'!K149)</f>
        <v>5.8630335833333334</v>
      </c>
      <c r="G149">
        <f>AVERAGE('R1'!L149,'R2'!L149,'R3'!L149)</f>
        <v>-1.3451730935967052</v>
      </c>
      <c r="H149">
        <f>AVERAGE('R1'!M149,'R2'!M149,'R3'!M149)</f>
        <v>-0.51833121393483783</v>
      </c>
      <c r="I149">
        <f>AVERAGE('R1'!N149,'R2'!N149,'R3'!N149)</f>
        <v>-0.28043369337683316</v>
      </c>
      <c r="J149">
        <f>AVERAGE('R1'!O149,'R2'!O149,'R3'!O149)</f>
        <v>0.27431121350003179</v>
      </c>
      <c r="K149">
        <f t="shared" si="6"/>
        <v>1143.2915487500002</v>
      </c>
      <c r="M149">
        <f>_xlfn.STDEV.S('R1'!L149,'R2'!L149,'R3'!L149)</f>
        <v>5.0276266732621373E-3</v>
      </c>
      <c r="N149">
        <f>_xlfn.STDEV.S('R1'!M149,'R2'!M149,'R3'!M149)</f>
        <v>1.577166484963304E-3</v>
      </c>
      <c r="O149">
        <f>_xlfn.STDEV.S('R1'!N149,'R2'!N149,'R3'!N149)</f>
        <v>8.1309716168754455E-3</v>
      </c>
      <c r="P149">
        <f>_xlfn.STDEV.S('R1'!O149,'R2'!O149,'R3'!O149)</f>
        <v>5.5607803773142193E-3</v>
      </c>
    </row>
    <row r="150" spans="1:16" x14ac:dyDescent="0.25">
      <c r="A150">
        <f>AVERAGE('R1'!F150,'R2'!F150,'R3'!F150)</f>
        <v>0.11372216666666667</v>
      </c>
      <c r="B150">
        <f>AVERAGE('R1'!G150,'R2'!G150,'R3'!G150)</f>
        <v>20.009125333333333</v>
      </c>
      <c r="C150">
        <f>-'R1'!H150</f>
        <v>8</v>
      </c>
      <c r="D150">
        <f>DEGREES(ATAN(-SIN(RADIANS(('R1'!I150)))/(COS(RADIANS(Sheet1!C150))*COS(RADIANS('R1'!I150)))))</f>
        <v>-24.208883875277589</v>
      </c>
      <c r="E150">
        <f>AVERAGE('R1'!J150,'R2'!J150,'R3'!J150)</f>
        <v>1.17</v>
      </c>
      <c r="F150">
        <f>AVERAGE('R1'!K150,'R2'!K150,'R3'!K150)</f>
        <v>5.827140916666667</v>
      </c>
      <c r="G150">
        <f>AVERAGE('R1'!L150,'R2'!L150,'R3'!L150)</f>
        <v>-1.6142052332010677</v>
      </c>
      <c r="H150">
        <f>AVERAGE('R1'!M150,'R2'!M150,'R3'!M150)</f>
        <v>-0.55007810905957311</v>
      </c>
      <c r="I150">
        <f>AVERAGE('R1'!N150,'R2'!N150,'R3'!N150)</f>
        <v>-0.46216579557520343</v>
      </c>
      <c r="J150">
        <f>AVERAGE('R1'!O150,'R2'!O150,'R3'!O150)</f>
        <v>0.11091723537526472</v>
      </c>
      <c r="K150">
        <f t="shared" si="6"/>
        <v>1136.2924787500001</v>
      </c>
      <c r="M150">
        <f>_xlfn.STDEV.S('R1'!L150,'R2'!L150,'R3'!L150)</f>
        <v>1.4949327402713323E-2</v>
      </c>
      <c r="N150">
        <f>_xlfn.STDEV.S('R1'!M150,'R2'!M150,'R3'!M150)</f>
        <v>1.6095851449361442E-3</v>
      </c>
      <c r="O150">
        <f>_xlfn.STDEV.S('R1'!N150,'R2'!N150,'R3'!N150)</f>
        <v>1.7995974321955682E-2</v>
      </c>
      <c r="P150">
        <f>_xlfn.STDEV.S('R1'!O150,'R2'!O150,'R3'!O150)</f>
        <v>4.7216887131897624E-3</v>
      </c>
    </row>
    <row r="151" spans="1:16" x14ac:dyDescent="0.25">
      <c r="A151">
        <f>AVERAGE('R1'!F151,'R2'!F151,'R3'!F151)</f>
        <v>0.12996433333333332</v>
      </c>
      <c r="B151">
        <f>AVERAGE('R1'!G151,'R2'!G151,'R3'!G151)</f>
        <v>19.809082666666665</v>
      </c>
      <c r="C151">
        <f>-'R1'!H151</f>
        <v>8</v>
      </c>
      <c r="D151">
        <f>DEGREES(ATAN(-SIN(RADIANS(('R1'!I151)))/(COS(RADIANS(Sheet1!C151))*COS(RADIANS('R1'!I151)))))</f>
        <v>-28.23290083045832</v>
      </c>
      <c r="E151">
        <f>AVERAGE('R1'!J151,'R2'!J151,'R3'!J151)</f>
        <v>1.17</v>
      </c>
      <c r="F151">
        <f>AVERAGE('R1'!K151,'R2'!K151,'R3'!K151)</f>
        <v>5.79561175</v>
      </c>
      <c r="G151">
        <f>AVERAGE('R1'!L151,'R2'!L151,'R3'!L151)</f>
        <v>-1.9401524070641383</v>
      </c>
      <c r="H151">
        <f>AVERAGE('R1'!M151,'R2'!M151,'R3'!M151)</f>
        <v>-0.59674210657180515</v>
      </c>
      <c r="I151">
        <f>AVERAGE('R1'!N151,'R2'!N151,'R3'!N151)</f>
        <v>-0.71832710495055085</v>
      </c>
      <c r="J151">
        <f>AVERAGE('R1'!O151,'R2'!O151,'R3'!O151)</f>
        <v>-7.134221546114411E-2</v>
      </c>
      <c r="K151">
        <f t="shared" si="6"/>
        <v>1130.1442912499999</v>
      </c>
      <c r="M151">
        <f>_xlfn.STDEV.S('R1'!L151,'R2'!L151,'R3'!L151)</f>
        <v>1.8119588803131238E-2</v>
      </c>
      <c r="N151">
        <f>_xlfn.STDEV.S('R1'!M151,'R2'!M151,'R3'!M151)</f>
        <v>9.0338233160592238E-3</v>
      </c>
      <c r="O151">
        <f>_xlfn.STDEV.S('R1'!N151,'R2'!N151,'R3'!N151)</f>
        <v>1.9519315306453414E-2</v>
      </c>
      <c r="P151">
        <f>_xlfn.STDEV.S('R1'!O151,'R2'!O151,'R3'!O151)</f>
        <v>7.3511981138733697E-3</v>
      </c>
    </row>
    <row r="152" spans="1:16" x14ac:dyDescent="0.25">
      <c r="A152">
        <f>AVERAGE('R1'!F152,'R2'!F152,'R3'!F152)</f>
        <v>9.7518999999999981E-2</v>
      </c>
      <c r="B152">
        <f>AVERAGE('R1'!G152,'R2'!G152,'R3'!G152)</f>
        <v>19.675275500000001</v>
      </c>
      <c r="C152">
        <f>-'R1'!H152</f>
        <v>8</v>
      </c>
      <c r="D152">
        <f>DEGREES(ATAN(-SIN(RADIANS(('R1'!I152)))/(COS(RADIANS(Sheet1!C152))*COS(RADIANS('R1'!I152)))))</f>
        <v>-32.252347723135095</v>
      </c>
      <c r="E152">
        <f>AVERAGE('R1'!J152,'R2'!J152,'R3'!J152)</f>
        <v>1.1691666666666667</v>
      </c>
      <c r="F152">
        <f>AVERAGE('R1'!K152,'R2'!K152,'R3'!K152)</f>
        <v>5.7824292499999999</v>
      </c>
      <c r="G152">
        <f>AVERAGE('R1'!L152,'R2'!L152,'R3'!L152)</f>
        <v>-2.3521016137790411</v>
      </c>
      <c r="H152">
        <f>AVERAGE('R1'!M152,'R2'!M152,'R3'!M152)</f>
        <v>-0.66560318724393575</v>
      </c>
      <c r="I152">
        <f>AVERAGE('R1'!N152,'R2'!N152,'R3'!N152)</f>
        <v>-1.0661233160549712</v>
      </c>
      <c r="J152">
        <f>AVERAGE('R1'!O152,'R2'!O152,'R3'!O152)</f>
        <v>-0.28647090428880068</v>
      </c>
      <c r="K152">
        <f t="shared" si="6"/>
        <v>1126.7705885763889</v>
      </c>
      <c r="M152">
        <f>_xlfn.STDEV.S('R1'!L152,'R2'!L152,'R3'!L152)</f>
        <v>3.185525191218861E-2</v>
      </c>
      <c r="N152">
        <f>_xlfn.STDEV.S('R1'!M152,'R2'!M152,'R3'!M152)</f>
        <v>8.7694773556679772E-3</v>
      </c>
      <c r="O152">
        <f>_xlfn.STDEV.S('R1'!N152,'R2'!N152,'R3'!N152)</f>
        <v>2.1535012605790823E-2</v>
      </c>
      <c r="P152">
        <f>_xlfn.STDEV.S('R1'!O152,'R2'!O152,'R3'!O152)</f>
        <v>7.5016012293948843E-3</v>
      </c>
    </row>
    <row r="153" spans="1:16" x14ac:dyDescent="0.25">
      <c r="A153">
        <f>AVERAGE('R1'!F153,'R2'!F153,'R3'!F153)</f>
        <v>0.12996433333333332</v>
      </c>
      <c r="B153">
        <f>AVERAGE('R1'!G153,'R2'!G153,'R3'!G153)</f>
        <v>19.3414535</v>
      </c>
      <c r="C153">
        <f>-'R1'!H153</f>
        <v>8</v>
      </c>
      <c r="D153">
        <f>DEGREES(ATAN(-SIN(RADIANS(('R1'!I153)))/(COS(RADIANS(Sheet1!C153))*COS(RADIANS('R1'!I153)))))</f>
        <v>-36.2668517150396</v>
      </c>
      <c r="E153">
        <f>AVERAGE('R1'!J153,'R2'!J153,'R3'!J153)</f>
        <v>1.1691666666666667</v>
      </c>
      <c r="F153">
        <f>AVERAGE('R1'!K153,'R2'!K153,'R3'!K153)</f>
        <v>5.7261573333333331</v>
      </c>
      <c r="G153">
        <f>AVERAGE('R1'!L153,'R2'!L153,'R3'!L153)</f>
        <v>-2.9245218521196592</v>
      </c>
      <c r="H153">
        <f>AVERAGE('R1'!M153,'R2'!M153,'R3'!M153)</f>
        <v>-0.7701486345708578</v>
      </c>
      <c r="I153">
        <f>AVERAGE('R1'!N153,'R2'!N153,'R3'!N153)</f>
        <v>-1.5755117408039094</v>
      </c>
      <c r="J153">
        <f>AVERAGE('R1'!O153,'R2'!O153,'R3'!O153)</f>
        <v>-0.56248532133453166</v>
      </c>
      <c r="K153">
        <f t="shared" si="6"/>
        <v>1115.8053803703704</v>
      </c>
      <c r="M153">
        <f>_xlfn.STDEV.S('R1'!L153,'R2'!L153,'R3'!L153)</f>
        <v>3.5131427565020738E-2</v>
      </c>
      <c r="N153">
        <f>_xlfn.STDEV.S('R1'!M153,'R2'!M153,'R3'!M153)</f>
        <v>2.1202422429803386E-3</v>
      </c>
      <c r="O153">
        <f>_xlfn.STDEV.S('R1'!N153,'R2'!N153,'R3'!N153)</f>
        <v>3.5419059155029999E-2</v>
      </c>
      <c r="P153">
        <f>_xlfn.STDEV.S('R1'!O153,'R2'!O153,'R3'!O153)</f>
        <v>2.9475931114691868E-3</v>
      </c>
    </row>
    <row r="154" spans="1:16" x14ac:dyDescent="0.25">
      <c r="A154">
        <f>AVERAGE('R1'!F154,'R2'!F154,'R3'!F154)</f>
        <v>0.12996433333333332</v>
      </c>
      <c r="B154">
        <f>AVERAGE('R1'!G154,'R2'!G154,'R3'!G154)</f>
        <v>19.193954666666666</v>
      </c>
      <c r="C154">
        <f>-'R1'!H154</f>
        <v>4</v>
      </c>
      <c r="D154">
        <f>DEGREES(ATAN(-SIN(RADIANS(('R1'!I154)))/(COS(RADIANS(Sheet1!C154))*COS(RADIANS('R1'!I154)))))</f>
        <v>36.066475262469574</v>
      </c>
      <c r="E154">
        <f>AVERAGE('R1'!J154,'R2'!J154,'R3'!J154)</f>
        <v>1.17</v>
      </c>
      <c r="F154">
        <f>AVERAGE('R1'!K154,'R2'!K154,'R3'!K154)</f>
        <v>5.7055067500000005</v>
      </c>
      <c r="G154">
        <f>AVERAGE('R1'!L154,'R2'!L154,'R3'!L154)</f>
        <v>2.3743225719735337</v>
      </c>
      <c r="H154">
        <f>AVERAGE('R1'!M154,'R2'!M154,'R3'!M154)</f>
        <v>-0.40222658523859717</v>
      </c>
      <c r="I154">
        <f>AVERAGE('R1'!N154,'R2'!N154,'R3'!N154)</f>
        <v>-0.98951639041003292</v>
      </c>
      <c r="J154">
        <f>AVERAGE('R1'!O154,'R2'!O154,'R3'!O154)</f>
        <v>-0.36238337930337594</v>
      </c>
      <c r="K154">
        <f t="shared" si="6"/>
        <v>1112.5738162500002</v>
      </c>
      <c r="M154">
        <f>_xlfn.STDEV.S('R1'!L154,'R2'!L154,'R3'!L154)</f>
        <v>1.6258486922973048E-2</v>
      </c>
      <c r="N154">
        <f>_xlfn.STDEV.S('R1'!M154,'R2'!M154,'R3'!M154)</f>
        <v>7.91825134418268E-3</v>
      </c>
      <c r="O154">
        <f>_xlfn.STDEV.S('R1'!N154,'R2'!N154,'R3'!N154)</f>
        <v>1.6861372286087015E-2</v>
      </c>
      <c r="P154">
        <f>_xlfn.STDEV.S('R1'!O154,'R2'!O154,'R3'!O154)</f>
        <v>8.7310113209752398E-3</v>
      </c>
    </row>
    <row r="155" spans="1:16" x14ac:dyDescent="0.25">
      <c r="A155">
        <f>AVERAGE('R1'!F155,'R2'!F155,'R3'!F155)</f>
        <v>9.7518999999999981E-2</v>
      </c>
      <c r="B155">
        <f>AVERAGE('R1'!G155,'R2'!G155,'R3'!G155)</f>
        <v>19.182103583333333</v>
      </c>
      <c r="C155">
        <f>-'R1'!H155</f>
        <v>4</v>
      </c>
      <c r="D155">
        <f>DEGREES(ATAN(-SIN(RADIANS(('R1'!I155)))/(COS(RADIANS(Sheet1!C155))*COS(RADIANS('R1'!I155)))))</f>
        <v>32.062832231023428</v>
      </c>
      <c r="E155">
        <f>AVERAGE('R1'!J155,'R2'!J155,'R3'!J155)</f>
        <v>1.1691666666666667</v>
      </c>
      <c r="F155">
        <f>AVERAGE('R1'!K155,'R2'!K155,'R3'!K155)</f>
        <v>5.7118135833333339</v>
      </c>
      <c r="G155">
        <f>AVERAGE('R1'!L155,'R2'!L155,'R3'!L155)</f>
        <v>2.0567445644875537</v>
      </c>
      <c r="H155">
        <f>AVERAGE('R1'!M155,'R2'!M155,'R3'!M155)</f>
        <v>-0.36813934967225587</v>
      </c>
      <c r="I155">
        <f>AVERAGE('R1'!N155,'R2'!N155,'R3'!N155)</f>
        <v>-0.70754854861490435</v>
      </c>
      <c r="J155">
        <f>AVERAGE('R1'!O155,'R2'!O155,'R3'!O155)</f>
        <v>-0.1510332877497943</v>
      </c>
      <c r="K155">
        <f t="shared" si="6"/>
        <v>1113.0103413078705</v>
      </c>
      <c r="M155">
        <f>_xlfn.STDEV.S('R1'!L155,'R2'!L155,'R3'!L155)</f>
        <v>8.0849327303870282E-3</v>
      </c>
      <c r="N155">
        <f>_xlfn.STDEV.S('R1'!M155,'R2'!M155,'R3'!M155)</f>
        <v>1.0014879167055098E-2</v>
      </c>
      <c r="O155">
        <f>_xlfn.STDEV.S('R1'!N155,'R2'!N155,'R3'!N155)</f>
        <v>1.6421894566517648E-2</v>
      </c>
      <c r="P155">
        <f>_xlfn.STDEV.S('R1'!O155,'R2'!O155,'R3'!O155)</f>
        <v>1.4928643395732232E-2</v>
      </c>
    </row>
    <row r="156" spans="1:16" x14ac:dyDescent="0.25">
      <c r="A156">
        <f>AVERAGE('R1'!F156,'R2'!F156,'R3'!F156)</f>
        <v>9.7518999999999981E-2</v>
      </c>
      <c r="B156">
        <f>AVERAGE('R1'!G156,'R2'!G156,'R3'!G156)</f>
        <v>19.129099999999998</v>
      </c>
      <c r="C156">
        <f>-'R1'!H156</f>
        <v>4</v>
      </c>
      <c r="D156">
        <f>DEGREES(ATAN(-SIN(RADIANS(('R1'!I156)))/(COS(RADIANS(Sheet1!C156))*COS(RADIANS('R1'!I156)))))</f>
        <v>28.057964295258</v>
      </c>
      <c r="E156">
        <f>AVERAGE('R1'!J156,'R2'!J156,'R3'!J156)</f>
        <v>1.17</v>
      </c>
      <c r="F156">
        <f>AVERAGE('R1'!K156,'R2'!K156,'R3'!K156)</f>
        <v>5.7018348333333329</v>
      </c>
      <c r="G156">
        <f>AVERAGE('R1'!L156,'R2'!L156,'R3'!L156)</f>
        <v>1.7801200710790201</v>
      </c>
      <c r="H156">
        <f>AVERAGE('R1'!M156,'R2'!M156,'R3'!M156)</f>
        <v>-0.34248062037437993</v>
      </c>
      <c r="I156">
        <f>AVERAGE('R1'!N156,'R2'!N156,'R3'!N156)</f>
        <v>-0.48679578663533624</v>
      </c>
      <c r="J156">
        <f>AVERAGE('R1'!O156,'R2'!O156,'R3'!O156)</f>
        <v>4.2735026693966199E-2</v>
      </c>
      <c r="K156">
        <f t="shared" si="6"/>
        <v>1111.8577924999997</v>
      </c>
      <c r="M156">
        <f>_xlfn.STDEV.S('R1'!L156,'R2'!L156,'R3'!L156)</f>
        <v>1.827501266818108E-2</v>
      </c>
      <c r="N156">
        <f>_xlfn.STDEV.S('R1'!M156,'R2'!M156,'R3'!M156)</f>
        <v>8.3923037967211459E-3</v>
      </c>
      <c r="O156">
        <f>_xlfn.STDEV.S('R1'!N156,'R2'!N156,'R3'!N156)</f>
        <v>2.3070335443943664E-2</v>
      </c>
      <c r="P156">
        <f>_xlfn.STDEV.S('R1'!O156,'R2'!O156,'R3'!O156)</f>
        <v>9.4073292590758553E-3</v>
      </c>
    </row>
    <row r="157" spans="1:16" x14ac:dyDescent="0.25">
      <c r="A157">
        <f>AVERAGE('R1'!F157,'R2'!F157,'R3'!F157)</f>
        <v>1.6269166666666664E-2</v>
      </c>
      <c r="B157">
        <f>AVERAGE('R1'!G157,'R2'!G157,'R3'!G157)</f>
        <v>19.328129083333334</v>
      </c>
      <c r="C157">
        <f>-'R1'!H157</f>
        <v>4</v>
      </c>
      <c r="D157">
        <f>DEGREES(ATAN(-SIN(RADIANS(('R1'!I157)))/(COS(RADIANS(Sheet1!C157))*COS(RADIANS('R1'!I157)))))</f>
        <v>24.051965857834489</v>
      </c>
      <c r="E157">
        <f>AVERAGE('R1'!J157,'R2'!J157,'R3'!J157)</f>
        <v>1.17</v>
      </c>
      <c r="F157">
        <f>AVERAGE('R1'!K157,'R2'!K157,'R3'!K157)</f>
        <v>5.7437669166666661</v>
      </c>
      <c r="G157">
        <f>AVERAGE('R1'!L157,'R2'!L157,'R3'!L157)</f>
        <v>1.5373997142531579</v>
      </c>
      <c r="H157">
        <f>AVERAGE('R1'!M157,'R2'!M157,'R3'!M157)</f>
        <v>-0.32399961334869504</v>
      </c>
      <c r="I157">
        <f>AVERAGE('R1'!N157,'R2'!N157,'R3'!N157)</f>
        <v>-0.32714820389554689</v>
      </c>
      <c r="J157">
        <f>AVERAGE('R1'!O157,'R2'!O157,'R3'!O157)</f>
        <v>0.22178309350960909</v>
      </c>
      <c r="K157">
        <f t="shared" si="6"/>
        <v>1120.0345487499999</v>
      </c>
      <c r="M157">
        <f>_xlfn.STDEV.S('R1'!L157,'R2'!L157,'R3'!L157)</f>
        <v>1.6157469849001366E-2</v>
      </c>
      <c r="N157">
        <f>_xlfn.STDEV.S('R1'!M157,'R2'!M157,'R3'!M157)</f>
        <v>9.6841678629385596E-3</v>
      </c>
      <c r="O157">
        <f>_xlfn.STDEV.S('R1'!N157,'R2'!N157,'R3'!N157)</f>
        <v>1.7025393999860746E-2</v>
      </c>
      <c r="P157">
        <f>_xlfn.STDEV.S('R1'!O157,'R2'!O157,'R3'!O157)</f>
        <v>3.832414602052467E-3</v>
      </c>
    </row>
    <row r="158" spans="1:16" x14ac:dyDescent="0.25">
      <c r="A158">
        <f>AVERAGE('R1'!F158,'R2'!F158,'R3'!F158)</f>
        <v>0.11372216666666667</v>
      </c>
      <c r="B158">
        <f>AVERAGE('R1'!G158,'R2'!G158,'R3'!G158)</f>
        <v>19.383292833333332</v>
      </c>
      <c r="C158">
        <f>-'R1'!H158</f>
        <v>4</v>
      </c>
      <c r="D158">
        <f>DEGREES(ATAN(-SIN(RADIANS(('R1'!I158)))/(COS(RADIANS(Sheet1!C158))*COS(RADIANS('R1'!I158)))))</f>
        <v>20.044953503068641</v>
      </c>
      <c r="E158">
        <f>AVERAGE('R1'!J158,'R2'!J158,'R3'!J158)</f>
        <v>1.17</v>
      </c>
      <c r="F158">
        <f>AVERAGE('R1'!K158,'R2'!K158,'R3'!K158)</f>
        <v>5.7362673333333332</v>
      </c>
      <c r="G158">
        <f>AVERAGE('R1'!L158,'R2'!L158,'R3'!L158)</f>
        <v>1.3231047104424494</v>
      </c>
      <c r="H158">
        <f>AVERAGE('R1'!M158,'R2'!M158,'R3'!M158)</f>
        <v>-0.31623841734787983</v>
      </c>
      <c r="I158">
        <f>AVERAGE('R1'!N158,'R2'!N158,'R3'!N158)</f>
        <v>-0.19208725773177085</v>
      </c>
      <c r="J158">
        <f>AVERAGE('R1'!O158,'R2'!O158,'R3'!O158)</f>
        <v>0.35743909781211336</v>
      </c>
      <c r="K158">
        <f t="shared" si="6"/>
        <v>1118.5721299999998</v>
      </c>
      <c r="M158">
        <f>_xlfn.STDEV.S('R1'!L158,'R2'!L158,'R3'!L158)</f>
        <v>5.5388098352166905E-3</v>
      </c>
      <c r="N158">
        <f>_xlfn.STDEV.S('R1'!M158,'R2'!M158,'R3'!M158)</f>
        <v>4.1519567157494103E-3</v>
      </c>
      <c r="O158">
        <f>_xlfn.STDEV.S('R1'!N158,'R2'!N158,'R3'!N158)</f>
        <v>1.6415275205881291E-2</v>
      </c>
      <c r="P158">
        <f>_xlfn.STDEV.S('R1'!O158,'R2'!O158,'R3'!O158)</f>
        <v>1.0233639520580302E-2</v>
      </c>
    </row>
    <row r="159" spans="1:16" x14ac:dyDescent="0.25">
      <c r="A159">
        <f>AVERAGE('R1'!F159,'R2'!F159,'R3'!F159)</f>
        <v>8.1237833333333329E-2</v>
      </c>
      <c r="B159">
        <f>AVERAGE('R1'!G159,'R2'!G159,'R3'!G159)</f>
        <v>19.448529749999999</v>
      </c>
      <c r="C159">
        <f>-'R1'!H159</f>
        <v>4</v>
      </c>
      <c r="D159">
        <f>DEGREES(ATAN(-SIN(RADIANS(('R1'!I159)))/(COS(RADIANS(Sheet1!C159))*COS(RADIANS('R1'!I159)))))</f>
        <v>16.037063740993869</v>
      </c>
      <c r="E159">
        <f>AVERAGE('R1'!J159,'R2'!J159,'R3'!J159)</f>
        <v>1.17</v>
      </c>
      <c r="F159">
        <f>AVERAGE('R1'!K159,'R2'!K159,'R3'!K159)</f>
        <v>5.749696666666666</v>
      </c>
      <c r="G159">
        <f>AVERAGE('R1'!L159,'R2'!L159,'R3'!L159)</f>
        <v>1.1006477635397236</v>
      </c>
      <c r="H159">
        <f>AVERAGE('R1'!M159,'R2'!M159,'R3'!M159)</f>
        <v>-0.32148866979858298</v>
      </c>
      <c r="I159">
        <f>AVERAGE('R1'!N159,'R2'!N159,'R3'!N159)</f>
        <v>-9.8952792531931566E-2</v>
      </c>
      <c r="J159">
        <f>AVERAGE('R1'!O159,'R2'!O159,'R3'!O159)</f>
        <v>0.51607185885653883</v>
      </c>
      <c r="K159">
        <f t="shared" si="6"/>
        <v>1121.19085</v>
      </c>
      <c r="M159">
        <f>_xlfn.STDEV.S('R1'!L159,'R2'!L159,'R3'!L159)</f>
        <v>5.5246456874512052E-3</v>
      </c>
      <c r="N159">
        <f>_xlfn.STDEV.S('R1'!M159,'R2'!M159,'R3'!M159)</f>
        <v>6.5677229023223789E-3</v>
      </c>
      <c r="O159">
        <f>_xlfn.STDEV.S('R1'!N159,'R2'!N159,'R3'!N159)</f>
        <v>1.3196059494939896E-2</v>
      </c>
      <c r="P159">
        <f>_xlfn.STDEV.S('R1'!O159,'R2'!O159,'R3'!O159)</f>
        <v>1.0628491534592209E-2</v>
      </c>
    </row>
    <row r="160" spans="1:16" x14ac:dyDescent="0.25">
      <c r="A160">
        <f>AVERAGE('R1'!F160,'R2'!F160,'R3'!F160)</f>
        <v>0.12996433333333332</v>
      </c>
      <c r="B160">
        <f>AVERAGE('R1'!G160,'R2'!G160,'R3'!G160)</f>
        <v>19.875399999999999</v>
      </c>
      <c r="C160">
        <f>-'R1'!H160</f>
        <v>4</v>
      </c>
      <c r="D160">
        <f>DEGREES(ATAN(-SIN(RADIANS(('R1'!I160)))/(COS(RADIANS(Sheet1!C160))*COS(RADIANS('R1'!I160)))))</f>
        <v>12.028450348745874</v>
      </c>
      <c r="E160">
        <f>AVERAGE('R1'!J160,'R2'!J160,'R3'!J160)</f>
        <v>1.17</v>
      </c>
      <c r="F160">
        <f>AVERAGE('R1'!K160,'R2'!K160,'R3'!K160)</f>
        <v>5.8058385000000001</v>
      </c>
      <c r="G160">
        <f>AVERAGE('R1'!L160,'R2'!L160,'R3'!L160)</f>
        <v>0.87450680716798823</v>
      </c>
      <c r="H160">
        <f>AVERAGE('R1'!M160,'R2'!M160,'R3'!M160)</f>
        <v>-0.33354678155835721</v>
      </c>
      <c r="I160">
        <f>AVERAGE('R1'!N160,'R2'!N160,'R3'!N160)</f>
        <v>-3.1006641967977176E-2</v>
      </c>
      <c r="J160">
        <f>AVERAGE('R1'!O160,'R2'!O160,'R3'!O160)</f>
        <v>0.67186591864310452</v>
      </c>
      <c r="K160">
        <f t="shared" si="6"/>
        <v>1132.1385075000001</v>
      </c>
      <c r="M160">
        <f>_xlfn.STDEV.S('R1'!L160,'R2'!L160,'R3'!L160)</f>
        <v>9.634789340514335E-3</v>
      </c>
      <c r="N160">
        <f>_xlfn.STDEV.S('R1'!M160,'R2'!M160,'R3'!M160)</f>
        <v>5.1147219277494311E-3</v>
      </c>
      <c r="O160">
        <f>_xlfn.STDEV.S('R1'!N160,'R2'!N160,'R3'!N160)</f>
        <v>1.6842075919045112E-2</v>
      </c>
      <c r="P160">
        <f>_xlfn.STDEV.S('R1'!O160,'R2'!O160,'R3'!O160)</f>
        <v>9.2544669433492471E-3</v>
      </c>
    </row>
    <row r="161" spans="1:16" x14ac:dyDescent="0.25">
      <c r="A161">
        <f>AVERAGE('R1'!F161,'R2'!F161,'R3'!F161)</f>
        <v>0.12996433333333332</v>
      </c>
      <c r="B161">
        <f>AVERAGE('R1'!G161,'R2'!G161,'R3'!G161)</f>
        <v>20.076228833333332</v>
      </c>
      <c r="C161">
        <f>-'R1'!H161</f>
        <v>4</v>
      </c>
      <c r="D161">
        <f>DEGREES(ATAN(-SIN(RADIANS(('R1'!I161)))/(COS(RADIANS(Sheet1!C161))*COS(RADIANS('R1'!I161)))))</f>
        <v>8.0192813611150822</v>
      </c>
      <c r="E161">
        <f>AVERAGE('R1'!J161,'R2'!J161,'R3'!J161)</f>
        <v>1.17</v>
      </c>
      <c r="F161">
        <f>AVERAGE('R1'!K161,'R2'!K161,'R3'!K161)</f>
        <v>5.8351669166666662</v>
      </c>
      <c r="G161">
        <f>AVERAGE('R1'!L161,'R2'!L161,'R3'!L161)</f>
        <v>0.61664200059652485</v>
      </c>
      <c r="H161">
        <f>AVERAGE('R1'!M161,'R2'!M161,'R3'!M161)</f>
        <v>-0.35929242889065005</v>
      </c>
      <c r="I161">
        <f>AVERAGE('R1'!N161,'R2'!N161,'R3'!N161)</f>
        <v>1.827234432828781E-2</v>
      </c>
      <c r="J161">
        <f>AVERAGE('R1'!O161,'R2'!O161,'R3'!O161)</f>
        <v>0.82557557425377626</v>
      </c>
      <c r="K161">
        <f t="shared" si="6"/>
        <v>1137.85754875</v>
      </c>
      <c r="M161">
        <f>_xlfn.STDEV.S('R1'!L161,'R2'!L161,'R3'!L161)</f>
        <v>1.1528337941083185E-2</v>
      </c>
      <c r="N161">
        <f>_xlfn.STDEV.S('R1'!M161,'R2'!M161,'R3'!M161)</f>
        <v>1.2196359749730122E-2</v>
      </c>
      <c r="O161">
        <f>_xlfn.STDEV.S('R1'!N161,'R2'!N161,'R3'!N161)</f>
        <v>2.2435853751651167E-2</v>
      </c>
      <c r="P161">
        <f>_xlfn.STDEV.S('R1'!O161,'R2'!O161,'R3'!O161)</f>
        <v>9.5094751949498183E-3</v>
      </c>
    </row>
    <row r="162" spans="1:16" x14ac:dyDescent="0.25">
      <c r="A162">
        <f>AVERAGE('R1'!F162,'R2'!F162,'R3'!F162)</f>
        <v>9.7479999999999997E-2</v>
      </c>
      <c r="B162">
        <f>AVERAGE('R1'!G162,'R2'!G162,'R3'!G162)</f>
        <v>20.422686416666668</v>
      </c>
      <c r="C162">
        <f>-'R1'!H162</f>
        <v>4</v>
      </c>
      <c r="D162">
        <f>DEGREES(ATAN(-SIN(RADIANS(('R1'!I162)))/(COS(RADIANS(Sheet1!C162))*COS(RADIANS('R1'!I162)))))</f>
        <v>4.0097357700975991</v>
      </c>
      <c r="E162">
        <f>AVERAGE('R1'!J162,'R2'!J162,'R3'!J162)</f>
        <v>1.17</v>
      </c>
      <c r="F162">
        <f>AVERAGE('R1'!K162,'R2'!K162,'R3'!K162)</f>
        <v>5.8907150000000001</v>
      </c>
      <c r="G162">
        <f>AVERAGE('R1'!L162,'R2'!L162,'R3'!L162)</f>
        <v>0.3196069137531678</v>
      </c>
      <c r="H162">
        <f>AVERAGE('R1'!M162,'R2'!M162,'R3'!M162)</f>
        <v>-0.3855571872254524</v>
      </c>
      <c r="I162">
        <f>AVERAGE('R1'!N162,'R2'!N162,'R3'!N162)</f>
        <v>3.7979164117181004E-2</v>
      </c>
      <c r="J162">
        <f>AVERAGE('R1'!O162,'R2'!O162,'R3'!O162)</f>
        <v>1.0178869047310792</v>
      </c>
      <c r="K162">
        <f t="shared" si="6"/>
        <v>1148.689425</v>
      </c>
      <c r="M162">
        <f>_xlfn.STDEV.S('R1'!L162,'R2'!L162,'R3'!L162)</f>
        <v>1.2278365438654343E-2</v>
      </c>
      <c r="N162">
        <f>_xlfn.STDEV.S('R1'!M162,'R2'!M162,'R3'!M162)</f>
        <v>1.2405155576599729E-2</v>
      </c>
      <c r="O162">
        <f>_xlfn.STDEV.S('R1'!N162,'R2'!N162,'R3'!N162)</f>
        <v>2.0392287416287729E-2</v>
      </c>
      <c r="P162">
        <f>_xlfn.STDEV.S('R1'!O162,'R2'!O162,'R3'!O162)</f>
        <v>1.8090535752239942E-2</v>
      </c>
    </row>
    <row r="163" spans="1:16" x14ac:dyDescent="0.25">
      <c r="A163">
        <f>AVERAGE('R1'!F163,'R2'!F163,'R3'!F163)</f>
        <v>0.11372216666666667</v>
      </c>
      <c r="B163">
        <f>AVERAGE('R1'!G163,'R2'!G163,'R3'!G163)</f>
        <v>20.663183333333333</v>
      </c>
      <c r="C163">
        <f>-'R1'!H163</f>
        <v>4</v>
      </c>
      <c r="D163">
        <f>DEGREES(ATAN(-SIN(RADIANS(('R1'!I163)))/(COS(RADIANS(Sheet1!C163))*COS(RADIANS('R1'!I163)))))</f>
        <v>0</v>
      </c>
      <c r="E163">
        <f>AVERAGE('R1'!J163,'R2'!J163,'R3'!J163)</f>
        <v>1.1691666666666667</v>
      </c>
      <c r="F163">
        <f>AVERAGE('R1'!K163,'R2'!K163,'R3'!K163)</f>
        <v>5.9249686666666674</v>
      </c>
      <c r="G163">
        <f>AVERAGE('R1'!L163,'R2'!L163,'R3'!L163)</f>
        <v>-5.4008101739124147E-2</v>
      </c>
      <c r="H163">
        <f>AVERAGE('R1'!M163,'R2'!M163,'R3'!M163)</f>
        <v>-0.39306952037880488</v>
      </c>
      <c r="I163">
        <f>AVERAGE('R1'!N163,'R2'!N163,'R3'!N163)</f>
        <v>4.5332711928895902E-2</v>
      </c>
      <c r="J163">
        <f>AVERAGE('R1'!O163,'R2'!O163,'R3'!O163)</f>
        <v>1.1895490683189687</v>
      </c>
      <c r="K163">
        <f t="shared" si="6"/>
        <v>1154.5459776851851</v>
      </c>
      <c r="M163">
        <f>_xlfn.STDEV.S('R1'!L163,'R2'!L163,'R3'!L163)</f>
        <v>6.1601689640625266E-3</v>
      </c>
      <c r="N163">
        <f>_xlfn.STDEV.S('R1'!M163,'R2'!M163,'R3'!M163)</f>
        <v>1.0565009949021527E-2</v>
      </c>
      <c r="O163">
        <f>_xlfn.STDEV.S('R1'!N163,'R2'!N163,'R3'!N163)</f>
        <v>2.2698237226104652E-2</v>
      </c>
      <c r="P163">
        <f>_xlfn.STDEV.S('R1'!O163,'R2'!O163,'R3'!O163)</f>
        <v>3.4216544509559276E-3</v>
      </c>
    </row>
    <row r="164" spans="1:16" x14ac:dyDescent="0.25">
      <c r="A164">
        <f>AVERAGE('R1'!F164,'R2'!F164,'R3'!F164)</f>
        <v>0.11372216666666667</v>
      </c>
      <c r="B164">
        <f>AVERAGE('R1'!G164,'R2'!G164,'R3'!G164)</f>
        <v>20.529813500000003</v>
      </c>
      <c r="C164">
        <f>-'R1'!H164</f>
        <v>4</v>
      </c>
      <c r="D164">
        <f>DEGREES(ATAN(-SIN(RADIANS(('R1'!I164)))/(COS(RADIANS(Sheet1!C164))*COS(RADIANS('R1'!I164)))))</f>
        <v>-4.0097357700975991</v>
      </c>
      <c r="E164">
        <f>AVERAGE('R1'!J164,'R2'!J164,'R3'!J164)</f>
        <v>1.17</v>
      </c>
      <c r="F164">
        <f>AVERAGE('R1'!K164,'R2'!K164,'R3'!K164)</f>
        <v>5.901871083333333</v>
      </c>
      <c r="G164">
        <f>AVERAGE('R1'!L164,'R2'!L164,'R3'!L164)</f>
        <v>-0.4006236260947163</v>
      </c>
      <c r="H164">
        <f>AVERAGE('R1'!M164,'R2'!M164,'R3'!M164)</f>
        <v>-0.35249561443803462</v>
      </c>
      <c r="I164">
        <f>AVERAGE('R1'!N164,'R2'!N164,'R3'!N164)</f>
        <v>3.4105659270998241E-2</v>
      </c>
      <c r="J164">
        <f>AVERAGE('R1'!O164,'R2'!O164,'R3'!O164)</f>
        <v>0.9858448321850829</v>
      </c>
      <c r="K164">
        <f t="shared" si="6"/>
        <v>1150.8648612499999</v>
      </c>
      <c r="M164">
        <f>_xlfn.STDEV.S('R1'!L164,'R2'!L164,'R3'!L164)</f>
        <v>4.6595197676565408E-3</v>
      </c>
      <c r="N164">
        <f>_xlfn.STDEV.S('R1'!M164,'R2'!M164,'R3'!M164)</f>
        <v>1.2737855212508694E-2</v>
      </c>
      <c r="O164">
        <f>_xlfn.STDEV.S('R1'!N164,'R2'!N164,'R3'!N164)</f>
        <v>1.7143841438850307E-2</v>
      </c>
      <c r="P164">
        <f>_xlfn.STDEV.S('R1'!O164,'R2'!O164,'R3'!O164)</f>
        <v>1.5947258629368043E-2</v>
      </c>
    </row>
    <row r="165" spans="1:16" x14ac:dyDescent="0.25">
      <c r="A165">
        <f>AVERAGE('R1'!F165,'R2'!F165,'R3'!F165)</f>
        <v>0.11372216666666667</v>
      </c>
      <c r="B165">
        <f>AVERAGE('R1'!G165,'R2'!G165,'R3'!G165)</f>
        <v>20.196684916666666</v>
      </c>
      <c r="C165">
        <f>-'R1'!H165</f>
        <v>4</v>
      </c>
      <c r="D165">
        <f>DEGREES(ATAN(-SIN(RADIANS(('R1'!I165)))/(COS(RADIANS(Sheet1!C165))*COS(RADIANS('R1'!I165)))))</f>
        <v>-8.0192813611150822</v>
      </c>
      <c r="E165">
        <f>AVERAGE('R1'!J165,'R2'!J165,'R3'!J165)</f>
        <v>1.17</v>
      </c>
      <c r="F165">
        <f>AVERAGE('R1'!K165,'R2'!K165,'R3'!K165)</f>
        <v>5.8543272499999999</v>
      </c>
      <c r="G165">
        <f>AVERAGE('R1'!L165,'R2'!L165,'R3'!L165)</f>
        <v>-0.68595640452890383</v>
      </c>
      <c r="H165">
        <f>AVERAGE('R1'!M165,'R2'!M165,'R3'!M165)</f>
        <v>-0.31473573261352772</v>
      </c>
      <c r="I165">
        <f>AVERAGE('R1'!N165,'R2'!N165,'R3'!N165)</f>
        <v>1.2572087833008E-2</v>
      </c>
      <c r="J165">
        <f>AVERAGE('R1'!O165,'R2'!O165,'R3'!O165)</f>
        <v>0.80922456560846945</v>
      </c>
      <c r="K165">
        <f t="shared" si="6"/>
        <v>1141.59381375</v>
      </c>
      <c r="M165">
        <f>_xlfn.STDEV.S('R1'!L165,'R2'!L165,'R3'!L165)</f>
        <v>7.6696547169183404E-3</v>
      </c>
      <c r="N165">
        <f>_xlfn.STDEV.S('R1'!M165,'R2'!M165,'R3'!M165)</f>
        <v>4.6559905963722602E-3</v>
      </c>
      <c r="O165">
        <f>_xlfn.STDEV.S('R1'!N165,'R2'!N165,'R3'!N165)</f>
        <v>2.0715852318799667E-2</v>
      </c>
      <c r="P165">
        <f>_xlfn.STDEV.S('R1'!O165,'R2'!O165,'R3'!O165)</f>
        <v>8.6406163317101596E-3</v>
      </c>
    </row>
    <row r="166" spans="1:16" x14ac:dyDescent="0.25">
      <c r="A166">
        <f>AVERAGE('R1'!F166,'R2'!F166,'R3'!F166)</f>
        <v>9.7479999999999997E-2</v>
      </c>
      <c r="B166">
        <f>AVERAGE('R1'!G166,'R2'!G166,'R3'!G166)</f>
        <v>20.035052666666669</v>
      </c>
      <c r="C166">
        <f>-'R1'!H166</f>
        <v>4</v>
      </c>
      <c r="D166">
        <f>DEGREES(ATAN(-SIN(RADIANS(('R1'!I166)))/(COS(RADIANS(Sheet1!C166))*COS(RADIANS('R1'!I166)))))</f>
        <v>-12.028450348745874</v>
      </c>
      <c r="E166">
        <f>AVERAGE('R1'!J166,'R2'!J166,'R3'!J166)</f>
        <v>1.1691666666666667</v>
      </c>
      <c r="F166">
        <f>AVERAGE('R1'!K166,'R2'!K166,'R3'!K166)</f>
        <v>5.8351815</v>
      </c>
      <c r="G166">
        <f>AVERAGE('R1'!L166,'R2'!L166,'R3'!L166)</f>
        <v>-0.9332103560860302</v>
      </c>
      <c r="H166">
        <f>AVERAGE('R1'!M166,'R2'!M166,'R3'!M166)</f>
        <v>-0.27649665141861618</v>
      </c>
      <c r="I166">
        <f>AVERAGE('R1'!N166,'R2'!N166,'R3'!N166)</f>
        <v>-4.6930454116669101E-2</v>
      </c>
      <c r="J166">
        <f>AVERAGE('R1'!O166,'R2'!O166,'R3'!O166)</f>
        <v>0.66167442241184082</v>
      </c>
      <c r="K166">
        <f t="shared" si="6"/>
        <v>1137.0499506250001</v>
      </c>
      <c r="M166">
        <f>_xlfn.STDEV.S('R1'!L166,'R2'!L166,'R3'!L166)</f>
        <v>9.4626940398500354E-3</v>
      </c>
      <c r="N166">
        <f>_xlfn.STDEV.S('R1'!M166,'R2'!M166,'R3'!M166)</f>
        <v>7.9290291324152894E-3</v>
      </c>
      <c r="O166">
        <f>_xlfn.STDEV.S('R1'!N166,'R2'!N166,'R3'!N166)</f>
        <v>1.631561609864645E-2</v>
      </c>
      <c r="P166">
        <f>_xlfn.STDEV.S('R1'!O166,'R2'!O166,'R3'!O166)</f>
        <v>3.5812411783476654E-3</v>
      </c>
    </row>
    <row r="167" spans="1:16" x14ac:dyDescent="0.25">
      <c r="A167">
        <f>AVERAGE('R1'!F167,'R2'!F167,'R3'!F167)</f>
        <v>9.7479999999999997E-2</v>
      </c>
      <c r="B167">
        <f>AVERAGE('R1'!G167,'R2'!G167,'R3'!G167)</f>
        <v>19.796087750000002</v>
      </c>
      <c r="C167">
        <f>-'R1'!H167</f>
        <v>4</v>
      </c>
      <c r="D167">
        <f>DEGREES(ATAN(-SIN(RADIANS(('R1'!I167)))/(COS(RADIANS(Sheet1!C167))*COS(RADIANS('R1'!I167)))))</f>
        <v>-16.037063740993869</v>
      </c>
      <c r="E167">
        <f>AVERAGE('R1'!J167,'R2'!J167,'R3'!J167)</f>
        <v>1.17</v>
      </c>
      <c r="F167">
        <f>AVERAGE('R1'!K167,'R2'!K167,'R3'!K167)</f>
        <v>5.7980075000000006</v>
      </c>
      <c r="G167">
        <f>AVERAGE('R1'!L167,'R2'!L167,'R3'!L167)</f>
        <v>-1.1758296255415139</v>
      </c>
      <c r="H167">
        <f>AVERAGE('R1'!M167,'R2'!M167,'R3'!M167)</f>
        <v>-0.25011215438403961</v>
      </c>
      <c r="I167">
        <f>AVERAGE('R1'!N167,'R2'!N167,'R3'!N167)</f>
        <v>-0.14121201392989782</v>
      </c>
      <c r="J167">
        <f>AVERAGE('R1'!O167,'R2'!O167,'R3'!O167)</f>
        <v>0.51887652282577579</v>
      </c>
      <c r="K167">
        <f t="shared" si="6"/>
        <v>1130.6114625000002</v>
      </c>
      <c r="M167">
        <f>_xlfn.STDEV.S('R1'!L167,'R2'!L167,'R3'!L167)</f>
        <v>8.0636757246226581E-3</v>
      </c>
      <c r="N167">
        <f>_xlfn.STDEV.S('R1'!M167,'R2'!M167,'R3'!M167)</f>
        <v>4.5338382935610627E-3</v>
      </c>
      <c r="O167">
        <f>_xlfn.STDEV.S('R1'!N167,'R2'!N167,'R3'!N167)</f>
        <v>9.093026089535175E-3</v>
      </c>
      <c r="P167">
        <f>_xlfn.STDEV.S('R1'!O167,'R2'!O167,'R3'!O167)</f>
        <v>1.122076771048857E-2</v>
      </c>
    </row>
    <row r="168" spans="1:16" x14ac:dyDescent="0.25">
      <c r="A168">
        <f>AVERAGE('R1'!F168,'R2'!F168,'R3'!F168)</f>
        <v>0.11372216666666667</v>
      </c>
      <c r="B168">
        <f>AVERAGE('R1'!G168,'R2'!G168,'R3'!G168)</f>
        <v>19.769812083333335</v>
      </c>
      <c r="C168">
        <f>-'R1'!H168</f>
        <v>4</v>
      </c>
      <c r="D168">
        <f>DEGREES(ATAN(-SIN(RADIANS(('R1'!I168)))/(COS(RADIANS(Sheet1!C168))*COS(RADIANS('R1'!I168)))))</f>
        <v>-20.044953503068641</v>
      </c>
      <c r="E168">
        <f>AVERAGE('R1'!J168,'R2'!J168,'R3'!J168)</f>
        <v>1.1691666666666667</v>
      </c>
      <c r="F168">
        <f>AVERAGE('R1'!K168,'R2'!K168,'R3'!K168)</f>
        <v>5.7941943333333334</v>
      </c>
      <c r="G168">
        <f>AVERAGE('R1'!L168,'R2'!L168,'R3'!L168)</f>
        <v>-1.437070938755747</v>
      </c>
      <c r="H168">
        <f>AVERAGE('R1'!M168,'R2'!M168,'R3'!M168)</f>
        <v>-0.24715894193435287</v>
      </c>
      <c r="I168">
        <f>AVERAGE('R1'!N168,'R2'!N168,'R3'!N168)</f>
        <v>-0.27692763171796303</v>
      </c>
      <c r="J168">
        <f>AVERAGE('R1'!O168,'R2'!O168,'R3'!O168)</f>
        <v>0.35879794145254085</v>
      </c>
      <c r="K168">
        <f t="shared" si="6"/>
        <v>1129.063145787037</v>
      </c>
      <c r="M168">
        <f>_xlfn.STDEV.S('R1'!L168,'R2'!L168,'R3'!L168)</f>
        <v>1.8877082784742438E-2</v>
      </c>
      <c r="N168">
        <f>_xlfn.STDEV.S('R1'!M168,'R2'!M168,'R3'!M168)</f>
        <v>7.3381786010945213E-3</v>
      </c>
      <c r="O168">
        <f>_xlfn.STDEV.S('R1'!N168,'R2'!N168,'R3'!N168)</f>
        <v>1.3483917286216493E-2</v>
      </c>
      <c r="P168">
        <f>_xlfn.STDEV.S('R1'!O168,'R2'!O168,'R3'!O168)</f>
        <v>1.5315692018267079E-2</v>
      </c>
    </row>
    <row r="169" spans="1:16" x14ac:dyDescent="0.25">
      <c r="A169">
        <f>AVERAGE('R1'!F169,'R2'!F169,'R3'!F169)</f>
        <v>0.12996433333333332</v>
      </c>
      <c r="B169">
        <f>AVERAGE('R1'!G169,'R2'!G169,'R3'!G169)</f>
        <v>19.529228499999999</v>
      </c>
      <c r="C169">
        <f>-'R1'!H169</f>
        <v>4</v>
      </c>
      <c r="D169">
        <f>DEGREES(ATAN(-SIN(RADIANS(('R1'!I169)))/(COS(RADIANS(Sheet1!C169))*COS(RADIANS('R1'!I169)))))</f>
        <v>-24.051965857834489</v>
      </c>
      <c r="E169">
        <f>AVERAGE('R1'!J169,'R2'!J169,'R3'!J169)</f>
        <v>1.1675</v>
      </c>
      <c r="F169">
        <f>AVERAGE('R1'!K169,'R2'!K169,'R3'!K169)</f>
        <v>5.7621577500000001</v>
      </c>
      <c r="G169">
        <f>AVERAGE('R1'!L169,'R2'!L169,'R3'!L169)</f>
        <v>-1.71617862549805</v>
      </c>
      <c r="H169">
        <f>AVERAGE('R1'!M169,'R2'!M169,'R3'!M169)</f>
        <v>-0.2555217985343548</v>
      </c>
      <c r="I169">
        <f>AVERAGE('R1'!N169,'R2'!N169,'R3'!N169)</f>
        <v>-0.45874812265372683</v>
      </c>
      <c r="J169">
        <f>AVERAGE('R1'!O169,'R2'!O169,'R3'!O169)</f>
        <v>0.20424864752239702</v>
      </c>
      <c r="K169">
        <f t="shared" si="6"/>
        <v>1121.2198621875002</v>
      </c>
      <c r="M169">
        <f>_xlfn.STDEV.S('R1'!L169,'R2'!L169,'R3'!L169)</f>
        <v>2.0655217769714993E-2</v>
      </c>
      <c r="N169">
        <f>_xlfn.STDEV.S('R1'!M169,'R2'!M169,'R3'!M169)</f>
        <v>5.1556754476778498E-3</v>
      </c>
      <c r="O169">
        <f>_xlfn.STDEV.S('R1'!N169,'R2'!N169,'R3'!N169)</f>
        <v>2.5056951729214322E-2</v>
      </c>
      <c r="P169">
        <f>_xlfn.STDEV.S('R1'!O169,'R2'!O169,'R3'!O169)</f>
        <v>1.0323150634990421E-2</v>
      </c>
    </row>
    <row r="170" spans="1:16" x14ac:dyDescent="0.25">
      <c r="A170">
        <f>AVERAGE('R1'!F170,'R2'!F170,'R3'!F170)</f>
        <v>0.12996433333333332</v>
      </c>
      <c r="B170">
        <f>AVERAGE('R1'!G170,'R2'!G170,'R3'!G170)</f>
        <v>19.382155916666665</v>
      </c>
      <c r="C170">
        <f>-'R1'!H170</f>
        <v>4</v>
      </c>
      <c r="D170">
        <f>DEGREES(ATAN(-SIN(RADIANS(('R1'!I170)))/(COS(RADIANS(Sheet1!C170))*COS(RADIANS('R1'!I170)))))</f>
        <v>-28.057964295258</v>
      </c>
      <c r="E170">
        <f>AVERAGE('R1'!J170,'R2'!J170,'R3'!J170)</f>
        <v>1.17</v>
      </c>
      <c r="F170">
        <f>AVERAGE('R1'!K170,'R2'!K170,'R3'!K170)</f>
        <v>5.7352540833333334</v>
      </c>
      <c r="G170">
        <f>AVERAGE('R1'!L170,'R2'!L170,'R3'!L170)</f>
        <v>-2.0892698088070394</v>
      </c>
      <c r="H170">
        <f>AVERAGE('R1'!M170,'R2'!M170,'R3'!M170)</f>
        <v>-0.26891799386815968</v>
      </c>
      <c r="I170">
        <f>AVERAGE('R1'!N170,'R2'!N170,'R3'!N170)</f>
        <v>-0.73408785224343609</v>
      </c>
      <c r="J170">
        <f>AVERAGE('R1'!O170,'R2'!O170,'R3'!O170)</f>
        <v>2.755313510501407E-2</v>
      </c>
      <c r="K170">
        <f t="shared" si="6"/>
        <v>1118.3745462500001</v>
      </c>
      <c r="M170">
        <f>_xlfn.STDEV.S('R1'!L170,'R2'!L170,'R3'!L170)</f>
        <v>2.0851760051155695E-2</v>
      </c>
      <c r="N170">
        <f>_xlfn.STDEV.S('R1'!M170,'R2'!M170,'R3'!M170)</f>
        <v>8.0733140951727447E-4</v>
      </c>
      <c r="O170">
        <f>_xlfn.STDEV.S('R1'!N170,'R2'!N170,'R3'!N170)</f>
        <v>2.4975775641999189E-2</v>
      </c>
      <c r="P170">
        <f>_xlfn.STDEV.S('R1'!O170,'R2'!O170,'R3'!O170)</f>
        <v>1.5166765886709311E-2</v>
      </c>
    </row>
    <row r="171" spans="1:16" x14ac:dyDescent="0.25">
      <c r="A171">
        <f>AVERAGE('R1'!F171,'R2'!F171,'R3'!F171)</f>
        <v>0.12996433333333332</v>
      </c>
      <c r="B171">
        <f>AVERAGE('R1'!G171,'R2'!G171,'R3'!G171)</f>
        <v>19.595988083333335</v>
      </c>
      <c r="C171">
        <f>-'R1'!H171</f>
        <v>4</v>
      </c>
      <c r="D171">
        <f>DEGREES(ATAN(-SIN(RADIANS(('R1'!I171)))/(COS(RADIANS(Sheet1!C171))*COS(RADIANS('R1'!I171)))))</f>
        <v>-32.062832231023428</v>
      </c>
      <c r="E171">
        <f>AVERAGE('R1'!J171,'R2'!J171,'R3'!J171)</f>
        <v>1.17</v>
      </c>
      <c r="F171">
        <f>AVERAGE('R1'!K171,'R2'!K171,'R3'!K171)</f>
        <v>5.7670121666666674</v>
      </c>
      <c r="G171">
        <f>AVERAGE('R1'!L171,'R2'!L171,'R3'!L171)</f>
        <v>-2.5802284255772761</v>
      </c>
      <c r="H171">
        <f>AVERAGE('R1'!M171,'R2'!M171,'R3'!M171)</f>
        <v>-0.29661890365341731</v>
      </c>
      <c r="I171">
        <f>AVERAGE('R1'!N171,'R2'!N171,'R3'!N171)</f>
        <v>-1.1338624339370511</v>
      </c>
      <c r="J171">
        <f>AVERAGE('R1'!O171,'R2'!O171,'R3'!O171)</f>
        <v>-0.18457941610094861</v>
      </c>
      <c r="K171">
        <f t="shared" si="6"/>
        <v>1124.5673725000001</v>
      </c>
      <c r="M171">
        <f>_xlfn.STDEV.S('R1'!L171,'R2'!L171,'R3'!L171)</f>
        <v>1.7099113180994205E-2</v>
      </c>
      <c r="N171">
        <f>_xlfn.STDEV.S('R1'!M171,'R2'!M171,'R3'!M171)</f>
        <v>6.1884543435656112E-3</v>
      </c>
      <c r="O171">
        <f>_xlfn.STDEV.S('R1'!N171,'R2'!N171,'R3'!N171)</f>
        <v>2.7978168056501961E-2</v>
      </c>
      <c r="P171">
        <f>_xlfn.STDEV.S('R1'!O171,'R2'!O171,'R3'!O171)</f>
        <v>4.2301106811885531E-3</v>
      </c>
    </row>
    <row r="172" spans="1:16" x14ac:dyDescent="0.25">
      <c r="A172">
        <f>AVERAGE('R1'!F172,'R2'!F172,'R3'!F172)</f>
        <v>0.12996433333333332</v>
      </c>
      <c r="B172">
        <f>AVERAGE('R1'!G172,'R2'!G172,'R3'!G172)</f>
        <v>19.608961416666666</v>
      </c>
      <c r="C172">
        <f>-'R1'!H172</f>
        <v>4</v>
      </c>
      <c r="D172">
        <f>DEGREES(ATAN(-SIN(RADIANS(('R1'!I172)))/(COS(RADIANS(Sheet1!C172))*COS(RADIANS('R1'!I172)))))</f>
        <v>-36.066475262469574</v>
      </c>
      <c r="E172">
        <f>AVERAGE('R1'!J172,'R2'!J172,'R3'!J172)</f>
        <v>1.17</v>
      </c>
      <c r="F172">
        <f>AVERAGE('R1'!K172,'R2'!K172,'R3'!K172)</f>
        <v>5.7682836666666661</v>
      </c>
      <c r="G172">
        <f>AVERAGE('R1'!L172,'R2'!L172,'R3'!L172)</f>
        <v>-3.3092995923191704</v>
      </c>
      <c r="H172">
        <f>AVERAGE('R1'!M172,'R2'!M172,'R3'!M172)</f>
        <v>-0.33731041699573705</v>
      </c>
      <c r="I172">
        <f>AVERAGE('R1'!N172,'R2'!N172,'R3'!N172)</f>
        <v>-1.7456305481842256</v>
      </c>
      <c r="J172">
        <f>AVERAGE('R1'!O172,'R2'!O172,'R3'!O172)</f>
        <v>-0.48418360145200268</v>
      </c>
      <c r="K172">
        <f t="shared" si="6"/>
        <v>1124.8153149999998</v>
      </c>
      <c r="M172">
        <f>_xlfn.STDEV.S('R1'!L172,'R2'!L172,'R3'!L172)</f>
        <v>1.8468794484566172E-2</v>
      </c>
      <c r="N172">
        <f>_xlfn.STDEV.S('R1'!M172,'R2'!M172,'R3'!M172)</f>
        <v>3.2724409077490081E-3</v>
      </c>
      <c r="O172">
        <f>_xlfn.STDEV.S('R1'!N172,'R2'!N172,'R3'!N172)</f>
        <v>1.8614330938552911E-2</v>
      </c>
      <c r="P172">
        <f>_xlfn.STDEV.S('R1'!O172,'R2'!O172,'R3'!O172)</f>
        <v>1.1226827694292405E-2</v>
      </c>
    </row>
    <row r="173" spans="1:16" x14ac:dyDescent="0.25">
      <c r="A173">
        <f>AVERAGE('R1'!F173,'R2'!F173,'R3'!F173)</f>
        <v>6.499566666666666E-2</v>
      </c>
      <c r="B173">
        <f>AVERAGE('R1'!G173,'R2'!G173,'R3'!G173)</f>
        <v>19.768279750000001</v>
      </c>
      <c r="C173">
        <f>-'R1'!H173</f>
        <v>0</v>
      </c>
      <c r="D173">
        <f>DEGREES(ATAN(-SIN(RADIANS(('R1'!I173)))/(COS(RADIANS(Sheet1!C173))*COS(RADIANS('R1'!I173)))))</f>
        <v>36</v>
      </c>
      <c r="E173">
        <f>AVERAGE('R1'!J173,'R2'!J173,'R3'!J173)</f>
        <v>1.17</v>
      </c>
      <c r="F173">
        <f>AVERAGE('R1'!K173,'R2'!K173,'R3'!K173)</f>
        <v>5.8000705833333344</v>
      </c>
      <c r="G173">
        <f>AVERAGE('R1'!L173,'R2'!L173,'R3'!L173)</f>
        <v>2.6358445484502782</v>
      </c>
      <c r="H173">
        <f>AVERAGE('R1'!M173,'R2'!M173,'R3'!M173)</f>
        <v>-3.9840621066954296E-2</v>
      </c>
      <c r="I173">
        <f>AVERAGE('R1'!N173,'R2'!N173,'R3'!N173)</f>
        <v>-1.0816363920241707</v>
      </c>
      <c r="J173">
        <f>AVERAGE('R1'!O173,'R2'!O173,'R3'!O173)</f>
        <v>-0.29008639672293418</v>
      </c>
      <c r="K173">
        <f t="shared" si="6"/>
        <v>1131.0137637500002</v>
      </c>
      <c r="M173">
        <f>_xlfn.STDEV.S('R1'!L173,'R2'!L173,'R3'!L173)</f>
        <v>1.9644477767144168E-2</v>
      </c>
      <c r="N173">
        <f>_xlfn.STDEV.S('R1'!M173,'R2'!M173,'R3'!M173)</f>
        <v>3.367438835859252E-3</v>
      </c>
      <c r="O173">
        <f>_xlfn.STDEV.S('R1'!N173,'R2'!N173,'R3'!N173)</f>
        <v>1.6046031418023202E-2</v>
      </c>
      <c r="P173">
        <f>_xlfn.STDEV.S('R1'!O173,'R2'!O173,'R3'!O173)</f>
        <v>6.8280618231196556E-3</v>
      </c>
    </row>
    <row r="174" spans="1:16" x14ac:dyDescent="0.25">
      <c r="A174">
        <f>AVERAGE('R1'!F174,'R2'!F174,'R3'!F174)</f>
        <v>0.11372216666666667</v>
      </c>
      <c r="B174">
        <f>AVERAGE('R1'!G174,'R2'!G174,'R3'!G174)</f>
        <v>19.876527499999998</v>
      </c>
      <c r="C174">
        <f>-'R1'!H174</f>
        <v>0</v>
      </c>
      <c r="D174">
        <f>DEGREES(ATAN(-SIN(RADIANS(('R1'!I174)))/(COS(RADIANS(Sheet1!C174))*COS(RADIANS('R1'!I174)))))</f>
        <v>32</v>
      </c>
      <c r="E174">
        <f>AVERAGE('R1'!J174,'R2'!J174,'R3'!J174)</f>
        <v>1.17</v>
      </c>
      <c r="F174">
        <f>AVERAGE('R1'!K174,'R2'!K174,'R3'!K174)</f>
        <v>5.806992666666666</v>
      </c>
      <c r="G174">
        <f>AVERAGE('R1'!L174,'R2'!L174,'R3'!L174)</f>
        <v>2.2557243456100622</v>
      </c>
      <c r="H174">
        <f>AVERAGE('R1'!M174,'R2'!M174,'R3'!M174)</f>
        <v>-3.0092033580513291E-2</v>
      </c>
      <c r="I174">
        <f>AVERAGE('R1'!N174,'R2'!N174,'R3'!N174)</f>
        <v>-0.76465204150006072</v>
      </c>
      <c r="J174">
        <f>AVERAGE('R1'!O174,'R2'!O174,'R3'!O174)</f>
        <v>-7.0283632551312952E-2</v>
      </c>
      <c r="K174">
        <f t="shared" si="6"/>
        <v>1132.3635699999998</v>
      </c>
      <c r="M174">
        <f>_xlfn.STDEV.S('R1'!L174,'R2'!L174,'R3'!L174)</f>
        <v>1.8509037216811304E-2</v>
      </c>
      <c r="N174">
        <f>_xlfn.STDEV.S('R1'!M174,'R2'!M174,'R3'!M174)</f>
        <v>2.5341524288132466E-3</v>
      </c>
      <c r="O174">
        <f>_xlfn.STDEV.S('R1'!N174,'R2'!N174,'R3'!N174)</f>
        <v>2.6798607084738125E-2</v>
      </c>
      <c r="P174">
        <f>_xlfn.STDEV.S('R1'!O174,'R2'!O174,'R3'!O174)</f>
        <v>6.8359162659011813E-3</v>
      </c>
    </row>
    <row r="175" spans="1:16" x14ac:dyDescent="0.25">
      <c r="A175">
        <f>AVERAGE('R1'!F175,'R2'!F175,'R3'!F175)</f>
        <v>0.12996433333333332</v>
      </c>
      <c r="B175">
        <f>AVERAGE('R1'!G175,'R2'!G175,'R3'!G175)</f>
        <v>19.769428916666666</v>
      </c>
      <c r="C175">
        <f>-'R1'!H175</f>
        <v>0</v>
      </c>
      <c r="D175">
        <f>DEGREES(ATAN(-SIN(RADIANS(('R1'!I175)))/(COS(RADIANS(Sheet1!C175))*COS(RADIANS('R1'!I175)))))</f>
        <v>28</v>
      </c>
      <c r="E175">
        <f>AVERAGE('R1'!J175,'R2'!J175,'R3'!J175)</f>
        <v>1.17</v>
      </c>
      <c r="F175">
        <f>AVERAGE('R1'!K175,'R2'!K175,'R3'!K175)</f>
        <v>5.7880242499999994</v>
      </c>
      <c r="G175">
        <f>AVERAGE('R1'!L175,'R2'!L175,'R3'!L175)</f>
        <v>1.9449320305364513</v>
      </c>
      <c r="H175">
        <f>AVERAGE('R1'!M175,'R2'!M175,'R3'!M175)</f>
        <v>-3.032339867552819E-2</v>
      </c>
      <c r="I175">
        <f>AVERAGE('R1'!N175,'R2'!N175,'R3'!N175)</f>
        <v>-0.52787256962169815</v>
      </c>
      <c r="J175">
        <f>AVERAGE('R1'!O175,'R2'!O175,'R3'!O175)</f>
        <v>0.12761863672168883</v>
      </c>
      <c r="K175">
        <f t="shared" si="6"/>
        <v>1128.66472875</v>
      </c>
      <c r="M175">
        <f>_xlfn.STDEV.S('R1'!L175,'R2'!L175,'R3'!L175)</f>
        <v>1.0204450530911542E-2</v>
      </c>
      <c r="N175">
        <f>_xlfn.STDEV.S('R1'!M175,'R2'!M175,'R3'!M175)</f>
        <v>8.732806444159677E-3</v>
      </c>
      <c r="O175">
        <f>_xlfn.STDEV.S('R1'!N175,'R2'!N175,'R3'!N175)</f>
        <v>1.6768927686658081E-2</v>
      </c>
      <c r="P175">
        <f>_xlfn.STDEV.S('R1'!O175,'R2'!O175,'R3'!O175)</f>
        <v>5.3441238417202283E-3</v>
      </c>
    </row>
    <row r="176" spans="1:16" x14ac:dyDescent="0.25">
      <c r="A176">
        <f>AVERAGE('R1'!F176,'R2'!F176,'R3'!F176)</f>
        <v>0.12996433333333332</v>
      </c>
      <c r="B176">
        <f>AVERAGE('R1'!G176,'R2'!G176,'R3'!G176)</f>
        <v>19.942486333333335</v>
      </c>
      <c r="C176">
        <f>-'R1'!H176</f>
        <v>0</v>
      </c>
      <c r="D176">
        <f>DEGREES(ATAN(-SIN(RADIANS(('R1'!I176)))/(COS(RADIANS(Sheet1!C176))*COS(RADIANS('R1'!I176)))))</f>
        <v>24</v>
      </c>
      <c r="E176">
        <f>AVERAGE('R1'!J176,'R2'!J176,'R3'!J176)</f>
        <v>1.1683333333333332</v>
      </c>
      <c r="F176">
        <f>AVERAGE('R1'!K176,'R2'!K176,'R3'!K176)</f>
        <v>5.8167561666666669</v>
      </c>
      <c r="G176">
        <f>AVERAGE('R1'!L176,'R2'!L176,'R3'!L176)</f>
        <v>1.6687424825433299</v>
      </c>
      <c r="H176">
        <f>AVERAGE('R1'!M176,'R2'!M176,'R3'!M176)</f>
        <v>-2.4372005556091387E-2</v>
      </c>
      <c r="I176">
        <f>AVERAGE('R1'!N176,'R2'!N176,'R3'!N176)</f>
        <v>-0.34884488305179029</v>
      </c>
      <c r="J176">
        <f>AVERAGE('R1'!O176,'R2'!O176,'R3'!O176)</f>
        <v>0.30423895043014337</v>
      </c>
      <c r="K176">
        <f t="shared" si="6"/>
        <v>1132.6516868981482</v>
      </c>
      <c r="M176">
        <f>_xlfn.STDEV.S('R1'!L176,'R2'!L176,'R3'!L176)</f>
        <v>2.0286029366951924E-2</v>
      </c>
      <c r="N176">
        <f>_xlfn.STDEV.S('R1'!M176,'R2'!M176,'R3'!M176)</f>
        <v>6.4337087687276447E-3</v>
      </c>
      <c r="O176">
        <f>_xlfn.STDEV.S('R1'!N176,'R2'!N176,'R3'!N176)</f>
        <v>1.7732210248047803E-2</v>
      </c>
      <c r="P176">
        <f>_xlfn.STDEV.S('R1'!O176,'R2'!O176,'R3'!O176)</f>
        <v>8.9359273331384836E-3</v>
      </c>
    </row>
    <row r="177" spans="1:16" x14ac:dyDescent="0.25">
      <c r="A177">
        <f>AVERAGE('R1'!F177,'R2'!F177,'R3'!F177)</f>
        <v>0.12996433333333332</v>
      </c>
      <c r="B177">
        <f>AVERAGE('R1'!G177,'R2'!G177,'R3'!G177)</f>
        <v>19.91582575</v>
      </c>
      <c r="C177">
        <f>-'R1'!H177</f>
        <v>0</v>
      </c>
      <c r="D177">
        <f>DEGREES(ATAN(-SIN(RADIANS(('R1'!I177)))/(COS(RADIANS(Sheet1!C177))*COS(RADIANS('R1'!I177)))))</f>
        <v>20</v>
      </c>
      <c r="E177">
        <f>AVERAGE('R1'!J177,'R2'!J177,'R3'!J177)</f>
        <v>1.1683333333333332</v>
      </c>
      <c r="F177">
        <f>AVERAGE('R1'!K177,'R2'!K177,'R3'!K177)</f>
        <v>5.8112025833333334</v>
      </c>
      <c r="G177">
        <f>AVERAGE('R1'!L177,'R2'!L177,'R3'!L177)</f>
        <v>1.4260801145130506</v>
      </c>
      <c r="H177">
        <f>AVERAGE('R1'!M177,'R2'!M177,'R3'!M177)</f>
        <v>-3.0708227480893427E-2</v>
      </c>
      <c r="I177">
        <f>AVERAGE('R1'!N177,'R2'!N177,'R3'!N177)</f>
        <v>-0.19850039117272508</v>
      </c>
      <c r="J177">
        <f>AVERAGE('R1'!O177,'R2'!O177,'R3'!O177)</f>
        <v>0.4530089208601118</v>
      </c>
      <c r="K177">
        <f t="shared" si="6"/>
        <v>1131.5702808101851</v>
      </c>
      <c r="M177">
        <f>_xlfn.STDEV.S('R1'!L177,'R2'!L177,'R3'!L177)</f>
        <v>6.6589499750444852E-3</v>
      </c>
      <c r="N177">
        <f>_xlfn.STDEV.S('R1'!M177,'R2'!M177,'R3'!M177)</f>
        <v>1.1512342294221342E-2</v>
      </c>
      <c r="O177">
        <f>_xlfn.STDEV.S('R1'!N177,'R2'!N177,'R3'!N177)</f>
        <v>1.5217466641286478E-2</v>
      </c>
      <c r="P177">
        <f>_xlfn.STDEV.S('R1'!O177,'R2'!O177,'R3'!O177)</f>
        <v>8.2333404934268918E-3</v>
      </c>
    </row>
    <row r="178" spans="1:16" x14ac:dyDescent="0.25">
      <c r="A178">
        <f>AVERAGE('R1'!F178,'R2'!F178,'R3'!F178)</f>
        <v>0.12996433333333332</v>
      </c>
      <c r="B178">
        <f>AVERAGE('R1'!G178,'R2'!G178,'R3'!G178)</f>
        <v>19.835784</v>
      </c>
      <c r="C178">
        <f>-'R1'!H178</f>
        <v>0</v>
      </c>
      <c r="D178">
        <f>DEGREES(ATAN(-SIN(RADIANS(('R1'!I178)))/(COS(RADIANS(Sheet1!C178))*COS(RADIANS('R1'!I178)))))</f>
        <v>16</v>
      </c>
      <c r="E178">
        <f>AVERAGE('R1'!J178,'R2'!J178,'R3'!J178)</f>
        <v>1.17</v>
      </c>
      <c r="F178">
        <f>AVERAGE('R1'!K178,'R2'!K178,'R3'!K178)</f>
        <v>5.796571833333334</v>
      </c>
      <c r="G178">
        <f>AVERAGE('R1'!L178,'R2'!L178,'R3'!L178)</f>
        <v>1.1984840806829817</v>
      </c>
      <c r="H178">
        <f>AVERAGE('R1'!M178,'R2'!M178,'R3'!M178)</f>
        <v>-2.900432805690779E-2</v>
      </c>
      <c r="I178">
        <f>AVERAGE('R1'!N178,'R2'!N178,'R3'!N178)</f>
        <v>-0.10545161825062847</v>
      </c>
      <c r="J178">
        <f>AVERAGE('R1'!O178,'R2'!O178,'R3'!O178)</f>
        <v>0.61853621509992396</v>
      </c>
      <c r="K178">
        <f t="shared" si="6"/>
        <v>1130.3315075</v>
      </c>
      <c r="M178">
        <f>_xlfn.STDEV.S('R1'!L178,'R2'!L178,'R3'!L178)</f>
        <v>6.60498067474763E-3</v>
      </c>
      <c r="N178">
        <f>_xlfn.STDEV.S('R1'!M178,'R2'!M178,'R3'!M178)</f>
        <v>9.0435983392893569E-3</v>
      </c>
      <c r="O178">
        <f>_xlfn.STDEV.S('R1'!N178,'R2'!N178,'R3'!N178)</f>
        <v>1.3263817250304686E-2</v>
      </c>
      <c r="P178">
        <f>_xlfn.STDEV.S('R1'!O178,'R2'!O178,'R3'!O178)</f>
        <v>6.759270820632146E-3</v>
      </c>
    </row>
    <row r="179" spans="1:16" x14ac:dyDescent="0.25">
      <c r="A179">
        <f>AVERAGE('R1'!F179,'R2'!F179,'R3'!F179)</f>
        <v>9.7479999999999997E-2</v>
      </c>
      <c r="B179">
        <f>AVERAGE('R1'!G179,'R2'!G179,'R3'!G179)</f>
        <v>19.727997666666663</v>
      </c>
      <c r="C179">
        <f>-'R1'!H179</f>
        <v>0</v>
      </c>
      <c r="D179">
        <f>DEGREES(ATAN(-SIN(RADIANS(('R1'!I179)))/(COS(RADIANS(Sheet1!C179))*COS(RADIANS('R1'!I179)))))</f>
        <v>12.000000000000002</v>
      </c>
      <c r="E179">
        <f>AVERAGE('R1'!J179,'R2'!J179,'R3'!J179)</f>
        <v>1.17</v>
      </c>
      <c r="F179">
        <f>AVERAGE('R1'!K179,'R2'!K179,'R3'!K179)</f>
        <v>5.7866331666666673</v>
      </c>
      <c r="G179">
        <f>AVERAGE('R1'!L179,'R2'!L179,'R3'!L179)</f>
        <v>0.94699855488668705</v>
      </c>
      <c r="H179">
        <f>AVERAGE('R1'!M179,'R2'!M179,'R3'!M179)</f>
        <v>-4.1283663910368092E-2</v>
      </c>
      <c r="I179">
        <f>AVERAGE('R1'!N179,'R2'!N179,'R3'!N179)</f>
        <v>-3.4781105407857581E-2</v>
      </c>
      <c r="J179">
        <f>AVERAGE('R1'!O179,'R2'!O179,'R3'!O179)</f>
        <v>0.79465841419055361</v>
      </c>
      <c r="K179">
        <f t="shared" si="6"/>
        <v>1128.3934675</v>
      </c>
      <c r="M179">
        <f>_xlfn.STDEV.S('R1'!L179,'R2'!L179,'R3'!L179)</f>
        <v>1.432538810014067E-2</v>
      </c>
      <c r="N179">
        <f>_xlfn.STDEV.S('R1'!M179,'R2'!M179,'R3'!M179)</f>
        <v>9.9971730530663133E-3</v>
      </c>
      <c r="O179">
        <f>_xlfn.STDEV.S('R1'!N179,'R2'!N179,'R3'!N179)</f>
        <v>1.7706481377395472E-2</v>
      </c>
      <c r="P179">
        <f>_xlfn.STDEV.S('R1'!O179,'R2'!O179,'R3'!O179)</f>
        <v>1.9443546610271301E-2</v>
      </c>
    </row>
    <row r="180" spans="1:16" x14ac:dyDescent="0.25">
      <c r="A180">
        <f>AVERAGE('R1'!F180,'R2'!F180,'R3'!F180)</f>
        <v>9.7479999999999997E-2</v>
      </c>
      <c r="B180">
        <f>AVERAGE('R1'!G180,'R2'!G180,'R3'!G180)</f>
        <v>19.355556416666666</v>
      </c>
      <c r="C180">
        <f>-'R1'!H180</f>
        <v>0</v>
      </c>
      <c r="D180">
        <f>DEGREES(ATAN(-SIN(RADIANS(('R1'!I180)))/(COS(RADIANS(Sheet1!C180))*COS(RADIANS('R1'!I180)))))</f>
        <v>7.9999999999999982</v>
      </c>
      <c r="E180">
        <f>AVERAGE('R1'!J180,'R2'!J180,'R3'!J180)</f>
        <v>1.17</v>
      </c>
      <c r="F180">
        <f>AVERAGE('R1'!K180,'R2'!K180,'R3'!K180)</f>
        <v>5.7314310833333337</v>
      </c>
      <c r="G180">
        <f>AVERAGE('R1'!L180,'R2'!L180,'R3'!L180)</f>
        <v>0.68544441427592684</v>
      </c>
      <c r="H180">
        <f>AVERAGE('R1'!M180,'R2'!M180,'R3'!M180)</f>
        <v>-3.5768648812505223E-2</v>
      </c>
      <c r="I180">
        <f>AVERAGE('R1'!N180,'R2'!N180,'R3'!N180)</f>
        <v>1.4186765931322858E-2</v>
      </c>
      <c r="J180">
        <f>AVERAGE('R1'!O180,'R2'!O180,'R3'!O180)</f>
        <v>0.98973874274782059</v>
      </c>
      <c r="K180">
        <f t="shared" si="6"/>
        <v>1117.6290612499999</v>
      </c>
      <c r="M180">
        <f>_xlfn.STDEV.S('R1'!L180,'R2'!L180,'R3'!L180)</f>
        <v>9.450809344641261E-3</v>
      </c>
      <c r="N180">
        <f>_xlfn.STDEV.S('R1'!M180,'R2'!M180,'R3'!M180)</f>
        <v>1.4976186177443871E-2</v>
      </c>
      <c r="O180">
        <f>_xlfn.STDEV.S('R1'!N180,'R2'!N180,'R3'!N180)</f>
        <v>1.7110857284252826E-2</v>
      </c>
      <c r="P180">
        <f>_xlfn.STDEV.S('R1'!O180,'R2'!O180,'R3'!O180)</f>
        <v>7.2454229380891173E-3</v>
      </c>
    </row>
    <row r="181" spans="1:16" x14ac:dyDescent="0.25">
      <c r="A181">
        <f>AVERAGE('R1'!F181,'R2'!F181,'R3'!F181)</f>
        <v>9.7479999999999997E-2</v>
      </c>
      <c r="B181">
        <f>AVERAGE('R1'!G181,'R2'!G181,'R3'!G181)</f>
        <v>19.342599083333333</v>
      </c>
      <c r="C181">
        <f>-'R1'!H181</f>
        <v>0</v>
      </c>
      <c r="D181">
        <f>DEGREES(ATAN(-SIN(RADIANS(('R1'!I181)))/(COS(RADIANS(Sheet1!C181))*COS(RADIANS('R1'!I181)))))</f>
        <v>4</v>
      </c>
      <c r="E181">
        <f>AVERAGE('R1'!J181,'R2'!J181,'R3'!J181)</f>
        <v>1.1691666666666667</v>
      </c>
      <c r="F181">
        <f>AVERAGE('R1'!K181,'R2'!K181,'R3'!K181)</f>
        <v>5.73264</v>
      </c>
      <c r="G181">
        <f>AVERAGE('R1'!L181,'R2'!L181,'R3'!L181)</f>
        <v>0.36058544110818991</v>
      </c>
      <c r="H181">
        <f>AVERAGE('R1'!M181,'R2'!M181,'R3'!M181)</f>
        <v>-2.7795841077801097E-2</v>
      </c>
      <c r="I181">
        <f>AVERAGE('R1'!N181,'R2'!N181,'R3'!N181)</f>
        <v>3.3643520512529813E-2</v>
      </c>
      <c r="J181">
        <f>AVERAGE('R1'!O181,'R2'!O181,'R3'!O181)</f>
        <v>1.2271769148550427</v>
      </c>
      <c r="K181">
        <f t="shared" si="6"/>
        <v>1117.0686000000001</v>
      </c>
      <c r="M181">
        <f>_xlfn.STDEV.S('R1'!L181,'R2'!L181,'R3'!L181)</f>
        <v>1.8898659389601859E-2</v>
      </c>
      <c r="N181">
        <f>_xlfn.STDEV.S('R1'!M181,'R2'!M181,'R3'!M181)</f>
        <v>3.4978676002948837E-3</v>
      </c>
      <c r="O181">
        <f>_xlfn.STDEV.S('R1'!N181,'R2'!N181,'R3'!N181)</f>
        <v>2.0814844114916221E-2</v>
      </c>
      <c r="P181">
        <f>_xlfn.STDEV.S('R1'!O181,'R2'!O181,'R3'!O181)</f>
        <v>1.4698776174626654E-2</v>
      </c>
    </row>
    <row r="182" spans="1:16" x14ac:dyDescent="0.25">
      <c r="A182">
        <f>AVERAGE('R1'!F182,'R2'!F182,'R3'!F182)</f>
        <v>0.11372216666666667</v>
      </c>
      <c r="B182">
        <f>AVERAGE('R1'!G182,'R2'!G182,'R3'!G182)</f>
        <v>19.528940666666667</v>
      </c>
      <c r="C182">
        <f>-'R1'!H182</f>
        <v>0</v>
      </c>
      <c r="D182">
        <f>DEGREES(ATAN(-SIN(RADIANS(('R1'!I182)))/(COS(RADIANS(Sheet1!C182))*COS(RADIANS('R1'!I182)))))</f>
        <v>0</v>
      </c>
      <c r="E182">
        <f>AVERAGE('R1'!J182,'R2'!J182,'R3'!J182)</f>
        <v>1.1691666666666667</v>
      </c>
      <c r="F182">
        <f>AVERAGE('R1'!K182,'R2'!K182,'R3'!K182)</f>
        <v>5.7595963333333344</v>
      </c>
      <c r="G182">
        <f>AVERAGE('R1'!L182,'R2'!L182,'R3'!L182)</f>
        <v>-4.7599913784960986E-2</v>
      </c>
      <c r="H182">
        <f>AVERAGE('R1'!M182,'R2'!M182,'R3'!M182)</f>
        <v>-2.5441662331482068E-2</v>
      </c>
      <c r="I182">
        <f>AVERAGE('R1'!N182,'R2'!N182,'R3'!N182)</f>
        <v>4.5874219320034874E-2</v>
      </c>
      <c r="J182">
        <f>AVERAGE('R1'!O182,'R2'!O182,'R3'!O182)</f>
        <v>1.4056795888234275</v>
      </c>
      <c r="K182">
        <f t="shared" si="6"/>
        <v>1122.321341064815</v>
      </c>
      <c r="M182">
        <f>_xlfn.STDEV.S('R1'!L182,'R2'!L182,'R3'!L182)</f>
        <v>1.5816302923494483E-2</v>
      </c>
      <c r="N182">
        <f>_xlfn.STDEV.S('R1'!M182,'R2'!M182,'R3'!M182)</f>
        <v>7.4391423061149937E-3</v>
      </c>
      <c r="O182">
        <f>_xlfn.STDEV.S('R1'!N182,'R2'!N182,'R3'!N182)</f>
        <v>1.8722497732132321E-2</v>
      </c>
      <c r="P182">
        <f>_xlfn.STDEV.S('R1'!O182,'R2'!O182,'R3'!O182)</f>
        <v>1.680975258549685E-2</v>
      </c>
    </row>
    <row r="183" spans="1:16" x14ac:dyDescent="0.25">
      <c r="A183">
        <f>AVERAGE('R1'!F183,'R2'!F183,'R3'!F183)</f>
        <v>0.12996433333333332</v>
      </c>
      <c r="B183">
        <f>AVERAGE('R1'!G183,'R2'!G183,'R3'!G183)</f>
        <v>19.461827333333336</v>
      </c>
      <c r="C183">
        <f>-'R1'!H183</f>
        <v>0</v>
      </c>
      <c r="D183">
        <f>DEGREES(ATAN(-SIN(RADIANS(('R1'!I183)))/(COS(RADIANS(Sheet1!C183))*COS(RADIANS('R1'!I183)))))</f>
        <v>-4</v>
      </c>
      <c r="E183">
        <f>AVERAGE('R1'!J183,'R2'!J183,'R3'!J183)</f>
        <v>1.1683333333333332</v>
      </c>
      <c r="F183">
        <f>AVERAGE('R1'!K183,'R2'!K183,'R3'!K183)</f>
        <v>5.7497891666666661</v>
      </c>
      <c r="G183">
        <f>AVERAGE('R1'!L183,'R2'!L183,'R3'!L183)</f>
        <v>-0.43158869013025719</v>
      </c>
      <c r="H183">
        <f>AVERAGE('R1'!M183,'R2'!M183,'R3'!M183)</f>
        <v>-1.3571523451246813E-2</v>
      </c>
      <c r="I183">
        <f>AVERAGE('R1'!N183,'R2'!N183,'R3'!N183)</f>
        <v>3.9205866979727465E-2</v>
      </c>
      <c r="J183">
        <f>AVERAGE('R1'!O183,'R2'!O183,'R3'!O183)</f>
        <v>1.1672679535674177</v>
      </c>
      <c r="K183">
        <f t="shared" si="6"/>
        <v>1119.6117238425925</v>
      </c>
      <c r="M183">
        <f>_xlfn.STDEV.S('R1'!L183,'R2'!L183,'R3'!L183)</f>
        <v>9.2122716973709762E-3</v>
      </c>
      <c r="N183">
        <f>_xlfn.STDEV.S('R1'!M183,'R2'!M183,'R3'!M183)</f>
        <v>1.3195765599806271E-2</v>
      </c>
      <c r="O183">
        <f>_xlfn.STDEV.S('R1'!N183,'R2'!N183,'R3'!N183)</f>
        <v>1.7693858618171927E-2</v>
      </c>
      <c r="P183">
        <f>_xlfn.STDEV.S('R1'!O183,'R2'!O183,'R3'!O183)</f>
        <v>2.5343396522664294E-2</v>
      </c>
    </row>
    <row r="184" spans="1:16" x14ac:dyDescent="0.25">
      <c r="A184">
        <f>AVERAGE('R1'!F184,'R2'!F184,'R3'!F184)</f>
        <v>9.7479999999999997E-2</v>
      </c>
      <c r="B184">
        <f>AVERAGE('R1'!G184,'R2'!G184,'R3'!G184)</f>
        <v>19.515984333333336</v>
      </c>
      <c r="C184">
        <f>-'R1'!H184</f>
        <v>0</v>
      </c>
      <c r="D184">
        <f>DEGREES(ATAN(-SIN(RADIANS(('R1'!I184)))/(COS(RADIANS(Sheet1!C184))*COS(RADIANS('R1'!I184)))))</f>
        <v>-7.9999999999999982</v>
      </c>
      <c r="E184">
        <f>AVERAGE('R1'!J184,'R2'!J184,'R3'!J184)</f>
        <v>1.17</v>
      </c>
      <c r="F184">
        <f>AVERAGE('R1'!K184,'R2'!K184,'R3'!K184)</f>
        <v>5.7590300833333332</v>
      </c>
      <c r="G184">
        <f>AVERAGE('R1'!L184,'R2'!L184,'R3'!L184)</f>
        <v>-0.74137215942575063</v>
      </c>
      <c r="H184">
        <f>AVERAGE('R1'!M184,'R2'!M184,'R3'!M184)</f>
        <v>-3.5967364417418611E-3</v>
      </c>
      <c r="I184">
        <f>AVERAGE('R1'!N184,'R2'!N184,'R3'!N184)</f>
        <v>1.2268123877144757E-2</v>
      </c>
      <c r="J184">
        <f>AVERAGE('R1'!O184,'R2'!O184,'R3'!O184)</f>
        <v>0.95111236648437647</v>
      </c>
      <c r="K184">
        <f t="shared" si="6"/>
        <v>1123.0108662499999</v>
      </c>
      <c r="M184">
        <f>_xlfn.STDEV.S('R1'!L184,'R2'!L184,'R3'!L184)</f>
        <v>1.0750909346226261E-2</v>
      </c>
      <c r="N184">
        <f>_xlfn.STDEV.S('R1'!M184,'R2'!M184,'R3'!M184)</f>
        <v>8.437198587849512E-3</v>
      </c>
      <c r="O184">
        <f>_xlfn.STDEV.S('R1'!N184,'R2'!N184,'R3'!N184)</f>
        <v>2.2381827131478335E-2</v>
      </c>
      <c r="P184">
        <f>_xlfn.STDEV.S('R1'!O184,'R2'!O184,'R3'!O184)</f>
        <v>1.2230710139264198E-2</v>
      </c>
    </row>
    <row r="185" spans="1:16" x14ac:dyDescent="0.25">
      <c r="A185">
        <f>AVERAGE('R1'!F185,'R2'!F185,'R3'!F185)</f>
        <v>0.11372216666666667</v>
      </c>
      <c r="B185">
        <f>AVERAGE('R1'!G185,'R2'!G185,'R3'!G185)</f>
        <v>19.649373999999998</v>
      </c>
      <c r="C185">
        <f>-'R1'!H185</f>
        <v>0</v>
      </c>
      <c r="D185">
        <f>DEGREES(ATAN(-SIN(RADIANS(('R1'!I185)))/(COS(RADIANS(Sheet1!C185))*COS(RADIANS('R1'!I185)))))</f>
        <v>-12.000000000000002</v>
      </c>
      <c r="E185">
        <f>AVERAGE('R1'!J185,'R2'!J185,'R3'!J185)</f>
        <v>1.17</v>
      </c>
      <c r="F185">
        <f>AVERAGE('R1'!K185,'R2'!K185,'R3'!K185)</f>
        <v>5.7769501666666665</v>
      </c>
      <c r="G185">
        <f>AVERAGE('R1'!L185,'R2'!L185,'R3'!L185)</f>
        <v>-1.0038581102508666</v>
      </c>
      <c r="H185">
        <f>AVERAGE('R1'!M185,'R2'!M185,'R3'!M185)</f>
        <v>4.1497056636494471E-3</v>
      </c>
      <c r="I185">
        <f>AVERAGE('R1'!N185,'R2'!N185,'R3'!N185)</f>
        <v>-4.677434732982997E-2</v>
      </c>
      <c r="J185">
        <f>AVERAGE('R1'!O185,'R2'!O185,'R3'!O185)</f>
        <v>0.76686600581143161</v>
      </c>
      <c r="K185">
        <f t="shared" si="6"/>
        <v>1126.5052824999998</v>
      </c>
      <c r="M185">
        <f>_xlfn.STDEV.S('R1'!L185,'R2'!L185,'R3'!L185)</f>
        <v>1.7110834649836817E-3</v>
      </c>
      <c r="N185">
        <f>_xlfn.STDEV.S('R1'!M185,'R2'!M185,'R3'!M185)</f>
        <v>3.3504606874607615E-3</v>
      </c>
      <c r="O185">
        <f>_xlfn.STDEV.S('R1'!N185,'R2'!N185,'R3'!N185)</f>
        <v>1.4254136825386178E-2</v>
      </c>
      <c r="P185">
        <f>_xlfn.STDEV.S('R1'!O185,'R2'!O185,'R3'!O185)</f>
        <v>1.3332455734715086E-2</v>
      </c>
    </row>
    <row r="186" spans="1:16" x14ac:dyDescent="0.25">
      <c r="A186">
        <f>AVERAGE('R1'!F186,'R2'!F186,'R3'!F186)</f>
        <v>9.7479999999999997E-2</v>
      </c>
      <c r="B186">
        <f>AVERAGE('R1'!G186,'R2'!G186,'R3'!G186)</f>
        <v>19.596368166666668</v>
      </c>
      <c r="C186">
        <f>-'R1'!H186</f>
        <v>0</v>
      </c>
      <c r="D186">
        <f>DEGREES(ATAN(-SIN(RADIANS(('R1'!I186)))/(COS(RADIANS(Sheet1!C186))*COS(RADIANS('R1'!I186)))))</f>
        <v>-16</v>
      </c>
      <c r="E186">
        <f>AVERAGE('R1'!J186,'R2'!J186,'R3'!J186)</f>
        <v>1.17</v>
      </c>
      <c r="F186">
        <f>AVERAGE('R1'!K186,'R2'!K186,'R3'!K186)</f>
        <v>5.7726541666666664</v>
      </c>
      <c r="G186">
        <f>AVERAGE('R1'!L186,'R2'!L186,'R3'!L186)</f>
        <v>-1.2472302814632428</v>
      </c>
      <c r="H186">
        <f>AVERAGE('R1'!M186,'R2'!M186,'R3'!M186)</f>
        <v>2.3568429086562148E-2</v>
      </c>
      <c r="I186">
        <f>AVERAGE('R1'!N186,'R2'!N186,'R3'!N186)</f>
        <v>-0.13693039971831253</v>
      </c>
      <c r="J186">
        <f>AVERAGE('R1'!O186,'R2'!O186,'R3'!O186)</f>
        <v>0.60159663898190185</v>
      </c>
      <c r="K186">
        <f t="shared" si="6"/>
        <v>1125.6675625</v>
      </c>
      <c r="M186">
        <f>_xlfn.STDEV.S('R1'!L186,'R2'!L186,'R3'!L186)</f>
        <v>7.4060675594741394E-3</v>
      </c>
      <c r="N186">
        <f>_xlfn.STDEV.S('R1'!M186,'R2'!M186,'R3'!M186)</f>
        <v>6.4211136352187274E-3</v>
      </c>
      <c r="O186">
        <f>_xlfn.STDEV.S('R1'!N186,'R2'!N186,'R3'!N186)</f>
        <v>1.7682748463054697E-2</v>
      </c>
      <c r="P186">
        <f>_xlfn.STDEV.S('R1'!O186,'R2'!O186,'R3'!O186)</f>
        <v>1.0319175705146285E-2</v>
      </c>
    </row>
    <row r="187" spans="1:16" x14ac:dyDescent="0.25">
      <c r="A187">
        <f>AVERAGE('R1'!F187,'R2'!F187,'R3'!F187)</f>
        <v>0.11372216666666667</v>
      </c>
      <c r="B187">
        <f>AVERAGE('R1'!G187,'R2'!G187,'R3'!G187)</f>
        <v>19.729763416666668</v>
      </c>
      <c r="C187">
        <f>-'R1'!H187</f>
        <v>0</v>
      </c>
      <c r="D187">
        <f>DEGREES(ATAN(-SIN(RADIANS(('R1'!I187)))/(COS(RADIANS(Sheet1!C187))*COS(RADIANS('R1'!I187)))))</f>
        <v>-20</v>
      </c>
      <c r="E187">
        <f>AVERAGE('R1'!J187,'R2'!J187,'R3'!J187)</f>
        <v>1.1691666666666667</v>
      </c>
      <c r="F187">
        <f>AVERAGE('R1'!K187,'R2'!K187,'R3'!K187)</f>
        <v>5.7919359166666675</v>
      </c>
      <c r="G187">
        <f>AVERAGE('R1'!L187,'R2'!L187,'R3'!L187)</f>
        <v>-1.5046724505748663</v>
      </c>
      <c r="H187">
        <f>AVERAGE('R1'!M187,'R2'!M187,'R3'!M187)</f>
        <v>4.834285771988181E-2</v>
      </c>
      <c r="I187">
        <f>AVERAGE('R1'!N187,'R2'!N187,'R3'!N187)</f>
        <v>-0.27835736404240502</v>
      </c>
      <c r="J187">
        <f>AVERAGE('R1'!O187,'R2'!O187,'R3'!O187)</f>
        <v>0.4349348632286385</v>
      </c>
      <c r="K187">
        <f t="shared" si="6"/>
        <v>1128.6230682060186</v>
      </c>
      <c r="M187">
        <f>_xlfn.STDEV.S('R1'!L187,'R2'!L187,'R3'!L187)</f>
        <v>8.2690246241685309E-3</v>
      </c>
      <c r="N187">
        <f>_xlfn.STDEV.S('R1'!M187,'R2'!M187,'R3'!M187)</f>
        <v>5.8866937330481536E-3</v>
      </c>
      <c r="O187">
        <f>_xlfn.STDEV.S('R1'!N187,'R2'!N187,'R3'!N187)</f>
        <v>1.6124954131647131E-2</v>
      </c>
      <c r="P187">
        <f>_xlfn.STDEV.S('R1'!O187,'R2'!O187,'R3'!O187)</f>
        <v>7.3347181519524806E-3</v>
      </c>
    </row>
    <row r="188" spans="1:16" x14ac:dyDescent="0.25">
      <c r="A188">
        <f>AVERAGE('R1'!F188,'R2'!F188,'R3'!F188)</f>
        <v>0.11372216666666667</v>
      </c>
      <c r="B188">
        <f>AVERAGE('R1'!G188,'R2'!G188,'R3'!G188)</f>
        <v>19.781978833333334</v>
      </c>
      <c r="C188">
        <f>-'R1'!H188</f>
        <v>0</v>
      </c>
      <c r="D188">
        <f>DEGREES(ATAN(-SIN(RADIANS(('R1'!I188)))/(COS(RADIANS(Sheet1!C188))*COS(RADIANS('R1'!I188)))))</f>
        <v>-24</v>
      </c>
      <c r="E188">
        <f>AVERAGE('R1'!J188,'R2'!J188,'R3'!J188)</f>
        <v>1.1683333333333332</v>
      </c>
      <c r="F188">
        <f>AVERAGE('R1'!K188,'R2'!K188,'R3'!K188)</f>
        <v>5.8012596666666667</v>
      </c>
      <c r="G188">
        <f>AVERAGE('R1'!L188,'R2'!L188,'R3'!L188)</f>
        <v>-1.8003926044347509</v>
      </c>
      <c r="H188">
        <f>AVERAGE('R1'!M188,'R2'!M188,'R3'!M188)</f>
        <v>6.7688602981057708E-2</v>
      </c>
      <c r="I188">
        <f>AVERAGE('R1'!N188,'R2'!N188,'R3'!N188)</f>
        <v>-0.4738500664663361</v>
      </c>
      <c r="J188">
        <f>AVERAGE('R1'!O188,'R2'!O188,'R3'!O188)</f>
        <v>0.26704826343971533</v>
      </c>
      <c r="K188">
        <f t="shared" si="6"/>
        <v>1129.6341739814814</v>
      </c>
      <c r="M188">
        <f>_xlfn.STDEV.S('R1'!L188,'R2'!L188,'R3'!L188)</f>
        <v>1.3419981407895687E-2</v>
      </c>
      <c r="N188">
        <f>_xlfn.STDEV.S('R1'!M188,'R2'!M188,'R3'!M188)</f>
        <v>1.0605350277304033E-2</v>
      </c>
      <c r="O188">
        <f>_xlfn.STDEV.S('R1'!N188,'R2'!N188,'R3'!N188)</f>
        <v>2.1980892286183155E-2</v>
      </c>
      <c r="P188">
        <f>_xlfn.STDEV.S('R1'!O188,'R2'!O188,'R3'!O188)</f>
        <v>3.7755447718366511E-3</v>
      </c>
    </row>
    <row r="189" spans="1:16" x14ac:dyDescent="0.25">
      <c r="A189">
        <f>AVERAGE('R1'!F189,'R2'!F189,'R3'!F189)</f>
        <v>9.7479999999999997E-2</v>
      </c>
      <c r="B189">
        <f>AVERAGE('R1'!G189,'R2'!G189,'R3'!G189)</f>
        <v>19.862022249999999</v>
      </c>
      <c r="C189">
        <f>-'R1'!H189</f>
        <v>0</v>
      </c>
      <c r="D189">
        <f>DEGREES(ATAN(-SIN(RADIANS(('R1'!I189)))/(COS(RADIANS(Sheet1!C189))*COS(RADIANS('R1'!I189)))))</f>
        <v>-28</v>
      </c>
      <c r="E189">
        <f>AVERAGE('R1'!J189,'R2'!J189,'R3'!J189)</f>
        <v>1.1691666666666667</v>
      </c>
      <c r="F189">
        <f>AVERAGE('R1'!K189,'R2'!K189,'R3'!K189)</f>
        <v>5.8122894166666663</v>
      </c>
      <c r="G189">
        <f>AVERAGE('R1'!L189,'R2'!L189,'R3'!L189)</f>
        <v>-2.1767643356110344</v>
      </c>
      <c r="H189">
        <f>AVERAGE('R1'!M189,'R2'!M189,'R3'!M189)</f>
        <v>0.10275548959817106</v>
      </c>
      <c r="I189">
        <f>AVERAGE('R1'!N189,'R2'!N189,'R3'!N189)</f>
        <v>-0.76297320264235768</v>
      </c>
      <c r="J189">
        <f>AVERAGE('R1'!O189,'R2'!O189,'R3'!O189)</f>
        <v>7.8751639866580916E-2</v>
      </c>
      <c r="K189">
        <f t="shared" si="6"/>
        <v>1132.5891738310186</v>
      </c>
      <c r="M189">
        <f>_xlfn.STDEV.S('R1'!L189,'R2'!L189,'R3'!L189)</f>
        <v>1.7637545526209466E-2</v>
      </c>
      <c r="N189">
        <f>_xlfn.STDEV.S('R1'!M189,'R2'!M189,'R3'!M189)</f>
        <v>6.9061703329051146E-3</v>
      </c>
      <c r="O189">
        <f>_xlfn.STDEV.S('R1'!N189,'R2'!N189,'R3'!N189)</f>
        <v>2.5593311599036619E-2</v>
      </c>
      <c r="P189">
        <f>_xlfn.STDEV.S('R1'!O189,'R2'!O189,'R3'!O189)</f>
        <v>1.2529858932896711E-2</v>
      </c>
    </row>
    <row r="190" spans="1:16" x14ac:dyDescent="0.25">
      <c r="A190">
        <f>AVERAGE('R1'!F190,'R2'!F190,'R3'!F190)</f>
        <v>0.12996433333333332</v>
      </c>
      <c r="B190">
        <f>AVERAGE('R1'!G190,'R2'!G190,'R3'!G190)</f>
        <v>19.835737416666671</v>
      </c>
      <c r="C190">
        <f>-'R1'!H190</f>
        <v>0</v>
      </c>
      <c r="D190">
        <f>DEGREES(ATAN(-SIN(RADIANS(('R1'!I190)))/(COS(RADIANS(Sheet1!C190))*COS(RADIANS('R1'!I190)))))</f>
        <v>-32</v>
      </c>
      <c r="E190">
        <f>AVERAGE('R1'!J190,'R2'!J190,'R3'!J190)</f>
        <v>1.17</v>
      </c>
      <c r="F190">
        <f>AVERAGE('R1'!K190,'R2'!K190,'R3'!K190)</f>
        <v>5.8002269999999996</v>
      </c>
      <c r="G190">
        <f>AVERAGE('R1'!L190,'R2'!L190,'R3'!L190)</f>
        <v>-2.6703616936966945</v>
      </c>
      <c r="H190">
        <f>AVERAGE('R1'!M190,'R2'!M190,'R3'!M190)</f>
        <v>0.14562131182379187</v>
      </c>
      <c r="I190">
        <f>AVERAGE('R1'!N190,'R2'!N190,'R3'!N190)</f>
        <v>-1.1659549627024066</v>
      </c>
      <c r="J190">
        <f>AVERAGE('R1'!O190,'R2'!O190,'R3'!O190)</f>
        <v>-0.15794776898038967</v>
      </c>
      <c r="K190">
        <f t="shared" si="6"/>
        <v>1131.044265</v>
      </c>
      <c r="M190">
        <f>_xlfn.STDEV.S('R1'!L190,'R2'!L190,'R3'!L190)</f>
        <v>1.5947368907007129E-2</v>
      </c>
      <c r="N190">
        <f>_xlfn.STDEV.S('R1'!M190,'R2'!M190,'R3'!M190)</f>
        <v>8.7590479939338613E-3</v>
      </c>
      <c r="O190">
        <f>_xlfn.STDEV.S('R1'!N190,'R2'!N190,'R3'!N190)</f>
        <v>2.5998248456895336E-2</v>
      </c>
      <c r="P190">
        <f>_xlfn.STDEV.S('R1'!O190,'R2'!O190,'R3'!O190)</f>
        <v>5.2523569281112828E-3</v>
      </c>
    </row>
    <row r="191" spans="1:16" x14ac:dyDescent="0.25">
      <c r="A191">
        <f>AVERAGE('R1'!F191,'R2'!F191,'R3'!F191)</f>
        <v>9.7479999999999997E-2</v>
      </c>
      <c r="B191">
        <f>AVERAGE('R1'!G191,'R2'!G191,'R3'!G191)</f>
        <v>19.528583833333332</v>
      </c>
      <c r="C191">
        <f>-'R1'!H191</f>
        <v>0</v>
      </c>
      <c r="D191">
        <f>DEGREES(ATAN(-SIN(RADIANS(('R1'!I191)))/(COS(RADIANS(Sheet1!C191))*COS(RADIANS('R1'!I191)))))</f>
        <v>-36</v>
      </c>
      <c r="E191">
        <f>AVERAGE('R1'!J191,'R2'!J191,'R3'!J191)</f>
        <v>1.17</v>
      </c>
      <c r="F191">
        <f>AVERAGE('R1'!K191,'R2'!K191,'R3'!K191)</f>
        <v>5.7577803333333337</v>
      </c>
      <c r="G191">
        <f>AVERAGE('R1'!L191,'R2'!L191,'R3'!L191)</f>
        <v>-3.3891240105604958</v>
      </c>
      <c r="H191">
        <f>AVERAGE('R1'!M191,'R2'!M191,'R3'!M191)</f>
        <v>0.20776292943710753</v>
      </c>
      <c r="I191">
        <f>AVERAGE('R1'!N191,'R2'!N191,'R3'!N191)</f>
        <v>-1.7786412825461653</v>
      </c>
      <c r="J191">
        <f>AVERAGE('R1'!O191,'R2'!O191,'R3'!O191)</f>
        <v>-0.45264125833131558</v>
      </c>
      <c r="K191">
        <f t="shared" si="6"/>
        <v>1122.767165</v>
      </c>
      <c r="M191">
        <f>_xlfn.STDEV.S('R1'!L191,'R2'!L191,'R3'!L191)</f>
        <v>3.4542936910449573E-2</v>
      </c>
      <c r="N191">
        <f>_xlfn.STDEV.S('R1'!M191,'R2'!M191,'R3'!M191)</f>
        <v>7.7341311132330844E-3</v>
      </c>
      <c r="O191">
        <f>_xlfn.STDEV.S('R1'!N191,'R2'!N191,'R3'!N191)</f>
        <v>3.0476816942835053E-2</v>
      </c>
      <c r="P191">
        <f>_xlfn.STDEV.S('R1'!O191,'R2'!O191,'R3'!O191)</f>
        <v>6.2084680338159838E-3</v>
      </c>
    </row>
    <row r="192" spans="1:16" x14ac:dyDescent="0.25">
      <c r="A192">
        <f>AVERAGE('R1'!F192,'R2'!F192,'R3'!F192)</f>
        <v>9.7479999999999997E-2</v>
      </c>
      <c r="B192">
        <f>AVERAGE('R1'!G192,'R2'!G192,'R3'!G192)</f>
        <v>19.6760625</v>
      </c>
      <c r="C192">
        <f>-'R1'!H192</f>
        <v>-4</v>
      </c>
      <c r="D192">
        <f>DEGREES(ATAN(-SIN(RADIANS(('R1'!I192)))/(COS(RADIANS(Sheet1!C192))*COS(RADIANS('R1'!I192)))))</f>
        <v>36.066475262469574</v>
      </c>
      <c r="E192">
        <f>AVERAGE('R1'!J192,'R2'!J192,'R3'!J192)</f>
        <v>1.17</v>
      </c>
      <c r="F192">
        <f>AVERAGE('R1'!K192,'R2'!K192,'R3'!K192)</f>
        <v>5.77855075</v>
      </c>
      <c r="G192">
        <f>AVERAGE('R1'!L192,'R2'!L192,'R3'!L192)</f>
        <v>2.4717417230260965</v>
      </c>
      <c r="H192">
        <f>AVERAGE('R1'!M192,'R2'!M192,'R3'!M192)</f>
        <v>0.34700757949908639</v>
      </c>
      <c r="I192">
        <f>AVERAGE('R1'!N192,'R2'!N192,'R3'!N192)</f>
        <v>-1.0315860670053274</v>
      </c>
      <c r="J192">
        <f>AVERAGE('R1'!O192,'R2'!O192,'R3'!O192)</f>
        <v>-0.35562038331252682</v>
      </c>
      <c r="K192">
        <f t="shared" si="6"/>
        <v>1126.8173962500002</v>
      </c>
      <c r="M192">
        <f>_xlfn.STDEV.S('R1'!L192,'R2'!L192,'R3'!L192)</f>
        <v>2.6124760903780308E-2</v>
      </c>
      <c r="N192">
        <f>_xlfn.STDEV.S('R1'!M192,'R2'!M192,'R3'!M192)</f>
        <v>1.6959423542450371E-3</v>
      </c>
      <c r="O192">
        <f>_xlfn.STDEV.S('R1'!N192,'R2'!N192,'R3'!N192)</f>
        <v>2.9171003949036888E-2</v>
      </c>
      <c r="P192">
        <f>_xlfn.STDEV.S('R1'!O192,'R2'!O192,'R3'!O192)</f>
        <v>3.618166696086438E-3</v>
      </c>
    </row>
    <row r="193" spans="1:16" x14ac:dyDescent="0.25">
      <c r="A193">
        <f>AVERAGE('R1'!F193,'R2'!F193,'R3'!F193)</f>
        <v>0.12996433333333332</v>
      </c>
      <c r="B193">
        <f>AVERAGE('R1'!G193,'R2'!G193,'R3'!G193)</f>
        <v>19.821730916666667</v>
      </c>
      <c r="C193">
        <f>-'R1'!H193</f>
        <v>-4</v>
      </c>
      <c r="D193">
        <f>DEGREES(ATAN(-SIN(RADIANS(('R1'!I193)))/(COS(RADIANS(Sheet1!C193))*COS(RADIANS('R1'!I193)))))</f>
        <v>32.062832231023428</v>
      </c>
      <c r="E193">
        <f>AVERAGE('R1'!J193,'R2'!J193,'R3'!J193)</f>
        <v>1.17</v>
      </c>
      <c r="F193">
        <f>AVERAGE('R1'!K193,'R2'!K193,'R3'!K193)</f>
        <v>5.7938685833333325</v>
      </c>
      <c r="G193">
        <f>AVERAGE('R1'!L193,'R2'!L193,'R3'!L193)</f>
        <v>2.1310661271263975</v>
      </c>
      <c r="H193">
        <f>AVERAGE('R1'!M193,'R2'!M193,'R3'!M193)</f>
        <v>0.32438417418482146</v>
      </c>
      <c r="I193">
        <f>AVERAGE('R1'!N193,'R2'!N193,'R3'!N193)</f>
        <v>-0.75758180790453766</v>
      </c>
      <c r="J193">
        <f>AVERAGE('R1'!O193,'R2'!O193,'R3'!O193)</f>
        <v>-0.14119625508625486</v>
      </c>
      <c r="K193">
        <f t="shared" si="6"/>
        <v>1129.8043737499997</v>
      </c>
      <c r="M193">
        <f>_xlfn.STDEV.S('R1'!L193,'R2'!L193,'R3'!L193)</f>
        <v>1.2723574205506417E-2</v>
      </c>
      <c r="N193">
        <f>_xlfn.STDEV.S('R1'!M193,'R2'!M193,'R3'!M193)</f>
        <v>7.2868266550080258E-3</v>
      </c>
      <c r="O193">
        <f>_xlfn.STDEV.S('R1'!N193,'R2'!N193,'R3'!N193)</f>
        <v>1.8441592697276493E-2</v>
      </c>
      <c r="P193">
        <f>_xlfn.STDEV.S('R1'!O193,'R2'!O193,'R3'!O193)</f>
        <v>7.7202198081089248E-3</v>
      </c>
    </row>
    <row r="194" spans="1:16" x14ac:dyDescent="0.25">
      <c r="A194">
        <f>AVERAGE('R1'!F194,'R2'!F194,'R3'!F194)</f>
        <v>9.7479999999999997E-2</v>
      </c>
      <c r="B194">
        <f>AVERAGE('R1'!G194,'R2'!G194,'R3'!G194)</f>
        <v>19.876156083333331</v>
      </c>
      <c r="C194">
        <f>-'R1'!H194</f>
        <v>-4</v>
      </c>
      <c r="D194">
        <f>DEGREES(ATAN(-SIN(RADIANS(('R1'!I194)))/(COS(RADIANS(Sheet1!C194))*COS(RADIANS('R1'!I194)))))</f>
        <v>28.057964295258</v>
      </c>
      <c r="E194">
        <f>AVERAGE('R1'!J194,'R2'!J194,'R3'!J194)</f>
        <v>1.1683333333333332</v>
      </c>
      <c r="F194">
        <f>AVERAGE('R1'!K194,'R2'!K194,'R3'!K194)</f>
        <v>5.8099771666666662</v>
      </c>
      <c r="G194">
        <f>AVERAGE('R1'!L194,'R2'!L194,'R3'!L194)</f>
        <v>1.8391135405112078</v>
      </c>
      <c r="H194">
        <f>AVERAGE('R1'!M194,'R2'!M194,'R3'!M194)</f>
        <v>0.28889971189336178</v>
      </c>
      <c r="I194">
        <f>AVERAGE('R1'!N194,'R2'!N194,'R3'!N194)</f>
        <v>-0.52804726107569844</v>
      </c>
      <c r="J194">
        <f>AVERAGE('R1'!O194,'R2'!O194,'R3'!O194)</f>
        <v>6.2582946790145658E-2</v>
      </c>
      <c r="K194">
        <f t="shared" si="6"/>
        <v>1131.3316649537035</v>
      </c>
      <c r="M194">
        <f>_xlfn.STDEV.S('R1'!L194,'R2'!L194,'R3'!L194)</f>
        <v>7.6492311296634981E-3</v>
      </c>
      <c r="N194">
        <f>_xlfn.STDEV.S('R1'!M194,'R2'!M194,'R3'!M194)</f>
        <v>5.2517777269224146E-3</v>
      </c>
      <c r="O194">
        <f>_xlfn.STDEV.S('R1'!N194,'R2'!N194,'R3'!N194)</f>
        <v>1.6928085655292104E-2</v>
      </c>
      <c r="P194">
        <f>_xlfn.STDEV.S('R1'!O194,'R2'!O194,'R3'!O194)</f>
        <v>5.6193350790674501E-3</v>
      </c>
    </row>
    <row r="195" spans="1:16" x14ac:dyDescent="0.25">
      <c r="A195">
        <f>AVERAGE('R1'!F195,'R2'!F195,'R3'!F195)</f>
        <v>8.1237833333333329E-2</v>
      </c>
      <c r="B195">
        <f>AVERAGE('R1'!G195,'R2'!G195,'R3'!G195)</f>
        <v>19.888431499999999</v>
      </c>
      <c r="C195">
        <f>-'R1'!H195</f>
        <v>-4</v>
      </c>
      <c r="D195">
        <f>DEGREES(ATAN(-SIN(RADIANS(('R1'!I195)))/(COS(RADIANS(Sheet1!C195))*COS(RADIANS('R1'!I195)))))</f>
        <v>24.051965857834489</v>
      </c>
      <c r="E195">
        <f>AVERAGE('R1'!J195,'R2'!J195,'R3'!J195)</f>
        <v>1.1633333333333333</v>
      </c>
      <c r="F195">
        <f>AVERAGE('R1'!K195,'R2'!K195,'R3'!K195)</f>
        <v>5.8264338333333328</v>
      </c>
      <c r="G195">
        <f>AVERAGE('R1'!L195,'R2'!L195,'R3'!L195)</f>
        <v>1.5834013454206506</v>
      </c>
      <c r="H195">
        <f>AVERAGE('R1'!M195,'R2'!M195,'R3'!M195)</f>
        <v>0.26786832190255511</v>
      </c>
      <c r="I195">
        <f>AVERAGE('R1'!N195,'R2'!N195,'R3'!N195)</f>
        <v>-0.35409567022253863</v>
      </c>
      <c r="J195">
        <f>AVERAGE('R1'!O195,'R2'!O195,'R3'!O195)</f>
        <v>0.23955562346102421</v>
      </c>
      <c r="K195">
        <f t="shared" ref="K195:K258" si="7">10^5*E195*F195*0.003/1.8</f>
        <v>1129.6807821296295</v>
      </c>
      <c r="M195">
        <f>_xlfn.STDEV.S('R1'!L195,'R2'!L195,'R3'!L195)</f>
        <v>1.5153725516428556E-2</v>
      </c>
      <c r="N195">
        <f>_xlfn.STDEV.S('R1'!M195,'R2'!M195,'R3'!M195)</f>
        <v>1.6747635574094276E-2</v>
      </c>
      <c r="O195">
        <f>_xlfn.STDEV.S('R1'!N195,'R2'!N195,'R3'!N195)</f>
        <v>1.1314203189276961E-2</v>
      </c>
      <c r="P195">
        <f>_xlfn.STDEV.S('R1'!O195,'R2'!O195,'R3'!O195)</f>
        <v>3.4971850991459396E-3</v>
      </c>
    </row>
    <row r="196" spans="1:16" x14ac:dyDescent="0.25">
      <c r="A196">
        <f>AVERAGE('R1'!F196,'R2'!F196,'R3'!F196)</f>
        <v>6.499566666666666E-2</v>
      </c>
      <c r="B196">
        <f>AVERAGE('R1'!G196,'R2'!G196,'R3'!G196)</f>
        <v>19.515645083333332</v>
      </c>
      <c r="C196">
        <f>-'R1'!H196</f>
        <v>-4</v>
      </c>
      <c r="D196">
        <f>DEGREES(ATAN(-SIN(RADIANS(('R1'!I196)))/(COS(RADIANS(Sheet1!C196))*COS(RADIANS('R1'!I196)))))</f>
        <v>20.044953503068641</v>
      </c>
      <c r="E196">
        <f>AVERAGE('R1'!J196,'R2'!J196,'R3'!J196)</f>
        <v>1.17</v>
      </c>
      <c r="F196">
        <f>AVERAGE('R1'!K196,'R2'!K196,'R3'!K196)</f>
        <v>5.7585333333333324</v>
      </c>
      <c r="G196">
        <f>AVERAGE('R1'!L196,'R2'!L196,'R3'!L196)</f>
        <v>1.3600138479373296</v>
      </c>
      <c r="H196">
        <f>AVERAGE('R1'!M196,'R2'!M196,'R3'!M196)</f>
        <v>0.2515703025351958</v>
      </c>
      <c r="I196">
        <f>AVERAGE('R1'!N196,'R2'!N196,'R3'!N196)</f>
        <v>-0.21949168374618436</v>
      </c>
      <c r="J196">
        <f>AVERAGE('R1'!O196,'R2'!O196,'R3'!O196)</f>
        <v>0.39013447939841145</v>
      </c>
      <c r="K196">
        <f t="shared" si="7"/>
        <v>1122.914</v>
      </c>
      <c r="M196">
        <f>_xlfn.STDEV.S('R1'!L196,'R2'!L196,'R3'!L196)</f>
        <v>5.8922785605717443E-3</v>
      </c>
      <c r="N196">
        <f>_xlfn.STDEV.S('R1'!M196,'R2'!M196,'R3'!M196)</f>
        <v>1.3846945676922252E-2</v>
      </c>
      <c r="O196">
        <f>_xlfn.STDEV.S('R1'!N196,'R2'!N196,'R3'!N196)</f>
        <v>1.7455551889162622E-2</v>
      </c>
      <c r="P196">
        <f>_xlfn.STDEV.S('R1'!O196,'R2'!O196,'R3'!O196)</f>
        <v>1.0720594711000205E-2</v>
      </c>
    </row>
    <row r="197" spans="1:16" x14ac:dyDescent="0.25">
      <c r="A197">
        <f>AVERAGE('R1'!F197,'R2'!F197,'R3'!F197)</f>
        <v>8.1237833333333329E-2</v>
      </c>
      <c r="B197">
        <f>AVERAGE('R1'!G197,'R2'!G197,'R3'!G197)</f>
        <v>19.622387499999999</v>
      </c>
      <c r="C197">
        <f>-'R1'!H197</f>
        <v>-4</v>
      </c>
      <c r="D197">
        <f>DEGREES(ATAN(-SIN(RADIANS(('R1'!I197)))/(COS(RADIANS(Sheet1!C197))*COS(RADIANS('R1'!I197)))))</f>
        <v>16.037063740993869</v>
      </c>
      <c r="E197">
        <f>AVERAGE('R1'!J197,'R2'!J197,'R3'!J197)</f>
        <v>1.17</v>
      </c>
      <c r="F197">
        <f>AVERAGE('R1'!K197,'R2'!K197,'R3'!K197)</f>
        <v>5.7752092499999996</v>
      </c>
      <c r="G197">
        <f>AVERAGE('R1'!L197,'R2'!L197,'R3'!L197)</f>
        <v>1.1301158189004694</v>
      </c>
      <c r="H197">
        <f>AVERAGE('R1'!M197,'R2'!M197,'R3'!M197)</f>
        <v>0.2442093116144847</v>
      </c>
      <c r="I197">
        <f>AVERAGE('R1'!N197,'R2'!N197,'R3'!N197)</f>
        <v>-0.11306676673130826</v>
      </c>
      <c r="J197">
        <f>AVERAGE('R1'!O197,'R2'!O197,'R3'!O197)</f>
        <v>0.55046903701323935</v>
      </c>
      <c r="K197">
        <f t="shared" si="7"/>
        <v>1126.1658037499999</v>
      </c>
      <c r="M197">
        <f>_xlfn.STDEV.S('R1'!L197,'R2'!L197,'R3'!L197)</f>
        <v>3.3589188198027025E-3</v>
      </c>
      <c r="N197">
        <f>_xlfn.STDEV.S('R1'!M197,'R2'!M197,'R3'!M197)</f>
        <v>6.1052390328091791E-3</v>
      </c>
      <c r="O197">
        <f>_xlfn.STDEV.S('R1'!N197,'R2'!N197,'R3'!N197)</f>
        <v>1.1955726843348858E-2</v>
      </c>
      <c r="P197">
        <f>_xlfn.STDEV.S('R1'!O197,'R2'!O197,'R3'!O197)</f>
        <v>4.5200409347369349E-3</v>
      </c>
    </row>
    <row r="198" spans="1:16" x14ac:dyDescent="0.25">
      <c r="A198">
        <f>AVERAGE('R1'!F198,'R2'!F198,'R3'!F198)</f>
        <v>6.5034666666666671E-2</v>
      </c>
      <c r="B198">
        <f>AVERAGE('R1'!G198,'R2'!G198,'R3'!G198)</f>
        <v>19.729439666666668</v>
      </c>
      <c r="C198">
        <f>-'R1'!H198</f>
        <v>-4</v>
      </c>
      <c r="D198">
        <f>DEGREES(ATAN(-SIN(RADIANS(('R1'!I198)))/(COS(RADIANS(Sheet1!C198))*COS(RADIANS('R1'!I198)))))</f>
        <v>12.028450348745874</v>
      </c>
      <c r="E198">
        <f>AVERAGE('R1'!J198,'R2'!J198,'R3'!J198)</f>
        <v>1.17</v>
      </c>
      <c r="F198">
        <f>AVERAGE('R1'!K198,'R2'!K198,'R3'!K198)</f>
        <v>5.7943073333333333</v>
      </c>
      <c r="G198">
        <f>AVERAGE('R1'!L198,'R2'!L198,'R3'!L198)</f>
        <v>0.88657801885611409</v>
      </c>
      <c r="H198">
        <f>AVERAGE('R1'!M198,'R2'!M198,'R3'!M198)</f>
        <v>0.26371647521581493</v>
      </c>
      <c r="I198">
        <f>AVERAGE('R1'!N198,'R2'!N198,'R3'!N198)</f>
        <v>-3.5611727668060984E-2</v>
      </c>
      <c r="J198">
        <f>AVERAGE('R1'!O198,'R2'!O198,'R3'!O198)</f>
        <v>0.71275357356875624</v>
      </c>
      <c r="K198">
        <f t="shared" si="7"/>
        <v>1129.88993</v>
      </c>
      <c r="M198">
        <f>_xlfn.STDEV.S('R1'!L198,'R2'!L198,'R3'!L198)</f>
        <v>6.4278056711301254E-3</v>
      </c>
      <c r="N198">
        <f>_xlfn.STDEV.S('R1'!M198,'R2'!M198,'R3'!M198)</f>
        <v>1.3461437680738975E-2</v>
      </c>
      <c r="O198">
        <f>_xlfn.STDEV.S('R1'!N198,'R2'!N198,'R3'!N198)</f>
        <v>1.7636793285812098E-2</v>
      </c>
      <c r="P198">
        <f>_xlfn.STDEV.S('R1'!O198,'R2'!O198,'R3'!O198)</f>
        <v>1.3080700976901907E-2</v>
      </c>
    </row>
    <row r="199" spans="1:16" x14ac:dyDescent="0.25">
      <c r="A199">
        <f>AVERAGE('R1'!F199,'R2'!F199,'R3'!F199)</f>
        <v>0.11372216666666667</v>
      </c>
      <c r="B199">
        <f>AVERAGE('R1'!G199,'R2'!G199,'R3'!G199)</f>
        <v>19.623011166666668</v>
      </c>
      <c r="C199">
        <f>-'R1'!H199</f>
        <v>-4</v>
      </c>
      <c r="D199">
        <f>DEGREES(ATAN(-SIN(RADIANS(('R1'!I199)))/(COS(RADIANS(Sheet1!C199))*COS(RADIANS('R1'!I199)))))</f>
        <v>8.0192813611150822</v>
      </c>
      <c r="E199">
        <f>AVERAGE('R1'!J199,'R2'!J199,'R3'!J199)</f>
        <v>1.17</v>
      </c>
      <c r="F199">
        <f>AVERAGE('R1'!K199,'R2'!K199,'R3'!K199)</f>
        <v>5.7719276666666666</v>
      </c>
      <c r="G199">
        <f>AVERAGE('R1'!L199,'R2'!L199,'R3'!L199)</f>
        <v>0.6309005976121731</v>
      </c>
      <c r="H199">
        <f>AVERAGE('R1'!M199,'R2'!M199,'R3'!M199)</f>
        <v>0.2913610649188379</v>
      </c>
      <c r="I199">
        <f>AVERAGE('R1'!N199,'R2'!N199,'R3'!N199)</f>
        <v>1.7553146374273288E-2</v>
      </c>
      <c r="J199">
        <f>AVERAGE('R1'!O199,'R2'!O199,'R3'!O199)</f>
        <v>0.86038600576636703</v>
      </c>
      <c r="K199">
        <f t="shared" si="7"/>
        <v>1125.525895</v>
      </c>
      <c r="M199">
        <f>_xlfn.STDEV.S('R1'!L199,'R2'!L199,'R3'!L199)</f>
        <v>7.5256168878182579E-3</v>
      </c>
      <c r="N199">
        <f>_xlfn.STDEV.S('R1'!M199,'R2'!M199,'R3'!M199)</f>
        <v>1.0655719058286994E-2</v>
      </c>
      <c r="O199">
        <f>_xlfn.STDEV.S('R1'!N199,'R2'!N199,'R3'!N199)</f>
        <v>1.4272432896147349E-2</v>
      </c>
      <c r="P199">
        <f>_xlfn.STDEV.S('R1'!O199,'R2'!O199,'R3'!O199)</f>
        <v>8.2622260941508929E-3</v>
      </c>
    </row>
    <row r="200" spans="1:16" x14ac:dyDescent="0.25">
      <c r="A200">
        <f>AVERAGE('R1'!F200,'R2'!F200,'R3'!F200)</f>
        <v>9.7479999999999997E-2</v>
      </c>
      <c r="B200">
        <f>AVERAGE('R1'!G200,'R2'!G200,'R3'!G200)</f>
        <v>19.930239833333331</v>
      </c>
      <c r="C200">
        <f>-'R1'!H200</f>
        <v>-4</v>
      </c>
      <c r="D200">
        <f>DEGREES(ATAN(-SIN(RADIANS(('R1'!I200)))/(COS(RADIANS(Sheet1!C200))*COS(RADIANS('R1'!I200)))))</f>
        <v>4.0097357700975991</v>
      </c>
      <c r="E200">
        <f>AVERAGE('R1'!J200,'R2'!J200,'R3'!J200)</f>
        <v>1.1675</v>
      </c>
      <c r="F200">
        <f>AVERAGE('R1'!K200,'R2'!K200,'R3'!K200)</f>
        <v>5.8263627500000004</v>
      </c>
      <c r="G200">
        <f>AVERAGE('R1'!L200,'R2'!L200,'R3'!L200)</f>
        <v>0.32612232508776934</v>
      </c>
      <c r="H200">
        <f>AVERAGE('R1'!M200,'R2'!M200,'R3'!M200)</f>
        <v>0.34024861799312606</v>
      </c>
      <c r="I200">
        <f>AVERAGE('R1'!N200,'R2'!N200,'R3'!N200)</f>
        <v>3.732029293362657E-2</v>
      </c>
      <c r="J200">
        <f>AVERAGE('R1'!O200,'R2'!O200,'R3'!O200)</f>
        <v>1.0463636059490422</v>
      </c>
      <c r="K200">
        <f t="shared" si="7"/>
        <v>1133.7130851041668</v>
      </c>
      <c r="M200">
        <f>_xlfn.STDEV.S('R1'!L200,'R2'!L200,'R3'!L200)</f>
        <v>1.4983405852304593E-2</v>
      </c>
      <c r="N200">
        <f>_xlfn.STDEV.S('R1'!M200,'R2'!M200,'R3'!M200)</f>
        <v>9.1570412722835805E-3</v>
      </c>
      <c r="O200">
        <f>_xlfn.STDEV.S('R1'!N200,'R2'!N200,'R3'!N200)</f>
        <v>2.1887865805525042E-2</v>
      </c>
      <c r="P200">
        <f>_xlfn.STDEV.S('R1'!O200,'R2'!O200,'R3'!O200)</f>
        <v>2.0704014955797736E-2</v>
      </c>
    </row>
    <row r="201" spans="1:16" x14ac:dyDescent="0.25">
      <c r="A201">
        <f>AVERAGE('R1'!F201,'R2'!F201,'R3'!F201)</f>
        <v>6.499566666666666E-2</v>
      </c>
      <c r="B201">
        <f>AVERAGE('R1'!G201,'R2'!G201,'R3'!G201)</f>
        <v>20.222581416666667</v>
      </c>
      <c r="C201">
        <f>-'R1'!H201</f>
        <v>-4</v>
      </c>
      <c r="D201">
        <f>DEGREES(ATAN(-SIN(RADIANS(('R1'!I201)))/(COS(RADIANS(Sheet1!C201))*COS(RADIANS('R1'!I201)))))</f>
        <v>0</v>
      </c>
      <c r="E201">
        <f>AVERAGE('R1'!J201,'R2'!J201,'R3'!J201)</f>
        <v>1.1691666666666667</v>
      </c>
      <c r="F201">
        <f>AVERAGE('R1'!K201,'R2'!K201,'R3'!K201)</f>
        <v>5.8704501666666671</v>
      </c>
      <c r="G201">
        <f>AVERAGE('R1'!L201,'R2'!L201,'R3'!L201)</f>
        <v>-4.0574984182708294E-2</v>
      </c>
      <c r="H201">
        <f>AVERAGE('R1'!M201,'R2'!M201,'R3'!M201)</f>
        <v>0.37241335473375131</v>
      </c>
      <c r="I201">
        <f>AVERAGE('R1'!N201,'R2'!N201,'R3'!N201)</f>
        <v>3.9957113840407614E-2</v>
      </c>
      <c r="J201">
        <f>AVERAGE('R1'!O201,'R2'!O201,'R3'!O201)</f>
        <v>1.198851986484561</v>
      </c>
      <c r="K201">
        <f t="shared" si="7"/>
        <v>1143.9224421990741</v>
      </c>
      <c r="M201">
        <f>_xlfn.STDEV.S('R1'!L201,'R2'!L201,'R3'!L201)</f>
        <v>1.7873726420647388E-2</v>
      </c>
      <c r="N201">
        <f>_xlfn.STDEV.S('R1'!M201,'R2'!M201,'R3'!M201)</f>
        <v>1.5008889487842281E-2</v>
      </c>
      <c r="O201">
        <f>_xlfn.STDEV.S('R1'!N201,'R2'!N201,'R3'!N201)</f>
        <v>1.4475695363349264E-2</v>
      </c>
      <c r="P201">
        <f>_xlfn.STDEV.S('R1'!O201,'R2'!O201,'R3'!O201)</f>
        <v>1.4118542535595848E-2</v>
      </c>
    </row>
    <row r="202" spans="1:16" x14ac:dyDescent="0.25">
      <c r="A202">
        <f>AVERAGE('R1'!F202,'R2'!F202,'R3'!F202)</f>
        <v>0.12996433333333332</v>
      </c>
      <c r="B202">
        <f>AVERAGE('R1'!G202,'R2'!G202,'R3'!G202)</f>
        <v>20.11663175</v>
      </c>
      <c r="C202">
        <f>-'R1'!H202</f>
        <v>-4</v>
      </c>
      <c r="D202">
        <f>DEGREES(ATAN(-SIN(RADIANS(('R1'!I202)))/(COS(RADIANS(Sheet1!C202))*COS(RADIANS('R1'!I202)))))</f>
        <v>-4.0097357700975991</v>
      </c>
      <c r="E202">
        <f>AVERAGE('R1'!J202,'R2'!J202,'R3'!J202)</f>
        <v>1.1624999999999999</v>
      </c>
      <c r="F202">
        <f>AVERAGE('R1'!K202,'R2'!K202,'R3'!K202)</f>
        <v>5.8617961666666671</v>
      </c>
      <c r="G202">
        <f>AVERAGE('R1'!L202,'R2'!L202,'R3'!L202)</f>
        <v>-0.38806549687648167</v>
      </c>
      <c r="H202">
        <f>AVERAGE('R1'!M202,'R2'!M202,'R3'!M202)</f>
        <v>0.33753802671724636</v>
      </c>
      <c r="I202">
        <f>AVERAGE('R1'!N202,'R2'!N202,'R3'!N202)</f>
        <v>2.8430417407835307E-2</v>
      </c>
      <c r="J202">
        <f>AVERAGE('R1'!O202,'R2'!O202,'R3'!O202)</f>
        <v>0.99080176678764598</v>
      </c>
      <c r="K202">
        <f t="shared" si="7"/>
        <v>1135.7230072916666</v>
      </c>
      <c r="M202">
        <f>_xlfn.STDEV.S('R1'!L202,'R2'!L202,'R3'!L202)</f>
        <v>7.6631507466137149E-3</v>
      </c>
      <c r="N202">
        <f>_xlfn.STDEV.S('R1'!M202,'R2'!M202,'R3'!M202)</f>
        <v>1.1164868366479782E-2</v>
      </c>
      <c r="O202">
        <f>_xlfn.STDEV.S('R1'!N202,'R2'!N202,'R3'!N202)</f>
        <v>1.7628170864107763E-2</v>
      </c>
      <c r="P202">
        <f>_xlfn.STDEV.S('R1'!O202,'R2'!O202,'R3'!O202)</f>
        <v>9.4635626227143645E-3</v>
      </c>
    </row>
    <row r="203" spans="1:16" x14ac:dyDescent="0.25">
      <c r="A203">
        <f>AVERAGE('R1'!F203,'R2'!F203,'R3'!F203)</f>
        <v>9.7479999999999997E-2</v>
      </c>
      <c r="B203">
        <f>AVERAGE('R1'!G203,'R2'!G203,'R3'!G203)</f>
        <v>20.275559000000001</v>
      </c>
      <c r="C203">
        <f>-'R1'!H203</f>
        <v>-4</v>
      </c>
      <c r="D203">
        <f>DEGREES(ATAN(-SIN(RADIANS(('R1'!I203)))/(COS(RADIANS(Sheet1!C203))*COS(RADIANS('R1'!I203)))))</f>
        <v>-8.0192813611150822</v>
      </c>
      <c r="E203">
        <f>AVERAGE('R1'!J203,'R2'!J203,'R3'!J203)</f>
        <v>1.1666666666666667</v>
      </c>
      <c r="F203">
        <f>AVERAGE('R1'!K203,'R2'!K203,'R3'!K203)</f>
        <v>5.8792765833333336</v>
      </c>
      <c r="G203">
        <f>AVERAGE('R1'!L203,'R2'!L203,'R3'!L203)</f>
        <v>-0.68023024247701347</v>
      </c>
      <c r="H203">
        <f>AVERAGE('R1'!M203,'R2'!M203,'R3'!M203)</f>
        <v>0.3167200872213069</v>
      </c>
      <c r="I203">
        <f>AVERAGE('R1'!N203,'R2'!N203,'R3'!N203)</f>
        <v>-1.7154856607941883E-3</v>
      </c>
      <c r="J203">
        <f>AVERAGE('R1'!O203,'R2'!O203,'R3'!O203)</f>
        <v>0.79546666944728794</v>
      </c>
      <c r="K203">
        <f t="shared" si="7"/>
        <v>1143.1926689814813</v>
      </c>
      <c r="M203">
        <f>_xlfn.STDEV.S('R1'!L203,'R2'!L203,'R3'!L203)</f>
        <v>1.1416676513888098E-2</v>
      </c>
      <c r="N203">
        <f>_xlfn.STDEV.S('R1'!M203,'R2'!M203,'R3'!M203)</f>
        <v>4.1303269842772475E-3</v>
      </c>
      <c r="O203">
        <f>_xlfn.STDEV.S('R1'!N203,'R2'!N203,'R3'!N203)</f>
        <v>1.1490447247233063E-2</v>
      </c>
      <c r="P203">
        <f>_xlfn.STDEV.S('R1'!O203,'R2'!O203,'R3'!O203)</f>
        <v>6.0195519946938687E-3</v>
      </c>
    </row>
    <row r="204" spans="1:16" x14ac:dyDescent="0.25">
      <c r="A204">
        <f>AVERAGE('R1'!F204,'R2'!F204,'R3'!F204)</f>
        <v>0.12996433333333332</v>
      </c>
      <c r="B204">
        <f>AVERAGE('R1'!G204,'R2'!G204,'R3'!G204)</f>
        <v>20.236310499999998</v>
      </c>
      <c r="C204">
        <f>-'R1'!H204</f>
        <v>-4</v>
      </c>
      <c r="D204">
        <f>DEGREES(ATAN(-SIN(RADIANS(('R1'!I204)))/(COS(RADIANS(Sheet1!C204))*COS(RADIANS('R1'!I204)))))</f>
        <v>-12.028450348745874</v>
      </c>
      <c r="E204">
        <f>AVERAGE('R1'!J204,'R2'!J204,'R3'!J204)</f>
        <v>1.17</v>
      </c>
      <c r="F204">
        <f>AVERAGE('R1'!K204,'R2'!K204,'R3'!K204)</f>
        <v>5.8589963333333337</v>
      </c>
      <c r="G204">
        <f>AVERAGE('R1'!L204,'R2'!L204,'R3'!L204)</f>
        <v>-0.92195389064510858</v>
      </c>
      <c r="H204">
        <f>AVERAGE('R1'!M204,'R2'!M204,'R3'!M204)</f>
        <v>0.30233405748016651</v>
      </c>
      <c r="I204">
        <f>AVERAGE('R1'!N204,'R2'!N204,'R3'!N204)</f>
        <v>-4.9403168484481619E-2</v>
      </c>
      <c r="J204">
        <f>AVERAGE('R1'!O204,'R2'!O204,'R3'!O204)</f>
        <v>0.64337205989328672</v>
      </c>
      <c r="K204">
        <f t="shared" si="7"/>
        <v>1142.504285</v>
      </c>
      <c r="M204">
        <f>_xlfn.STDEV.S('R1'!L204,'R2'!L204,'R3'!L204)</f>
        <v>1.5181247057861703E-2</v>
      </c>
      <c r="N204">
        <f>_xlfn.STDEV.S('R1'!M204,'R2'!M204,'R3'!M204)</f>
        <v>1.9176609838589165E-3</v>
      </c>
      <c r="O204">
        <f>_xlfn.STDEV.S('R1'!N204,'R2'!N204,'R3'!N204)</f>
        <v>1.8201551050235687E-2</v>
      </c>
      <c r="P204">
        <f>_xlfn.STDEV.S('R1'!O204,'R2'!O204,'R3'!O204)</f>
        <v>8.850953453336868E-3</v>
      </c>
    </row>
    <row r="205" spans="1:16" x14ac:dyDescent="0.25">
      <c r="A205">
        <f>AVERAGE('R1'!F205,'R2'!F205,'R3'!F205)</f>
        <v>0.11372216666666667</v>
      </c>
      <c r="B205">
        <f>AVERAGE('R1'!G205,'R2'!G205,'R3'!G205)</f>
        <v>20.302624833333336</v>
      </c>
      <c r="C205">
        <f>-'R1'!H205</f>
        <v>-4</v>
      </c>
      <c r="D205">
        <f>DEGREES(ATAN(-SIN(RADIANS(('R1'!I205)))/(COS(RADIANS(Sheet1!C205))*COS(RADIANS('R1'!I205)))))</f>
        <v>-16.037063740993869</v>
      </c>
      <c r="E205">
        <f>AVERAGE('R1'!J205,'R2'!J205,'R3'!J205)</f>
        <v>1.17</v>
      </c>
      <c r="F205">
        <f>AVERAGE('R1'!K205,'R2'!K205,'R3'!K205)</f>
        <v>5.8697587499999999</v>
      </c>
      <c r="G205">
        <f>AVERAGE('R1'!L205,'R2'!L205,'R3'!L205)</f>
        <v>-1.151936028420846</v>
      </c>
      <c r="H205">
        <f>AVERAGE('R1'!M205,'R2'!M205,'R3'!M205)</f>
        <v>0.30066949568047152</v>
      </c>
      <c r="I205">
        <f>AVERAGE('R1'!N205,'R2'!N205,'R3'!N205)</f>
        <v>-0.13857072708452076</v>
      </c>
      <c r="J205">
        <f>AVERAGE('R1'!O205,'R2'!O205,'R3'!O205)</f>
        <v>0.49326575396629241</v>
      </c>
      <c r="K205">
        <f t="shared" si="7"/>
        <v>1144.60295625</v>
      </c>
      <c r="M205">
        <f>_xlfn.STDEV.S('R1'!L205,'R2'!L205,'R3'!L205)</f>
        <v>3.8020439020011337E-3</v>
      </c>
      <c r="N205">
        <f>_xlfn.STDEV.S('R1'!M205,'R2'!M205,'R3'!M205)</f>
        <v>1.8922648846541261E-3</v>
      </c>
      <c r="O205">
        <f>_xlfn.STDEV.S('R1'!N205,'R2'!N205,'R3'!N205)</f>
        <v>9.9386217166506086E-3</v>
      </c>
      <c r="P205">
        <f>_xlfn.STDEV.S('R1'!O205,'R2'!O205,'R3'!O205)</f>
        <v>9.9999566653918813E-3</v>
      </c>
    </row>
    <row r="206" spans="1:16" x14ac:dyDescent="0.25">
      <c r="A206">
        <f>AVERAGE('R1'!F206,'R2'!F206,'R3'!F206)</f>
        <v>9.7479999999999997E-2</v>
      </c>
      <c r="B206">
        <f>AVERAGE('R1'!G206,'R2'!G206,'R3'!G206)</f>
        <v>20.155176249999997</v>
      </c>
      <c r="C206">
        <f>-'R1'!H206</f>
        <v>-4</v>
      </c>
      <c r="D206">
        <f>DEGREES(ATAN(-SIN(RADIANS(('R1'!I206)))/(COS(RADIANS(Sheet1!C206))*COS(RADIANS('R1'!I206)))))</f>
        <v>-20.044953503068641</v>
      </c>
      <c r="E206">
        <f>AVERAGE('R1'!J206,'R2'!J206,'R3'!J206)</f>
        <v>1.17</v>
      </c>
      <c r="F206">
        <f>AVERAGE('R1'!K206,'R2'!K206,'R3'!K206)</f>
        <v>5.8482582500000007</v>
      </c>
      <c r="G206">
        <f>AVERAGE('R1'!L206,'R2'!L206,'R3'!L206)</f>
        <v>-1.3915624927613048</v>
      </c>
      <c r="H206">
        <f>AVERAGE('R1'!M206,'R2'!M206,'R3'!M206)</f>
        <v>0.31866450103727706</v>
      </c>
      <c r="I206">
        <f>AVERAGE('R1'!N206,'R2'!N206,'R3'!N206)</f>
        <v>-0.2661873542779094</v>
      </c>
      <c r="J206">
        <f>AVERAGE('R1'!O206,'R2'!O206,'R3'!O206)</f>
        <v>0.3396538776937495</v>
      </c>
      <c r="K206">
        <f t="shared" si="7"/>
        <v>1140.4103587500003</v>
      </c>
      <c r="M206">
        <f>_xlfn.STDEV.S('R1'!L206,'R2'!L206,'R3'!L206)</f>
        <v>7.458385761757438E-3</v>
      </c>
      <c r="N206">
        <f>_xlfn.STDEV.S('R1'!M206,'R2'!M206,'R3'!M206)</f>
        <v>6.9341774980630298E-3</v>
      </c>
      <c r="O206">
        <f>_xlfn.STDEV.S('R1'!N206,'R2'!N206,'R3'!N206)</f>
        <v>9.6489899884480493E-3</v>
      </c>
      <c r="P206">
        <f>_xlfn.STDEV.S('R1'!O206,'R2'!O206,'R3'!O206)</f>
        <v>6.7006596241632821E-3</v>
      </c>
    </row>
    <row r="207" spans="1:16" x14ac:dyDescent="0.25">
      <c r="A207">
        <f>AVERAGE('R1'!F207,'R2'!F207,'R3'!F207)</f>
        <v>0.12996433333333332</v>
      </c>
      <c r="B207">
        <f>AVERAGE('R1'!G207,'R2'!G207,'R3'!G207)</f>
        <v>19.489304666666666</v>
      </c>
      <c r="C207">
        <f>-'R1'!H207</f>
        <v>-4</v>
      </c>
      <c r="D207">
        <f>DEGREES(ATAN(-SIN(RADIANS(('R1'!I207)))/(COS(RADIANS(Sheet1!C207))*COS(RADIANS('R1'!I207)))))</f>
        <v>-24.051965857834489</v>
      </c>
      <c r="E207">
        <f>AVERAGE('R1'!J207,'R2'!J207,'R3'!J207)</f>
        <v>1.1666666666666667</v>
      </c>
      <c r="F207">
        <f>AVERAGE('R1'!K207,'R2'!K207,'R3'!K207)</f>
        <v>5.7537224999999994</v>
      </c>
      <c r="G207">
        <f>AVERAGE('R1'!L207,'R2'!L207,'R3'!L207)</f>
        <v>-1.6655945326542223</v>
      </c>
      <c r="H207">
        <f>AVERAGE('R1'!M207,'R2'!M207,'R3'!M207)</f>
        <v>0.36504961626590138</v>
      </c>
      <c r="I207">
        <f>AVERAGE('R1'!N207,'R2'!N207,'R3'!N207)</f>
        <v>-0.445613555225506</v>
      </c>
      <c r="J207">
        <f>AVERAGE('R1'!O207,'R2'!O207,'R3'!O207)</f>
        <v>0.17619979484272683</v>
      </c>
      <c r="K207">
        <f t="shared" si="7"/>
        <v>1118.7793750000001</v>
      </c>
      <c r="M207">
        <f>_xlfn.STDEV.S('R1'!L207,'R2'!L207,'R3'!L207)</f>
        <v>1.7284322069886289E-2</v>
      </c>
      <c r="N207">
        <f>_xlfn.STDEV.S('R1'!M207,'R2'!M207,'R3'!M207)</f>
        <v>9.2357409057714206E-3</v>
      </c>
      <c r="O207">
        <f>_xlfn.STDEV.S('R1'!N207,'R2'!N207,'R3'!N207)</f>
        <v>1.8889116227356499E-2</v>
      </c>
      <c r="P207">
        <f>_xlfn.STDEV.S('R1'!O207,'R2'!O207,'R3'!O207)</f>
        <v>6.8469341700179379E-3</v>
      </c>
    </row>
    <row r="208" spans="1:16" x14ac:dyDescent="0.25">
      <c r="A208">
        <f>AVERAGE('R1'!F208,'R2'!F208,'R3'!F208)</f>
        <v>9.7479999999999997E-2</v>
      </c>
      <c r="B208">
        <f>AVERAGE('R1'!G208,'R2'!G208,'R3'!G208)</f>
        <v>19.316236249999999</v>
      </c>
      <c r="C208">
        <f>-'R1'!H208</f>
        <v>-4</v>
      </c>
      <c r="D208">
        <f>DEGREES(ATAN(-SIN(RADIANS(('R1'!I208)))/(COS(RADIANS(Sheet1!C208))*COS(RADIANS('R1'!I208)))))</f>
        <v>-28.057964295258</v>
      </c>
      <c r="E208">
        <f>AVERAGE('R1'!J208,'R2'!J208,'R3'!J208)</f>
        <v>1.1641666666666668</v>
      </c>
      <c r="F208">
        <f>AVERAGE('R1'!K208,'R2'!K208,'R3'!K208)</f>
        <v>5.7413121666666669</v>
      </c>
      <c r="G208">
        <f>AVERAGE('R1'!L208,'R2'!L208,'R3'!L208)</f>
        <v>-1.9785079073001854</v>
      </c>
      <c r="H208">
        <f>AVERAGE('R1'!M208,'R2'!M208,'R3'!M208)</f>
        <v>0.44193942808858505</v>
      </c>
      <c r="I208">
        <f>AVERAGE('R1'!N208,'R2'!N208,'R3'!N208)</f>
        <v>-0.68995043549892143</v>
      </c>
      <c r="J208">
        <f>AVERAGE('R1'!O208,'R2'!O208,'R3'!O208)</f>
        <v>-1.278277210027836E-2</v>
      </c>
      <c r="K208">
        <f t="shared" si="7"/>
        <v>1113.974041226852</v>
      </c>
      <c r="M208">
        <f>_xlfn.STDEV.S('R1'!L208,'R2'!L208,'R3'!L208)</f>
        <v>1.7593930952356493E-2</v>
      </c>
      <c r="N208">
        <f>_xlfn.STDEV.S('R1'!M208,'R2'!M208,'R3'!M208)</f>
        <v>6.9877059579453085E-3</v>
      </c>
      <c r="O208">
        <f>_xlfn.STDEV.S('R1'!N208,'R2'!N208,'R3'!N208)</f>
        <v>2.4994353868027629E-2</v>
      </c>
      <c r="P208">
        <f>_xlfn.STDEV.S('R1'!O208,'R2'!O208,'R3'!O208)</f>
        <v>1.0800520036344749E-2</v>
      </c>
    </row>
    <row r="209" spans="1:16" x14ac:dyDescent="0.25">
      <c r="A209">
        <f>AVERAGE('R1'!F209,'R2'!F209,'R3'!F209)</f>
        <v>9.7479999999999997E-2</v>
      </c>
      <c r="B209">
        <f>AVERAGE('R1'!G209,'R2'!G209,'R3'!G209)</f>
        <v>19.275852583333332</v>
      </c>
      <c r="C209">
        <f>-'R1'!H209</f>
        <v>-4</v>
      </c>
      <c r="D209">
        <f>DEGREES(ATAN(-SIN(RADIANS(('R1'!I209)))/(COS(RADIANS(Sheet1!C209))*COS(RADIANS('R1'!I209)))))</f>
        <v>-32.062832231023428</v>
      </c>
      <c r="E209">
        <f>AVERAGE('R1'!J209,'R2'!J209,'R3'!J209)</f>
        <v>1.1675</v>
      </c>
      <c r="F209">
        <f>AVERAGE('R1'!K209,'R2'!K209,'R3'!K209)</f>
        <v>5.7278355000000003</v>
      </c>
      <c r="G209">
        <f>AVERAGE('R1'!L209,'R2'!L209,'R3'!L209)</f>
        <v>-2.3931320126314528</v>
      </c>
      <c r="H209">
        <f>AVERAGE('R1'!M209,'R2'!M209,'R3'!M209)</f>
        <v>0.53348135490157833</v>
      </c>
      <c r="I209">
        <f>AVERAGE('R1'!N209,'R2'!N209,'R3'!N209)</f>
        <v>-1.0460270378306733</v>
      </c>
      <c r="J209">
        <f>AVERAGE('R1'!O209,'R2'!O209,'R3'!O209)</f>
        <v>-0.23572011557534531</v>
      </c>
      <c r="K209">
        <f t="shared" si="7"/>
        <v>1114.5413243749999</v>
      </c>
      <c r="M209">
        <f>_xlfn.STDEV.S('R1'!L209,'R2'!L209,'R3'!L209)</f>
        <v>2.378072499746996E-2</v>
      </c>
      <c r="N209">
        <f>_xlfn.STDEV.S('R1'!M209,'R2'!M209,'R3'!M209)</f>
        <v>1.4748607896155253E-2</v>
      </c>
      <c r="O209">
        <f>_xlfn.STDEV.S('R1'!N209,'R2'!N209,'R3'!N209)</f>
        <v>3.5526535304965953E-2</v>
      </c>
      <c r="P209">
        <f>_xlfn.STDEV.S('R1'!O209,'R2'!O209,'R3'!O209)</f>
        <v>1.7168480132697717E-2</v>
      </c>
    </row>
    <row r="210" spans="1:16" x14ac:dyDescent="0.25">
      <c r="A210">
        <f>AVERAGE('R1'!F210,'R2'!F210,'R3'!F210)</f>
        <v>9.7479999999999997E-2</v>
      </c>
      <c r="B210">
        <f>AVERAGE('R1'!G210,'R2'!G210,'R3'!G210)</f>
        <v>19.062065583333332</v>
      </c>
      <c r="C210">
        <f>-'R1'!H210</f>
        <v>-4</v>
      </c>
      <c r="D210">
        <f>DEGREES(ATAN(-SIN(RADIANS(('R1'!I210)))/(COS(RADIANS(Sheet1!C210))*COS(RADIANS('R1'!I210)))))</f>
        <v>-36.066475262469574</v>
      </c>
      <c r="E210">
        <f>AVERAGE('R1'!J210,'R2'!J210,'R3'!J210)</f>
        <v>1.1683333333333332</v>
      </c>
      <c r="F210">
        <f>AVERAGE('R1'!K210,'R2'!K210,'R3'!K210)</f>
        <v>5.6944237500000012</v>
      </c>
      <c r="G210">
        <f>AVERAGE('R1'!L210,'R2'!L210,'R3'!L210)</f>
        <v>-2.9590953804618203</v>
      </c>
      <c r="H210">
        <f>AVERAGE('R1'!M210,'R2'!M210,'R3'!M210)</f>
        <v>0.65251543524297839</v>
      </c>
      <c r="I210">
        <f>AVERAGE('R1'!N210,'R2'!N210,'R3'!N210)</f>
        <v>-1.556958563772658</v>
      </c>
      <c r="J210">
        <f>AVERAGE('R1'!O210,'R2'!O210,'R3'!O210)</f>
        <v>-0.50853893001607831</v>
      </c>
      <c r="K210">
        <f t="shared" si="7"/>
        <v>1108.8308468750004</v>
      </c>
      <c r="M210">
        <f>_xlfn.STDEV.S('R1'!L210,'R2'!L210,'R3'!L210)</f>
        <v>1.3020074127999172E-2</v>
      </c>
      <c r="N210">
        <f>_xlfn.STDEV.S('R1'!M210,'R2'!M210,'R3'!M210)</f>
        <v>4.6351496776403994E-3</v>
      </c>
      <c r="O210">
        <f>_xlfn.STDEV.S('R1'!N210,'R2'!N210,'R3'!N210)</f>
        <v>1.4119585756505125E-2</v>
      </c>
      <c r="P210">
        <f>_xlfn.STDEV.S('R1'!O210,'R2'!O210,'R3'!O210)</f>
        <v>1.0340273982574026E-2</v>
      </c>
    </row>
    <row r="211" spans="1:16" x14ac:dyDescent="0.25">
      <c r="A211">
        <f>AVERAGE('R1'!F211,'R2'!F211,'R3'!F211)</f>
        <v>0.12996433333333332</v>
      </c>
      <c r="B211">
        <f>AVERAGE('R1'!G211,'R2'!G211,'R3'!G211)</f>
        <v>18.955734166666666</v>
      </c>
      <c r="C211">
        <f>-'R1'!H211</f>
        <v>-8</v>
      </c>
      <c r="D211">
        <f>DEGREES(ATAN(-SIN(RADIANS(('R1'!I211)))/(COS(RADIANS(Sheet1!C211))*COS(RADIANS('R1'!I211)))))</f>
        <v>36.2668517150396</v>
      </c>
      <c r="E211">
        <f>AVERAGE('R1'!J211,'R2'!J211,'R3'!J211)</f>
        <v>1.17</v>
      </c>
      <c r="F211">
        <f>AVERAGE('R1'!K211,'R2'!K211,'R3'!K211)</f>
        <v>5.6693308333333334</v>
      </c>
      <c r="G211">
        <f>AVERAGE('R1'!L211,'R2'!L211,'R3'!L211)</f>
        <v>2.3231582852097756</v>
      </c>
      <c r="H211">
        <f>AVERAGE('R1'!M211,'R2'!M211,'R3'!M211)</f>
        <v>0.68789165205035918</v>
      </c>
      <c r="I211">
        <f>AVERAGE('R1'!N211,'R2'!N211,'R3'!N211)</f>
        <v>-1.0269788428623057</v>
      </c>
      <c r="J211">
        <f>AVERAGE('R1'!O211,'R2'!O211,'R3'!O211)</f>
        <v>-0.44117745777403439</v>
      </c>
      <c r="K211">
        <f t="shared" si="7"/>
        <v>1105.5195125</v>
      </c>
      <c r="M211">
        <f>_xlfn.STDEV.S('R1'!L211,'R2'!L211,'R3'!L211)</f>
        <v>2.2396004793107636E-2</v>
      </c>
      <c r="N211">
        <f>_xlfn.STDEV.S('R1'!M211,'R2'!M211,'R3'!M211)</f>
        <v>5.8657606058595217E-3</v>
      </c>
      <c r="O211">
        <f>_xlfn.STDEV.S('R1'!N211,'R2'!N211,'R3'!N211)</f>
        <v>2.1686158302064499E-2</v>
      </c>
      <c r="P211">
        <f>_xlfn.STDEV.S('R1'!O211,'R2'!O211,'R3'!O211)</f>
        <v>1.5485122651417069E-3</v>
      </c>
    </row>
    <row r="212" spans="1:16" x14ac:dyDescent="0.25">
      <c r="A212">
        <f>AVERAGE('R1'!F212,'R2'!F212,'R3'!F212)</f>
        <v>9.7518999999999981E-2</v>
      </c>
      <c r="B212">
        <f>AVERAGE('R1'!G212,'R2'!G212,'R3'!G212)</f>
        <v>18.795328166666664</v>
      </c>
      <c r="C212">
        <f>-'R1'!H212</f>
        <v>-8</v>
      </c>
      <c r="D212">
        <f>DEGREES(ATAN(-SIN(RADIANS(('R1'!I212)))/(COS(RADIANS(Sheet1!C212))*COS(RADIANS('R1'!I212)))))</f>
        <v>32.252347723135095</v>
      </c>
      <c r="E212">
        <f>AVERAGE('R1'!J212,'R2'!J212,'R3'!J212)</f>
        <v>1.1666666666666667</v>
      </c>
      <c r="F212">
        <f>AVERAGE('R1'!K212,'R2'!K212,'R3'!K212)</f>
        <v>5.6582198333333338</v>
      </c>
      <c r="G212">
        <f>AVERAGE('R1'!L212,'R2'!L212,'R3'!L212)</f>
        <v>2.0144912178602339</v>
      </c>
      <c r="H212">
        <f>AVERAGE('R1'!M212,'R2'!M212,'R3'!M212)</f>
        <v>0.62914771697927219</v>
      </c>
      <c r="I212">
        <f>AVERAGE('R1'!N212,'R2'!N212,'R3'!N212)</f>
        <v>-0.76210859871263958</v>
      </c>
      <c r="J212">
        <f>AVERAGE('R1'!O212,'R2'!O212,'R3'!O212)</f>
        <v>-0.21898573663582546</v>
      </c>
      <c r="K212">
        <f t="shared" si="7"/>
        <v>1100.2094120370371</v>
      </c>
      <c r="M212">
        <f>_xlfn.STDEV.S('R1'!L212,'R2'!L212,'R3'!L212)</f>
        <v>1.2332826980656884E-2</v>
      </c>
      <c r="N212">
        <f>_xlfn.STDEV.S('R1'!M212,'R2'!M212,'R3'!M212)</f>
        <v>1.3859863481199986E-3</v>
      </c>
      <c r="O212">
        <f>_xlfn.STDEV.S('R1'!N212,'R2'!N212,'R3'!N212)</f>
        <v>2.1265914080000628E-2</v>
      </c>
      <c r="P212">
        <f>_xlfn.STDEV.S('R1'!O212,'R2'!O212,'R3'!O212)</f>
        <v>1.5214286668430789E-2</v>
      </c>
    </row>
    <row r="213" spans="1:16" x14ac:dyDescent="0.25">
      <c r="A213">
        <f>AVERAGE('R1'!F213,'R2'!F213,'R3'!F213)</f>
        <v>0.12996433333333332</v>
      </c>
      <c r="B213">
        <f>AVERAGE('R1'!G213,'R2'!G213,'R3'!G213)</f>
        <v>19.168821499999996</v>
      </c>
      <c r="C213">
        <f>-'R1'!H213</f>
        <v>-8</v>
      </c>
      <c r="D213">
        <f>DEGREES(ATAN(-SIN(RADIANS(('R1'!I213)))/(COS(RADIANS(Sheet1!C213))*COS(RADIANS('R1'!I213)))))</f>
        <v>28.23290083045832</v>
      </c>
      <c r="E213">
        <f>AVERAGE('R1'!J213,'R2'!J213,'R3'!J213)</f>
        <v>1.1691666666666667</v>
      </c>
      <c r="F213">
        <f>AVERAGE('R1'!K213,'R2'!K213,'R3'!K213)</f>
        <v>5.7041001666666666</v>
      </c>
      <c r="G213">
        <f>AVERAGE('R1'!L213,'R2'!L213,'R3'!L213)</f>
        <v>1.7364280932524458</v>
      </c>
      <c r="H213">
        <f>AVERAGE('R1'!M213,'R2'!M213,'R3'!M213)</f>
        <v>0.57971583125172743</v>
      </c>
      <c r="I213">
        <f>AVERAGE('R1'!N213,'R2'!N213,'R3'!N213)</f>
        <v>-0.54170241448622181</v>
      </c>
      <c r="J213">
        <f>AVERAGE('R1'!O213,'R2'!O213,'R3'!O213)</f>
        <v>-2.6361936409799076E-2</v>
      </c>
      <c r="K213">
        <f t="shared" si="7"/>
        <v>1111.507296365741</v>
      </c>
      <c r="M213">
        <f>_xlfn.STDEV.S('R1'!L213,'R2'!L213,'R3'!L213)</f>
        <v>9.6157231215214295E-4</v>
      </c>
      <c r="N213">
        <f>_xlfn.STDEV.S('R1'!M213,'R2'!M213,'R3'!M213)</f>
        <v>5.0672210631533595E-3</v>
      </c>
      <c r="O213">
        <f>_xlfn.STDEV.S('R1'!N213,'R2'!N213,'R3'!N213)</f>
        <v>1.6110768894257946E-2</v>
      </c>
      <c r="P213">
        <f>_xlfn.STDEV.S('R1'!O213,'R2'!O213,'R3'!O213)</f>
        <v>1.0365277572198371E-2</v>
      </c>
    </row>
    <row r="214" spans="1:16" x14ac:dyDescent="0.25">
      <c r="A214">
        <f>AVERAGE('R1'!F214,'R2'!F214,'R3'!F214)</f>
        <v>0.12996433333333332</v>
      </c>
      <c r="B214">
        <f>AVERAGE('R1'!G214,'R2'!G214,'R3'!G214)</f>
        <v>19.582644916666666</v>
      </c>
      <c r="C214">
        <f>-'R1'!H214</f>
        <v>-8</v>
      </c>
      <c r="D214">
        <f>DEGREES(ATAN(-SIN(RADIANS(('R1'!I214)))/(COS(RADIANS(Sheet1!C214))*COS(RADIANS('R1'!I214)))))</f>
        <v>24.208883875277589</v>
      </c>
      <c r="E214">
        <f>AVERAGE('R1'!J214,'R2'!J214,'R3'!J214)</f>
        <v>1.17</v>
      </c>
      <c r="F214">
        <f>AVERAGE('R1'!K214,'R2'!K214,'R3'!K214)</f>
        <v>5.7631792500000003</v>
      </c>
      <c r="G214">
        <f>AVERAGE('R1'!L214,'R2'!L214,'R3'!L214)</f>
        <v>1.5059708089119235</v>
      </c>
      <c r="H214">
        <f>AVERAGE('R1'!M214,'R2'!M214,'R3'!M214)</f>
        <v>0.53455336498690309</v>
      </c>
      <c r="I214">
        <f>AVERAGE('R1'!N214,'R2'!N214,'R3'!N214)</f>
        <v>-0.37467706157163311</v>
      </c>
      <c r="J214">
        <f>AVERAGE('R1'!O214,'R2'!O214,'R3'!O214)</f>
        <v>0.14920125808740492</v>
      </c>
      <c r="K214">
        <f t="shared" si="7"/>
        <v>1123.81995375</v>
      </c>
      <c r="M214">
        <f>_xlfn.STDEV.S('R1'!L214,'R2'!L214,'R3'!L214)</f>
        <v>1.0955597967396598E-2</v>
      </c>
      <c r="N214">
        <f>_xlfn.STDEV.S('R1'!M214,'R2'!M214,'R3'!M214)</f>
        <v>3.6911611825203071E-3</v>
      </c>
      <c r="O214">
        <f>_xlfn.STDEV.S('R1'!N214,'R2'!N214,'R3'!N214)</f>
        <v>1.3505608338637448E-2</v>
      </c>
      <c r="P214">
        <f>_xlfn.STDEV.S('R1'!O214,'R2'!O214,'R3'!O214)</f>
        <v>6.8669458691207105E-3</v>
      </c>
    </row>
    <row r="215" spans="1:16" x14ac:dyDescent="0.25">
      <c r="A215">
        <f>AVERAGE('R1'!F215,'R2'!F215,'R3'!F215)</f>
        <v>0.12996433333333332</v>
      </c>
      <c r="B215">
        <f>AVERAGE('R1'!G215,'R2'!G215,'R3'!G215)</f>
        <v>19.822759083333334</v>
      </c>
      <c r="C215">
        <f>-'R1'!H215</f>
        <v>-8</v>
      </c>
      <c r="D215">
        <f>DEGREES(ATAN(-SIN(RADIANS(('R1'!I215)))/(COS(RADIANS(Sheet1!C215))*COS(RADIANS('R1'!I215)))))</f>
        <v>20.180761513231211</v>
      </c>
      <c r="E215">
        <f>AVERAGE('R1'!J215,'R2'!J215,'R3'!J215)</f>
        <v>1.1675</v>
      </c>
      <c r="F215">
        <f>AVERAGE('R1'!K215,'R2'!K215,'R3'!K215)</f>
        <v>5.8045065833333327</v>
      </c>
      <c r="G215">
        <f>AVERAGE('R1'!L215,'R2'!L215,'R3'!L215)</f>
        <v>1.2805776431903864</v>
      </c>
      <c r="H215">
        <f>AVERAGE('R1'!M215,'R2'!M215,'R3'!M215)</f>
        <v>0.51297326632727946</v>
      </c>
      <c r="I215">
        <f>AVERAGE('R1'!N215,'R2'!N215,'R3'!N215)</f>
        <v>-0.23358257952779404</v>
      </c>
      <c r="J215">
        <f>AVERAGE('R1'!O215,'R2'!O215,'R3'!O215)</f>
        <v>0.30266807462725315</v>
      </c>
      <c r="K215">
        <f t="shared" si="7"/>
        <v>1129.4602393402777</v>
      </c>
      <c r="M215">
        <f>_xlfn.STDEV.S('R1'!L215,'R2'!L215,'R3'!L215)</f>
        <v>8.4429862546743055E-3</v>
      </c>
      <c r="N215">
        <f>_xlfn.STDEV.S('R1'!M215,'R2'!M215,'R3'!M215)</f>
        <v>1.0566804244405557E-2</v>
      </c>
      <c r="O215">
        <f>_xlfn.STDEV.S('R1'!N215,'R2'!N215,'R3'!N215)</f>
        <v>1.4590154676897303E-2</v>
      </c>
      <c r="P215">
        <f>_xlfn.STDEV.S('R1'!O215,'R2'!O215,'R3'!O215)</f>
        <v>6.9445626823626955E-3</v>
      </c>
    </row>
    <row r="216" spans="1:16" x14ac:dyDescent="0.25">
      <c r="A216">
        <f>AVERAGE('R1'!F216,'R2'!F216,'R3'!F216)</f>
        <v>0.11372216666666667</v>
      </c>
      <c r="B216">
        <f>AVERAGE('R1'!G216,'R2'!G216,'R3'!G216)</f>
        <v>20.169232750000003</v>
      </c>
      <c r="C216">
        <f>-'R1'!H216</f>
        <v>-8</v>
      </c>
      <c r="D216">
        <f>DEGREES(ATAN(-SIN(RADIANS(('R1'!I216)))/(COS(RADIANS(Sheet1!C216))*COS(RADIANS('R1'!I216)))))</f>
        <v>16.149081403494897</v>
      </c>
      <c r="E216">
        <f>AVERAGE('R1'!J216,'R2'!J216,'R3'!J216)</f>
        <v>1.17</v>
      </c>
      <c r="F216">
        <f>AVERAGE('R1'!K216,'R2'!K216,'R3'!K216)</f>
        <v>5.8518565833333334</v>
      </c>
      <c r="G216">
        <f>AVERAGE('R1'!L216,'R2'!L216,'R3'!L216)</f>
        <v>1.0565942203900036</v>
      </c>
      <c r="H216">
        <f>AVERAGE('R1'!M216,'R2'!M216,'R3'!M216)</f>
        <v>0.52062789035258916</v>
      </c>
      <c r="I216">
        <f>AVERAGE('R1'!N216,'R2'!N216,'R3'!N216)</f>
        <v>-0.13632814363107976</v>
      </c>
      <c r="J216">
        <f>AVERAGE('R1'!O216,'R2'!O216,'R3'!O216)</f>
        <v>0.45358373056723872</v>
      </c>
      <c r="K216">
        <f t="shared" si="7"/>
        <v>1141.1120337500001</v>
      </c>
      <c r="M216">
        <f>_xlfn.STDEV.S('R1'!L216,'R2'!L216,'R3'!L216)</f>
        <v>3.31476581846726E-3</v>
      </c>
      <c r="N216">
        <f>_xlfn.STDEV.S('R1'!M216,'R2'!M216,'R3'!M216)</f>
        <v>6.0149913184217472E-3</v>
      </c>
      <c r="O216">
        <f>_xlfn.STDEV.S('R1'!N216,'R2'!N216,'R3'!N216)</f>
        <v>1.1933447320167588E-2</v>
      </c>
      <c r="P216">
        <f>_xlfn.STDEV.S('R1'!O216,'R2'!O216,'R3'!O216)</f>
        <v>9.7712987135382297E-3</v>
      </c>
    </row>
    <row r="217" spans="1:16" x14ac:dyDescent="0.25">
      <c r="A217">
        <f>AVERAGE('R1'!F217,'R2'!F217,'R3'!F217)</f>
        <v>0.12996433333333332</v>
      </c>
      <c r="B217">
        <f>AVERAGE('R1'!G217,'R2'!G217,'R3'!G217)</f>
        <v>20.316375833333336</v>
      </c>
      <c r="C217">
        <f>-'R1'!H217</f>
        <v>-8</v>
      </c>
      <c r="D217">
        <f>DEGREES(ATAN(-SIN(RADIANS(('R1'!I217)))/(COS(RADIANS(Sheet1!C217))*COS(RADIANS('R1'!I217)))))</f>
        <v>12.114463536188838</v>
      </c>
      <c r="E217">
        <f>AVERAGE('R1'!J217,'R2'!J217,'R3'!J217)</f>
        <v>1.1691666666666667</v>
      </c>
      <c r="F217">
        <f>AVERAGE('R1'!K217,'R2'!K217,'R3'!K217)</f>
        <v>5.8734151666666676</v>
      </c>
      <c r="G217">
        <f>AVERAGE('R1'!L217,'R2'!L217,'R3'!L217)</f>
        <v>0.82616450037755973</v>
      </c>
      <c r="H217">
        <f>AVERAGE('R1'!M217,'R2'!M217,'R3'!M217)</f>
        <v>0.54682312382280607</v>
      </c>
      <c r="I217">
        <f>AVERAGE('R1'!N217,'R2'!N217,'R3'!N217)</f>
        <v>-6.3252061109814461E-2</v>
      </c>
      <c r="J217">
        <f>AVERAGE('R1'!O217,'R2'!O217,'R3'!O217)</f>
        <v>0.58366513996688973</v>
      </c>
      <c r="K217">
        <f t="shared" si="7"/>
        <v>1144.5002053935189</v>
      </c>
      <c r="M217">
        <f>_xlfn.STDEV.S('R1'!L217,'R2'!L217,'R3'!L217)</f>
        <v>2.3773329314476471E-3</v>
      </c>
      <c r="N217">
        <f>_xlfn.STDEV.S('R1'!M217,'R2'!M217,'R3'!M217)</f>
        <v>9.584020365472486E-3</v>
      </c>
      <c r="O217">
        <f>_xlfn.STDEV.S('R1'!N217,'R2'!N217,'R3'!N217)</f>
        <v>1.4540995186770161E-2</v>
      </c>
      <c r="P217">
        <f>_xlfn.STDEV.S('R1'!O217,'R2'!O217,'R3'!O217)</f>
        <v>1.5510773176633817E-2</v>
      </c>
    </row>
    <row r="218" spans="1:16" x14ac:dyDescent="0.25">
      <c r="A218">
        <f>AVERAGE('R1'!F218,'R2'!F218,'R3'!F218)</f>
        <v>0.12996433333333332</v>
      </c>
      <c r="B218">
        <f>AVERAGE('R1'!G218,'R2'!G218,'R3'!G218)</f>
        <v>20.169995999999998</v>
      </c>
      <c r="C218">
        <f>-'R1'!H218</f>
        <v>-8</v>
      </c>
      <c r="D218">
        <f>DEGREES(ATAN(-SIN(RADIANS(('R1'!I218)))/(COS(RADIANS(Sheet1!C218))*COS(RADIANS('R1'!I218)))))</f>
        <v>8.0775879081011936</v>
      </c>
      <c r="E218">
        <f>AVERAGE('R1'!J218,'R2'!J218,'R3'!J218)</f>
        <v>1.1691666666666667</v>
      </c>
      <c r="F218">
        <f>AVERAGE('R1'!K218,'R2'!K218,'R3'!K218)</f>
        <v>5.8519388333333326</v>
      </c>
      <c r="G218">
        <f>AVERAGE('R1'!L218,'R2'!L218,'R3'!L218)</f>
        <v>0.58821206518108127</v>
      </c>
      <c r="H218">
        <f>AVERAGE('R1'!M218,'R2'!M218,'R3'!M218)</f>
        <v>0.58600289763285029</v>
      </c>
      <c r="I218">
        <f>AVERAGE('R1'!N218,'R2'!N218,'R3'!N218)</f>
        <v>-1.5286579732451877E-2</v>
      </c>
      <c r="J218">
        <f>AVERAGE('R1'!O218,'R2'!O218,'R3'!O218)</f>
        <v>0.7150816562078709</v>
      </c>
      <c r="K218">
        <f t="shared" si="7"/>
        <v>1140.3153032175924</v>
      </c>
      <c r="M218">
        <f>_xlfn.STDEV.S('R1'!L218,'R2'!L218,'R3'!L218)</f>
        <v>7.4128589250627378E-3</v>
      </c>
      <c r="N218">
        <f>_xlfn.STDEV.S('R1'!M218,'R2'!M218,'R3'!M218)</f>
        <v>8.7504914975590296E-3</v>
      </c>
      <c r="O218">
        <f>_xlfn.STDEV.S('R1'!N218,'R2'!N218,'R3'!N218)</f>
        <v>2.159283987871681E-2</v>
      </c>
      <c r="P218">
        <f>_xlfn.STDEV.S('R1'!O218,'R2'!O218,'R3'!O218)</f>
        <v>1.0074159992626168E-2</v>
      </c>
    </row>
    <row r="219" spans="1:16" x14ac:dyDescent="0.25">
      <c r="A219">
        <f>AVERAGE('R1'!F219,'R2'!F219,'R3'!F219)</f>
        <v>0.12996433333333332</v>
      </c>
      <c r="B219">
        <f>AVERAGE('R1'!G219,'R2'!G219,'R3'!G219)</f>
        <v>20.236690583333335</v>
      </c>
      <c r="C219">
        <f>-'R1'!H219</f>
        <v>-8</v>
      </c>
      <c r="D219">
        <f>DEGREES(ATAN(-SIN(RADIANS(('R1'!I219)))/(COS(RADIANS(Sheet1!C219))*COS(RADIANS('R1'!I219)))))</f>
        <v>4.0391808057079874</v>
      </c>
      <c r="E219">
        <f>AVERAGE('R1'!J219,'R2'!J219,'R3'!J219)</f>
        <v>1.17</v>
      </c>
      <c r="F219">
        <f>AVERAGE('R1'!K219,'R2'!K219,'R3'!K219)</f>
        <v>5.85907775</v>
      </c>
      <c r="G219">
        <f>AVERAGE('R1'!L219,'R2'!L219,'R3'!L219)</f>
        <v>0.31045148486025514</v>
      </c>
      <c r="H219">
        <f>AVERAGE('R1'!M219,'R2'!M219,'R3'!M219)</f>
        <v>0.64065211596062344</v>
      </c>
      <c r="I219">
        <f>AVERAGE('R1'!N219,'R2'!N219,'R3'!N219)</f>
        <v>7.3507449663323668E-3</v>
      </c>
      <c r="J219">
        <f>AVERAGE('R1'!O219,'R2'!O219,'R3'!O219)</f>
        <v>0.84336923030922806</v>
      </c>
      <c r="K219">
        <f t="shared" si="7"/>
        <v>1142.52016125</v>
      </c>
      <c r="M219">
        <f>_xlfn.STDEV.S('R1'!L219,'R2'!L219,'R3'!L219)</f>
        <v>1.0098517292556591E-2</v>
      </c>
      <c r="N219">
        <f>_xlfn.STDEV.S('R1'!M219,'R2'!M219,'R3'!M219)</f>
        <v>1.0933242731264467E-2</v>
      </c>
      <c r="O219">
        <f>_xlfn.STDEV.S('R1'!N219,'R2'!N219,'R3'!N219)</f>
        <v>1.4832249818631363E-2</v>
      </c>
      <c r="P219">
        <f>_xlfn.STDEV.S('R1'!O219,'R2'!O219,'R3'!O219)</f>
        <v>8.953358644011122E-3</v>
      </c>
    </row>
    <row r="220" spans="1:16" x14ac:dyDescent="0.25">
      <c r="A220">
        <f>AVERAGE('R1'!F220,'R2'!F220,'R3'!F220)</f>
        <v>0.12996433333333332</v>
      </c>
      <c r="B220">
        <f>AVERAGE('R1'!G220,'R2'!G220,'R3'!G220)</f>
        <v>20.341900916666667</v>
      </c>
      <c r="C220">
        <f>-'R1'!H220</f>
        <v>-8</v>
      </c>
      <c r="D220">
        <f>DEGREES(ATAN(-SIN(RADIANS(('R1'!I220)))/(COS(RADIANS(Sheet1!C220))*COS(RADIANS('R1'!I220)))))</f>
        <v>0</v>
      </c>
      <c r="E220">
        <f>AVERAGE('R1'!J220,'R2'!J220,'R3'!J220)</f>
        <v>1.1683333333333332</v>
      </c>
      <c r="F220">
        <f>AVERAGE('R1'!K220,'R2'!K220,'R3'!K220)</f>
        <v>5.8776309166666669</v>
      </c>
      <c r="G220">
        <f>AVERAGE('R1'!L220,'R2'!L220,'R3'!L220)</f>
        <v>-5.2342154675707958E-3</v>
      </c>
      <c r="H220">
        <f>AVERAGE('R1'!M220,'R2'!M220,'R3'!M220)</f>
        <v>0.70069410990163272</v>
      </c>
      <c r="I220">
        <f>AVERAGE('R1'!N220,'R2'!N220,'R3'!N220)</f>
        <v>7.9794121923723593E-3</v>
      </c>
      <c r="J220">
        <f>AVERAGE('R1'!O220,'R2'!O220,'R3'!O220)</f>
        <v>0.98174582508003672</v>
      </c>
      <c r="K220">
        <f t="shared" si="7"/>
        <v>1144.5053534953704</v>
      </c>
      <c r="M220">
        <f>_xlfn.STDEV.S('R1'!L220,'R2'!L220,'R3'!L220)</f>
        <v>3.072824024722976E-4</v>
      </c>
      <c r="N220">
        <f>_xlfn.STDEV.S('R1'!M220,'R2'!M220,'R3'!M220)</f>
        <v>1.0983092433491669E-2</v>
      </c>
      <c r="O220">
        <f>_xlfn.STDEV.S('R1'!N220,'R2'!N220,'R3'!N220)</f>
        <v>1.5086657758034923E-2</v>
      </c>
      <c r="P220">
        <f>_xlfn.STDEV.S('R1'!O220,'R2'!O220,'R3'!O220)</f>
        <v>8.0781791082077965E-3</v>
      </c>
    </row>
    <row r="221" spans="1:16" x14ac:dyDescent="0.25">
      <c r="A221">
        <f>AVERAGE('R1'!F221,'R2'!F221,'R3'!F221)</f>
        <v>9.7479999999999997E-2</v>
      </c>
      <c r="B221">
        <f>AVERAGE('R1'!G221,'R2'!G221,'R3'!G221)</f>
        <v>20.262619833333336</v>
      </c>
      <c r="C221">
        <f>-'R1'!H221</f>
        <v>-8</v>
      </c>
      <c r="D221">
        <f>DEGREES(ATAN(-SIN(RADIANS(('R1'!I221)))/(COS(RADIANS(Sheet1!C221))*COS(RADIANS('R1'!I221)))))</f>
        <v>-4.0391808057079874</v>
      </c>
      <c r="E221">
        <f>AVERAGE('R1'!J221,'R2'!J221,'R3'!J221)</f>
        <v>1.17</v>
      </c>
      <c r="F221">
        <f>AVERAGE('R1'!K221,'R2'!K221,'R3'!K221)</f>
        <v>5.8651763333333333</v>
      </c>
      <c r="G221">
        <f>AVERAGE('R1'!L221,'R2'!L221,'R3'!L221)</f>
        <v>-0.33872984681120344</v>
      </c>
      <c r="H221">
        <f>AVERAGE('R1'!M221,'R2'!M221,'R3'!M221)</f>
        <v>0.64006681152131073</v>
      </c>
      <c r="I221">
        <f>AVERAGE('R1'!N221,'R2'!N221,'R3'!N221)</f>
        <v>1.4400251559379858E-3</v>
      </c>
      <c r="J221">
        <f>AVERAGE('R1'!O221,'R2'!O221,'R3'!O221)</f>
        <v>0.8207338350593455</v>
      </c>
      <c r="K221">
        <f t="shared" si="7"/>
        <v>1143.7093850000001</v>
      </c>
      <c r="M221">
        <f>_xlfn.STDEV.S('R1'!L221,'R2'!L221,'R3'!L221)</f>
        <v>4.1346188357136576E-3</v>
      </c>
      <c r="N221">
        <f>_xlfn.STDEV.S('R1'!M221,'R2'!M221,'R3'!M221)</f>
        <v>7.2032503709302791E-3</v>
      </c>
      <c r="O221">
        <f>_xlfn.STDEV.S('R1'!N221,'R2'!N221,'R3'!N221)</f>
        <v>1.6452284412477088E-2</v>
      </c>
      <c r="P221">
        <f>_xlfn.STDEV.S('R1'!O221,'R2'!O221,'R3'!O221)</f>
        <v>5.5694477320992926E-3</v>
      </c>
    </row>
    <row r="222" spans="1:16" x14ac:dyDescent="0.25">
      <c r="A222">
        <f>AVERAGE('R1'!F222,'R2'!F222,'R3'!F222)</f>
        <v>0.12996433333333332</v>
      </c>
      <c r="B222">
        <f>AVERAGE('R1'!G222,'R2'!G222,'R3'!G222)</f>
        <v>20.502709083333333</v>
      </c>
      <c r="C222">
        <f>-'R1'!H222</f>
        <v>-8</v>
      </c>
      <c r="D222">
        <f>DEGREES(ATAN(-SIN(RADIANS(('R1'!I222)))/(COS(RADIANS(Sheet1!C222))*COS(RADIANS('R1'!I222)))))</f>
        <v>-8.0775879081011936</v>
      </c>
      <c r="E222">
        <f>AVERAGE('R1'!J222,'R2'!J222,'R3'!J222)</f>
        <v>1.17</v>
      </c>
      <c r="F222">
        <f>AVERAGE('R1'!K222,'R2'!K222,'R3'!K222)</f>
        <v>5.896418333333334</v>
      </c>
      <c r="G222">
        <f>AVERAGE('R1'!L222,'R2'!L222,'R3'!L222)</f>
        <v>-0.60423505388047716</v>
      </c>
      <c r="H222">
        <f>AVERAGE('R1'!M222,'R2'!M222,'R3'!M222)</f>
        <v>0.59512003692027837</v>
      </c>
      <c r="I222">
        <f>AVERAGE('R1'!N222,'R2'!N222,'R3'!N222)</f>
        <v>-2.2382761827443854E-2</v>
      </c>
      <c r="J222">
        <f>AVERAGE('R1'!O222,'R2'!O222,'R3'!O222)</f>
        <v>0.67260489618302588</v>
      </c>
      <c r="K222">
        <f t="shared" si="7"/>
        <v>1149.801575</v>
      </c>
      <c r="M222">
        <f>_xlfn.STDEV.S('R1'!L222,'R2'!L222,'R3'!L222)</f>
        <v>9.5118224824527701E-3</v>
      </c>
      <c r="N222">
        <f>_xlfn.STDEV.S('R1'!M222,'R2'!M222,'R3'!M222)</f>
        <v>1.0081873558715562E-2</v>
      </c>
      <c r="O222">
        <f>_xlfn.STDEV.S('R1'!N222,'R2'!N222,'R3'!N222)</f>
        <v>1.9114942473756062E-2</v>
      </c>
      <c r="P222">
        <f>_xlfn.STDEV.S('R1'!O222,'R2'!O222,'R3'!O222)</f>
        <v>6.6965396430848307E-3</v>
      </c>
    </row>
    <row r="223" spans="1:16" x14ac:dyDescent="0.25">
      <c r="A223">
        <f>AVERAGE('R1'!F223,'R2'!F223,'R3'!F223)</f>
        <v>0.11372216666666667</v>
      </c>
      <c r="B223">
        <f>AVERAGE('R1'!G223,'R2'!G223,'R3'!G223)</f>
        <v>20.182949916666669</v>
      </c>
      <c r="C223">
        <f>-'R1'!H223</f>
        <v>-8</v>
      </c>
      <c r="D223">
        <f>DEGREES(ATAN(-SIN(RADIANS(('R1'!I223)))/(COS(RADIANS(Sheet1!C223))*COS(RADIANS('R1'!I223)))))</f>
        <v>-12.114463536188838</v>
      </c>
      <c r="E223">
        <f>AVERAGE('R1'!J223,'R2'!J223,'R3'!J223)</f>
        <v>1.17</v>
      </c>
      <c r="F223">
        <f>AVERAGE('R1'!K223,'R2'!K223,'R3'!K223)</f>
        <v>5.8544304999999994</v>
      </c>
      <c r="G223">
        <f>AVERAGE('R1'!L223,'R2'!L223,'R3'!L223)</f>
        <v>-0.84809236406201105</v>
      </c>
      <c r="H223">
        <f>AVERAGE('R1'!M223,'R2'!M223,'R3'!M223)</f>
        <v>0.56917965753759303</v>
      </c>
      <c r="I223">
        <f>AVERAGE('R1'!N223,'R2'!N223,'R3'!N223)</f>
        <v>-7.8293498209014156E-2</v>
      </c>
      <c r="J223">
        <f>AVERAGE('R1'!O223,'R2'!O223,'R3'!O223)</f>
        <v>0.54502285059657019</v>
      </c>
      <c r="K223">
        <f t="shared" si="7"/>
        <v>1141.6139475</v>
      </c>
      <c r="M223">
        <f>_xlfn.STDEV.S('R1'!L223,'R2'!L223,'R3'!L223)</f>
        <v>6.2630571220923083E-3</v>
      </c>
      <c r="N223">
        <f>_xlfn.STDEV.S('R1'!M223,'R2'!M223,'R3'!M223)</f>
        <v>1.8600433789397151E-3</v>
      </c>
      <c r="O223">
        <f>_xlfn.STDEV.S('R1'!N223,'R2'!N223,'R3'!N223)</f>
        <v>1.361405154527944E-2</v>
      </c>
      <c r="P223">
        <f>_xlfn.STDEV.S('R1'!O223,'R2'!O223,'R3'!O223)</f>
        <v>4.6963463583384931E-3</v>
      </c>
    </row>
    <row r="224" spans="1:16" x14ac:dyDescent="0.25">
      <c r="A224">
        <f>AVERAGE('R1'!F224,'R2'!F224,'R3'!F224)</f>
        <v>0.12996433333333332</v>
      </c>
      <c r="B224">
        <f>AVERAGE('R1'!G224,'R2'!G224,'R3'!G224)</f>
        <v>19.929872333333332</v>
      </c>
      <c r="C224">
        <f>-'R1'!H224</f>
        <v>-8</v>
      </c>
      <c r="D224">
        <f>DEGREES(ATAN(-SIN(RADIANS(('R1'!I224)))/(COS(RADIANS(Sheet1!C224))*COS(RADIANS('R1'!I224)))))</f>
        <v>-16.149081403494897</v>
      </c>
      <c r="E224">
        <f>AVERAGE('R1'!J224,'R2'!J224,'R3'!J224)</f>
        <v>1.1675</v>
      </c>
      <c r="F224">
        <f>AVERAGE('R1'!K224,'R2'!K224,'R3'!K224)</f>
        <v>5.8213679166666665</v>
      </c>
      <c r="G224">
        <f>AVERAGE('R1'!L224,'R2'!L224,'R3'!L224)</f>
        <v>-1.075108470648785</v>
      </c>
      <c r="H224">
        <f>AVERAGE('R1'!M224,'R2'!M224,'R3'!M224)</f>
        <v>0.55990839838528916</v>
      </c>
      <c r="I224">
        <f>AVERAGE('R1'!N224,'R2'!N224,'R3'!N224)</f>
        <v>-0.15885925377509338</v>
      </c>
      <c r="J224">
        <f>AVERAGE('R1'!O224,'R2'!O224,'R3'!O224)</f>
        <v>0.40467995208575785</v>
      </c>
      <c r="K224">
        <f t="shared" si="7"/>
        <v>1132.7411737847222</v>
      </c>
      <c r="M224">
        <f>_xlfn.STDEV.S('R1'!L224,'R2'!L224,'R3'!L224)</f>
        <v>1.2181328604052535E-2</v>
      </c>
      <c r="N224">
        <f>_xlfn.STDEV.S('R1'!M224,'R2'!M224,'R3'!M224)</f>
        <v>1.0138076918929869E-2</v>
      </c>
      <c r="O224">
        <f>_xlfn.STDEV.S('R1'!N224,'R2'!N224,'R3'!N224)</f>
        <v>1.6201983757861492E-2</v>
      </c>
      <c r="P224">
        <f>_xlfn.STDEV.S('R1'!O224,'R2'!O224,'R3'!O224)</f>
        <v>8.8478896664565005E-3</v>
      </c>
    </row>
    <row r="225" spans="1:16" x14ac:dyDescent="0.25">
      <c r="A225">
        <f>AVERAGE('R1'!F225,'R2'!F225,'R3'!F225)</f>
        <v>0.11372216666666667</v>
      </c>
      <c r="B225">
        <f>AVERAGE('R1'!G225,'R2'!G225,'R3'!G225)</f>
        <v>19.809819916666665</v>
      </c>
      <c r="C225">
        <f>-'R1'!H225</f>
        <v>-8</v>
      </c>
      <c r="D225">
        <f>DEGREES(ATAN(-SIN(RADIANS(('R1'!I225)))/(COS(RADIANS(Sheet1!C225))*COS(RADIANS('R1'!I225)))))</f>
        <v>-20.180761513231211</v>
      </c>
      <c r="E225">
        <f>AVERAGE('R1'!J225,'R2'!J225,'R3'!J225)</f>
        <v>1.1691666666666667</v>
      </c>
      <c r="F225">
        <f>AVERAGE('R1'!K225,'R2'!K225,'R3'!K225)</f>
        <v>5.8019522500000003</v>
      </c>
      <c r="G225">
        <f>AVERAGE('R1'!L225,'R2'!L225,'R3'!L225)</f>
        <v>-1.307563266407199</v>
      </c>
      <c r="H225">
        <f>AVERAGE('R1'!M225,'R2'!M225,'R3'!M225)</f>
        <v>0.5722635137637434</v>
      </c>
      <c r="I225">
        <f>AVERAGE('R1'!N225,'R2'!N225,'R3'!N225)</f>
        <v>-0.27381248995105972</v>
      </c>
      <c r="J225">
        <f>AVERAGE('R1'!O225,'R2'!O225,'R3'!O225)</f>
        <v>0.25307391724131184</v>
      </c>
      <c r="K225">
        <f t="shared" si="7"/>
        <v>1130.5748620486111</v>
      </c>
      <c r="M225">
        <f>_xlfn.STDEV.S('R1'!L225,'R2'!L225,'R3'!L225)</f>
        <v>5.8890764285571004E-3</v>
      </c>
      <c r="N225">
        <f>_xlfn.STDEV.S('R1'!M225,'R2'!M225,'R3'!M225)</f>
        <v>6.4026091786605751E-3</v>
      </c>
      <c r="O225">
        <f>_xlfn.STDEV.S('R1'!N225,'R2'!N225,'R3'!N225)</f>
        <v>1.5743638205185862E-2</v>
      </c>
      <c r="P225">
        <f>_xlfn.STDEV.S('R1'!O225,'R2'!O225,'R3'!O225)</f>
        <v>7.578628797191761E-3</v>
      </c>
    </row>
    <row r="226" spans="1:16" x14ac:dyDescent="0.25">
      <c r="A226">
        <f>AVERAGE('R1'!F226,'R2'!F226,'R3'!F226)</f>
        <v>0.11372216666666667</v>
      </c>
      <c r="B226">
        <f>AVERAGE('R1'!G226,'R2'!G226,'R3'!G226)</f>
        <v>19.516345250000001</v>
      </c>
      <c r="C226">
        <f>-'R1'!H226</f>
        <v>-8</v>
      </c>
      <c r="D226">
        <f>DEGREES(ATAN(-SIN(RADIANS(('R1'!I226)))/(COS(RADIANS(Sheet1!C226))*COS(RADIANS('R1'!I226)))))</f>
        <v>-24.208883875277589</v>
      </c>
      <c r="E226">
        <f>AVERAGE('R1'!J226,'R2'!J226,'R3'!J226)</f>
        <v>1.17</v>
      </c>
      <c r="F226">
        <f>AVERAGE('R1'!K226,'R2'!K226,'R3'!K226)</f>
        <v>5.7560879166666661</v>
      </c>
      <c r="G226">
        <f>AVERAGE('R1'!L226,'R2'!L226,'R3'!L226)</f>
        <v>-1.561566105471049</v>
      </c>
      <c r="H226">
        <f>AVERAGE('R1'!M226,'R2'!M226,'R3'!M226)</f>
        <v>0.62367516696096692</v>
      </c>
      <c r="I226">
        <f>AVERAGE('R1'!N226,'R2'!N226,'R3'!N226)</f>
        <v>-0.4469072073196525</v>
      </c>
      <c r="J226">
        <f>AVERAGE('R1'!O226,'R2'!O226,'R3'!O226)</f>
        <v>8.5906282170851764E-2</v>
      </c>
      <c r="K226">
        <f t="shared" si="7"/>
        <v>1122.4371437499997</v>
      </c>
      <c r="M226">
        <f>_xlfn.STDEV.S('R1'!L226,'R2'!L226,'R3'!L226)</f>
        <v>4.8137550203532732E-3</v>
      </c>
      <c r="N226">
        <f>_xlfn.STDEV.S('R1'!M226,'R2'!M226,'R3'!M226)</f>
        <v>4.8157588534934381E-3</v>
      </c>
      <c r="O226">
        <f>_xlfn.STDEV.S('R1'!N226,'R2'!N226,'R3'!N226)</f>
        <v>1.5963613090075605E-2</v>
      </c>
      <c r="P226">
        <f>_xlfn.STDEV.S('R1'!O226,'R2'!O226,'R3'!O226)</f>
        <v>5.7308882890919899E-3</v>
      </c>
    </row>
    <row r="227" spans="1:16" x14ac:dyDescent="0.25">
      <c r="A227">
        <f>AVERAGE('R1'!F227,'R2'!F227,'R3'!F227)</f>
        <v>9.7479999999999997E-2</v>
      </c>
      <c r="B227">
        <f>AVERAGE('R1'!G227,'R2'!G227,'R3'!G227)</f>
        <v>19.63565625</v>
      </c>
      <c r="C227">
        <f>-'R1'!H227</f>
        <v>-8</v>
      </c>
      <c r="D227">
        <f>DEGREES(ATAN(-SIN(RADIANS(('R1'!I227)))/(COS(RADIANS(Sheet1!C227))*COS(RADIANS('R1'!I227)))))</f>
        <v>-28.23290083045832</v>
      </c>
      <c r="E227">
        <f>AVERAGE('R1'!J227,'R2'!J227,'R3'!J227)</f>
        <v>1.17</v>
      </c>
      <c r="F227">
        <f>AVERAGE('R1'!K227,'R2'!K227,'R3'!K227)</f>
        <v>5.7754374999999998</v>
      </c>
      <c r="G227">
        <f>AVERAGE('R1'!L227,'R2'!L227,'R3'!L227)</f>
        <v>-1.8476484795013928</v>
      </c>
      <c r="H227">
        <f>AVERAGE('R1'!M227,'R2'!M227,'R3'!M227)</f>
        <v>0.70941040813424328</v>
      </c>
      <c r="I227">
        <f>AVERAGE('R1'!N227,'R2'!N227,'R3'!N227)</f>
        <v>-0.68167609309022359</v>
      </c>
      <c r="J227">
        <f>AVERAGE('R1'!O227,'R2'!O227,'R3'!O227)</f>
        <v>-9.5131602991932671E-2</v>
      </c>
      <c r="K227">
        <f t="shared" si="7"/>
        <v>1126.2103124999999</v>
      </c>
      <c r="M227">
        <f>_xlfn.STDEV.S('R1'!L227,'R2'!L227,'R3'!L227)</f>
        <v>1.9269103773410363E-2</v>
      </c>
      <c r="N227">
        <f>_xlfn.STDEV.S('R1'!M227,'R2'!M227,'R3'!M227)</f>
        <v>4.8454077804380175E-3</v>
      </c>
      <c r="O227">
        <f>_xlfn.STDEV.S('R1'!N227,'R2'!N227,'R3'!N227)</f>
        <v>1.8025172221381752E-2</v>
      </c>
      <c r="P227">
        <f>_xlfn.STDEV.S('R1'!O227,'R2'!O227,'R3'!O227)</f>
        <v>1.0865381816579717E-2</v>
      </c>
    </row>
    <row r="228" spans="1:16" x14ac:dyDescent="0.25">
      <c r="A228">
        <f>AVERAGE('R1'!F228,'R2'!F228,'R3'!F228)</f>
        <v>9.7479999999999997E-2</v>
      </c>
      <c r="B228">
        <f>AVERAGE('R1'!G228,'R2'!G228,'R3'!G228)</f>
        <v>19.875860833333334</v>
      </c>
      <c r="C228">
        <f>-'R1'!H228</f>
        <v>-8</v>
      </c>
      <c r="D228">
        <f>DEGREES(ATAN(-SIN(RADIANS(('R1'!I228)))/(COS(RADIANS(Sheet1!C228))*COS(RADIANS('R1'!I228)))))</f>
        <v>-32.252347723135095</v>
      </c>
      <c r="E228">
        <f>AVERAGE('R1'!J228,'R2'!J228,'R3'!J228)</f>
        <v>1.1691666666666667</v>
      </c>
      <c r="F228">
        <f>AVERAGE('R1'!K228,'R2'!K228,'R3'!K228)</f>
        <v>5.8110146666666678</v>
      </c>
      <c r="G228">
        <f>AVERAGE('R1'!L228,'R2'!L228,'R3'!L228)</f>
        <v>-2.1926640506922532</v>
      </c>
      <c r="H228">
        <f>AVERAGE('R1'!M228,'R2'!M228,'R3'!M228)</f>
        <v>0.85037651807908843</v>
      </c>
      <c r="I228">
        <f>AVERAGE('R1'!N228,'R2'!N228,'R3'!N228)</f>
        <v>-0.99948581848714146</v>
      </c>
      <c r="J228">
        <f>AVERAGE('R1'!O228,'R2'!O228,'R3'!O228)</f>
        <v>-0.31869023539715674</v>
      </c>
      <c r="K228">
        <f t="shared" si="7"/>
        <v>1132.3407746296298</v>
      </c>
      <c r="M228">
        <f>_xlfn.STDEV.S('R1'!L228,'R2'!L228,'R3'!L228)</f>
        <v>2.2667517278993334E-2</v>
      </c>
      <c r="N228">
        <f>_xlfn.STDEV.S('R1'!M228,'R2'!M228,'R3'!M228)</f>
        <v>9.9040986135168173E-3</v>
      </c>
      <c r="O228">
        <f>_xlfn.STDEV.S('R1'!N228,'R2'!N228,'R3'!N228)</f>
        <v>1.4264489400854839E-2</v>
      </c>
      <c r="P228">
        <f>_xlfn.STDEV.S('R1'!O228,'R2'!O228,'R3'!O228)</f>
        <v>1.6164805052300633E-2</v>
      </c>
    </row>
    <row r="229" spans="1:16" x14ac:dyDescent="0.25">
      <c r="A229">
        <f>AVERAGE('R1'!F229,'R2'!F229,'R3'!F229)</f>
        <v>9.7479999999999997E-2</v>
      </c>
      <c r="B229">
        <f>AVERAGE('R1'!G229,'R2'!G229,'R3'!G229)</f>
        <v>19.796171166666667</v>
      </c>
      <c r="C229">
        <f>-'R1'!H229</f>
        <v>-8</v>
      </c>
      <c r="D229">
        <f>DEGREES(ATAN(-SIN(RADIANS(('R1'!I229)))/(COS(RADIANS(Sheet1!C229))*COS(RADIANS('R1'!I229)))))</f>
        <v>-36.2668517150396</v>
      </c>
      <c r="E229">
        <f>AVERAGE('R1'!J229,'R2'!J229,'R3'!J229)</f>
        <v>1.1683333333333332</v>
      </c>
      <c r="F229">
        <f>AVERAGE('R1'!K229,'R2'!K229,'R3'!K229)</f>
        <v>5.7998621666666663</v>
      </c>
      <c r="G229">
        <f>AVERAGE('R1'!L229,'R2'!L229,'R3'!L229)</f>
        <v>-2.6681382068997408</v>
      </c>
      <c r="H229">
        <f>AVERAGE('R1'!M229,'R2'!M229,'R3'!M229)</f>
        <v>1.0161844326715386</v>
      </c>
      <c r="I229">
        <f>AVERAGE('R1'!N229,'R2'!N229,'R3'!N229)</f>
        <v>-1.4415166479553509</v>
      </c>
      <c r="J229">
        <f>AVERAGE('R1'!O229,'R2'!O229,'R3'!O229)</f>
        <v>-0.59269935252724237</v>
      </c>
      <c r="K229">
        <f t="shared" si="7"/>
        <v>1129.3620496759258</v>
      </c>
      <c r="M229">
        <f>_xlfn.STDEV.S('R1'!L229,'R2'!L229,'R3'!L229)</f>
        <v>2.7688173084777178E-2</v>
      </c>
      <c r="N229">
        <f>_xlfn.STDEV.S('R1'!M229,'R2'!M229,'R3'!M229)</f>
        <v>1.0439736575587876E-2</v>
      </c>
      <c r="O229">
        <f>_xlfn.STDEV.S('R1'!N229,'R2'!N229,'R3'!N229)</f>
        <v>1.803966906009374E-2</v>
      </c>
      <c r="P229">
        <f>_xlfn.STDEV.S('R1'!O229,'R2'!O229,'R3'!O229)</f>
        <v>1.5551167191303976E-2</v>
      </c>
    </row>
    <row r="230" spans="1:16" x14ac:dyDescent="0.25">
      <c r="A230">
        <f>AVERAGE('R1'!F230,'R2'!F230,'R3'!F230)</f>
        <v>0.11372216666666667</v>
      </c>
      <c r="B230">
        <f>AVERAGE('R1'!G230,'R2'!G230,'R3'!G230)</f>
        <v>19.876530916666667</v>
      </c>
      <c r="C230">
        <f>-'R1'!H230</f>
        <v>-12</v>
      </c>
      <c r="D230">
        <f>DEGREES(ATAN(-SIN(RADIANS(('R1'!I230)))/(COS(RADIANS(Sheet1!C230))*COS(RADIANS('R1'!I230)))))</f>
        <v>36.604002006988381</v>
      </c>
      <c r="E230">
        <f>AVERAGE('R1'!J230,'R2'!J230,'R3'!J230)</f>
        <v>1.1683333333333332</v>
      </c>
      <c r="F230">
        <f>AVERAGE('R1'!K230,'R2'!K230,'R3'!K230)</f>
        <v>5.8110703333333333</v>
      </c>
      <c r="G230">
        <f>AVERAGE('R1'!L230,'R2'!L230,'R3'!L230)</f>
        <v>2.1970626043478982</v>
      </c>
      <c r="H230">
        <f>AVERAGE('R1'!M230,'R2'!M230,'R3'!M230)</f>
        <v>0.99060950318696162</v>
      </c>
      <c r="I230">
        <f>AVERAGE('R1'!N230,'R2'!N230,'R3'!N230)</f>
        <v>-1.0354925368952868</v>
      </c>
      <c r="J230">
        <f>AVERAGE('R1'!O230,'R2'!O230,'R3'!O230)</f>
        <v>-0.51907453377290602</v>
      </c>
      <c r="K230">
        <f t="shared" si="7"/>
        <v>1131.5445287962962</v>
      </c>
      <c r="M230">
        <f>_xlfn.STDEV.S('R1'!L230,'R2'!L230,'R3'!L230)</f>
        <v>1.4804962176731199E-2</v>
      </c>
      <c r="N230">
        <f>_xlfn.STDEV.S('R1'!M230,'R2'!M230,'R3'!M230)</f>
        <v>6.2514504220264463E-3</v>
      </c>
      <c r="O230">
        <f>_xlfn.STDEV.S('R1'!N230,'R2'!N230,'R3'!N230)</f>
        <v>1.9761313376259495E-2</v>
      </c>
      <c r="P230">
        <f>_xlfn.STDEV.S('R1'!O230,'R2'!O230,'R3'!O230)</f>
        <v>6.7773676073522521E-3</v>
      </c>
    </row>
    <row r="231" spans="1:16" x14ac:dyDescent="0.25">
      <c r="A231">
        <f>AVERAGE('R1'!F231,'R2'!F231,'R3'!F231)</f>
        <v>9.7479999999999997E-2</v>
      </c>
      <c r="B231">
        <f>AVERAGE('R1'!G231,'R2'!G231,'R3'!G231)</f>
        <v>19.8487355</v>
      </c>
      <c r="C231">
        <f>-'R1'!H231</f>
        <v>-12</v>
      </c>
      <c r="D231">
        <f>DEGREES(ATAN(-SIN(RADIANS(('R1'!I231)))/(COS(RADIANS(Sheet1!C231))*COS(RADIANS('R1'!I231)))))</f>
        <v>32.571632726288172</v>
      </c>
      <c r="E231">
        <f>AVERAGE('R1'!J231,'R2'!J231,'R3'!J231)</f>
        <v>1.1691666666666667</v>
      </c>
      <c r="F231">
        <f>AVERAGE('R1'!K231,'R2'!K231,'R3'!K231)</f>
        <v>5.8070850833333338</v>
      </c>
      <c r="G231">
        <f>AVERAGE('R1'!L231,'R2'!L231,'R3'!L231)</f>
        <v>1.9181132742643621</v>
      </c>
      <c r="H231">
        <f>AVERAGE('R1'!M231,'R2'!M231,'R3'!M231)</f>
        <v>0.91128479825449948</v>
      </c>
      <c r="I231">
        <f>AVERAGE('R1'!N231,'R2'!N231,'R3'!N231)</f>
        <v>-0.78557066016770583</v>
      </c>
      <c r="J231">
        <f>AVERAGE('R1'!O231,'R2'!O231,'R3'!O231)</f>
        <v>-0.31383619628753862</v>
      </c>
      <c r="K231">
        <f t="shared" si="7"/>
        <v>1131.5750516550927</v>
      </c>
      <c r="M231">
        <f>_xlfn.STDEV.S('R1'!L231,'R2'!L231,'R3'!L231)</f>
        <v>9.2112787011376755E-3</v>
      </c>
      <c r="N231">
        <f>_xlfn.STDEV.S('R1'!M231,'R2'!M231,'R3'!M231)</f>
        <v>3.4631390197190116E-3</v>
      </c>
      <c r="O231">
        <f>_xlfn.STDEV.S('R1'!N231,'R2'!N231,'R3'!N231)</f>
        <v>1.4328854665883317E-2</v>
      </c>
      <c r="P231">
        <f>_xlfn.STDEV.S('R1'!O231,'R2'!O231,'R3'!O231)</f>
        <v>4.3062466865152931E-3</v>
      </c>
    </row>
    <row r="232" spans="1:16" x14ac:dyDescent="0.25">
      <c r="A232">
        <f>AVERAGE('R1'!F232,'R2'!F232,'R3'!F232)</f>
        <v>0.12996433333333332</v>
      </c>
      <c r="B232">
        <f>AVERAGE('R1'!G232,'R2'!G232,'R3'!G232)</f>
        <v>19.835777916666668</v>
      </c>
      <c r="C232">
        <f>-'R1'!H232</f>
        <v>-12</v>
      </c>
      <c r="D232">
        <f>DEGREES(ATAN(-SIN(RADIANS(('R1'!I232)))/(COS(RADIANS(Sheet1!C232))*COS(RADIANS('R1'!I232)))))</f>
        <v>28.527978326363606</v>
      </c>
      <c r="E232">
        <f>AVERAGE('R1'!J232,'R2'!J232,'R3'!J232)</f>
        <v>1.17</v>
      </c>
      <c r="F232">
        <f>AVERAGE('R1'!K232,'R2'!K232,'R3'!K232)</f>
        <v>5.797051166666666</v>
      </c>
      <c r="G232">
        <f>AVERAGE('R1'!L232,'R2'!L232,'R3'!L232)</f>
        <v>1.6705940625268088</v>
      </c>
      <c r="H232">
        <f>AVERAGE('R1'!M232,'R2'!M232,'R3'!M232)</f>
        <v>0.83673018940183752</v>
      </c>
      <c r="I232">
        <f>AVERAGE('R1'!N232,'R2'!N232,'R3'!N232)</f>
        <v>-0.58085309609365254</v>
      </c>
      <c r="J232">
        <f>AVERAGE('R1'!O232,'R2'!O232,'R3'!O232)</f>
        <v>-0.11651718355630465</v>
      </c>
      <c r="K232">
        <f t="shared" si="7"/>
        <v>1130.4249774999998</v>
      </c>
      <c r="M232">
        <f>_xlfn.STDEV.S('R1'!L232,'R2'!L232,'R3'!L232)</f>
        <v>3.5398225239130668E-3</v>
      </c>
      <c r="N232">
        <f>_xlfn.STDEV.S('R1'!M232,'R2'!M232,'R3'!M232)</f>
        <v>3.6940812033740096E-3</v>
      </c>
      <c r="O232">
        <f>_xlfn.STDEV.S('R1'!N232,'R2'!N232,'R3'!N232)</f>
        <v>1.4088143535668356E-2</v>
      </c>
      <c r="P232">
        <f>_xlfn.STDEV.S('R1'!O232,'R2'!O232,'R3'!O232)</f>
        <v>5.3547398919247761E-3</v>
      </c>
    </row>
    <row r="233" spans="1:16" x14ac:dyDescent="0.25">
      <c r="A233">
        <f>AVERAGE('R1'!F233,'R2'!F233,'R3'!F233)</f>
        <v>6.499566666666666E-2</v>
      </c>
      <c r="B233">
        <f>AVERAGE('R1'!G233,'R2'!G233,'R3'!G233)</f>
        <v>20.008471499999999</v>
      </c>
      <c r="C233">
        <f>-'R1'!H233</f>
        <v>-12</v>
      </c>
      <c r="D233">
        <f>DEGREES(ATAN(-SIN(RADIANS(('R1'!I233)))/(COS(RADIANS(Sheet1!C233))*COS(RADIANS('R1'!I233)))))</f>
        <v>24.473858605038014</v>
      </c>
      <c r="E233">
        <f>AVERAGE('R1'!J233,'R2'!J233,'R3'!J233)</f>
        <v>1.17</v>
      </c>
      <c r="F233">
        <f>AVERAGE('R1'!K233,'R2'!K233,'R3'!K233)</f>
        <v>5.8314628333333332</v>
      </c>
      <c r="G233">
        <f>AVERAGE('R1'!L233,'R2'!L233,'R3'!L233)</f>
        <v>1.4464655417871273</v>
      </c>
      <c r="H233">
        <f>AVERAGE('R1'!M233,'R2'!M233,'R3'!M233)</f>
        <v>0.78985533046943901</v>
      </c>
      <c r="I233">
        <f>AVERAGE('R1'!N233,'R2'!N233,'R3'!N233)</f>
        <v>-0.41914081704607747</v>
      </c>
      <c r="J233">
        <f>AVERAGE('R1'!O233,'R2'!O233,'R3'!O233)</f>
        <v>6.2156321266906699E-2</v>
      </c>
      <c r="K233">
        <f t="shared" si="7"/>
        <v>1137.1352525000002</v>
      </c>
      <c r="M233">
        <f>_xlfn.STDEV.S('R1'!L233,'R2'!L233,'R3'!L233)</f>
        <v>1.0927248295495495E-2</v>
      </c>
      <c r="N233">
        <f>_xlfn.STDEV.S('R1'!M233,'R2'!M233,'R3'!M233)</f>
        <v>9.9130722609661586E-3</v>
      </c>
      <c r="O233">
        <f>_xlfn.STDEV.S('R1'!N233,'R2'!N233,'R3'!N233)</f>
        <v>1.9828065770403008E-2</v>
      </c>
      <c r="P233">
        <f>_xlfn.STDEV.S('R1'!O233,'R2'!O233,'R3'!O233)</f>
        <v>3.6470908936879205E-3</v>
      </c>
    </row>
    <row r="234" spans="1:16" x14ac:dyDescent="0.25">
      <c r="A234">
        <f>AVERAGE('R1'!F234,'R2'!F234,'R3'!F234)</f>
        <v>0.11372216666666667</v>
      </c>
      <c r="B234">
        <f>AVERAGE('R1'!G234,'R2'!G234,'R3'!G234)</f>
        <v>19.902837083333335</v>
      </c>
      <c r="C234">
        <f>-'R1'!H234</f>
        <v>-12</v>
      </c>
      <c r="D234">
        <f>DEGREES(ATAN(-SIN(RADIANS(('R1'!I234)))/(COS(RADIANS(Sheet1!C234))*COS(RADIANS('R1'!I234)))))</f>
        <v>20.410311753659691</v>
      </c>
      <c r="E234">
        <f>AVERAGE('R1'!J234,'R2'!J234,'R3'!J234)</f>
        <v>1.1691666666666667</v>
      </c>
      <c r="F234">
        <f>AVERAGE('R1'!K234,'R2'!K234,'R3'!K234)</f>
        <v>5.8095522500000003</v>
      </c>
      <c r="G234">
        <f>AVERAGE('R1'!L234,'R2'!L234,'R3'!L234)</f>
        <v>1.23372074486539</v>
      </c>
      <c r="H234">
        <f>AVERAGE('R1'!M234,'R2'!M234,'R3'!M234)</f>
        <v>0.76374503111601733</v>
      </c>
      <c r="I234">
        <f>AVERAGE('R1'!N234,'R2'!N234,'R3'!N234)</f>
        <v>-0.28493951792179772</v>
      </c>
      <c r="J234">
        <f>AVERAGE('R1'!O234,'R2'!O234,'R3'!O234)</f>
        <v>0.21137259043181378</v>
      </c>
      <c r="K234">
        <f t="shared" si="7"/>
        <v>1132.0558064930556</v>
      </c>
      <c r="M234">
        <f>_xlfn.STDEV.S('R1'!L234,'R2'!L234,'R3'!L234)</f>
        <v>1.3176890922356223E-2</v>
      </c>
      <c r="N234">
        <f>_xlfn.STDEV.S('R1'!M234,'R2'!M234,'R3'!M234)</f>
        <v>7.4892790798885426E-3</v>
      </c>
      <c r="O234">
        <f>_xlfn.STDEV.S('R1'!N234,'R2'!N234,'R3'!N234)</f>
        <v>1.8470562333497403E-2</v>
      </c>
      <c r="P234">
        <f>_xlfn.STDEV.S('R1'!O234,'R2'!O234,'R3'!O234)</f>
        <v>5.3020081391659439E-3</v>
      </c>
    </row>
    <row r="235" spans="1:16" x14ac:dyDescent="0.25">
      <c r="A235">
        <f>AVERAGE('R1'!F235,'R2'!F235,'R3'!F235)</f>
        <v>0.11372216666666667</v>
      </c>
      <c r="B235">
        <f>AVERAGE('R1'!G235,'R2'!G235,'R3'!G235)</f>
        <v>19.742397</v>
      </c>
      <c r="C235">
        <f>-'R1'!H235</f>
        <v>-12</v>
      </c>
      <c r="D235">
        <f>DEGREES(ATAN(-SIN(RADIANS(('R1'!I235)))/(COS(RADIANS(Sheet1!C235))*COS(RADIANS('R1'!I235)))))</f>
        <v>16.338575476506957</v>
      </c>
      <c r="E235">
        <f>AVERAGE('R1'!J235,'R2'!J235,'R3'!J235)</f>
        <v>1.1683333333333332</v>
      </c>
      <c r="F235">
        <f>AVERAGE('R1'!K235,'R2'!K235,'R3'!K235)</f>
        <v>5.7909578333333327</v>
      </c>
      <c r="G235">
        <f>AVERAGE('R1'!L235,'R2'!L235,'R3'!L235)</f>
        <v>1.0183972925921336</v>
      </c>
      <c r="H235">
        <f>AVERAGE('R1'!M235,'R2'!M235,'R3'!M235)</f>
        <v>0.77027961150995783</v>
      </c>
      <c r="I235">
        <f>AVERAGE('R1'!N235,'R2'!N235,'R3'!N235)</f>
        <v>-0.18863451184408034</v>
      </c>
      <c r="J235">
        <f>AVERAGE('R1'!O235,'R2'!O235,'R3'!O235)</f>
        <v>0.35128511628348447</v>
      </c>
      <c r="K235">
        <f t="shared" si="7"/>
        <v>1127.6281781018517</v>
      </c>
      <c r="M235">
        <f>_xlfn.STDEV.S('R1'!L235,'R2'!L235,'R3'!L235)</f>
        <v>3.0930591798712975E-3</v>
      </c>
      <c r="N235">
        <f>_xlfn.STDEV.S('R1'!M235,'R2'!M235,'R3'!M235)</f>
        <v>9.6285997927512742E-3</v>
      </c>
      <c r="O235">
        <f>_xlfn.STDEV.S('R1'!N235,'R2'!N235,'R3'!N235)</f>
        <v>1.2884454677462213E-2</v>
      </c>
      <c r="P235">
        <f>_xlfn.STDEV.S('R1'!O235,'R2'!O235,'R3'!O235)</f>
        <v>1.1444362497293982E-2</v>
      </c>
    </row>
    <row r="236" spans="1:16" x14ac:dyDescent="0.25">
      <c r="A236">
        <f>AVERAGE('R1'!F236,'R2'!F236,'R3'!F236)</f>
        <v>0.12996433333333332</v>
      </c>
      <c r="B236">
        <f>AVERAGE('R1'!G236,'R2'!G236,'R3'!G236)</f>
        <v>19.835718749999998</v>
      </c>
      <c r="C236">
        <f>-'R1'!H236</f>
        <v>-12</v>
      </c>
      <c r="D236">
        <f>DEGREES(ATAN(-SIN(RADIANS(('R1'!I236)))/(COS(RADIANS(Sheet1!C236))*COS(RADIANS('R1'!I236)))))</f>
        <v>12.260062948059348</v>
      </c>
      <c r="E236">
        <f>AVERAGE('R1'!J236,'R2'!J236,'R3'!J236)</f>
        <v>1.17</v>
      </c>
      <c r="F236">
        <f>AVERAGE('R1'!K236,'R2'!K236,'R3'!K236)</f>
        <v>5.8008120833333336</v>
      </c>
      <c r="G236">
        <f>AVERAGE('R1'!L236,'R2'!L236,'R3'!L236)</f>
        <v>0.79364875627490239</v>
      </c>
      <c r="H236">
        <f>AVERAGE('R1'!M236,'R2'!M236,'R3'!M236)</f>
        <v>0.79172975170929505</v>
      </c>
      <c r="I236">
        <f>AVERAGE('R1'!N236,'R2'!N236,'R3'!N236)</f>
        <v>-0.1185069993089366</v>
      </c>
      <c r="J236">
        <f>AVERAGE('R1'!O236,'R2'!O236,'R3'!O236)</f>
        <v>0.47027928651494494</v>
      </c>
      <c r="K236">
        <f t="shared" si="7"/>
        <v>1131.15835625</v>
      </c>
      <c r="M236">
        <f>_xlfn.STDEV.S('R1'!L236,'R2'!L236,'R3'!L236)</f>
        <v>3.8550137462852567E-3</v>
      </c>
      <c r="N236">
        <f>_xlfn.STDEV.S('R1'!M236,'R2'!M236,'R3'!M236)</f>
        <v>7.5528026301305371E-3</v>
      </c>
      <c r="O236">
        <f>_xlfn.STDEV.S('R1'!N236,'R2'!N236,'R3'!N236)</f>
        <v>1.4816249772999337E-2</v>
      </c>
      <c r="P236">
        <f>_xlfn.STDEV.S('R1'!O236,'R2'!O236,'R3'!O236)</f>
        <v>1.2566472289808905E-2</v>
      </c>
    </row>
    <row r="237" spans="1:16" x14ac:dyDescent="0.25">
      <c r="A237">
        <f>AVERAGE('R1'!F237,'R2'!F237,'R3'!F237)</f>
        <v>0.11372216666666667</v>
      </c>
      <c r="B237">
        <f>AVERAGE('R1'!G237,'R2'!G237,'R3'!G237)</f>
        <v>19.769775416666665</v>
      </c>
      <c r="C237">
        <f>-'R1'!H237</f>
        <v>-12</v>
      </c>
      <c r="D237">
        <f>DEGREES(ATAN(-SIN(RADIANS(('R1'!I237)))/(COS(RADIANS(Sheet1!C237))*COS(RADIANS('R1'!I237)))))</f>
        <v>8.1763340518815415</v>
      </c>
      <c r="E237">
        <f>AVERAGE('R1'!J237,'R2'!J237,'R3'!J237)</f>
        <v>1.1691666666666667</v>
      </c>
      <c r="F237">
        <f>AVERAGE('R1'!K237,'R2'!K237,'R3'!K237)</f>
        <v>5.7970909999999991</v>
      </c>
      <c r="G237">
        <f>AVERAGE('R1'!L237,'R2'!L237,'R3'!L237)</f>
        <v>0.55750281524832934</v>
      </c>
      <c r="H237">
        <f>AVERAGE('R1'!M237,'R2'!M237,'R3'!M237)</f>
        <v>0.82893208405618013</v>
      </c>
      <c r="I237">
        <f>AVERAGE('R1'!N237,'R2'!N237,'R3'!N237)</f>
        <v>-6.5610762995724714E-2</v>
      </c>
      <c r="J237">
        <f>AVERAGE('R1'!O237,'R2'!O237,'R3'!O237)</f>
        <v>0.58671360440193532</v>
      </c>
      <c r="K237">
        <f t="shared" si="7"/>
        <v>1129.6275934722221</v>
      </c>
      <c r="M237">
        <f>_xlfn.STDEV.S('R1'!L237,'R2'!L237,'R3'!L237)</f>
        <v>2.8272780748396743E-3</v>
      </c>
      <c r="N237">
        <f>_xlfn.STDEV.S('R1'!M237,'R2'!M237,'R3'!M237)</f>
        <v>5.579365804639809E-3</v>
      </c>
      <c r="O237">
        <f>_xlfn.STDEV.S('R1'!N237,'R2'!N237,'R3'!N237)</f>
        <v>1.6185396283420479E-2</v>
      </c>
      <c r="P237">
        <f>_xlfn.STDEV.S('R1'!O237,'R2'!O237,'R3'!O237)</f>
        <v>1.1718605565114346E-2</v>
      </c>
    </row>
    <row r="238" spans="1:16" x14ac:dyDescent="0.25">
      <c r="A238">
        <f>AVERAGE('R1'!F238,'R2'!F238,'R3'!F238)</f>
        <v>0.11372216666666667</v>
      </c>
      <c r="B238">
        <f>AVERAGE('R1'!G238,'R2'!G238,'R3'!G238)</f>
        <v>19.783114416666667</v>
      </c>
      <c r="C238">
        <f>-'R1'!H238</f>
        <v>-12</v>
      </c>
      <c r="D238">
        <f>DEGREES(ATAN(-SIN(RADIANS(('R1'!I238)))/(COS(RADIANS(Sheet1!C238))*COS(RADIANS('R1'!I238)))))</f>
        <v>4.0890625478299265</v>
      </c>
      <c r="E238">
        <f>AVERAGE('R1'!J238,'R2'!J238,'R3'!J238)</f>
        <v>1.1675</v>
      </c>
      <c r="F238">
        <f>AVERAGE('R1'!K238,'R2'!K238,'R3'!K238)</f>
        <v>5.8040038333333328</v>
      </c>
      <c r="G238">
        <f>AVERAGE('R1'!L238,'R2'!L238,'R3'!L238)</f>
        <v>0.29609891834266505</v>
      </c>
      <c r="H238">
        <f>AVERAGE('R1'!M238,'R2'!M238,'R3'!M238)</f>
        <v>0.89411686369184296</v>
      </c>
      <c r="I238">
        <f>AVERAGE('R1'!N238,'R2'!N238,'R3'!N238)</f>
        <v>-3.9749460745126586E-2</v>
      </c>
      <c r="J238">
        <f>AVERAGE('R1'!O238,'R2'!O238,'R3'!O238)</f>
        <v>0.68337514912981911</v>
      </c>
      <c r="K238">
        <f t="shared" si="7"/>
        <v>1129.3624125694441</v>
      </c>
      <c r="M238">
        <f>_xlfn.STDEV.S('R1'!L238,'R2'!L238,'R3'!L238)</f>
        <v>3.6572411964030491E-3</v>
      </c>
      <c r="N238">
        <f>_xlfn.STDEV.S('R1'!M238,'R2'!M238,'R3'!M238)</f>
        <v>6.6181676598454139E-3</v>
      </c>
      <c r="O238">
        <f>_xlfn.STDEV.S('R1'!N238,'R2'!N238,'R3'!N238)</f>
        <v>1.3351875259170825E-2</v>
      </c>
      <c r="P238">
        <f>_xlfn.STDEV.S('R1'!O238,'R2'!O238,'R3'!O238)</f>
        <v>1.6176171546684086E-2</v>
      </c>
    </row>
    <row r="239" spans="1:16" x14ac:dyDescent="0.25">
      <c r="A239">
        <f>AVERAGE('R1'!F239,'R2'!F239,'R3'!F239)</f>
        <v>9.7479999999999997E-2</v>
      </c>
      <c r="B239">
        <f>AVERAGE('R1'!G239,'R2'!G239,'R3'!G239)</f>
        <v>19.502984250000001</v>
      </c>
      <c r="C239">
        <f>-'R1'!H239</f>
        <v>-12</v>
      </c>
      <c r="D239">
        <f>DEGREES(ATAN(-SIN(RADIANS(('R1'!I239)))/(COS(RADIANS(Sheet1!C239))*COS(RADIANS('R1'!I239)))))</f>
        <v>0</v>
      </c>
      <c r="E239">
        <f>AVERAGE('R1'!J239,'R2'!J239,'R3'!J239)</f>
        <v>1.1683333333333332</v>
      </c>
      <c r="F239">
        <f>AVERAGE('R1'!K239,'R2'!K239,'R3'!K239)</f>
        <v>5.7632513333333337</v>
      </c>
      <c r="G239">
        <f>AVERAGE('R1'!L239,'R2'!L239,'R3'!L239)</f>
        <v>5.0865118326012268E-3</v>
      </c>
      <c r="H239">
        <f>AVERAGE('R1'!M239,'R2'!M239,'R3'!M239)</f>
        <v>0.97039312298163782</v>
      </c>
      <c r="I239">
        <f>AVERAGE('R1'!N239,'R2'!N239,'R3'!N239)</f>
        <v>-3.9174613240134659E-2</v>
      </c>
      <c r="J239">
        <f>AVERAGE('R1'!O239,'R2'!O239,'R3'!O239)</f>
        <v>0.8028637217881488</v>
      </c>
      <c r="K239">
        <f t="shared" si="7"/>
        <v>1122.233106851852</v>
      </c>
      <c r="M239">
        <f>_xlfn.STDEV.S('R1'!L239,'R2'!L239,'R3'!L239)</f>
        <v>8.9424818989222478E-3</v>
      </c>
      <c r="N239">
        <f>_xlfn.STDEV.S('R1'!M239,'R2'!M239,'R3'!M239)</f>
        <v>8.2024604010359197E-3</v>
      </c>
      <c r="O239">
        <f>_xlfn.STDEV.S('R1'!N239,'R2'!N239,'R3'!N239)</f>
        <v>1.3524286220883286E-2</v>
      </c>
      <c r="P239">
        <f>_xlfn.STDEV.S('R1'!O239,'R2'!O239,'R3'!O239)</f>
        <v>6.1842000249244453E-3</v>
      </c>
    </row>
    <row r="240" spans="1:16" x14ac:dyDescent="0.25">
      <c r="A240">
        <f>AVERAGE('R1'!F240,'R2'!F240,'R3'!F240)</f>
        <v>0.11372216666666667</v>
      </c>
      <c r="B240">
        <f>AVERAGE('R1'!G240,'R2'!G240,'R3'!G240)</f>
        <v>19.263231333333334</v>
      </c>
      <c r="C240">
        <f>-'R1'!H240</f>
        <v>-12</v>
      </c>
      <c r="D240">
        <f>DEGREES(ATAN(-SIN(RADIANS(('R1'!I240)))/(COS(RADIANS(Sheet1!C240))*COS(RADIANS('R1'!I240)))))</f>
        <v>-4.0890625478299265</v>
      </c>
      <c r="E240">
        <f>AVERAGE('R1'!J240,'R2'!J240,'R3'!J240)</f>
        <v>1.1675</v>
      </c>
      <c r="F240">
        <f>AVERAGE('R1'!K240,'R2'!K240,'R3'!K240)</f>
        <v>5.7267510833333333</v>
      </c>
      <c r="G240">
        <f>AVERAGE('R1'!L240,'R2'!L240,'R3'!L240)</f>
        <v>-0.29271250616299194</v>
      </c>
      <c r="H240">
        <f>AVERAGE('R1'!M240,'R2'!M240,'R3'!M240)</f>
        <v>0.89772054610804741</v>
      </c>
      <c r="I240">
        <f>AVERAGE('R1'!N240,'R2'!N240,'R3'!N240)</f>
        <v>-4.375599037823432E-2</v>
      </c>
      <c r="J240">
        <f>AVERAGE('R1'!O240,'R2'!O240,'R3'!O240)</f>
        <v>0.67634064413915029</v>
      </c>
      <c r="K240">
        <f t="shared" si="7"/>
        <v>1114.3303149652779</v>
      </c>
      <c r="M240">
        <f>_xlfn.STDEV.S('R1'!L240,'R2'!L240,'R3'!L240)</f>
        <v>6.9949622308059962E-3</v>
      </c>
      <c r="N240">
        <f>_xlfn.STDEV.S('R1'!M240,'R2'!M240,'R3'!M240)</f>
        <v>1.2555767651019794E-2</v>
      </c>
      <c r="O240">
        <f>_xlfn.STDEV.S('R1'!N240,'R2'!N240,'R3'!N240)</f>
        <v>2.0683845223049838E-2</v>
      </c>
      <c r="P240">
        <f>_xlfn.STDEV.S('R1'!O240,'R2'!O240,'R3'!O240)</f>
        <v>6.9654147591194917E-3</v>
      </c>
    </row>
    <row r="241" spans="1:16" x14ac:dyDescent="0.25">
      <c r="A241">
        <f>AVERAGE('R1'!F241,'R2'!F241,'R3'!F241)</f>
        <v>9.7479999999999997E-2</v>
      </c>
      <c r="B241">
        <f>AVERAGE('R1'!G241,'R2'!G241,'R3'!G241)</f>
        <v>19.222144750000002</v>
      </c>
      <c r="C241">
        <f>-'R1'!H241</f>
        <v>-12</v>
      </c>
      <c r="D241">
        <f>DEGREES(ATAN(-SIN(RADIANS(('R1'!I241)))/(COS(RADIANS(Sheet1!C241))*COS(RADIANS('R1'!I241)))))</f>
        <v>-8.1763340518815415</v>
      </c>
      <c r="E241">
        <f>AVERAGE('R1'!J241,'R2'!J241,'R3'!J241)</f>
        <v>1.1658333333333333</v>
      </c>
      <c r="F241">
        <f>AVERAGE('R1'!K241,'R2'!K241,'R3'!K241)</f>
        <v>5.7268073333333334</v>
      </c>
      <c r="G241">
        <f>AVERAGE('R1'!L241,'R2'!L241,'R3'!L241)</f>
        <v>-0.55323156737618162</v>
      </c>
      <c r="H241">
        <f>AVERAGE('R1'!M241,'R2'!M241,'R3'!M241)</f>
        <v>0.84474873475149215</v>
      </c>
      <c r="I241">
        <f>AVERAGE('R1'!N241,'R2'!N241,'R3'!N241)</f>
        <v>-7.3730379817692732E-2</v>
      </c>
      <c r="J241">
        <f>AVERAGE('R1'!O241,'R2'!O241,'R3'!O241)</f>
        <v>0.55594575846633942</v>
      </c>
      <c r="K241">
        <f t="shared" si="7"/>
        <v>1112.750480462963</v>
      </c>
      <c r="M241">
        <f>_xlfn.STDEV.S('R1'!L241,'R2'!L241,'R3'!L241)</f>
        <v>3.7394273068905972E-3</v>
      </c>
      <c r="N241">
        <f>_xlfn.STDEV.S('R1'!M241,'R2'!M241,'R3'!M241)</f>
        <v>1.0203807225569874E-2</v>
      </c>
      <c r="O241">
        <f>_xlfn.STDEV.S('R1'!N241,'R2'!N241,'R3'!N241)</f>
        <v>1.7641707738279885E-2</v>
      </c>
      <c r="P241">
        <f>_xlfn.STDEV.S('R1'!O241,'R2'!O241,'R3'!O241)</f>
        <v>7.1981689840590968E-3</v>
      </c>
    </row>
    <row r="242" spans="1:16" x14ac:dyDescent="0.25">
      <c r="A242">
        <f>AVERAGE('R1'!F242,'R2'!F242,'R3'!F242)</f>
        <v>9.7479999999999997E-2</v>
      </c>
      <c r="B242">
        <f>AVERAGE('R1'!G242,'R2'!G242,'R3'!G242)</f>
        <v>19.302211083333333</v>
      </c>
      <c r="C242">
        <f>-'R1'!H242</f>
        <v>-12</v>
      </c>
      <c r="D242">
        <f>DEGREES(ATAN(-SIN(RADIANS(('R1'!I242)))/(COS(RADIANS(Sheet1!C242))*COS(RADIANS('R1'!I242)))))</f>
        <v>-12.260062948059348</v>
      </c>
      <c r="E242">
        <f>AVERAGE('R1'!J242,'R2'!J242,'R3'!J242)</f>
        <v>1.1633333333333333</v>
      </c>
      <c r="F242">
        <f>AVERAGE('R1'!K242,'R2'!K242,'R3'!K242)</f>
        <v>5.7439987500000003</v>
      </c>
      <c r="G242">
        <f>AVERAGE('R1'!L242,'R2'!L242,'R3'!L242)</f>
        <v>-0.79121243187271462</v>
      </c>
      <c r="H242">
        <f>AVERAGE('R1'!M242,'R2'!M242,'R3'!M242)</f>
        <v>0.80582650809400225</v>
      </c>
      <c r="I242">
        <f>AVERAGE('R1'!N242,'R2'!N242,'R3'!N242)</f>
        <v>-0.13417060829735308</v>
      </c>
      <c r="J242">
        <f>AVERAGE('R1'!O242,'R2'!O242,'R3'!O242)</f>
        <v>0.44294938885462215</v>
      </c>
      <c r="K242">
        <f t="shared" si="7"/>
        <v>1113.6975354166666</v>
      </c>
      <c r="M242">
        <f>_xlfn.STDEV.S('R1'!L242,'R2'!L242,'R3'!L242)</f>
        <v>4.0302040560949567E-3</v>
      </c>
      <c r="N242">
        <f>_xlfn.STDEV.S('R1'!M242,'R2'!M242,'R3'!M242)</f>
        <v>1.0449672794749018E-2</v>
      </c>
      <c r="O242">
        <f>_xlfn.STDEV.S('R1'!N242,'R2'!N242,'R3'!N242)</f>
        <v>1.5844085898967904E-2</v>
      </c>
      <c r="P242">
        <f>_xlfn.STDEV.S('R1'!O242,'R2'!O242,'R3'!O242)</f>
        <v>1.2292368351109129E-2</v>
      </c>
    </row>
    <row r="243" spans="1:16" x14ac:dyDescent="0.25">
      <c r="A243">
        <f>AVERAGE('R1'!F243,'R2'!F243,'R3'!F243)</f>
        <v>0.11372216666666667</v>
      </c>
      <c r="B243">
        <f>AVERAGE('R1'!G243,'R2'!G243,'R3'!G243)</f>
        <v>19.462990833333333</v>
      </c>
      <c r="C243">
        <f>-'R1'!H243</f>
        <v>-12</v>
      </c>
      <c r="D243">
        <f>DEGREES(ATAN(-SIN(RADIANS(('R1'!I243)))/(COS(RADIANS(Sheet1!C243))*COS(RADIANS('R1'!I243)))))</f>
        <v>-16.338575476506957</v>
      </c>
      <c r="E243">
        <f>AVERAGE('R1'!J243,'R2'!J243,'R3'!J243)</f>
        <v>1.1666666666666667</v>
      </c>
      <c r="F243">
        <f>AVERAGE('R1'!K243,'R2'!K243,'R3'!K243)</f>
        <v>5.7555991666666664</v>
      </c>
      <c r="G243">
        <f>AVERAGE('R1'!L243,'R2'!L243,'R3'!L243)</f>
        <v>-1.0219834442563294</v>
      </c>
      <c r="H243">
        <f>AVERAGE('R1'!M243,'R2'!M243,'R3'!M243)</f>
        <v>0.79772654978693736</v>
      </c>
      <c r="I243">
        <f>AVERAGE('R1'!N243,'R2'!N243,'R3'!N243)</f>
        <v>-0.21437016060996394</v>
      </c>
      <c r="J243">
        <f>AVERAGE('R1'!O243,'R2'!O243,'R3'!O243)</f>
        <v>0.3114903410530025</v>
      </c>
      <c r="K243">
        <f t="shared" si="7"/>
        <v>1119.1442824074074</v>
      </c>
      <c r="M243">
        <f>_xlfn.STDEV.S('R1'!L243,'R2'!L243,'R3'!L243)</f>
        <v>8.7603627930867133E-3</v>
      </c>
      <c r="N243">
        <f>_xlfn.STDEV.S('R1'!M243,'R2'!M243,'R3'!M243)</f>
        <v>5.0881701015255427E-3</v>
      </c>
      <c r="O243">
        <f>_xlfn.STDEV.S('R1'!N243,'R2'!N243,'R3'!N243)</f>
        <v>1.8010856522874666E-2</v>
      </c>
      <c r="P243">
        <f>_xlfn.STDEV.S('R1'!O243,'R2'!O243,'R3'!O243)</f>
        <v>7.9898164981070628E-3</v>
      </c>
    </row>
    <row r="244" spans="1:16" x14ac:dyDescent="0.25">
      <c r="A244">
        <f>AVERAGE('R1'!F244,'R2'!F244,'R3'!F244)</f>
        <v>0.11372216666666667</v>
      </c>
      <c r="B244">
        <f>AVERAGE('R1'!G244,'R2'!G244,'R3'!G244)</f>
        <v>19.728290833333332</v>
      </c>
      <c r="C244">
        <f>-'R1'!H244</f>
        <v>-12</v>
      </c>
      <c r="D244">
        <f>DEGREES(ATAN(-SIN(RADIANS(('R1'!I244)))/(COS(RADIANS(Sheet1!C244))*COS(RADIANS('R1'!I244)))))</f>
        <v>-20.410311753659691</v>
      </c>
      <c r="E244">
        <f>AVERAGE('R1'!J244,'R2'!J244,'R3'!J244)</f>
        <v>1.1649999999999998</v>
      </c>
      <c r="F244">
        <f>AVERAGE('R1'!K244,'R2'!K244,'R3'!K244)</f>
        <v>5.7974353333333326</v>
      </c>
      <c r="G244">
        <f>AVERAGE('R1'!L244,'R2'!L244,'R3'!L244)</f>
        <v>-1.247991903870207</v>
      </c>
      <c r="H244">
        <f>AVERAGE('R1'!M244,'R2'!M244,'R3'!M244)</f>
        <v>0.81615279326501089</v>
      </c>
      <c r="I244">
        <f>AVERAGE('R1'!N244,'R2'!N244,'R3'!N244)</f>
        <v>-0.33199896504502141</v>
      </c>
      <c r="J244">
        <f>AVERAGE('R1'!O244,'R2'!O244,'R3'!O244)</f>
        <v>0.16558135171141478</v>
      </c>
      <c r="K244">
        <f t="shared" si="7"/>
        <v>1125.6686938888886</v>
      </c>
      <c r="M244">
        <f>_xlfn.STDEV.S('R1'!L244,'R2'!L244,'R3'!L244)</f>
        <v>1.9468581313870512E-2</v>
      </c>
      <c r="N244">
        <f>_xlfn.STDEV.S('R1'!M244,'R2'!M244,'R3'!M244)</f>
        <v>1.3828412740794807E-2</v>
      </c>
      <c r="O244">
        <f>_xlfn.STDEV.S('R1'!N244,'R2'!N244,'R3'!N244)</f>
        <v>9.4339880456393698E-3</v>
      </c>
      <c r="P244">
        <f>_xlfn.STDEV.S('R1'!O244,'R2'!O244,'R3'!O244)</f>
        <v>4.2752373469342715E-3</v>
      </c>
    </row>
    <row r="245" spans="1:16" x14ac:dyDescent="0.25">
      <c r="A245">
        <f>AVERAGE('R1'!F245,'R2'!F245,'R3'!F245)</f>
        <v>0.11372216666666667</v>
      </c>
      <c r="B245">
        <f>AVERAGE('R1'!G245,'R2'!G245,'R3'!G245)</f>
        <v>19.516021166666668</v>
      </c>
      <c r="C245">
        <f>-'R1'!H245</f>
        <v>-12</v>
      </c>
      <c r="D245">
        <f>DEGREES(ATAN(-SIN(RADIANS(('R1'!I245)))/(COS(RADIANS(Sheet1!C245))*COS(RADIANS('R1'!I245)))))</f>
        <v>-24.473858605038014</v>
      </c>
      <c r="E245">
        <f>AVERAGE('R1'!J245,'R2'!J245,'R3'!J245)</f>
        <v>1.1658333333333333</v>
      </c>
      <c r="F245">
        <f>AVERAGE('R1'!K245,'R2'!K245,'R3'!K245)</f>
        <v>5.7635775000000002</v>
      </c>
      <c r="G245">
        <f>AVERAGE('R1'!L245,'R2'!L245,'R3'!L245)</f>
        <v>-1.4845287398753835</v>
      </c>
      <c r="H245">
        <f>AVERAGE('R1'!M245,'R2'!M245,'R3'!M245)</f>
        <v>0.87365755548589108</v>
      </c>
      <c r="I245">
        <f>AVERAGE('R1'!N245,'R2'!N245,'R3'!N245)</f>
        <v>-0.48803645824116099</v>
      </c>
      <c r="J245">
        <f>AVERAGE('R1'!O245,'R2'!O245,'R3'!O245)</f>
        <v>-2.105624318747086E-3</v>
      </c>
      <c r="K245">
        <f t="shared" si="7"/>
        <v>1119.8951281250002</v>
      </c>
      <c r="M245">
        <f>_xlfn.STDEV.S('R1'!L245,'R2'!L245,'R3'!L245)</f>
        <v>1.3514157951008189E-2</v>
      </c>
      <c r="N245">
        <f>_xlfn.STDEV.S('R1'!M245,'R2'!M245,'R3'!M245)</f>
        <v>7.203388979491787E-3</v>
      </c>
      <c r="O245">
        <f>_xlfn.STDEV.S('R1'!N245,'R2'!N245,'R3'!N245)</f>
        <v>1.5165890492391143E-2</v>
      </c>
      <c r="P245">
        <f>_xlfn.STDEV.S('R1'!O245,'R2'!O245,'R3'!O245)</f>
        <v>4.73705427266415E-3</v>
      </c>
    </row>
    <row r="246" spans="1:16" x14ac:dyDescent="0.25">
      <c r="A246">
        <f>AVERAGE('R1'!F246,'R2'!F246,'R3'!F246)</f>
        <v>0.12996433333333332</v>
      </c>
      <c r="B246">
        <f>AVERAGE('R1'!G246,'R2'!G246,'R3'!G246)</f>
        <v>19.596389416666668</v>
      </c>
      <c r="C246">
        <f>-'R1'!H246</f>
        <v>-12</v>
      </c>
      <c r="D246">
        <f>DEGREES(ATAN(-SIN(RADIANS(('R1'!I246)))/(COS(RADIANS(Sheet1!C246))*COS(RADIANS('R1'!I246)))))</f>
        <v>-28.527978326363606</v>
      </c>
      <c r="E246">
        <f>AVERAGE('R1'!J246,'R2'!J246,'R3'!J246)</f>
        <v>1.1666666666666667</v>
      </c>
      <c r="F246">
        <f>AVERAGE('R1'!K246,'R2'!K246,'R3'!K246)</f>
        <v>5.7720834166666668</v>
      </c>
      <c r="G246">
        <f>AVERAGE('R1'!L246,'R2'!L246,'R3'!L246)</f>
        <v>-1.7474087781633203</v>
      </c>
      <c r="H246">
        <f>AVERAGE('R1'!M246,'R2'!M246,'R3'!M246)</f>
        <v>0.96256313043742459</v>
      </c>
      <c r="I246">
        <f>AVERAGE('R1'!N246,'R2'!N246,'R3'!N246)</f>
        <v>-0.69832730857752379</v>
      </c>
      <c r="J246">
        <f>AVERAGE('R1'!O246,'R2'!O246,'R3'!O246)</f>
        <v>-0.18480636971721143</v>
      </c>
      <c r="K246">
        <f t="shared" si="7"/>
        <v>1122.3495532407408</v>
      </c>
      <c r="M246">
        <f>_xlfn.STDEV.S('R1'!L246,'R2'!L246,'R3'!L246)</f>
        <v>7.6584504282047857E-3</v>
      </c>
      <c r="N246">
        <f>_xlfn.STDEV.S('R1'!M246,'R2'!M246,'R3'!M246)</f>
        <v>1.8965992122390498E-2</v>
      </c>
      <c r="O246">
        <f>_xlfn.STDEV.S('R1'!N246,'R2'!N246,'R3'!N246)</f>
        <v>1.163941043575758E-2</v>
      </c>
      <c r="P246">
        <f>_xlfn.STDEV.S('R1'!O246,'R2'!O246,'R3'!O246)</f>
        <v>8.086006492006418E-3</v>
      </c>
    </row>
    <row r="247" spans="1:16" x14ac:dyDescent="0.25">
      <c r="A247">
        <f>AVERAGE('R1'!F247,'R2'!F247,'R3'!F247)</f>
        <v>0.11372216666666667</v>
      </c>
      <c r="B247">
        <f>AVERAGE('R1'!G247,'R2'!G247,'R3'!G247)</f>
        <v>19.636027500000001</v>
      </c>
      <c r="C247">
        <f>-'R1'!H247</f>
        <v>-12</v>
      </c>
      <c r="D247">
        <f>DEGREES(ATAN(-SIN(RADIANS(('R1'!I247)))/(COS(RADIANS(Sheet1!C247))*COS(RADIANS('R1'!I247)))))</f>
        <v>-32.571632726288172</v>
      </c>
      <c r="E247">
        <f>AVERAGE('R1'!J247,'R2'!J247,'R3'!J247)</f>
        <v>1.1666666666666667</v>
      </c>
      <c r="F247">
        <f>AVERAGE('R1'!K247,'R2'!K247,'R3'!K247)</f>
        <v>5.7800817500000008</v>
      </c>
      <c r="G247">
        <f>AVERAGE('R1'!L247,'R2'!L247,'R3'!L247)</f>
        <v>-2.0499821062571901</v>
      </c>
      <c r="H247">
        <f>AVERAGE('R1'!M247,'R2'!M247,'R3'!M247)</f>
        <v>1.1031368625587574</v>
      </c>
      <c r="I247">
        <f>AVERAGE('R1'!N247,'R2'!N247,'R3'!N247)</f>
        <v>-0.9730362814370267</v>
      </c>
      <c r="J247">
        <f>AVERAGE('R1'!O247,'R2'!O247,'R3'!O247)</f>
        <v>-0.3973759085128552</v>
      </c>
      <c r="K247">
        <f t="shared" si="7"/>
        <v>1123.9047847222225</v>
      </c>
      <c r="M247">
        <f>_xlfn.STDEV.S('R1'!L247,'R2'!L247,'R3'!L247)</f>
        <v>1.7282561540889189E-2</v>
      </c>
      <c r="N247">
        <f>_xlfn.STDEV.S('R1'!M247,'R2'!M247,'R3'!M247)</f>
        <v>1.3760186890916227E-2</v>
      </c>
      <c r="O247">
        <f>_xlfn.STDEV.S('R1'!N247,'R2'!N247,'R3'!N247)</f>
        <v>2.5294521146372161E-2</v>
      </c>
      <c r="P247">
        <f>_xlfn.STDEV.S('R1'!O247,'R2'!O247,'R3'!O247)</f>
        <v>7.4705344543564188E-3</v>
      </c>
    </row>
    <row r="248" spans="1:16" x14ac:dyDescent="0.25">
      <c r="A248">
        <f>AVERAGE('R1'!F248,'R2'!F248,'R3'!F248)</f>
        <v>9.7479999999999997E-2</v>
      </c>
      <c r="B248">
        <f>AVERAGE('R1'!G248,'R2'!G248,'R3'!G248)</f>
        <v>19.60972141666667</v>
      </c>
      <c r="C248">
        <f>-'R1'!H248</f>
        <v>-12</v>
      </c>
      <c r="D248">
        <f>DEGREES(ATAN(-SIN(RADIANS(('R1'!I248)))/(COS(RADIANS(Sheet1!C248))*COS(RADIANS('R1'!I248)))))</f>
        <v>-36.604002006988381</v>
      </c>
      <c r="E248">
        <f>AVERAGE('R1'!J248,'R2'!J248,'R3'!J248)</f>
        <v>1.1675</v>
      </c>
      <c r="F248">
        <f>AVERAGE('R1'!K248,'R2'!K248,'R3'!K248)</f>
        <v>5.7756045833333332</v>
      </c>
      <c r="G248">
        <f>AVERAGE('R1'!L248,'R2'!L248,'R3'!L248)</f>
        <v>-2.4310800196553042</v>
      </c>
      <c r="H248">
        <f>AVERAGE('R1'!M248,'R2'!M248,'R3'!M248)</f>
        <v>1.2978299711067889</v>
      </c>
      <c r="I248">
        <f>AVERAGE('R1'!N248,'R2'!N248,'R3'!N248)</f>
        <v>-1.3601712701794602</v>
      </c>
      <c r="J248">
        <f>AVERAGE('R1'!O248,'R2'!O248,'R3'!O248)</f>
        <v>-0.66039503412449152</v>
      </c>
      <c r="K248">
        <f t="shared" si="7"/>
        <v>1123.8363918402779</v>
      </c>
      <c r="M248">
        <f>_xlfn.STDEV.S('R1'!L248,'R2'!L248,'R3'!L248)</f>
        <v>4.0517269014505704E-2</v>
      </c>
      <c r="N248">
        <f>_xlfn.STDEV.S('R1'!M248,'R2'!M248,'R3'!M248)</f>
        <v>2.1376390815205103E-2</v>
      </c>
      <c r="O248">
        <f>_xlfn.STDEV.S('R1'!N248,'R2'!N248,'R3'!N248)</f>
        <v>4.9942050704809594E-2</v>
      </c>
      <c r="P248">
        <f>_xlfn.STDEV.S('R1'!O248,'R2'!O248,'R3'!O248)</f>
        <v>1.8905068396008921E-2</v>
      </c>
    </row>
    <row r="249" spans="1:16" x14ac:dyDescent="0.25">
      <c r="A249">
        <f>AVERAGE('R1'!F249,'R2'!F249,'R3'!F249)</f>
        <v>0.11372216666666667</v>
      </c>
      <c r="B249">
        <f>AVERAGE('R1'!G249,'R2'!G249,'R3'!G249)</f>
        <v>19.849111666666666</v>
      </c>
      <c r="C249">
        <f>-'R1'!H249</f>
        <v>-16</v>
      </c>
      <c r="D249">
        <f>DEGREES(ATAN(-SIN(RADIANS(('R1'!I249)))/(COS(RADIANS(Sheet1!C249))*COS(RADIANS('R1'!I249)))))</f>
        <v>37.082782431142171</v>
      </c>
      <c r="E249">
        <f>AVERAGE('R1'!J249,'R2'!J249,'R3'!J249)</f>
        <v>1.1666666666666667</v>
      </c>
      <c r="F249">
        <f>AVERAGE('R1'!K249,'R2'!K249,'R3'!K249)</f>
        <v>5.8091550833333336</v>
      </c>
      <c r="G249">
        <f>AVERAGE('R1'!L249,'R2'!L249,'R3'!L249)</f>
        <v>2.1062891046268204</v>
      </c>
      <c r="H249">
        <f>AVERAGE('R1'!M249,'R2'!M249,'R3'!M249)</f>
        <v>1.2593878134919925</v>
      </c>
      <c r="I249">
        <f>AVERAGE('R1'!N249,'R2'!N249,'R3'!N249)</f>
        <v>-1.0769425135567079</v>
      </c>
      <c r="J249">
        <f>AVERAGE('R1'!O249,'R2'!O249,'R3'!O249)</f>
        <v>-0.61092234620049168</v>
      </c>
      <c r="K249">
        <f t="shared" si="7"/>
        <v>1129.5579328703705</v>
      </c>
      <c r="M249">
        <f>_xlfn.STDEV.S('R1'!L249,'R2'!L249,'R3'!L249)</f>
        <v>3.9816612610345612E-3</v>
      </c>
      <c r="N249">
        <f>_xlfn.STDEV.S('R1'!M249,'R2'!M249,'R3'!M249)</f>
        <v>4.7988741265851962E-3</v>
      </c>
      <c r="O249">
        <f>_xlfn.STDEV.S('R1'!N249,'R2'!N249,'R3'!N249)</f>
        <v>1.0858940620048906E-2</v>
      </c>
      <c r="P249">
        <f>_xlfn.STDEV.S('R1'!O249,'R2'!O249,'R3'!O249)</f>
        <v>1.2176201755911393E-3</v>
      </c>
    </row>
    <row r="250" spans="1:16" x14ac:dyDescent="0.25">
      <c r="A250">
        <f>AVERAGE('R1'!F250,'R2'!F250,'R3'!F250)</f>
        <v>0.11372216666666667</v>
      </c>
      <c r="B250">
        <f>AVERAGE('R1'!G250,'R2'!G250,'R3'!G250)</f>
        <v>19.769790499999999</v>
      </c>
      <c r="C250">
        <f>-'R1'!H250</f>
        <v>-16</v>
      </c>
      <c r="D250">
        <f>DEGREES(ATAN(-SIN(RADIANS(('R1'!I250)))/(COS(RADIANS(Sheet1!C250))*COS(RADIANS('R1'!I250)))))</f>
        <v>33.025931133441695</v>
      </c>
      <c r="E250">
        <f>AVERAGE('R1'!J250,'R2'!J250,'R3'!J250)</f>
        <v>1.1683333333333332</v>
      </c>
      <c r="F250">
        <f>AVERAGE('R1'!K250,'R2'!K250,'R3'!K250)</f>
        <v>5.7918031666666669</v>
      </c>
      <c r="G250">
        <f>AVERAGE('R1'!L250,'R2'!L250,'R3'!L250)</f>
        <v>1.8533269178129794</v>
      </c>
      <c r="H250">
        <f>AVERAGE('R1'!M250,'R2'!M250,'R3'!M250)</f>
        <v>1.1584861732809488</v>
      </c>
      <c r="I250">
        <f>AVERAGE('R1'!N250,'R2'!N250,'R3'!N250)</f>
        <v>-0.83953156258605777</v>
      </c>
      <c r="J250">
        <f>AVERAGE('R1'!O250,'R2'!O250,'R3'!O250)</f>
        <v>-0.40154583393163662</v>
      </c>
      <c r="K250">
        <f t="shared" si="7"/>
        <v>1127.7927832870371</v>
      </c>
      <c r="M250">
        <f>_xlfn.STDEV.S('R1'!L250,'R2'!L250,'R3'!L250)</f>
        <v>3.4454929980479755E-3</v>
      </c>
      <c r="N250">
        <f>_xlfn.STDEV.S('R1'!M250,'R2'!M250,'R3'!M250)</f>
        <v>1.2352725316000552E-2</v>
      </c>
      <c r="O250">
        <f>_xlfn.STDEV.S('R1'!N250,'R2'!N250,'R3'!N250)</f>
        <v>1.6528254231894062E-2</v>
      </c>
      <c r="P250">
        <f>_xlfn.STDEV.S('R1'!O250,'R2'!O250,'R3'!O250)</f>
        <v>2.1587955071650485E-3</v>
      </c>
    </row>
    <row r="251" spans="1:16" x14ac:dyDescent="0.25">
      <c r="A251">
        <f>AVERAGE('R1'!F251,'R2'!F251,'R3'!F251)</f>
        <v>0.14620649999999999</v>
      </c>
      <c r="B251">
        <f>AVERAGE('R1'!G251,'R2'!G251,'R3'!G251)</f>
        <v>20.076234333333336</v>
      </c>
      <c r="C251">
        <f>-'R1'!H251</f>
        <v>-16</v>
      </c>
      <c r="D251">
        <f>DEGREES(ATAN(-SIN(RADIANS(('R1'!I251)))/(COS(RADIANS(Sheet1!C251))*COS(RADIANS('R1'!I251)))))</f>
        <v>28.948605633454871</v>
      </c>
      <c r="E251">
        <f>AVERAGE('R1'!J251,'R2'!J251,'R3'!J251)</f>
        <v>1.17</v>
      </c>
      <c r="F251">
        <f>AVERAGE('R1'!K251,'R2'!K251,'R3'!K251)</f>
        <v>5.8304812499999992</v>
      </c>
      <c r="G251">
        <f>AVERAGE('R1'!L251,'R2'!L251,'R3'!L251)</f>
        <v>1.6249122370879814</v>
      </c>
      <c r="H251">
        <f>AVERAGE('R1'!M251,'R2'!M251,'R3'!M251)</f>
        <v>1.0907626424647308</v>
      </c>
      <c r="I251">
        <f>AVERAGE('R1'!N251,'R2'!N251,'R3'!N251)</f>
        <v>-0.64885204274613451</v>
      </c>
      <c r="J251">
        <f>AVERAGE('R1'!O251,'R2'!O251,'R3'!O251)</f>
        <v>-0.21657872437303738</v>
      </c>
      <c r="K251">
        <f t="shared" si="7"/>
        <v>1136.9438437499998</v>
      </c>
      <c r="M251">
        <f>_xlfn.STDEV.S('R1'!L251,'R2'!L251,'R3'!L251)</f>
        <v>5.8338317220560081E-3</v>
      </c>
      <c r="N251">
        <f>_xlfn.STDEV.S('R1'!M251,'R2'!M251,'R3'!M251)</f>
        <v>7.4612378793657242E-3</v>
      </c>
      <c r="O251">
        <f>_xlfn.STDEV.S('R1'!N251,'R2'!N251,'R3'!N251)</f>
        <v>1.4017357312492117E-2</v>
      </c>
      <c r="P251">
        <f>_xlfn.STDEV.S('R1'!O251,'R2'!O251,'R3'!O251)</f>
        <v>3.5057981565965826E-3</v>
      </c>
    </row>
    <row r="252" spans="1:16" x14ac:dyDescent="0.25">
      <c r="A252">
        <f>AVERAGE('R1'!F252,'R2'!F252,'R3'!F252)</f>
        <v>0.12996433333333332</v>
      </c>
      <c r="B252">
        <f>AVERAGE('R1'!G252,'R2'!G252,'R3'!G252)</f>
        <v>20.102523250000001</v>
      </c>
      <c r="C252">
        <f>-'R1'!H252</f>
        <v>-16</v>
      </c>
      <c r="D252">
        <f>DEGREES(ATAN(-SIN(RADIANS(('R1'!I252)))/(COS(RADIANS(Sheet1!C252))*COS(RADIANS('R1'!I252)))))</f>
        <v>24.852211192112133</v>
      </c>
      <c r="E252">
        <f>AVERAGE('R1'!J252,'R2'!J252,'R3'!J252)</f>
        <v>1.1691666666666667</v>
      </c>
      <c r="F252">
        <f>AVERAGE('R1'!K252,'R2'!K252,'R3'!K252)</f>
        <v>5.8416947499999994</v>
      </c>
      <c r="G252">
        <f>AVERAGE('R1'!L252,'R2'!L252,'R3'!L252)</f>
        <v>1.4130314684626859</v>
      </c>
      <c r="H252">
        <f>AVERAGE('R1'!M252,'R2'!M252,'R3'!M252)</f>
        <v>1.0422721030828896</v>
      </c>
      <c r="I252">
        <f>AVERAGE('R1'!N252,'R2'!N252,'R3'!N252)</f>
        <v>-0.49413354194653952</v>
      </c>
      <c r="J252">
        <f>AVERAGE('R1'!O252,'R2'!O252,'R3'!O252)</f>
        <v>-3.7194404605005678E-2</v>
      </c>
      <c r="K252">
        <f t="shared" si="7"/>
        <v>1138.3191297569444</v>
      </c>
      <c r="M252">
        <f>_xlfn.STDEV.S('R1'!L252,'R2'!L252,'R3'!L252)</f>
        <v>8.2727224744191547E-3</v>
      </c>
      <c r="N252">
        <f>_xlfn.STDEV.S('R1'!M252,'R2'!M252,'R3'!M252)</f>
        <v>9.9653601482735058E-3</v>
      </c>
      <c r="O252">
        <f>_xlfn.STDEV.S('R1'!N252,'R2'!N252,'R3'!N252)</f>
        <v>1.8029623337648522E-2</v>
      </c>
      <c r="P252">
        <f>_xlfn.STDEV.S('R1'!O252,'R2'!O252,'R3'!O252)</f>
        <v>5.5673011118127537E-3</v>
      </c>
    </row>
    <row r="253" spans="1:16" x14ac:dyDescent="0.25">
      <c r="A253">
        <f>AVERAGE('R1'!F253,'R2'!F253,'R3'!F253)</f>
        <v>0.11372216666666667</v>
      </c>
      <c r="B253">
        <f>AVERAGE('R1'!G253,'R2'!G253,'R3'!G253)</f>
        <v>20.036194500000001</v>
      </c>
      <c r="C253">
        <f>-'R1'!H253</f>
        <v>-16</v>
      </c>
      <c r="D253">
        <f>DEGREES(ATAN(-SIN(RADIANS(('R1'!I253)))/(COS(RADIANS(Sheet1!C253))*COS(RADIANS('R1'!I253)))))</f>
        <v>20.738571475352053</v>
      </c>
      <c r="E253">
        <f>AVERAGE('R1'!J253,'R2'!J253,'R3'!J253)</f>
        <v>1.1666666666666667</v>
      </c>
      <c r="F253">
        <f>AVERAGE('R1'!K253,'R2'!K253,'R3'!K253)</f>
        <v>5.8422839166666662</v>
      </c>
      <c r="G253">
        <f>AVERAGE('R1'!L253,'R2'!L253,'R3'!L253)</f>
        <v>1.2020823063507073</v>
      </c>
      <c r="H253">
        <f>AVERAGE('R1'!M253,'R2'!M253,'R3'!M253)</f>
        <v>1.0095807207448235</v>
      </c>
      <c r="I253">
        <f>AVERAGE('R1'!N253,'R2'!N253,'R3'!N253)</f>
        <v>-0.36210435391928247</v>
      </c>
      <c r="J253">
        <f>AVERAGE('R1'!O253,'R2'!O253,'R3'!O253)</f>
        <v>0.11238454042243955</v>
      </c>
      <c r="K253">
        <f t="shared" si="7"/>
        <v>1135.9996504629628</v>
      </c>
      <c r="M253">
        <f>_xlfn.STDEV.S('R1'!L253,'R2'!L253,'R3'!L253)</f>
        <v>4.0835582220271208E-3</v>
      </c>
      <c r="N253">
        <f>_xlfn.STDEV.S('R1'!M253,'R2'!M253,'R3'!M253)</f>
        <v>1.4115153806783551E-2</v>
      </c>
      <c r="O253">
        <f>_xlfn.STDEV.S('R1'!N253,'R2'!N253,'R3'!N253)</f>
        <v>1.4178692857749522E-2</v>
      </c>
      <c r="P253">
        <f>_xlfn.STDEV.S('R1'!O253,'R2'!O253,'R3'!O253)</f>
        <v>6.8349824804812389E-3</v>
      </c>
    </row>
    <row r="254" spans="1:16" x14ac:dyDescent="0.25">
      <c r="A254">
        <f>AVERAGE('R1'!F254,'R2'!F254,'R3'!F254)</f>
        <v>0.12996433333333332</v>
      </c>
      <c r="B254">
        <f>AVERAGE('R1'!G254,'R2'!G254,'R3'!G254)</f>
        <v>20.08993925</v>
      </c>
      <c r="C254">
        <f>-'R1'!H254</f>
        <v>-16</v>
      </c>
      <c r="D254">
        <f>DEGREES(ATAN(-SIN(RADIANS(('R1'!I254)))/(COS(RADIANS(Sheet1!C254))*COS(RADIANS('R1'!I254)))))</f>
        <v>16.609898016932938</v>
      </c>
      <c r="E254">
        <f>AVERAGE('R1'!J254,'R2'!J254,'R3'!J254)</f>
        <v>1.1633333333333333</v>
      </c>
      <c r="F254">
        <f>AVERAGE('R1'!K254,'R2'!K254,'R3'!K254)</f>
        <v>5.8572050000000004</v>
      </c>
      <c r="G254">
        <f>AVERAGE('R1'!L254,'R2'!L254,'R3'!L254)</f>
        <v>0.98859256719104993</v>
      </c>
      <c r="H254">
        <f>AVERAGE('R1'!M254,'R2'!M254,'R3'!M254)</f>
        <v>1.0050047382952698</v>
      </c>
      <c r="I254">
        <f>AVERAGE('R1'!N254,'R2'!N254,'R3'!N254)</f>
        <v>-0.26361303232249528</v>
      </c>
      <c r="J254">
        <f>AVERAGE('R1'!O254,'R2'!O254,'R3'!O254)</f>
        <v>0.23870839469139957</v>
      </c>
      <c r="K254">
        <f t="shared" si="7"/>
        <v>1135.6469694444443</v>
      </c>
      <c r="M254">
        <f>_xlfn.STDEV.S('R1'!L254,'R2'!L254,'R3'!L254)</f>
        <v>4.4408031654951177E-3</v>
      </c>
      <c r="N254">
        <f>_xlfn.STDEV.S('R1'!M254,'R2'!M254,'R3'!M254)</f>
        <v>1.1994207709273005E-2</v>
      </c>
      <c r="O254">
        <f>_xlfn.STDEV.S('R1'!N254,'R2'!N254,'R3'!N254)</f>
        <v>1.7141840054882413E-2</v>
      </c>
      <c r="P254">
        <f>_xlfn.STDEV.S('R1'!O254,'R2'!O254,'R3'!O254)</f>
        <v>9.9175439949928113E-3</v>
      </c>
    </row>
    <row r="255" spans="1:16" x14ac:dyDescent="0.25">
      <c r="A255">
        <f>AVERAGE('R1'!F255,'R2'!F255,'R3'!F255)</f>
        <v>0.11372216666666667</v>
      </c>
      <c r="B255">
        <f>AVERAGE('R1'!G255,'R2'!G255,'R3'!G255)</f>
        <v>19.729395666666665</v>
      </c>
      <c r="C255">
        <f>-'R1'!H255</f>
        <v>-16</v>
      </c>
      <c r="D255">
        <f>DEGREES(ATAN(-SIN(RADIANS(('R1'!I255)))/(COS(RADIANS(Sheet1!C255))*COS(RADIANS('R1'!I255)))))</f>
        <v>12.468747879350856</v>
      </c>
      <c r="E255">
        <f>AVERAGE('R1'!J255,'R2'!J255,'R3'!J255)</f>
        <v>1.1675</v>
      </c>
      <c r="F255">
        <f>AVERAGE('R1'!K255,'R2'!K255,'R3'!K255)</f>
        <v>5.796254583333333</v>
      </c>
      <c r="G255">
        <f>AVERAGE('R1'!L255,'R2'!L255,'R3'!L255)</f>
        <v>0.77922361119481787</v>
      </c>
      <c r="H255">
        <f>AVERAGE('R1'!M255,'R2'!M255,'R3'!M255)</f>
        <v>1.0233182319675285</v>
      </c>
      <c r="I255">
        <f>AVERAGE('R1'!N255,'R2'!N255,'R3'!N255)</f>
        <v>-0.19377557083484476</v>
      </c>
      <c r="J255">
        <f>AVERAGE('R1'!O255,'R2'!O255,'R3'!O255)</f>
        <v>0.34349727011849263</v>
      </c>
      <c r="K255">
        <f t="shared" si="7"/>
        <v>1127.854537673611</v>
      </c>
      <c r="M255">
        <f>_xlfn.STDEV.S('R1'!L255,'R2'!L255,'R3'!L255)</f>
        <v>1.0309473993950534E-3</v>
      </c>
      <c r="N255">
        <f>_xlfn.STDEV.S('R1'!M255,'R2'!M255,'R3'!M255)</f>
        <v>8.3521608933492617E-3</v>
      </c>
      <c r="O255">
        <f>_xlfn.STDEV.S('R1'!N255,'R2'!N255,'R3'!N255)</f>
        <v>1.780212522730918E-2</v>
      </c>
      <c r="P255">
        <f>_xlfn.STDEV.S('R1'!O255,'R2'!O255,'R3'!O255)</f>
        <v>1.1372562620934376E-2</v>
      </c>
    </row>
    <row r="256" spans="1:16" x14ac:dyDescent="0.25">
      <c r="A256">
        <f>AVERAGE('R1'!F256,'R2'!F256,'R3'!F256)</f>
        <v>0.12996433333333332</v>
      </c>
      <c r="B256">
        <f>AVERAGE('R1'!G256,'R2'!G256,'R3'!G256)</f>
        <v>19.582672333333335</v>
      </c>
      <c r="C256">
        <f>-'R1'!H256</f>
        <v>-16</v>
      </c>
      <c r="D256">
        <f>DEGREES(ATAN(-SIN(RADIANS(('R1'!I256)))/(COS(RADIANS(Sheet1!C256))*COS(RADIANS('R1'!I256)))))</f>
        <v>8.3179701536192301</v>
      </c>
      <c r="E256">
        <f>AVERAGE('R1'!J256,'R2'!J256,'R3'!J256)</f>
        <v>1.1683333333333332</v>
      </c>
      <c r="F256">
        <f>AVERAGE('R1'!K256,'R2'!K256,'R3'!K256)</f>
        <v>5.7691810000000006</v>
      </c>
      <c r="G256">
        <f>AVERAGE('R1'!L256,'R2'!L256,'R3'!L256)</f>
        <v>0.54381378370422628</v>
      </c>
      <c r="H256">
        <f>AVERAGE('R1'!M256,'R2'!M256,'R3'!M256)</f>
        <v>1.0596030022970331</v>
      </c>
      <c r="I256">
        <f>AVERAGE('R1'!N256,'R2'!N256,'R3'!N256)</f>
        <v>-0.14231880682829059</v>
      </c>
      <c r="J256">
        <f>AVERAGE('R1'!O256,'R2'!O256,'R3'!O256)</f>
        <v>0.43158187856095426</v>
      </c>
      <c r="K256">
        <f t="shared" si="7"/>
        <v>1123.3877447222224</v>
      </c>
      <c r="M256">
        <f>_xlfn.STDEV.S('R1'!L256,'R2'!L256,'R3'!L256)</f>
        <v>3.4750268566124442E-3</v>
      </c>
      <c r="N256">
        <f>_xlfn.STDEV.S('R1'!M256,'R2'!M256,'R3'!M256)</f>
        <v>1.3661219684152896E-2</v>
      </c>
      <c r="O256">
        <f>_xlfn.STDEV.S('R1'!N256,'R2'!N256,'R3'!N256)</f>
        <v>1.5375471575524177E-2</v>
      </c>
      <c r="P256">
        <f>_xlfn.STDEV.S('R1'!O256,'R2'!O256,'R3'!O256)</f>
        <v>7.4011764660864175E-3</v>
      </c>
    </row>
    <row r="257" spans="1:16" x14ac:dyDescent="0.25">
      <c r="A257">
        <f>AVERAGE('R1'!F257,'R2'!F257,'R3'!F257)</f>
        <v>0.11372216666666667</v>
      </c>
      <c r="B257">
        <f>AVERAGE('R1'!G257,'R2'!G257,'R3'!G257)</f>
        <v>19.809467666666666</v>
      </c>
      <c r="C257">
        <f>-'R1'!H257</f>
        <v>-16</v>
      </c>
      <c r="D257">
        <f>DEGREES(ATAN(-SIN(RADIANS(('R1'!I257)))/(COS(RADIANS(Sheet1!C257))*COS(RADIANS('R1'!I257)))))</f>
        <v>4.1606425592731879</v>
      </c>
      <c r="E257">
        <f>AVERAGE('R1'!J257,'R2'!J257,'R3'!J257)</f>
        <v>1.17</v>
      </c>
      <c r="F257">
        <f>AVERAGE('R1'!K257,'R2'!K257,'R3'!K257)</f>
        <v>5.7997775000000003</v>
      </c>
      <c r="G257">
        <f>AVERAGE('R1'!L257,'R2'!L257,'R3'!L257)</f>
        <v>0.29048076560738229</v>
      </c>
      <c r="H257">
        <f>AVERAGE('R1'!M257,'R2'!M257,'R3'!M257)</f>
        <v>1.1272502998240406</v>
      </c>
      <c r="I257">
        <f>AVERAGE('R1'!N257,'R2'!N257,'R3'!N257)</f>
        <v>-0.11969865092516115</v>
      </c>
      <c r="J257">
        <f>AVERAGE('R1'!O257,'R2'!O257,'R3'!O257)</f>
        <v>0.52832648447057906</v>
      </c>
      <c r="K257">
        <f t="shared" si="7"/>
        <v>1130.9566125000001</v>
      </c>
      <c r="M257">
        <f>_xlfn.STDEV.S('R1'!L257,'R2'!L257,'R3'!L257)</f>
        <v>2.3009068397186142E-3</v>
      </c>
      <c r="N257">
        <f>_xlfn.STDEV.S('R1'!M257,'R2'!M257,'R3'!M257)</f>
        <v>1.6099275112655086E-2</v>
      </c>
      <c r="O257">
        <f>_xlfn.STDEV.S('R1'!N257,'R2'!N257,'R3'!N257)</f>
        <v>1.45304076181787E-2</v>
      </c>
      <c r="P257">
        <f>_xlfn.STDEV.S('R1'!O257,'R2'!O257,'R3'!O257)</f>
        <v>9.1993214163550406E-3</v>
      </c>
    </row>
    <row r="258" spans="1:16" x14ac:dyDescent="0.25">
      <c r="A258">
        <f>AVERAGE('R1'!F258,'R2'!F258,'R3'!F258)</f>
        <v>0.12996433333333332</v>
      </c>
      <c r="B258">
        <f>AVERAGE('R1'!G258,'R2'!G258,'R3'!G258)</f>
        <v>19.876185083333333</v>
      </c>
      <c r="C258">
        <f>-'R1'!H258</f>
        <v>-16</v>
      </c>
      <c r="D258">
        <f>DEGREES(ATAN(-SIN(RADIANS(('R1'!I258)))/(COS(RADIANS(Sheet1!C258))*COS(RADIANS('R1'!I258)))))</f>
        <v>0</v>
      </c>
      <c r="E258">
        <f>AVERAGE('R1'!J258,'R2'!J258,'R3'!J258)</f>
        <v>1.1683333333333332</v>
      </c>
      <c r="F258">
        <f>AVERAGE('R1'!K258,'R2'!K258,'R3'!K258)</f>
        <v>5.8095564166666662</v>
      </c>
      <c r="G258">
        <f>AVERAGE('R1'!L258,'R2'!L258,'R3'!L258)</f>
        <v>1.8465044778274636E-2</v>
      </c>
      <c r="H258">
        <f>AVERAGE('R1'!M258,'R2'!M258,'R3'!M258)</f>
        <v>1.2105853833314952</v>
      </c>
      <c r="I258">
        <f>AVERAGE('R1'!N258,'R2'!N258,'R3'!N258)</f>
        <v>-0.12707216227983353</v>
      </c>
      <c r="J258">
        <f>AVERAGE('R1'!O258,'R2'!O258,'R3'!O258)</f>
        <v>0.62737854994208664</v>
      </c>
      <c r="K258">
        <f t="shared" si="7"/>
        <v>1131.2497355787034</v>
      </c>
      <c r="M258">
        <f>_xlfn.STDEV.S('R1'!L258,'R2'!L258,'R3'!L258)</f>
        <v>6.610569716653119E-3</v>
      </c>
      <c r="N258">
        <f>_xlfn.STDEV.S('R1'!M258,'R2'!M258,'R3'!M258)</f>
        <v>1.1729159122203028E-2</v>
      </c>
      <c r="O258">
        <f>_xlfn.STDEV.S('R1'!N258,'R2'!N258,'R3'!N258)</f>
        <v>1.6238282320151141E-2</v>
      </c>
      <c r="P258">
        <f>_xlfn.STDEV.S('R1'!O258,'R2'!O258,'R3'!O258)</f>
        <v>1.4788453227129388E-2</v>
      </c>
    </row>
    <row r="259" spans="1:16" x14ac:dyDescent="0.25">
      <c r="A259">
        <f>AVERAGE('R1'!F259,'R2'!F259,'R3'!F259)</f>
        <v>0.11372216666666667</v>
      </c>
      <c r="B259">
        <f>AVERAGE('R1'!G259,'R2'!G259,'R3'!G259)</f>
        <v>20.009595333333337</v>
      </c>
      <c r="C259">
        <f>-'R1'!H259</f>
        <v>-16</v>
      </c>
      <c r="D259">
        <f>DEGREES(ATAN(-SIN(RADIANS(('R1'!I259)))/(COS(RADIANS(Sheet1!C259))*COS(RADIANS('R1'!I259)))))</f>
        <v>-4.1606425592731879</v>
      </c>
      <c r="E259">
        <f>AVERAGE('R1'!J259,'R2'!J259,'R3'!J259)</f>
        <v>1.1691666666666667</v>
      </c>
      <c r="F259">
        <f>AVERAGE('R1'!K259,'R2'!K259,'R3'!K259)</f>
        <v>5.8276656666666673</v>
      </c>
      <c r="G259">
        <f>AVERAGE('R1'!L259,'R2'!L259,'R3'!L259)</f>
        <v>-0.26073136008823256</v>
      </c>
      <c r="H259">
        <f>AVERAGE('R1'!M259,'R2'!M259,'R3'!M259)</f>
        <v>1.1389001207383298</v>
      </c>
      <c r="I259">
        <f>AVERAGE('R1'!N259,'R2'!N259,'R3'!N259)</f>
        <v>-0.13194157035963333</v>
      </c>
      <c r="J259">
        <f>AVERAGE('R1'!O259,'R2'!O259,'R3'!O259)</f>
        <v>0.53311236536980333</v>
      </c>
      <c r="K259">
        <f t="shared" ref="K259:K322" si="8">10^5*E259*F259*0.003/1.8</f>
        <v>1135.5854069907409</v>
      </c>
      <c r="M259">
        <f>_xlfn.STDEV.S('R1'!L259,'R2'!L259,'R3'!L259)</f>
        <v>7.959623027744174E-3</v>
      </c>
      <c r="N259">
        <f>_xlfn.STDEV.S('R1'!M259,'R2'!M259,'R3'!M259)</f>
        <v>1.2241886532777524E-2</v>
      </c>
      <c r="O259">
        <f>_xlfn.STDEV.S('R1'!N259,'R2'!N259,'R3'!N259)</f>
        <v>1.3279513835453824E-2</v>
      </c>
      <c r="P259">
        <f>_xlfn.STDEV.S('R1'!O259,'R2'!O259,'R3'!O259)</f>
        <v>9.5320067289820665E-3</v>
      </c>
    </row>
    <row r="260" spans="1:16" x14ac:dyDescent="0.25">
      <c r="A260">
        <f>AVERAGE('R1'!F260,'R2'!F260,'R3'!F260)</f>
        <v>0.12996433333333332</v>
      </c>
      <c r="B260">
        <f>AVERAGE('R1'!G260,'R2'!G260,'R3'!G260)</f>
        <v>20.169273416666666</v>
      </c>
      <c r="C260">
        <f>-'R1'!H260</f>
        <v>-16</v>
      </c>
      <c r="D260">
        <f>DEGREES(ATAN(-SIN(RADIANS(('R1'!I260)))/(COS(RADIANS(Sheet1!C260))*COS(RADIANS('R1'!I260)))))</f>
        <v>-8.3179701536192301</v>
      </c>
      <c r="E260">
        <f>AVERAGE('R1'!J260,'R2'!J260,'R3'!J260)</f>
        <v>1.1666666666666667</v>
      </c>
      <c r="F260">
        <f>AVERAGE('R1'!K260,'R2'!K260,'R3'!K260)</f>
        <v>5.8523834166666662</v>
      </c>
      <c r="G260">
        <f>AVERAGE('R1'!L260,'R2'!L260,'R3'!L260)</f>
        <v>-0.51583014353500212</v>
      </c>
      <c r="H260">
        <f>AVERAGE('R1'!M260,'R2'!M260,'R3'!M260)</f>
        <v>1.0783603430000708</v>
      </c>
      <c r="I260">
        <f>AVERAGE('R1'!N260,'R2'!N260,'R3'!N260)</f>
        <v>-0.16178234509373532</v>
      </c>
      <c r="J260">
        <f>AVERAGE('R1'!O260,'R2'!O260,'R3'!O260)</f>
        <v>0.42042596618347811</v>
      </c>
      <c r="K260">
        <f t="shared" si="8"/>
        <v>1137.9634421296294</v>
      </c>
      <c r="M260">
        <f>_xlfn.STDEV.S('R1'!L260,'R2'!L260,'R3'!L260)</f>
        <v>6.8817862170897663E-3</v>
      </c>
      <c r="N260">
        <f>_xlfn.STDEV.S('R1'!M260,'R2'!M260,'R3'!M260)</f>
        <v>1.146553681549266E-2</v>
      </c>
      <c r="O260">
        <f>_xlfn.STDEV.S('R1'!N260,'R2'!N260,'R3'!N260)</f>
        <v>1.116006847399839E-2</v>
      </c>
      <c r="P260">
        <f>_xlfn.STDEV.S('R1'!O260,'R2'!O260,'R3'!O260)</f>
        <v>5.6526396270756866E-3</v>
      </c>
    </row>
    <row r="261" spans="1:16" x14ac:dyDescent="0.25">
      <c r="A261">
        <f>AVERAGE('R1'!F261,'R2'!F261,'R3'!F261)</f>
        <v>9.7479999999999997E-2</v>
      </c>
      <c r="B261">
        <f>AVERAGE('R1'!G261,'R2'!G261,'R3'!G261)</f>
        <v>20.009937333333337</v>
      </c>
      <c r="C261">
        <f>-'R1'!H261</f>
        <v>-16</v>
      </c>
      <c r="D261">
        <f>DEGREES(ATAN(-SIN(RADIANS(('R1'!I261)))/(COS(RADIANS(Sheet1!C261))*COS(RADIANS('R1'!I261)))))</f>
        <v>-12.468747879350856</v>
      </c>
      <c r="E261">
        <f>AVERAGE('R1'!J261,'R2'!J261,'R3'!J261)</f>
        <v>1.165</v>
      </c>
      <c r="F261">
        <f>AVERAGE('R1'!K261,'R2'!K261,'R3'!K261)</f>
        <v>5.8400939166666666</v>
      </c>
      <c r="G261">
        <f>AVERAGE('R1'!L261,'R2'!L261,'R3'!L261)</f>
        <v>-0.74925214413964591</v>
      </c>
      <c r="H261">
        <f>AVERAGE('R1'!M261,'R2'!M261,'R3'!M261)</f>
        <v>1.0431573955906248</v>
      </c>
      <c r="I261">
        <f>AVERAGE('R1'!N261,'R2'!N261,'R3'!N261)</f>
        <v>-0.20401634970248875</v>
      </c>
      <c r="J261">
        <f>AVERAGE('R1'!O261,'R2'!O261,'R3'!O261)</f>
        <v>0.3206330527021814</v>
      </c>
      <c r="K261">
        <f t="shared" si="8"/>
        <v>1133.9515688194444</v>
      </c>
      <c r="M261">
        <f>_xlfn.STDEV.S('R1'!L261,'R2'!L261,'R3'!L261)</f>
        <v>6.5244738818155158E-3</v>
      </c>
      <c r="N261">
        <f>_xlfn.STDEV.S('R1'!M261,'R2'!M261,'R3'!M261)</f>
        <v>9.8024176824584985E-3</v>
      </c>
      <c r="O261">
        <f>_xlfn.STDEV.S('R1'!N261,'R2'!N261,'R3'!N261)</f>
        <v>1.6738993929578706E-2</v>
      </c>
      <c r="P261">
        <f>_xlfn.STDEV.S('R1'!O261,'R2'!O261,'R3'!O261)</f>
        <v>8.6076254222634142E-3</v>
      </c>
    </row>
    <row r="262" spans="1:16" x14ac:dyDescent="0.25">
      <c r="A262">
        <f>AVERAGE('R1'!F262,'R2'!F262,'R3'!F262)</f>
        <v>6.499566666666666E-2</v>
      </c>
      <c r="B262">
        <f>AVERAGE('R1'!G262,'R2'!G262,'R3'!G262)</f>
        <v>20.036263833333336</v>
      </c>
      <c r="C262">
        <f>-'R1'!H262</f>
        <v>-16</v>
      </c>
      <c r="D262">
        <f>DEGREES(ATAN(-SIN(RADIANS(('R1'!I262)))/(COS(RADIANS(Sheet1!C262))*COS(RADIANS('R1'!I262)))))</f>
        <v>-16.609898016932938</v>
      </c>
      <c r="E262">
        <f>AVERAGE('R1'!J262,'R2'!J262,'R3'!J262)</f>
        <v>1.1641666666666668</v>
      </c>
      <c r="F262">
        <f>AVERAGE('R1'!K262,'R2'!K262,'R3'!K262)</f>
        <v>5.8502637499999999</v>
      </c>
      <c r="G262">
        <f>AVERAGE('R1'!L262,'R2'!L262,'R3'!L262)</f>
        <v>-0.98021606948678563</v>
      </c>
      <c r="H262">
        <f>AVERAGE('R1'!M262,'R2'!M262,'R3'!M262)</f>
        <v>1.0314482884505534</v>
      </c>
      <c r="I262">
        <f>AVERAGE('R1'!N262,'R2'!N262,'R3'!N262)</f>
        <v>-0.27796881204023</v>
      </c>
      <c r="J262">
        <f>AVERAGE('R1'!O262,'R2'!O262,'R3'!O262)</f>
        <v>0.20128155702983289</v>
      </c>
      <c r="K262">
        <f t="shared" si="8"/>
        <v>1135.1136748263889</v>
      </c>
      <c r="M262">
        <f>_xlfn.STDEV.S('R1'!L262,'R2'!L262,'R3'!L262)</f>
        <v>1.0481295942089517E-2</v>
      </c>
      <c r="N262">
        <f>_xlfn.STDEV.S('R1'!M262,'R2'!M262,'R3'!M262)</f>
        <v>1.0778702342457442E-2</v>
      </c>
      <c r="O262">
        <f>_xlfn.STDEV.S('R1'!N262,'R2'!N262,'R3'!N262)</f>
        <v>1.3527648473916831E-2</v>
      </c>
      <c r="P262">
        <f>_xlfn.STDEV.S('R1'!O262,'R2'!O262,'R3'!O262)</f>
        <v>5.9776108134360403E-3</v>
      </c>
    </row>
    <row r="263" spans="1:16" x14ac:dyDescent="0.25">
      <c r="A263">
        <f>AVERAGE('R1'!F263,'R2'!F263,'R3'!F263)</f>
        <v>0.12996433333333332</v>
      </c>
      <c r="B263">
        <f>AVERAGE('R1'!G263,'R2'!G263,'R3'!G263)</f>
        <v>20.036602583333334</v>
      </c>
      <c r="C263">
        <f>-'R1'!H263</f>
        <v>-16</v>
      </c>
      <c r="D263">
        <f>DEGREES(ATAN(-SIN(RADIANS(('R1'!I263)))/(COS(RADIANS(Sheet1!C263))*COS(RADIANS('R1'!I263)))))</f>
        <v>-20.738571475352053</v>
      </c>
      <c r="E263">
        <f>AVERAGE('R1'!J263,'R2'!J263,'R3'!J263)</f>
        <v>1.1658333333333333</v>
      </c>
      <c r="F263">
        <f>AVERAGE('R1'!K263,'R2'!K263,'R3'!K263)</f>
        <v>5.8373203333333334</v>
      </c>
      <c r="G263">
        <f>AVERAGE('R1'!L263,'R2'!L263,'R3'!L263)</f>
        <v>-1.2167474986462303</v>
      </c>
      <c r="H263">
        <f>AVERAGE('R1'!M263,'R2'!M263,'R3'!M263)</f>
        <v>1.0486973430288569</v>
      </c>
      <c r="I263">
        <f>AVERAGE('R1'!N263,'R2'!N263,'R3'!N263)</f>
        <v>-0.39618100913556087</v>
      </c>
      <c r="J263">
        <f>AVERAGE('R1'!O263,'R2'!O263,'R3'!O263)</f>
        <v>6.1445564089144609E-2</v>
      </c>
      <c r="K263">
        <f t="shared" si="8"/>
        <v>1134.2237703240739</v>
      </c>
      <c r="M263">
        <f>_xlfn.STDEV.S('R1'!L263,'R2'!L263,'R3'!L263)</f>
        <v>9.9675592223780647E-3</v>
      </c>
      <c r="N263">
        <f>_xlfn.STDEV.S('R1'!M263,'R2'!M263,'R3'!M263)</f>
        <v>6.2521222048166633E-3</v>
      </c>
      <c r="O263">
        <f>_xlfn.STDEV.S('R1'!N263,'R2'!N263,'R3'!N263)</f>
        <v>1.7345710845982017E-2</v>
      </c>
      <c r="P263">
        <f>_xlfn.STDEV.S('R1'!O263,'R2'!O263,'R3'!O263)</f>
        <v>1.1114173933481882E-2</v>
      </c>
    </row>
    <row r="264" spans="1:16" x14ac:dyDescent="0.25">
      <c r="A264">
        <f>AVERAGE('R1'!F264,'R2'!F264,'R3'!F264)</f>
        <v>0.12996433333333332</v>
      </c>
      <c r="B264">
        <f>AVERAGE('R1'!G264,'R2'!G264,'R3'!G264)</f>
        <v>19.662707666666666</v>
      </c>
      <c r="C264">
        <f>-'R1'!H264</f>
        <v>-16</v>
      </c>
      <c r="D264">
        <f>DEGREES(ATAN(-SIN(RADIANS(('R1'!I264)))/(COS(RADIANS(Sheet1!C264))*COS(RADIANS('R1'!I264)))))</f>
        <v>-24.852211192112133</v>
      </c>
      <c r="E264">
        <f>AVERAGE('R1'!J264,'R2'!J264,'R3'!J264)</f>
        <v>1.1666666666666667</v>
      </c>
      <c r="F264">
        <f>AVERAGE('R1'!K264,'R2'!K264,'R3'!K264)</f>
        <v>5.7817560000000006</v>
      </c>
      <c r="G264">
        <f>AVERAGE('R1'!L264,'R2'!L264,'R3'!L264)</f>
        <v>-1.4400304931284653</v>
      </c>
      <c r="H264">
        <f>AVERAGE('R1'!M264,'R2'!M264,'R3'!M264)</f>
        <v>1.1035914402699543</v>
      </c>
      <c r="I264">
        <f>AVERAGE('R1'!N264,'R2'!N264,'R3'!N264)</f>
        <v>-0.5464241139890661</v>
      </c>
      <c r="J264">
        <f>AVERAGE('R1'!O264,'R2'!O264,'R3'!O264)</f>
        <v>-9.9852355616467936E-2</v>
      </c>
      <c r="K264">
        <f t="shared" si="8"/>
        <v>1124.2303333333334</v>
      </c>
      <c r="M264">
        <f>_xlfn.STDEV.S('R1'!L264,'R2'!L264,'R3'!L264)</f>
        <v>1.0827752953708598E-2</v>
      </c>
      <c r="N264">
        <f>_xlfn.STDEV.S('R1'!M264,'R2'!M264,'R3'!M264)</f>
        <v>1.176649951532162E-2</v>
      </c>
      <c r="O264">
        <f>_xlfn.STDEV.S('R1'!N264,'R2'!N264,'R3'!N264)</f>
        <v>1.9256776724862274E-2</v>
      </c>
      <c r="P264">
        <f>_xlfn.STDEV.S('R1'!O264,'R2'!O264,'R3'!O264)</f>
        <v>7.4773881142232183E-3</v>
      </c>
    </row>
    <row r="265" spans="1:16" x14ac:dyDescent="0.25">
      <c r="A265">
        <f>AVERAGE('R1'!F265,'R2'!F265,'R3'!F265)</f>
        <v>0.12996433333333332</v>
      </c>
      <c r="B265">
        <f>AVERAGE('R1'!G265,'R2'!G265,'R3'!G265)</f>
        <v>19.476303416666667</v>
      </c>
      <c r="C265">
        <f>-'R1'!H265</f>
        <v>-16</v>
      </c>
      <c r="D265">
        <f>DEGREES(ATAN(-SIN(RADIANS(('R1'!I265)))/(COS(RADIANS(Sheet1!C265))*COS(RADIANS('R1'!I265)))))</f>
        <v>-28.948605633454871</v>
      </c>
      <c r="E265">
        <f>AVERAGE('R1'!J265,'R2'!J265,'R3'!J265)</f>
        <v>1.1666666666666667</v>
      </c>
      <c r="F265">
        <f>AVERAGE('R1'!K265,'R2'!K265,'R3'!K265)</f>
        <v>5.7549771666666665</v>
      </c>
      <c r="G265">
        <f>AVERAGE('R1'!L265,'R2'!L265,'R3'!L265)</f>
        <v>-1.6747658643394356</v>
      </c>
      <c r="H265">
        <f>AVERAGE('R1'!M265,'R2'!M265,'R3'!M265)</f>
        <v>1.1961901065925034</v>
      </c>
      <c r="I265">
        <f>AVERAGE('R1'!N265,'R2'!N265,'R3'!N265)</f>
        <v>-0.73470676586289618</v>
      </c>
      <c r="J265">
        <f>AVERAGE('R1'!O265,'R2'!O265,'R3'!O265)</f>
        <v>-0.27743059410993987</v>
      </c>
      <c r="K265">
        <f t="shared" si="8"/>
        <v>1119.0233379629628</v>
      </c>
      <c r="M265">
        <f>_xlfn.STDEV.S('R1'!L265,'R2'!L265,'R3'!L265)</f>
        <v>1.4371014714149918E-2</v>
      </c>
      <c r="N265">
        <f>_xlfn.STDEV.S('R1'!M265,'R2'!M265,'R3'!M265)</f>
        <v>1.2967662871331564E-2</v>
      </c>
      <c r="O265">
        <f>_xlfn.STDEV.S('R1'!N265,'R2'!N265,'R3'!N265)</f>
        <v>2.2312685185226486E-2</v>
      </c>
      <c r="P265">
        <f>_xlfn.STDEV.S('R1'!O265,'R2'!O265,'R3'!O265)</f>
        <v>4.5344404755434491E-3</v>
      </c>
    </row>
    <row r="266" spans="1:16" x14ac:dyDescent="0.25">
      <c r="A266">
        <f>AVERAGE('R1'!F266,'R2'!F266,'R3'!F266)</f>
        <v>8.1237833333333329E-2</v>
      </c>
      <c r="B266">
        <f>AVERAGE('R1'!G266,'R2'!G266,'R3'!G266)</f>
        <v>19.196530583333331</v>
      </c>
      <c r="C266">
        <f>-'R1'!H266</f>
        <v>-16</v>
      </c>
      <c r="D266">
        <f>DEGREES(ATAN(-SIN(RADIANS(('R1'!I266)))/(COS(RADIANS(Sheet1!C266))*COS(RADIANS('R1'!I266)))))</f>
        <v>-33.025931133441695</v>
      </c>
      <c r="E266">
        <f>AVERAGE('R1'!J266,'R2'!J266,'R3'!J266)</f>
        <v>1.1658333333333333</v>
      </c>
      <c r="F266">
        <f>AVERAGE('R1'!K266,'R2'!K266,'R3'!K266)</f>
        <v>5.7238266666666675</v>
      </c>
      <c r="G266">
        <f>AVERAGE('R1'!L266,'R2'!L266,'R3'!L266)</f>
        <v>-1.9476302685981615</v>
      </c>
      <c r="H266">
        <f>AVERAGE('R1'!M266,'R2'!M266,'R3'!M266)</f>
        <v>1.3299225684181002</v>
      </c>
      <c r="I266">
        <f>AVERAGE('R1'!N266,'R2'!N266,'R3'!N266)</f>
        <v>-0.9949111363857317</v>
      </c>
      <c r="J266">
        <f>AVERAGE('R1'!O266,'R2'!O266,'R3'!O266)</f>
        <v>-0.48293717826268256</v>
      </c>
      <c r="K266">
        <f t="shared" si="8"/>
        <v>1112.1713203703705</v>
      </c>
      <c r="M266">
        <f>_xlfn.STDEV.S('R1'!L266,'R2'!L266,'R3'!L266)</f>
        <v>6.7362760549729214E-3</v>
      </c>
      <c r="N266">
        <f>_xlfn.STDEV.S('R1'!M266,'R2'!M266,'R3'!M266)</f>
        <v>9.9958581718043414E-3</v>
      </c>
      <c r="O266">
        <f>_xlfn.STDEV.S('R1'!N266,'R2'!N266,'R3'!N266)</f>
        <v>1.9292312072750045E-2</v>
      </c>
      <c r="P266">
        <f>_xlfn.STDEV.S('R1'!O266,'R2'!O266,'R3'!O266)</f>
        <v>4.0514079485850776E-3</v>
      </c>
    </row>
    <row r="267" spans="1:16" x14ac:dyDescent="0.25">
      <c r="A267">
        <f>AVERAGE('R1'!F267,'R2'!F267,'R3'!F267)</f>
        <v>0.12996433333333332</v>
      </c>
      <c r="B267">
        <f>AVERAGE('R1'!G267,'R2'!G267,'R3'!G267)</f>
        <v>19.341777</v>
      </c>
      <c r="C267">
        <f>-'R1'!H267</f>
        <v>-16</v>
      </c>
      <c r="D267">
        <f>DEGREES(ATAN(-SIN(RADIANS(('R1'!I267)))/(COS(RADIANS(Sheet1!C267))*COS(RADIANS('R1'!I267)))))</f>
        <v>-37.082782431142171</v>
      </c>
      <c r="E267">
        <f>AVERAGE('R1'!J267,'R2'!J267,'R3'!J267)</f>
        <v>1.1666666666666667</v>
      </c>
      <c r="F267">
        <f>AVERAGE('R1'!K267,'R2'!K267,'R3'!K267)</f>
        <v>5.7372712499999992</v>
      </c>
      <c r="G267">
        <f>AVERAGE('R1'!L267,'R2'!L267,'R3'!L267)</f>
        <v>-2.2660052756579798</v>
      </c>
      <c r="H267">
        <f>AVERAGE('R1'!M267,'R2'!M267,'R3'!M267)</f>
        <v>1.522622006636446</v>
      </c>
      <c r="I267">
        <f>AVERAGE('R1'!N267,'R2'!N267,'R3'!N267)</f>
        <v>-1.3386710312007537</v>
      </c>
      <c r="J267">
        <f>AVERAGE('R1'!O267,'R2'!O267,'R3'!O267)</f>
        <v>-0.73450858263361507</v>
      </c>
      <c r="K267">
        <f t="shared" si="8"/>
        <v>1115.5805208333331</v>
      </c>
      <c r="M267">
        <f>_xlfn.STDEV.S('R1'!L267,'R2'!L267,'R3'!L267)</f>
        <v>1.7332421856518874E-2</v>
      </c>
      <c r="N267">
        <f>_xlfn.STDEV.S('R1'!M267,'R2'!M267,'R3'!M267)</f>
        <v>1.5300369244581818E-2</v>
      </c>
      <c r="O267">
        <f>_xlfn.STDEV.S('R1'!N267,'R2'!N267,'R3'!N267)</f>
        <v>2.3813631817651386E-2</v>
      </c>
      <c r="P267">
        <f>_xlfn.STDEV.S('R1'!O267,'R2'!O267,'R3'!O267)</f>
        <v>1.4478227405955266E-3</v>
      </c>
    </row>
    <row r="268" spans="1:16" x14ac:dyDescent="0.25">
      <c r="A268">
        <f>AVERAGE('R1'!F268,'R2'!F268,'R3'!F268)</f>
        <v>0.12996433333333332</v>
      </c>
      <c r="B268">
        <f>AVERAGE('R1'!G268,'R2'!G268,'R3'!G268)</f>
        <v>19.368797416666666</v>
      </c>
      <c r="C268">
        <f>-'R1'!H268</f>
        <v>-20</v>
      </c>
      <c r="D268">
        <f>DEGREES(ATAN(-SIN(RADIANS(('R1'!I268)))/(COS(RADIANS(Sheet1!C268))*COS(RADIANS('R1'!I268)))))</f>
        <v>37.710134449764993</v>
      </c>
      <c r="E268">
        <f>AVERAGE('R1'!J268,'R2'!J268,'R3'!J268)</f>
        <v>1.1675</v>
      </c>
      <c r="F268">
        <f>AVERAGE('R1'!K268,'R2'!K268,'R3'!K268)</f>
        <v>5.7404364166666655</v>
      </c>
      <c r="G268">
        <f>AVERAGE('R1'!L268,'R2'!L268,'R3'!L268)</f>
        <v>2.0549581554117737</v>
      </c>
      <c r="H268">
        <f>AVERAGE('R1'!M268,'R2'!M268,'R3'!M268)</f>
        <v>1.4926487687244299</v>
      </c>
      <c r="I268">
        <f>AVERAGE('R1'!N268,'R2'!N268,'R3'!N268)</f>
        <v>-1.1527252277551019</v>
      </c>
      <c r="J268">
        <f>AVERAGE('R1'!O268,'R2'!O268,'R3'!O268)</f>
        <v>-0.71025206615092118</v>
      </c>
      <c r="K268">
        <f t="shared" si="8"/>
        <v>1116.9932527430553</v>
      </c>
      <c r="M268">
        <f>_xlfn.STDEV.S('R1'!L268,'R2'!L268,'R3'!L268)</f>
        <v>3.3964120324868254E-3</v>
      </c>
      <c r="N268">
        <f>_xlfn.STDEV.S('R1'!M268,'R2'!M268,'R3'!M268)</f>
        <v>1.2279168212211769E-2</v>
      </c>
      <c r="O268">
        <f>_xlfn.STDEV.S('R1'!N268,'R2'!N268,'R3'!N268)</f>
        <v>1.3128057200202436E-2</v>
      </c>
      <c r="P268">
        <f>_xlfn.STDEV.S('R1'!O268,'R2'!O268,'R3'!O268)</f>
        <v>2.5454527714438646E-3</v>
      </c>
    </row>
    <row r="269" spans="1:16" x14ac:dyDescent="0.25">
      <c r="A269">
        <f>AVERAGE('R1'!F269,'R2'!F269,'R3'!F269)</f>
        <v>0.12996433333333332</v>
      </c>
      <c r="B269">
        <f>AVERAGE('R1'!G269,'R2'!G269,'R3'!G269)</f>
        <v>19.076101833333336</v>
      </c>
      <c r="C269">
        <f>-'R1'!H269</f>
        <v>-20</v>
      </c>
      <c r="D269">
        <f>DEGREES(ATAN(-SIN(RADIANS(('R1'!I269)))/(COS(RADIANS(Sheet1!C269))*COS(RADIANS('R1'!I269)))))</f>
        <v>33.622796746730245</v>
      </c>
      <c r="E269">
        <f>AVERAGE('R1'!J269,'R2'!J269,'R3'!J269)</f>
        <v>1.1675</v>
      </c>
      <c r="F269">
        <f>AVERAGE('R1'!K269,'R2'!K269,'R3'!K269)</f>
        <v>5.6968437500000002</v>
      </c>
      <c r="G269">
        <f>AVERAGE('R1'!L269,'R2'!L269,'R3'!L269)</f>
        <v>1.8234833788058893</v>
      </c>
      <c r="H269">
        <f>AVERAGE('R1'!M269,'R2'!M269,'R3'!M269)</f>
        <v>1.4038765957946184</v>
      </c>
      <c r="I269">
        <f>AVERAGE('R1'!N269,'R2'!N269,'R3'!N269)</f>
        <v>-0.92843926994259141</v>
      </c>
      <c r="J269">
        <f>AVERAGE('R1'!O269,'R2'!O269,'R3'!O269)</f>
        <v>-0.50817606921050595</v>
      </c>
      <c r="K269">
        <f t="shared" si="8"/>
        <v>1108.5108463541667</v>
      </c>
      <c r="M269">
        <f>_xlfn.STDEV.S('R1'!L269,'R2'!L269,'R3'!L269)</f>
        <v>4.1740461143695493E-3</v>
      </c>
      <c r="N269">
        <f>_xlfn.STDEV.S('R1'!M269,'R2'!M269,'R3'!M269)</f>
        <v>1.0851436140504761E-2</v>
      </c>
      <c r="O269">
        <f>_xlfn.STDEV.S('R1'!N269,'R2'!N269,'R3'!N269)</f>
        <v>1.7440733052549645E-2</v>
      </c>
      <c r="P269">
        <f>_xlfn.STDEV.S('R1'!O269,'R2'!O269,'R3'!O269)</f>
        <v>7.3515272981888287E-3</v>
      </c>
    </row>
    <row r="270" spans="1:16" x14ac:dyDescent="0.25">
      <c r="A270">
        <f>AVERAGE('R1'!F270,'R2'!F270,'R3'!F270)</f>
        <v>0.12996433333333332</v>
      </c>
      <c r="B270">
        <f>AVERAGE('R1'!G270,'R2'!G270,'R3'!G270)</f>
        <v>19.276210249999998</v>
      </c>
      <c r="C270">
        <f>-'R1'!H270</f>
        <v>-20</v>
      </c>
      <c r="D270">
        <f>DEGREES(ATAN(-SIN(RADIANS(('R1'!I270)))/(COS(RADIANS(Sheet1!C270))*COS(RADIANS('R1'!I270)))))</f>
        <v>29.502629281345779</v>
      </c>
      <c r="E270">
        <f>AVERAGE('R1'!J270,'R2'!J270,'R3'!J270)</f>
        <v>1.17</v>
      </c>
      <c r="F270">
        <f>AVERAGE('R1'!K270,'R2'!K270,'R3'!K270)</f>
        <v>5.7198844999999992</v>
      </c>
      <c r="G270">
        <f>AVERAGE('R1'!L270,'R2'!L270,'R3'!L270)</f>
        <v>1.6143987736316188</v>
      </c>
      <c r="H270">
        <f>AVERAGE('R1'!M270,'R2'!M270,'R3'!M270)</f>
        <v>1.332155631735042</v>
      </c>
      <c r="I270">
        <f>AVERAGE('R1'!N270,'R2'!N270,'R3'!N270)</f>
        <v>-0.75333892623324339</v>
      </c>
      <c r="J270">
        <f>AVERAGE('R1'!O270,'R2'!O270,'R3'!O270)</f>
        <v>-0.32459698181578728</v>
      </c>
      <c r="K270">
        <f t="shared" si="8"/>
        <v>1115.3774774999997</v>
      </c>
      <c r="M270">
        <f>_xlfn.STDEV.S('R1'!L270,'R2'!L270,'R3'!L270)</f>
        <v>9.7268396794293072E-3</v>
      </c>
      <c r="N270">
        <f>_xlfn.STDEV.S('R1'!M270,'R2'!M270,'R3'!M270)</f>
        <v>1.1872336140237975E-2</v>
      </c>
      <c r="O270">
        <f>_xlfn.STDEV.S('R1'!N270,'R2'!N270,'R3'!N270)</f>
        <v>1.8865606017978688E-2</v>
      </c>
      <c r="P270">
        <f>_xlfn.STDEV.S('R1'!O270,'R2'!O270,'R3'!O270)</f>
        <v>4.1133412319960642E-3</v>
      </c>
    </row>
    <row r="271" spans="1:16" x14ac:dyDescent="0.25">
      <c r="A271">
        <f>AVERAGE('R1'!F271,'R2'!F271,'R3'!F271)</f>
        <v>0.12996433333333332</v>
      </c>
      <c r="B271">
        <f>AVERAGE('R1'!G271,'R2'!G271,'R3'!G271)</f>
        <v>19.421904999999999</v>
      </c>
      <c r="C271">
        <f>-'R1'!H271</f>
        <v>-20</v>
      </c>
      <c r="D271">
        <f>DEGREES(ATAN(-SIN(RADIANS(('R1'!I271)))/(COS(RADIANS(Sheet1!C271))*COS(RADIANS('R1'!I271)))))</f>
        <v>25.351709771061881</v>
      </c>
      <c r="E271">
        <f>AVERAGE('R1'!J271,'R2'!J271,'R3'!J271)</f>
        <v>1.1683333333333332</v>
      </c>
      <c r="F271">
        <f>AVERAGE('R1'!K271,'R2'!K271,'R3'!K271)</f>
        <v>5.7445238333333331</v>
      </c>
      <c r="G271">
        <f>AVERAGE('R1'!L271,'R2'!L271,'R3'!L271)</f>
        <v>1.397247795786827</v>
      </c>
      <c r="H271">
        <f>AVERAGE('R1'!M271,'R2'!M271,'R3'!M271)</f>
        <v>1.2770724001156204</v>
      </c>
      <c r="I271">
        <f>AVERAGE('R1'!N271,'R2'!N271,'R3'!N271)</f>
        <v>-0.59589517767687727</v>
      </c>
      <c r="J271">
        <f>AVERAGE('R1'!O271,'R2'!O271,'R3'!O271)</f>
        <v>-0.15467511899372288</v>
      </c>
      <c r="K271">
        <f t="shared" si="8"/>
        <v>1118.5864464351851</v>
      </c>
      <c r="M271">
        <f>_xlfn.STDEV.S('R1'!L271,'R2'!L271,'R3'!L271)</f>
        <v>8.1223109921046439E-3</v>
      </c>
      <c r="N271">
        <f>_xlfn.STDEV.S('R1'!M271,'R2'!M271,'R3'!M271)</f>
        <v>1.4914010812437324E-2</v>
      </c>
      <c r="O271">
        <f>_xlfn.STDEV.S('R1'!N271,'R2'!N271,'R3'!N271)</f>
        <v>1.5773846417031504E-2</v>
      </c>
      <c r="P271">
        <f>_xlfn.STDEV.S('R1'!O271,'R2'!O271,'R3'!O271)</f>
        <v>5.5320732349617542E-3</v>
      </c>
    </row>
    <row r="272" spans="1:16" x14ac:dyDescent="0.25">
      <c r="A272">
        <f>AVERAGE('R1'!F272,'R2'!F272,'R3'!F272)</f>
        <v>0.12996433333333332</v>
      </c>
      <c r="B272">
        <f>AVERAGE('R1'!G272,'R2'!G272,'R3'!G272)</f>
        <v>19.489322999999999</v>
      </c>
      <c r="C272">
        <f>-'R1'!H272</f>
        <v>-20</v>
      </c>
      <c r="D272">
        <f>DEGREES(ATAN(-SIN(RADIANS(('R1'!I272)))/(COS(RADIANS(Sheet1!C272))*COS(RADIANS('R1'!I272)))))</f>
        <v>21.172832185162978</v>
      </c>
      <c r="E272">
        <f>AVERAGE('R1'!J272,'R2'!J272,'R3'!J272)</f>
        <v>1.1691666666666667</v>
      </c>
      <c r="F272">
        <f>AVERAGE('R1'!K272,'R2'!K272,'R3'!K272)</f>
        <v>5.7510373333333336</v>
      </c>
      <c r="G272">
        <f>AVERAGE('R1'!L272,'R2'!L272,'R3'!L272)</f>
        <v>1.1914682735335955</v>
      </c>
      <c r="H272">
        <f>AVERAGE('R1'!M272,'R2'!M272,'R3'!M272)</f>
        <v>1.2507028793526667</v>
      </c>
      <c r="I272">
        <f>AVERAGE('R1'!N272,'R2'!N272,'R3'!N272)</f>
        <v>-0.475720357386753</v>
      </c>
      <c r="J272">
        <f>AVERAGE('R1'!O272,'R2'!O272,'R3'!O272)</f>
        <v>-1.4591714133925857E-2</v>
      </c>
      <c r="K272">
        <f t="shared" si="8"/>
        <v>1120.6535248148148</v>
      </c>
      <c r="M272">
        <f>_xlfn.STDEV.S('R1'!L272,'R2'!L272,'R3'!L272)</f>
        <v>1.0798598006757181E-2</v>
      </c>
      <c r="N272">
        <f>_xlfn.STDEV.S('R1'!M272,'R2'!M272,'R3'!M272)</f>
        <v>1.2945345144346199E-2</v>
      </c>
      <c r="O272">
        <f>_xlfn.STDEV.S('R1'!N272,'R2'!N272,'R3'!N272)</f>
        <v>1.7681632814856976E-2</v>
      </c>
      <c r="P272">
        <f>_xlfn.STDEV.S('R1'!O272,'R2'!O272,'R3'!O272)</f>
        <v>6.1416699259170269E-3</v>
      </c>
    </row>
    <row r="273" spans="1:16" x14ac:dyDescent="0.25">
      <c r="A273">
        <f>AVERAGE('R1'!F273,'R2'!F273,'R3'!F273)</f>
        <v>8.1237833333333329E-2</v>
      </c>
      <c r="B273">
        <f>AVERAGE('R1'!G273,'R2'!G273,'R3'!G273)</f>
        <v>19.623072666666669</v>
      </c>
      <c r="C273">
        <f>-'R1'!H273</f>
        <v>-20</v>
      </c>
      <c r="D273">
        <f>DEGREES(ATAN(-SIN(RADIANS(('R1'!I273)))/(COS(RADIANS(Sheet1!C273))*COS(RADIANS('R1'!I273)))))</f>
        <v>16.969467099429082</v>
      </c>
      <c r="E273">
        <f>AVERAGE('R1'!J273,'R2'!J273,'R3'!J273)</f>
        <v>1.1691666666666667</v>
      </c>
      <c r="F273">
        <f>AVERAGE('R1'!K273,'R2'!K273,'R3'!K273)</f>
        <v>5.7770204166666659</v>
      </c>
      <c r="G273">
        <f>AVERAGE('R1'!L273,'R2'!L273,'R3'!L273)</f>
        <v>0.9802992471715436</v>
      </c>
      <c r="H273">
        <f>AVERAGE('R1'!M273,'R2'!M273,'R3'!M273)</f>
        <v>1.2338119930197353</v>
      </c>
      <c r="I273">
        <f>AVERAGE('R1'!N273,'R2'!N273,'R3'!N273)</f>
        <v>-0.37074309470637851</v>
      </c>
      <c r="J273">
        <f>AVERAGE('R1'!O273,'R2'!O273,'R3'!O273)</f>
        <v>0.10679785206505726</v>
      </c>
      <c r="K273">
        <f t="shared" si="8"/>
        <v>1125.7166173032406</v>
      </c>
      <c r="M273">
        <f>_xlfn.STDEV.S('R1'!L273,'R2'!L273,'R3'!L273)</f>
        <v>1.0522311726802558E-3</v>
      </c>
      <c r="N273">
        <f>_xlfn.STDEV.S('R1'!M273,'R2'!M273,'R3'!M273)</f>
        <v>6.0145033026601444E-3</v>
      </c>
      <c r="O273">
        <f>_xlfn.STDEV.S('R1'!N273,'R2'!N273,'R3'!N273)</f>
        <v>9.1812094075765325E-3</v>
      </c>
      <c r="P273">
        <f>_xlfn.STDEV.S('R1'!O273,'R2'!O273,'R3'!O273)</f>
        <v>6.3330499832793463E-3</v>
      </c>
    </row>
    <row r="274" spans="1:16" x14ac:dyDescent="0.25">
      <c r="A274">
        <f>AVERAGE('R1'!F274,'R2'!F274,'R3'!F274)</f>
        <v>6.499566666666666E-2</v>
      </c>
      <c r="B274">
        <f>AVERAGE('R1'!G274,'R2'!G274,'R3'!G274)</f>
        <v>19.676442416666664</v>
      </c>
      <c r="C274">
        <f>-'R1'!H274</f>
        <v>-20</v>
      </c>
      <c r="D274">
        <f>DEGREES(ATAN(-SIN(RADIANS(('R1'!I274)))/(COS(RADIANS(Sheet1!C274))*COS(RADIANS('R1'!I274)))))</f>
        <v>12.745697846757086</v>
      </c>
      <c r="E274">
        <f>AVERAGE('R1'!J274,'R2'!J274,'R3'!J274)</f>
        <v>1.1666666666666667</v>
      </c>
      <c r="F274">
        <f>AVERAGE('R1'!K274,'R2'!K274,'R3'!K274)</f>
        <v>5.791361583333333</v>
      </c>
      <c r="G274">
        <f>AVERAGE('R1'!L274,'R2'!L274,'R3'!L274)</f>
        <v>0.76531458530608332</v>
      </c>
      <c r="H274">
        <f>AVERAGE('R1'!M274,'R2'!M274,'R3'!M274)</f>
        <v>1.2564135078509018</v>
      </c>
      <c r="I274">
        <f>AVERAGE('R1'!N274,'R2'!N274,'R3'!N274)</f>
        <v>-0.30737694805953492</v>
      </c>
      <c r="J274">
        <f>AVERAGE('R1'!O274,'R2'!O274,'R3'!O274)</f>
        <v>0.21077423798887249</v>
      </c>
      <c r="K274">
        <f t="shared" si="8"/>
        <v>1126.0980856481483</v>
      </c>
      <c r="M274">
        <f>_xlfn.STDEV.S('R1'!L274,'R2'!L274,'R3'!L274)</f>
        <v>5.9030101659644793E-3</v>
      </c>
      <c r="N274">
        <f>_xlfn.STDEV.S('R1'!M274,'R2'!M274,'R3'!M274)</f>
        <v>1.3070954348599107E-2</v>
      </c>
      <c r="O274">
        <f>_xlfn.STDEV.S('R1'!N274,'R2'!N274,'R3'!N274)</f>
        <v>1.1182210581452837E-2</v>
      </c>
      <c r="P274">
        <f>_xlfn.STDEV.S('R1'!O274,'R2'!O274,'R3'!O274)</f>
        <v>5.8311677455366185E-3</v>
      </c>
    </row>
    <row r="275" spans="1:16" x14ac:dyDescent="0.25">
      <c r="A275">
        <f>AVERAGE('R1'!F275,'R2'!F275,'R3'!F275)</f>
        <v>0.12996433333333332</v>
      </c>
      <c r="B275">
        <f>AVERAGE('R1'!G275,'R2'!G275,'R3'!G275)</f>
        <v>19.903223499999999</v>
      </c>
      <c r="C275">
        <f>-'R1'!H275</f>
        <v>-20</v>
      </c>
      <c r="D275">
        <f>DEGREES(ATAN(-SIN(RADIANS(('R1'!I275)))/(COS(RADIANS(Sheet1!C275))*COS(RADIANS('R1'!I275)))))</f>
        <v>8.5061328568771426</v>
      </c>
      <c r="E275">
        <f>AVERAGE('R1'!J275,'R2'!J275,'R3'!J275)</f>
        <v>1.1666666666666667</v>
      </c>
      <c r="F275">
        <f>AVERAGE('R1'!K275,'R2'!K275,'R3'!K275)</f>
        <v>5.8138680833333334</v>
      </c>
      <c r="G275">
        <f>AVERAGE('R1'!L275,'R2'!L275,'R3'!L275)</f>
        <v>0.54036897452261823</v>
      </c>
      <c r="H275">
        <f>AVERAGE('R1'!M275,'R2'!M275,'R3'!M275)</f>
        <v>1.3001429788810999</v>
      </c>
      <c r="I275">
        <f>AVERAGE('R1'!N275,'R2'!N275,'R3'!N275)</f>
        <v>-0.26282491413131776</v>
      </c>
      <c r="J275">
        <f>AVERAGE('R1'!O275,'R2'!O275,'R3'!O275)</f>
        <v>0.29063902741469155</v>
      </c>
      <c r="K275">
        <f t="shared" si="8"/>
        <v>1130.4743495370369</v>
      </c>
      <c r="M275">
        <f>_xlfn.STDEV.S('R1'!L275,'R2'!L275,'R3'!L275)</f>
        <v>5.8910687643280212E-3</v>
      </c>
      <c r="N275">
        <f>_xlfn.STDEV.S('R1'!M275,'R2'!M275,'R3'!M275)</f>
        <v>1.3784421598226369E-2</v>
      </c>
      <c r="O275">
        <f>_xlfn.STDEV.S('R1'!N275,'R2'!N275,'R3'!N275)</f>
        <v>1.4697947866513798E-2</v>
      </c>
      <c r="P275">
        <f>_xlfn.STDEV.S('R1'!O275,'R2'!O275,'R3'!O275)</f>
        <v>3.7551524420141418E-3</v>
      </c>
    </row>
    <row r="276" spans="1:16" x14ac:dyDescent="0.25">
      <c r="A276">
        <f>AVERAGE('R1'!F276,'R2'!F276,'R3'!F276)</f>
        <v>9.7479999999999997E-2</v>
      </c>
      <c r="B276">
        <f>AVERAGE('R1'!G276,'R2'!G276,'R3'!G276)</f>
        <v>20.290078416666667</v>
      </c>
      <c r="C276">
        <f>-'R1'!H276</f>
        <v>-20</v>
      </c>
      <c r="D276">
        <f>DEGREES(ATAN(-SIN(RADIANS(('R1'!I276)))/(COS(RADIANS(Sheet1!C276))*COS(RADIANS('R1'!I276)))))</f>
        <v>4.2557962016512016</v>
      </c>
      <c r="E276">
        <f>AVERAGE('R1'!J276,'R2'!J276,'R3'!J276)</f>
        <v>1.1666666666666667</v>
      </c>
      <c r="F276">
        <f>AVERAGE('R1'!K276,'R2'!K276,'R3'!K276)</f>
        <v>5.8765004166666666</v>
      </c>
      <c r="G276">
        <f>AVERAGE('R1'!L276,'R2'!L276,'R3'!L276)</f>
        <v>0.30248829537687</v>
      </c>
      <c r="H276">
        <f>AVERAGE('R1'!M276,'R2'!M276,'R3'!M276)</f>
        <v>1.3661208762593116</v>
      </c>
      <c r="I276">
        <f>AVERAGE('R1'!N276,'R2'!N276,'R3'!N276)</f>
        <v>-0.24322069766748214</v>
      </c>
      <c r="J276">
        <f>AVERAGE('R1'!O276,'R2'!O276,'R3'!O276)</f>
        <v>0.36868390925834399</v>
      </c>
      <c r="K276">
        <f t="shared" si="8"/>
        <v>1142.6528587962962</v>
      </c>
      <c r="M276">
        <f>_xlfn.STDEV.S('R1'!L276,'R2'!L276,'R3'!L276)</f>
        <v>3.8607609069139905E-3</v>
      </c>
      <c r="N276">
        <f>_xlfn.STDEV.S('R1'!M276,'R2'!M276,'R3'!M276)</f>
        <v>1.6509134136891555E-2</v>
      </c>
      <c r="O276">
        <f>_xlfn.STDEV.S('R1'!N276,'R2'!N276,'R3'!N276)</f>
        <v>6.475218841805427E-3</v>
      </c>
      <c r="P276">
        <f>_xlfn.STDEV.S('R1'!O276,'R2'!O276,'R3'!O276)</f>
        <v>4.4510987561629791E-3</v>
      </c>
    </row>
    <row r="277" spans="1:16" x14ac:dyDescent="0.25">
      <c r="A277">
        <f>AVERAGE('R1'!F277,'R2'!F277,'R3'!F277)</f>
        <v>0.11372216666666667</v>
      </c>
      <c r="B277">
        <f>AVERAGE('R1'!G277,'R2'!G277,'R3'!G277)</f>
        <v>20.303765000000002</v>
      </c>
      <c r="C277">
        <f>-'R1'!H277</f>
        <v>-20</v>
      </c>
      <c r="D277">
        <f>DEGREES(ATAN(-SIN(RADIANS(('R1'!I277)))/(COS(RADIANS(Sheet1!C277))*COS(RADIANS('R1'!I277)))))</f>
        <v>0</v>
      </c>
      <c r="E277">
        <f>AVERAGE('R1'!J277,'R2'!J277,'R3'!J277)</f>
        <v>1.1666666666666667</v>
      </c>
      <c r="F277">
        <f>AVERAGE('R1'!K277,'R2'!K277,'R3'!K277)</f>
        <v>5.8760791666666661</v>
      </c>
      <c r="G277">
        <f>AVERAGE('R1'!L277,'R2'!L277,'R3'!L277)</f>
        <v>3.5518653237668146E-2</v>
      </c>
      <c r="H277">
        <f>AVERAGE('R1'!M277,'R2'!M277,'R3'!M277)</f>
        <v>1.4514140223864043</v>
      </c>
      <c r="I277">
        <f>AVERAGE('R1'!N277,'R2'!N277,'R3'!N277)</f>
        <v>-0.23898829026800483</v>
      </c>
      <c r="J277">
        <f>AVERAGE('R1'!O277,'R2'!O277,'R3'!O277)</f>
        <v>0.45780849881053642</v>
      </c>
      <c r="K277">
        <f t="shared" si="8"/>
        <v>1142.570949074074</v>
      </c>
      <c r="M277">
        <f>_xlfn.STDEV.S('R1'!L277,'R2'!L277,'R3'!L277)</f>
        <v>9.8177835108808325E-3</v>
      </c>
      <c r="N277">
        <f>_xlfn.STDEV.S('R1'!M277,'R2'!M277,'R3'!M277)</f>
        <v>1.3076110332274845E-2</v>
      </c>
      <c r="O277">
        <f>_xlfn.STDEV.S('R1'!N277,'R2'!N277,'R3'!N277)</f>
        <v>1.7229783995942657E-2</v>
      </c>
      <c r="P277">
        <f>_xlfn.STDEV.S('R1'!O277,'R2'!O277,'R3'!O277)</f>
        <v>4.7846836469225299E-3</v>
      </c>
    </row>
    <row r="278" spans="1:16" x14ac:dyDescent="0.25">
      <c r="A278">
        <f>AVERAGE('R1'!F278,'R2'!F278,'R3'!F278)</f>
        <v>0.12996433333333332</v>
      </c>
      <c r="B278">
        <f>AVERAGE('R1'!G278,'R2'!G278,'R3'!G278)</f>
        <v>20.276339833333335</v>
      </c>
      <c r="C278">
        <f>-'R1'!H278</f>
        <v>-20</v>
      </c>
      <c r="D278">
        <f>DEGREES(ATAN(-SIN(RADIANS(('R1'!I278)))/(COS(RADIANS(Sheet1!C278))*COS(RADIANS('R1'!I278)))))</f>
        <v>-4.2557962016512016</v>
      </c>
      <c r="E278">
        <f>AVERAGE('R1'!J278,'R2'!J278,'R3'!J278)</f>
        <v>1.1666666666666667</v>
      </c>
      <c r="F278">
        <f>AVERAGE('R1'!K278,'R2'!K278,'R3'!K278)</f>
        <v>5.8696174166666673</v>
      </c>
      <c r="G278">
        <f>AVERAGE('R1'!L278,'R2'!L278,'R3'!L278)</f>
        <v>-0.24563734297999251</v>
      </c>
      <c r="H278">
        <f>AVERAGE('R1'!M278,'R2'!M278,'R3'!M278)</f>
        <v>1.3813240992621509</v>
      </c>
      <c r="I278">
        <f>AVERAGE('R1'!N278,'R2'!N278,'R3'!N278)</f>
        <v>-0.23555768645475231</v>
      </c>
      <c r="J278">
        <f>AVERAGE('R1'!O278,'R2'!O278,'R3'!O278)</f>
        <v>0.38128757201910118</v>
      </c>
      <c r="K278">
        <f t="shared" si="8"/>
        <v>1141.3144976851854</v>
      </c>
      <c r="M278">
        <f>_xlfn.STDEV.S('R1'!L278,'R2'!L278,'R3'!L278)</f>
        <v>4.7435667961023224E-3</v>
      </c>
      <c r="N278">
        <f>_xlfn.STDEV.S('R1'!M278,'R2'!M278,'R3'!M278)</f>
        <v>9.5277788737212731E-3</v>
      </c>
      <c r="O278">
        <f>_xlfn.STDEV.S('R1'!N278,'R2'!N278,'R3'!N278)</f>
        <v>1.72010148734121E-2</v>
      </c>
      <c r="P278">
        <f>_xlfn.STDEV.S('R1'!O278,'R2'!O278,'R3'!O278)</f>
        <v>8.4707177076662407E-3</v>
      </c>
    </row>
    <row r="279" spans="1:16" x14ac:dyDescent="0.25">
      <c r="A279">
        <f>AVERAGE('R1'!F279,'R2'!F279,'R3'!F279)</f>
        <v>0.11376116666666665</v>
      </c>
      <c r="B279">
        <f>AVERAGE('R1'!G279,'R2'!G279,'R3'!G279)</f>
        <v>20.169998416666669</v>
      </c>
      <c r="C279">
        <f>-'R1'!H279</f>
        <v>-20</v>
      </c>
      <c r="D279">
        <f>DEGREES(ATAN(-SIN(RADIANS(('R1'!I279)))/(COS(RADIANS(Sheet1!C279))*COS(RADIANS('R1'!I279)))))</f>
        <v>-8.5061328568771426</v>
      </c>
      <c r="E279">
        <f>AVERAGE('R1'!J279,'R2'!J279,'R3'!J279)</f>
        <v>1.1658333333333333</v>
      </c>
      <c r="F279">
        <f>AVERAGE('R1'!K279,'R2'!K279,'R3'!K279)</f>
        <v>5.8601198333333331</v>
      </c>
      <c r="G279">
        <f>AVERAGE('R1'!L279,'R2'!L279,'R3'!L279)</f>
        <v>-0.49286937392064462</v>
      </c>
      <c r="H279">
        <f>AVERAGE('R1'!M279,'R2'!M279,'R3'!M279)</f>
        <v>1.3232347265398656</v>
      </c>
      <c r="I279">
        <f>AVERAGE('R1'!N279,'R2'!N279,'R3'!N279)</f>
        <v>-0.26573838032767966</v>
      </c>
      <c r="J279">
        <f>AVERAGE('R1'!O279,'R2'!O279,'R3'!O279)</f>
        <v>0.29685135346906305</v>
      </c>
      <c r="K279">
        <f t="shared" si="8"/>
        <v>1138.6538398379628</v>
      </c>
      <c r="M279">
        <f>_xlfn.STDEV.S('R1'!L279,'R2'!L279,'R3'!L279)</f>
        <v>9.7180228067273618E-3</v>
      </c>
      <c r="N279">
        <f>_xlfn.STDEV.S('R1'!M279,'R2'!M279,'R3'!M279)</f>
        <v>7.5345327132278726E-3</v>
      </c>
      <c r="O279">
        <f>_xlfn.STDEV.S('R1'!N279,'R2'!N279,'R3'!N279)</f>
        <v>1.7692029098785533E-2</v>
      </c>
      <c r="P279">
        <f>_xlfn.STDEV.S('R1'!O279,'R2'!O279,'R3'!O279)</f>
        <v>7.4624588380648744E-3</v>
      </c>
    </row>
    <row r="280" spans="1:16" x14ac:dyDescent="0.25">
      <c r="A280">
        <f>AVERAGE('R1'!F280,'R2'!F280,'R3'!F280)</f>
        <v>0.12996433333333332</v>
      </c>
      <c r="B280">
        <f>AVERAGE('R1'!G280,'R2'!G280,'R3'!G280)</f>
        <v>19.7564505</v>
      </c>
      <c r="C280">
        <f>-'R1'!H280</f>
        <v>-20</v>
      </c>
      <c r="D280">
        <f>DEGREES(ATAN(-SIN(RADIANS(('R1'!I280)))/(COS(RADIANS(Sheet1!C280))*COS(RADIANS('R1'!I280)))))</f>
        <v>-12.745697846757086</v>
      </c>
      <c r="E280">
        <f>AVERAGE('R1'!J280,'R2'!J280,'R3'!J280)</f>
        <v>1.1666666666666667</v>
      </c>
      <c r="F280">
        <f>AVERAGE('R1'!K280,'R2'!K280,'R3'!K280)</f>
        <v>5.7966777500000006</v>
      </c>
      <c r="G280">
        <f>AVERAGE('R1'!L280,'R2'!L280,'R3'!L280)</f>
        <v>-0.72588835060948365</v>
      </c>
      <c r="H280">
        <f>AVERAGE('R1'!M280,'R2'!M280,'R3'!M280)</f>
        <v>1.2829619998262574</v>
      </c>
      <c r="I280">
        <f>AVERAGE('R1'!N280,'R2'!N280,'R3'!N280)</f>
        <v>-0.30679155033614608</v>
      </c>
      <c r="J280">
        <f>AVERAGE('R1'!O280,'R2'!O280,'R3'!O280)</f>
        <v>0.18228264278299119</v>
      </c>
      <c r="K280">
        <f t="shared" si="8"/>
        <v>1127.1317847222224</v>
      </c>
      <c r="M280">
        <f>_xlfn.STDEV.S('R1'!L280,'R2'!L280,'R3'!L280)</f>
        <v>4.658640201364527E-3</v>
      </c>
      <c r="N280">
        <f>_xlfn.STDEV.S('R1'!M280,'R2'!M280,'R3'!M280)</f>
        <v>8.2965970022163757E-3</v>
      </c>
      <c r="O280">
        <f>_xlfn.STDEV.S('R1'!N280,'R2'!N280,'R3'!N280)</f>
        <v>1.4823933224981213E-2</v>
      </c>
      <c r="P280">
        <f>_xlfn.STDEV.S('R1'!O280,'R2'!O280,'R3'!O280)</f>
        <v>6.9393940017282362E-3</v>
      </c>
    </row>
    <row r="281" spans="1:16" x14ac:dyDescent="0.25">
      <c r="A281">
        <f>AVERAGE('R1'!F281,'R2'!F281,'R3'!F281)</f>
        <v>0.12996433333333332</v>
      </c>
      <c r="B281">
        <f>AVERAGE('R1'!G281,'R2'!G281,'R3'!G281)</f>
        <v>19.609328333333334</v>
      </c>
      <c r="C281">
        <f>-'R1'!H281</f>
        <v>-20</v>
      </c>
      <c r="D281">
        <f>DEGREES(ATAN(-SIN(RADIANS(('R1'!I281)))/(COS(RADIANS(Sheet1!C281))*COS(RADIANS('R1'!I281)))))</f>
        <v>-16.969467099429082</v>
      </c>
      <c r="E281">
        <f>AVERAGE('R1'!J281,'R2'!J281,'R3'!J281)</f>
        <v>1.1658333333333333</v>
      </c>
      <c r="F281">
        <f>AVERAGE('R1'!K281,'R2'!K281,'R3'!K281)</f>
        <v>5.7775578333333328</v>
      </c>
      <c r="G281">
        <f>AVERAGE('R1'!L281,'R2'!L281,'R3'!L281)</f>
        <v>-0.96314673140911078</v>
      </c>
      <c r="H281">
        <f>AVERAGE('R1'!M281,'R2'!M281,'R3'!M281)</f>
        <v>1.2609250582161116</v>
      </c>
      <c r="I281">
        <f>AVERAGE('R1'!N281,'R2'!N281,'R3'!N281)</f>
        <v>-0.3841391979182876</v>
      </c>
      <c r="J281">
        <f>AVERAGE('R1'!O281,'R2'!O281,'R3'!O281)</f>
        <v>6.9438546777772878E-2</v>
      </c>
      <c r="K281">
        <f t="shared" si="8"/>
        <v>1122.6115845601851</v>
      </c>
      <c r="M281">
        <f>_xlfn.STDEV.S('R1'!L281,'R2'!L281,'R3'!L281)</f>
        <v>8.2483120058605124E-3</v>
      </c>
      <c r="N281">
        <f>_xlfn.STDEV.S('R1'!M281,'R2'!M281,'R3'!M281)</f>
        <v>8.9108182165938826E-3</v>
      </c>
      <c r="O281">
        <f>_xlfn.STDEV.S('R1'!N281,'R2'!N281,'R3'!N281)</f>
        <v>2.0535271920758345E-2</v>
      </c>
      <c r="P281">
        <f>_xlfn.STDEV.S('R1'!O281,'R2'!O281,'R3'!O281)</f>
        <v>5.0757621549388987E-3</v>
      </c>
    </row>
    <row r="282" spans="1:16" x14ac:dyDescent="0.25">
      <c r="A282">
        <f>AVERAGE('R1'!F282,'R2'!F282,'R3'!F282)</f>
        <v>0.12996433333333332</v>
      </c>
      <c r="B282">
        <f>AVERAGE('R1'!G282,'R2'!G282,'R3'!G282)</f>
        <v>19.422173416666666</v>
      </c>
      <c r="C282">
        <f>-'R1'!H282</f>
        <v>-20</v>
      </c>
      <c r="D282">
        <f>DEGREES(ATAN(-SIN(RADIANS(('R1'!I282)))/(COS(RADIANS(Sheet1!C282))*COS(RADIANS('R1'!I282)))))</f>
        <v>-21.172832185162978</v>
      </c>
      <c r="E282">
        <f>AVERAGE('R1'!J282,'R2'!J282,'R3'!J282)</f>
        <v>1.1666666666666667</v>
      </c>
      <c r="F282">
        <f>AVERAGE('R1'!K282,'R2'!K282,'R3'!K282)</f>
        <v>5.7483590000000007</v>
      </c>
      <c r="G282">
        <f>AVERAGE('R1'!L282,'R2'!L282,'R3'!L282)</f>
        <v>-1.1913020144434876</v>
      </c>
      <c r="H282">
        <f>AVERAGE('R1'!M282,'R2'!M282,'R3'!M282)</f>
        <v>1.2717467846568467</v>
      </c>
      <c r="I282">
        <f>AVERAGE('R1'!N282,'R2'!N282,'R3'!N282)</f>
        <v>-0.4940332286923918</v>
      </c>
      <c r="J282">
        <f>AVERAGE('R1'!O282,'R2'!O282,'R3'!O282)</f>
        <v>-5.4080701946274602E-2</v>
      </c>
      <c r="K282">
        <f t="shared" si="8"/>
        <v>1117.7364722222223</v>
      </c>
      <c r="M282">
        <f>_xlfn.STDEV.S('R1'!L282,'R2'!L282,'R3'!L282)</f>
        <v>5.8698648808437441E-3</v>
      </c>
      <c r="N282">
        <f>_xlfn.STDEV.S('R1'!M282,'R2'!M282,'R3'!M282)</f>
        <v>1.4560948206543644E-3</v>
      </c>
      <c r="O282">
        <f>_xlfn.STDEV.S('R1'!N282,'R2'!N282,'R3'!N282)</f>
        <v>1.2058538555769806E-2</v>
      </c>
      <c r="P282">
        <f>_xlfn.STDEV.S('R1'!O282,'R2'!O282,'R3'!O282)</f>
        <v>7.272808107683262E-3</v>
      </c>
    </row>
    <row r="283" spans="1:16" x14ac:dyDescent="0.25">
      <c r="A283">
        <f>AVERAGE('R1'!F283,'R2'!F283,'R3'!F283)</f>
        <v>9.7479999999999997E-2</v>
      </c>
      <c r="B283">
        <f>AVERAGE('R1'!G283,'R2'!G283,'R3'!G283)</f>
        <v>19.329931833333333</v>
      </c>
      <c r="C283">
        <f>-'R1'!H283</f>
        <v>-20</v>
      </c>
      <c r="D283">
        <f>DEGREES(ATAN(-SIN(RADIANS(('R1'!I283)))/(COS(RADIANS(Sheet1!C283))*COS(RADIANS('R1'!I283)))))</f>
        <v>-25.351709771061881</v>
      </c>
      <c r="E283">
        <f>AVERAGE('R1'!J283,'R2'!J283,'R3'!J283)</f>
        <v>1.1658333333333333</v>
      </c>
      <c r="F283">
        <f>AVERAGE('R1'!K283,'R2'!K283,'R3'!K283)</f>
        <v>5.7426734999999995</v>
      </c>
      <c r="G283">
        <f>AVERAGE('R1'!L283,'R2'!L283,'R3'!L283)</f>
        <v>-1.4126722464719663</v>
      </c>
      <c r="H283">
        <f>AVERAGE('R1'!M283,'R2'!M283,'R3'!M283)</f>
        <v>1.3279597431608126</v>
      </c>
      <c r="I283">
        <f>AVERAGE('R1'!N283,'R2'!N283,'R3'!N283)</f>
        <v>-0.63424836934496021</v>
      </c>
      <c r="J283">
        <f>AVERAGE('R1'!O283,'R2'!O283,'R3'!O283)</f>
        <v>-0.20844622814939825</v>
      </c>
      <c r="K283">
        <f t="shared" si="8"/>
        <v>1115.8333647916666</v>
      </c>
      <c r="M283">
        <f>_xlfn.STDEV.S('R1'!L283,'R2'!L283,'R3'!L283)</f>
        <v>8.502103793835222E-3</v>
      </c>
      <c r="N283">
        <f>_xlfn.STDEV.S('R1'!M283,'R2'!M283,'R3'!M283)</f>
        <v>6.7623717534697541E-3</v>
      </c>
      <c r="O283">
        <f>_xlfn.STDEV.S('R1'!N283,'R2'!N283,'R3'!N283)</f>
        <v>1.5469188124360253E-2</v>
      </c>
      <c r="P283">
        <f>_xlfn.STDEV.S('R1'!O283,'R2'!O283,'R3'!O283)</f>
        <v>4.7616850636906221E-3</v>
      </c>
    </row>
    <row r="284" spans="1:16" x14ac:dyDescent="0.25">
      <c r="A284">
        <f>AVERAGE('R1'!F284,'R2'!F284,'R3'!F284)</f>
        <v>0.12996433333333332</v>
      </c>
      <c r="B284">
        <f>AVERAGE('R1'!G284,'R2'!G284,'R3'!G284)</f>
        <v>19.689737416666667</v>
      </c>
      <c r="C284">
        <f>-'R1'!H284</f>
        <v>-20</v>
      </c>
      <c r="D284">
        <f>DEGREES(ATAN(-SIN(RADIANS(('R1'!I284)))/(COS(RADIANS(Sheet1!C284))*COS(RADIANS('R1'!I284)))))</f>
        <v>-29.502629281345779</v>
      </c>
      <c r="E284">
        <f>AVERAGE('R1'!J284,'R2'!J284,'R3'!J284)</f>
        <v>1.1666666666666667</v>
      </c>
      <c r="F284">
        <f>AVERAGE('R1'!K284,'R2'!K284,'R3'!K284)</f>
        <v>5.7892254166666675</v>
      </c>
      <c r="G284">
        <f>AVERAGE('R1'!L284,'R2'!L284,'R3'!L284)</f>
        <v>-1.6340717913952127</v>
      </c>
      <c r="H284">
        <f>AVERAGE('R1'!M284,'R2'!M284,'R3'!M284)</f>
        <v>1.4146780201570988</v>
      </c>
      <c r="I284">
        <f>AVERAGE('R1'!N284,'R2'!N284,'R3'!N284)</f>
        <v>-0.81570642332830678</v>
      </c>
      <c r="J284">
        <f>AVERAGE('R1'!O284,'R2'!O284,'R3'!O284)</f>
        <v>-0.38460710450548791</v>
      </c>
      <c r="K284">
        <f t="shared" si="8"/>
        <v>1125.6827199074075</v>
      </c>
      <c r="M284">
        <f>_xlfn.STDEV.S('R1'!L284,'R2'!L284,'R3'!L284)</f>
        <v>8.1987763377197355E-3</v>
      </c>
      <c r="N284">
        <f>_xlfn.STDEV.S('R1'!M284,'R2'!M284,'R3'!M284)</f>
        <v>1.4499482044321938E-2</v>
      </c>
      <c r="O284">
        <f>_xlfn.STDEV.S('R1'!N284,'R2'!N284,'R3'!N284)</f>
        <v>2.0142470744002203E-2</v>
      </c>
      <c r="P284">
        <f>_xlfn.STDEV.S('R1'!O284,'R2'!O284,'R3'!O284)</f>
        <v>2.5709874487221218E-3</v>
      </c>
    </row>
    <row r="285" spans="1:16" x14ac:dyDescent="0.25">
      <c r="A285">
        <f>AVERAGE('R1'!F285,'R2'!F285,'R3'!F285)</f>
        <v>0.11372216666666667</v>
      </c>
      <c r="B285">
        <f>AVERAGE('R1'!G285,'R2'!G285,'R3'!G285)</f>
        <v>19.716429250000001</v>
      </c>
      <c r="C285">
        <f>-'R1'!H285</f>
        <v>-20</v>
      </c>
      <c r="D285">
        <f>DEGREES(ATAN(-SIN(RADIANS(('R1'!I285)))/(COS(RADIANS(Sheet1!C285))*COS(RADIANS('R1'!I285)))))</f>
        <v>-33.622796746730245</v>
      </c>
      <c r="E285">
        <f>AVERAGE('R1'!J285,'R2'!J285,'R3'!J285)</f>
        <v>1.17</v>
      </c>
      <c r="F285">
        <f>AVERAGE('R1'!K285,'R2'!K285,'R3'!K285)</f>
        <v>5.7860031666666663</v>
      </c>
      <c r="G285">
        <f>AVERAGE('R1'!L285,'R2'!L285,'R3'!L285)</f>
        <v>-1.8705775158750557</v>
      </c>
      <c r="H285">
        <f>AVERAGE('R1'!M285,'R2'!M285,'R3'!M285)</f>
        <v>1.5449517512579163</v>
      </c>
      <c r="I285">
        <f>AVERAGE('R1'!N285,'R2'!N285,'R3'!N285)</f>
        <v>-1.0448789353886196</v>
      </c>
      <c r="J285">
        <f>AVERAGE('R1'!O285,'R2'!O285,'R3'!O285)</f>
        <v>-0.58253596263267593</v>
      </c>
      <c r="K285">
        <f t="shared" si="8"/>
        <v>1128.2706174999998</v>
      </c>
      <c r="M285">
        <f>_xlfn.STDEV.S('R1'!L285,'R2'!L285,'R3'!L285)</f>
        <v>6.5588645314443523E-3</v>
      </c>
      <c r="N285">
        <f>_xlfn.STDEV.S('R1'!M285,'R2'!M285,'R3'!M285)</f>
        <v>1.23028049675798E-2</v>
      </c>
      <c r="O285">
        <f>_xlfn.STDEV.S('R1'!N285,'R2'!N285,'R3'!N285)</f>
        <v>2.5417326124671048E-2</v>
      </c>
      <c r="P285">
        <f>_xlfn.STDEV.S('R1'!O285,'R2'!O285,'R3'!O285)</f>
        <v>3.5118288957436726E-3</v>
      </c>
    </row>
    <row r="286" spans="1:16" x14ac:dyDescent="0.25">
      <c r="A286">
        <f>AVERAGE('R1'!F286,'R2'!F286,'R3'!F286)</f>
        <v>0.12996433333333332</v>
      </c>
      <c r="B286">
        <f>AVERAGE('R1'!G286,'R2'!G286,'R3'!G286)</f>
        <v>19.809816916666666</v>
      </c>
      <c r="C286">
        <f>-'R1'!H286</f>
        <v>-20</v>
      </c>
      <c r="D286">
        <f>DEGREES(ATAN(-SIN(RADIANS(('R1'!I286)))/(COS(RADIANS(Sheet1!C286))*COS(RADIANS('R1'!I286)))))</f>
        <v>-37.710134449764993</v>
      </c>
      <c r="E286">
        <f>AVERAGE('R1'!J286,'R2'!J286,'R3'!J286)</f>
        <v>1.1675</v>
      </c>
      <c r="F286">
        <f>AVERAGE('R1'!K286,'R2'!K286,'R3'!K286)</f>
        <v>5.8025925000000003</v>
      </c>
      <c r="G286">
        <f>AVERAGE('R1'!L286,'R2'!L286,'R3'!L286)</f>
        <v>-2.1527522239289603</v>
      </c>
      <c r="H286">
        <f>AVERAGE('R1'!M286,'R2'!M286,'R3'!M286)</f>
        <v>1.7146603881088811</v>
      </c>
      <c r="I286">
        <f>AVERAGE('R1'!N286,'R2'!N286,'R3'!N286)</f>
        <v>-1.3507965665349202</v>
      </c>
      <c r="J286">
        <f>AVERAGE('R1'!O286,'R2'!O286,'R3'!O286)</f>
        <v>-0.81966724640404232</v>
      </c>
      <c r="K286">
        <f t="shared" si="8"/>
        <v>1129.087790625</v>
      </c>
      <c r="M286">
        <f>_xlfn.STDEV.S('R1'!L286,'R2'!L286,'R3'!L286)</f>
        <v>1.2467328188732084E-2</v>
      </c>
      <c r="N286">
        <f>_xlfn.STDEV.S('R1'!M286,'R2'!M286,'R3'!M286)</f>
        <v>1.7803566549398606E-2</v>
      </c>
      <c r="O286">
        <f>_xlfn.STDEV.S('R1'!N286,'R2'!N286,'R3'!N286)</f>
        <v>2.4490071854969438E-2</v>
      </c>
      <c r="P286">
        <f>_xlfn.STDEV.S('R1'!O286,'R2'!O286,'R3'!O286)</f>
        <v>4.8699812594275946E-3</v>
      </c>
    </row>
    <row r="287" spans="1:16" x14ac:dyDescent="0.25">
      <c r="A287">
        <f>AVERAGE('R1'!F287,'R2'!F287,'R3'!F287)</f>
        <v>0.12996433333333332</v>
      </c>
      <c r="B287">
        <f>AVERAGE('R1'!G287,'R2'!G287,'R3'!G287)</f>
        <v>20.009932250000002</v>
      </c>
      <c r="C287">
        <f>-'R1'!H287</f>
        <v>-24</v>
      </c>
      <c r="D287">
        <f>DEGREES(ATAN(-SIN(RADIANS(('R1'!I287)))/(COS(RADIANS(Sheet1!C287))*COS(RADIANS('R1'!I287)))))</f>
        <v>38.495223358359183</v>
      </c>
      <c r="E287">
        <f>AVERAGE('R1'!J287,'R2'!J287,'R3'!J287)</f>
        <v>1.1675</v>
      </c>
      <c r="F287">
        <f>AVERAGE('R1'!K287,'R2'!K287,'R3'!K287)</f>
        <v>5.8295865000000004</v>
      </c>
      <c r="G287">
        <f>AVERAGE('R1'!L287,'R2'!L287,'R3'!L287)</f>
        <v>2.0283366320471088</v>
      </c>
      <c r="H287">
        <f>AVERAGE('R1'!M287,'R2'!M287,'R3'!M287)</f>
        <v>1.7045874372679404</v>
      </c>
      <c r="I287">
        <f>AVERAGE('R1'!N287,'R2'!N287,'R3'!N287)</f>
        <v>-1.2405999080914138</v>
      </c>
      <c r="J287">
        <f>AVERAGE('R1'!O287,'R2'!O287,'R3'!O287)</f>
        <v>-0.82819551517185797</v>
      </c>
      <c r="K287">
        <f t="shared" si="8"/>
        <v>1134.340373125</v>
      </c>
      <c r="M287">
        <f>_xlfn.STDEV.S('R1'!L287,'R2'!L287,'R3'!L287)</f>
        <v>1.1926353390836838E-2</v>
      </c>
      <c r="N287">
        <f>_xlfn.STDEV.S('R1'!M287,'R2'!M287,'R3'!M287)</f>
        <v>1.1896017176039499E-2</v>
      </c>
      <c r="O287">
        <f>_xlfn.STDEV.S('R1'!N287,'R2'!N287,'R3'!N287)</f>
        <v>2.0790027064036987E-2</v>
      </c>
      <c r="P287">
        <f>_xlfn.STDEV.S('R1'!O287,'R2'!O287,'R3'!O287)</f>
        <v>1.6101986085746045E-3</v>
      </c>
    </row>
    <row r="288" spans="1:16" x14ac:dyDescent="0.25">
      <c r="A288">
        <f>AVERAGE('R1'!F288,'R2'!F288,'R3'!F288)</f>
        <v>0.11372216666666667</v>
      </c>
      <c r="B288">
        <f>AVERAGE('R1'!G288,'R2'!G288,'R3'!G288)</f>
        <v>20.076635416666665</v>
      </c>
      <c r="C288">
        <f>-'R1'!H288</f>
        <v>-24</v>
      </c>
      <c r="D288">
        <f>DEGREES(ATAN(-SIN(RADIANS(('R1'!I288)))/(COS(RADIANS(Sheet1!C288))*COS(RADIANS('R1'!I288)))))</f>
        <v>34.372309890771753</v>
      </c>
      <c r="E288">
        <f>AVERAGE('R1'!J288,'R2'!J288,'R3'!J288)</f>
        <v>1.17</v>
      </c>
      <c r="F288">
        <f>AVERAGE('R1'!K288,'R2'!K288,'R3'!K288)</f>
        <v>5.8340566666666662</v>
      </c>
      <c r="G288">
        <f>AVERAGE('R1'!L288,'R2'!L288,'R3'!L288)</f>
        <v>1.8145102813252396</v>
      </c>
      <c r="H288">
        <f>AVERAGE('R1'!M288,'R2'!M288,'R3'!M288)</f>
        <v>1.6132158625535562</v>
      </c>
      <c r="I288">
        <f>AVERAGE('R1'!N288,'R2'!N288,'R3'!N288)</f>
        <v>-1.036067519640635</v>
      </c>
      <c r="J288">
        <f>AVERAGE('R1'!O288,'R2'!O288,'R3'!O288)</f>
        <v>-0.63047927843783658</v>
      </c>
      <c r="K288">
        <f t="shared" si="8"/>
        <v>1137.64105</v>
      </c>
      <c r="M288">
        <f>_xlfn.STDEV.S('R1'!L288,'R2'!L288,'R3'!L288)</f>
        <v>1.33741150292884E-2</v>
      </c>
      <c r="N288">
        <f>_xlfn.STDEV.S('R1'!M288,'R2'!M288,'R3'!M288)</f>
        <v>1.1299495523855523E-2</v>
      </c>
      <c r="O288">
        <f>_xlfn.STDEV.S('R1'!N288,'R2'!N288,'R3'!N288)</f>
        <v>2.4150774126158819E-2</v>
      </c>
      <c r="P288">
        <f>_xlfn.STDEV.S('R1'!O288,'R2'!O288,'R3'!O288)</f>
        <v>5.949099592298614E-3</v>
      </c>
    </row>
    <row r="289" spans="1:16" x14ac:dyDescent="0.25">
      <c r="A289">
        <f>AVERAGE('R1'!F289,'R2'!F289,'R3'!F289)</f>
        <v>0.11372216666666667</v>
      </c>
      <c r="B289">
        <f>AVERAGE('R1'!G289,'R2'!G289,'R3'!G289)</f>
        <v>20.276003833333334</v>
      </c>
      <c r="C289">
        <f>-'R1'!H289</f>
        <v>-24</v>
      </c>
      <c r="D289">
        <f>DEGREES(ATAN(-SIN(RADIANS(('R1'!I289)))/(COS(RADIANS(Sheet1!C289))*COS(RADIANS('R1'!I289)))))</f>
        <v>30.200622081370245</v>
      </c>
      <c r="E289">
        <f>AVERAGE('R1'!J289,'R2'!J289,'R3'!J289)</f>
        <v>1.17</v>
      </c>
      <c r="F289">
        <f>AVERAGE('R1'!K289,'R2'!K289,'R3'!K289)</f>
        <v>5.8611314166666659</v>
      </c>
      <c r="G289">
        <f>AVERAGE('R1'!L289,'R2'!L289,'R3'!L289)</f>
        <v>1.6190480622246348</v>
      </c>
      <c r="H289">
        <f>AVERAGE('R1'!M289,'R2'!M289,'R3'!M289)</f>
        <v>1.5505293071718007</v>
      </c>
      <c r="I289">
        <f>AVERAGE('R1'!N289,'R2'!N289,'R3'!N289)</f>
        <v>-0.87684941028401531</v>
      </c>
      <c r="J289">
        <f>AVERAGE('R1'!O289,'R2'!O289,'R3'!O289)</f>
        <v>-0.45843075702126085</v>
      </c>
      <c r="K289">
        <f t="shared" si="8"/>
        <v>1142.9206262499999</v>
      </c>
      <c r="M289">
        <f>_xlfn.STDEV.S('R1'!L289,'R2'!L289,'R3'!L289)</f>
        <v>1.2077650806586675E-2</v>
      </c>
      <c r="N289">
        <f>_xlfn.STDEV.S('R1'!M289,'R2'!M289,'R3'!M289)</f>
        <v>1.5062465767105768E-2</v>
      </c>
      <c r="O289">
        <f>_xlfn.STDEV.S('R1'!N289,'R2'!N289,'R3'!N289)</f>
        <v>2.0056432923069373E-2</v>
      </c>
      <c r="P289">
        <f>_xlfn.STDEV.S('R1'!O289,'R2'!O289,'R3'!O289)</f>
        <v>4.4593991492059048E-3</v>
      </c>
    </row>
    <row r="290" spans="1:16" x14ac:dyDescent="0.25">
      <c r="A290">
        <f>AVERAGE('R1'!F290,'R2'!F290,'R3'!F290)</f>
        <v>0.11372216666666667</v>
      </c>
      <c r="B290">
        <f>AVERAGE('R1'!G290,'R2'!G290,'R3'!G290)</f>
        <v>20.049634333333334</v>
      </c>
      <c r="C290">
        <f>-'R1'!H290</f>
        <v>-24</v>
      </c>
      <c r="D290">
        <f>DEGREES(ATAN(-SIN(RADIANS(('R1'!I290)))/(COS(RADIANS(Sheet1!C290))*COS(RADIANS('R1'!I290)))))</f>
        <v>25.982912809070061</v>
      </c>
      <c r="E290">
        <f>AVERAGE('R1'!J290,'R2'!J290,'R3'!J290)</f>
        <v>1.17</v>
      </c>
      <c r="F290">
        <f>AVERAGE('R1'!K290,'R2'!K290,'R3'!K290)</f>
        <v>5.8281302500000001</v>
      </c>
      <c r="G290">
        <f>AVERAGE('R1'!L290,'R2'!L290,'R3'!L290)</f>
        <v>1.4183599582654216</v>
      </c>
      <c r="H290">
        <f>AVERAGE('R1'!M290,'R2'!M290,'R3'!M290)</f>
        <v>1.4993497242952929</v>
      </c>
      <c r="I290">
        <f>AVERAGE('R1'!N290,'R2'!N290,'R3'!N290)</f>
        <v>-0.72954998878826505</v>
      </c>
      <c r="J290">
        <f>AVERAGE('R1'!O290,'R2'!O290,'R3'!O290)</f>
        <v>-0.2956540740689228</v>
      </c>
      <c r="K290">
        <f t="shared" si="8"/>
        <v>1136.4853987499998</v>
      </c>
      <c r="M290">
        <f>_xlfn.STDEV.S('R1'!L290,'R2'!L290,'R3'!L290)</f>
        <v>3.6179694772307609E-3</v>
      </c>
      <c r="N290">
        <f>_xlfn.STDEV.S('R1'!M290,'R2'!M290,'R3'!M290)</f>
        <v>1.1957905279518219E-2</v>
      </c>
      <c r="O290">
        <f>_xlfn.STDEV.S('R1'!N290,'R2'!N290,'R3'!N290)</f>
        <v>1.4958585694527297E-2</v>
      </c>
      <c r="P290">
        <f>_xlfn.STDEV.S('R1'!O290,'R2'!O290,'R3'!O290)</f>
        <v>6.6203010887705433E-3</v>
      </c>
    </row>
    <row r="291" spans="1:16" x14ac:dyDescent="0.25">
      <c r="A291">
        <f>AVERAGE('R1'!F291,'R2'!F291,'R3'!F291)</f>
        <v>8.1237833333333329E-2</v>
      </c>
      <c r="B291">
        <f>AVERAGE('R1'!G291,'R2'!G291,'R3'!G291)</f>
        <v>20.049622166666669</v>
      </c>
      <c r="C291">
        <f>-'R1'!H291</f>
        <v>-24</v>
      </c>
      <c r="D291">
        <f>DEGREES(ATAN(-SIN(RADIANS(('R1'!I291)))/(COS(RADIANS(Sheet1!C291))*COS(RADIANS('R1'!I291)))))</f>
        <v>21.723080079379415</v>
      </c>
      <c r="E291">
        <f>AVERAGE('R1'!J291,'R2'!J291,'R3'!J291)</f>
        <v>1.1683333333333332</v>
      </c>
      <c r="F291">
        <f>AVERAGE('R1'!K291,'R2'!K291,'R3'!K291)</f>
        <v>5.8397421666666673</v>
      </c>
      <c r="G291">
        <f>AVERAGE('R1'!L291,'R2'!L291,'R3'!L291)</f>
        <v>1.2068046966547721</v>
      </c>
      <c r="H291">
        <f>AVERAGE('R1'!M291,'R2'!M291,'R3'!M291)</f>
        <v>1.4808208314920464</v>
      </c>
      <c r="I291">
        <f>AVERAGE('R1'!N291,'R2'!N291,'R3'!N291)</f>
        <v>-0.61051174289015087</v>
      </c>
      <c r="J291">
        <f>AVERAGE('R1'!O291,'R2'!O291,'R3'!O291)</f>
        <v>-0.15813863932116518</v>
      </c>
      <c r="K291">
        <f t="shared" si="8"/>
        <v>1137.1275718981481</v>
      </c>
      <c r="M291">
        <f>_xlfn.STDEV.S('R1'!L291,'R2'!L291,'R3'!L291)</f>
        <v>1.2811757664855128E-2</v>
      </c>
      <c r="N291">
        <f>_xlfn.STDEV.S('R1'!M291,'R2'!M291,'R3'!M291)</f>
        <v>1.8658559563471701E-2</v>
      </c>
      <c r="O291">
        <f>_xlfn.STDEV.S('R1'!N291,'R2'!N291,'R3'!N291)</f>
        <v>1.9806339984700438E-2</v>
      </c>
      <c r="P291">
        <f>_xlfn.STDEV.S('R1'!O291,'R2'!O291,'R3'!O291)</f>
        <v>2.4526037921386123E-3</v>
      </c>
    </row>
    <row r="292" spans="1:16" x14ac:dyDescent="0.25">
      <c r="A292">
        <f>AVERAGE('R1'!F292,'R2'!F292,'R3'!F292)</f>
        <v>0.12996433333333332</v>
      </c>
      <c r="B292">
        <f>AVERAGE('R1'!G292,'R2'!G292,'R3'!G292)</f>
        <v>19.889521999999999</v>
      </c>
      <c r="C292">
        <f>-'R1'!H292</f>
        <v>-24</v>
      </c>
      <c r="D292">
        <f>DEGREES(ATAN(-SIN(RADIANS(('R1'!I292)))/(COS(RADIANS(Sheet1!C292))*COS(RADIANS('R1'!I292)))))</f>
        <v>17.426129149372727</v>
      </c>
      <c r="E292">
        <f>AVERAGE('R1'!J292,'R2'!J292,'R3'!J292)</f>
        <v>1.1691666666666667</v>
      </c>
      <c r="F292">
        <f>AVERAGE('R1'!K292,'R2'!K292,'R3'!K292)</f>
        <v>5.8095086666666669</v>
      </c>
      <c r="G292">
        <f>AVERAGE('R1'!L292,'R2'!L292,'R3'!L292)</f>
        <v>0.99038145079518569</v>
      </c>
      <c r="H292">
        <f>AVERAGE('R1'!M292,'R2'!M292,'R3'!M292)</f>
        <v>1.4756778095485046</v>
      </c>
      <c r="I292">
        <f>AVERAGE('R1'!N292,'R2'!N292,'R3'!N292)</f>
        <v>-0.51143115314570264</v>
      </c>
      <c r="J292">
        <f>AVERAGE('R1'!O292,'R2'!O292,'R3'!O292)</f>
        <v>-4.3031912454432303E-2</v>
      </c>
      <c r="K292">
        <f t="shared" si="8"/>
        <v>1132.0473137962965</v>
      </c>
      <c r="M292">
        <f>_xlfn.STDEV.S('R1'!L292,'R2'!L292,'R3'!L292)</f>
        <v>9.7105550524511051E-3</v>
      </c>
      <c r="N292">
        <f>_xlfn.STDEV.S('R1'!M292,'R2'!M292,'R3'!M292)</f>
        <v>1.0716686713027482E-2</v>
      </c>
      <c r="O292">
        <f>_xlfn.STDEV.S('R1'!N292,'R2'!N292,'R3'!N292)</f>
        <v>1.3183338674674829E-2</v>
      </c>
      <c r="P292">
        <f>_xlfn.STDEV.S('R1'!O292,'R2'!O292,'R3'!O292)</f>
        <v>8.7880657566240424E-3</v>
      </c>
    </row>
    <row r="293" spans="1:16" x14ac:dyDescent="0.25">
      <c r="A293">
        <f>AVERAGE('R1'!F293,'R2'!F293,'R3'!F293)</f>
        <v>0.11372216666666667</v>
      </c>
      <c r="B293">
        <f>AVERAGE('R1'!G293,'R2'!G293,'R3'!G293)</f>
        <v>19.422266583333336</v>
      </c>
      <c r="C293">
        <f>-'R1'!H293</f>
        <v>-24</v>
      </c>
      <c r="D293">
        <f>DEGREES(ATAN(-SIN(RADIANS(('R1'!I293)))/(COS(RADIANS(Sheet1!C293))*COS(RADIANS('R1'!I293)))))</f>
        <v>13.09808863151425</v>
      </c>
      <c r="E293">
        <f>AVERAGE('R1'!J293,'R2'!J293,'R3'!J293)</f>
        <v>1.1691666666666667</v>
      </c>
      <c r="F293">
        <f>AVERAGE('R1'!K293,'R2'!K293,'R3'!K293)</f>
        <v>5.7445837500000003</v>
      </c>
      <c r="G293">
        <f>AVERAGE('R1'!L293,'R2'!L293,'R3'!L293)</f>
        <v>0.78973270301955756</v>
      </c>
      <c r="H293">
        <f>AVERAGE('R1'!M293,'R2'!M293,'R3'!M293)</f>
        <v>1.4892387693692477</v>
      </c>
      <c r="I293">
        <f>AVERAGE('R1'!N293,'R2'!N293,'R3'!N293)</f>
        <v>-0.44039646523884751</v>
      </c>
      <c r="J293">
        <f>AVERAGE('R1'!O293,'R2'!O293,'R3'!O293)</f>
        <v>5.2463355392330546E-2</v>
      </c>
      <c r="K293">
        <f t="shared" si="8"/>
        <v>1119.3959723958335</v>
      </c>
      <c r="M293">
        <f>_xlfn.STDEV.S('R1'!L293,'R2'!L293,'R3'!L293)</f>
        <v>3.4554614254115909E-3</v>
      </c>
      <c r="N293">
        <f>_xlfn.STDEV.S('R1'!M293,'R2'!M293,'R3'!M293)</f>
        <v>9.3404251258295615E-3</v>
      </c>
      <c r="O293">
        <f>_xlfn.STDEV.S('R1'!N293,'R2'!N293,'R3'!N293)</f>
        <v>1.3355913830586244E-2</v>
      </c>
      <c r="P293">
        <f>_xlfn.STDEV.S('R1'!O293,'R2'!O293,'R3'!O293)</f>
        <v>1.135995144085471E-2</v>
      </c>
    </row>
    <row r="294" spans="1:16" x14ac:dyDescent="0.25">
      <c r="A294">
        <f>AVERAGE('R1'!F294,'R2'!F294,'R3'!F294)</f>
        <v>0.11372216666666667</v>
      </c>
      <c r="B294">
        <f>AVERAGE('R1'!G294,'R2'!G294,'R3'!G294)</f>
        <v>19.275832499999996</v>
      </c>
      <c r="C294">
        <f>-'R1'!H294</f>
        <v>-24</v>
      </c>
      <c r="D294">
        <f>DEGREES(ATAN(-SIN(RADIANS(('R1'!I294)))/(COS(RADIANS(Sheet1!C294))*COS(RADIANS('R1'!I294)))))</f>
        <v>8.7458791850141893</v>
      </c>
      <c r="E294">
        <f>AVERAGE('R1'!J294,'R2'!J294,'R3'!J294)</f>
        <v>1.1658333333333333</v>
      </c>
      <c r="F294">
        <f>AVERAGE('R1'!K294,'R2'!K294,'R3'!K294)</f>
        <v>5.7319520833333328</v>
      </c>
      <c r="G294">
        <f>AVERAGE('R1'!L294,'R2'!L294,'R3'!L294)</f>
        <v>0.56022553523665208</v>
      </c>
      <c r="H294">
        <f>AVERAGE('R1'!M294,'R2'!M294,'R3'!M294)</f>
        <v>1.5343088537559535</v>
      </c>
      <c r="I294">
        <f>AVERAGE('R1'!N294,'R2'!N294,'R3'!N294)</f>
        <v>-0.39973287411456671</v>
      </c>
      <c r="J294">
        <f>AVERAGE('R1'!O294,'R2'!O294,'R3'!O294)</f>
        <v>0.13796712525994567</v>
      </c>
      <c r="K294">
        <f t="shared" si="8"/>
        <v>1113.7501339699072</v>
      </c>
      <c r="M294">
        <f>_xlfn.STDEV.S('R1'!L294,'R2'!L294,'R3'!L294)</f>
        <v>3.5799399599597743E-3</v>
      </c>
      <c r="N294">
        <f>_xlfn.STDEV.S('R1'!M294,'R2'!M294,'R3'!M294)</f>
        <v>1.4968146139910881E-2</v>
      </c>
      <c r="O294">
        <f>_xlfn.STDEV.S('R1'!N294,'R2'!N294,'R3'!N294)</f>
        <v>1.6515300202765083E-2</v>
      </c>
      <c r="P294">
        <f>_xlfn.STDEV.S('R1'!O294,'R2'!O294,'R3'!O294)</f>
        <v>5.5908368119263144E-3</v>
      </c>
    </row>
    <row r="295" spans="1:16" x14ac:dyDescent="0.25">
      <c r="A295">
        <f>AVERAGE('R1'!F295,'R2'!F295,'R3'!F295)</f>
        <v>9.7518999999999981E-2</v>
      </c>
      <c r="B295">
        <f>AVERAGE('R1'!G295,'R2'!G295,'R3'!G295)</f>
        <v>19.142804999999999</v>
      </c>
      <c r="C295">
        <f>-'R1'!H295</f>
        <v>-24</v>
      </c>
      <c r="D295">
        <f>DEGREES(ATAN(-SIN(RADIANS(('R1'!I295)))/(COS(RADIANS(Sheet1!C295))*COS(RADIANS('R1'!I295)))))</f>
        <v>4.3771372039965373</v>
      </c>
      <c r="E295">
        <f>AVERAGE('R1'!J295,'R2'!J295,'R3'!J295)</f>
        <v>1.165</v>
      </c>
      <c r="F295">
        <f>AVERAGE('R1'!K295,'R2'!K295,'R3'!K295)</f>
        <v>5.7174389166666666</v>
      </c>
      <c r="G295">
        <f>AVERAGE('R1'!L295,'R2'!L295,'R3'!L295)</f>
        <v>0.32173022923620481</v>
      </c>
      <c r="H295">
        <f>AVERAGE('R1'!M295,'R2'!M295,'R3'!M295)</f>
        <v>1.6042452803394085</v>
      </c>
      <c r="I295">
        <f>AVERAGE('R1'!N295,'R2'!N295,'R3'!N295)</f>
        <v>-0.38094331384266561</v>
      </c>
      <c r="J295">
        <f>AVERAGE('R1'!O295,'R2'!O295,'R3'!O295)</f>
        <v>0.21749089747280656</v>
      </c>
      <c r="K295">
        <f t="shared" si="8"/>
        <v>1110.1360563194446</v>
      </c>
      <c r="M295">
        <f>_xlfn.STDEV.S('R1'!L295,'R2'!L295,'R3'!L295)</f>
        <v>4.8879274475061461E-3</v>
      </c>
      <c r="N295">
        <f>_xlfn.STDEV.S('R1'!M295,'R2'!M295,'R3'!M295)</f>
        <v>1.0730937456925969E-2</v>
      </c>
      <c r="O295">
        <f>_xlfn.STDEV.S('R1'!N295,'R2'!N295,'R3'!N295)</f>
        <v>1.913784234819231E-2</v>
      </c>
      <c r="P295">
        <f>_xlfn.STDEV.S('R1'!O295,'R2'!O295,'R3'!O295)</f>
        <v>1.2132764560328342E-2</v>
      </c>
    </row>
    <row r="296" spans="1:16" x14ac:dyDescent="0.25">
      <c r="A296">
        <f>AVERAGE('R1'!F296,'R2'!F296,'R3'!F296)</f>
        <v>0.11372216666666667</v>
      </c>
      <c r="B296">
        <f>AVERAGE('R1'!G296,'R2'!G296,'R3'!G296)</f>
        <v>18.848947583333331</v>
      </c>
      <c r="C296">
        <f>-'R1'!H296</f>
        <v>-24</v>
      </c>
      <c r="D296">
        <f>DEGREES(ATAN(-SIN(RADIANS(('R1'!I296)))/(COS(RADIANS(Sheet1!C296))*COS(RADIANS('R1'!I296)))))</f>
        <v>0</v>
      </c>
      <c r="E296">
        <f>AVERAGE('R1'!J296,'R2'!J296,'R3'!J296)</f>
        <v>1.17</v>
      </c>
      <c r="F296">
        <f>AVERAGE('R1'!K296,'R2'!K296,'R3'!K296)</f>
        <v>5.6587738333333339</v>
      </c>
      <c r="G296">
        <f>AVERAGE('R1'!L296,'R2'!L296,'R3'!L296)</f>
        <v>5.0196542882145818E-2</v>
      </c>
      <c r="H296">
        <f>AVERAGE('R1'!M296,'R2'!M296,'R3'!M296)</f>
        <v>1.7075611506004318</v>
      </c>
      <c r="I296">
        <f>AVERAGE('R1'!N296,'R2'!N296,'R3'!N296)</f>
        <v>-0.39947607774712174</v>
      </c>
      <c r="J296">
        <f>AVERAGE('R1'!O296,'R2'!O296,'R3'!O296)</f>
        <v>0.30406052293301794</v>
      </c>
      <c r="K296">
        <f t="shared" si="8"/>
        <v>1103.4608975000001</v>
      </c>
      <c r="M296">
        <f>_xlfn.STDEV.S('R1'!L296,'R2'!L296,'R3'!L296)</f>
        <v>2.9308621048924339E-3</v>
      </c>
      <c r="N296">
        <f>_xlfn.STDEV.S('R1'!M296,'R2'!M296,'R3'!M296)</f>
        <v>9.8180336970143667E-3</v>
      </c>
      <c r="O296">
        <f>_xlfn.STDEV.S('R1'!N296,'R2'!N296,'R3'!N296)</f>
        <v>1.902135867501482E-2</v>
      </c>
      <c r="P296">
        <f>_xlfn.STDEV.S('R1'!O296,'R2'!O296,'R3'!O296)</f>
        <v>8.0360053516202196E-3</v>
      </c>
    </row>
    <row r="297" spans="1:16" x14ac:dyDescent="0.25">
      <c r="A297">
        <f>AVERAGE('R1'!F297,'R2'!F297,'R3'!F297)</f>
        <v>0.11372216666666667</v>
      </c>
      <c r="B297">
        <f>AVERAGE('R1'!G297,'R2'!G297,'R3'!G297)</f>
        <v>19.11536825</v>
      </c>
      <c r="C297">
        <f>-'R1'!H297</f>
        <v>-24</v>
      </c>
      <c r="D297">
        <f>DEGREES(ATAN(-SIN(RADIANS(('R1'!I297)))/(COS(RADIANS(Sheet1!C297))*COS(RADIANS('R1'!I297)))))</f>
        <v>-4.3771372039965373</v>
      </c>
      <c r="E297">
        <f>AVERAGE('R1'!J297,'R2'!J297,'R3'!J297)</f>
        <v>1.1691666666666667</v>
      </c>
      <c r="F297">
        <f>AVERAGE('R1'!K297,'R2'!K297,'R3'!K297)</f>
        <v>5.7000691666666663</v>
      </c>
      <c r="G297">
        <f>AVERAGE('R1'!L297,'R2'!L297,'R3'!L297)</f>
        <v>-0.22983319160869939</v>
      </c>
      <c r="H297">
        <f>AVERAGE('R1'!M297,'R2'!M297,'R3'!M297)</f>
        <v>1.6420176404068751</v>
      </c>
      <c r="I297">
        <f>AVERAGE('R1'!N297,'R2'!N297,'R3'!N297)</f>
        <v>-0.39580043507341961</v>
      </c>
      <c r="J297">
        <f>AVERAGE('R1'!O297,'R2'!O297,'R3'!O297)</f>
        <v>0.23985453503925602</v>
      </c>
      <c r="K297">
        <f t="shared" si="8"/>
        <v>1110.721811226852</v>
      </c>
      <c r="M297">
        <f>_xlfn.STDEV.S('R1'!L297,'R2'!L297,'R3'!L297)</f>
        <v>1.7213555193399104E-3</v>
      </c>
      <c r="N297">
        <f>_xlfn.STDEV.S('R1'!M297,'R2'!M297,'R3'!M297)</f>
        <v>1.0534207914721023E-2</v>
      </c>
      <c r="O297">
        <f>_xlfn.STDEV.S('R1'!N297,'R2'!N297,'R3'!N297)</f>
        <v>1.3296062894898398E-2</v>
      </c>
      <c r="P297">
        <f>_xlfn.STDEV.S('R1'!O297,'R2'!O297,'R3'!O297)</f>
        <v>4.4863920381922372E-3</v>
      </c>
    </row>
    <row r="298" spans="1:16" x14ac:dyDescent="0.25">
      <c r="A298">
        <f>AVERAGE('R1'!F298,'R2'!F298,'R3'!F298)</f>
        <v>9.7479999999999997E-2</v>
      </c>
      <c r="B298">
        <f>AVERAGE('R1'!G298,'R2'!G298,'R3'!G298)</f>
        <v>19.262851166666668</v>
      </c>
      <c r="C298">
        <f>-'R1'!H298</f>
        <v>-24</v>
      </c>
      <c r="D298">
        <f>DEGREES(ATAN(-SIN(RADIANS(('R1'!I298)))/(COS(RADIANS(Sheet1!C298))*COS(RADIANS('R1'!I298)))))</f>
        <v>-8.7458791850141893</v>
      </c>
      <c r="E298">
        <f>AVERAGE('R1'!J298,'R2'!J298,'R3'!J298)</f>
        <v>1.165</v>
      </c>
      <c r="F298">
        <f>AVERAGE('R1'!K298,'R2'!K298,'R3'!K298)</f>
        <v>5.7338603333333333</v>
      </c>
      <c r="G298">
        <f>AVERAGE('R1'!L298,'R2'!L298,'R3'!L298)</f>
        <v>-0.49065078840411619</v>
      </c>
      <c r="H298">
        <f>AVERAGE('R1'!M298,'R2'!M298,'R3'!M298)</f>
        <v>1.5710501948191389</v>
      </c>
      <c r="I298">
        <f>AVERAGE('R1'!N298,'R2'!N298,'R3'!N298)</f>
        <v>-0.41564517539868467</v>
      </c>
      <c r="J298">
        <f>AVERAGE('R1'!O298,'R2'!O298,'R3'!O298)</f>
        <v>0.14142437652673551</v>
      </c>
      <c r="K298">
        <f t="shared" si="8"/>
        <v>1113.3245480555556</v>
      </c>
      <c r="M298">
        <f>_xlfn.STDEV.S('R1'!L298,'R2'!L298,'R3'!L298)</f>
        <v>5.7888732053324654E-3</v>
      </c>
      <c r="N298">
        <f>_xlfn.STDEV.S('R1'!M298,'R2'!M298,'R3'!M298)</f>
        <v>1.8562967605112113E-2</v>
      </c>
      <c r="O298">
        <f>_xlfn.STDEV.S('R1'!N298,'R2'!N298,'R3'!N298)</f>
        <v>1.9645359106624249E-2</v>
      </c>
      <c r="P298">
        <f>_xlfn.STDEV.S('R1'!O298,'R2'!O298,'R3'!O298)</f>
        <v>2.8299935667095749E-3</v>
      </c>
    </row>
    <row r="299" spans="1:16" x14ac:dyDescent="0.25">
      <c r="A299">
        <f>AVERAGE('R1'!F299,'R2'!F299,'R3'!F299)</f>
        <v>0.12996433333333332</v>
      </c>
      <c r="B299">
        <f>AVERAGE('R1'!G299,'R2'!G299,'R3'!G299)</f>
        <v>19.528885083333336</v>
      </c>
      <c r="C299">
        <f>-'R1'!H299</f>
        <v>-24</v>
      </c>
      <c r="D299">
        <f>DEGREES(ATAN(-SIN(RADIANS(('R1'!I299)))/(COS(RADIANS(Sheet1!C299))*COS(RADIANS('R1'!I299)))))</f>
        <v>-13.09808863151425</v>
      </c>
      <c r="E299">
        <f>AVERAGE('R1'!J299,'R2'!J299,'R3'!J299)</f>
        <v>1.1675</v>
      </c>
      <c r="F299">
        <f>AVERAGE('R1'!K299,'R2'!K299,'R3'!K299)</f>
        <v>5.7621989166666667</v>
      </c>
      <c r="G299">
        <f>AVERAGE('R1'!L299,'R2'!L299,'R3'!L299)</f>
        <v>-0.73556380038151603</v>
      </c>
      <c r="H299">
        <f>AVERAGE('R1'!M299,'R2'!M299,'R3'!M299)</f>
        <v>1.5220448815881997</v>
      </c>
      <c r="I299">
        <f>AVERAGE('R1'!N299,'R2'!N299,'R3'!N299)</f>
        <v>-0.45581818130406387</v>
      </c>
      <c r="J299">
        <f>AVERAGE('R1'!O299,'R2'!O299,'R3'!O299)</f>
        <v>2.7351088801916768E-2</v>
      </c>
      <c r="K299">
        <f t="shared" si="8"/>
        <v>1121.2278725347221</v>
      </c>
      <c r="M299">
        <f>_xlfn.STDEV.S('R1'!L299,'R2'!L299,'R3'!L299)</f>
        <v>6.6975505278168545E-3</v>
      </c>
      <c r="N299">
        <f>_xlfn.STDEV.S('R1'!M299,'R2'!M299,'R3'!M299)</f>
        <v>1.3449620876454788E-2</v>
      </c>
      <c r="O299">
        <f>_xlfn.STDEV.S('R1'!N299,'R2'!N299,'R3'!N299)</f>
        <v>1.5653753856146209E-2</v>
      </c>
      <c r="P299">
        <f>_xlfn.STDEV.S('R1'!O299,'R2'!O299,'R3'!O299)</f>
        <v>6.3869737780042771E-3</v>
      </c>
    </row>
    <row r="300" spans="1:16" x14ac:dyDescent="0.25">
      <c r="A300">
        <f>AVERAGE('R1'!F300,'R2'!F300,'R3'!F300)</f>
        <v>9.7479999999999997E-2</v>
      </c>
      <c r="B300">
        <f>AVERAGE('R1'!G300,'R2'!G300,'R3'!G300)</f>
        <v>19.836092333333333</v>
      </c>
      <c r="C300">
        <f>-'R1'!H300</f>
        <v>-24</v>
      </c>
      <c r="D300">
        <f>DEGREES(ATAN(-SIN(RADIANS(('R1'!I300)))/(COS(RADIANS(Sheet1!C300))*COS(RADIANS('R1'!I300)))))</f>
        <v>-17.426129149372727</v>
      </c>
      <c r="E300">
        <f>AVERAGE('R1'!J300,'R2'!J300,'R3'!J300)</f>
        <v>1.1666666666666667</v>
      </c>
      <c r="F300">
        <f>AVERAGE('R1'!K300,'R2'!K300,'R3'!K300)</f>
        <v>5.8148261666666672</v>
      </c>
      <c r="G300">
        <f>AVERAGE('R1'!L300,'R2'!L300,'R3'!L300)</f>
        <v>-0.96717772155657233</v>
      </c>
      <c r="H300">
        <f>AVERAGE('R1'!M300,'R2'!M300,'R3'!M300)</f>
        <v>1.4924382856790726</v>
      </c>
      <c r="I300">
        <f>AVERAGE('R1'!N300,'R2'!N300,'R3'!N300)</f>
        <v>-0.52491746030592346</v>
      </c>
      <c r="J300">
        <f>AVERAGE('R1'!O300,'R2'!O300,'R3'!O300)</f>
        <v>-7.282332905475912E-2</v>
      </c>
      <c r="K300">
        <f t="shared" si="8"/>
        <v>1130.6606435185186</v>
      </c>
      <c r="M300">
        <f>_xlfn.STDEV.S('R1'!L300,'R2'!L300,'R3'!L300)</f>
        <v>5.3798775198122479E-3</v>
      </c>
      <c r="N300">
        <f>_xlfn.STDEV.S('R1'!M300,'R2'!M300,'R3'!M300)</f>
        <v>1.3398889489028828E-2</v>
      </c>
      <c r="O300">
        <f>_xlfn.STDEV.S('R1'!N300,'R2'!N300,'R3'!N300)</f>
        <v>1.8780197318419026E-2</v>
      </c>
      <c r="P300">
        <f>_xlfn.STDEV.S('R1'!O300,'R2'!O300,'R3'!O300)</f>
        <v>1.9431932153379681E-3</v>
      </c>
    </row>
    <row r="301" spans="1:16" x14ac:dyDescent="0.25">
      <c r="A301">
        <f>AVERAGE('R1'!F301,'R2'!F301,'R3'!F301)</f>
        <v>0.11372216666666667</v>
      </c>
      <c r="B301">
        <f>AVERAGE('R1'!G301,'R2'!G301,'R3'!G301)</f>
        <v>19.809440416666668</v>
      </c>
      <c r="C301">
        <f>-'R1'!H301</f>
        <v>-24</v>
      </c>
      <c r="D301">
        <f>DEGREES(ATAN(-SIN(RADIANS(('R1'!I301)))/(COS(RADIANS(Sheet1!C301))*COS(RADIANS('R1'!I301)))))</f>
        <v>-21.723080079379415</v>
      </c>
      <c r="E301">
        <f>AVERAGE('R1'!J301,'R2'!J301,'R3'!J301)</f>
        <v>1.1666666666666667</v>
      </c>
      <c r="F301">
        <f>AVERAGE('R1'!K301,'R2'!K301,'R3'!K301)</f>
        <v>5.8078840833333336</v>
      </c>
      <c r="G301">
        <f>AVERAGE('R1'!L301,'R2'!L301,'R3'!L301)</f>
        <v>-1.1996598372413942</v>
      </c>
      <c r="H301">
        <f>AVERAGE('R1'!M301,'R2'!M301,'R3'!M301)</f>
        <v>1.5019084527939215</v>
      </c>
      <c r="I301">
        <f>AVERAGE('R1'!N301,'R2'!N301,'R3'!N301)</f>
        <v>-0.63337858162990568</v>
      </c>
      <c r="J301">
        <f>AVERAGE('R1'!O301,'R2'!O301,'R3'!O301)</f>
        <v>-0.19705379136581</v>
      </c>
      <c r="K301">
        <f t="shared" si="8"/>
        <v>1129.3107939814815</v>
      </c>
      <c r="M301">
        <f>_xlfn.STDEV.S('R1'!L301,'R2'!L301,'R3'!L301)</f>
        <v>1.1598071880571641E-2</v>
      </c>
      <c r="N301">
        <f>_xlfn.STDEV.S('R1'!M301,'R2'!M301,'R3'!M301)</f>
        <v>7.8066685869041634E-3</v>
      </c>
      <c r="O301">
        <f>_xlfn.STDEV.S('R1'!N301,'R2'!N301,'R3'!N301)</f>
        <v>2.0793866017263674E-2</v>
      </c>
      <c r="P301">
        <f>_xlfn.STDEV.S('R1'!O301,'R2'!O301,'R3'!O301)</f>
        <v>3.21090269143047E-3</v>
      </c>
    </row>
    <row r="302" spans="1:16" x14ac:dyDescent="0.25">
      <c r="A302">
        <f>AVERAGE('R1'!F302,'R2'!F302,'R3'!F302)</f>
        <v>0.12996433333333332</v>
      </c>
      <c r="B302">
        <f>AVERAGE('R1'!G302,'R2'!G302,'R3'!G302)</f>
        <v>19.823518666666665</v>
      </c>
      <c r="C302">
        <f>-'R1'!H302</f>
        <v>-24</v>
      </c>
      <c r="D302">
        <f>DEGREES(ATAN(-SIN(RADIANS(('R1'!I302)))/(COS(RADIANS(Sheet1!C302))*COS(RADIANS('R1'!I302)))))</f>
        <v>-25.982912809070061</v>
      </c>
      <c r="E302">
        <f>AVERAGE('R1'!J302,'R2'!J302,'R3'!J302)</f>
        <v>1.1666666666666667</v>
      </c>
      <c r="F302">
        <f>AVERAGE('R1'!K302,'R2'!K302,'R3'!K302)</f>
        <v>5.8059291666666661</v>
      </c>
      <c r="G302">
        <f>AVERAGE('R1'!L302,'R2'!L302,'R3'!L302)</f>
        <v>-1.4164336344506641</v>
      </c>
      <c r="H302">
        <f>AVERAGE('R1'!M302,'R2'!M302,'R3'!M302)</f>
        <v>1.5381511367711258</v>
      </c>
      <c r="I302">
        <f>AVERAGE('R1'!N302,'R2'!N302,'R3'!N302)</f>
        <v>-0.75918604630031139</v>
      </c>
      <c r="J302">
        <f>AVERAGE('R1'!O302,'R2'!O302,'R3'!O302)</f>
        <v>-0.34344974489879992</v>
      </c>
      <c r="K302">
        <f t="shared" si="8"/>
        <v>1128.9306712962962</v>
      </c>
      <c r="M302">
        <f>_xlfn.STDEV.S('R1'!L302,'R2'!L302,'R3'!L302)</f>
        <v>1.415797410083584E-2</v>
      </c>
      <c r="N302">
        <f>_xlfn.STDEV.S('R1'!M302,'R2'!M302,'R3'!M302)</f>
        <v>1.3804388433653546E-2</v>
      </c>
      <c r="O302">
        <f>_xlfn.STDEV.S('R1'!N302,'R2'!N302,'R3'!N302)</f>
        <v>2.4061768209787632E-2</v>
      </c>
      <c r="P302">
        <f>_xlfn.STDEV.S('R1'!O302,'R2'!O302,'R3'!O302)</f>
        <v>8.6437335991787533E-4</v>
      </c>
    </row>
    <row r="303" spans="1:16" x14ac:dyDescent="0.25">
      <c r="A303">
        <f>AVERAGE('R1'!F303,'R2'!F303,'R3'!F303)</f>
        <v>0.12996433333333332</v>
      </c>
      <c r="B303">
        <f>AVERAGE('R1'!G303,'R2'!G303,'R3'!G303)</f>
        <v>20.009573416666669</v>
      </c>
      <c r="C303">
        <f>-'R1'!H303</f>
        <v>-24</v>
      </c>
      <c r="D303">
        <f>DEGREES(ATAN(-SIN(RADIANS(('R1'!I303)))/(COS(RADIANS(Sheet1!C303))*COS(RADIANS('R1'!I303)))))</f>
        <v>-30.200622081370245</v>
      </c>
      <c r="E303">
        <f>AVERAGE('R1'!J303,'R2'!J303,'R3'!J303)</f>
        <v>1.1691666666666667</v>
      </c>
      <c r="F303">
        <f>AVERAGE('R1'!K303,'R2'!K303,'R3'!K303)</f>
        <v>5.8257162499999993</v>
      </c>
      <c r="G303">
        <f>AVERAGE('R1'!L303,'R2'!L303,'R3'!L303)</f>
        <v>-1.6288419021391967</v>
      </c>
      <c r="H303">
        <f>AVERAGE('R1'!M303,'R2'!M303,'R3'!M303)</f>
        <v>1.613872891718698</v>
      </c>
      <c r="I303">
        <f>AVERAGE('R1'!N303,'R2'!N303,'R3'!N303)</f>
        <v>-0.92814964380583531</v>
      </c>
      <c r="J303">
        <f>AVERAGE('R1'!O303,'R2'!O303,'R3'!O303)</f>
        <v>-0.51178271544642395</v>
      </c>
      <c r="K303">
        <f t="shared" si="8"/>
        <v>1135.2055414930555</v>
      </c>
      <c r="M303">
        <f>_xlfn.STDEV.S('R1'!L303,'R2'!L303,'R3'!L303)</f>
        <v>1.1522442768269863E-2</v>
      </c>
      <c r="N303">
        <f>_xlfn.STDEV.S('R1'!M303,'R2'!M303,'R3'!M303)</f>
        <v>8.4933217500051152E-3</v>
      </c>
      <c r="O303">
        <f>_xlfn.STDEV.S('R1'!N303,'R2'!N303,'R3'!N303)</f>
        <v>1.3922416041854933E-2</v>
      </c>
      <c r="P303">
        <f>_xlfn.STDEV.S('R1'!O303,'R2'!O303,'R3'!O303)</f>
        <v>6.4095515100233615E-3</v>
      </c>
    </row>
    <row r="304" spans="1:16" x14ac:dyDescent="0.25">
      <c r="A304">
        <f>AVERAGE('R1'!F304,'R2'!F304,'R3'!F304)</f>
        <v>0.12996433333333332</v>
      </c>
      <c r="B304">
        <f>AVERAGE('R1'!G304,'R2'!G304,'R3'!G304)</f>
        <v>19.983600333333332</v>
      </c>
      <c r="C304">
        <f>-'R1'!H304</f>
        <v>-24</v>
      </c>
      <c r="D304">
        <f>DEGREES(ATAN(-SIN(RADIANS(('R1'!I304)))/(COS(RADIANS(Sheet1!C304))*COS(RADIANS('R1'!I304)))))</f>
        <v>-34.372309890771753</v>
      </c>
      <c r="E304">
        <f>AVERAGE('R1'!J304,'R2'!J304,'R3'!J304)</f>
        <v>1.1675</v>
      </c>
      <c r="F304">
        <f>AVERAGE('R1'!K304,'R2'!K304,'R3'!K304)</f>
        <v>5.8234094166666663</v>
      </c>
      <c r="G304">
        <f>AVERAGE('R1'!L304,'R2'!L304,'R3'!L304)</f>
        <v>-1.8442698209159136</v>
      </c>
      <c r="H304">
        <f>AVERAGE('R1'!M304,'R2'!M304,'R3'!M304)</f>
        <v>1.7373546476351756</v>
      </c>
      <c r="I304">
        <f>AVERAGE('R1'!N304,'R2'!N304,'R3'!N304)</f>
        <v>-1.1434280681505287</v>
      </c>
      <c r="J304">
        <f>AVERAGE('R1'!O304,'R2'!O304,'R3'!O304)</f>
        <v>-0.70249451904192284</v>
      </c>
      <c r="K304">
        <f t="shared" si="8"/>
        <v>1133.1384156597221</v>
      </c>
      <c r="M304">
        <f>_xlfn.STDEV.S('R1'!L304,'R2'!L304,'R3'!L304)</f>
        <v>1.5393808484782941E-2</v>
      </c>
      <c r="N304">
        <f>_xlfn.STDEV.S('R1'!M304,'R2'!M304,'R3'!M304)</f>
        <v>1.8468911679446531E-2</v>
      </c>
      <c r="O304">
        <f>_xlfn.STDEV.S('R1'!N304,'R2'!N304,'R3'!N304)</f>
        <v>1.7852926916764093E-2</v>
      </c>
      <c r="P304">
        <f>_xlfn.STDEV.S('R1'!O304,'R2'!O304,'R3'!O304)</f>
        <v>9.7526642390476075E-3</v>
      </c>
    </row>
    <row r="305" spans="1:16" x14ac:dyDescent="0.25">
      <c r="A305">
        <f>AVERAGE('R1'!F305,'R2'!F305,'R3'!F305)</f>
        <v>0.12996433333333332</v>
      </c>
      <c r="B305">
        <f>AVERAGE('R1'!G305,'R2'!G305,'R3'!G305)</f>
        <v>20.130002666666666</v>
      </c>
      <c r="C305">
        <f>-'R1'!H305</f>
        <v>-24</v>
      </c>
      <c r="D305">
        <f>DEGREES(ATAN(-SIN(RADIANS(('R1'!I305)))/(COS(RADIANS(Sheet1!C305))*COS(RADIANS('R1'!I305)))))</f>
        <v>-38.495223358359183</v>
      </c>
      <c r="E305">
        <f>AVERAGE('R1'!J305,'R2'!J305,'R3'!J305)</f>
        <v>1.17</v>
      </c>
      <c r="F305">
        <f>AVERAGE('R1'!K305,'R2'!K305,'R3'!K305)</f>
        <v>5.8371420833333332</v>
      </c>
      <c r="G305">
        <f>AVERAGE('R1'!L305,'R2'!L305,'R3'!L305)</f>
        <v>-2.0864284886269009</v>
      </c>
      <c r="H305">
        <f>AVERAGE('R1'!M305,'R2'!M305,'R3'!M305)</f>
        <v>1.88824905802079</v>
      </c>
      <c r="I305">
        <f>AVERAGE('R1'!N305,'R2'!N305,'R3'!N305)</f>
        <v>-1.4106787125661879</v>
      </c>
      <c r="J305">
        <f>AVERAGE('R1'!O305,'R2'!O305,'R3'!O305)</f>
        <v>-0.92566544093419134</v>
      </c>
      <c r="K305">
        <f t="shared" si="8"/>
        <v>1138.2427062500001</v>
      </c>
      <c r="M305">
        <f>_xlfn.STDEV.S('R1'!L305,'R2'!L305,'R3'!L305)</f>
        <v>2.0394983235118201E-2</v>
      </c>
      <c r="N305">
        <f>_xlfn.STDEV.S('R1'!M305,'R2'!M305,'R3'!M305)</f>
        <v>1.8743645591997558E-2</v>
      </c>
      <c r="O305">
        <f>_xlfn.STDEV.S('R1'!N305,'R2'!N305,'R3'!N305)</f>
        <v>1.3650676742579214E-2</v>
      </c>
      <c r="P305">
        <f>_xlfn.STDEV.S('R1'!O305,'R2'!O305,'R3'!O305)</f>
        <v>1.1803944932257627E-2</v>
      </c>
    </row>
    <row r="306" spans="1:16" x14ac:dyDescent="0.25">
      <c r="A306">
        <f>AVERAGE('R1'!F306,'R2'!F306,'R3'!F306)</f>
        <v>8.1237833333333329E-2</v>
      </c>
      <c r="B306">
        <f>AVERAGE('R1'!G306,'R2'!G306,'R3'!G306)</f>
        <v>19.8632095</v>
      </c>
      <c r="C306">
        <f>-'R1'!H306</f>
        <v>-28</v>
      </c>
      <c r="D306">
        <f>DEGREES(ATAN(-SIN(RADIANS(('R1'!I306)))/(COS(RADIANS(Sheet1!C306))*COS(RADIANS('R1'!I306)))))</f>
        <v>39.449608335498439</v>
      </c>
      <c r="E306">
        <f>AVERAGE('R1'!J306,'R2'!J306,'R3'!J306)</f>
        <v>1.1691666666666667</v>
      </c>
      <c r="F306">
        <f>AVERAGE('R1'!K306,'R2'!K306,'R3'!K306)</f>
        <v>5.8075798333333326</v>
      </c>
      <c r="G306">
        <f>AVERAGE('R1'!L306,'R2'!L306,'R3'!L306)</f>
        <v>2.0379863059222356</v>
      </c>
      <c r="H306">
        <f>AVERAGE('R1'!M306,'R2'!M306,'R3'!M306)</f>
        <v>1.9004470534138003</v>
      </c>
      <c r="I306">
        <f>AVERAGE('R1'!N306,'R2'!N306,'R3'!N306)</f>
        <v>-1.374261119450775</v>
      </c>
      <c r="J306">
        <f>AVERAGE('R1'!O306,'R2'!O306,'R3'!O306)</f>
        <v>-0.95775357510772807</v>
      </c>
      <c r="K306">
        <f t="shared" si="8"/>
        <v>1131.6714591898146</v>
      </c>
      <c r="M306">
        <f>_xlfn.STDEV.S('R1'!L306,'R2'!L306,'R3'!L306)</f>
        <v>2.3093047765218675E-2</v>
      </c>
      <c r="N306">
        <f>_xlfn.STDEV.S('R1'!M306,'R2'!M306,'R3'!M306)</f>
        <v>1.639371483053334E-2</v>
      </c>
      <c r="O306">
        <f>_xlfn.STDEV.S('R1'!N306,'R2'!N306,'R3'!N306)</f>
        <v>3.6586718798267935E-2</v>
      </c>
      <c r="P306">
        <f>_xlfn.STDEV.S('R1'!O306,'R2'!O306,'R3'!O306)</f>
        <v>5.3998608512642841E-3</v>
      </c>
    </row>
    <row r="307" spans="1:16" x14ac:dyDescent="0.25">
      <c r="A307">
        <f>AVERAGE('R1'!F307,'R2'!F307,'R3'!F307)</f>
        <v>0.11372216666666667</v>
      </c>
      <c r="B307">
        <f>AVERAGE('R1'!G307,'R2'!G307,'R3'!G307)</f>
        <v>19.849859166666668</v>
      </c>
      <c r="C307">
        <f>-'R1'!H307</f>
        <v>-28</v>
      </c>
      <c r="D307">
        <f>DEGREES(ATAN(-SIN(RADIANS(('R1'!I307)))/(COS(RADIANS(Sheet1!C307))*COS(RADIANS('R1'!I307)))))</f>
        <v>35.287360012327973</v>
      </c>
      <c r="E307">
        <f>AVERAGE('R1'!J307,'R2'!J307,'R3'!J307)</f>
        <v>1.1666666666666667</v>
      </c>
      <c r="F307">
        <f>AVERAGE('R1'!K307,'R2'!K307,'R3'!K307)</f>
        <v>5.8105806666666666</v>
      </c>
      <c r="G307">
        <f>AVERAGE('R1'!L307,'R2'!L307,'R3'!L307)</f>
        <v>1.8408633959835543</v>
      </c>
      <c r="H307">
        <f>AVERAGE('R1'!M307,'R2'!M307,'R3'!M307)</f>
        <v>1.8189883199107264</v>
      </c>
      <c r="I307">
        <f>AVERAGE('R1'!N307,'R2'!N307,'R3'!N307)</f>
        <v>-1.18146290552623</v>
      </c>
      <c r="J307">
        <f>AVERAGE('R1'!O307,'R2'!O307,'R3'!O307)</f>
        <v>-0.76787302228182985</v>
      </c>
      <c r="K307">
        <f t="shared" si="8"/>
        <v>1129.8351296296296</v>
      </c>
      <c r="M307">
        <f>_xlfn.STDEV.S('R1'!L307,'R2'!L307,'R3'!L307)</f>
        <v>4.6086003539934986E-3</v>
      </c>
      <c r="N307">
        <f>_xlfn.STDEV.S('R1'!M307,'R2'!M307,'R3'!M307)</f>
        <v>8.2475217522632351E-3</v>
      </c>
      <c r="O307">
        <f>_xlfn.STDEV.S('R1'!N307,'R2'!N307,'R3'!N307)</f>
        <v>1.4984068668635055E-2</v>
      </c>
      <c r="P307">
        <f>_xlfn.STDEV.S('R1'!O307,'R2'!O307,'R3'!O307)</f>
        <v>6.1782235425834262E-3</v>
      </c>
    </row>
    <row r="308" spans="1:16" x14ac:dyDescent="0.25">
      <c r="A308">
        <f>AVERAGE('R1'!F308,'R2'!F308,'R3'!F308)</f>
        <v>0.12996433333333332</v>
      </c>
      <c r="B308">
        <f>AVERAGE('R1'!G308,'R2'!G308,'R3'!G308)</f>
        <v>19.916900500000001</v>
      </c>
      <c r="C308">
        <f>-'R1'!H308</f>
        <v>-28</v>
      </c>
      <c r="D308">
        <f>DEGREES(ATAN(-SIN(RADIANS(('R1'!I308)))/(COS(RADIANS(Sheet1!C308))*COS(RADIANS('R1'!I308)))))</f>
        <v>31.056274317680661</v>
      </c>
      <c r="E308">
        <f>AVERAGE('R1'!J308,'R2'!J308,'R3'!J308)</f>
        <v>1.1658333333333333</v>
      </c>
      <c r="F308">
        <f>AVERAGE('R1'!K308,'R2'!K308,'R3'!K308)</f>
        <v>5.82147375</v>
      </c>
      <c r="G308">
        <f>AVERAGE('R1'!L308,'R2'!L308,'R3'!L308)</f>
        <v>1.6611039855657397</v>
      </c>
      <c r="H308">
        <f>AVERAGE('R1'!M308,'R2'!M308,'R3'!M308)</f>
        <v>1.7592676410567272</v>
      </c>
      <c r="I308">
        <f>AVERAGE('R1'!N308,'R2'!N308,'R3'!N308)</f>
        <v>-1.0271348415432715</v>
      </c>
      <c r="J308">
        <f>AVERAGE('R1'!O308,'R2'!O308,'R3'!O308)</f>
        <v>-0.60457062681412077</v>
      </c>
      <c r="K308">
        <f t="shared" si="8"/>
        <v>1131.1446911458333</v>
      </c>
      <c r="M308">
        <f>_xlfn.STDEV.S('R1'!L308,'R2'!L308,'R3'!L308)</f>
        <v>1.0181010785538555E-2</v>
      </c>
      <c r="N308">
        <f>_xlfn.STDEV.S('R1'!M308,'R2'!M308,'R3'!M308)</f>
        <v>1.542431911315021E-2</v>
      </c>
      <c r="O308">
        <f>_xlfn.STDEV.S('R1'!N308,'R2'!N308,'R3'!N308)</f>
        <v>2.424112813966333E-2</v>
      </c>
      <c r="P308">
        <f>_xlfn.STDEV.S('R1'!O308,'R2'!O308,'R3'!O308)</f>
        <v>4.4599852934982262E-3</v>
      </c>
    </row>
    <row r="309" spans="1:16" x14ac:dyDescent="0.25">
      <c r="A309">
        <f>AVERAGE('R1'!F309,'R2'!F309,'R3'!F309)</f>
        <v>0.11372216666666667</v>
      </c>
      <c r="B309">
        <f>AVERAGE('R1'!G309,'R2'!G309,'R3'!G309)</f>
        <v>19.636403833333333</v>
      </c>
      <c r="C309">
        <f>-'R1'!H309</f>
        <v>-28</v>
      </c>
      <c r="D309">
        <f>DEGREES(ATAN(-SIN(RADIANS(('R1'!I309)))/(COS(RADIANS(Sheet1!C309))*COS(RADIANS('R1'!I309)))))</f>
        <v>26.759647654377044</v>
      </c>
      <c r="E309">
        <f>AVERAGE('R1'!J309,'R2'!J309,'R3'!J309)</f>
        <v>1.1658333333333333</v>
      </c>
      <c r="F309">
        <f>AVERAGE('R1'!K309,'R2'!K309,'R3'!K309)</f>
        <v>5.7846156666666664</v>
      </c>
      <c r="G309">
        <f>AVERAGE('R1'!L309,'R2'!L309,'R3'!L309)</f>
        <v>1.4743512981300153</v>
      </c>
      <c r="H309">
        <f>AVERAGE('R1'!M309,'R2'!M309,'R3'!M309)</f>
        <v>1.7281227184896475</v>
      </c>
      <c r="I309">
        <f>AVERAGE('R1'!N309,'R2'!N309,'R3'!N309)</f>
        <v>-0.89755858851381609</v>
      </c>
      <c r="J309">
        <f>AVERAGE('R1'!O309,'R2'!O309,'R3'!O309)</f>
        <v>-0.45593920060791343</v>
      </c>
      <c r="K309">
        <f t="shared" si="8"/>
        <v>1123.982960787037</v>
      </c>
      <c r="M309">
        <f>_xlfn.STDEV.S('R1'!L309,'R2'!L309,'R3'!L309)</f>
        <v>8.5286600049170307E-3</v>
      </c>
      <c r="N309">
        <f>_xlfn.STDEV.S('R1'!M309,'R2'!M309,'R3'!M309)</f>
        <v>1.5321646552060874E-2</v>
      </c>
      <c r="O309">
        <f>_xlfn.STDEV.S('R1'!N309,'R2'!N309,'R3'!N309)</f>
        <v>2.4181843013380062E-2</v>
      </c>
      <c r="P309">
        <f>_xlfn.STDEV.S('R1'!O309,'R2'!O309,'R3'!O309)</f>
        <v>2.7811893406787152E-3</v>
      </c>
    </row>
    <row r="310" spans="1:16" x14ac:dyDescent="0.25">
      <c r="A310">
        <f>AVERAGE('R1'!F310,'R2'!F310,'R3'!F310)</f>
        <v>0.12996433333333332</v>
      </c>
      <c r="B310">
        <f>AVERAGE('R1'!G310,'R2'!G310,'R3'!G310)</f>
        <v>19.556356416666667</v>
      </c>
      <c r="C310">
        <f>-'R1'!H310</f>
        <v>-28</v>
      </c>
      <c r="D310">
        <f>DEGREES(ATAN(-SIN(RADIANS(('R1'!I310)))/(COS(RADIANS(Sheet1!C310))*COS(RADIANS('R1'!I310)))))</f>
        <v>22.402523646885253</v>
      </c>
      <c r="E310">
        <f>AVERAGE('R1'!J310,'R2'!J310,'R3'!J310)</f>
        <v>1.1683333333333332</v>
      </c>
      <c r="F310">
        <f>AVERAGE('R1'!K310,'R2'!K310,'R3'!K310)</f>
        <v>5.7648761666666672</v>
      </c>
      <c r="G310">
        <f>AVERAGE('R1'!L310,'R2'!L310,'R3'!L310)</f>
        <v>1.2622950248040987</v>
      </c>
      <c r="H310">
        <f>AVERAGE('R1'!M310,'R2'!M310,'R3'!M310)</f>
        <v>1.71118859409221</v>
      </c>
      <c r="I310">
        <f>AVERAGE('R1'!N310,'R2'!N310,'R3'!N310)</f>
        <v>-0.77660950506227255</v>
      </c>
      <c r="J310">
        <f>AVERAGE('R1'!O310,'R2'!O310,'R3'!O310)</f>
        <v>-0.32043837556638549</v>
      </c>
      <c r="K310">
        <f t="shared" si="8"/>
        <v>1122.5494980092592</v>
      </c>
      <c r="M310">
        <f>_xlfn.STDEV.S('R1'!L310,'R2'!L310,'R3'!L310)</f>
        <v>3.9877872030411781E-3</v>
      </c>
      <c r="N310">
        <f>_xlfn.STDEV.S('R1'!M310,'R2'!M310,'R3'!M310)</f>
        <v>1.0795658764297979E-2</v>
      </c>
      <c r="O310">
        <f>_xlfn.STDEV.S('R1'!N310,'R2'!N310,'R3'!N310)</f>
        <v>1.2497468102346523E-2</v>
      </c>
      <c r="P310">
        <f>_xlfn.STDEV.S('R1'!O310,'R2'!O310,'R3'!O310)</f>
        <v>3.4770703234970001E-3</v>
      </c>
    </row>
    <row r="311" spans="1:16" x14ac:dyDescent="0.25">
      <c r="A311">
        <f>AVERAGE('R1'!F311,'R2'!F311,'R3'!F311)</f>
        <v>0.12996433333333332</v>
      </c>
      <c r="B311">
        <f>AVERAGE('R1'!G311,'R2'!G311,'R3'!G311)</f>
        <v>19.742748666666667</v>
      </c>
      <c r="C311">
        <f>-'R1'!H311</f>
        <v>-28</v>
      </c>
      <c r="D311">
        <f>DEGREES(ATAN(-SIN(RADIANS(('R1'!I311)))/(COS(RADIANS(Sheet1!C311))*COS(RADIANS('R1'!I311)))))</f>
        <v>17.991683837765329</v>
      </c>
      <c r="E311">
        <f>AVERAGE('R1'!J311,'R2'!J311,'R3'!J311)</f>
        <v>1.1683333333333332</v>
      </c>
      <c r="F311">
        <f>AVERAGE('R1'!K311,'R2'!K311,'R3'!K311)</f>
        <v>5.792426250000001</v>
      </c>
      <c r="G311">
        <f>AVERAGE('R1'!L311,'R2'!L311,'R3'!L311)</f>
        <v>1.038841658973078</v>
      </c>
      <c r="H311">
        <f>AVERAGE('R1'!M311,'R2'!M311,'R3'!M311)</f>
        <v>1.7141389299610179</v>
      </c>
      <c r="I311">
        <f>AVERAGE('R1'!N311,'R2'!N311,'R3'!N311)</f>
        <v>-0.68388290936788243</v>
      </c>
      <c r="J311">
        <f>AVERAGE('R1'!O311,'R2'!O311,'R3'!O311)</f>
        <v>-0.21217332061913205</v>
      </c>
      <c r="K311">
        <f t="shared" si="8"/>
        <v>1127.9141114583335</v>
      </c>
      <c r="M311">
        <f>_xlfn.STDEV.S('R1'!L311,'R2'!L311,'R3'!L311)</f>
        <v>7.5800715528574394E-3</v>
      </c>
      <c r="N311">
        <f>_xlfn.STDEV.S('R1'!M311,'R2'!M311,'R3'!M311)</f>
        <v>1.569703315669425E-2</v>
      </c>
      <c r="O311">
        <f>_xlfn.STDEV.S('R1'!N311,'R2'!N311,'R3'!N311)</f>
        <v>1.926628290415313E-2</v>
      </c>
      <c r="P311">
        <f>_xlfn.STDEV.S('R1'!O311,'R2'!O311,'R3'!O311)</f>
        <v>1.1040708333492177E-3</v>
      </c>
    </row>
    <row r="312" spans="1:16" x14ac:dyDescent="0.25">
      <c r="A312">
        <f>AVERAGE('R1'!F312,'R2'!F312,'R3'!F312)</f>
        <v>9.7479999999999997E-2</v>
      </c>
      <c r="B312">
        <f>AVERAGE('R1'!G312,'R2'!G312,'R3'!G312)</f>
        <v>19.690117666666666</v>
      </c>
      <c r="C312">
        <f>-'R1'!H312</f>
        <v>-28</v>
      </c>
      <c r="D312">
        <f>DEGREES(ATAN(-SIN(RADIANS(('R1'!I312)))/(COS(RADIANS(Sheet1!C312))*COS(RADIANS('R1'!I312)))))</f>
        <v>13.535556072482301</v>
      </c>
      <c r="E312">
        <f>AVERAGE('R1'!J312,'R2'!J312,'R3'!J312)</f>
        <v>1.1666666666666667</v>
      </c>
      <c r="F312">
        <f>AVERAGE('R1'!K312,'R2'!K312,'R3'!K312)</f>
        <v>5.793177</v>
      </c>
      <c r="G312">
        <f>AVERAGE('R1'!L312,'R2'!L312,'R3'!L312)</f>
        <v>0.82673081340709142</v>
      </c>
      <c r="H312">
        <f>AVERAGE('R1'!M312,'R2'!M312,'R3'!M312)</f>
        <v>1.7468221300986679</v>
      </c>
      <c r="I312">
        <f>AVERAGE('R1'!N312,'R2'!N312,'R3'!N312)</f>
        <v>-0.625054094332537</v>
      </c>
      <c r="J312">
        <f>AVERAGE('R1'!O312,'R2'!O312,'R3'!O312)</f>
        <v>-0.10897646186962136</v>
      </c>
      <c r="K312">
        <f t="shared" si="8"/>
        <v>1126.4510833333334</v>
      </c>
      <c r="M312">
        <f>_xlfn.STDEV.S('R1'!L312,'R2'!L312,'R3'!L312)</f>
        <v>2.5300128067472136E-3</v>
      </c>
      <c r="N312">
        <f>_xlfn.STDEV.S('R1'!M312,'R2'!M312,'R3'!M312)</f>
        <v>2.9217461065352344E-3</v>
      </c>
      <c r="O312">
        <f>_xlfn.STDEV.S('R1'!N312,'R2'!N312,'R3'!N312)</f>
        <v>1.5042761923668265E-2</v>
      </c>
      <c r="P312">
        <f>_xlfn.STDEV.S('R1'!O312,'R2'!O312,'R3'!O312)</f>
        <v>1.2316119474488384E-3</v>
      </c>
    </row>
    <row r="313" spans="1:16" x14ac:dyDescent="0.25">
      <c r="A313">
        <f>AVERAGE('R1'!F313,'R2'!F313,'R3'!F313)</f>
        <v>0.12996433333333332</v>
      </c>
      <c r="B313">
        <f>AVERAGE('R1'!G313,'R2'!G313,'R3'!G313)</f>
        <v>19.849821833333333</v>
      </c>
      <c r="C313">
        <f>-'R1'!H313</f>
        <v>-28</v>
      </c>
      <c r="D313">
        <f>DEGREES(ATAN(-SIN(RADIANS(('R1'!I313)))/(COS(RADIANS(Sheet1!C313))*COS(RADIANS('R1'!I313)))))</f>
        <v>9.0440332369115684</v>
      </c>
      <c r="E313">
        <f>AVERAGE('R1'!J313,'R2'!J313,'R3'!J313)</f>
        <v>1.1675</v>
      </c>
      <c r="F313">
        <f>AVERAGE('R1'!K313,'R2'!K313,'R3'!K313)</f>
        <v>5.8086625000000005</v>
      </c>
      <c r="G313">
        <f>AVERAGE('R1'!L313,'R2'!L313,'R3'!L313)</f>
        <v>0.60179701939636276</v>
      </c>
      <c r="H313">
        <f>AVERAGE('R1'!M313,'R2'!M313,'R3'!M313)</f>
        <v>1.7922341398776975</v>
      </c>
      <c r="I313">
        <f>AVERAGE('R1'!N313,'R2'!N313,'R3'!N313)</f>
        <v>-0.59065670169543172</v>
      </c>
      <c r="J313">
        <f>AVERAGE('R1'!O313,'R2'!O313,'R3'!O313)</f>
        <v>-3.8616732781977005E-2</v>
      </c>
      <c r="K313">
        <f t="shared" si="8"/>
        <v>1130.2689114583334</v>
      </c>
      <c r="M313">
        <f>_xlfn.STDEV.S('R1'!L313,'R2'!L313,'R3'!L313)</f>
        <v>4.2372881357848838E-3</v>
      </c>
      <c r="N313">
        <f>_xlfn.STDEV.S('R1'!M313,'R2'!M313,'R3'!M313)</f>
        <v>1.7453581736557301E-2</v>
      </c>
      <c r="O313">
        <f>_xlfn.STDEV.S('R1'!N313,'R2'!N313,'R3'!N313)</f>
        <v>2.1712269832245529E-2</v>
      </c>
      <c r="P313">
        <f>_xlfn.STDEV.S('R1'!O313,'R2'!O313,'R3'!O313)</f>
        <v>5.3533449939309509E-3</v>
      </c>
    </row>
    <row r="314" spans="1:16" x14ac:dyDescent="0.25">
      <c r="A314">
        <f>AVERAGE('R1'!F314,'R2'!F314,'R3'!F314)</f>
        <v>0.12996433333333332</v>
      </c>
      <c r="B314">
        <f>AVERAGE('R1'!G314,'R2'!G314,'R3'!G314)</f>
        <v>19.995791916666668</v>
      </c>
      <c r="C314">
        <f>-'R1'!H314</f>
        <v>-28</v>
      </c>
      <c r="D314">
        <f>DEGREES(ATAN(-SIN(RADIANS(('R1'!I314)))/(COS(RADIANS(Sheet1!C314))*COS(RADIANS('R1'!I314)))))</f>
        <v>4.5282031595057557</v>
      </c>
      <c r="E314">
        <f>AVERAGE('R1'!J314,'R2'!J314,'R3'!J314)</f>
        <v>1.1666666666666667</v>
      </c>
      <c r="F314">
        <f>AVERAGE('R1'!K314,'R2'!K314,'R3'!K314)</f>
        <v>5.8306817499999992</v>
      </c>
      <c r="G314">
        <f>AVERAGE('R1'!L314,'R2'!L314,'R3'!L314)</f>
        <v>0.3438965840714836</v>
      </c>
      <c r="H314">
        <f>AVERAGE('R1'!M314,'R2'!M314,'R3'!M314)</f>
        <v>1.8870339706197032</v>
      </c>
      <c r="I314">
        <f>AVERAGE('R1'!N314,'R2'!N314,'R3'!N314)</f>
        <v>-0.58978735864483078</v>
      </c>
      <c r="J314">
        <f>AVERAGE('R1'!O314,'R2'!O314,'R3'!O314)</f>
        <v>4.2962154887004354E-2</v>
      </c>
      <c r="K314">
        <f t="shared" si="8"/>
        <v>1133.743673611111</v>
      </c>
      <c r="M314">
        <f>_xlfn.STDEV.S('R1'!L314,'R2'!L314,'R3'!L314)</f>
        <v>6.9468039144034406E-3</v>
      </c>
      <c r="N314">
        <f>_xlfn.STDEV.S('R1'!M314,'R2'!M314,'R3'!M314)</f>
        <v>1.007212136328497E-2</v>
      </c>
      <c r="O314">
        <f>_xlfn.STDEV.S('R1'!N314,'R2'!N314,'R3'!N314)</f>
        <v>1.3122327435638096E-2</v>
      </c>
      <c r="P314">
        <f>_xlfn.STDEV.S('R1'!O314,'R2'!O314,'R3'!O314)</f>
        <v>6.4882234304939404E-3</v>
      </c>
    </row>
    <row r="315" spans="1:16" x14ac:dyDescent="0.25">
      <c r="A315">
        <f>AVERAGE('R1'!F315,'R2'!F315,'R3'!F315)</f>
        <v>9.7479999999999997E-2</v>
      </c>
      <c r="B315">
        <f>AVERAGE('R1'!G315,'R2'!G315,'R3'!G315)</f>
        <v>20.129956416666669</v>
      </c>
      <c r="C315">
        <f>-'R1'!H315</f>
        <v>-28</v>
      </c>
      <c r="D315">
        <f>DEGREES(ATAN(-SIN(RADIANS(('R1'!I315)))/(COS(RADIANS(Sheet1!C315))*COS(RADIANS('R1'!I315)))))</f>
        <v>0</v>
      </c>
      <c r="E315">
        <f>AVERAGE('R1'!J315,'R2'!J315,'R3'!J315)</f>
        <v>1.165</v>
      </c>
      <c r="F315">
        <f>AVERAGE('R1'!K315,'R2'!K315,'R3'!K315)</f>
        <v>5.8585552499999993</v>
      </c>
      <c r="G315">
        <f>AVERAGE('R1'!L315,'R2'!L315,'R3'!L315)</f>
        <v>5.7573674043459276E-2</v>
      </c>
      <c r="H315">
        <f>AVERAGE('R1'!M315,'R2'!M315,'R3'!M315)</f>
        <v>2.0163814783403105</v>
      </c>
      <c r="I315">
        <f>AVERAGE('R1'!N315,'R2'!N315,'R3'!N315)</f>
        <v>-0.61924914346097359</v>
      </c>
      <c r="J315">
        <f>AVERAGE('R1'!O315,'R2'!O315,'R3'!O315)</f>
        <v>0.1257352476981215</v>
      </c>
      <c r="K315">
        <f t="shared" si="8"/>
        <v>1137.5361443749998</v>
      </c>
      <c r="M315">
        <f>_xlfn.STDEV.S('R1'!L315,'R2'!L315,'R3'!L315)</f>
        <v>3.7643707972667604E-3</v>
      </c>
      <c r="N315">
        <f>_xlfn.STDEV.S('R1'!M315,'R2'!M315,'R3'!M315)</f>
        <v>1.7408753986433597E-2</v>
      </c>
      <c r="O315">
        <f>_xlfn.STDEV.S('R1'!N315,'R2'!N315,'R3'!N315)</f>
        <v>2.5334288227421349E-2</v>
      </c>
      <c r="P315">
        <f>_xlfn.STDEV.S('R1'!O315,'R2'!O315,'R3'!O315)</f>
        <v>2.8685045314392754E-3</v>
      </c>
    </row>
    <row r="316" spans="1:16" x14ac:dyDescent="0.25">
      <c r="A316">
        <f>AVERAGE('R1'!F316,'R2'!F316,'R3'!F316)</f>
        <v>0.12996433333333332</v>
      </c>
      <c r="B316">
        <f>AVERAGE('R1'!G316,'R2'!G316,'R3'!G316)</f>
        <v>20.315968333333334</v>
      </c>
      <c r="C316">
        <f>-'R1'!H316</f>
        <v>-28</v>
      </c>
      <c r="D316">
        <f>DEGREES(ATAN(-SIN(RADIANS(('R1'!I316)))/(COS(RADIANS(Sheet1!C316))*COS(RADIANS('R1'!I316)))))</f>
        <v>-4.5282031595057557</v>
      </c>
      <c r="E316">
        <f>AVERAGE('R1'!J316,'R2'!J316,'R3'!J316)</f>
        <v>1.1641666666666668</v>
      </c>
      <c r="F316">
        <f>AVERAGE('R1'!K316,'R2'!K316,'R3'!K316)</f>
        <v>5.8831273333333334</v>
      </c>
      <c r="G316">
        <f>AVERAGE('R1'!L316,'R2'!L316,'R3'!L316)</f>
        <v>-0.25296591645084293</v>
      </c>
      <c r="H316">
        <f>AVERAGE('R1'!M316,'R2'!M316,'R3'!M316)</f>
        <v>1.9472688219812058</v>
      </c>
      <c r="I316">
        <f>AVERAGE('R1'!N316,'R2'!N316,'R3'!N316)</f>
        <v>-0.61954221804155984</v>
      </c>
      <c r="J316">
        <f>AVERAGE('R1'!O316,'R2'!O316,'R3'!O316)</f>
        <v>5.9213881837738604E-2</v>
      </c>
      <c r="K316">
        <f t="shared" si="8"/>
        <v>1141.4901228703707</v>
      </c>
      <c r="M316">
        <f>_xlfn.STDEV.S('R1'!L316,'R2'!L316,'R3'!L316)</f>
        <v>8.0183660421257602E-3</v>
      </c>
      <c r="N316">
        <f>_xlfn.STDEV.S('R1'!M316,'R2'!M316,'R3'!M316)</f>
        <v>9.2225592475046921E-3</v>
      </c>
      <c r="O316">
        <f>_xlfn.STDEV.S('R1'!N316,'R2'!N316,'R3'!N316)</f>
        <v>1.7580346065681516E-2</v>
      </c>
      <c r="P316">
        <f>_xlfn.STDEV.S('R1'!O316,'R2'!O316,'R3'!O316)</f>
        <v>1.0007504577370915E-2</v>
      </c>
    </row>
    <row r="317" spans="1:16" x14ac:dyDescent="0.25">
      <c r="A317">
        <f>AVERAGE('R1'!F317,'R2'!F317,'R3'!F317)</f>
        <v>0.11372216666666667</v>
      </c>
      <c r="B317">
        <f>AVERAGE('R1'!G317,'R2'!G317,'R3'!G317)</f>
        <v>20.103294083333335</v>
      </c>
      <c r="C317">
        <f>-'R1'!H317</f>
        <v>-28</v>
      </c>
      <c r="D317">
        <f>DEGREES(ATAN(-SIN(RADIANS(('R1'!I317)))/(COS(RADIANS(Sheet1!C317))*COS(RADIANS('R1'!I317)))))</f>
        <v>-9.0440332369115684</v>
      </c>
      <c r="E317">
        <f>AVERAGE('R1'!J317,'R2'!J317,'R3'!J317)</f>
        <v>1.165</v>
      </c>
      <c r="F317">
        <f>AVERAGE('R1'!K317,'R2'!K317,'R3'!K317)</f>
        <v>5.8534777500000006</v>
      </c>
      <c r="G317">
        <f>AVERAGE('R1'!L317,'R2'!L317,'R3'!L317)</f>
        <v>-0.51163819421535284</v>
      </c>
      <c r="H317">
        <f>AVERAGE('R1'!M317,'R2'!M317,'R3'!M317)</f>
        <v>1.8456136414394511</v>
      </c>
      <c r="I317">
        <f>AVERAGE('R1'!N317,'R2'!N317,'R3'!N317)</f>
        <v>-0.61200178332083166</v>
      </c>
      <c r="J317">
        <f>AVERAGE('R1'!O317,'R2'!O317,'R3'!O317)</f>
        <v>-3.2494808170698677E-2</v>
      </c>
      <c r="K317">
        <f t="shared" si="8"/>
        <v>1136.5502631250001</v>
      </c>
      <c r="M317">
        <f>_xlfn.STDEV.S('R1'!L317,'R2'!L317,'R3'!L317)</f>
        <v>6.2219352839484859E-3</v>
      </c>
      <c r="N317">
        <f>_xlfn.STDEV.S('R1'!M317,'R2'!M317,'R3'!M317)</f>
        <v>8.6121705141004017E-3</v>
      </c>
      <c r="O317">
        <f>_xlfn.STDEV.S('R1'!N317,'R2'!N317,'R3'!N317)</f>
        <v>1.4053553532274275E-2</v>
      </c>
      <c r="P317">
        <f>_xlfn.STDEV.S('R1'!O317,'R2'!O317,'R3'!O317)</f>
        <v>5.4621856794230192E-3</v>
      </c>
    </row>
    <row r="318" spans="1:16" x14ac:dyDescent="0.25">
      <c r="A318">
        <f>AVERAGE('R1'!F318,'R2'!F318,'R3'!F318)</f>
        <v>0.11372216666666667</v>
      </c>
      <c r="B318">
        <f>AVERAGE('R1'!G318,'R2'!G318,'R3'!G318)</f>
        <v>19.796838000000005</v>
      </c>
      <c r="C318">
        <f>-'R1'!H318</f>
        <v>-28</v>
      </c>
      <c r="D318">
        <f>DEGREES(ATAN(-SIN(RADIANS(('R1'!I318)))/(COS(RADIANS(Sheet1!C318))*COS(RADIANS('R1'!I318)))))</f>
        <v>-13.535556072482301</v>
      </c>
      <c r="E318">
        <f>AVERAGE('R1'!J318,'R2'!J318,'R3'!J318)</f>
        <v>1.1666666666666667</v>
      </c>
      <c r="F318">
        <f>AVERAGE('R1'!K318,'R2'!K318,'R3'!K318)</f>
        <v>5.8053458333333339</v>
      </c>
      <c r="G318">
        <f>AVERAGE('R1'!L318,'R2'!L318,'R3'!L318)</f>
        <v>-0.7643727337083227</v>
      </c>
      <c r="H318">
        <f>AVERAGE('R1'!M318,'R2'!M318,'R3'!M318)</f>
        <v>1.7815588836290441</v>
      </c>
      <c r="I318">
        <f>AVERAGE('R1'!N318,'R2'!N318,'R3'!N318)</f>
        <v>-0.64361389000325553</v>
      </c>
      <c r="J318">
        <f>AVERAGE('R1'!O318,'R2'!O318,'R3'!O318)</f>
        <v>-0.13665905798589453</v>
      </c>
      <c r="K318">
        <f t="shared" si="8"/>
        <v>1128.8172453703708</v>
      </c>
      <c r="M318">
        <f>_xlfn.STDEV.S('R1'!L318,'R2'!L318,'R3'!L318)</f>
        <v>4.7321549905529423E-3</v>
      </c>
      <c r="N318">
        <f>_xlfn.STDEV.S('R1'!M318,'R2'!M318,'R3'!M318)</f>
        <v>1.4896528724317659E-2</v>
      </c>
      <c r="O318">
        <f>_xlfn.STDEV.S('R1'!N318,'R2'!N318,'R3'!N318)</f>
        <v>1.6117396526631991E-2</v>
      </c>
      <c r="P318">
        <f>_xlfn.STDEV.S('R1'!O318,'R2'!O318,'R3'!O318)</f>
        <v>6.1321171119513842E-3</v>
      </c>
    </row>
    <row r="319" spans="1:16" x14ac:dyDescent="0.25">
      <c r="A319">
        <f>AVERAGE('R1'!F319,'R2'!F319,'R3'!F319)</f>
        <v>0.12996433333333332</v>
      </c>
      <c r="B319">
        <f>AVERAGE('R1'!G319,'R2'!G319,'R3'!G319)</f>
        <v>19.676424666666666</v>
      </c>
      <c r="C319">
        <f>-'R1'!H319</f>
        <v>-28</v>
      </c>
      <c r="D319">
        <f>DEGREES(ATAN(-SIN(RADIANS(('R1'!I319)))/(COS(RADIANS(Sheet1!C319))*COS(RADIANS('R1'!I319)))))</f>
        <v>-17.991683837765329</v>
      </c>
      <c r="E319">
        <f>AVERAGE('R1'!J319,'R2'!J319,'R3'!J319)</f>
        <v>1.17</v>
      </c>
      <c r="F319">
        <f>AVERAGE('R1'!K319,'R2'!K319,'R3'!K319)</f>
        <v>5.7766089166666665</v>
      </c>
      <c r="G319">
        <f>AVERAGE('R1'!L319,'R2'!L319,'R3'!L319)</f>
        <v>-1.0046119665858992</v>
      </c>
      <c r="H319">
        <f>AVERAGE('R1'!M319,'R2'!M319,'R3'!M319)</f>
        <v>1.7438463661174826</v>
      </c>
      <c r="I319">
        <f>AVERAGE('R1'!N319,'R2'!N319,'R3'!N319)</f>
        <v>-0.70829252772163753</v>
      </c>
      <c r="J319">
        <f>AVERAGE('R1'!O319,'R2'!O319,'R3'!O319)</f>
        <v>-0.24532438884368371</v>
      </c>
      <c r="K319">
        <f t="shared" si="8"/>
        <v>1126.4387387499999</v>
      </c>
      <c r="M319">
        <f>_xlfn.STDEV.S('R1'!L319,'R2'!L319,'R3'!L319)</f>
        <v>9.9778794321055703E-3</v>
      </c>
      <c r="N319">
        <f>_xlfn.STDEV.S('R1'!M319,'R2'!M319,'R3'!M319)</f>
        <v>1.0442155137686706E-2</v>
      </c>
      <c r="O319">
        <f>_xlfn.STDEV.S('R1'!N319,'R2'!N319,'R3'!N319)</f>
        <v>2.0228554477364786E-2</v>
      </c>
      <c r="P319">
        <f>_xlfn.STDEV.S('R1'!O319,'R2'!O319,'R3'!O319)</f>
        <v>4.8770718685516639E-3</v>
      </c>
    </row>
    <row r="320" spans="1:16" x14ac:dyDescent="0.25">
      <c r="A320">
        <f>AVERAGE('R1'!F320,'R2'!F320,'R3'!F320)</f>
        <v>0.11372216666666667</v>
      </c>
      <c r="B320">
        <f>AVERAGE('R1'!G320,'R2'!G320,'R3'!G320)</f>
        <v>19.475981833333332</v>
      </c>
      <c r="C320">
        <f>-'R1'!H320</f>
        <v>-28</v>
      </c>
      <c r="D320">
        <f>DEGREES(ATAN(-SIN(RADIANS(('R1'!I320)))/(COS(RADIANS(Sheet1!C320))*COS(RADIANS('R1'!I320)))))</f>
        <v>-22.402523646885253</v>
      </c>
      <c r="E320">
        <f>AVERAGE('R1'!J320,'R2'!J320,'R3'!J320)</f>
        <v>1.17</v>
      </c>
      <c r="F320">
        <f>AVERAGE('R1'!K320,'R2'!K320,'R3'!K320)</f>
        <v>5.749530916666667</v>
      </c>
      <c r="G320">
        <f>AVERAGE('R1'!L320,'R2'!L320,'R3'!L320)</f>
        <v>-1.2333971370707635</v>
      </c>
      <c r="H320">
        <f>AVERAGE('R1'!M320,'R2'!M320,'R3'!M320)</f>
        <v>1.7391014536531582</v>
      </c>
      <c r="I320">
        <f>AVERAGE('R1'!N320,'R2'!N320,'R3'!N320)</f>
        <v>-0.81606308023594787</v>
      </c>
      <c r="J320">
        <f>AVERAGE('R1'!O320,'R2'!O320,'R3'!O320)</f>
        <v>-0.36153546091531324</v>
      </c>
      <c r="K320">
        <f t="shared" si="8"/>
        <v>1121.15852875</v>
      </c>
      <c r="M320">
        <f>_xlfn.STDEV.S('R1'!L320,'R2'!L320,'R3'!L320)</f>
        <v>1.4061465799206837E-2</v>
      </c>
      <c r="N320">
        <f>_xlfn.STDEV.S('R1'!M320,'R2'!M320,'R3'!M320)</f>
        <v>9.3421890407085657E-3</v>
      </c>
      <c r="O320">
        <f>_xlfn.STDEV.S('R1'!N320,'R2'!N320,'R3'!N320)</f>
        <v>1.568088495284584E-2</v>
      </c>
      <c r="P320">
        <f>_xlfn.STDEV.S('R1'!O320,'R2'!O320,'R3'!O320)</f>
        <v>6.2400431939592877E-3</v>
      </c>
    </row>
    <row r="321" spans="1:16" x14ac:dyDescent="0.25">
      <c r="A321">
        <f>AVERAGE('R1'!F321,'R2'!F321,'R3'!F321)</f>
        <v>0.11372216666666667</v>
      </c>
      <c r="B321">
        <f>AVERAGE('R1'!G321,'R2'!G321,'R3'!G321)</f>
        <v>19.423312499999998</v>
      </c>
      <c r="C321">
        <f>-'R1'!H321</f>
        <v>-28</v>
      </c>
      <c r="D321">
        <f>DEGREES(ATAN(-SIN(RADIANS(('R1'!I321)))/(COS(RADIANS(Sheet1!C321))*COS(RADIANS('R1'!I321)))))</f>
        <v>-26.759647654377044</v>
      </c>
      <c r="E321">
        <f>AVERAGE('R1'!J321,'R2'!J321,'R3'!J321)</f>
        <v>1.1691666666666667</v>
      </c>
      <c r="F321">
        <f>AVERAGE('R1'!K321,'R2'!K321,'R3'!K321)</f>
        <v>5.7441104166666674</v>
      </c>
      <c r="G321">
        <f>AVERAGE('R1'!L321,'R2'!L321,'R3'!L321)</f>
        <v>-1.4516221861608558</v>
      </c>
      <c r="H321">
        <f>AVERAGE('R1'!M321,'R2'!M321,'R3'!M321)</f>
        <v>1.7676097197956731</v>
      </c>
      <c r="I321">
        <f>AVERAGE('R1'!N321,'R2'!N321,'R3'!N321)</f>
        <v>-0.93686207766402008</v>
      </c>
      <c r="J321">
        <f>AVERAGE('R1'!O321,'R2'!O321,'R3'!O321)</f>
        <v>-0.49872131672241188</v>
      </c>
      <c r="K321">
        <f t="shared" si="8"/>
        <v>1119.3037381365741</v>
      </c>
      <c r="M321">
        <f>_xlfn.STDEV.S('R1'!L321,'R2'!L321,'R3'!L321)</f>
        <v>1.072742095328354E-2</v>
      </c>
      <c r="N321">
        <f>_xlfn.STDEV.S('R1'!M321,'R2'!M321,'R3'!M321)</f>
        <v>1.8961694305908095E-2</v>
      </c>
      <c r="O321">
        <f>_xlfn.STDEV.S('R1'!N321,'R2'!N321,'R3'!N321)</f>
        <v>1.9356908458389797E-2</v>
      </c>
      <c r="P321">
        <f>_xlfn.STDEV.S('R1'!O321,'R2'!O321,'R3'!O321)</f>
        <v>6.405278444705469E-3</v>
      </c>
    </row>
    <row r="322" spans="1:16" x14ac:dyDescent="0.25">
      <c r="A322">
        <f>AVERAGE('R1'!F322,'R2'!F322,'R3'!F322)</f>
        <v>8.1276833333333326E-2</v>
      </c>
      <c r="B322">
        <f>AVERAGE('R1'!G322,'R2'!G322,'R3'!G322)</f>
        <v>19.570055</v>
      </c>
      <c r="C322">
        <f>-'R1'!H322</f>
        <v>-28</v>
      </c>
      <c r="D322">
        <f>DEGREES(ATAN(-SIN(RADIANS(('R1'!I322)))/(COS(RADIANS(Sheet1!C322))*COS(RADIANS('R1'!I322)))))</f>
        <v>-31.056274317680661</v>
      </c>
      <c r="E322">
        <f>AVERAGE('R1'!J322,'R2'!J322,'R3'!J322)</f>
        <v>1.1666666666666667</v>
      </c>
      <c r="F322">
        <f>AVERAGE('R1'!K322,'R2'!K322,'R3'!K322)</f>
        <v>5.7778981666666667</v>
      </c>
      <c r="G322">
        <f>AVERAGE('R1'!L322,'R2'!L322,'R3'!L322)</f>
        <v>-1.6526822487420401</v>
      </c>
      <c r="H322">
        <f>AVERAGE('R1'!M322,'R2'!M322,'R3'!M322)</f>
        <v>1.8282619160189579</v>
      </c>
      <c r="I322">
        <f>AVERAGE('R1'!N322,'R2'!N322,'R3'!N322)</f>
        <v>-1.0836356640285489</v>
      </c>
      <c r="J322">
        <f>AVERAGE('R1'!O322,'R2'!O322,'R3'!O322)</f>
        <v>-0.65753127568920877</v>
      </c>
      <c r="K322">
        <f t="shared" si="8"/>
        <v>1123.4801990740741</v>
      </c>
      <c r="M322">
        <f>_xlfn.STDEV.S('R1'!L322,'R2'!L322,'R3'!L322)</f>
        <v>1.0491229771577982E-2</v>
      </c>
      <c r="N322">
        <f>_xlfn.STDEV.S('R1'!M322,'R2'!M322,'R3'!M322)</f>
        <v>9.3851509219179882E-3</v>
      </c>
      <c r="O322">
        <f>_xlfn.STDEV.S('R1'!N322,'R2'!N322,'R3'!N322)</f>
        <v>1.7995158550070247E-2</v>
      </c>
      <c r="P322">
        <f>_xlfn.STDEV.S('R1'!O322,'R2'!O322,'R3'!O322)</f>
        <v>1.3301647130616807E-2</v>
      </c>
    </row>
    <row r="323" spans="1:16" x14ac:dyDescent="0.25">
      <c r="A323">
        <f>AVERAGE('R1'!F323,'R2'!F323,'R3'!F323)</f>
        <v>0.11372216666666667</v>
      </c>
      <c r="B323">
        <f>AVERAGE('R1'!G323,'R2'!G323,'R3'!G323)</f>
        <v>19.555995499999998</v>
      </c>
      <c r="C323">
        <f>-'R1'!H323</f>
        <v>-28</v>
      </c>
      <c r="D323">
        <f>DEGREES(ATAN(-SIN(RADIANS(('R1'!I323)))/(COS(RADIANS(Sheet1!C323))*COS(RADIANS('R1'!I323)))))</f>
        <v>-35.287360012327973</v>
      </c>
      <c r="E323">
        <f>AVERAGE('R1'!J323,'R2'!J323,'R3'!J323)</f>
        <v>1.1675</v>
      </c>
      <c r="F323">
        <f>AVERAGE('R1'!K323,'R2'!K323,'R3'!K323)</f>
        <v>5.7693293333333324</v>
      </c>
      <c r="G323">
        <f>AVERAGE('R1'!L323,'R2'!L323,'R3'!L323)</f>
        <v>-1.8464962897872372</v>
      </c>
      <c r="H323">
        <f>AVERAGE('R1'!M323,'R2'!M323,'R3'!M323)</f>
        <v>1.9277961568709918</v>
      </c>
      <c r="I323">
        <f>AVERAGE('R1'!N323,'R2'!N323,'R3'!N323)</f>
        <v>-1.2691940557603443</v>
      </c>
      <c r="J323">
        <f>AVERAGE('R1'!O323,'R2'!O323,'R3'!O323)</f>
        <v>-0.83821959410636848</v>
      </c>
      <c r="K323">
        <f t="shared" ref="K323:K362" si="9">10^5*E323*F323*0.003/1.8</f>
        <v>1122.6153327777777</v>
      </c>
      <c r="M323">
        <f>_xlfn.STDEV.S('R1'!L323,'R2'!L323,'R3'!L323)</f>
        <v>1.7469277335134339E-2</v>
      </c>
      <c r="N323">
        <f>_xlfn.STDEV.S('R1'!M323,'R2'!M323,'R3'!M323)</f>
        <v>1.7264091140073094E-2</v>
      </c>
      <c r="O323">
        <f>_xlfn.STDEV.S('R1'!N323,'R2'!N323,'R3'!N323)</f>
        <v>2.6305131691322321E-2</v>
      </c>
      <c r="P323">
        <f>_xlfn.STDEV.S('R1'!O323,'R2'!O323,'R3'!O323)</f>
        <v>5.1431445308662109E-3</v>
      </c>
    </row>
    <row r="324" spans="1:16" x14ac:dyDescent="0.25">
      <c r="A324">
        <f>AVERAGE('R1'!F324,'R2'!F324,'R3'!F324)</f>
        <v>0.12996433333333332</v>
      </c>
      <c r="B324">
        <f>AVERAGE('R1'!G324,'R2'!G324,'R3'!G324)</f>
        <v>19.889117500000001</v>
      </c>
      <c r="C324">
        <f>-'R1'!H324</f>
        <v>-28</v>
      </c>
      <c r="D324">
        <f>DEGREES(ATAN(-SIN(RADIANS(('R1'!I324)))/(COS(RADIANS(Sheet1!C324))*COS(RADIANS('R1'!I324)))))</f>
        <v>-39.449608335498439</v>
      </c>
      <c r="E324">
        <f>AVERAGE('R1'!J324,'R2'!J324,'R3'!J324)</f>
        <v>1.1691666666666667</v>
      </c>
      <c r="F324">
        <f>AVERAGE('R1'!K324,'R2'!K324,'R3'!K324)</f>
        <v>5.8124569999999993</v>
      </c>
      <c r="G324">
        <f>AVERAGE('R1'!L324,'R2'!L324,'R3'!L324)</f>
        <v>-2.0711585387130658</v>
      </c>
      <c r="H324">
        <f>AVERAGE('R1'!M324,'R2'!M324,'R3'!M324)</f>
        <v>2.0555615652713399</v>
      </c>
      <c r="I324">
        <f>AVERAGE('R1'!N324,'R2'!N324,'R3'!N324)</f>
        <v>-1.5086591258912121</v>
      </c>
      <c r="J324">
        <f>AVERAGE('R1'!O324,'R2'!O324,'R3'!O324)</f>
        <v>-1.0488641019285163</v>
      </c>
      <c r="K324">
        <f t="shared" si="9"/>
        <v>1132.6218293055554</v>
      </c>
      <c r="M324">
        <f>_xlfn.STDEV.S('R1'!L324,'R2'!L324,'R3'!L324)</f>
        <v>8.3713530090405806E-3</v>
      </c>
      <c r="N324">
        <f>_xlfn.STDEV.S('R1'!M324,'R2'!M324,'R3'!M324)</f>
        <v>1.2405912224196037E-2</v>
      </c>
      <c r="O324">
        <f>_xlfn.STDEV.S('R1'!N324,'R2'!N324,'R3'!N324)</f>
        <v>1.338595111638625E-2</v>
      </c>
      <c r="P324">
        <f>_xlfn.STDEV.S('R1'!O324,'R2'!O324,'R3'!O324)</f>
        <v>7.3835069428297333E-3</v>
      </c>
    </row>
    <row r="325" spans="1:16" x14ac:dyDescent="0.25">
      <c r="A325">
        <f>AVERAGE('R1'!F325,'R2'!F325,'R3'!F325)</f>
        <v>0.11376116666666665</v>
      </c>
      <c r="B325">
        <f>AVERAGE('R1'!G325,'R2'!G325,'R3'!G325)</f>
        <v>19.916898750000001</v>
      </c>
      <c r="C325">
        <f>-'R1'!H325</f>
        <v>-32</v>
      </c>
      <c r="D325">
        <f>DEGREES(ATAN(-SIN(RADIANS(('R1'!I325)))/(COS(RADIANS(Sheet1!C325))*COS(RADIANS('R1'!I325)))))</f>
        <v>40.587432696870117</v>
      </c>
      <c r="E325">
        <f>AVERAGE('R1'!J325,'R2'!J325,'R3'!J325)</f>
        <v>1.1641666666666666</v>
      </c>
      <c r="F325">
        <f>AVERAGE('R1'!K325,'R2'!K325,'R3'!K325)</f>
        <v>5.8322293333333333</v>
      </c>
      <c r="G325">
        <f>AVERAGE('R1'!L325,'R2'!L325,'R3'!L325)</f>
        <v>2.0874749112994078</v>
      </c>
      <c r="H325">
        <f>AVERAGE('R1'!M325,'R2'!M325,'R3'!M325)</f>
        <v>2.1076101865928818</v>
      </c>
      <c r="I325">
        <f>AVERAGE('R1'!N325,'R2'!N325,'R3'!N325)</f>
        <v>-1.5475651359176623</v>
      </c>
      <c r="J325">
        <f>AVERAGE('R1'!O325,'R2'!O325,'R3'!O325)</f>
        <v>-1.1107127454992212</v>
      </c>
      <c r="K325">
        <f t="shared" si="9"/>
        <v>1131.6144970370369</v>
      </c>
      <c r="M325">
        <f>_xlfn.STDEV.S('R1'!L325,'R2'!L325,'R3'!L325)</f>
        <v>1.084859369786186E-2</v>
      </c>
      <c r="N325">
        <f>_xlfn.STDEV.S('R1'!M325,'R2'!M325,'R3'!M325)</f>
        <v>6.0466965333847832E-3</v>
      </c>
      <c r="O325">
        <f>_xlfn.STDEV.S('R1'!N325,'R2'!N325,'R3'!N325)</f>
        <v>1.6657235953306686E-2</v>
      </c>
      <c r="P325">
        <f>_xlfn.STDEV.S('R1'!O325,'R2'!O325,'R3'!O325)</f>
        <v>1.4451310608941134E-3</v>
      </c>
    </row>
    <row r="326" spans="1:16" x14ac:dyDescent="0.25">
      <c r="A326">
        <f>AVERAGE('R1'!F326,'R2'!F326,'R3'!F326)</f>
        <v>0.12996433333333332</v>
      </c>
      <c r="B326">
        <f>AVERAGE('R1'!G326,'R2'!G326,'R3'!G326)</f>
        <v>19.970260833333334</v>
      </c>
      <c r="C326">
        <f>-'R1'!H326</f>
        <v>-32</v>
      </c>
      <c r="D326">
        <f>DEGREES(ATAN(-SIN(RADIANS(('R1'!I326)))/(COS(RADIANS(Sheet1!C326))*COS(RADIANS('R1'!I326)))))</f>
        <v>36.383993076218225</v>
      </c>
      <c r="E326">
        <f>AVERAGE('R1'!J326,'R2'!J326,'R3'!J326)</f>
        <v>1.165</v>
      </c>
      <c r="F326">
        <f>AVERAGE('R1'!K326,'R2'!K326,'R3'!K326)</f>
        <v>5.835193583333333</v>
      </c>
      <c r="G326">
        <f>AVERAGE('R1'!L326,'R2'!L326,'R3'!L326)</f>
        <v>1.9154317759539194</v>
      </c>
      <c r="H326">
        <f>AVERAGE('R1'!M326,'R2'!M326,'R3'!M326)</f>
        <v>2.0479545581839509</v>
      </c>
      <c r="I326">
        <f>AVERAGE('R1'!N326,'R2'!N326,'R3'!N326)</f>
        <v>-1.3796222335062096</v>
      </c>
      <c r="J326">
        <f>AVERAGE('R1'!O326,'R2'!O326,'R3'!O326)</f>
        <v>-0.94028650102555078</v>
      </c>
      <c r="K326">
        <f t="shared" si="9"/>
        <v>1133.0000874305556</v>
      </c>
      <c r="M326">
        <f>_xlfn.STDEV.S('R1'!L326,'R2'!L326,'R3'!L326)</f>
        <v>1.1699072819862428E-2</v>
      </c>
      <c r="N326">
        <f>_xlfn.STDEV.S('R1'!M326,'R2'!M326,'R3'!M326)</f>
        <v>8.5541774211918189E-3</v>
      </c>
      <c r="O326">
        <f>_xlfn.STDEV.S('R1'!N326,'R2'!N326,'R3'!N326)</f>
        <v>1.7377719924031788E-2</v>
      </c>
      <c r="P326">
        <f>_xlfn.STDEV.S('R1'!O326,'R2'!O326,'R3'!O326)</f>
        <v>6.7562052995990647E-3</v>
      </c>
    </row>
    <row r="327" spans="1:16" x14ac:dyDescent="0.25">
      <c r="A327">
        <f>AVERAGE('R1'!F327,'R2'!F327,'R3'!F327)</f>
        <v>0.12996433333333332</v>
      </c>
      <c r="B327">
        <f>AVERAGE('R1'!G327,'R2'!G327,'R3'!G327)</f>
        <v>20.142903750000002</v>
      </c>
      <c r="C327">
        <f>-'R1'!H327</f>
        <v>-32</v>
      </c>
      <c r="D327">
        <f>DEGREES(ATAN(-SIN(RADIANS(('R1'!I327)))/(COS(RADIANS(Sheet1!C327))*COS(RADIANS('R1'!I327)))))</f>
        <v>32.086900972819144</v>
      </c>
      <c r="E327">
        <f>AVERAGE('R1'!J327,'R2'!J327,'R3'!J327)</f>
        <v>1.1675</v>
      </c>
      <c r="F327">
        <f>AVERAGE('R1'!K327,'R2'!K327,'R3'!K327)</f>
        <v>5.8532545833333343</v>
      </c>
      <c r="G327">
        <f>AVERAGE('R1'!L327,'R2'!L327,'R3'!L327)</f>
        <v>1.7336216725154179</v>
      </c>
      <c r="H327">
        <f>AVERAGE('R1'!M327,'R2'!M327,'R3'!M327)</f>
        <v>1.9938924864603227</v>
      </c>
      <c r="I327">
        <f>AVERAGE('R1'!N327,'R2'!N327,'R3'!N327)</f>
        <v>-1.232531568119527</v>
      </c>
      <c r="J327">
        <f>AVERAGE('R1'!O327,'R2'!O327,'R3'!O327)</f>
        <v>-0.77123048478384548</v>
      </c>
      <c r="K327">
        <f t="shared" si="9"/>
        <v>1138.9457876736112</v>
      </c>
      <c r="M327">
        <f>_xlfn.STDEV.S('R1'!L327,'R2'!L327,'R3'!L327)</f>
        <v>1.8309632244032363E-3</v>
      </c>
      <c r="N327">
        <f>_xlfn.STDEV.S('R1'!M327,'R2'!M327,'R3'!M327)</f>
        <v>4.5418476263181604E-3</v>
      </c>
      <c r="O327">
        <f>_xlfn.STDEV.S('R1'!N327,'R2'!N327,'R3'!N327)</f>
        <v>1.0944193723713783E-2</v>
      </c>
      <c r="P327">
        <f>_xlfn.STDEV.S('R1'!O327,'R2'!O327,'R3'!O327)</f>
        <v>3.023760647426565E-3</v>
      </c>
    </row>
    <row r="328" spans="1:16" x14ac:dyDescent="0.25">
      <c r="A328">
        <f>AVERAGE('R1'!F328,'R2'!F328,'R3'!F328)</f>
        <v>0.11372216666666667</v>
      </c>
      <c r="B328">
        <f>AVERAGE('R1'!G328,'R2'!G328,'R3'!G328)</f>
        <v>19.769784249999997</v>
      </c>
      <c r="C328">
        <f>-'R1'!H328</f>
        <v>-32</v>
      </c>
      <c r="D328">
        <f>DEGREES(ATAN(-SIN(RADIANS(('R1'!I328)))/(COS(RADIANS(Sheet1!C328))*COS(RADIANS('R1'!I328)))))</f>
        <v>27.699654729206667</v>
      </c>
      <c r="E328">
        <f>AVERAGE('R1'!J328,'R2'!J328,'R3'!J328)</f>
        <v>1.1691666666666667</v>
      </c>
      <c r="F328">
        <f>AVERAGE('R1'!K328,'R2'!K328,'R3'!K328)</f>
        <v>5.7945415000000002</v>
      </c>
      <c r="G328">
        <f>AVERAGE('R1'!L328,'R2'!L328,'R3'!L328)</f>
        <v>1.5491770344789613</v>
      </c>
      <c r="H328">
        <f>AVERAGE('R1'!M328,'R2'!M328,'R3'!M328)</f>
        <v>1.9836681665634479</v>
      </c>
      <c r="I328">
        <f>AVERAGE('R1'!N328,'R2'!N328,'R3'!N328)</f>
        <v>-1.1183988479562998</v>
      </c>
      <c r="J328">
        <f>AVERAGE('R1'!O328,'R2'!O328,'R3'!O328)</f>
        <v>-0.6304470048804357</v>
      </c>
      <c r="K328">
        <f t="shared" si="9"/>
        <v>1129.1307950694447</v>
      </c>
      <c r="M328">
        <f>_xlfn.STDEV.S('R1'!L328,'R2'!L328,'R3'!L328)</f>
        <v>5.2441910184245497E-3</v>
      </c>
      <c r="N328">
        <f>_xlfn.STDEV.S('R1'!M328,'R2'!M328,'R3'!M328)</f>
        <v>6.4232581494264541E-3</v>
      </c>
      <c r="O328">
        <f>_xlfn.STDEV.S('R1'!N328,'R2'!N328,'R3'!N328)</f>
        <v>1.8257264549778513E-2</v>
      </c>
      <c r="P328">
        <f>_xlfn.STDEV.S('R1'!O328,'R2'!O328,'R3'!O328)</f>
        <v>2.4319785055496499E-3</v>
      </c>
    </row>
    <row r="329" spans="1:16" x14ac:dyDescent="0.25">
      <c r="A329">
        <f>AVERAGE('R1'!F329,'R2'!F329,'R3'!F329)</f>
        <v>0.12996433333333332</v>
      </c>
      <c r="B329">
        <f>AVERAGE('R1'!G329,'R2'!G329,'R3'!G329)</f>
        <v>19.636027333333335</v>
      </c>
      <c r="C329">
        <f>-'R1'!H329</f>
        <v>-32</v>
      </c>
      <c r="D329">
        <f>DEGREES(ATAN(-SIN(RADIANS(('R1'!I329)))/(COS(RADIANS(Sheet1!C329))*COS(RADIANS('R1'!I329)))))</f>
        <v>23.228324501561271</v>
      </c>
      <c r="E329">
        <f>AVERAGE('R1'!J329,'R2'!J329,'R3'!J329)</f>
        <v>1.17</v>
      </c>
      <c r="F329">
        <f>AVERAGE('R1'!K329,'R2'!K329,'R3'!K329)</f>
        <v>5.768554166666668</v>
      </c>
      <c r="G329">
        <f>AVERAGE('R1'!L329,'R2'!L329,'R3'!L329)</f>
        <v>1.3423047062579669</v>
      </c>
      <c r="H329">
        <f>AVERAGE('R1'!M329,'R2'!M329,'R3'!M329)</f>
        <v>1.9747336860949243</v>
      </c>
      <c r="I329">
        <f>AVERAGE('R1'!N329,'R2'!N329,'R3'!N329)</f>
        <v>-1.011039151557978</v>
      </c>
      <c r="J329">
        <f>AVERAGE('R1'!O329,'R2'!O329,'R3'!O329)</f>
        <v>-0.5044835222362748</v>
      </c>
      <c r="K329">
        <f t="shared" si="9"/>
        <v>1124.8680625000002</v>
      </c>
      <c r="M329">
        <f>_xlfn.STDEV.S('R1'!L329,'R2'!L329,'R3'!L329)</f>
        <v>7.9916330123982107E-3</v>
      </c>
      <c r="N329">
        <f>_xlfn.STDEV.S('R1'!M329,'R2'!M329,'R3'!M329)</f>
        <v>1.2360151827864719E-2</v>
      </c>
      <c r="O329">
        <f>_xlfn.STDEV.S('R1'!N329,'R2'!N329,'R3'!N329)</f>
        <v>1.6659837320420701E-2</v>
      </c>
      <c r="P329">
        <f>_xlfn.STDEV.S('R1'!O329,'R2'!O329,'R3'!O329)</f>
        <v>2.8105353941123372E-3</v>
      </c>
    </row>
    <row r="330" spans="1:16" x14ac:dyDescent="0.25">
      <c r="A330">
        <f>AVERAGE('R1'!F330,'R2'!F330,'R3'!F330)</f>
        <v>0.12996433333333332</v>
      </c>
      <c r="B330">
        <f>AVERAGE('R1'!G330,'R2'!G330,'R3'!G330)</f>
        <v>19.530034666666666</v>
      </c>
      <c r="C330">
        <f>-'R1'!H330</f>
        <v>-32</v>
      </c>
      <c r="D330">
        <f>DEGREES(ATAN(-SIN(RADIANS(('R1'!I330)))/(COS(RADIANS(Sheet1!C330))*COS(RADIANS('R1'!I330)))))</f>
        <v>18.681627509923402</v>
      </c>
      <c r="E330">
        <f>AVERAGE('R1'!J330,'R2'!J330,'R3'!J330)</f>
        <v>1.1691666666666667</v>
      </c>
      <c r="F330">
        <f>AVERAGE('R1'!K330,'R2'!K330,'R3'!K330)</f>
        <v>5.7522638333333331</v>
      </c>
      <c r="G330">
        <f>AVERAGE('R1'!L330,'R2'!L330,'R3'!L330)</f>
        <v>1.1197054763999132</v>
      </c>
      <c r="H330">
        <f>AVERAGE('R1'!M330,'R2'!M330,'R3'!M330)</f>
        <v>1.9891239245662515</v>
      </c>
      <c r="I330">
        <f>AVERAGE('R1'!N330,'R2'!N330,'R3'!N330)</f>
        <v>-0.92093244312583133</v>
      </c>
      <c r="J330">
        <f>AVERAGE('R1'!O330,'R2'!O330,'R3'!O330)</f>
        <v>-0.39024050579308406</v>
      </c>
      <c r="K330">
        <f t="shared" si="9"/>
        <v>1120.8925219675925</v>
      </c>
      <c r="M330">
        <f>_xlfn.STDEV.S('R1'!L330,'R2'!L330,'R3'!L330)</f>
        <v>7.4993906962865396E-3</v>
      </c>
      <c r="N330">
        <f>_xlfn.STDEV.S('R1'!M330,'R2'!M330,'R3'!M330)</f>
        <v>9.4853372305573423E-3</v>
      </c>
      <c r="O330">
        <f>_xlfn.STDEV.S('R1'!N330,'R2'!N330,'R3'!N330)</f>
        <v>1.3992331992141088E-2</v>
      </c>
      <c r="P330">
        <f>_xlfn.STDEV.S('R1'!O330,'R2'!O330,'R3'!O330)</f>
        <v>3.5286539381076268E-3</v>
      </c>
    </row>
    <row r="331" spans="1:16" x14ac:dyDescent="0.25">
      <c r="A331">
        <f>AVERAGE('R1'!F331,'R2'!F331,'R3'!F331)</f>
        <v>9.7479999999999997E-2</v>
      </c>
      <c r="B331">
        <f>AVERAGE('R1'!G331,'R2'!G331,'R3'!G331)</f>
        <v>19.436304583333335</v>
      </c>
      <c r="C331">
        <f>-'R1'!H331</f>
        <v>-32</v>
      </c>
      <c r="D331">
        <f>DEGREES(ATAN(-SIN(RADIANS(('R1'!I331)))/(COS(RADIANS(Sheet1!C331))*COS(RADIANS('R1'!I331)))))</f>
        <v>14.070864136056453</v>
      </c>
      <c r="E331">
        <f>AVERAGE('R1'!J331,'R2'!J331,'R3'!J331)</f>
        <v>1.1658333333333333</v>
      </c>
      <c r="F331">
        <f>AVERAGE('R1'!K331,'R2'!K331,'R3'!K331)</f>
        <v>5.7505153333333325</v>
      </c>
      <c r="G331">
        <f>AVERAGE('R1'!L331,'R2'!L331,'R3'!L331)</f>
        <v>0.89051643908811251</v>
      </c>
      <c r="H331">
        <f>AVERAGE('R1'!M331,'R2'!M331,'R3'!M331)</f>
        <v>2.0359039302204378</v>
      </c>
      <c r="I331">
        <f>AVERAGE('R1'!N331,'R2'!N331,'R3'!N331)</f>
        <v>-0.87335411497908433</v>
      </c>
      <c r="J331">
        <f>AVERAGE('R1'!O331,'R2'!O331,'R3'!O331)</f>
        <v>-0.29339756137427897</v>
      </c>
      <c r="K331">
        <f t="shared" si="9"/>
        <v>1117.3570765740737</v>
      </c>
      <c r="M331">
        <f>_xlfn.STDEV.S('R1'!L331,'R2'!L331,'R3'!L331)</f>
        <v>5.5301676388011733E-3</v>
      </c>
      <c r="N331">
        <f>_xlfn.STDEV.S('R1'!M331,'R2'!M331,'R3'!M331)</f>
        <v>1.9255458122266946E-2</v>
      </c>
      <c r="O331">
        <f>_xlfn.STDEV.S('R1'!N331,'R2'!N331,'R3'!N331)</f>
        <v>2.2781349226174072E-2</v>
      </c>
      <c r="P331">
        <f>_xlfn.STDEV.S('R1'!O331,'R2'!O331,'R3'!O331)</f>
        <v>1.1122733641824577E-2</v>
      </c>
    </row>
    <row r="332" spans="1:16" x14ac:dyDescent="0.25">
      <c r="A332">
        <f>AVERAGE('R1'!F332,'R2'!F332,'R3'!F332)</f>
        <v>0.11372216666666667</v>
      </c>
      <c r="B332">
        <f>AVERAGE('R1'!G332,'R2'!G332,'R3'!G332)</f>
        <v>19.583395333333332</v>
      </c>
      <c r="C332">
        <f>-'R1'!H332</f>
        <v>-32</v>
      </c>
      <c r="D332">
        <f>DEGREES(ATAN(-SIN(RADIANS(('R1'!I332)))/(COS(RADIANS(Sheet1!C332))*COS(RADIANS('R1'!I332)))))</f>
        <v>9.4096915772201388</v>
      </c>
      <c r="E332">
        <f>AVERAGE('R1'!J332,'R2'!J332,'R3'!J332)</f>
        <v>1.1675</v>
      </c>
      <c r="F332">
        <f>AVERAGE('R1'!K332,'R2'!K332,'R3'!K332)</f>
        <v>5.7651172499999994</v>
      </c>
      <c r="G332">
        <f>AVERAGE('R1'!L332,'R2'!L332,'R3'!L332)</f>
        <v>0.65206047877374029</v>
      </c>
      <c r="H332">
        <f>AVERAGE('R1'!M332,'R2'!M332,'R3'!M332)</f>
        <v>2.1157979916361374</v>
      </c>
      <c r="I332">
        <f>AVERAGE('R1'!N332,'R2'!N332,'R3'!N332)</f>
        <v>-0.85804685061583186</v>
      </c>
      <c r="J332">
        <f>AVERAGE('R1'!O332,'R2'!O332,'R3'!O332)</f>
        <v>-0.21383252529971405</v>
      </c>
      <c r="K332">
        <f t="shared" si="9"/>
        <v>1121.7957315624999</v>
      </c>
      <c r="M332">
        <f>_xlfn.STDEV.S('R1'!L332,'R2'!L332,'R3'!L332)</f>
        <v>6.5250751769542947E-4</v>
      </c>
      <c r="N332">
        <f>_xlfn.STDEV.S('R1'!M332,'R2'!M332,'R3'!M332)</f>
        <v>1.6292354179735437E-2</v>
      </c>
      <c r="O332">
        <f>_xlfn.STDEV.S('R1'!N332,'R2'!N332,'R3'!N332)</f>
        <v>1.400880038984462E-2</v>
      </c>
      <c r="P332">
        <f>_xlfn.STDEV.S('R1'!O332,'R2'!O332,'R3'!O332)</f>
        <v>1.0852543207318622E-3</v>
      </c>
    </row>
    <row r="333" spans="1:16" x14ac:dyDescent="0.25">
      <c r="A333">
        <f>AVERAGE('R1'!F333,'R2'!F333,'R3'!F333)</f>
        <v>8.1237833333333329E-2</v>
      </c>
      <c r="B333">
        <f>AVERAGE('R1'!G333,'R2'!G333,'R3'!G333)</f>
        <v>19.316258916666666</v>
      </c>
      <c r="C333">
        <f>-'R1'!H333</f>
        <v>-32</v>
      </c>
      <c r="D333">
        <f>DEGREES(ATAN(-SIN(RADIANS(('R1'!I333)))/(COS(RADIANS(Sheet1!C333))*COS(RADIANS('R1'!I333)))))</f>
        <v>4.7137278648813155</v>
      </c>
      <c r="E333">
        <f>AVERAGE('R1'!J333,'R2'!J333,'R3'!J333)</f>
        <v>1.1658333333333333</v>
      </c>
      <c r="F333">
        <f>AVERAGE('R1'!K333,'R2'!K333,'R3'!K333)</f>
        <v>5.7366230833333338</v>
      </c>
      <c r="G333">
        <f>AVERAGE('R1'!L333,'R2'!L333,'R3'!L333)</f>
        <v>0.387658148689497</v>
      </c>
      <c r="H333">
        <f>AVERAGE('R1'!M333,'R2'!M333,'R3'!M333)</f>
        <v>2.2277660017505436</v>
      </c>
      <c r="I333">
        <f>AVERAGE('R1'!N333,'R2'!N333,'R3'!N333)</f>
        <v>-0.87864320952237707</v>
      </c>
      <c r="J333">
        <f>AVERAGE('R1'!O333,'R2'!O333,'R3'!O333)</f>
        <v>-0.14099730197943341</v>
      </c>
      <c r="K333">
        <f t="shared" si="9"/>
        <v>1114.6577352199074</v>
      </c>
      <c r="M333">
        <f>_xlfn.STDEV.S('R1'!L333,'R2'!L333,'R3'!L333)</f>
        <v>6.590084623803766E-3</v>
      </c>
      <c r="N333">
        <f>_xlfn.STDEV.S('R1'!M333,'R2'!M333,'R3'!M333)</f>
        <v>2.2405030686865987E-2</v>
      </c>
      <c r="O333">
        <f>_xlfn.STDEV.S('R1'!N333,'R2'!N333,'R3'!N333)</f>
        <v>1.4094354943344656E-2</v>
      </c>
      <c r="P333">
        <f>_xlfn.STDEV.S('R1'!O333,'R2'!O333,'R3'!O333)</f>
        <v>9.9925790326629918E-3</v>
      </c>
    </row>
    <row r="334" spans="1:16" x14ac:dyDescent="0.25">
      <c r="A334">
        <f>AVERAGE('R1'!F334,'R2'!F334,'R3'!F334)</f>
        <v>9.7518999999999981E-2</v>
      </c>
      <c r="B334">
        <f>AVERAGE('R1'!G334,'R2'!G334,'R3'!G334)</f>
        <v>19.302232333333333</v>
      </c>
      <c r="C334">
        <f>-'R1'!H334</f>
        <v>-32</v>
      </c>
      <c r="D334">
        <f>DEGREES(ATAN(-SIN(RADIANS(('R1'!I334)))/(COS(RADIANS(Sheet1!C334))*COS(RADIANS('R1'!I334)))))</f>
        <v>0</v>
      </c>
      <c r="E334">
        <f>AVERAGE('R1'!J334,'R2'!J334,'R3'!J334)</f>
        <v>1.1675</v>
      </c>
      <c r="F334">
        <f>AVERAGE('R1'!K334,'R2'!K334,'R3'!K334)</f>
        <v>5.730702</v>
      </c>
      <c r="G334">
        <f>AVERAGE('R1'!L334,'R2'!L334,'R3'!L334)</f>
        <v>8.0071340703846222E-2</v>
      </c>
      <c r="H334">
        <f>AVERAGE('R1'!M334,'R2'!M334,'R3'!M334)</f>
        <v>2.3973453236369795</v>
      </c>
      <c r="I334">
        <f>AVERAGE('R1'!N334,'R2'!N334,'R3'!N334)</f>
        <v>-0.93356486579291642</v>
      </c>
      <c r="J334">
        <f>AVERAGE('R1'!O334,'R2'!O334,'R3'!O334)</f>
        <v>-7.8860510054344246E-2</v>
      </c>
      <c r="K334">
        <f t="shared" si="9"/>
        <v>1115.0990975</v>
      </c>
      <c r="M334">
        <f>_xlfn.STDEV.S('R1'!L334,'R2'!L334,'R3'!L334)</f>
        <v>8.2827452488124821E-3</v>
      </c>
      <c r="N334">
        <f>_xlfn.STDEV.S('R1'!M334,'R2'!M334,'R3'!M334)</f>
        <v>1.0078651066539455E-2</v>
      </c>
      <c r="O334">
        <f>_xlfn.STDEV.S('R1'!N334,'R2'!N334,'R3'!N334)</f>
        <v>2.2754268594394091E-2</v>
      </c>
      <c r="P334">
        <f>_xlfn.STDEV.S('R1'!O334,'R2'!O334,'R3'!O334)</f>
        <v>9.436204843817915E-3</v>
      </c>
    </row>
    <row r="335" spans="1:16" x14ac:dyDescent="0.25">
      <c r="A335">
        <f>AVERAGE('R1'!F335,'R2'!F335,'R3'!F335)</f>
        <v>6.5034666666666671E-2</v>
      </c>
      <c r="B335">
        <f>AVERAGE('R1'!G335,'R2'!G335,'R3'!G335)</f>
        <v>19.462642666666667</v>
      </c>
      <c r="C335">
        <f>-'R1'!H335</f>
        <v>-32</v>
      </c>
      <c r="D335">
        <f>DEGREES(ATAN(-SIN(RADIANS(('R1'!I335)))/(COS(RADIANS(Sheet1!C335))*COS(RADIANS('R1'!I335)))))</f>
        <v>-4.7137278648813155</v>
      </c>
      <c r="E335">
        <f>AVERAGE('R1'!J335,'R2'!J335,'R3'!J335)</f>
        <v>1.1666666666666667</v>
      </c>
      <c r="F335">
        <f>AVERAGE('R1'!K335,'R2'!K335,'R3'!K335)</f>
        <v>5.7633345833333331</v>
      </c>
      <c r="G335">
        <f>AVERAGE('R1'!L335,'R2'!L335,'R3'!L335)</f>
        <v>-0.25911444371896936</v>
      </c>
      <c r="H335">
        <f>AVERAGE('R1'!M335,'R2'!M335,'R3'!M335)</f>
        <v>2.3025745983331944</v>
      </c>
      <c r="I335">
        <f>AVERAGE('R1'!N335,'R2'!N335,'R3'!N335)</f>
        <v>-0.90601608751652352</v>
      </c>
      <c r="J335">
        <f>AVERAGE('R1'!O335,'R2'!O335,'R3'!O335)</f>
        <v>-0.12932274677942823</v>
      </c>
      <c r="K335">
        <f t="shared" si="9"/>
        <v>1120.6483912037038</v>
      </c>
      <c r="M335">
        <f>_xlfn.STDEV.S('R1'!L335,'R2'!L335,'R3'!L335)</f>
        <v>9.9814129835436027E-3</v>
      </c>
      <c r="N335">
        <f>_xlfn.STDEV.S('R1'!M335,'R2'!M335,'R3'!M335)</f>
        <v>2.2331919394845412E-2</v>
      </c>
      <c r="O335">
        <f>_xlfn.STDEV.S('R1'!N335,'R2'!N335,'R3'!N335)</f>
        <v>2.598467874052849E-2</v>
      </c>
      <c r="P335">
        <f>_xlfn.STDEV.S('R1'!O335,'R2'!O335,'R3'!O335)</f>
        <v>3.507201709646406E-3</v>
      </c>
    </row>
    <row r="336" spans="1:16" x14ac:dyDescent="0.25">
      <c r="A336">
        <f>AVERAGE('R1'!F336,'R2'!F336,'R3'!F336)</f>
        <v>0.12996433333333332</v>
      </c>
      <c r="B336">
        <f>AVERAGE('R1'!G336,'R2'!G336,'R3'!G336)</f>
        <v>19.409272083333335</v>
      </c>
      <c r="C336">
        <f>-'R1'!H336</f>
        <v>-32</v>
      </c>
      <c r="D336">
        <f>DEGREES(ATAN(-SIN(RADIANS(('R1'!I336)))/(COS(RADIANS(Sheet1!C336))*COS(RADIANS('R1'!I336)))))</f>
        <v>-9.4096915772201388</v>
      </c>
      <c r="E336">
        <f>AVERAGE('R1'!J336,'R2'!J336,'R3'!J336)</f>
        <v>1.1666666666666667</v>
      </c>
      <c r="F336">
        <f>AVERAGE('R1'!K336,'R2'!K336,'R3'!K336)</f>
        <v>5.7466999166666666</v>
      </c>
      <c r="G336">
        <f>AVERAGE('R1'!L336,'R2'!L336,'R3'!L336)</f>
        <v>-0.54290671225902587</v>
      </c>
      <c r="H336">
        <f>AVERAGE('R1'!M336,'R2'!M336,'R3'!M336)</f>
        <v>2.187168671151523</v>
      </c>
      <c r="I336">
        <f>AVERAGE('R1'!N336,'R2'!N336,'R3'!N336)</f>
        <v>-0.89036720608109488</v>
      </c>
      <c r="J336">
        <f>AVERAGE('R1'!O336,'R2'!O336,'R3'!O336)</f>
        <v>-0.22663171980505181</v>
      </c>
      <c r="K336">
        <f t="shared" si="9"/>
        <v>1117.4138726851852</v>
      </c>
      <c r="M336">
        <f>_xlfn.STDEV.S('R1'!L336,'R2'!L336,'R3'!L336)</f>
        <v>1.0694376510616921E-2</v>
      </c>
      <c r="N336">
        <f>_xlfn.STDEV.S('R1'!M336,'R2'!M336,'R3'!M336)</f>
        <v>3.2475855972491301E-2</v>
      </c>
      <c r="O336">
        <f>_xlfn.STDEV.S('R1'!N336,'R2'!N336,'R3'!N336)</f>
        <v>3.3832620815494964E-2</v>
      </c>
      <c r="P336">
        <f>_xlfn.STDEV.S('R1'!O336,'R2'!O336,'R3'!O336)</f>
        <v>1.3531041496837846E-3</v>
      </c>
    </row>
    <row r="337" spans="1:16" x14ac:dyDescent="0.25">
      <c r="A337">
        <f>AVERAGE('R1'!F337,'R2'!F337,'R3'!F337)</f>
        <v>0.11372216666666667</v>
      </c>
      <c r="B337">
        <f>AVERAGE('R1'!G337,'R2'!G337,'R3'!G337)</f>
        <v>19.529678749999999</v>
      </c>
      <c r="C337">
        <f>-'R1'!H337</f>
        <v>-32</v>
      </c>
      <c r="D337">
        <f>DEGREES(ATAN(-SIN(RADIANS(('R1'!I337)))/(COS(RADIANS(Sheet1!C337))*COS(RADIANS('R1'!I337)))))</f>
        <v>-14.070864136056453</v>
      </c>
      <c r="E337">
        <f>AVERAGE('R1'!J337,'R2'!J337,'R3'!J337)</f>
        <v>1.165</v>
      </c>
      <c r="F337">
        <f>AVERAGE('R1'!K337,'R2'!K337,'R3'!K337)</f>
        <v>5.7718492499999998</v>
      </c>
      <c r="G337">
        <f>AVERAGE('R1'!L337,'R2'!L337,'R3'!L337)</f>
        <v>-0.80998290696151176</v>
      </c>
      <c r="H337">
        <f>AVERAGE('R1'!M337,'R2'!M337,'R3'!M337)</f>
        <v>2.0880295070137183</v>
      </c>
      <c r="I337">
        <f>AVERAGE('R1'!N337,'R2'!N337,'R3'!N337)</f>
        <v>-0.89904197001352504</v>
      </c>
      <c r="J337">
        <f>AVERAGE('R1'!O337,'R2'!O337,'R3'!O337)</f>
        <v>-0.32513406794889987</v>
      </c>
      <c r="K337">
        <f t="shared" si="9"/>
        <v>1120.700729375</v>
      </c>
      <c r="M337">
        <f>_xlfn.STDEV.S('R1'!L337,'R2'!L337,'R3'!L337)</f>
        <v>9.8205753684705056E-3</v>
      </c>
      <c r="N337">
        <f>_xlfn.STDEV.S('R1'!M337,'R2'!M337,'R3'!M337)</f>
        <v>2.2880769325104605E-2</v>
      </c>
      <c r="O337">
        <f>_xlfn.STDEV.S('R1'!N337,'R2'!N337,'R3'!N337)</f>
        <v>2.7010770549730737E-2</v>
      </c>
      <c r="P337">
        <f>_xlfn.STDEV.S('R1'!O337,'R2'!O337,'R3'!O337)</f>
        <v>8.3771069309103632E-3</v>
      </c>
    </row>
    <row r="338" spans="1:16" x14ac:dyDescent="0.25">
      <c r="A338">
        <f>AVERAGE('R1'!F338,'R2'!F338,'R3'!F338)</f>
        <v>0.12996433333333332</v>
      </c>
      <c r="B338">
        <f>AVERAGE('R1'!G338,'R2'!G338,'R3'!G338)</f>
        <v>19.996211500000001</v>
      </c>
      <c r="C338">
        <f>-'R1'!H338</f>
        <v>-32</v>
      </c>
      <c r="D338">
        <f>DEGREES(ATAN(-SIN(RADIANS(('R1'!I338)))/(COS(RADIANS(Sheet1!C338))*COS(RADIANS('R1'!I338)))))</f>
        <v>-18.681627509923402</v>
      </c>
      <c r="E338">
        <f>AVERAGE('R1'!J338,'R2'!J338,'R3'!J338)</f>
        <v>1.1641666666666668</v>
      </c>
      <c r="F338">
        <f>AVERAGE('R1'!K338,'R2'!K338,'R3'!K338)</f>
        <v>5.8403508333333329</v>
      </c>
      <c r="G338">
        <f>AVERAGE('R1'!L338,'R2'!L338,'R3'!L338)</f>
        <v>-1.0599417064964547</v>
      </c>
      <c r="H338">
        <f>AVERAGE('R1'!M338,'R2'!M338,'R3'!M338)</f>
        <v>2.0400867771817217</v>
      </c>
      <c r="I338">
        <f>AVERAGE('R1'!N338,'R2'!N338,'R3'!N338)</f>
        <v>-0.95977164823703631</v>
      </c>
      <c r="J338">
        <f>AVERAGE('R1'!O338,'R2'!O338,'R3'!O338)</f>
        <v>-0.42674499772396074</v>
      </c>
      <c r="K338">
        <f t="shared" si="9"/>
        <v>1133.1902936342594</v>
      </c>
      <c r="M338">
        <f>_xlfn.STDEV.S('R1'!L338,'R2'!L338,'R3'!L338)</f>
        <v>8.5022177505823145E-3</v>
      </c>
      <c r="N338">
        <f>_xlfn.STDEV.S('R1'!M338,'R2'!M338,'R3'!M338)</f>
        <v>1.3405396843598018E-2</v>
      </c>
      <c r="O338">
        <f>_xlfn.STDEV.S('R1'!N338,'R2'!N338,'R3'!N338)</f>
        <v>1.7067426417226604E-2</v>
      </c>
      <c r="P338">
        <f>_xlfn.STDEV.S('R1'!O338,'R2'!O338,'R3'!O338)</f>
        <v>4.0050344304347271E-3</v>
      </c>
    </row>
    <row r="339" spans="1:16" x14ac:dyDescent="0.25">
      <c r="A339">
        <f>AVERAGE('R1'!F339,'R2'!F339,'R3'!F339)</f>
        <v>0.12996433333333332</v>
      </c>
      <c r="B339">
        <f>AVERAGE('R1'!G339,'R2'!G339,'R3'!G339)</f>
        <v>20.276346583333332</v>
      </c>
      <c r="C339">
        <f>-'R1'!H339</f>
        <v>-32</v>
      </c>
      <c r="D339">
        <f>DEGREES(ATAN(-SIN(RADIANS(('R1'!I339)))/(COS(RADIANS(Sheet1!C339))*COS(RADIANS('R1'!I339)))))</f>
        <v>-23.228324501561271</v>
      </c>
      <c r="E339">
        <f>AVERAGE('R1'!J339,'R2'!J339,'R3'!J339)</f>
        <v>1.17</v>
      </c>
      <c r="F339">
        <f>AVERAGE('R1'!K339,'R2'!K339,'R3'!K339)</f>
        <v>5.8662579166666662</v>
      </c>
      <c r="G339">
        <f>AVERAGE('R1'!L339,'R2'!L339,'R3'!L339)</f>
        <v>-1.2945281551509638</v>
      </c>
      <c r="H339">
        <f>AVERAGE('R1'!M339,'R2'!M339,'R3'!M339)</f>
        <v>2.0117973311087791</v>
      </c>
      <c r="I339">
        <f>AVERAGE('R1'!N339,'R2'!N339,'R3'!N339)</f>
        <v>-1.0426743156165657</v>
      </c>
      <c r="J339">
        <f>AVERAGE('R1'!O339,'R2'!O339,'R3'!O339)</f>
        <v>-0.54666016416366892</v>
      </c>
      <c r="K339">
        <f t="shared" si="9"/>
        <v>1143.9202937499999</v>
      </c>
      <c r="M339">
        <f>_xlfn.STDEV.S('R1'!L339,'R2'!L339,'R3'!L339)</f>
        <v>1.4711771815857278E-2</v>
      </c>
      <c r="N339">
        <f>_xlfn.STDEV.S('R1'!M339,'R2'!M339,'R3'!M339)</f>
        <v>2.5563916668328981E-2</v>
      </c>
      <c r="O339">
        <f>_xlfn.STDEV.S('R1'!N339,'R2'!N339,'R3'!N339)</f>
        <v>3.1726346562893255E-2</v>
      </c>
      <c r="P339">
        <f>_xlfn.STDEV.S('R1'!O339,'R2'!O339,'R3'!O339)</f>
        <v>9.1142330186771304E-3</v>
      </c>
    </row>
    <row r="340" spans="1:16" x14ac:dyDescent="0.25">
      <c r="A340">
        <f>AVERAGE('R1'!F340,'R2'!F340,'R3'!F340)</f>
        <v>0.11372216666666667</v>
      </c>
      <c r="B340">
        <f>AVERAGE('R1'!G340,'R2'!G340,'R3'!G340)</f>
        <v>20.556854166666664</v>
      </c>
      <c r="C340">
        <f>-'R1'!H340</f>
        <v>-32</v>
      </c>
      <c r="D340">
        <f>DEGREES(ATAN(-SIN(RADIANS(('R1'!I340)))/(COS(RADIANS(Sheet1!C340))*COS(RADIANS('R1'!I340)))))</f>
        <v>-27.699654729206667</v>
      </c>
      <c r="E340">
        <f>AVERAGE('R1'!J340,'R2'!J340,'R3'!J340)</f>
        <v>1.1683333333333332</v>
      </c>
      <c r="F340">
        <f>AVERAGE('R1'!K340,'R2'!K340,'R3'!K340)</f>
        <v>5.9137158333333337</v>
      </c>
      <c r="G340">
        <f>AVERAGE('R1'!L340,'R2'!L340,'R3'!L340)</f>
        <v>-1.5111987192619865</v>
      </c>
      <c r="H340">
        <f>AVERAGE('R1'!M340,'R2'!M340,'R3'!M340)</f>
        <v>2.0303780603267412</v>
      </c>
      <c r="I340">
        <f>AVERAGE('R1'!N340,'R2'!N340,'R3'!N340)</f>
        <v>-1.1585364742915436</v>
      </c>
      <c r="J340">
        <f>AVERAGE('R1'!O340,'R2'!O340,'R3'!O340)</f>
        <v>-0.68603953004544194</v>
      </c>
      <c r="K340">
        <f t="shared" si="9"/>
        <v>1151.5318886574075</v>
      </c>
      <c r="M340">
        <f>_xlfn.STDEV.S('R1'!L340,'R2'!L340,'R3'!L340)</f>
        <v>1.2737584826748066E-2</v>
      </c>
      <c r="N340">
        <f>_xlfn.STDEV.S('R1'!M340,'R2'!M340,'R3'!M340)</f>
        <v>1.3536106778076987E-2</v>
      </c>
      <c r="O340">
        <f>_xlfn.STDEV.S('R1'!N340,'R2'!N340,'R3'!N340)</f>
        <v>2.3648980712557378E-2</v>
      </c>
      <c r="P340">
        <f>_xlfn.STDEV.S('R1'!O340,'R2'!O340,'R3'!O340)</f>
        <v>1.3944786220993868E-3</v>
      </c>
    </row>
    <row r="341" spans="1:16" x14ac:dyDescent="0.25">
      <c r="A341">
        <f>AVERAGE('R1'!F341,'R2'!F341,'R3'!F341)</f>
        <v>0.12996433333333332</v>
      </c>
      <c r="B341">
        <f>AVERAGE('R1'!G341,'R2'!G341,'R3'!G341)</f>
        <v>20.810312083333333</v>
      </c>
      <c r="C341">
        <f>-'R1'!H341</f>
        <v>-32</v>
      </c>
      <c r="D341">
        <f>DEGREES(ATAN(-SIN(RADIANS(('R1'!I341)))/(COS(RADIANS(Sheet1!C341))*COS(RADIANS('R1'!I341)))))</f>
        <v>-32.086900972819144</v>
      </c>
      <c r="E341">
        <f>AVERAGE('R1'!J341,'R2'!J341,'R3'!J341)</f>
        <v>1.165</v>
      </c>
      <c r="F341">
        <f>AVERAGE('R1'!K341,'R2'!K341,'R3'!K341)</f>
        <v>5.9564677500000007</v>
      </c>
      <c r="G341">
        <f>AVERAGE('R1'!L341,'R2'!L341,'R3'!L341)</f>
        <v>-1.7056201205424391</v>
      </c>
      <c r="H341">
        <f>AVERAGE('R1'!M341,'R2'!M341,'R3'!M341)</f>
        <v>2.0703978882895679</v>
      </c>
      <c r="I341">
        <f>AVERAGE('R1'!N341,'R2'!N341,'R3'!N341)</f>
        <v>-1.2898213782502777</v>
      </c>
      <c r="J341">
        <f>AVERAGE('R1'!O341,'R2'!O341,'R3'!O341)</f>
        <v>-0.83496834528060948</v>
      </c>
      <c r="K341">
        <f t="shared" si="9"/>
        <v>1156.5474881250002</v>
      </c>
      <c r="M341">
        <f>_xlfn.STDEV.S('R1'!L341,'R2'!L341,'R3'!L341)</f>
        <v>1.0394016966212168E-2</v>
      </c>
      <c r="N341">
        <f>_xlfn.STDEV.S('R1'!M341,'R2'!M341,'R3'!M341)</f>
        <v>1.430476929153574E-2</v>
      </c>
      <c r="O341">
        <f>_xlfn.STDEV.S('R1'!N341,'R2'!N341,'R3'!N341)</f>
        <v>1.9229936418962472E-2</v>
      </c>
      <c r="P341">
        <f>_xlfn.STDEV.S('R1'!O341,'R2'!O341,'R3'!O341)</f>
        <v>3.6242057976342877E-3</v>
      </c>
    </row>
    <row r="342" spans="1:16" x14ac:dyDescent="0.25">
      <c r="A342">
        <f>AVERAGE('R1'!F342,'R2'!F342,'R3'!F342)</f>
        <v>0.12996433333333332</v>
      </c>
      <c r="B342">
        <f>AVERAGE('R1'!G342,'R2'!G342,'R3'!G342)</f>
        <v>20.703583499999997</v>
      </c>
      <c r="C342">
        <f>-'R1'!H342</f>
        <v>-32</v>
      </c>
      <c r="D342">
        <f>DEGREES(ATAN(-SIN(RADIANS(('R1'!I342)))/(COS(RADIANS(Sheet1!C342))*COS(RADIANS('R1'!I342)))))</f>
        <v>-36.383993076218225</v>
      </c>
      <c r="E342">
        <f>AVERAGE('R1'!J342,'R2'!J342,'R3'!J342)</f>
        <v>1.1683333333333332</v>
      </c>
      <c r="F342">
        <f>AVERAGE('R1'!K342,'R2'!K342,'R3'!K342)</f>
        <v>5.9318646666666668</v>
      </c>
      <c r="G342">
        <f>AVERAGE('R1'!L342,'R2'!L342,'R3'!L342)</f>
        <v>-1.8966682195483973</v>
      </c>
      <c r="H342">
        <f>AVERAGE('R1'!M342,'R2'!M342,'R3'!M342)</f>
        <v>2.1440523532343314</v>
      </c>
      <c r="I342">
        <f>AVERAGE('R1'!N342,'R2'!N342,'R3'!N342)</f>
        <v>-1.4577704658973651</v>
      </c>
      <c r="J342">
        <f>AVERAGE('R1'!O342,'R2'!O342,'R3'!O342)</f>
        <v>-1.0049613755864373</v>
      </c>
      <c r="K342">
        <f t="shared" si="9"/>
        <v>1155.0658698148147</v>
      </c>
      <c r="M342">
        <f>_xlfn.STDEV.S('R1'!L342,'R2'!L342,'R3'!L342)</f>
        <v>7.8850902465657149E-3</v>
      </c>
      <c r="N342">
        <f>_xlfn.STDEV.S('R1'!M342,'R2'!M342,'R3'!M342)</f>
        <v>5.7235502146594803E-3</v>
      </c>
      <c r="O342">
        <f>_xlfn.STDEV.S('R1'!N342,'R2'!N342,'R3'!N342)</f>
        <v>1.5268408413396673E-2</v>
      </c>
      <c r="P342">
        <f>_xlfn.STDEV.S('R1'!O342,'R2'!O342,'R3'!O342)</f>
        <v>3.4226643836407162E-3</v>
      </c>
    </row>
    <row r="343" spans="1:16" x14ac:dyDescent="0.25">
      <c r="A343">
        <f>AVERAGE('R1'!F343,'R2'!F343,'R3'!F343)</f>
        <v>0.12996433333333332</v>
      </c>
      <c r="B343">
        <f>AVERAGE('R1'!G343,'R2'!G343,'R3'!G343)</f>
        <v>20.569808499999997</v>
      </c>
      <c r="C343">
        <f>-'R1'!H343</f>
        <v>-32</v>
      </c>
      <c r="D343">
        <f>DEGREES(ATAN(-SIN(RADIANS(('R1'!I343)))/(COS(RADIANS(Sheet1!C343))*COS(RADIANS('R1'!I343)))))</f>
        <v>-40.587432696870117</v>
      </c>
      <c r="E343">
        <f>AVERAGE('R1'!J343,'R2'!J343,'R3'!J343)</f>
        <v>1.1691666666666667</v>
      </c>
      <c r="F343">
        <f>AVERAGE('R1'!K343,'R2'!K343,'R3'!K343)</f>
        <v>5.9088197500000001</v>
      </c>
      <c r="G343">
        <f>AVERAGE('R1'!L343,'R2'!L343,'R3'!L343)</f>
        <v>-2.0984026476452784</v>
      </c>
      <c r="H343">
        <f>AVERAGE('R1'!M343,'R2'!M343,'R3'!M343)</f>
        <v>2.2535147121071621</v>
      </c>
      <c r="I343">
        <f>AVERAGE('R1'!N343,'R2'!N343,'R3'!N343)</f>
        <v>-1.6716159681283995</v>
      </c>
      <c r="J343">
        <f>AVERAGE('R1'!O343,'R2'!O343,'R3'!O343)</f>
        <v>-1.1958994948467763</v>
      </c>
      <c r="K343">
        <f t="shared" si="9"/>
        <v>1151.3991818402778</v>
      </c>
      <c r="M343">
        <f>_xlfn.STDEV.S('R1'!L343,'R2'!L343,'R3'!L343)</f>
        <v>9.6603400295317155E-3</v>
      </c>
      <c r="N343">
        <f>_xlfn.STDEV.S('R1'!M343,'R2'!M343,'R3'!M343)</f>
        <v>9.2192573407674852E-3</v>
      </c>
      <c r="O343">
        <f>_xlfn.STDEV.S('R1'!N343,'R2'!N343,'R3'!N343)</f>
        <v>1.5836092764045018E-2</v>
      </c>
      <c r="P343">
        <f>_xlfn.STDEV.S('R1'!O343,'R2'!O343,'R3'!O343)</f>
        <v>6.7122989725786645E-3</v>
      </c>
    </row>
    <row r="344" spans="1:16" x14ac:dyDescent="0.25">
      <c r="A344">
        <f>AVERAGE('R1'!F344,'R2'!F344,'R3'!F344)</f>
        <v>0.12996433333333332</v>
      </c>
      <c r="B344">
        <f>AVERAGE('R1'!G344,'R2'!G344,'R3'!G344)</f>
        <v>19.903195166666666</v>
      </c>
      <c r="C344">
        <f>-'R1'!H344</f>
        <v>-36</v>
      </c>
      <c r="D344">
        <f>DEGREES(ATAN(-SIN(RADIANS(('R1'!I344)))/(COS(RADIANS(Sheet1!C344))*COS(RADIANS('R1'!I344)))))</f>
        <v>41.925613925819086</v>
      </c>
      <c r="E344">
        <f>AVERAGE('R1'!J344,'R2'!J344,'R3'!J344)</f>
        <v>1.1675</v>
      </c>
      <c r="F344">
        <f>AVERAGE('R1'!K344,'R2'!K344,'R3'!K344)</f>
        <v>5.8151329999999994</v>
      </c>
      <c r="G344">
        <f>AVERAGE('R1'!L344,'R2'!L344,'R3'!L344)</f>
        <v>2.1970597372603113</v>
      </c>
      <c r="H344">
        <f>AVERAGE('R1'!M344,'R2'!M344,'R3'!M344)</f>
        <v>2.358433816682842</v>
      </c>
      <c r="I344">
        <f>AVERAGE('R1'!N344,'R2'!N344,'R3'!N344)</f>
        <v>-1.8123818004548102</v>
      </c>
      <c r="J344">
        <f>AVERAGE('R1'!O344,'R2'!O344,'R3'!O344)</f>
        <v>-1.2928772326026514</v>
      </c>
      <c r="K344">
        <f t="shared" si="9"/>
        <v>1131.5279629166666</v>
      </c>
      <c r="M344">
        <f>_xlfn.STDEV.S('R1'!L344,'R2'!L344,'R3'!L344)</f>
        <v>2.4221382337135458E-3</v>
      </c>
      <c r="N344">
        <f>_xlfn.STDEV.S('R1'!M344,'R2'!M344,'R3'!M344)</f>
        <v>5.9116494870296741E-3</v>
      </c>
      <c r="O344">
        <f>_xlfn.STDEV.S('R1'!N344,'R2'!N344,'R3'!N344)</f>
        <v>9.2796836983909895E-3</v>
      </c>
      <c r="P344">
        <f>_xlfn.STDEV.S('R1'!O344,'R2'!O344,'R3'!O344)</f>
        <v>7.0769823294920048E-3</v>
      </c>
    </row>
    <row r="345" spans="1:16" x14ac:dyDescent="0.25">
      <c r="A345">
        <f>AVERAGE('R1'!F345,'R2'!F345,'R3'!F345)</f>
        <v>0.11372216666666667</v>
      </c>
      <c r="B345">
        <f>AVERAGE('R1'!G345,'R2'!G345,'R3'!G345)</f>
        <v>19.342558499999999</v>
      </c>
      <c r="C345">
        <f>-'R1'!H345</f>
        <v>-36</v>
      </c>
      <c r="D345">
        <f>DEGREES(ATAN(-SIN(RADIANS(('R1'!I345)))/(COS(RADIANS(Sheet1!C345))*COS(RADIANS('R1'!I345)))))</f>
        <v>37.681815805789164</v>
      </c>
      <c r="E345">
        <f>AVERAGE('R1'!J345,'R2'!J345,'R3'!J345)</f>
        <v>1.1675</v>
      </c>
      <c r="F345">
        <f>AVERAGE('R1'!K345,'R2'!K345,'R3'!K345)</f>
        <v>5.7353544999999997</v>
      </c>
      <c r="G345">
        <f>AVERAGE('R1'!L345,'R2'!L345,'R3'!L345)</f>
        <v>2.0197611964143913</v>
      </c>
      <c r="H345">
        <f>AVERAGE('R1'!M345,'R2'!M345,'R3'!M345)</f>
        <v>2.3098349083233409</v>
      </c>
      <c r="I345">
        <f>AVERAGE('R1'!N345,'R2'!N345,'R3'!N345)</f>
        <v>-1.6499921482297288</v>
      </c>
      <c r="J345">
        <f>AVERAGE('R1'!O345,'R2'!O345,'R3'!O345)</f>
        <v>-1.1236320436437326</v>
      </c>
      <c r="K345">
        <f t="shared" si="9"/>
        <v>1116.0043964583333</v>
      </c>
      <c r="M345">
        <f>_xlfn.STDEV.S('R1'!L345,'R2'!L345,'R3'!L345)</f>
        <v>5.9784975518147382E-3</v>
      </c>
      <c r="N345">
        <f>_xlfn.STDEV.S('R1'!M345,'R2'!M345,'R3'!M345)</f>
        <v>8.3243060913899703E-3</v>
      </c>
      <c r="O345">
        <f>_xlfn.STDEV.S('R1'!N345,'R2'!N345,'R3'!N345)</f>
        <v>1.193851869266078E-2</v>
      </c>
      <c r="P345">
        <f>_xlfn.STDEV.S('R1'!O345,'R2'!O345,'R3'!O345)</f>
        <v>1.4784663545707145E-3</v>
      </c>
    </row>
    <row r="346" spans="1:16" x14ac:dyDescent="0.25">
      <c r="A346">
        <f>AVERAGE('R1'!F346,'R2'!F346,'R3'!F346)</f>
        <v>0.12996433333333332</v>
      </c>
      <c r="B346">
        <f>AVERAGE('R1'!G346,'R2'!G346,'R3'!G346)</f>
        <v>19.075768249999999</v>
      </c>
      <c r="C346">
        <f>-'R1'!H346</f>
        <v>-36</v>
      </c>
      <c r="D346">
        <f>DEGREES(ATAN(-SIN(RADIANS(('R1'!I346)))/(COS(RADIANS(Sheet1!C346))*COS(RADIANS('R1'!I346)))))</f>
        <v>33.314077817276932</v>
      </c>
      <c r="E346">
        <f>AVERAGE('R1'!J346,'R2'!J346,'R3'!J346)</f>
        <v>1.17</v>
      </c>
      <c r="F346">
        <f>AVERAGE('R1'!K346,'R2'!K346,'R3'!K346)</f>
        <v>5.6871120833333331</v>
      </c>
      <c r="G346">
        <f>AVERAGE('R1'!L346,'R2'!L346,'R3'!L346)</f>
        <v>1.8450142288043574</v>
      </c>
      <c r="H346">
        <f>AVERAGE('R1'!M346,'R2'!M346,'R3'!M346)</f>
        <v>2.2794346741818714</v>
      </c>
      <c r="I346">
        <f>AVERAGE('R1'!N346,'R2'!N346,'R3'!N346)</f>
        <v>-1.5160720498128966</v>
      </c>
      <c r="J346">
        <f>AVERAGE('R1'!O346,'R2'!O346,'R3'!O346)</f>
        <v>-0.97405343694319224</v>
      </c>
      <c r="K346">
        <f t="shared" si="9"/>
        <v>1108.9868562500001</v>
      </c>
      <c r="M346">
        <f>_xlfn.STDEV.S('R1'!L346,'R2'!L346,'R3'!L346)</f>
        <v>8.6976946596676492E-3</v>
      </c>
      <c r="N346">
        <f>_xlfn.STDEV.S('R1'!M346,'R2'!M346,'R3'!M346)</f>
        <v>6.2526830339541201E-3</v>
      </c>
      <c r="O346">
        <f>_xlfn.STDEV.S('R1'!N346,'R2'!N346,'R3'!N346)</f>
        <v>1.6698358552090439E-2</v>
      </c>
      <c r="P346">
        <f>_xlfn.STDEV.S('R1'!O346,'R2'!O346,'R3'!O346)</f>
        <v>3.2778834214696136E-3</v>
      </c>
    </row>
    <row r="347" spans="1:16" x14ac:dyDescent="0.25">
      <c r="A347">
        <f>AVERAGE('R1'!F347,'R2'!F347,'R3'!F347)</f>
        <v>0.12996433333333332</v>
      </c>
      <c r="B347">
        <f>AVERAGE('R1'!G347,'R2'!G347,'R3'!G347)</f>
        <v>18.849685500000003</v>
      </c>
      <c r="C347">
        <f>-'R1'!H347</f>
        <v>-36</v>
      </c>
      <c r="D347">
        <f>DEGREES(ATAN(-SIN(RADIANS(('R1'!I347)))/(COS(RADIANS(Sheet1!C347))*COS(RADIANS('R1'!I347)))))</f>
        <v>28.825436554649738</v>
      </c>
      <c r="E347">
        <f>AVERAGE('R1'!J347,'R2'!J347,'R3'!J347)</f>
        <v>1.1683333333333332</v>
      </c>
      <c r="F347">
        <f>AVERAGE('R1'!K347,'R2'!K347,'R3'!K347)</f>
        <v>5.6582137500000007</v>
      </c>
      <c r="G347">
        <f>AVERAGE('R1'!L347,'R2'!L347,'R3'!L347)</f>
        <v>1.6515732863339776</v>
      </c>
      <c r="H347">
        <f>AVERAGE('R1'!M347,'R2'!M347,'R3'!M347)</f>
        <v>2.2728499625224803</v>
      </c>
      <c r="I347">
        <f>AVERAGE('R1'!N347,'R2'!N347,'R3'!N347)</f>
        <v>-1.4055671687097988</v>
      </c>
      <c r="J347">
        <f>AVERAGE('R1'!O347,'R2'!O347,'R3'!O347)</f>
        <v>-0.8290176235665857</v>
      </c>
      <c r="K347">
        <f t="shared" si="9"/>
        <v>1101.7799552083334</v>
      </c>
      <c r="M347">
        <f>_xlfn.STDEV.S('R1'!L347,'R2'!L347,'R3'!L347)</f>
        <v>5.0278838205608306E-3</v>
      </c>
      <c r="N347">
        <f>_xlfn.STDEV.S('R1'!M347,'R2'!M347,'R3'!M347)</f>
        <v>8.8966528523208108E-3</v>
      </c>
      <c r="O347">
        <f>_xlfn.STDEV.S('R1'!N347,'R2'!N347,'R3'!N347)</f>
        <v>4.8564447580041643E-3</v>
      </c>
      <c r="P347">
        <f>_xlfn.STDEV.S('R1'!O347,'R2'!O347,'R3'!O347)</f>
        <v>6.2197781656513143E-3</v>
      </c>
    </row>
    <row r="348" spans="1:16" x14ac:dyDescent="0.25">
      <c r="A348">
        <f>AVERAGE('R1'!F348,'R2'!F348,'R3'!F348)</f>
        <v>0.12996433333333332</v>
      </c>
      <c r="B348">
        <f>AVERAGE('R1'!G348,'R2'!G348,'R3'!G348)</f>
        <v>18.943066999999999</v>
      </c>
      <c r="C348">
        <f>-'R1'!H348</f>
        <v>-36</v>
      </c>
      <c r="D348">
        <f>DEGREES(ATAN(-SIN(RADIANS(('R1'!I348)))/(COS(RADIANS(Sheet1!C348))*COS(RADIANS('R1'!I348)))))</f>
        <v>24.22259689172926</v>
      </c>
      <c r="E348">
        <f>AVERAGE('R1'!J348,'R2'!J348,'R3'!J348)</f>
        <v>1.17</v>
      </c>
      <c r="F348">
        <f>AVERAGE('R1'!K348,'R2'!K348,'R3'!K348)</f>
        <v>5.6691180000000001</v>
      </c>
      <c r="G348">
        <f>AVERAGE('R1'!L348,'R2'!L348,'R3'!L348)</f>
        <v>1.4474273302677407</v>
      </c>
      <c r="H348">
        <f>AVERAGE('R1'!M348,'R2'!M348,'R3'!M348)</f>
        <v>2.2879760994681395</v>
      </c>
      <c r="I348">
        <f>AVERAGE('R1'!N348,'R2'!N348,'R3'!N348)</f>
        <v>-1.3132732192222425</v>
      </c>
      <c r="J348">
        <f>AVERAGE('R1'!O348,'R2'!O348,'R3'!O348)</f>
        <v>-0.70844052709161709</v>
      </c>
      <c r="K348">
        <f t="shared" si="9"/>
        <v>1105.47801</v>
      </c>
      <c r="M348">
        <f>_xlfn.STDEV.S('R1'!L348,'R2'!L348,'R3'!L348)</f>
        <v>7.270319072696361E-3</v>
      </c>
      <c r="N348">
        <f>_xlfn.STDEV.S('R1'!M348,'R2'!M348,'R3'!M348)</f>
        <v>1.5923951014449021E-2</v>
      </c>
      <c r="O348">
        <f>_xlfn.STDEV.S('R1'!N348,'R2'!N348,'R3'!N348)</f>
        <v>1.7396890345553979E-2</v>
      </c>
      <c r="P348">
        <f>_xlfn.STDEV.S('R1'!O348,'R2'!O348,'R3'!O348)</f>
        <v>3.3441957521217133E-3</v>
      </c>
    </row>
    <row r="349" spans="1:16" x14ac:dyDescent="0.25">
      <c r="A349">
        <f>AVERAGE('R1'!F349,'R2'!F349,'R3'!F349)</f>
        <v>9.7479999999999997E-2</v>
      </c>
      <c r="B349">
        <f>AVERAGE('R1'!G349,'R2'!G349,'R3'!G349)</f>
        <v>19.062418333333333</v>
      </c>
      <c r="C349">
        <f>-'R1'!H349</f>
        <v>-36</v>
      </c>
      <c r="D349">
        <f>DEGREES(ATAN(-SIN(RADIANS(('R1'!I349)))/(COS(RADIANS(Sheet1!C349))*COS(RADIANS('R1'!I349)))))</f>
        <v>19.516199251096932</v>
      </c>
      <c r="E349">
        <f>AVERAGE('R1'!J349,'R2'!J349,'R3'!J349)</f>
        <v>1.1691666666666667</v>
      </c>
      <c r="F349">
        <f>AVERAGE('R1'!K349,'R2'!K349,'R3'!K349)</f>
        <v>5.6949855833333336</v>
      </c>
      <c r="G349">
        <f>AVERAGE('R1'!L349,'R2'!L349,'R3'!L349)</f>
        <v>1.2255617782151422</v>
      </c>
      <c r="H349">
        <f>AVERAGE('R1'!M349,'R2'!M349,'R3'!M349)</f>
        <v>2.3311511241425555</v>
      </c>
      <c r="I349">
        <f>AVERAGE('R1'!N349,'R2'!N349,'R3'!N349)</f>
        <v>-1.2453016797679479</v>
      </c>
      <c r="J349">
        <f>AVERAGE('R1'!O349,'R2'!O349,'R3'!O349)</f>
        <v>-0.60162922944713859</v>
      </c>
      <c r="K349">
        <f t="shared" si="9"/>
        <v>1109.7312185300927</v>
      </c>
      <c r="M349">
        <f>_xlfn.STDEV.S('R1'!L349,'R2'!L349,'R3'!L349)</f>
        <v>1.1894726445516883E-2</v>
      </c>
      <c r="N349">
        <f>_xlfn.STDEV.S('R1'!M349,'R2'!M349,'R3'!M349)</f>
        <v>1.619588348694186E-2</v>
      </c>
      <c r="O349">
        <f>_xlfn.STDEV.S('R1'!N349,'R2'!N349,'R3'!N349)</f>
        <v>2.1735694413564377E-2</v>
      </c>
      <c r="P349">
        <f>_xlfn.STDEV.S('R1'!O349,'R2'!O349,'R3'!O349)</f>
        <v>7.7479446074109407E-3</v>
      </c>
    </row>
    <row r="350" spans="1:16" x14ac:dyDescent="0.25">
      <c r="A350">
        <f>AVERAGE('R1'!F350,'R2'!F350,'R3'!F350)</f>
        <v>0.11372216666666667</v>
      </c>
      <c r="B350">
        <f>AVERAGE('R1'!G350,'R2'!G350,'R3'!G350)</f>
        <v>19.342911083333334</v>
      </c>
      <c r="C350">
        <f>-'R1'!H350</f>
        <v>-36</v>
      </c>
      <c r="D350">
        <f>DEGREES(ATAN(-SIN(RADIANS(('R1'!I350)))/(COS(RADIANS(Sheet1!C350))*COS(RADIANS('R1'!I350)))))</f>
        <v>14.720865361542916</v>
      </c>
      <c r="E350">
        <f>AVERAGE('R1'!J350,'R2'!J350,'R3'!J350)</f>
        <v>1.1691666666666667</v>
      </c>
      <c r="F350">
        <f>AVERAGE('R1'!K350,'R2'!K350,'R3'!K350)</f>
        <v>5.7344079166666662</v>
      </c>
      <c r="G350">
        <f>AVERAGE('R1'!L350,'R2'!L350,'R3'!L350)</f>
        <v>0.97924502398242208</v>
      </c>
      <c r="H350">
        <f>AVERAGE('R1'!M350,'R2'!M350,'R3'!M350)</f>
        <v>2.4074533130559637</v>
      </c>
      <c r="I350">
        <f>AVERAGE('R1'!N350,'R2'!N350,'R3'!N350)</f>
        <v>-1.2076778155290018</v>
      </c>
      <c r="J350">
        <f>AVERAGE('R1'!O350,'R2'!O350,'R3'!O350)</f>
        <v>-0.5061384419570496</v>
      </c>
      <c r="K350">
        <f t="shared" si="9"/>
        <v>1117.4130982060185</v>
      </c>
      <c r="M350">
        <f>_xlfn.STDEV.S('R1'!L350,'R2'!L350,'R3'!L350)</f>
        <v>1.1533679496089855E-2</v>
      </c>
      <c r="N350">
        <f>_xlfn.STDEV.S('R1'!M350,'R2'!M350,'R3'!M350)</f>
        <v>2.3918391566203755E-2</v>
      </c>
      <c r="O350">
        <f>_xlfn.STDEV.S('R1'!N350,'R2'!N350,'R3'!N350)</f>
        <v>2.8054776552275149E-2</v>
      </c>
      <c r="P350">
        <f>_xlfn.STDEV.S('R1'!O350,'R2'!O350,'R3'!O350)</f>
        <v>9.4516136661677696E-3</v>
      </c>
    </row>
    <row r="351" spans="1:16" x14ac:dyDescent="0.25">
      <c r="A351">
        <f>AVERAGE('R1'!F351,'R2'!F351,'R3'!F351)</f>
        <v>0.12996433333333332</v>
      </c>
      <c r="B351">
        <f>AVERAGE('R1'!G351,'R2'!G351,'R3'!G351)</f>
        <v>19.756817250000001</v>
      </c>
      <c r="C351">
        <f>-'R1'!H351</f>
        <v>-36</v>
      </c>
      <c r="D351">
        <f>DEGREES(ATAN(-SIN(RADIANS(('R1'!I351)))/(COS(RADIANS(Sheet1!C351))*COS(RADIANS('R1'!I351)))))</f>
        <v>9.8549609037615156</v>
      </c>
      <c r="E351">
        <f>AVERAGE('R1'!J351,'R2'!J351,'R3'!J351)</f>
        <v>1.1683333333333332</v>
      </c>
      <c r="F351">
        <f>AVERAGE('R1'!K351,'R2'!K351,'R3'!K351)</f>
        <v>5.7953519166666672</v>
      </c>
      <c r="G351">
        <f>AVERAGE('R1'!L351,'R2'!L351,'R3'!L351)</f>
        <v>0.71803491487856042</v>
      </c>
      <c r="H351">
        <f>AVERAGE('R1'!M351,'R2'!M351,'R3'!M351)</f>
        <v>2.5311756557125302</v>
      </c>
      <c r="I351">
        <f>AVERAGE('R1'!N351,'R2'!N351,'R3'!N351)</f>
        <v>-1.2119410874760774</v>
      </c>
      <c r="J351">
        <f>AVERAGE('R1'!O351,'R2'!O351,'R3'!O351)</f>
        <v>-0.43806889000131904</v>
      </c>
      <c r="K351">
        <f t="shared" si="9"/>
        <v>1128.4838037731481</v>
      </c>
      <c r="M351">
        <f>_xlfn.STDEV.S('R1'!L351,'R2'!L351,'R3'!L351)</f>
        <v>6.2406235904004384E-3</v>
      </c>
      <c r="N351">
        <f>_xlfn.STDEV.S('R1'!M351,'R2'!M351,'R3'!M351)</f>
        <v>1.9227037005702215E-2</v>
      </c>
      <c r="O351">
        <f>_xlfn.STDEV.S('R1'!N351,'R2'!N351,'R3'!N351)</f>
        <v>2.6488399537916041E-2</v>
      </c>
      <c r="P351">
        <f>_xlfn.STDEV.S('R1'!O351,'R2'!O351,'R3'!O351)</f>
        <v>7.8205345053253394E-3</v>
      </c>
    </row>
    <row r="352" spans="1:16" x14ac:dyDescent="0.25">
      <c r="A352">
        <f>AVERAGE('R1'!F352,'R2'!F352,'R3'!F352)</f>
        <v>0.12996433333333332</v>
      </c>
      <c r="B352">
        <f>AVERAGE('R1'!G352,'R2'!G352,'R3'!G352)</f>
        <v>20.1299685</v>
      </c>
      <c r="C352">
        <f>-'R1'!H352</f>
        <v>-36</v>
      </c>
      <c r="D352">
        <f>DEGREES(ATAN(-SIN(RADIANS(('R1'!I352)))/(COS(RADIANS(Sheet1!C352))*COS(RADIANS('R1'!I352)))))</f>
        <v>4.940042441862353</v>
      </c>
      <c r="E352">
        <f>AVERAGE('R1'!J352,'R2'!J352,'R3'!J352)</f>
        <v>1.1675</v>
      </c>
      <c r="F352">
        <f>AVERAGE('R1'!K352,'R2'!K352,'R3'!K352)</f>
        <v>5.8523330833333338</v>
      </c>
      <c r="G352">
        <f>AVERAGE('R1'!L352,'R2'!L352,'R3'!L352)</f>
        <v>0.43410433313520791</v>
      </c>
      <c r="H352">
        <f>AVERAGE('R1'!M352,'R2'!M352,'R3'!M352)</f>
        <v>2.706312808202608</v>
      </c>
      <c r="I352">
        <f>AVERAGE('R1'!N352,'R2'!N352,'R3'!N352)</f>
        <v>-1.2719393895737896</v>
      </c>
      <c r="J352">
        <f>AVERAGE('R1'!O352,'R2'!O352,'R3'!O352)</f>
        <v>-0.37482292686183638</v>
      </c>
      <c r="K352">
        <f t="shared" si="9"/>
        <v>1138.7664791319444</v>
      </c>
      <c r="M352">
        <f>_xlfn.STDEV.S('R1'!L352,'R2'!L352,'R3'!L352)</f>
        <v>9.6241952918035313E-3</v>
      </c>
      <c r="N352">
        <f>_xlfn.STDEV.S('R1'!M352,'R2'!M352,'R3'!M352)</f>
        <v>1.7403915808481614E-2</v>
      </c>
      <c r="O352">
        <f>_xlfn.STDEV.S('R1'!N352,'R2'!N352,'R3'!N352)</f>
        <v>1.994588133213929E-2</v>
      </c>
      <c r="P352">
        <f>_xlfn.STDEV.S('R1'!O352,'R2'!O352,'R3'!O352)</f>
        <v>9.2136483413288763E-3</v>
      </c>
    </row>
    <row r="353" spans="1:16" x14ac:dyDescent="0.25">
      <c r="A353">
        <f>AVERAGE('R1'!F353,'R2'!F353,'R3'!F353)</f>
        <v>0.12996433333333332</v>
      </c>
      <c r="B353">
        <f>AVERAGE('R1'!G353,'R2'!G353,'R3'!G353)</f>
        <v>20.422683916666667</v>
      </c>
      <c r="C353">
        <f>-'R1'!H353</f>
        <v>-36</v>
      </c>
      <c r="D353">
        <f>DEGREES(ATAN(-SIN(RADIANS(('R1'!I353)))/(COS(RADIANS(Sheet1!C353))*COS(RADIANS('R1'!I353)))))</f>
        <v>0</v>
      </c>
      <c r="E353">
        <f>AVERAGE('R1'!J353,'R2'!J353,'R3'!J353)</f>
        <v>1.1683333333333332</v>
      </c>
      <c r="F353">
        <f>AVERAGE('R1'!K353,'R2'!K353,'R3'!K353)</f>
        <v>5.8929978333333324</v>
      </c>
      <c r="G353">
        <f>AVERAGE('R1'!L353,'R2'!L353,'R3'!L353)</f>
        <v>0.10642314319071611</v>
      </c>
      <c r="H353">
        <f>AVERAGE('R1'!M353,'R2'!M353,'R3'!M353)</f>
        <v>2.9026812692415134</v>
      </c>
      <c r="I353">
        <f>AVERAGE('R1'!N353,'R2'!N353,'R3'!N353)</f>
        <v>-1.3519856087828768</v>
      </c>
      <c r="J353">
        <f>AVERAGE('R1'!O353,'R2'!O353,'R3'!O353)</f>
        <v>-0.32753456982612378</v>
      </c>
      <c r="K353">
        <f t="shared" si="9"/>
        <v>1147.4976336574071</v>
      </c>
      <c r="M353">
        <f>_xlfn.STDEV.S('R1'!L353,'R2'!L353,'R3'!L353)</f>
        <v>9.4711088069000327E-4</v>
      </c>
      <c r="N353">
        <f>_xlfn.STDEV.S('R1'!M353,'R2'!M353,'R3'!M353)</f>
        <v>2.8268625927994322E-2</v>
      </c>
      <c r="O353">
        <f>_xlfn.STDEV.S('R1'!N353,'R2'!N353,'R3'!N353)</f>
        <v>3.1276436874028299E-2</v>
      </c>
      <c r="P353">
        <f>_xlfn.STDEV.S('R1'!O353,'R2'!O353,'R3'!O353)</f>
        <v>1.5692638963050642E-3</v>
      </c>
    </row>
    <row r="354" spans="1:16" x14ac:dyDescent="0.25">
      <c r="A354">
        <f>AVERAGE('R1'!F354,'R2'!F354,'R3'!F354)</f>
        <v>0.11372216666666667</v>
      </c>
      <c r="B354">
        <f>AVERAGE('R1'!G354,'R2'!G354,'R3'!G354)</f>
        <v>20.769509416666665</v>
      </c>
      <c r="C354">
        <f>-'R1'!H354</f>
        <v>-36</v>
      </c>
      <c r="D354">
        <f>DEGREES(ATAN(-SIN(RADIANS(('R1'!I354)))/(COS(RADIANS(Sheet1!C354))*COS(RADIANS('R1'!I354)))))</f>
        <v>-4.940042441862353</v>
      </c>
      <c r="E354">
        <f>AVERAGE('R1'!J354,'R2'!J354,'R3'!J354)</f>
        <v>1.1666666666666667</v>
      </c>
      <c r="F354">
        <f>AVERAGE('R1'!K354,'R2'!K354,'R3'!K354)</f>
        <v>5.9497322500000003</v>
      </c>
      <c r="G354">
        <f>AVERAGE('R1'!L354,'R2'!L354,'R3'!L354)</f>
        <v>-0.26308430527973031</v>
      </c>
      <c r="H354">
        <f>AVERAGE('R1'!M354,'R2'!M354,'R3'!M354)</f>
        <v>2.8131485000167196</v>
      </c>
      <c r="I354">
        <f>AVERAGE('R1'!N354,'R2'!N354,'R3'!N354)</f>
        <v>-1.3192204945706116</v>
      </c>
      <c r="J354">
        <f>AVERAGE('R1'!O354,'R2'!O354,'R3'!O354)</f>
        <v>-0.37945608364783601</v>
      </c>
      <c r="K354">
        <f t="shared" si="9"/>
        <v>1156.8923819444444</v>
      </c>
      <c r="M354">
        <f>_xlfn.STDEV.S('R1'!L354,'R2'!L354,'R3'!L354)</f>
        <v>3.6874032426096274E-3</v>
      </c>
      <c r="N354">
        <f>_xlfn.STDEV.S('R1'!M354,'R2'!M354,'R3'!M354)</f>
        <v>1.9239493037548454E-2</v>
      </c>
      <c r="O354">
        <f>_xlfn.STDEV.S('R1'!N354,'R2'!N354,'R3'!N354)</f>
        <v>2.264737332457158E-2</v>
      </c>
      <c r="P354">
        <f>_xlfn.STDEV.S('R1'!O354,'R2'!O354,'R3'!O354)</f>
        <v>1.8239025152260763E-3</v>
      </c>
    </row>
    <row r="355" spans="1:16" x14ac:dyDescent="0.25">
      <c r="A355">
        <f>AVERAGE('R1'!F355,'R2'!F355,'R3'!F355)</f>
        <v>0.12996433333333332</v>
      </c>
      <c r="B355">
        <f>AVERAGE('R1'!G355,'R2'!G355,'R3'!G355)</f>
        <v>20.503494249999999</v>
      </c>
      <c r="C355">
        <f>-'R1'!H355</f>
        <v>-36</v>
      </c>
      <c r="D355">
        <f>DEGREES(ATAN(-SIN(RADIANS(('R1'!I355)))/(COS(RADIANS(Sheet1!C355))*COS(RADIANS('R1'!I355)))))</f>
        <v>-9.8549609037615156</v>
      </c>
      <c r="E355">
        <f>AVERAGE('R1'!J355,'R2'!J355,'R3'!J355)</f>
        <v>1.1675</v>
      </c>
      <c r="F355">
        <f>AVERAGE('R1'!K355,'R2'!K355,'R3'!K355)</f>
        <v>5.905278916666667</v>
      </c>
      <c r="G355">
        <f>AVERAGE('R1'!L355,'R2'!L355,'R3'!L355)</f>
        <v>-0.57652367488907663</v>
      </c>
      <c r="H355">
        <f>AVERAGE('R1'!M355,'R2'!M355,'R3'!M355)</f>
        <v>2.6329164035867052</v>
      </c>
      <c r="I355">
        <f>AVERAGE('R1'!N355,'R2'!N355,'R3'!N355)</f>
        <v>-1.2681973723906246</v>
      </c>
      <c r="J355">
        <f>AVERAGE('R1'!O355,'R2'!O355,'R3'!O355)</f>
        <v>-0.46171136947046665</v>
      </c>
      <c r="K355">
        <f t="shared" si="9"/>
        <v>1149.0688558680558</v>
      </c>
      <c r="M355">
        <f>_xlfn.STDEV.S('R1'!L355,'R2'!L355,'R3'!L355)</f>
        <v>4.3340033987045671E-3</v>
      </c>
      <c r="N355">
        <f>_xlfn.STDEV.S('R1'!M355,'R2'!M355,'R3'!M355)</f>
        <v>1.5552329400559561E-2</v>
      </c>
      <c r="O355">
        <f>_xlfn.STDEV.S('R1'!N355,'R2'!N355,'R3'!N355)</f>
        <v>1.8249560508262541E-2</v>
      </c>
      <c r="P355">
        <f>_xlfn.STDEV.S('R1'!O355,'R2'!O355,'R3'!O355)</f>
        <v>3.4701833068035677E-3</v>
      </c>
    </row>
    <row r="356" spans="1:16" x14ac:dyDescent="0.25">
      <c r="A356">
        <f>AVERAGE('R1'!F356,'R2'!F356,'R3'!F356)</f>
        <v>0.12996433333333332</v>
      </c>
      <c r="B356">
        <f>AVERAGE('R1'!G356,'R2'!G356,'R3'!G356)</f>
        <v>20.222995000000001</v>
      </c>
      <c r="C356">
        <f>-'R1'!H356</f>
        <v>-36</v>
      </c>
      <c r="D356">
        <f>DEGREES(ATAN(-SIN(RADIANS(('R1'!I356)))/(COS(RADIANS(Sheet1!C356))*COS(RADIANS('R1'!I356)))))</f>
        <v>-14.720865361542916</v>
      </c>
      <c r="E356">
        <f>AVERAGE('R1'!J356,'R2'!J356,'R3'!J356)</f>
        <v>1.1666666666666667</v>
      </c>
      <c r="F356">
        <f>AVERAGE('R1'!K356,'R2'!K356,'R3'!K356)</f>
        <v>5.8653605000000004</v>
      </c>
      <c r="G356">
        <f>AVERAGE('R1'!L356,'R2'!L356,'R3'!L356)</f>
        <v>-0.86601352432795042</v>
      </c>
      <c r="H356">
        <f>AVERAGE('R1'!M356,'R2'!M356,'R3'!M356)</f>
        <v>2.5091453783474367</v>
      </c>
      <c r="I356">
        <f>AVERAGE('R1'!N356,'R2'!N356,'R3'!N356)</f>
        <v>-1.2688511070214765</v>
      </c>
      <c r="J356">
        <f>AVERAGE('R1'!O356,'R2'!O356,'R3'!O356)</f>
        <v>-0.55734674684876795</v>
      </c>
      <c r="K356">
        <f t="shared" si="9"/>
        <v>1140.4867638888891</v>
      </c>
      <c r="M356">
        <f>_xlfn.STDEV.S('R1'!L356,'R2'!L356,'R3'!L356)</f>
        <v>1.0990306839548495E-2</v>
      </c>
      <c r="N356">
        <f>_xlfn.STDEV.S('R1'!M356,'R2'!M356,'R3'!M356)</f>
        <v>2.1752913619348255E-2</v>
      </c>
      <c r="O356">
        <f>_xlfn.STDEV.S('R1'!N356,'R2'!N356,'R3'!N356)</f>
        <v>1.9047533969659962E-2</v>
      </c>
      <c r="P356">
        <f>_xlfn.STDEV.S('R1'!O356,'R2'!O356,'R3'!O356)</f>
        <v>8.3645463762853766E-3</v>
      </c>
    </row>
    <row r="357" spans="1:16" x14ac:dyDescent="0.25">
      <c r="A357">
        <f>AVERAGE('R1'!F357,'R2'!F357,'R3'!F357)</f>
        <v>9.7479999999999997E-2</v>
      </c>
      <c r="B357">
        <f>AVERAGE('R1'!G357,'R2'!G357,'R3'!G357)</f>
        <v>20.129629166666671</v>
      </c>
      <c r="C357">
        <f>-'R1'!H357</f>
        <v>-36</v>
      </c>
      <c r="D357">
        <f>DEGREES(ATAN(-SIN(RADIANS(('R1'!I357)))/(COS(RADIANS(Sheet1!C357))*COS(RADIANS('R1'!I357)))))</f>
        <v>-19.516199251096932</v>
      </c>
      <c r="E357">
        <f>AVERAGE('R1'!J357,'R2'!J357,'R3'!J357)</f>
        <v>1.1691666666666667</v>
      </c>
      <c r="F357">
        <f>AVERAGE('R1'!K357,'R2'!K357,'R3'!K357)</f>
        <v>5.8475719999999995</v>
      </c>
      <c r="G357">
        <f>AVERAGE('R1'!L357,'R2'!L357,'R3'!L357)</f>
        <v>-1.1227277274487666</v>
      </c>
      <c r="H357">
        <f>AVERAGE('R1'!M357,'R2'!M357,'R3'!M357)</f>
        <v>2.4037054247927565</v>
      </c>
      <c r="I357">
        <f>AVERAGE('R1'!N357,'R2'!N357,'R3'!N357)</f>
        <v>-1.2869978106528299</v>
      </c>
      <c r="J357">
        <f>AVERAGE('R1'!O357,'R2'!O357,'R3'!O357)</f>
        <v>-0.65050965583577802</v>
      </c>
      <c r="K357">
        <f t="shared" si="9"/>
        <v>1139.4643772222223</v>
      </c>
      <c r="M357">
        <f>_xlfn.STDEV.S('R1'!L357,'R2'!L357,'R3'!L357)</f>
        <v>1.5298722250822612E-2</v>
      </c>
      <c r="N357">
        <f>_xlfn.STDEV.S('R1'!M357,'R2'!M357,'R3'!M357)</f>
        <v>1.7940145839961164E-2</v>
      </c>
      <c r="O357">
        <f>_xlfn.STDEV.S('R1'!N357,'R2'!N357,'R3'!N357)</f>
        <v>2.4820792361214931E-2</v>
      </c>
      <c r="P357">
        <f>_xlfn.STDEV.S('R1'!O357,'R2'!O357,'R3'!O357)</f>
        <v>7.5435188739601975E-3</v>
      </c>
    </row>
    <row r="358" spans="1:16" x14ac:dyDescent="0.25">
      <c r="A358">
        <f>AVERAGE('R1'!F358,'R2'!F358,'R3'!F358)</f>
        <v>8.1237833333333329E-2</v>
      </c>
      <c r="B358">
        <f>AVERAGE('R1'!G358,'R2'!G358,'R3'!G358)</f>
        <v>19.8228215</v>
      </c>
      <c r="C358">
        <f>-'R1'!H358</f>
        <v>-36</v>
      </c>
      <c r="D358">
        <f>DEGREES(ATAN(-SIN(RADIANS(('R1'!I358)))/(COS(RADIANS(Sheet1!C358))*COS(RADIANS('R1'!I358)))))</f>
        <v>-24.22259689172926</v>
      </c>
      <c r="E358">
        <f>AVERAGE('R1'!J358,'R2'!J358,'R3'!J358)</f>
        <v>1.1658333333333333</v>
      </c>
      <c r="F358">
        <f>AVERAGE('R1'!K358,'R2'!K358,'R3'!K358)</f>
        <v>5.8116501666666665</v>
      </c>
      <c r="G358">
        <f>AVERAGE('R1'!L358,'R2'!L358,'R3'!L358)</f>
        <v>-1.367076713326137</v>
      </c>
      <c r="H358">
        <f>AVERAGE('R1'!M358,'R2'!M358,'R3'!M358)</f>
        <v>2.3554470266604506</v>
      </c>
      <c r="I358">
        <f>AVERAGE('R1'!N358,'R2'!N358,'R3'!N358)</f>
        <v>-1.3646071399022741</v>
      </c>
      <c r="J358">
        <f>AVERAGE('R1'!O358,'R2'!O358,'R3'!O358)</f>
        <v>-0.7605608097459936</v>
      </c>
      <c r="K358">
        <f t="shared" si="9"/>
        <v>1129.2359143287035</v>
      </c>
      <c r="M358">
        <f>_xlfn.STDEV.S('R1'!L358,'R2'!L358,'R3'!L358)</f>
        <v>2.2455132721035855E-2</v>
      </c>
      <c r="N358">
        <f>_xlfn.STDEV.S('R1'!M358,'R2'!M358,'R3'!M358)</f>
        <v>1.9594989082933417E-2</v>
      </c>
      <c r="O358">
        <f>_xlfn.STDEV.S('R1'!N358,'R2'!N358,'R3'!N358)</f>
        <v>2.2900515855542078E-2</v>
      </c>
      <c r="P358">
        <f>_xlfn.STDEV.S('R1'!O358,'R2'!O358,'R3'!O358)</f>
        <v>1.6012316079676236E-2</v>
      </c>
    </row>
    <row r="359" spans="1:16" x14ac:dyDescent="0.25">
      <c r="A359">
        <f>AVERAGE('R1'!F359,'R2'!F359,'R3'!F359)</f>
        <v>0.12996433333333332</v>
      </c>
      <c r="B359">
        <f>AVERAGE('R1'!G359,'R2'!G359,'R3'!G359)</f>
        <v>19.569023749999999</v>
      </c>
      <c r="C359">
        <f>-'R1'!H359</f>
        <v>-36</v>
      </c>
      <c r="D359">
        <f>DEGREES(ATAN(-SIN(RADIANS(('R1'!I359)))/(COS(RADIANS(Sheet1!C359))*COS(RADIANS('R1'!I359)))))</f>
        <v>-28.825436554649738</v>
      </c>
      <c r="E359">
        <f>AVERAGE('R1'!J359,'R2'!J359,'R3'!J359)</f>
        <v>1.1691666666666667</v>
      </c>
      <c r="F359">
        <f>AVERAGE('R1'!K359,'R2'!K359,'R3'!K359)</f>
        <v>5.7569439999999998</v>
      </c>
      <c r="G359">
        <f>AVERAGE('R1'!L359,'R2'!L359,'R3'!L359)</f>
        <v>-1.5840169172205314</v>
      </c>
      <c r="H359">
        <f>AVERAGE('R1'!M359,'R2'!M359,'R3'!M359)</f>
        <v>2.3412261399731622</v>
      </c>
      <c r="I359">
        <f>AVERAGE('R1'!N359,'R2'!N359,'R3'!N359)</f>
        <v>-1.4622710847097684</v>
      </c>
      <c r="J359">
        <f>AVERAGE('R1'!O359,'R2'!O359,'R3'!O359)</f>
        <v>-0.89453635952806254</v>
      </c>
      <c r="K359">
        <f t="shared" si="9"/>
        <v>1121.8045044444445</v>
      </c>
      <c r="M359">
        <f>_xlfn.STDEV.S('R1'!L359,'R2'!L359,'R3'!L359)</f>
        <v>1.2924906526115398E-2</v>
      </c>
      <c r="N359">
        <f>_xlfn.STDEV.S('R1'!M359,'R2'!M359,'R3'!M359)</f>
        <v>1.3140932719117385E-2</v>
      </c>
      <c r="O359">
        <f>_xlfn.STDEV.S('R1'!N359,'R2'!N359,'R3'!N359)</f>
        <v>1.6230165507594822E-2</v>
      </c>
      <c r="P359">
        <f>_xlfn.STDEV.S('R1'!O359,'R2'!O359,'R3'!O359)</f>
        <v>6.3013425060463426E-3</v>
      </c>
    </row>
    <row r="360" spans="1:16" x14ac:dyDescent="0.25">
      <c r="A360">
        <f>AVERAGE('R1'!F360,'R2'!F360,'R3'!F360)</f>
        <v>9.7479999999999997E-2</v>
      </c>
      <c r="B360">
        <f>AVERAGE('R1'!G360,'R2'!G360,'R3'!G360)</f>
        <v>19.115816333333331</v>
      </c>
      <c r="C360">
        <f>-'R1'!H360</f>
        <v>-36</v>
      </c>
      <c r="D360">
        <f>DEGREES(ATAN(-SIN(RADIANS(('R1'!I360)))/(COS(RADIANS(Sheet1!C360))*COS(RADIANS('R1'!I360)))))</f>
        <v>-33.314077817276932</v>
      </c>
      <c r="E360">
        <f>AVERAGE('R1'!J360,'R2'!J360,'R3'!J360)</f>
        <v>1.17</v>
      </c>
      <c r="F360">
        <f>AVERAGE('R1'!K360,'R2'!K360,'R3'!K360)</f>
        <v>5.6933400000000001</v>
      </c>
      <c r="G360">
        <f>AVERAGE('R1'!L360,'R2'!L360,'R3'!L360)</f>
        <v>-1.7874205624083324</v>
      </c>
      <c r="H360">
        <f>AVERAGE('R1'!M360,'R2'!M360,'R3'!M360)</f>
        <v>2.375971450980948</v>
      </c>
      <c r="I360">
        <f>AVERAGE('R1'!N360,'R2'!N360,'R3'!N360)</f>
        <v>-1.5966283530736796</v>
      </c>
      <c r="J360">
        <f>AVERAGE('R1'!O360,'R2'!O360,'R3'!O360)</f>
        <v>-1.0338191062391306</v>
      </c>
      <c r="K360">
        <f t="shared" si="9"/>
        <v>1110.2012999999999</v>
      </c>
      <c r="M360">
        <f>_xlfn.STDEV.S('R1'!L360,'R2'!L360,'R3'!L360)</f>
        <v>1.7478415931610314E-2</v>
      </c>
      <c r="N360">
        <f>_xlfn.STDEV.S('R1'!M360,'R2'!M360,'R3'!M360)</f>
        <v>1.2059815183281503E-2</v>
      </c>
      <c r="O360">
        <f>_xlfn.STDEV.S('R1'!N360,'R2'!N360,'R3'!N360)</f>
        <v>1.6783085230079715E-2</v>
      </c>
      <c r="P360">
        <f>_xlfn.STDEV.S('R1'!O360,'R2'!O360,'R3'!O360)</f>
        <v>1.4672139226681912E-2</v>
      </c>
    </row>
    <row r="361" spans="1:16" x14ac:dyDescent="0.25">
      <c r="A361">
        <f>AVERAGE('R1'!F361,'R2'!F361,'R3'!F361)</f>
        <v>0.11372216666666667</v>
      </c>
      <c r="B361">
        <f>AVERAGE('R1'!G361,'R2'!G361,'R3'!G361)</f>
        <v>18.768980666666664</v>
      </c>
      <c r="C361">
        <f>-'R1'!H361</f>
        <v>-36</v>
      </c>
      <c r="D361">
        <f>DEGREES(ATAN(-SIN(RADIANS(('R1'!I361)))/(COS(RADIANS(Sheet1!C361))*COS(RADIANS('R1'!I361)))))</f>
        <v>-37.681815805789164</v>
      </c>
      <c r="E361">
        <f>AVERAGE('R1'!J361,'R2'!J361,'R3'!J361)</f>
        <v>1.1675</v>
      </c>
      <c r="F361">
        <f>AVERAGE('R1'!K361,'R2'!K361,'R3'!K361)</f>
        <v>5.6457589999999991</v>
      </c>
      <c r="G361">
        <f>AVERAGE('R1'!L361,'R2'!L361,'R3'!L361)</f>
        <v>-1.975559899172237</v>
      </c>
      <c r="H361">
        <f>AVERAGE('R1'!M361,'R2'!M361,'R3'!M361)</f>
        <v>2.4218444226852092</v>
      </c>
      <c r="I361">
        <f>AVERAGE('R1'!N361,'R2'!N361,'R3'!N361)</f>
        <v>-1.7467955687459391</v>
      </c>
      <c r="J361">
        <f>AVERAGE('R1'!O361,'R2'!O361,'R3'!O361)</f>
        <v>-1.1914618677636228</v>
      </c>
      <c r="K361">
        <f t="shared" si="9"/>
        <v>1098.5706054166665</v>
      </c>
      <c r="M361">
        <f>_xlfn.STDEV.S('R1'!L361,'R2'!L361,'R3'!L361)</f>
        <v>6.2914576210303568E-3</v>
      </c>
      <c r="N361">
        <f>_xlfn.STDEV.S('R1'!M361,'R2'!M361,'R3'!M361)</f>
        <v>3.7160903311813948E-3</v>
      </c>
      <c r="O361">
        <f>_xlfn.STDEV.S('R1'!N361,'R2'!N361,'R3'!N361)</f>
        <v>2.0355957018826438E-2</v>
      </c>
      <c r="P361">
        <f>_xlfn.STDEV.S('R1'!O361,'R2'!O361,'R3'!O361)</f>
        <v>4.6865226224547677E-3</v>
      </c>
    </row>
    <row r="362" spans="1:16" x14ac:dyDescent="0.25">
      <c r="A362">
        <f>AVERAGE('R1'!F362,'R2'!F362,'R3'!F362)</f>
        <v>0.11372216666666667</v>
      </c>
      <c r="B362">
        <f>AVERAGE('R1'!G362,'R2'!G362,'R3'!G362)</f>
        <v>19.009082500000002</v>
      </c>
      <c r="C362">
        <f>-'R1'!H362</f>
        <v>-36</v>
      </c>
      <c r="D362">
        <f>DEGREES(ATAN(-SIN(RADIANS(('R1'!I362)))/(COS(RADIANS(Sheet1!C362))*COS(RADIANS('R1'!I362)))))</f>
        <v>-41.925613925819086</v>
      </c>
      <c r="E362">
        <f>AVERAGE('R1'!J362,'R2'!J362,'R3'!J362)</f>
        <v>1.1658333333333333</v>
      </c>
      <c r="F362">
        <f>AVERAGE('R1'!K362,'R2'!K362,'R3'!K362)</f>
        <v>5.6889451666666666</v>
      </c>
      <c r="G362">
        <f>AVERAGE('R1'!L362,'R2'!L362,'R3'!L362)</f>
        <v>-2.1733455312102028</v>
      </c>
      <c r="H362">
        <f>AVERAGE('R1'!M362,'R2'!M362,'R3'!M362)</f>
        <v>2.5112895873853045</v>
      </c>
      <c r="I362">
        <f>AVERAGE('R1'!N362,'R2'!N362,'R3'!N362)</f>
        <v>-1.9465029661877278</v>
      </c>
      <c r="J362">
        <f>AVERAGE('R1'!O362,'R2'!O362,'R3'!O362)</f>
        <v>-1.3689509096212074</v>
      </c>
      <c r="K362">
        <f t="shared" si="9"/>
        <v>1105.3936511342592</v>
      </c>
      <c r="M362">
        <f>_xlfn.STDEV.S('R1'!L362,'R2'!L362,'R3'!L362)</f>
        <v>1.1718620859068744E-2</v>
      </c>
      <c r="N362">
        <f>_xlfn.STDEV.S('R1'!M362,'R2'!M362,'R3'!M362)</f>
        <v>1.3196059733587734E-2</v>
      </c>
      <c r="O362">
        <f>_xlfn.STDEV.S('R1'!N362,'R2'!N362,'R3'!N362)</f>
        <v>1.8367820424747321E-2</v>
      </c>
      <c r="P362">
        <f>_xlfn.STDEV.S('R1'!O362,'R2'!O362,'R3'!O362)</f>
        <v>1.0018046847592195E-2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362"/>
  <sheetViews>
    <sheetView workbookViewId="0">
      <selection activeCell="H349" sqref="H34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9.9304330000000007</v>
      </c>
      <c r="B2">
        <v>-15.637138500000001</v>
      </c>
      <c r="C2">
        <v>-15.5605335</v>
      </c>
      <c r="D2">
        <v>14.021737999999999</v>
      </c>
      <c r="E2">
        <v>-1.7840315</v>
      </c>
      <c r="F2">
        <v>0.14620649999999999</v>
      </c>
      <c r="G2">
        <v>18.686323000000002</v>
      </c>
      <c r="H2">
        <v>-36</v>
      </c>
      <c r="I2">
        <v>-36</v>
      </c>
      <c r="J2">
        <v>1.17</v>
      </c>
      <c r="K2">
        <v>5.6295782499999998</v>
      </c>
      <c r="L2">
        <v>1.8452579213762581</v>
      </c>
      <c r="M2">
        <v>-2.1469595530826568</v>
      </c>
      <c r="N2">
        <v>-1.481837419597738</v>
      </c>
      <c r="O2">
        <v>-1.1397480539236411</v>
      </c>
    </row>
    <row r="3" spans="1:15" x14ac:dyDescent="0.25">
      <c r="A3">
        <v>9.5693260000000002</v>
      </c>
      <c r="B3">
        <v>-13.86237075</v>
      </c>
      <c r="C3">
        <v>-13.30538475</v>
      </c>
      <c r="D3">
        <v>14.722826</v>
      </c>
      <c r="E3">
        <v>-0.22300225000000001</v>
      </c>
      <c r="F3">
        <v>0.14620649999999999</v>
      </c>
      <c r="G3">
        <v>18.166141249999999</v>
      </c>
      <c r="H3">
        <v>-36</v>
      </c>
      <c r="I3">
        <v>-32</v>
      </c>
      <c r="J3">
        <v>1.17</v>
      </c>
      <c r="K3">
        <v>5.550001</v>
      </c>
      <c r="L3">
        <v>1.7120728090660891</v>
      </c>
      <c r="M3">
        <v>-2.1395033126268079</v>
      </c>
      <c r="N3">
        <v>-1.3763860424027261</v>
      </c>
      <c r="O3">
        <v>-1.027630831557226</v>
      </c>
    </row>
    <row r="4" spans="1:15" x14ac:dyDescent="0.25">
      <c r="A4">
        <v>9.5241877499999994</v>
      </c>
      <c r="B4">
        <v>-12.519303750000001</v>
      </c>
      <c r="C4">
        <v>-11.27575</v>
      </c>
      <c r="D4">
        <v>16.081181999999998</v>
      </c>
      <c r="E4">
        <v>1.43058</v>
      </c>
      <c r="F4">
        <v>0.194933</v>
      </c>
      <c r="G4">
        <v>18.487333499999998</v>
      </c>
      <c r="H4">
        <v>-36</v>
      </c>
      <c r="I4">
        <v>-28</v>
      </c>
      <c r="J4">
        <v>1.17</v>
      </c>
      <c r="K4">
        <v>5.5918619999999999</v>
      </c>
      <c r="L4">
        <v>1.56060637462647</v>
      </c>
      <c r="M4">
        <v>-2.1459004508930488</v>
      </c>
      <c r="N4">
        <v>-1.2798111104117611</v>
      </c>
      <c r="O4">
        <v>-0.90728705194812531</v>
      </c>
    </row>
    <row r="5" spans="1:15" x14ac:dyDescent="0.25">
      <c r="A5">
        <v>9.2082189999999997</v>
      </c>
      <c r="B5">
        <v>-11.607936499999999</v>
      </c>
      <c r="C5">
        <v>-9.4265265000000014</v>
      </c>
      <c r="D5">
        <v>17.439537999999999</v>
      </c>
      <c r="E5">
        <v>2.6376152500000001</v>
      </c>
      <c r="F5">
        <v>0.14620649999999999</v>
      </c>
      <c r="G5">
        <v>19.007544500000002</v>
      </c>
      <c r="H5">
        <v>-36</v>
      </c>
      <c r="I5">
        <v>-24</v>
      </c>
      <c r="J5">
        <v>1.17</v>
      </c>
      <c r="K5">
        <v>5.6781687499999993</v>
      </c>
      <c r="L5">
        <v>1.416583468208096</v>
      </c>
      <c r="M5">
        <v>-2.2082437292854169</v>
      </c>
      <c r="N5">
        <v>-1.24447434099287</v>
      </c>
      <c r="O5">
        <v>-0.81059771018216742</v>
      </c>
    </row>
    <row r="6" spans="1:15" x14ac:dyDescent="0.25">
      <c r="A6">
        <v>8.6665559999999999</v>
      </c>
      <c r="B6">
        <v>-10.888435250000001</v>
      </c>
      <c r="C6">
        <v>-7.3517890000000001</v>
      </c>
      <c r="D6">
        <v>18.403534000000001</v>
      </c>
      <c r="E6">
        <v>3.799944</v>
      </c>
      <c r="F6">
        <v>0.14620649999999999</v>
      </c>
      <c r="G6">
        <v>19.248759499999998</v>
      </c>
      <c r="H6">
        <v>-36</v>
      </c>
      <c r="I6">
        <v>-20</v>
      </c>
      <c r="J6">
        <v>1.17</v>
      </c>
      <c r="K6">
        <v>5.7143467499999998</v>
      </c>
      <c r="L6">
        <v>1.2398031897014641</v>
      </c>
      <c r="M6">
        <v>-2.2671689924079521</v>
      </c>
      <c r="N6">
        <v>-1.19572173453884</v>
      </c>
      <c r="O6">
        <v>-0.71720325502954896</v>
      </c>
    </row>
    <row r="7" spans="1:15" x14ac:dyDescent="0.25">
      <c r="A7">
        <v>7.8992034999999996</v>
      </c>
      <c r="B7">
        <v>-10.216902749999999</v>
      </c>
      <c r="C7">
        <v>-4.871124</v>
      </c>
      <c r="D7">
        <v>19.411346000000002</v>
      </c>
      <c r="E7">
        <v>4.9175694999999999</v>
      </c>
      <c r="F7">
        <v>0.194933</v>
      </c>
      <c r="G7">
        <v>19.64893825</v>
      </c>
      <c r="H7">
        <v>-36</v>
      </c>
      <c r="I7">
        <v>-16</v>
      </c>
      <c r="J7">
        <v>1.17</v>
      </c>
      <c r="K7">
        <v>5.7666572499999997</v>
      </c>
      <c r="L7">
        <v>1.024754850578939</v>
      </c>
      <c r="M7">
        <v>-2.377571971027665</v>
      </c>
      <c r="N7">
        <v>-1.1822180597401439</v>
      </c>
      <c r="O7">
        <v>-0.62099330538356323</v>
      </c>
    </row>
    <row r="8" spans="1:15" x14ac:dyDescent="0.25">
      <c r="A8">
        <v>6.7707420000000003</v>
      </c>
      <c r="B8">
        <v>-9.9291022499999997</v>
      </c>
      <c r="C8">
        <v>-2.7061799999999998</v>
      </c>
      <c r="D8">
        <v>20.068615000000001</v>
      </c>
      <c r="E8">
        <v>5.6328490000000002</v>
      </c>
      <c r="F8">
        <v>0.194933</v>
      </c>
      <c r="G8">
        <v>20.087968</v>
      </c>
      <c r="H8">
        <v>-36</v>
      </c>
      <c r="I8">
        <v>-12</v>
      </c>
      <c r="J8">
        <v>1.17</v>
      </c>
      <c r="K8">
        <v>5.8313854999999997</v>
      </c>
      <c r="L8">
        <v>0.79300514538627742</v>
      </c>
      <c r="M8">
        <v>-2.5102346054918319</v>
      </c>
      <c r="N8">
        <v>-1.209579794361733</v>
      </c>
      <c r="O8">
        <v>-0.54489698371040218</v>
      </c>
    </row>
    <row r="9" spans="1:15" x14ac:dyDescent="0.25">
      <c r="A9">
        <v>5.4165890000000001</v>
      </c>
      <c r="B9">
        <v>-9.5933364999999995</v>
      </c>
      <c r="C9">
        <v>-0.13532250000000001</v>
      </c>
      <c r="D9">
        <v>20.594429999999999</v>
      </c>
      <c r="E9">
        <v>6.3034239999999997</v>
      </c>
      <c r="F9">
        <v>0.194933</v>
      </c>
      <c r="G9">
        <v>20.2892285</v>
      </c>
      <c r="H9">
        <v>-36</v>
      </c>
      <c r="I9">
        <v>-8</v>
      </c>
      <c r="J9">
        <v>1.17</v>
      </c>
      <c r="K9">
        <v>5.86079025</v>
      </c>
      <c r="L9">
        <v>0.49713561506856158</v>
      </c>
      <c r="M9">
        <v>-2.7033641900765879</v>
      </c>
      <c r="N9">
        <v>-1.2524886201085961</v>
      </c>
      <c r="O9">
        <v>-0.45299868285752942</v>
      </c>
    </row>
    <row r="10" spans="1:15" x14ac:dyDescent="0.25">
      <c r="A10">
        <v>3.7464654999999998</v>
      </c>
      <c r="B10">
        <v>-9.5453702499999995</v>
      </c>
      <c r="C10">
        <v>1.8972990000000001</v>
      </c>
      <c r="D10">
        <v>21.076427500000001</v>
      </c>
      <c r="E10">
        <v>6.7951779999999999</v>
      </c>
      <c r="F10">
        <v>0.194933</v>
      </c>
      <c r="G10">
        <v>20.728223</v>
      </c>
      <c r="H10">
        <v>-36</v>
      </c>
      <c r="I10">
        <v>-4</v>
      </c>
      <c r="J10">
        <v>1.17</v>
      </c>
      <c r="K10">
        <v>5.9244845000000002</v>
      </c>
      <c r="L10">
        <v>0.1740794573274641</v>
      </c>
      <c r="M10">
        <v>-2.8836972271626689</v>
      </c>
      <c r="N10">
        <v>-1.312145983945449</v>
      </c>
      <c r="O10">
        <v>-0.37842915268826299</v>
      </c>
    </row>
    <row r="11" spans="1:15" x14ac:dyDescent="0.25">
      <c r="A11">
        <v>1.8506497500000001</v>
      </c>
      <c r="B11">
        <v>-9.4494367500000003</v>
      </c>
      <c r="C11">
        <v>4.0204760000000004</v>
      </c>
      <c r="D11">
        <v>21.383154000000001</v>
      </c>
      <c r="E11">
        <v>7.0634095000000006</v>
      </c>
      <c r="F11">
        <v>0.14620649999999999</v>
      </c>
      <c r="G11">
        <v>20.889500250000001</v>
      </c>
      <c r="H11">
        <v>-36</v>
      </c>
      <c r="I11">
        <v>0</v>
      </c>
      <c r="J11">
        <v>1.17</v>
      </c>
      <c r="K11">
        <v>5.9546832500000004</v>
      </c>
      <c r="L11">
        <v>-0.1997207777120886</v>
      </c>
      <c r="M11">
        <v>-2.838458340016706</v>
      </c>
      <c r="N11">
        <v>-1.272809354265906</v>
      </c>
      <c r="O11">
        <v>-0.36323123662097601</v>
      </c>
    </row>
    <row r="12" spans="1:15" x14ac:dyDescent="0.25">
      <c r="A12">
        <v>-0.31539099999999998</v>
      </c>
      <c r="B12">
        <v>-9.6413027499999995</v>
      </c>
      <c r="C12">
        <v>5.9173927500000003</v>
      </c>
      <c r="D12">
        <v>21.383154000000001</v>
      </c>
      <c r="E12">
        <v>6.9739990000000001</v>
      </c>
      <c r="F12">
        <v>0.194933</v>
      </c>
      <c r="G12">
        <v>21.04834</v>
      </c>
      <c r="H12">
        <v>-36</v>
      </c>
      <c r="I12">
        <v>4</v>
      </c>
      <c r="J12">
        <v>1.17</v>
      </c>
      <c r="K12">
        <v>5.9704447500000004</v>
      </c>
      <c r="L12">
        <v>-0.5214885202417936</v>
      </c>
      <c r="M12">
        <v>-2.595794721321758</v>
      </c>
      <c r="N12">
        <v>-1.177673733858108</v>
      </c>
      <c r="O12">
        <v>-0.43277245034525808</v>
      </c>
    </row>
    <row r="13" spans="1:15" x14ac:dyDescent="0.25">
      <c r="A13">
        <v>-2.5231257500000002</v>
      </c>
      <c r="B13">
        <v>-9.25756975</v>
      </c>
      <c r="C13">
        <v>7.3633499999999996</v>
      </c>
      <c r="D13">
        <v>20.682065999999999</v>
      </c>
      <c r="E13">
        <v>6.5269495000000006</v>
      </c>
      <c r="F13">
        <v>0.14620649999999999</v>
      </c>
      <c r="G13">
        <v>20.446920500000001</v>
      </c>
      <c r="H13">
        <v>-36</v>
      </c>
      <c r="I13">
        <v>8</v>
      </c>
      <c r="J13">
        <v>1.17</v>
      </c>
      <c r="K13">
        <v>5.8908192499999998</v>
      </c>
      <c r="L13">
        <v>-0.79615575533660754</v>
      </c>
      <c r="M13">
        <v>-2.4111640970290842</v>
      </c>
      <c r="N13">
        <v>-1.121038657775818</v>
      </c>
      <c r="O13">
        <v>-0.48606584574319589</v>
      </c>
    </row>
    <row r="14" spans="1:15" x14ac:dyDescent="0.25">
      <c r="A14">
        <v>-4.5956925000000002</v>
      </c>
      <c r="B14">
        <v>-8.9218030000000006</v>
      </c>
      <c r="C14">
        <v>8.4018022499999994</v>
      </c>
      <c r="D14">
        <v>19.630436</v>
      </c>
      <c r="E14">
        <v>5.8563747500000014</v>
      </c>
      <c r="F14">
        <v>0.194933</v>
      </c>
      <c r="G14">
        <v>19.767841499999999</v>
      </c>
      <c r="H14">
        <v>-36</v>
      </c>
      <c r="I14">
        <v>12</v>
      </c>
      <c r="J14">
        <v>1.17</v>
      </c>
      <c r="K14">
        <v>5.7842745000000004</v>
      </c>
      <c r="L14">
        <v>-1.0303512548084479</v>
      </c>
      <c r="M14">
        <v>-2.263394731083721</v>
      </c>
      <c r="N14">
        <v>-1.1028378014790849</v>
      </c>
      <c r="O14">
        <v>-0.55121156782880498</v>
      </c>
    </row>
    <row r="15" spans="1:15" x14ac:dyDescent="0.25">
      <c r="A15">
        <v>-6.8484829999999999</v>
      </c>
      <c r="B15">
        <v>-9.1136695000000003</v>
      </c>
      <c r="C15">
        <v>9.2606567500000008</v>
      </c>
      <c r="D15">
        <v>18.754076000000001</v>
      </c>
      <c r="E15">
        <v>4.8281599999999996</v>
      </c>
      <c r="F15">
        <v>0.194933</v>
      </c>
      <c r="G15">
        <v>19.406572749999999</v>
      </c>
      <c r="H15">
        <v>-36</v>
      </c>
      <c r="I15">
        <v>16</v>
      </c>
      <c r="J15">
        <v>1.1675</v>
      </c>
      <c r="K15">
        <v>5.7368272500000002</v>
      </c>
      <c r="L15">
        <v>-1.257649909658936</v>
      </c>
      <c r="M15">
        <v>-2.175600207350568</v>
      </c>
      <c r="N15">
        <v>-1.1381218442234551</v>
      </c>
      <c r="O15">
        <v>-0.63828507170883741</v>
      </c>
    </row>
    <row r="16" spans="1:15" x14ac:dyDescent="0.25">
      <c r="A16">
        <v>-8.7408254999999997</v>
      </c>
      <c r="B16">
        <v>-9.6413027499999995</v>
      </c>
      <c r="C16">
        <v>9.9827845000000011</v>
      </c>
      <c r="D16">
        <v>17.746263500000001</v>
      </c>
      <c r="E16">
        <v>3.5764197499999999</v>
      </c>
      <c r="F16">
        <v>9.7479999999999997E-2</v>
      </c>
      <c r="G16">
        <v>19.045341749999999</v>
      </c>
      <c r="H16">
        <v>-36</v>
      </c>
      <c r="I16">
        <v>20</v>
      </c>
      <c r="J16">
        <v>1.17</v>
      </c>
      <c r="K16">
        <v>5.6911032500000003</v>
      </c>
      <c r="L16">
        <v>-1.4665104740582771</v>
      </c>
      <c r="M16">
        <v>-2.1451333420201899</v>
      </c>
      <c r="N16">
        <v>-1.211604288750425</v>
      </c>
      <c r="O16">
        <v>-0.7275661606897933</v>
      </c>
    </row>
    <row r="17" spans="1:15" x14ac:dyDescent="0.25">
      <c r="A17">
        <v>-10.36148075</v>
      </c>
      <c r="B17">
        <v>-10.50470325</v>
      </c>
      <c r="C17">
        <v>10.390006</v>
      </c>
      <c r="D17">
        <v>16.475543999999999</v>
      </c>
      <c r="E17">
        <v>2.145861</v>
      </c>
      <c r="F17">
        <v>0.194933</v>
      </c>
      <c r="G17">
        <v>18.487333499999998</v>
      </c>
      <c r="H17">
        <v>-36</v>
      </c>
      <c r="I17">
        <v>24</v>
      </c>
      <c r="J17">
        <v>1.1625000000000001</v>
      </c>
      <c r="K17">
        <v>5.6099129999999997</v>
      </c>
      <c r="L17">
        <v>-1.64973527292764</v>
      </c>
      <c r="M17">
        <v>-2.1449168184802621</v>
      </c>
      <c r="N17">
        <v>-1.2991723612830151</v>
      </c>
      <c r="O17">
        <v>-0.84489958883021654</v>
      </c>
    </row>
    <row r="18" spans="1:15" x14ac:dyDescent="0.25">
      <c r="A18">
        <v>-12.210122500000001</v>
      </c>
      <c r="B18">
        <v>-12.03963725</v>
      </c>
      <c r="C18">
        <v>10.66034625</v>
      </c>
      <c r="D18">
        <v>15.248640999999999</v>
      </c>
      <c r="E18">
        <v>0.35765999999999998</v>
      </c>
      <c r="F18">
        <v>0.194933</v>
      </c>
      <c r="G18">
        <v>18.167205500000001</v>
      </c>
      <c r="H18">
        <v>-36</v>
      </c>
      <c r="I18">
        <v>28</v>
      </c>
      <c r="J18">
        <v>1.1675</v>
      </c>
      <c r="K18">
        <v>5.5486620000000002</v>
      </c>
      <c r="L18">
        <v>-1.8322331792733779</v>
      </c>
      <c r="M18">
        <v>-2.186164311439224</v>
      </c>
      <c r="N18">
        <v>-1.4267929903000649</v>
      </c>
      <c r="O18">
        <v>-0.98696308358690643</v>
      </c>
    </row>
    <row r="19" spans="1:15" x14ac:dyDescent="0.25">
      <c r="A19">
        <v>-13.876281000000001</v>
      </c>
      <c r="B19">
        <v>-13.718470999999999</v>
      </c>
      <c r="C19">
        <v>10.480354</v>
      </c>
      <c r="D19">
        <v>13.80264725</v>
      </c>
      <c r="E19">
        <v>-1.828632</v>
      </c>
      <c r="F19">
        <v>0.14620649999999999</v>
      </c>
      <c r="G19">
        <v>17.769133</v>
      </c>
      <c r="H19">
        <v>-36</v>
      </c>
      <c r="I19">
        <v>32</v>
      </c>
      <c r="J19">
        <v>1.17</v>
      </c>
      <c r="K19">
        <v>5.4885782499999998</v>
      </c>
      <c r="L19">
        <v>-2.0350773338090038</v>
      </c>
      <c r="M19">
        <v>-2.2994525045601559</v>
      </c>
      <c r="N19">
        <v>-1.6374857089092609</v>
      </c>
      <c r="O19">
        <v>-1.1650306938510779</v>
      </c>
    </row>
    <row r="20" spans="1:15" x14ac:dyDescent="0.25">
      <c r="A20">
        <v>-16.40031325</v>
      </c>
      <c r="B20">
        <v>-16.3566365</v>
      </c>
      <c r="C20">
        <v>10.930645</v>
      </c>
      <c r="D20">
        <v>12.970107</v>
      </c>
      <c r="E20">
        <v>-4.2816770000000002</v>
      </c>
      <c r="F20">
        <v>0.194933</v>
      </c>
      <c r="G20">
        <v>18.36621525</v>
      </c>
      <c r="H20">
        <v>-36</v>
      </c>
      <c r="I20">
        <v>36</v>
      </c>
      <c r="J20">
        <v>1.17</v>
      </c>
      <c r="K20">
        <v>5.5733220000000001</v>
      </c>
      <c r="L20">
        <v>-2.2593863605685569</v>
      </c>
      <c r="M20">
        <v>-2.4243676312540821</v>
      </c>
      <c r="N20">
        <v>-1.8722599554853609</v>
      </c>
      <c r="O20">
        <v>-1.370093686750417</v>
      </c>
    </row>
    <row r="21" spans="1:15" x14ac:dyDescent="0.25">
      <c r="A21">
        <v>12.232494750000001</v>
      </c>
      <c r="B21">
        <v>-14.773738</v>
      </c>
      <c r="C21">
        <v>-14.478062749999999</v>
      </c>
      <c r="D21">
        <v>13.671194</v>
      </c>
      <c r="E21">
        <v>0.35765999999999998</v>
      </c>
      <c r="F21">
        <v>0.14620649999999999</v>
      </c>
      <c r="G21">
        <v>18.969747999999999</v>
      </c>
      <c r="H21">
        <v>-32</v>
      </c>
      <c r="I21">
        <v>-36</v>
      </c>
      <c r="J21">
        <v>1.17</v>
      </c>
      <c r="K21">
        <v>5.6724344999999996</v>
      </c>
      <c r="L21">
        <v>1.7827031923251111</v>
      </c>
      <c r="M21">
        <v>-1.89843734742387</v>
      </c>
      <c r="N21">
        <v>-1.2422170452809409</v>
      </c>
      <c r="O21">
        <v>-0.98592225084349883</v>
      </c>
    </row>
    <row r="22" spans="1:15" x14ac:dyDescent="0.25">
      <c r="A22">
        <v>12.3227715</v>
      </c>
      <c r="B22">
        <v>-12.855071000000001</v>
      </c>
      <c r="C22">
        <v>-12.268015999999999</v>
      </c>
      <c r="D22">
        <v>15.3362765</v>
      </c>
      <c r="E22">
        <v>2.3693852500000001</v>
      </c>
      <c r="F22">
        <v>0.194933</v>
      </c>
      <c r="G22">
        <v>19.209869000000001</v>
      </c>
      <c r="H22">
        <v>-32</v>
      </c>
      <c r="I22">
        <v>-32</v>
      </c>
      <c r="J22">
        <v>1.17</v>
      </c>
      <c r="K22">
        <v>5.7012419999999997</v>
      </c>
      <c r="L22">
        <v>1.6469867549022821</v>
      </c>
      <c r="M22">
        <v>-1.8881854244288501</v>
      </c>
      <c r="N22">
        <v>-1.1279494696476511</v>
      </c>
      <c r="O22">
        <v>-0.85438874972108092</v>
      </c>
    </row>
    <row r="23" spans="1:15" x14ac:dyDescent="0.25">
      <c r="A23">
        <v>12.277633</v>
      </c>
      <c r="B23">
        <v>-11.272169249999999</v>
      </c>
      <c r="C23">
        <v>-10.057969</v>
      </c>
      <c r="D23">
        <v>16.826087999999999</v>
      </c>
      <c r="E23">
        <v>4.3364047499999998</v>
      </c>
      <c r="F23">
        <v>0.194933</v>
      </c>
      <c r="G23">
        <v>19.728979249999998</v>
      </c>
      <c r="H23">
        <v>-32</v>
      </c>
      <c r="I23">
        <v>-28</v>
      </c>
      <c r="J23">
        <v>1.17</v>
      </c>
      <c r="K23">
        <v>5.7785322499999996</v>
      </c>
      <c r="L23">
        <v>1.488892802960005</v>
      </c>
      <c r="M23">
        <v>-1.8730320220142069</v>
      </c>
      <c r="N23">
        <v>-1.026069452111338</v>
      </c>
      <c r="O23">
        <v>-0.7239279063570474</v>
      </c>
    </row>
    <row r="24" spans="1:15" x14ac:dyDescent="0.25">
      <c r="A24">
        <v>11.916525999999999</v>
      </c>
      <c r="B24">
        <v>-9.9291022499999997</v>
      </c>
      <c r="C24">
        <v>-7.8028182499999996</v>
      </c>
      <c r="D24">
        <v>18.096807500000001</v>
      </c>
      <c r="E24">
        <v>5.9010800000000003</v>
      </c>
      <c r="F24">
        <v>0.194933</v>
      </c>
      <c r="G24">
        <v>20.087968</v>
      </c>
      <c r="H24">
        <v>-32</v>
      </c>
      <c r="I24">
        <v>-24</v>
      </c>
      <c r="J24">
        <v>1.17</v>
      </c>
      <c r="K24">
        <v>5.8313854999999997</v>
      </c>
      <c r="L24">
        <v>1.3353696350402089</v>
      </c>
      <c r="M24">
        <v>-1.897905044324073</v>
      </c>
      <c r="N24">
        <v>-0.96073151270552359</v>
      </c>
      <c r="O24">
        <v>-0.61358130507793995</v>
      </c>
    </row>
    <row r="25" spans="1:15" x14ac:dyDescent="0.25">
      <c r="A25">
        <v>11.32972625</v>
      </c>
      <c r="B25">
        <v>-8.7779032499999996</v>
      </c>
      <c r="C25">
        <v>-5.3221535000000006</v>
      </c>
      <c r="D25">
        <v>19.236073999999999</v>
      </c>
      <c r="E25">
        <v>7.3763447500000003</v>
      </c>
      <c r="F25">
        <v>0.194933</v>
      </c>
      <c r="G25">
        <v>20.328072500000001</v>
      </c>
      <c r="H25">
        <v>-32</v>
      </c>
      <c r="I25">
        <v>-20</v>
      </c>
      <c r="J25">
        <v>1.165</v>
      </c>
      <c r="K25">
        <v>5.8790990000000001</v>
      </c>
      <c r="L25">
        <v>1.154269328506355</v>
      </c>
      <c r="M25">
        <v>-1.941879796706274</v>
      </c>
      <c r="N25">
        <v>-0.89779148816394572</v>
      </c>
      <c r="O25">
        <v>-0.50220274615528948</v>
      </c>
    </row>
    <row r="26" spans="1:15" x14ac:dyDescent="0.25">
      <c r="A26">
        <v>10.381818000000001</v>
      </c>
      <c r="B26">
        <v>-8.1063687499999997</v>
      </c>
      <c r="C26">
        <v>-2.8865919999999998</v>
      </c>
      <c r="D26">
        <v>20.15625</v>
      </c>
      <c r="E26">
        <v>8.5386732500000004</v>
      </c>
      <c r="F26">
        <v>0.194933</v>
      </c>
      <c r="G26">
        <v>20.688211500000001</v>
      </c>
      <c r="H26">
        <v>-32</v>
      </c>
      <c r="I26">
        <v>-16</v>
      </c>
      <c r="J26">
        <v>1.1675</v>
      </c>
      <c r="K26">
        <v>5.9250694999999993</v>
      </c>
      <c r="L26">
        <v>0.94536644891518151</v>
      </c>
      <c r="M26">
        <v>-2.0137305192373289</v>
      </c>
      <c r="N26">
        <v>-0.8656663954010162</v>
      </c>
      <c r="O26">
        <v>-0.40552154943138491</v>
      </c>
    </row>
    <row r="27" spans="1:15" x14ac:dyDescent="0.25">
      <c r="A27">
        <v>9.2533574999999999</v>
      </c>
      <c r="B27">
        <v>-7.5307685000000006</v>
      </c>
      <c r="C27">
        <v>-0.54123600000000005</v>
      </c>
      <c r="D27">
        <v>20.857337999999999</v>
      </c>
      <c r="E27">
        <v>9.4327737500000008</v>
      </c>
      <c r="F27">
        <v>0.194933</v>
      </c>
      <c r="G27">
        <v>20.8507125</v>
      </c>
      <c r="H27">
        <v>-32</v>
      </c>
      <c r="I27">
        <v>-12</v>
      </c>
      <c r="J27">
        <v>1.17</v>
      </c>
      <c r="K27">
        <v>5.9421317499999997</v>
      </c>
      <c r="L27">
        <v>0.72720740226149361</v>
      </c>
      <c r="M27">
        <v>-2.107729075683344</v>
      </c>
      <c r="N27">
        <v>-0.84775077532563969</v>
      </c>
      <c r="O27">
        <v>-0.31413963868122768</v>
      </c>
    </row>
    <row r="28" spans="1:15" x14ac:dyDescent="0.25">
      <c r="A28">
        <v>7.8540650000000003</v>
      </c>
      <c r="B28">
        <v>-7.0990679999999999</v>
      </c>
      <c r="C28">
        <v>1.7615324999999999</v>
      </c>
      <c r="D28">
        <v>21.339335500000001</v>
      </c>
      <c r="E28">
        <v>10.1033495</v>
      </c>
      <c r="F28">
        <v>0.194933</v>
      </c>
      <c r="G28">
        <v>21.207179750000002</v>
      </c>
      <c r="H28">
        <v>-32</v>
      </c>
      <c r="I28">
        <v>-8</v>
      </c>
      <c r="J28">
        <v>1.17</v>
      </c>
      <c r="K28">
        <v>5.9931830000000001</v>
      </c>
      <c r="L28">
        <v>0.47702767210173153</v>
      </c>
      <c r="M28">
        <v>-2.2266698472922299</v>
      </c>
      <c r="N28">
        <v>-0.86945780782513493</v>
      </c>
      <c r="O28">
        <v>-0.2242255695625972</v>
      </c>
    </row>
    <row r="29" spans="1:15" x14ac:dyDescent="0.25">
      <c r="A29">
        <v>6.0936655000000002</v>
      </c>
      <c r="B29">
        <v>-6.5234690000000004</v>
      </c>
      <c r="C29">
        <v>3.9753020000000001</v>
      </c>
      <c r="D29">
        <v>21.076427500000001</v>
      </c>
      <c r="E29">
        <v>10.3268735</v>
      </c>
      <c r="F29">
        <v>0.194933</v>
      </c>
      <c r="G29">
        <v>20.808254250000001</v>
      </c>
      <c r="H29">
        <v>-32</v>
      </c>
      <c r="I29">
        <v>-4</v>
      </c>
      <c r="J29">
        <v>1.1675</v>
      </c>
      <c r="K29">
        <v>5.9423905000000001</v>
      </c>
      <c r="L29">
        <v>0.18256122084144791</v>
      </c>
      <c r="M29">
        <v>-2.3792012758456682</v>
      </c>
      <c r="N29">
        <v>-0.90346562987917201</v>
      </c>
      <c r="O29">
        <v>-0.12656768625833861</v>
      </c>
    </row>
    <row r="30" spans="1:15" x14ac:dyDescent="0.25">
      <c r="A30">
        <v>4.0172962500000002</v>
      </c>
      <c r="B30">
        <v>-6.2356687500000003</v>
      </c>
      <c r="C30">
        <v>5.7367157500000001</v>
      </c>
      <c r="D30">
        <v>20.331522</v>
      </c>
      <c r="E30">
        <v>10.013939000000001</v>
      </c>
      <c r="F30">
        <v>0.14620649999999999</v>
      </c>
      <c r="G30">
        <v>20.126811499999999</v>
      </c>
      <c r="H30">
        <v>-32</v>
      </c>
      <c r="I30">
        <v>0</v>
      </c>
      <c r="J30">
        <v>1.1675</v>
      </c>
      <c r="K30">
        <v>5.8505057499999999</v>
      </c>
      <c r="L30">
        <v>-0.15454760184490601</v>
      </c>
      <c r="M30">
        <v>-2.388590260047208</v>
      </c>
      <c r="N30">
        <v>-0.9093089948314127</v>
      </c>
      <c r="O30">
        <v>-0.11278304013260169</v>
      </c>
    </row>
    <row r="31" spans="1:15" x14ac:dyDescent="0.25">
      <c r="A31">
        <v>2.0312044999999999</v>
      </c>
      <c r="B31">
        <v>-5.9478687499999996</v>
      </c>
      <c r="C31">
        <v>7.4085239999999999</v>
      </c>
      <c r="D31">
        <v>19.893343999999999</v>
      </c>
      <c r="E31">
        <v>9.8351179999999996</v>
      </c>
      <c r="F31">
        <v>0.14620649999999999</v>
      </c>
      <c r="G31">
        <v>19.607777500000001</v>
      </c>
      <c r="H31">
        <v>-32</v>
      </c>
      <c r="I31">
        <v>4</v>
      </c>
      <c r="J31">
        <v>1.17</v>
      </c>
      <c r="K31">
        <v>5.7677717499999996</v>
      </c>
      <c r="L31">
        <v>-0.45598752296172967</v>
      </c>
      <c r="M31">
        <v>-2.1911938942501159</v>
      </c>
      <c r="N31">
        <v>-0.82872722044149982</v>
      </c>
      <c r="O31">
        <v>-0.1783880143412552</v>
      </c>
    </row>
    <row r="32" spans="1:15" x14ac:dyDescent="0.25">
      <c r="A32">
        <v>-2.5999999999999998E-5</v>
      </c>
      <c r="B32">
        <v>-5.7560019999999996</v>
      </c>
      <c r="C32">
        <v>8.8540910000000004</v>
      </c>
      <c r="D32">
        <v>19.367528</v>
      </c>
      <c r="E32">
        <v>9.4774790000000007</v>
      </c>
      <c r="F32">
        <v>0.14620649999999999</v>
      </c>
      <c r="G32">
        <v>19.3265405</v>
      </c>
      <c r="H32">
        <v>-32</v>
      </c>
      <c r="I32">
        <v>8</v>
      </c>
      <c r="J32">
        <v>1.17</v>
      </c>
      <c r="K32">
        <v>5.7259837500000001</v>
      </c>
      <c r="L32">
        <v>-0.71661381702858795</v>
      </c>
      <c r="M32">
        <v>-2.033389521567452</v>
      </c>
      <c r="N32">
        <v>-0.79714030836325189</v>
      </c>
      <c r="O32">
        <v>-0.24476728690631769</v>
      </c>
    </row>
    <row r="33" spans="1:15" x14ac:dyDescent="0.25">
      <c r="A33">
        <v>-2.0725669999999998</v>
      </c>
      <c r="B33">
        <v>-5.8039687499999992</v>
      </c>
      <c r="C33">
        <v>9.7575690000000002</v>
      </c>
      <c r="D33">
        <v>18.491168999999999</v>
      </c>
      <c r="E33">
        <v>8.5833779999999997</v>
      </c>
      <c r="F33">
        <v>0.194933</v>
      </c>
      <c r="G33">
        <v>18.687416500000001</v>
      </c>
      <c r="H33">
        <v>-32</v>
      </c>
      <c r="I33">
        <v>12</v>
      </c>
      <c r="J33">
        <v>1.1675</v>
      </c>
      <c r="K33">
        <v>5.6284165000000002</v>
      </c>
      <c r="L33">
        <v>-0.94477075435518953</v>
      </c>
      <c r="M33">
        <v>-1.940275267032155</v>
      </c>
      <c r="N33">
        <v>-0.80693883713874981</v>
      </c>
      <c r="O33">
        <v>-0.33005927176679339</v>
      </c>
    </row>
    <row r="34" spans="1:15" x14ac:dyDescent="0.25">
      <c r="A34">
        <v>-4.1000779999999999</v>
      </c>
      <c r="B34">
        <v>-5.9958355000000001</v>
      </c>
      <c r="C34">
        <v>10.705513249999999</v>
      </c>
      <c r="D34">
        <v>17.702445999999998</v>
      </c>
      <c r="E34">
        <v>7.6445740000000004</v>
      </c>
      <c r="F34">
        <v>0.194933</v>
      </c>
      <c r="G34">
        <v>18.52627025</v>
      </c>
      <c r="H34">
        <v>-32</v>
      </c>
      <c r="I34">
        <v>16</v>
      </c>
      <c r="J34">
        <v>1.17</v>
      </c>
      <c r="K34">
        <v>5.5978135</v>
      </c>
      <c r="L34">
        <v>-1.1664940484780939</v>
      </c>
      <c r="M34">
        <v>-1.8671380676668889</v>
      </c>
      <c r="N34">
        <v>-0.85734034808901205</v>
      </c>
      <c r="O34">
        <v>-0.41307305644601361</v>
      </c>
    </row>
    <row r="35" spans="1:15" x14ac:dyDescent="0.25">
      <c r="A35">
        <v>-6.1718440000000001</v>
      </c>
      <c r="B35">
        <v>-6.9551677499999993</v>
      </c>
      <c r="C35">
        <v>11.429007</v>
      </c>
      <c r="D35">
        <v>17.001358</v>
      </c>
      <c r="E35">
        <v>6.2587190000000001</v>
      </c>
      <c r="F35">
        <v>0.194933</v>
      </c>
      <c r="G35">
        <v>18.28832375</v>
      </c>
      <c r="H35">
        <v>-32</v>
      </c>
      <c r="I35">
        <v>20</v>
      </c>
      <c r="J35">
        <v>1.17</v>
      </c>
      <c r="K35">
        <v>5.5613640000000002</v>
      </c>
      <c r="L35">
        <v>-1.3727116740047169</v>
      </c>
      <c r="M35">
        <v>-1.868392618665887</v>
      </c>
      <c r="N35">
        <v>-0.93823189883621838</v>
      </c>
      <c r="O35">
        <v>-0.52706920425166848</v>
      </c>
    </row>
    <row r="36" spans="1:15" x14ac:dyDescent="0.25">
      <c r="A36">
        <v>-8.4699497499999996</v>
      </c>
      <c r="B36">
        <v>-8.6340029999999999</v>
      </c>
      <c r="C36">
        <v>12.4671875</v>
      </c>
      <c r="D36">
        <v>16.606998000000001</v>
      </c>
      <c r="E36">
        <v>4.7387499999999996</v>
      </c>
      <c r="F36">
        <v>9.7479999999999997E-2</v>
      </c>
      <c r="G36">
        <v>18.807461</v>
      </c>
      <c r="H36">
        <v>-32</v>
      </c>
      <c r="I36">
        <v>24</v>
      </c>
      <c r="J36">
        <v>1.17</v>
      </c>
      <c r="K36">
        <v>5.655278</v>
      </c>
      <c r="L36">
        <v>-1.575354281793838</v>
      </c>
      <c r="M36">
        <v>-1.8991871286301669</v>
      </c>
      <c r="N36">
        <v>-1.058562196883825</v>
      </c>
      <c r="O36">
        <v>-0.65082825452692994</v>
      </c>
    </row>
    <row r="37" spans="1:15" x14ac:dyDescent="0.25">
      <c r="A37">
        <v>-10.902797250000001</v>
      </c>
      <c r="B37">
        <v>-10.79250175</v>
      </c>
      <c r="C37">
        <v>13.05527075</v>
      </c>
      <c r="D37">
        <v>15.90591</v>
      </c>
      <c r="E37">
        <v>2.6376152500000001</v>
      </c>
      <c r="F37">
        <v>0.14620649999999999</v>
      </c>
      <c r="G37">
        <v>19.207628</v>
      </c>
      <c r="H37">
        <v>-32</v>
      </c>
      <c r="I37">
        <v>28</v>
      </c>
      <c r="J37">
        <v>1.17</v>
      </c>
      <c r="K37">
        <v>5.7081922499999997</v>
      </c>
      <c r="L37">
        <v>-1.776702674400273</v>
      </c>
      <c r="M37">
        <v>-1.9799262512682521</v>
      </c>
      <c r="N37">
        <v>-1.2288451170634349</v>
      </c>
      <c r="O37">
        <v>-0.81526052897537926</v>
      </c>
    </row>
    <row r="38" spans="1:15" x14ac:dyDescent="0.25">
      <c r="A38">
        <v>-13.200502500000001</v>
      </c>
      <c r="B38">
        <v>-13.14287</v>
      </c>
      <c r="C38">
        <v>13.552182999999999</v>
      </c>
      <c r="D38">
        <v>14.854279249999999</v>
      </c>
      <c r="E38">
        <v>0.40236474999999999</v>
      </c>
      <c r="F38">
        <v>0.194933</v>
      </c>
      <c r="G38">
        <v>19.48886525</v>
      </c>
      <c r="H38">
        <v>-32</v>
      </c>
      <c r="I38">
        <v>32</v>
      </c>
      <c r="J38">
        <v>1.165</v>
      </c>
      <c r="K38">
        <v>5.7552709999999996</v>
      </c>
      <c r="L38">
        <v>-1.9708730553269611</v>
      </c>
      <c r="M38">
        <v>-2.062574005827273</v>
      </c>
      <c r="N38">
        <v>-1.406117714407684</v>
      </c>
      <c r="O38">
        <v>-0.98468779874233914</v>
      </c>
    </row>
    <row r="39" spans="1:15" x14ac:dyDescent="0.25">
      <c r="A39">
        <v>-15.631300749999999</v>
      </c>
      <c r="B39">
        <v>-15.73307125</v>
      </c>
      <c r="C39">
        <v>13.73288</v>
      </c>
      <c r="D39">
        <v>13.627376249999999</v>
      </c>
      <c r="E39">
        <v>-2.4530427499999998</v>
      </c>
      <c r="F39">
        <v>0.194933</v>
      </c>
      <c r="G39">
        <v>19.728979249999998</v>
      </c>
      <c r="H39">
        <v>-32</v>
      </c>
      <c r="I39">
        <v>36</v>
      </c>
      <c r="J39">
        <v>1.17</v>
      </c>
      <c r="K39">
        <v>5.7785322499999996</v>
      </c>
      <c r="L39">
        <v>-2.2198397188222958</v>
      </c>
      <c r="M39">
        <v>-2.219528176334479</v>
      </c>
      <c r="N39">
        <v>-1.676955023516983</v>
      </c>
      <c r="O39">
        <v>-1.200223169704157</v>
      </c>
    </row>
    <row r="40" spans="1:15" x14ac:dyDescent="0.25">
      <c r="A40">
        <v>14.985941</v>
      </c>
      <c r="B40">
        <v>-14.006270750000001</v>
      </c>
      <c r="C40">
        <v>-13.53089975</v>
      </c>
      <c r="D40">
        <v>13.97791975</v>
      </c>
      <c r="E40">
        <v>2.4587957500000002</v>
      </c>
      <c r="F40">
        <v>0.194933</v>
      </c>
      <c r="G40">
        <v>20.170362000000001</v>
      </c>
      <c r="H40">
        <v>-28</v>
      </c>
      <c r="I40">
        <v>-36</v>
      </c>
      <c r="J40">
        <v>1.17</v>
      </c>
      <c r="K40">
        <v>5.8434609999999996</v>
      </c>
      <c r="L40">
        <v>1.7573400994765991</v>
      </c>
      <c r="M40">
        <v>-1.724521678517984</v>
      </c>
      <c r="N40">
        <v>-1.091480748458727</v>
      </c>
      <c r="O40">
        <v>-0.86047874954797909</v>
      </c>
    </row>
    <row r="41" spans="1:15" x14ac:dyDescent="0.25">
      <c r="A41">
        <v>15.031079</v>
      </c>
      <c r="B41">
        <v>-11.70387</v>
      </c>
      <c r="C41">
        <v>-10.914925500000001</v>
      </c>
      <c r="D41">
        <v>15.643001999999999</v>
      </c>
      <c r="E41">
        <v>4.9175694999999999</v>
      </c>
      <c r="F41">
        <v>0.194933</v>
      </c>
      <c r="G41">
        <v>20.489331</v>
      </c>
      <c r="H41">
        <v>-28</v>
      </c>
      <c r="I41">
        <v>-32</v>
      </c>
      <c r="J41">
        <v>1.17</v>
      </c>
      <c r="K41">
        <v>5.8899305000000002</v>
      </c>
      <c r="L41">
        <v>1.5989639328197149</v>
      </c>
      <c r="M41">
        <v>-1.6852617623060979</v>
      </c>
      <c r="N41">
        <v>-0.95962980713878532</v>
      </c>
      <c r="O41">
        <v>-0.70895989969143502</v>
      </c>
    </row>
    <row r="42" spans="1:15" x14ac:dyDescent="0.25">
      <c r="A42">
        <v>14.985941</v>
      </c>
      <c r="B42">
        <v>-9.64130325</v>
      </c>
      <c r="C42">
        <v>-8.3891570000000009</v>
      </c>
      <c r="D42">
        <v>17.351901999999999</v>
      </c>
      <c r="E42">
        <v>7.1975250000000006</v>
      </c>
      <c r="F42">
        <v>0.194933</v>
      </c>
      <c r="G42">
        <v>20.848265000000001</v>
      </c>
      <c r="H42">
        <v>-28</v>
      </c>
      <c r="I42">
        <v>-28</v>
      </c>
      <c r="J42">
        <v>1.17</v>
      </c>
      <c r="K42">
        <v>5.9417582499999986</v>
      </c>
      <c r="L42">
        <v>1.4417952382206209</v>
      </c>
      <c r="M42">
        <v>-1.66495958838047</v>
      </c>
      <c r="N42">
        <v>-0.841981277808307</v>
      </c>
      <c r="O42">
        <v>-0.56808292676753802</v>
      </c>
    </row>
    <row r="43" spans="1:15" x14ac:dyDescent="0.25">
      <c r="A43">
        <v>14.48941825</v>
      </c>
      <c r="B43">
        <v>-8.0104352500000005</v>
      </c>
      <c r="C43">
        <v>-5.9084922500000001</v>
      </c>
      <c r="D43">
        <v>18.666440000000001</v>
      </c>
      <c r="E43">
        <v>9.0751347500000001</v>
      </c>
      <c r="F43">
        <v>0.194933</v>
      </c>
      <c r="G43">
        <v>21.0483495</v>
      </c>
      <c r="H43">
        <v>-28</v>
      </c>
      <c r="I43">
        <v>-24</v>
      </c>
      <c r="J43">
        <v>1.17</v>
      </c>
      <c r="K43">
        <v>5.9704895000000002</v>
      </c>
      <c r="L43">
        <v>1.2721271189637531</v>
      </c>
      <c r="M43">
        <v>-1.6637743938419109</v>
      </c>
      <c r="N43">
        <v>-0.74675120661749794</v>
      </c>
      <c r="O43">
        <v>-0.44618223848260757</v>
      </c>
    </row>
    <row r="44" spans="1:15" x14ac:dyDescent="0.25">
      <c r="A44">
        <v>13.631786999999999</v>
      </c>
      <c r="B44">
        <v>-6.4755022499999999</v>
      </c>
      <c r="C44">
        <v>-3.2474159999999999</v>
      </c>
      <c r="D44">
        <v>19.411346000000002</v>
      </c>
      <c r="E44">
        <v>10.550399000000001</v>
      </c>
      <c r="F44">
        <v>0.14620649999999999</v>
      </c>
      <c r="G44">
        <v>20.888285499999999</v>
      </c>
      <c r="H44">
        <v>-28</v>
      </c>
      <c r="I44">
        <v>-20</v>
      </c>
      <c r="J44">
        <v>1.17</v>
      </c>
      <c r="K44">
        <v>5.9545302499999986</v>
      </c>
      <c r="L44">
        <v>1.095225948555115</v>
      </c>
      <c r="M44">
        <v>-1.6796729156949579</v>
      </c>
      <c r="N44">
        <v>-0.67078757676901124</v>
      </c>
      <c r="O44">
        <v>-0.32492291492361652</v>
      </c>
    </row>
    <row r="45" spans="1:15" x14ac:dyDescent="0.25">
      <c r="A45">
        <v>12.277633</v>
      </c>
      <c r="B45">
        <v>-5.1324347499999998</v>
      </c>
      <c r="C45">
        <v>-0.63144200000000006</v>
      </c>
      <c r="D45">
        <v>19.498982000000002</v>
      </c>
      <c r="E45">
        <v>11.4444985</v>
      </c>
      <c r="F45">
        <v>0.194933</v>
      </c>
      <c r="G45">
        <v>20.249217250000001</v>
      </c>
      <c r="H45">
        <v>-28</v>
      </c>
      <c r="I45">
        <v>-16</v>
      </c>
      <c r="J45">
        <v>1.17</v>
      </c>
      <c r="K45">
        <v>5.8549720000000001</v>
      </c>
      <c r="L45">
        <v>0.90107343188817079</v>
      </c>
      <c r="M45">
        <v>-1.7194015124032</v>
      </c>
      <c r="N45">
        <v>-0.61469150491341873</v>
      </c>
      <c r="O45">
        <v>-0.21469985313133691</v>
      </c>
    </row>
    <row r="46" spans="1:15" x14ac:dyDescent="0.25">
      <c r="A46">
        <v>10.6075105</v>
      </c>
      <c r="B46">
        <v>-4.3649674999999997</v>
      </c>
      <c r="C46">
        <v>1.310038</v>
      </c>
      <c r="D46">
        <v>19.279892</v>
      </c>
      <c r="E46">
        <v>11.802137999999999</v>
      </c>
      <c r="F46">
        <v>0.194933</v>
      </c>
      <c r="G46">
        <v>19.647789</v>
      </c>
      <c r="H46">
        <v>-28</v>
      </c>
      <c r="I46">
        <v>-12</v>
      </c>
      <c r="J46">
        <v>1.17</v>
      </c>
      <c r="K46">
        <v>5.7664869999999997</v>
      </c>
      <c r="L46">
        <v>0.69751483037890294</v>
      </c>
      <c r="M46">
        <v>-1.7738691378460749</v>
      </c>
      <c r="N46">
        <v>-0.58860494489569437</v>
      </c>
      <c r="O46">
        <v>-0.12920533661608191</v>
      </c>
    </row>
    <row r="47" spans="1:15" x14ac:dyDescent="0.25">
      <c r="A47">
        <v>9.0276639999999997</v>
      </c>
      <c r="B47">
        <v>-3.8373349999999999</v>
      </c>
      <c r="C47">
        <v>3.3428659999999999</v>
      </c>
      <c r="D47">
        <v>19.236073999999999</v>
      </c>
      <c r="E47">
        <v>12.02566375</v>
      </c>
      <c r="F47">
        <v>0.194933</v>
      </c>
      <c r="G47">
        <v>19.3265405</v>
      </c>
      <c r="H47">
        <v>-28</v>
      </c>
      <c r="I47">
        <v>-8</v>
      </c>
      <c r="J47">
        <v>1.17</v>
      </c>
      <c r="K47">
        <v>5.7186975000000002</v>
      </c>
      <c r="L47">
        <v>0.46321112747136728</v>
      </c>
      <c r="M47">
        <v>-1.8800794882756311</v>
      </c>
      <c r="N47">
        <v>-0.59492026486499738</v>
      </c>
      <c r="O47">
        <v>-3.6028678882436292E-2</v>
      </c>
    </row>
    <row r="48" spans="1:15" x14ac:dyDescent="0.25">
      <c r="A48">
        <v>7.4026800000000001</v>
      </c>
      <c r="B48">
        <v>-3.3097007500000002</v>
      </c>
      <c r="C48">
        <v>5.2849994999999996</v>
      </c>
      <c r="D48">
        <v>18.973165999999999</v>
      </c>
      <c r="E48">
        <v>12.249188</v>
      </c>
      <c r="F48">
        <v>0.194933</v>
      </c>
      <c r="G48">
        <v>18.9675245</v>
      </c>
      <c r="H48">
        <v>-28</v>
      </c>
      <c r="I48">
        <v>-4</v>
      </c>
      <c r="J48">
        <v>1.17</v>
      </c>
      <c r="K48">
        <v>5.6647829999999999</v>
      </c>
      <c r="L48">
        <v>0.18805077293739911</v>
      </c>
      <c r="M48">
        <v>-1.978728028209469</v>
      </c>
      <c r="N48">
        <v>-0.59662141370672339</v>
      </c>
      <c r="O48">
        <v>7.0394950032760001E-2</v>
      </c>
    </row>
    <row r="49" spans="1:15" x14ac:dyDescent="0.25">
      <c r="A49">
        <v>5.5971419999999998</v>
      </c>
      <c r="B49">
        <v>-3.11783375</v>
      </c>
      <c r="C49">
        <v>6.820354</v>
      </c>
      <c r="D49">
        <v>18.491168999999999</v>
      </c>
      <c r="E49">
        <v>11.802137999999999</v>
      </c>
      <c r="F49">
        <v>0.14620649999999999</v>
      </c>
      <c r="G49">
        <v>18.3272695</v>
      </c>
      <c r="H49">
        <v>-28</v>
      </c>
      <c r="I49">
        <v>0</v>
      </c>
      <c r="J49">
        <v>1.17</v>
      </c>
      <c r="K49">
        <v>5.5748195000000003</v>
      </c>
      <c r="L49">
        <v>-0.115837820800802</v>
      </c>
      <c r="M49">
        <v>-2.0458078203433239</v>
      </c>
      <c r="N49">
        <v>-0.61779105299972348</v>
      </c>
      <c r="O49">
        <v>0.10350753544205139</v>
      </c>
    </row>
    <row r="50" spans="1:15" x14ac:dyDescent="0.25">
      <c r="A50">
        <v>3.7464654999999998</v>
      </c>
      <c r="B50">
        <v>-2.9259675000000001</v>
      </c>
      <c r="C50">
        <v>8.3109055000000005</v>
      </c>
      <c r="D50">
        <v>18.052990000000001</v>
      </c>
      <c r="E50">
        <v>11.623317999999999</v>
      </c>
      <c r="F50">
        <v>0.14620649999999999</v>
      </c>
      <c r="G50">
        <v>18.007142999999999</v>
      </c>
      <c r="H50">
        <v>-28</v>
      </c>
      <c r="I50">
        <v>4</v>
      </c>
      <c r="J50">
        <v>1.17</v>
      </c>
      <c r="K50">
        <v>5.5254882500000004</v>
      </c>
      <c r="L50">
        <v>-0.40703584469415183</v>
      </c>
      <c r="M50">
        <v>-1.8709811627297219</v>
      </c>
      <c r="N50">
        <v>-0.56932063017225865</v>
      </c>
      <c r="O50">
        <v>2.361813176224967E-2</v>
      </c>
    </row>
    <row r="51" spans="1:15" x14ac:dyDescent="0.25">
      <c r="A51">
        <v>1.8506497500000001</v>
      </c>
      <c r="B51">
        <v>-2.9259675000000001</v>
      </c>
      <c r="C51">
        <v>9.6220477500000001</v>
      </c>
      <c r="D51">
        <v>17.8338985</v>
      </c>
      <c r="E51">
        <v>11.355088500000001</v>
      </c>
      <c r="F51">
        <v>0.194933</v>
      </c>
      <c r="G51">
        <v>18.007142999999999</v>
      </c>
      <c r="H51">
        <v>-28</v>
      </c>
      <c r="I51">
        <v>8</v>
      </c>
      <c r="J51">
        <v>1.17</v>
      </c>
      <c r="K51">
        <v>5.5179774999999998</v>
      </c>
      <c r="L51">
        <v>-0.65351628346196866</v>
      </c>
      <c r="M51">
        <v>-1.7456537654491699</v>
      </c>
      <c r="N51">
        <v>-0.5594377133936137</v>
      </c>
      <c r="O51">
        <v>-6.1541294225976567E-2</v>
      </c>
    </row>
    <row r="52" spans="1:15" x14ac:dyDescent="0.25">
      <c r="A52">
        <v>-2.5999999999999998E-5</v>
      </c>
      <c r="B52">
        <v>-3.11783375</v>
      </c>
      <c r="C52">
        <v>11.20239875</v>
      </c>
      <c r="D52">
        <v>17.9215345</v>
      </c>
      <c r="E52">
        <v>11.04215325</v>
      </c>
      <c r="F52">
        <v>9.7479999999999997E-2</v>
      </c>
      <c r="G52">
        <v>18.447313000000001</v>
      </c>
      <c r="H52">
        <v>-28</v>
      </c>
      <c r="I52">
        <v>12</v>
      </c>
      <c r="J52">
        <v>1.17</v>
      </c>
      <c r="K52">
        <v>5.6005744999999996</v>
      </c>
      <c r="L52">
        <v>-0.88906051020372434</v>
      </c>
      <c r="M52">
        <v>-1.6697107631533179</v>
      </c>
      <c r="N52">
        <v>-0.5877813316376006</v>
      </c>
      <c r="O52">
        <v>-0.13148273140663139</v>
      </c>
    </row>
    <row r="53" spans="1:15" x14ac:dyDescent="0.25">
      <c r="A53">
        <v>-2.1174935000000001</v>
      </c>
      <c r="B53">
        <v>-3.6934347500000002</v>
      </c>
      <c r="C53">
        <v>12.512361500000001</v>
      </c>
      <c r="D53">
        <v>17.877715999999999</v>
      </c>
      <c r="E53">
        <v>10.371578</v>
      </c>
      <c r="F53">
        <v>0.194933</v>
      </c>
      <c r="G53">
        <v>18.927513749999999</v>
      </c>
      <c r="H53">
        <v>-28</v>
      </c>
      <c r="I53">
        <v>16</v>
      </c>
      <c r="J53">
        <v>1.17</v>
      </c>
      <c r="K53">
        <v>5.6587457499999996</v>
      </c>
      <c r="L53">
        <v>-1.101894925524515</v>
      </c>
      <c r="M53">
        <v>-1.6247098739581429</v>
      </c>
      <c r="N53">
        <v>-0.64441086692383664</v>
      </c>
      <c r="O53">
        <v>-0.233496781800937</v>
      </c>
    </row>
    <row r="54" spans="1:15" x14ac:dyDescent="0.25">
      <c r="A54">
        <v>-4.3250740000000008</v>
      </c>
      <c r="B54">
        <v>-4.8926014999999996</v>
      </c>
      <c r="C54">
        <v>13.68589725</v>
      </c>
      <c r="D54">
        <v>17.483356000000001</v>
      </c>
      <c r="E54">
        <v>9.1198399999999999</v>
      </c>
      <c r="F54">
        <v>0.194933</v>
      </c>
      <c r="G54">
        <v>19.3265405</v>
      </c>
      <c r="H54">
        <v>-28</v>
      </c>
      <c r="I54">
        <v>20</v>
      </c>
      <c r="J54">
        <v>1.17</v>
      </c>
      <c r="K54">
        <v>5.7186975000000002</v>
      </c>
      <c r="L54">
        <v>-1.311950619069693</v>
      </c>
      <c r="M54">
        <v>-1.6298763078045491</v>
      </c>
      <c r="N54">
        <v>-0.74345753262587344</v>
      </c>
      <c r="O54">
        <v>-0.34989986116831379</v>
      </c>
    </row>
    <row r="55" spans="1:15" x14ac:dyDescent="0.25">
      <c r="A55">
        <v>-6.6223432500000001</v>
      </c>
      <c r="B55">
        <v>-6.6673692500000001</v>
      </c>
      <c r="C55">
        <v>14.634432500000001</v>
      </c>
      <c r="D55">
        <v>16.826087999999999</v>
      </c>
      <c r="E55">
        <v>7.3316400000000002</v>
      </c>
      <c r="F55">
        <v>0.194933</v>
      </c>
      <c r="G55">
        <v>19.567757</v>
      </c>
      <c r="H55">
        <v>-28</v>
      </c>
      <c r="I55">
        <v>24</v>
      </c>
      <c r="J55">
        <v>1.17</v>
      </c>
      <c r="K55">
        <v>5.7546122500000001</v>
      </c>
      <c r="L55">
        <v>-1.520913404613738</v>
      </c>
      <c r="M55">
        <v>-1.6809480580477849</v>
      </c>
      <c r="N55">
        <v>-0.87545993060006277</v>
      </c>
      <c r="O55">
        <v>-0.48936077996590899</v>
      </c>
    </row>
    <row r="56" spans="1:15" x14ac:dyDescent="0.25">
      <c r="A56">
        <v>-9.0556280000000005</v>
      </c>
      <c r="B56">
        <v>-9.0657027499999998</v>
      </c>
      <c r="C56">
        <v>15.359142</v>
      </c>
      <c r="D56">
        <v>15.949728</v>
      </c>
      <c r="E56">
        <v>5.0963895000000008</v>
      </c>
      <c r="F56">
        <v>0.194933</v>
      </c>
      <c r="G56">
        <v>19.850199</v>
      </c>
      <c r="H56">
        <v>-28</v>
      </c>
      <c r="I56">
        <v>28</v>
      </c>
      <c r="J56">
        <v>1.17</v>
      </c>
      <c r="K56">
        <v>5.7964419999999999</v>
      </c>
      <c r="L56">
        <v>-1.7246075331748421</v>
      </c>
      <c r="M56">
        <v>-1.7670363502824109</v>
      </c>
      <c r="N56">
        <v>-1.04220374163672</v>
      </c>
      <c r="O56">
        <v>-0.65378839826841872</v>
      </c>
    </row>
    <row r="57" spans="1:15" x14ac:dyDescent="0.25">
      <c r="A57">
        <v>-11.48847625</v>
      </c>
      <c r="B57">
        <v>-11.55996975</v>
      </c>
      <c r="C57">
        <v>15.855014499999999</v>
      </c>
      <c r="D57">
        <v>14.76664375</v>
      </c>
      <c r="E57">
        <v>2.3246799999999999</v>
      </c>
      <c r="F57">
        <v>0.14620649999999999</v>
      </c>
      <c r="G57">
        <v>20.20919675</v>
      </c>
      <c r="H57">
        <v>-28</v>
      </c>
      <c r="I57">
        <v>32</v>
      </c>
      <c r="J57">
        <v>1.17</v>
      </c>
      <c r="K57">
        <v>5.8562124999999998</v>
      </c>
      <c r="L57">
        <v>-1.974438167554909</v>
      </c>
      <c r="M57">
        <v>-1.9010088744274309</v>
      </c>
      <c r="N57">
        <v>-1.291450805688912</v>
      </c>
      <c r="O57">
        <v>-0.84267024303049143</v>
      </c>
    </row>
    <row r="58" spans="1:15" x14ac:dyDescent="0.25">
      <c r="A58">
        <v>-14.10155975</v>
      </c>
      <c r="B58">
        <v>-14.390003999999999</v>
      </c>
      <c r="C58">
        <v>15.946403999999999</v>
      </c>
      <c r="D58">
        <v>13.364469</v>
      </c>
      <c r="E58">
        <v>-0.84741350000000004</v>
      </c>
      <c r="F58">
        <v>0.194933</v>
      </c>
      <c r="G58">
        <v>20.529342</v>
      </c>
      <c r="H58">
        <v>-28</v>
      </c>
      <c r="I58">
        <v>36</v>
      </c>
      <c r="J58">
        <v>1.17</v>
      </c>
      <c r="K58">
        <v>5.8957257500000004</v>
      </c>
      <c r="L58">
        <v>-2.2426751190697058</v>
      </c>
      <c r="M58">
        <v>-2.0715200915542189</v>
      </c>
      <c r="N58">
        <v>-1.5954854187972569</v>
      </c>
      <c r="O58">
        <v>-1.077780322994369</v>
      </c>
    </row>
    <row r="59" spans="1:15" x14ac:dyDescent="0.25">
      <c r="A59">
        <v>17.152585999999999</v>
      </c>
      <c r="B59">
        <v>-12.327437</v>
      </c>
      <c r="C59">
        <v>-11.862088249999999</v>
      </c>
      <c r="D59">
        <v>13.53974075</v>
      </c>
      <c r="E59">
        <v>4.4705190000000004</v>
      </c>
      <c r="F59">
        <v>0.194933</v>
      </c>
      <c r="G59">
        <v>20.968317500000001</v>
      </c>
      <c r="H59">
        <v>-24</v>
      </c>
      <c r="I59">
        <v>-36</v>
      </c>
      <c r="J59">
        <v>1.17</v>
      </c>
      <c r="K59">
        <v>5.9590104999999998</v>
      </c>
      <c r="L59">
        <v>1.751597356314142</v>
      </c>
      <c r="M59">
        <v>-1.561585639619161</v>
      </c>
      <c r="N59">
        <v>-0.99601866150638596</v>
      </c>
      <c r="O59">
        <v>-0.74187438371093284</v>
      </c>
    </row>
    <row r="60" spans="1:15" x14ac:dyDescent="0.25">
      <c r="A60">
        <v>17.288002250000002</v>
      </c>
      <c r="B60">
        <v>-9.6413027499999995</v>
      </c>
      <c r="C60">
        <v>-9.0657029999999992</v>
      </c>
      <c r="D60">
        <v>15.29245875</v>
      </c>
      <c r="E60">
        <v>7.1975250000000006</v>
      </c>
      <c r="F60">
        <v>0.194933</v>
      </c>
      <c r="G60">
        <v>21.0483495</v>
      </c>
      <c r="H60">
        <v>-24</v>
      </c>
      <c r="I60">
        <v>-32</v>
      </c>
      <c r="J60">
        <v>1.17</v>
      </c>
      <c r="K60">
        <v>5.9704895000000002</v>
      </c>
      <c r="L60">
        <v>1.5922598801266601</v>
      </c>
      <c r="M60">
        <v>-1.5064929658500821</v>
      </c>
      <c r="N60">
        <v>-0.83689416737059696</v>
      </c>
      <c r="O60">
        <v>-0.5768789234799796</v>
      </c>
    </row>
    <row r="61" spans="1:15" x14ac:dyDescent="0.25">
      <c r="A61">
        <v>16.746340750000002</v>
      </c>
      <c r="B61">
        <v>-7.1470347500000004</v>
      </c>
      <c r="C61">
        <v>-6.1791102500000008</v>
      </c>
      <c r="D61">
        <v>16.475543999999999</v>
      </c>
      <c r="E61">
        <v>9.3433632499999995</v>
      </c>
      <c r="F61">
        <v>0.14620649999999999</v>
      </c>
      <c r="G61">
        <v>20.848265000000001</v>
      </c>
      <c r="H61">
        <v>-24</v>
      </c>
      <c r="I61">
        <v>-28</v>
      </c>
      <c r="J61">
        <v>1.17</v>
      </c>
      <c r="K61">
        <v>5.9487312499999998</v>
      </c>
      <c r="L61">
        <v>1.4322783829663279</v>
      </c>
      <c r="M61">
        <v>-1.4758477800486181</v>
      </c>
      <c r="N61">
        <v>-0.71876402391392114</v>
      </c>
      <c r="O61">
        <v>-0.42542209262012931</v>
      </c>
    </row>
    <row r="62" spans="1:15" x14ac:dyDescent="0.25">
      <c r="A62">
        <v>15.572740749999999</v>
      </c>
      <c r="B62">
        <v>-5.0365012499999997</v>
      </c>
      <c r="C62">
        <v>-3.3827250000000002</v>
      </c>
      <c r="D62">
        <v>17.176629999999999</v>
      </c>
      <c r="E62">
        <v>10.95274375</v>
      </c>
      <c r="F62">
        <v>0.14620649999999999</v>
      </c>
      <c r="G62">
        <v>20.049124500000001</v>
      </c>
      <c r="H62">
        <v>-24</v>
      </c>
      <c r="I62">
        <v>-24</v>
      </c>
      <c r="J62">
        <v>1.17</v>
      </c>
      <c r="K62">
        <v>5.8328305</v>
      </c>
      <c r="L62">
        <v>1.250179708131411</v>
      </c>
      <c r="M62">
        <v>-1.4650022696936871</v>
      </c>
      <c r="N62">
        <v>-0.59991952099875623</v>
      </c>
      <c r="O62">
        <v>-0.28724908809895422</v>
      </c>
    </row>
    <row r="63" spans="1:15" x14ac:dyDescent="0.25">
      <c r="A63">
        <v>14.444279999999999</v>
      </c>
      <c r="B63">
        <v>-3.50156775</v>
      </c>
      <c r="C63">
        <v>-0.99226600000000009</v>
      </c>
      <c r="D63">
        <v>17.658628</v>
      </c>
      <c r="E63">
        <v>12.159777999999999</v>
      </c>
      <c r="F63">
        <v>0.194933</v>
      </c>
      <c r="G63">
        <v>19.607777500000001</v>
      </c>
      <c r="H63">
        <v>-24</v>
      </c>
      <c r="I63">
        <v>-20</v>
      </c>
      <c r="J63">
        <v>1.17</v>
      </c>
      <c r="K63">
        <v>5.7605745000000006</v>
      </c>
      <c r="L63">
        <v>1.071484707066215</v>
      </c>
      <c r="M63">
        <v>-1.4687754771006289</v>
      </c>
      <c r="N63">
        <v>-0.5170223935107302</v>
      </c>
      <c r="O63">
        <v>-0.16947046984221731</v>
      </c>
    </row>
    <row r="64" spans="1:15" x14ac:dyDescent="0.25">
      <c r="A64">
        <v>13.225541249999999</v>
      </c>
      <c r="B64">
        <v>-2.3503677500000002</v>
      </c>
      <c r="C64">
        <v>1.084093</v>
      </c>
      <c r="D64">
        <v>18.009171500000001</v>
      </c>
      <c r="E64">
        <v>13.187993000000001</v>
      </c>
      <c r="F64">
        <v>0.194933</v>
      </c>
      <c r="G64">
        <v>19.209869000000001</v>
      </c>
      <c r="H64">
        <v>-24</v>
      </c>
      <c r="I64">
        <v>-16</v>
      </c>
      <c r="J64">
        <v>1.17</v>
      </c>
      <c r="K64">
        <v>5.7012419999999997</v>
      </c>
      <c r="L64">
        <v>0.87847103150076256</v>
      </c>
      <c r="M64">
        <v>-1.4731036958218959</v>
      </c>
      <c r="N64">
        <v>-0.43571818906928028</v>
      </c>
      <c r="O64">
        <v>-5.9921591326054298E-2</v>
      </c>
    </row>
    <row r="65" spans="1:15" x14ac:dyDescent="0.25">
      <c r="A65">
        <v>11.735972</v>
      </c>
      <c r="B65">
        <v>-1.5829007500000001</v>
      </c>
      <c r="C65">
        <v>2.8459530000000002</v>
      </c>
      <c r="D65">
        <v>17.965353</v>
      </c>
      <c r="E65">
        <v>13.590337999999999</v>
      </c>
      <c r="F65">
        <v>0.194933</v>
      </c>
      <c r="G65">
        <v>18.569541999999998</v>
      </c>
      <c r="H65">
        <v>-24</v>
      </c>
      <c r="I65">
        <v>-12</v>
      </c>
      <c r="J65">
        <v>1.17</v>
      </c>
      <c r="K65">
        <v>5.6044260000000001</v>
      </c>
      <c r="L65">
        <v>0.68601022292340497</v>
      </c>
      <c r="M65">
        <v>-1.5084854827673031</v>
      </c>
      <c r="N65">
        <v>-0.38424784583760418</v>
      </c>
      <c r="O65">
        <v>3.3730595366703767E-2</v>
      </c>
    </row>
    <row r="66" spans="1:15" x14ac:dyDescent="0.25">
      <c r="A66">
        <v>10.5172335</v>
      </c>
      <c r="B66">
        <v>-1.0552675</v>
      </c>
      <c r="C66">
        <v>4.9239550000000003</v>
      </c>
      <c r="D66">
        <v>18.491168999999999</v>
      </c>
      <c r="E66">
        <v>14.305618000000001</v>
      </c>
      <c r="F66">
        <v>0.14620649999999999</v>
      </c>
      <c r="G66">
        <v>18.929728000000001</v>
      </c>
      <c r="H66">
        <v>-24</v>
      </c>
      <c r="I66">
        <v>-8</v>
      </c>
      <c r="J66">
        <v>1.1675</v>
      </c>
      <c r="K66">
        <v>5.6724752499999997</v>
      </c>
      <c r="L66">
        <v>0.45208082117525111</v>
      </c>
      <c r="M66">
        <v>-1.579990452930528</v>
      </c>
      <c r="N66">
        <v>-0.37377420922469518</v>
      </c>
      <c r="O66">
        <v>0.144561955563457</v>
      </c>
    </row>
    <row r="67" spans="1:15" x14ac:dyDescent="0.25">
      <c r="A67">
        <v>9.2082189999999997</v>
      </c>
      <c r="B67">
        <v>-0.95933400000000002</v>
      </c>
      <c r="C67">
        <v>7.0466662500000004</v>
      </c>
      <c r="D67">
        <v>19.148437999999999</v>
      </c>
      <c r="E67">
        <v>14.931488</v>
      </c>
      <c r="F67">
        <v>0.194933</v>
      </c>
      <c r="G67">
        <v>19.449994</v>
      </c>
      <c r="H67">
        <v>-24</v>
      </c>
      <c r="I67">
        <v>-4</v>
      </c>
      <c r="J67">
        <v>1.17</v>
      </c>
      <c r="K67">
        <v>5.7371154999999998</v>
      </c>
      <c r="L67">
        <v>0.18183921013069171</v>
      </c>
      <c r="M67">
        <v>-1.69158371575365</v>
      </c>
      <c r="N67">
        <v>-0.38017382825384499</v>
      </c>
      <c r="O67">
        <v>0.2396483492022512</v>
      </c>
    </row>
    <row r="68" spans="1:15" x14ac:dyDescent="0.25">
      <c r="A68">
        <v>7.583234</v>
      </c>
      <c r="B68">
        <v>-0.67153350000000001</v>
      </c>
      <c r="C68">
        <v>9.0341947500000011</v>
      </c>
      <c r="D68">
        <v>19.455164</v>
      </c>
      <c r="E68">
        <v>15.289127499999999</v>
      </c>
      <c r="F68">
        <v>0.194933</v>
      </c>
      <c r="G68">
        <v>19.690117000000001</v>
      </c>
      <c r="H68">
        <v>-24</v>
      </c>
      <c r="I68">
        <v>0</v>
      </c>
      <c r="J68">
        <v>1.17</v>
      </c>
      <c r="K68">
        <v>5.7727899999999996</v>
      </c>
      <c r="L68">
        <v>-0.12262617662706241</v>
      </c>
      <c r="M68">
        <v>-1.7009479324798951</v>
      </c>
      <c r="N68">
        <v>-0.37200081104000499</v>
      </c>
      <c r="O68">
        <v>0.27560847502028002</v>
      </c>
    </row>
    <row r="69" spans="1:15" x14ac:dyDescent="0.25">
      <c r="A69">
        <v>5.9131114999999994</v>
      </c>
      <c r="B69">
        <v>-0.5756</v>
      </c>
      <c r="C69">
        <v>10.886919000000001</v>
      </c>
      <c r="D69">
        <v>19.805707999999999</v>
      </c>
      <c r="E69">
        <v>15.467947499999999</v>
      </c>
      <c r="F69">
        <v>0.194933</v>
      </c>
      <c r="G69">
        <v>20.169176499999999</v>
      </c>
      <c r="H69">
        <v>-24</v>
      </c>
      <c r="I69">
        <v>4</v>
      </c>
      <c r="J69">
        <v>1.17</v>
      </c>
      <c r="K69">
        <v>5.8432645000000001</v>
      </c>
      <c r="L69">
        <v>-0.38860371947530542</v>
      </c>
      <c r="M69">
        <v>-1.592443727281786</v>
      </c>
      <c r="N69">
        <v>-0.36731221584645107</v>
      </c>
      <c r="O69">
        <v>0.19328316341864871</v>
      </c>
    </row>
    <row r="70" spans="1:15" x14ac:dyDescent="0.25">
      <c r="A70">
        <v>4.1075727500000001</v>
      </c>
      <c r="B70">
        <v>-0.52763349999999998</v>
      </c>
      <c r="C70">
        <v>12.601857000000001</v>
      </c>
      <c r="D70">
        <v>19.805707999999999</v>
      </c>
      <c r="E70">
        <v>15.378537</v>
      </c>
      <c r="F70">
        <v>0.194933</v>
      </c>
      <c r="G70">
        <v>20.568158</v>
      </c>
      <c r="H70">
        <v>-24</v>
      </c>
      <c r="I70">
        <v>8</v>
      </c>
      <c r="J70">
        <v>1.17</v>
      </c>
      <c r="K70">
        <v>5.9013475</v>
      </c>
      <c r="L70">
        <v>-0.62514311958164215</v>
      </c>
      <c r="M70">
        <v>-1.496367038461357</v>
      </c>
      <c r="N70">
        <v>-0.38190022161685022</v>
      </c>
      <c r="O70">
        <v>0.117407028741518</v>
      </c>
    </row>
    <row r="71" spans="1:15" x14ac:dyDescent="0.25">
      <c r="A71">
        <v>1.8957885000000001</v>
      </c>
      <c r="B71">
        <v>-0.81543374999999996</v>
      </c>
      <c r="C71">
        <v>14.093343000000001</v>
      </c>
      <c r="D71">
        <v>19.586618000000001</v>
      </c>
      <c r="E71">
        <v>14.842078000000001</v>
      </c>
      <c r="F71">
        <v>0.194933</v>
      </c>
      <c r="G71">
        <v>20.728223</v>
      </c>
      <c r="H71">
        <v>-24</v>
      </c>
      <c r="I71">
        <v>12</v>
      </c>
      <c r="J71">
        <v>1.17</v>
      </c>
      <c r="K71">
        <v>5.9244845000000002</v>
      </c>
      <c r="L71">
        <v>-0.85285718987966208</v>
      </c>
      <c r="M71">
        <v>-1.426566171093254</v>
      </c>
      <c r="N71">
        <v>-0.41156671236422793</v>
      </c>
      <c r="O71">
        <v>2.4169355218754209E-2</v>
      </c>
    </row>
    <row r="72" spans="1:15" x14ac:dyDescent="0.25">
      <c r="A72">
        <v>-0.45049925000000002</v>
      </c>
      <c r="B72">
        <v>-1.5829007500000001</v>
      </c>
      <c r="C72">
        <v>15.630186</v>
      </c>
      <c r="D72">
        <v>19.279892</v>
      </c>
      <c r="E72">
        <v>13.90327375</v>
      </c>
      <c r="F72">
        <v>0.194933</v>
      </c>
      <c r="G72">
        <v>21.050815</v>
      </c>
      <c r="H72">
        <v>-24</v>
      </c>
      <c r="I72">
        <v>16</v>
      </c>
      <c r="J72">
        <v>1.17</v>
      </c>
      <c r="K72">
        <v>5.9708415000000006</v>
      </c>
      <c r="L72">
        <v>-1.077806755981183</v>
      </c>
      <c r="M72">
        <v>-1.3983410827814391</v>
      </c>
      <c r="N72">
        <v>-0.47907818923171891</v>
      </c>
      <c r="O72">
        <v>-8.1190314665725488E-2</v>
      </c>
    </row>
    <row r="73" spans="1:15" x14ac:dyDescent="0.25">
      <c r="A73">
        <v>-2.5680162499999999</v>
      </c>
      <c r="B73">
        <v>-2.8780009999999998</v>
      </c>
      <c r="C73">
        <v>16.080867999999999</v>
      </c>
      <c r="D73">
        <v>17.877715999999999</v>
      </c>
      <c r="E73">
        <v>11.891548500000001</v>
      </c>
      <c r="F73">
        <v>0.194933</v>
      </c>
      <c r="G73">
        <v>20.486931500000001</v>
      </c>
      <c r="H73">
        <v>-24</v>
      </c>
      <c r="I73">
        <v>20</v>
      </c>
      <c r="J73">
        <v>1.17</v>
      </c>
      <c r="K73">
        <v>5.8895599999999986</v>
      </c>
      <c r="L73">
        <v>-1.276097149619285</v>
      </c>
      <c r="M73">
        <v>-1.420298456894179</v>
      </c>
      <c r="N73">
        <v>-0.58817294006372989</v>
      </c>
      <c r="O73">
        <v>-0.19965606777860229</v>
      </c>
    </row>
    <row r="74" spans="1:15" x14ac:dyDescent="0.25">
      <c r="A74">
        <v>-4.8660265000000003</v>
      </c>
      <c r="B74">
        <v>-4.7007345000000003</v>
      </c>
      <c r="C74">
        <v>16.261551000000001</v>
      </c>
      <c r="D74">
        <v>16.300270000000001</v>
      </c>
      <c r="E74">
        <v>9.2986579999999996</v>
      </c>
      <c r="F74">
        <v>0.194933</v>
      </c>
      <c r="G74">
        <v>19.966757250000001</v>
      </c>
      <c r="H74">
        <v>-24</v>
      </c>
      <c r="I74">
        <v>24</v>
      </c>
      <c r="J74">
        <v>1.17</v>
      </c>
      <c r="K74">
        <v>5.8135952500000014</v>
      </c>
      <c r="L74">
        <v>-1.5003382935414269</v>
      </c>
      <c r="M74">
        <v>-1.491368044735758</v>
      </c>
      <c r="N74">
        <v>-0.75761815355838091</v>
      </c>
      <c r="O74">
        <v>-0.35348738842304311</v>
      </c>
    </row>
    <row r="75" spans="1:15" x14ac:dyDescent="0.25">
      <c r="A75">
        <v>-6.8480350000000003</v>
      </c>
      <c r="B75">
        <v>-6.6673692500000001</v>
      </c>
      <c r="C75">
        <v>16.306725</v>
      </c>
      <c r="D75">
        <v>14.854279249999999</v>
      </c>
      <c r="E75">
        <v>6.7951779999999999</v>
      </c>
      <c r="F75">
        <v>9.7479999999999997E-2</v>
      </c>
      <c r="G75">
        <v>19.4477145</v>
      </c>
      <c r="H75">
        <v>-24</v>
      </c>
      <c r="I75">
        <v>28</v>
      </c>
      <c r="J75">
        <v>1.1625000000000001</v>
      </c>
      <c r="K75">
        <v>5.7698377500000007</v>
      </c>
      <c r="L75">
        <v>-1.708472687391386</v>
      </c>
      <c r="M75">
        <v>-1.588026900694016</v>
      </c>
      <c r="N75">
        <v>-0.9336489170207195</v>
      </c>
      <c r="O75">
        <v>-0.50581932580316313</v>
      </c>
    </row>
    <row r="76" spans="1:15" x14ac:dyDescent="0.25">
      <c r="A76">
        <v>-8.9661055000000012</v>
      </c>
      <c r="B76">
        <v>-8.8258700000000001</v>
      </c>
      <c r="C76">
        <v>16.259404249999999</v>
      </c>
      <c r="D76">
        <v>13.145379</v>
      </c>
      <c r="E76">
        <v>3.934059</v>
      </c>
      <c r="F76">
        <v>9.7479999999999997E-2</v>
      </c>
      <c r="G76">
        <v>19.127587500000001</v>
      </c>
      <c r="H76">
        <v>-24</v>
      </c>
      <c r="I76">
        <v>32</v>
      </c>
      <c r="J76">
        <v>1.17</v>
      </c>
      <c r="K76">
        <v>5.7034857499999996</v>
      </c>
      <c r="L76">
        <v>-1.966127196110619</v>
      </c>
      <c r="M76">
        <v>-1.712499834953997</v>
      </c>
      <c r="N76">
        <v>-1.1842362632268271</v>
      </c>
      <c r="O76">
        <v>-0.7009798199057411</v>
      </c>
    </row>
    <row r="77" spans="1:15" x14ac:dyDescent="0.25">
      <c r="A77">
        <v>-10.993616250000001</v>
      </c>
      <c r="B77">
        <v>-10.936401999999999</v>
      </c>
      <c r="C77">
        <v>16.124977000000001</v>
      </c>
      <c r="D77">
        <v>11.567933</v>
      </c>
      <c r="E77">
        <v>0.98352950000000006</v>
      </c>
      <c r="F77">
        <v>0.14620649999999999</v>
      </c>
      <c r="G77">
        <v>18.808563500000002</v>
      </c>
      <c r="H77">
        <v>-24</v>
      </c>
      <c r="I77">
        <v>36</v>
      </c>
      <c r="J77">
        <v>1.17</v>
      </c>
      <c r="K77">
        <v>5.6480959999999998</v>
      </c>
      <c r="L77">
        <v>-2.269719571919206</v>
      </c>
      <c r="M77">
        <v>-1.883487673028944</v>
      </c>
      <c r="N77">
        <v>-1.4919567875137161</v>
      </c>
      <c r="O77">
        <v>-0.92988303975368747</v>
      </c>
    </row>
    <row r="78" spans="1:15" x14ac:dyDescent="0.25">
      <c r="A78">
        <v>16.430371999999998</v>
      </c>
      <c r="B78">
        <v>-8.6819697500000004</v>
      </c>
      <c r="C78">
        <v>-9.0206</v>
      </c>
      <c r="D78">
        <v>10.9983</v>
      </c>
      <c r="E78">
        <v>5.2752100000000004</v>
      </c>
      <c r="F78">
        <v>0.194933</v>
      </c>
      <c r="G78">
        <v>18.448396750000001</v>
      </c>
      <c r="H78">
        <v>-20</v>
      </c>
      <c r="I78">
        <v>-36</v>
      </c>
      <c r="J78">
        <v>1.17</v>
      </c>
      <c r="K78">
        <v>5.5859104999999998</v>
      </c>
      <c r="L78">
        <v>1.8016782307152539</v>
      </c>
      <c r="M78">
        <v>-1.393184802723302</v>
      </c>
      <c r="N78">
        <v>-0.93255726600316624</v>
      </c>
      <c r="O78">
        <v>-0.64037123479989722</v>
      </c>
    </row>
    <row r="79" spans="1:15" x14ac:dyDescent="0.25">
      <c r="A79">
        <v>16.15954</v>
      </c>
      <c r="B79">
        <v>-6.2836352499999997</v>
      </c>
      <c r="C79">
        <v>-6.3595230000000003</v>
      </c>
      <c r="D79">
        <v>12.269021</v>
      </c>
      <c r="E79">
        <v>7.6445740000000004</v>
      </c>
      <c r="F79">
        <v>0.14620649999999999</v>
      </c>
      <c r="G79">
        <v>18.247237500000001</v>
      </c>
      <c r="H79">
        <v>-20</v>
      </c>
      <c r="I79">
        <v>-32</v>
      </c>
      <c r="J79">
        <v>1.1599999999999999</v>
      </c>
      <c r="K79">
        <v>5.5864637500000001</v>
      </c>
      <c r="L79">
        <v>1.6124293158899461</v>
      </c>
      <c r="M79">
        <v>-1.328403611261155</v>
      </c>
      <c r="N79">
        <v>-0.75918802911007977</v>
      </c>
      <c r="O79">
        <v>-0.4630975510846661</v>
      </c>
    </row>
    <row r="80" spans="1:15" x14ac:dyDescent="0.25">
      <c r="A80">
        <v>15.708157</v>
      </c>
      <c r="B80">
        <v>-4.0771685</v>
      </c>
      <c r="C80">
        <v>-3.9239605000000002</v>
      </c>
      <c r="D80">
        <v>13.495922999999999</v>
      </c>
      <c r="E80">
        <v>9.6562999999999999</v>
      </c>
      <c r="F80">
        <v>0.194933</v>
      </c>
      <c r="G80">
        <v>18.045061</v>
      </c>
      <c r="H80">
        <v>-20</v>
      </c>
      <c r="I80">
        <v>-28</v>
      </c>
      <c r="J80">
        <v>1.1599999999999999</v>
      </c>
      <c r="K80">
        <v>5.5476095000000001</v>
      </c>
      <c r="L80">
        <v>1.437536421250976</v>
      </c>
      <c r="M80">
        <v>-1.2867989866545559</v>
      </c>
      <c r="N80">
        <v>-0.61433327451710262</v>
      </c>
      <c r="O80">
        <v>-0.30716099862822022</v>
      </c>
    </row>
    <row r="81" spans="1:15" x14ac:dyDescent="0.25">
      <c r="A81">
        <v>15.21163175</v>
      </c>
      <c r="B81">
        <v>-2.3983344999999998</v>
      </c>
      <c r="C81">
        <v>-1.668811</v>
      </c>
      <c r="D81">
        <v>14.547553000000001</v>
      </c>
      <c r="E81">
        <v>11.48920375</v>
      </c>
      <c r="F81">
        <v>0.194933</v>
      </c>
      <c r="G81">
        <v>18.046107500000002</v>
      </c>
      <c r="H81">
        <v>-20</v>
      </c>
      <c r="I81">
        <v>-24</v>
      </c>
      <c r="J81">
        <v>1.1599999999999999</v>
      </c>
      <c r="K81">
        <v>5.5477725000000007</v>
      </c>
      <c r="L81">
        <v>1.248302767397057</v>
      </c>
      <c r="M81">
        <v>-1.2531620860572981</v>
      </c>
      <c r="N81">
        <v>-0.48490517159858071</v>
      </c>
      <c r="O81">
        <v>-0.1647860174183218</v>
      </c>
    </row>
    <row r="82" spans="1:15" x14ac:dyDescent="0.25">
      <c r="A82">
        <v>15.121354999999999</v>
      </c>
      <c r="B82">
        <v>-0.91136725000000007</v>
      </c>
      <c r="C82">
        <v>0.54204074999999996</v>
      </c>
      <c r="D82">
        <v>16.125</v>
      </c>
      <c r="E82">
        <v>13.45622225</v>
      </c>
      <c r="F82">
        <v>0.14620649999999999</v>
      </c>
      <c r="G82">
        <v>18.648481</v>
      </c>
      <c r="H82">
        <v>-20</v>
      </c>
      <c r="I82">
        <v>-20</v>
      </c>
      <c r="J82">
        <v>1.1599999999999999</v>
      </c>
      <c r="K82">
        <v>5.6480129999999997</v>
      </c>
      <c r="L82">
        <v>1.068823349551226</v>
      </c>
      <c r="M82">
        <v>-1.2489552330228699</v>
      </c>
      <c r="N82">
        <v>-0.38070570573844542</v>
      </c>
      <c r="O82">
        <v>-2.421131729928189E-2</v>
      </c>
    </row>
    <row r="83" spans="1:15" x14ac:dyDescent="0.25">
      <c r="A83">
        <v>14.624833000000001</v>
      </c>
      <c r="B83">
        <v>4.8109499999999999E-2</v>
      </c>
      <c r="C83">
        <v>2.4845609999999998</v>
      </c>
      <c r="D83">
        <v>17.351901999999999</v>
      </c>
      <c r="E83">
        <v>15.020898000000001</v>
      </c>
      <c r="F83">
        <v>0.194933</v>
      </c>
      <c r="G83">
        <v>19.209869000000001</v>
      </c>
      <c r="H83">
        <v>-20</v>
      </c>
      <c r="I83">
        <v>-16</v>
      </c>
      <c r="J83">
        <v>1.17</v>
      </c>
      <c r="K83">
        <v>5.7012419999999997</v>
      </c>
      <c r="L83">
        <v>0.88263444141400638</v>
      </c>
      <c r="M83">
        <v>-1.2580449508757241</v>
      </c>
      <c r="N83">
        <v>-0.30455838380398892</v>
      </c>
      <c r="O83">
        <v>7.7919121124139068E-2</v>
      </c>
    </row>
    <row r="84" spans="1:15" x14ac:dyDescent="0.25">
      <c r="A84">
        <v>13.722063</v>
      </c>
      <c r="B84">
        <v>0.76961800000000002</v>
      </c>
      <c r="C84">
        <v>4.5625629999999999</v>
      </c>
      <c r="D84">
        <v>18.403534000000001</v>
      </c>
      <c r="E84">
        <v>16.272635999999999</v>
      </c>
      <c r="F84">
        <v>0.14620649999999999</v>
      </c>
      <c r="G84">
        <v>19.88905175</v>
      </c>
      <c r="H84">
        <v>-20</v>
      </c>
      <c r="I84">
        <v>-12</v>
      </c>
      <c r="J84">
        <v>1.17</v>
      </c>
      <c r="K84">
        <v>5.8093269999999997</v>
      </c>
      <c r="L84">
        <v>0.67315765448332077</v>
      </c>
      <c r="M84">
        <v>-1.2959984784237171</v>
      </c>
      <c r="N84">
        <v>-0.26578245264761913</v>
      </c>
      <c r="O84">
        <v>0.18520032172493331</v>
      </c>
    </row>
    <row r="85" spans="1:15" x14ac:dyDescent="0.25">
      <c r="A85">
        <v>12.638741</v>
      </c>
      <c r="B85">
        <v>1.2987255</v>
      </c>
      <c r="C85">
        <v>6.8212619999999999</v>
      </c>
      <c r="D85">
        <v>19.279892</v>
      </c>
      <c r="E85">
        <v>17.345558</v>
      </c>
      <c r="F85">
        <v>9.7479999999999997E-2</v>
      </c>
      <c r="G85">
        <v>20.529342</v>
      </c>
      <c r="H85">
        <v>-20</v>
      </c>
      <c r="I85">
        <v>-8</v>
      </c>
      <c r="J85">
        <v>1.17</v>
      </c>
      <c r="K85">
        <v>5.9098332500000001</v>
      </c>
      <c r="L85">
        <v>0.43786022385754442</v>
      </c>
      <c r="M85">
        <v>-1.3534482422018781</v>
      </c>
      <c r="N85">
        <v>-0.2396613448839246</v>
      </c>
      <c r="O85">
        <v>0.29827918170023138</v>
      </c>
    </row>
    <row r="86" spans="1:15" x14ac:dyDescent="0.25">
      <c r="A86">
        <v>11.239448749999999</v>
      </c>
      <c r="B86">
        <v>1.68353025</v>
      </c>
      <c r="C86">
        <v>8.7637424999999993</v>
      </c>
      <c r="D86">
        <v>19.630436</v>
      </c>
      <c r="E86">
        <v>17.882017000000001</v>
      </c>
      <c r="F86">
        <v>0.194933</v>
      </c>
      <c r="G86">
        <v>20.65061</v>
      </c>
      <c r="H86">
        <v>-20</v>
      </c>
      <c r="I86">
        <v>-4</v>
      </c>
      <c r="J86">
        <v>1.17</v>
      </c>
      <c r="K86">
        <v>5.9132879999999997</v>
      </c>
      <c r="L86">
        <v>0.1955661648364351</v>
      </c>
      <c r="M86">
        <v>-1.4178058776771429</v>
      </c>
      <c r="N86">
        <v>-0.21872430190980571</v>
      </c>
      <c r="O86">
        <v>0.3973144845486839</v>
      </c>
    </row>
    <row r="87" spans="1:15" x14ac:dyDescent="0.25">
      <c r="A87">
        <v>9.5693260000000002</v>
      </c>
      <c r="B87">
        <v>1.9721344999999999</v>
      </c>
      <c r="C87">
        <v>10.751397000000001</v>
      </c>
      <c r="D87">
        <v>19.849526000000001</v>
      </c>
      <c r="E87">
        <v>18.194951750000001</v>
      </c>
      <c r="F87">
        <v>0.194933</v>
      </c>
      <c r="G87">
        <v>20.810692</v>
      </c>
      <c r="H87">
        <v>-20</v>
      </c>
      <c r="I87">
        <v>0</v>
      </c>
      <c r="J87">
        <v>1.17</v>
      </c>
      <c r="K87">
        <v>5.9363809999999999</v>
      </c>
      <c r="L87">
        <v>-9.5186192939912956E-2</v>
      </c>
      <c r="M87">
        <v>-1.4389386069276751</v>
      </c>
      <c r="N87">
        <v>-0.210575205751174</v>
      </c>
      <c r="O87">
        <v>0.44880491874075679</v>
      </c>
    </row>
    <row r="88" spans="1:15" x14ac:dyDescent="0.25">
      <c r="A88">
        <v>7.6735110000000004</v>
      </c>
      <c r="B88">
        <v>1.9721344999999999</v>
      </c>
      <c r="C88">
        <v>12.648704499999999</v>
      </c>
      <c r="D88">
        <v>19.980979999999999</v>
      </c>
      <c r="E88">
        <v>18.239656</v>
      </c>
      <c r="F88">
        <v>0.194933</v>
      </c>
      <c r="G88">
        <v>21.130856000000001</v>
      </c>
      <c r="H88">
        <v>-20</v>
      </c>
      <c r="I88">
        <v>4</v>
      </c>
      <c r="J88">
        <v>1.17</v>
      </c>
      <c r="K88">
        <v>5.9822990000000003</v>
      </c>
      <c r="L88">
        <v>-0.3707948101545645</v>
      </c>
      <c r="M88">
        <v>-1.3422704915628689</v>
      </c>
      <c r="N88">
        <v>-0.2154976293760637</v>
      </c>
      <c r="O88">
        <v>0.34497614459315529</v>
      </c>
    </row>
    <row r="89" spans="1:15" x14ac:dyDescent="0.25">
      <c r="A89">
        <v>5.5971419999999998</v>
      </c>
      <c r="B89">
        <v>1.9721344999999999</v>
      </c>
      <c r="C89">
        <v>13.596453</v>
      </c>
      <c r="D89">
        <v>18.797893999999999</v>
      </c>
      <c r="E89">
        <v>17.166737000000001</v>
      </c>
      <c r="F89">
        <v>0.194933</v>
      </c>
      <c r="G89">
        <v>20.20919675</v>
      </c>
      <c r="H89">
        <v>-20</v>
      </c>
      <c r="I89">
        <v>8</v>
      </c>
      <c r="J89">
        <v>1.17</v>
      </c>
      <c r="K89">
        <v>5.8491299999999997</v>
      </c>
      <c r="L89">
        <v>-0.59776191249141164</v>
      </c>
      <c r="M89">
        <v>-1.2573202552740741</v>
      </c>
      <c r="N89">
        <v>-0.22734993576196841</v>
      </c>
      <c r="O89">
        <v>0.26825913963298043</v>
      </c>
    </row>
    <row r="90" spans="1:15" x14ac:dyDescent="0.25">
      <c r="A90">
        <v>3.4304960000000002</v>
      </c>
      <c r="B90">
        <v>1.58732875</v>
      </c>
      <c r="C90">
        <v>14.454712499999999</v>
      </c>
      <c r="D90">
        <v>17.877715999999999</v>
      </c>
      <c r="E90">
        <v>15.959704</v>
      </c>
      <c r="F90">
        <v>0.194933</v>
      </c>
      <c r="G90">
        <v>19.727830000000001</v>
      </c>
      <c r="H90">
        <v>-20</v>
      </c>
      <c r="I90">
        <v>12</v>
      </c>
      <c r="J90">
        <v>1.17</v>
      </c>
      <c r="K90">
        <v>5.7783620000000004</v>
      </c>
      <c r="L90">
        <v>-0.81960178232884962</v>
      </c>
      <c r="M90">
        <v>-1.2111348906681361</v>
      </c>
      <c r="N90">
        <v>-0.28016363381034709</v>
      </c>
      <c r="O90">
        <v>0.17202595235950491</v>
      </c>
    </row>
    <row r="91" spans="1:15" x14ac:dyDescent="0.25">
      <c r="A91">
        <v>1.3089887499999999</v>
      </c>
      <c r="B91">
        <v>0.81771875000000005</v>
      </c>
      <c r="C91">
        <v>15.22261</v>
      </c>
      <c r="D91">
        <v>16.826087999999999</v>
      </c>
      <c r="E91">
        <v>14.484439</v>
      </c>
      <c r="F91">
        <v>0.14620649999999999</v>
      </c>
      <c r="G91">
        <v>19.207628</v>
      </c>
      <c r="H91">
        <v>-20</v>
      </c>
      <c r="I91">
        <v>16</v>
      </c>
      <c r="J91">
        <v>1.17</v>
      </c>
      <c r="K91">
        <v>5.7081922499999997</v>
      </c>
      <c r="L91">
        <v>-1.036689656804862</v>
      </c>
      <c r="M91">
        <v>-1.1927834242456079</v>
      </c>
      <c r="N91">
        <v>-0.35193644358887222</v>
      </c>
      <c r="O91">
        <v>6.8362539403290096E-2</v>
      </c>
    </row>
    <row r="92" spans="1:15" x14ac:dyDescent="0.25">
      <c r="A92">
        <v>-0.76594799999999996</v>
      </c>
      <c r="B92">
        <v>-0.38373400000000002</v>
      </c>
      <c r="C92">
        <v>15.720534000000001</v>
      </c>
      <c r="D92">
        <v>15.599183999999999</v>
      </c>
      <c r="E92">
        <v>12.606828999999999</v>
      </c>
      <c r="F92">
        <v>0.194933</v>
      </c>
      <c r="G92">
        <v>18.649583</v>
      </c>
      <c r="H92">
        <v>-20</v>
      </c>
      <c r="I92">
        <v>20</v>
      </c>
      <c r="J92">
        <v>1.17</v>
      </c>
      <c r="K92">
        <v>5.616606</v>
      </c>
      <c r="L92">
        <v>-1.2507578728756059</v>
      </c>
      <c r="M92">
        <v>-1.2125492657283841</v>
      </c>
      <c r="N92">
        <v>-0.4584391056570486</v>
      </c>
      <c r="O92">
        <v>-5.8401934910590772E-2</v>
      </c>
    </row>
    <row r="93" spans="1:15" x14ac:dyDescent="0.25">
      <c r="A93">
        <v>-2.838327</v>
      </c>
      <c r="B93">
        <v>-2.1105339999999999</v>
      </c>
      <c r="C93">
        <v>16.079809999999998</v>
      </c>
      <c r="D93">
        <v>14.32846425</v>
      </c>
      <c r="E93">
        <v>10.460988499999999</v>
      </c>
      <c r="F93">
        <v>0.194933</v>
      </c>
      <c r="G93">
        <v>18.44623825</v>
      </c>
      <c r="H93">
        <v>-20</v>
      </c>
      <c r="I93">
        <v>24</v>
      </c>
      <c r="J93">
        <v>1.17</v>
      </c>
      <c r="K93">
        <v>5.5855540000000001</v>
      </c>
      <c r="L93">
        <v>-1.462560206809953</v>
      </c>
      <c r="M93">
        <v>-1.270875562045725</v>
      </c>
      <c r="N93">
        <v>-0.61743019983293457</v>
      </c>
      <c r="O93">
        <v>-0.20637059627182161</v>
      </c>
    </row>
    <row r="94" spans="1:15" x14ac:dyDescent="0.25">
      <c r="A94">
        <v>-4.8209710000000001</v>
      </c>
      <c r="B94">
        <v>-3.9812352500000001</v>
      </c>
      <c r="C94">
        <v>16.080867999999999</v>
      </c>
      <c r="D94">
        <v>12.75101725</v>
      </c>
      <c r="E94">
        <v>7.8681000000000001</v>
      </c>
      <c r="F94">
        <v>9.7479999999999997E-2</v>
      </c>
      <c r="G94">
        <v>17.926074499999999</v>
      </c>
      <c r="H94">
        <v>-20</v>
      </c>
      <c r="I94">
        <v>28</v>
      </c>
      <c r="J94">
        <v>1.165</v>
      </c>
      <c r="K94">
        <v>5.5323795000000002</v>
      </c>
      <c r="L94">
        <v>-1.7036262512472471</v>
      </c>
      <c r="M94">
        <v>-1.3638508275335779</v>
      </c>
      <c r="N94">
        <v>-0.81983251445497274</v>
      </c>
      <c r="O94">
        <v>-0.36658196884682293</v>
      </c>
    </row>
    <row r="95" spans="1:15" x14ac:dyDescent="0.25">
      <c r="A95">
        <v>-6.9836495000000003</v>
      </c>
      <c r="B95">
        <v>-6.0917684999999997</v>
      </c>
      <c r="C95">
        <v>16.306718</v>
      </c>
      <c r="D95">
        <v>11.392662</v>
      </c>
      <c r="E95">
        <v>5.1858000000000004</v>
      </c>
      <c r="F95">
        <v>9.7479999999999997E-2</v>
      </c>
      <c r="G95">
        <v>17.928158249999999</v>
      </c>
      <c r="H95">
        <v>-20</v>
      </c>
      <c r="I95">
        <v>32</v>
      </c>
      <c r="J95">
        <v>1.17</v>
      </c>
      <c r="K95">
        <v>5.52080225</v>
      </c>
      <c r="L95">
        <v>-1.986671326703086</v>
      </c>
      <c r="M95">
        <v>-1.4914209773999829</v>
      </c>
      <c r="N95">
        <v>-1.0870117735718581</v>
      </c>
      <c r="O95">
        <v>-0.56598553725775891</v>
      </c>
    </row>
    <row r="96" spans="1:15" x14ac:dyDescent="0.25">
      <c r="A96">
        <v>-9.3265525</v>
      </c>
      <c r="B96">
        <v>-8.5380694999999989</v>
      </c>
      <c r="C96">
        <v>16.6691875</v>
      </c>
      <c r="D96">
        <v>10.165759</v>
      </c>
      <c r="E96">
        <v>2.145861</v>
      </c>
      <c r="F96">
        <v>0.194933</v>
      </c>
      <c r="G96">
        <v>18.328344250000001</v>
      </c>
      <c r="H96">
        <v>-20</v>
      </c>
      <c r="I96">
        <v>36</v>
      </c>
      <c r="J96">
        <v>1.165</v>
      </c>
      <c r="K96">
        <v>5.5794802499999996</v>
      </c>
      <c r="L96">
        <v>-2.3466543850418051</v>
      </c>
      <c r="M96">
        <v>-1.688377134542415</v>
      </c>
      <c r="N96">
        <v>-1.4608704162474579</v>
      </c>
      <c r="O96">
        <v>-0.82388579539432139</v>
      </c>
    </row>
    <row r="97" spans="1:15" x14ac:dyDescent="0.25">
      <c r="A97">
        <v>17.874801999999999</v>
      </c>
      <c r="B97">
        <v>-6.7153355000000001</v>
      </c>
      <c r="C97">
        <v>-8.704879</v>
      </c>
      <c r="D97">
        <v>9.946669</v>
      </c>
      <c r="E97">
        <v>6.3034239999999997</v>
      </c>
      <c r="F97">
        <v>0.14620649999999999</v>
      </c>
      <c r="G97">
        <v>18.848574249999999</v>
      </c>
      <c r="H97">
        <v>-16</v>
      </c>
      <c r="I97">
        <v>-36</v>
      </c>
      <c r="J97">
        <v>1.17</v>
      </c>
      <c r="K97">
        <v>5.6541639999999997</v>
      </c>
      <c r="L97">
        <v>1.8967446411654001</v>
      </c>
      <c r="M97">
        <v>-1.1890307524905319</v>
      </c>
      <c r="N97">
        <v>-0.89521331659898162</v>
      </c>
      <c r="O97">
        <v>-0.56061798166336929</v>
      </c>
    </row>
    <row r="98" spans="1:15" x14ac:dyDescent="0.25">
      <c r="A98">
        <v>18.100493749999998</v>
      </c>
      <c r="B98">
        <v>-4.5088675</v>
      </c>
      <c r="C98">
        <v>-6.2693167499999998</v>
      </c>
      <c r="D98">
        <v>11.743205</v>
      </c>
      <c r="E98">
        <v>9.0751347500000001</v>
      </c>
      <c r="F98">
        <v>0.194933</v>
      </c>
      <c r="G98">
        <v>19.287649999999999</v>
      </c>
      <c r="H98">
        <v>-16</v>
      </c>
      <c r="I98">
        <v>-32</v>
      </c>
      <c r="J98">
        <v>1.17</v>
      </c>
      <c r="K98">
        <v>5.712879</v>
      </c>
      <c r="L98">
        <v>1.684859358735511</v>
      </c>
      <c r="M98">
        <v>-1.1236233258441159</v>
      </c>
      <c r="N98">
        <v>-0.70609414057179509</v>
      </c>
      <c r="O98">
        <v>-0.38605457067127852</v>
      </c>
    </row>
    <row r="99" spans="1:15" x14ac:dyDescent="0.25">
      <c r="A99">
        <v>18.190771250000001</v>
      </c>
      <c r="B99">
        <v>-2.15850075</v>
      </c>
      <c r="C99">
        <v>-3.4278279999999999</v>
      </c>
      <c r="D99">
        <v>13.495922999999999</v>
      </c>
      <c r="E99">
        <v>11.757433000000001</v>
      </c>
      <c r="F99">
        <v>0.194933</v>
      </c>
      <c r="G99">
        <v>19.568906250000001</v>
      </c>
      <c r="H99">
        <v>-16</v>
      </c>
      <c r="I99">
        <v>-28</v>
      </c>
      <c r="J99">
        <v>1.1599999999999999</v>
      </c>
      <c r="K99">
        <v>5.7795590000000008</v>
      </c>
      <c r="L99">
        <v>1.4857668773888411</v>
      </c>
      <c r="M99">
        <v>-1.075881929846491</v>
      </c>
      <c r="N99">
        <v>-0.53686159663141075</v>
      </c>
      <c r="O99">
        <v>-0.20536740096863371</v>
      </c>
    </row>
    <row r="100" spans="1:15" x14ac:dyDescent="0.25">
      <c r="A100">
        <v>17.874801999999999</v>
      </c>
      <c r="B100">
        <v>-0.28780050000000001</v>
      </c>
      <c r="C100">
        <v>-0.85695699999999997</v>
      </c>
      <c r="D100">
        <v>15.02955175</v>
      </c>
      <c r="E100">
        <v>14.0373885</v>
      </c>
      <c r="F100">
        <v>0.194933</v>
      </c>
      <c r="G100">
        <v>19.9279045</v>
      </c>
      <c r="H100">
        <v>-16</v>
      </c>
      <c r="I100">
        <v>-24</v>
      </c>
      <c r="J100">
        <v>1.1625000000000001</v>
      </c>
      <c r="K100">
        <v>5.8266247500000006</v>
      </c>
      <c r="L100">
        <v>1.282204454107118</v>
      </c>
      <c r="M100">
        <v>-1.0485220693131709</v>
      </c>
      <c r="N100">
        <v>-0.40324563925615192</v>
      </c>
      <c r="O100">
        <v>-5.2487147329807908E-2</v>
      </c>
    </row>
    <row r="101" spans="1:15" x14ac:dyDescent="0.25">
      <c r="A101">
        <v>17.513694999999998</v>
      </c>
      <c r="B101">
        <v>1.3468260000000001</v>
      </c>
      <c r="C101">
        <v>1.3550145</v>
      </c>
      <c r="D101">
        <v>16.344088500000002</v>
      </c>
      <c r="E101">
        <v>15.914999</v>
      </c>
      <c r="F101">
        <v>0.194933</v>
      </c>
      <c r="G101">
        <v>20.286866249999999</v>
      </c>
      <c r="H101">
        <v>-16</v>
      </c>
      <c r="I101">
        <v>-20</v>
      </c>
      <c r="J101">
        <v>1.17</v>
      </c>
      <c r="K101">
        <v>5.860468</v>
      </c>
      <c r="L101">
        <v>1.109480149372861</v>
      </c>
      <c r="M101">
        <v>-1.029762474657167</v>
      </c>
      <c r="N101">
        <v>-0.30019264491641651</v>
      </c>
      <c r="O101">
        <v>7.9382832952227644E-2</v>
      </c>
    </row>
    <row r="102" spans="1:15" x14ac:dyDescent="0.25">
      <c r="A102">
        <v>16.610925999999999</v>
      </c>
      <c r="B102">
        <v>2.5012409999999998</v>
      </c>
      <c r="C102">
        <v>3.7943535000000002</v>
      </c>
      <c r="D102">
        <v>17.395720000000001</v>
      </c>
      <c r="E102">
        <v>17.479672999999998</v>
      </c>
      <c r="F102">
        <v>0.194933</v>
      </c>
      <c r="G102">
        <v>20.529342</v>
      </c>
      <c r="H102">
        <v>-16</v>
      </c>
      <c r="I102">
        <v>-16</v>
      </c>
      <c r="J102">
        <v>1.17</v>
      </c>
      <c r="K102">
        <v>5.8957257500000004</v>
      </c>
      <c r="L102">
        <v>0.89429667881028796</v>
      </c>
      <c r="M102">
        <v>-1.039276395758636</v>
      </c>
      <c r="N102">
        <v>-0.21281633462043401</v>
      </c>
      <c r="O102">
        <v>0.20604082829359391</v>
      </c>
    </row>
    <row r="103" spans="1:15" x14ac:dyDescent="0.25">
      <c r="A103">
        <v>15.66301825</v>
      </c>
      <c r="B103">
        <v>3.4632529999999999</v>
      </c>
      <c r="C103">
        <v>5.9629560000000001</v>
      </c>
      <c r="D103">
        <v>18.228259999999999</v>
      </c>
      <c r="E103">
        <v>18.597297999999999</v>
      </c>
      <c r="F103">
        <v>0.194933</v>
      </c>
      <c r="G103">
        <v>20.849488749999999</v>
      </c>
      <c r="H103">
        <v>-16</v>
      </c>
      <c r="I103">
        <v>-12</v>
      </c>
      <c r="J103">
        <v>1.17</v>
      </c>
      <c r="K103">
        <v>5.9419562499999996</v>
      </c>
      <c r="L103">
        <v>0.69864067005404396</v>
      </c>
      <c r="M103">
        <v>-1.063440019040357</v>
      </c>
      <c r="N103">
        <v>-0.1622125728800885</v>
      </c>
      <c r="O103">
        <v>0.32541836153464743</v>
      </c>
    </row>
    <row r="104" spans="1:15" x14ac:dyDescent="0.25">
      <c r="A104">
        <v>14.263726</v>
      </c>
      <c r="B104">
        <v>3.9442594999999998</v>
      </c>
      <c r="C104">
        <v>8.1302334999999992</v>
      </c>
      <c r="D104">
        <v>18.929348000000001</v>
      </c>
      <c r="E104">
        <v>19.491398</v>
      </c>
      <c r="F104">
        <v>0.194933</v>
      </c>
      <c r="G104">
        <v>21.247190750000001</v>
      </c>
      <c r="H104">
        <v>-16</v>
      </c>
      <c r="I104">
        <v>-8</v>
      </c>
      <c r="J104">
        <v>1.165</v>
      </c>
      <c r="K104">
        <v>6.0117779999999996</v>
      </c>
      <c r="L104">
        <v>0.45588685877200408</v>
      </c>
      <c r="M104">
        <v>-1.11377786418837</v>
      </c>
      <c r="N104">
        <v>-0.1304931786571949</v>
      </c>
      <c r="O104">
        <v>0.43425705269794201</v>
      </c>
    </row>
    <row r="105" spans="1:15" x14ac:dyDescent="0.25">
      <c r="A105">
        <v>12.142218250000001</v>
      </c>
      <c r="B105">
        <v>4.0885615</v>
      </c>
      <c r="C105">
        <v>9.6659585000000003</v>
      </c>
      <c r="D105">
        <v>18.272078499999999</v>
      </c>
      <c r="E105">
        <v>18.999642000000001</v>
      </c>
      <c r="F105">
        <v>0.194933</v>
      </c>
      <c r="G105">
        <v>20.20919675</v>
      </c>
      <c r="H105">
        <v>-16</v>
      </c>
      <c r="I105">
        <v>-4</v>
      </c>
      <c r="J105">
        <v>1.17</v>
      </c>
      <c r="K105">
        <v>5.8491299999999997</v>
      </c>
      <c r="L105">
        <v>0.20425114001065531</v>
      </c>
      <c r="M105">
        <v>-1.1700397265462119</v>
      </c>
      <c r="N105">
        <v>-9.975055248883942E-2</v>
      </c>
      <c r="O105">
        <v>0.55128088652006302</v>
      </c>
    </row>
    <row r="106" spans="1:15" x14ac:dyDescent="0.25">
      <c r="A106">
        <v>10.201264500000001</v>
      </c>
      <c r="B106">
        <v>4.1847624999999997</v>
      </c>
      <c r="C106">
        <v>11.1120625</v>
      </c>
      <c r="D106">
        <v>17.877715999999999</v>
      </c>
      <c r="E106">
        <v>18.597297999999999</v>
      </c>
      <c r="F106">
        <v>0.194933</v>
      </c>
      <c r="G106">
        <v>19.768999749999999</v>
      </c>
      <c r="H106">
        <v>-16</v>
      </c>
      <c r="I106">
        <v>0</v>
      </c>
      <c r="J106">
        <v>1.17</v>
      </c>
      <c r="K106">
        <v>5.7844452500000001</v>
      </c>
      <c r="L106">
        <v>-7.983634534935162E-2</v>
      </c>
      <c r="M106">
        <v>-1.2006965691403559</v>
      </c>
      <c r="N106">
        <v>-0.1027333356116044</v>
      </c>
      <c r="O106">
        <v>0.61370957612359112</v>
      </c>
    </row>
    <row r="107" spans="1:15" x14ac:dyDescent="0.25">
      <c r="A107">
        <v>8.1700342500000005</v>
      </c>
      <c r="B107">
        <v>4.0885615</v>
      </c>
      <c r="C107">
        <v>12.422013249999999</v>
      </c>
      <c r="D107">
        <v>17.395720000000001</v>
      </c>
      <c r="E107">
        <v>18.060839000000001</v>
      </c>
      <c r="F107">
        <v>0.194933</v>
      </c>
      <c r="G107">
        <v>19.287649999999999</v>
      </c>
      <c r="H107">
        <v>-16</v>
      </c>
      <c r="I107">
        <v>4</v>
      </c>
      <c r="J107">
        <v>1.17</v>
      </c>
      <c r="K107">
        <v>5.712879</v>
      </c>
      <c r="L107">
        <v>-0.35637128909356097</v>
      </c>
      <c r="M107">
        <v>-1.1152784657820569</v>
      </c>
      <c r="N107">
        <v>-0.10279693451546409</v>
      </c>
      <c r="O107">
        <v>0.49739074979215631</v>
      </c>
    </row>
    <row r="108" spans="1:15" x14ac:dyDescent="0.25">
      <c r="A108">
        <v>6.3193570000000001</v>
      </c>
      <c r="B108">
        <v>4.0404609999999996</v>
      </c>
      <c r="C108">
        <v>13.503452749999999</v>
      </c>
      <c r="D108">
        <v>16.606998000000001</v>
      </c>
      <c r="E108">
        <v>17.300852750000001</v>
      </c>
      <c r="F108">
        <v>0.14620649999999999</v>
      </c>
      <c r="G108">
        <v>18.846379500000001</v>
      </c>
      <c r="H108">
        <v>-16</v>
      </c>
      <c r="I108">
        <v>8</v>
      </c>
      <c r="J108">
        <v>1.17</v>
      </c>
      <c r="K108">
        <v>5.6538572499999997</v>
      </c>
      <c r="L108">
        <v>-0.59273923601263545</v>
      </c>
      <c r="M108">
        <v>-1.036818316347264</v>
      </c>
      <c r="N108">
        <v>-0.127519344504925</v>
      </c>
      <c r="O108">
        <v>0.41535153874297648</v>
      </c>
    </row>
    <row r="109" spans="1:15" x14ac:dyDescent="0.25">
      <c r="A109">
        <v>4.3332649999999999</v>
      </c>
      <c r="B109">
        <v>3.655656</v>
      </c>
      <c r="C109">
        <v>14.454712499999999</v>
      </c>
      <c r="D109">
        <v>15.862092000000001</v>
      </c>
      <c r="E109">
        <v>16.317341500000001</v>
      </c>
      <c r="F109">
        <v>0.14620649999999999</v>
      </c>
      <c r="G109">
        <v>18.448396750000001</v>
      </c>
      <c r="H109">
        <v>-16</v>
      </c>
      <c r="I109">
        <v>12</v>
      </c>
      <c r="J109">
        <v>1.17</v>
      </c>
      <c r="K109">
        <v>5.59335425</v>
      </c>
      <c r="L109">
        <v>-0.82138702396493624</v>
      </c>
      <c r="M109">
        <v>-0.99056372054435882</v>
      </c>
      <c r="N109">
        <v>-0.1729466610801379</v>
      </c>
      <c r="O109">
        <v>0.31231173624790798</v>
      </c>
    </row>
    <row r="110" spans="1:15" x14ac:dyDescent="0.25">
      <c r="A110">
        <v>2.3471739999999999</v>
      </c>
      <c r="B110">
        <v>2.7898445000000001</v>
      </c>
      <c r="C110">
        <v>15.131286749999999</v>
      </c>
      <c r="D110">
        <v>14.898097</v>
      </c>
      <c r="E110">
        <v>14.842078000000001</v>
      </c>
      <c r="F110">
        <v>0.14620649999999999</v>
      </c>
      <c r="G110">
        <v>18.047163000000001</v>
      </c>
      <c r="H110">
        <v>-16</v>
      </c>
      <c r="I110">
        <v>16</v>
      </c>
      <c r="J110">
        <v>1.1675</v>
      </c>
      <c r="K110">
        <v>5.5376332499999998</v>
      </c>
      <c r="L110">
        <v>-1.0415979686000481</v>
      </c>
      <c r="M110">
        <v>-0.98651514447701283</v>
      </c>
      <c r="N110">
        <v>-0.26112840119879172</v>
      </c>
      <c r="O110">
        <v>0.19736211623474029</v>
      </c>
    </row>
    <row r="111" spans="1:15" x14ac:dyDescent="0.25">
      <c r="A111">
        <v>0.18052699999999999</v>
      </c>
      <c r="B111">
        <v>1.539228</v>
      </c>
      <c r="C111">
        <v>16.080867999999999</v>
      </c>
      <c r="D111">
        <v>14.06555625</v>
      </c>
      <c r="E111">
        <v>13.545632749999999</v>
      </c>
      <c r="F111">
        <v>0.194933</v>
      </c>
      <c r="G111">
        <v>18.168260750000002</v>
      </c>
      <c r="H111">
        <v>-16</v>
      </c>
      <c r="I111">
        <v>20</v>
      </c>
      <c r="J111">
        <v>1.1625000000000001</v>
      </c>
      <c r="K111">
        <v>5.5607442499999999</v>
      </c>
      <c r="L111">
        <v>-1.2534473545120659</v>
      </c>
      <c r="M111">
        <v>-0.98745738860299004</v>
      </c>
      <c r="N111">
        <v>-0.3645126499476794</v>
      </c>
      <c r="O111">
        <v>5.2418593720966362E-2</v>
      </c>
    </row>
    <row r="112" spans="1:15" x14ac:dyDescent="0.25">
      <c r="A112">
        <v>-2.0272519999999998</v>
      </c>
      <c r="B112">
        <v>-0.143898</v>
      </c>
      <c r="C112">
        <v>17.166101000000001</v>
      </c>
      <c r="D112">
        <v>13.364469</v>
      </c>
      <c r="E112">
        <v>11.846843249999999</v>
      </c>
      <c r="F112">
        <v>0.14620649999999999</v>
      </c>
      <c r="G112">
        <v>18.727428499999998</v>
      </c>
      <c r="H112">
        <v>-16</v>
      </c>
      <c r="I112">
        <v>24</v>
      </c>
      <c r="J112">
        <v>1.1599999999999999</v>
      </c>
      <c r="K112">
        <v>5.6600159999999997</v>
      </c>
      <c r="L112">
        <v>-1.4842070962526459</v>
      </c>
      <c r="M112">
        <v>-1.0445251056163951</v>
      </c>
      <c r="N112">
        <v>-0.5321557394644385</v>
      </c>
      <c r="O112">
        <v>-9.5186385352422409E-2</v>
      </c>
    </row>
    <row r="113" spans="1:15" x14ac:dyDescent="0.25">
      <c r="A113">
        <v>-4.3250740000000008</v>
      </c>
      <c r="B113">
        <v>-2.0146004999999998</v>
      </c>
      <c r="C113">
        <v>17.930516999999998</v>
      </c>
      <c r="D113">
        <v>12.269021</v>
      </c>
      <c r="E113">
        <v>9.5221842500000005</v>
      </c>
      <c r="F113">
        <v>0.14620649999999999</v>
      </c>
      <c r="G113">
        <v>19.166487249999999</v>
      </c>
      <c r="H113">
        <v>-16</v>
      </c>
      <c r="I113">
        <v>28</v>
      </c>
      <c r="J113">
        <v>1.1625000000000001</v>
      </c>
      <c r="K113">
        <v>5.7204335000000004</v>
      </c>
      <c r="L113">
        <v>-1.7535522274787789</v>
      </c>
      <c r="M113">
        <v>-1.1254272554540741</v>
      </c>
      <c r="N113">
        <v>-0.75993447201513797</v>
      </c>
      <c r="O113">
        <v>-0.26127650316409129</v>
      </c>
    </row>
    <row r="114" spans="1:15" x14ac:dyDescent="0.25">
      <c r="A114">
        <v>-6.8935385</v>
      </c>
      <c r="B114">
        <v>-4.3649677499999999</v>
      </c>
      <c r="C114">
        <v>18.428546999999998</v>
      </c>
      <c r="D114">
        <v>10.954482</v>
      </c>
      <c r="E114">
        <v>6.5716547500000004</v>
      </c>
      <c r="F114">
        <v>0.194933</v>
      </c>
      <c r="G114">
        <v>19.407703250000001</v>
      </c>
      <c r="H114">
        <v>-16</v>
      </c>
      <c r="I114">
        <v>32</v>
      </c>
      <c r="J114">
        <v>1.17</v>
      </c>
      <c r="K114">
        <v>5.7308149999999998</v>
      </c>
      <c r="L114">
        <v>-2.0754447844572299</v>
      </c>
      <c r="M114">
        <v>-1.2556001491903661</v>
      </c>
      <c r="N114">
        <v>-1.052045921254912</v>
      </c>
      <c r="O114">
        <v>-0.47733203877567748</v>
      </c>
    </row>
    <row r="115" spans="1:15" x14ac:dyDescent="0.25">
      <c r="A115">
        <v>-9.5518305000000012</v>
      </c>
      <c r="B115">
        <v>-6.8592347499999997</v>
      </c>
      <c r="C115">
        <v>18.837537749999999</v>
      </c>
      <c r="D115">
        <v>9.4646720000000002</v>
      </c>
      <c r="E115">
        <v>3.2187790000000001</v>
      </c>
      <c r="F115">
        <v>0.194933</v>
      </c>
      <c r="G115">
        <v>19.690117000000001</v>
      </c>
      <c r="H115">
        <v>-16</v>
      </c>
      <c r="I115">
        <v>36</v>
      </c>
      <c r="J115">
        <v>1.17</v>
      </c>
      <c r="K115">
        <v>5.7727899999999996</v>
      </c>
      <c r="L115">
        <v>-2.4851504323398221</v>
      </c>
      <c r="M115">
        <v>-1.4289256754221</v>
      </c>
      <c r="N115">
        <v>-1.441891814978411</v>
      </c>
      <c r="O115">
        <v>-0.73529419424486298</v>
      </c>
    </row>
    <row r="116" spans="1:15" x14ac:dyDescent="0.25">
      <c r="A116">
        <v>19.680340000000001</v>
      </c>
      <c r="B116">
        <v>-4.7487012499999999</v>
      </c>
      <c r="C116">
        <v>-9.1559090000000012</v>
      </c>
      <c r="D116">
        <v>9.0264930000000003</v>
      </c>
      <c r="E116">
        <v>7.4657542499999998</v>
      </c>
      <c r="F116">
        <v>0.194933</v>
      </c>
      <c r="G116">
        <v>20.010280999999999</v>
      </c>
      <c r="H116">
        <v>-12</v>
      </c>
      <c r="I116">
        <v>-36</v>
      </c>
      <c r="J116">
        <v>1.17</v>
      </c>
      <c r="K116">
        <v>5.8199990000000001</v>
      </c>
      <c r="L116">
        <v>2.0001526517887789</v>
      </c>
      <c r="M116">
        <v>-0.95546199700158474</v>
      </c>
      <c r="N116">
        <v>-0.87018113544578823</v>
      </c>
      <c r="O116">
        <v>-0.49567140936946891</v>
      </c>
    </row>
    <row r="117" spans="1:15" x14ac:dyDescent="0.25">
      <c r="A117">
        <v>19.906033000000001</v>
      </c>
      <c r="B117">
        <v>-2.2544342500000001</v>
      </c>
      <c r="C117">
        <v>-6.2693167499999998</v>
      </c>
      <c r="D117">
        <v>11.042118</v>
      </c>
      <c r="E117">
        <v>10.550399000000001</v>
      </c>
      <c r="F117">
        <v>0.194933</v>
      </c>
      <c r="G117">
        <v>20.330444</v>
      </c>
      <c r="H117">
        <v>-12</v>
      </c>
      <c r="I117">
        <v>-32</v>
      </c>
      <c r="J117">
        <v>1.17</v>
      </c>
      <c r="K117">
        <v>5.8668290000000001</v>
      </c>
      <c r="L117">
        <v>1.767153263220592</v>
      </c>
      <c r="M117">
        <v>-0.89766723568065587</v>
      </c>
      <c r="N117">
        <v>-0.66028592881305026</v>
      </c>
      <c r="O117">
        <v>-0.300865334862778</v>
      </c>
    </row>
    <row r="118" spans="1:15" x14ac:dyDescent="0.25">
      <c r="A118">
        <v>19.860894999999999</v>
      </c>
      <c r="B118">
        <v>4.8109499999999999E-2</v>
      </c>
      <c r="C118">
        <v>-3.2474159999999999</v>
      </c>
      <c r="D118">
        <v>12.794835000000001</v>
      </c>
      <c r="E118">
        <v>13.411517</v>
      </c>
      <c r="F118">
        <v>0.194933</v>
      </c>
      <c r="G118">
        <v>20.65061</v>
      </c>
      <c r="H118">
        <v>-12</v>
      </c>
      <c r="I118">
        <v>-28</v>
      </c>
      <c r="J118">
        <v>1.17</v>
      </c>
      <c r="K118">
        <v>5.9132879999999997</v>
      </c>
      <c r="L118">
        <v>1.5394195881603041</v>
      </c>
      <c r="M118">
        <v>-0.84914046169293977</v>
      </c>
      <c r="N118">
        <v>-0.48225080425454447</v>
      </c>
      <c r="O118">
        <v>-0.119543254452216</v>
      </c>
    </row>
    <row r="119" spans="1:15" x14ac:dyDescent="0.25">
      <c r="A119">
        <v>19.5449245</v>
      </c>
      <c r="B119">
        <v>2.0683354999999999</v>
      </c>
      <c r="C119">
        <v>-0.45102999999999999</v>
      </c>
      <c r="D119">
        <v>14.32846425</v>
      </c>
      <c r="E119">
        <v>15.691473</v>
      </c>
      <c r="F119">
        <v>0.194933</v>
      </c>
      <c r="G119">
        <v>20.88950925</v>
      </c>
      <c r="H119">
        <v>-12</v>
      </c>
      <c r="I119">
        <v>-24</v>
      </c>
      <c r="J119">
        <v>1.17</v>
      </c>
      <c r="K119">
        <v>5.9477069999999994</v>
      </c>
      <c r="L119">
        <v>1.343545532680376</v>
      </c>
      <c r="M119">
        <v>-0.82378248445056457</v>
      </c>
      <c r="N119">
        <v>-0.34926093068436631</v>
      </c>
      <c r="O119">
        <v>4.1259947784579698E-2</v>
      </c>
    </row>
    <row r="120" spans="1:15" x14ac:dyDescent="0.25">
      <c r="A120">
        <v>19.048401999999999</v>
      </c>
      <c r="B120">
        <v>3.7999575000000001</v>
      </c>
      <c r="C120">
        <v>2.1228769999999999</v>
      </c>
      <c r="D120">
        <v>15.643001999999999</v>
      </c>
      <c r="E120">
        <v>17.658492249999998</v>
      </c>
      <c r="F120">
        <v>0.194933</v>
      </c>
      <c r="G120">
        <v>21.168401500000002</v>
      </c>
      <c r="H120">
        <v>-12</v>
      </c>
      <c r="I120">
        <v>-20</v>
      </c>
      <c r="J120">
        <v>1.17</v>
      </c>
      <c r="K120">
        <v>5.9876529999999999</v>
      </c>
      <c r="L120">
        <v>1.151608878627552</v>
      </c>
      <c r="M120">
        <v>-0.80584275594429899</v>
      </c>
      <c r="N120">
        <v>-0.23883828886225231</v>
      </c>
      <c r="O120">
        <v>0.1882366607716654</v>
      </c>
    </row>
    <row r="121" spans="1:15" x14ac:dyDescent="0.25">
      <c r="A121">
        <v>17.333141000000001</v>
      </c>
      <c r="B121">
        <v>4.8100709999999998</v>
      </c>
      <c r="C121">
        <v>4.3818677499999996</v>
      </c>
      <c r="D121">
        <v>15.862092000000001</v>
      </c>
      <c r="E121">
        <v>18.239656</v>
      </c>
      <c r="F121">
        <v>0.194933</v>
      </c>
      <c r="G121">
        <v>20.170362000000001</v>
      </c>
      <c r="H121">
        <v>-12</v>
      </c>
      <c r="I121">
        <v>-16</v>
      </c>
      <c r="J121">
        <v>1.17</v>
      </c>
      <c r="K121">
        <v>5.8434609999999996</v>
      </c>
      <c r="L121">
        <v>0.9492416048553769</v>
      </c>
      <c r="M121">
        <v>-0.81006388064390267</v>
      </c>
      <c r="N121">
        <v>-0.14151028090318121</v>
      </c>
      <c r="O121">
        <v>0.32258035172112842</v>
      </c>
    </row>
    <row r="122" spans="1:15" x14ac:dyDescent="0.25">
      <c r="A122">
        <v>15.708157</v>
      </c>
      <c r="B122">
        <v>5.4834800000000001</v>
      </c>
      <c r="C122">
        <v>6.2787672499999996</v>
      </c>
      <c r="D122">
        <v>16.125</v>
      </c>
      <c r="E122">
        <v>18.64200275</v>
      </c>
      <c r="F122">
        <v>0.194933</v>
      </c>
      <c r="G122">
        <v>19.768999749999999</v>
      </c>
      <c r="H122">
        <v>-12</v>
      </c>
      <c r="I122">
        <v>-12</v>
      </c>
      <c r="J122">
        <v>1.17</v>
      </c>
      <c r="K122">
        <v>5.7844452500000001</v>
      </c>
      <c r="L122">
        <v>0.73897407060027531</v>
      </c>
      <c r="M122">
        <v>-0.83392243730942139</v>
      </c>
      <c r="N122">
        <v>-8.831158151346627E-2</v>
      </c>
      <c r="O122">
        <v>0.44567892142595172</v>
      </c>
    </row>
    <row r="123" spans="1:15" x14ac:dyDescent="0.25">
      <c r="A123">
        <v>14.03803325</v>
      </c>
      <c r="B123">
        <v>5.9163852500000003</v>
      </c>
      <c r="C123">
        <v>8.1296962500000003</v>
      </c>
      <c r="D123">
        <v>16.256452500000002</v>
      </c>
      <c r="E123">
        <v>18.865527</v>
      </c>
      <c r="F123">
        <v>0.194933</v>
      </c>
      <c r="G123">
        <v>19.4877255</v>
      </c>
      <c r="H123">
        <v>-12</v>
      </c>
      <c r="I123">
        <v>-8</v>
      </c>
      <c r="J123">
        <v>1.17</v>
      </c>
      <c r="K123">
        <v>5.7427132500000004</v>
      </c>
      <c r="L123">
        <v>0.49889289633227207</v>
      </c>
      <c r="M123">
        <v>-0.87313760498983761</v>
      </c>
      <c r="N123">
        <v>-5.2578046203394291E-2</v>
      </c>
      <c r="O123">
        <v>0.57659666247673735</v>
      </c>
    </row>
    <row r="124" spans="1:15" x14ac:dyDescent="0.25">
      <c r="A124">
        <v>12.1873565</v>
      </c>
      <c r="B124">
        <v>5.964486</v>
      </c>
      <c r="C124">
        <v>9.5756104999999998</v>
      </c>
      <c r="D124">
        <v>15.949728</v>
      </c>
      <c r="E124">
        <v>18.597297999999999</v>
      </c>
      <c r="F124">
        <v>0.194933</v>
      </c>
      <c r="G124">
        <v>18.927513749999999</v>
      </c>
      <c r="H124">
        <v>-12</v>
      </c>
      <c r="I124">
        <v>-4</v>
      </c>
      <c r="J124">
        <v>1.17</v>
      </c>
      <c r="K124">
        <v>5.6587457499999996</v>
      </c>
      <c r="L124">
        <v>0.2412192133742897</v>
      </c>
      <c r="M124">
        <v>-0.9222325396155957</v>
      </c>
      <c r="N124">
        <v>-3.0498365161563231E-2</v>
      </c>
      <c r="O124">
        <v>0.69963430119001147</v>
      </c>
    </row>
    <row r="125" spans="1:15" x14ac:dyDescent="0.25">
      <c r="A125">
        <v>10.472094999999999</v>
      </c>
      <c r="B125">
        <v>5.964486</v>
      </c>
      <c r="C125">
        <v>11.0202615</v>
      </c>
      <c r="D125">
        <v>15.774456000000001</v>
      </c>
      <c r="E125">
        <v>18.373772500000001</v>
      </c>
      <c r="F125">
        <v>0.194933</v>
      </c>
      <c r="G125">
        <v>18.528428000000002</v>
      </c>
      <c r="H125">
        <v>-12</v>
      </c>
      <c r="I125">
        <v>0</v>
      </c>
      <c r="J125">
        <v>1.17</v>
      </c>
      <c r="K125">
        <v>5.5981164999999997</v>
      </c>
      <c r="L125">
        <v>-5.3981517874857901E-2</v>
      </c>
      <c r="M125">
        <v>-0.96603444404312133</v>
      </c>
      <c r="N125">
        <v>-1.5236288434703409E-2</v>
      </c>
      <c r="O125">
        <v>0.79009820640345563</v>
      </c>
    </row>
    <row r="126" spans="1:15" x14ac:dyDescent="0.25">
      <c r="A126">
        <v>8.5762795000000001</v>
      </c>
      <c r="B126">
        <v>5.82018375</v>
      </c>
      <c r="C126">
        <v>12.285693500000001</v>
      </c>
      <c r="D126">
        <v>15.248640999999999</v>
      </c>
      <c r="E126">
        <v>17.882017000000001</v>
      </c>
      <c r="F126">
        <v>0.194933</v>
      </c>
      <c r="G126">
        <v>18.166149999999998</v>
      </c>
      <c r="H126">
        <v>-12</v>
      </c>
      <c r="I126">
        <v>4</v>
      </c>
      <c r="J126">
        <v>1.17</v>
      </c>
      <c r="K126">
        <v>5.5425517499999986</v>
      </c>
      <c r="L126">
        <v>-0.3471633413196899</v>
      </c>
      <c r="M126">
        <v>-0.88249795247430174</v>
      </c>
      <c r="N126">
        <v>-2.661261863689475E-2</v>
      </c>
      <c r="O126">
        <v>0.65559377889707404</v>
      </c>
    </row>
    <row r="127" spans="1:15" x14ac:dyDescent="0.25">
      <c r="A127">
        <v>6.9964337499999996</v>
      </c>
      <c r="B127">
        <v>5.964486</v>
      </c>
      <c r="C127">
        <v>13.913575</v>
      </c>
      <c r="D127">
        <v>15.3362765</v>
      </c>
      <c r="E127">
        <v>17.882017000000001</v>
      </c>
      <c r="F127">
        <v>0.194933</v>
      </c>
      <c r="G127">
        <v>18.409459999999999</v>
      </c>
      <c r="H127">
        <v>-12</v>
      </c>
      <c r="I127">
        <v>8</v>
      </c>
      <c r="J127">
        <v>1.1675</v>
      </c>
      <c r="K127">
        <v>5.5859589999999999</v>
      </c>
      <c r="L127">
        <v>-0.60666759538807813</v>
      </c>
      <c r="M127">
        <v>-0.82196908185363771</v>
      </c>
      <c r="N127">
        <v>-4.6261152746874437E-2</v>
      </c>
      <c r="O127">
        <v>0.55130487004434958</v>
      </c>
    </row>
    <row r="128" spans="1:15" x14ac:dyDescent="0.25">
      <c r="A128">
        <v>5.2360340000000001</v>
      </c>
      <c r="B128">
        <v>5.7239825</v>
      </c>
      <c r="C128">
        <v>15.582967</v>
      </c>
      <c r="D128">
        <v>15.248640999999999</v>
      </c>
      <c r="E128">
        <v>17.747902</v>
      </c>
      <c r="F128">
        <v>0.194933</v>
      </c>
      <c r="G128">
        <v>19.166487249999999</v>
      </c>
      <c r="H128">
        <v>-12</v>
      </c>
      <c r="I128">
        <v>12</v>
      </c>
      <c r="J128">
        <v>1.17</v>
      </c>
      <c r="K128">
        <v>5.6947257499999999</v>
      </c>
      <c r="L128">
        <v>-0.84341364081465298</v>
      </c>
      <c r="M128">
        <v>-0.77640887891977306</v>
      </c>
      <c r="N128">
        <v>-0.1156530301157522</v>
      </c>
      <c r="O128">
        <v>0.4308258131442082</v>
      </c>
    </row>
    <row r="129" spans="1:15" x14ac:dyDescent="0.25">
      <c r="A129">
        <v>3.2499419999999999</v>
      </c>
      <c r="B129">
        <v>5.0986750000000001</v>
      </c>
      <c r="C129">
        <v>16.938008249999999</v>
      </c>
      <c r="D129">
        <v>14.722826</v>
      </c>
      <c r="E129">
        <v>16.987919000000002</v>
      </c>
      <c r="F129">
        <v>0.194933</v>
      </c>
      <c r="G129">
        <v>19.4477145</v>
      </c>
      <c r="H129">
        <v>-12</v>
      </c>
      <c r="I129">
        <v>16</v>
      </c>
      <c r="J129">
        <v>1.17</v>
      </c>
      <c r="K129">
        <v>5.7367765000000004</v>
      </c>
      <c r="L129">
        <v>-1.0682732287590111</v>
      </c>
      <c r="M129">
        <v>-0.75107055034349712</v>
      </c>
      <c r="N129">
        <v>-0.19194732450406199</v>
      </c>
      <c r="O129">
        <v>0.31057695573845229</v>
      </c>
    </row>
    <row r="130" spans="1:15" x14ac:dyDescent="0.25">
      <c r="A130">
        <v>0.94788050000000001</v>
      </c>
      <c r="B130">
        <v>3.8961587500000001</v>
      </c>
      <c r="C130">
        <v>18.069579999999998</v>
      </c>
      <c r="D130">
        <v>13.934101500000001</v>
      </c>
      <c r="E130">
        <v>15.557358000000001</v>
      </c>
      <c r="F130">
        <v>0.194933</v>
      </c>
      <c r="G130">
        <v>19.727830000000001</v>
      </c>
      <c r="H130">
        <v>-12</v>
      </c>
      <c r="I130">
        <v>20</v>
      </c>
      <c r="J130">
        <v>1.17</v>
      </c>
      <c r="K130">
        <v>5.7783620000000004</v>
      </c>
      <c r="L130">
        <v>-1.3034964628984429</v>
      </c>
      <c r="M130">
        <v>-0.76420735887821745</v>
      </c>
      <c r="N130">
        <v>-0.31750197851767131</v>
      </c>
      <c r="O130">
        <v>0.16959375383028499</v>
      </c>
    </row>
    <row r="131" spans="1:15" x14ac:dyDescent="0.25">
      <c r="A131">
        <v>-1.7570699999999999</v>
      </c>
      <c r="B131">
        <v>2.020235</v>
      </c>
      <c r="C131">
        <v>19.063407999999999</v>
      </c>
      <c r="D131">
        <v>12.882471000000001</v>
      </c>
      <c r="E131">
        <v>13.5009275</v>
      </c>
      <c r="F131">
        <v>0.194933</v>
      </c>
      <c r="G131">
        <v>20.05030125</v>
      </c>
      <c r="H131">
        <v>-12</v>
      </c>
      <c r="I131">
        <v>24</v>
      </c>
      <c r="J131">
        <v>1.17</v>
      </c>
      <c r="K131">
        <v>5.8258644999999998</v>
      </c>
      <c r="L131">
        <v>-1.5573463178840949</v>
      </c>
      <c r="M131">
        <v>-0.81248041567730622</v>
      </c>
      <c r="N131">
        <v>-0.48987874211465521</v>
      </c>
      <c r="O131">
        <v>-4.7402122662625768E-3</v>
      </c>
    </row>
    <row r="132" spans="1:15" x14ac:dyDescent="0.25">
      <c r="A132">
        <v>-4.3704130000000001</v>
      </c>
      <c r="B132">
        <v>9.0000000000000002E-6</v>
      </c>
      <c r="C132">
        <v>19.695843</v>
      </c>
      <c r="D132">
        <v>11.567933</v>
      </c>
      <c r="E132">
        <v>10.908039</v>
      </c>
      <c r="F132">
        <v>0.14620649999999999</v>
      </c>
      <c r="G132">
        <v>20.330444</v>
      </c>
      <c r="H132">
        <v>-12</v>
      </c>
      <c r="I132">
        <v>28</v>
      </c>
      <c r="J132">
        <v>1.17</v>
      </c>
      <c r="K132">
        <v>5.8739105</v>
      </c>
      <c r="L132">
        <v>-1.838065703841713</v>
      </c>
      <c r="M132">
        <v>-0.8835113006597185</v>
      </c>
      <c r="N132">
        <v>-0.71964522734525527</v>
      </c>
      <c r="O132">
        <v>-0.17804833025169811</v>
      </c>
    </row>
    <row r="133" spans="1:15" x14ac:dyDescent="0.25">
      <c r="A133">
        <v>-7.1638730000000006</v>
      </c>
      <c r="B133">
        <v>-2.2544342500000001</v>
      </c>
      <c r="C133">
        <v>20.23659975</v>
      </c>
      <c r="D133">
        <v>9.9904869999999999</v>
      </c>
      <c r="E133">
        <v>7.7786894999999996</v>
      </c>
      <c r="F133">
        <v>0.194933</v>
      </c>
      <c r="G133">
        <v>20.6894165</v>
      </c>
      <c r="H133">
        <v>-12</v>
      </c>
      <c r="I133">
        <v>32</v>
      </c>
      <c r="J133">
        <v>1.17</v>
      </c>
      <c r="K133">
        <v>5.9188862499999999</v>
      </c>
      <c r="L133">
        <v>-2.1944258196348101</v>
      </c>
      <c r="M133">
        <v>-0.98062045358573613</v>
      </c>
      <c r="N133">
        <v>-1.0341515047455621</v>
      </c>
      <c r="O133">
        <v>-0.3926976374607048</v>
      </c>
    </row>
    <row r="134" spans="1:15" x14ac:dyDescent="0.25">
      <c r="A134">
        <v>-10.04678425</v>
      </c>
      <c r="B134">
        <v>-4.7487012499999999</v>
      </c>
      <c r="C134">
        <v>20.595258749999999</v>
      </c>
      <c r="D134">
        <v>8.2377690000000001</v>
      </c>
      <c r="E134">
        <v>4.0681747499999998</v>
      </c>
      <c r="F134">
        <v>0.194933</v>
      </c>
      <c r="G134">
        <v>21.087137250000001</v>
      </c>
      <c r="H134">
        <v>-12</v>
      </c>
      <c r="I134">
        <v>36</v>
      </c>
      <c r="J134">
        <v>1.17</v>
      </c>
      <c r="K134">
        <v>5.9760422500000008</v>
      </c>
      <c r="L134">
        <v>-2.6725809752118219</v>
      </c>
      <c r="M134">
        <v>-1.1326517352828691</v>
      </c>
      <c r="N134">
        <v>-1.484458453128769</v>
      </c>
      <c r="O134">
        <v>-0.66220363498882084</v>
      </c>
    </row>
    <row r="135" spans="1:15" x14ac:dyDescent="0.25">
      <c r="A135">
        <v>21.215047999999999</v>
      </c>
      <c r="B135">
        <v>-2.4463012499999999</v>
      </c>
      <c r="C135">
        <v>-9.6971445000000003</v>
      </c>
      <c r="D135">
        <v>7.6681362499999999</v>
      </c>
      <c r="E135">
        <v>8.3598540000000003</v>
      </c>
      <c r="F135">
        <v>0.194933</v>
      </c>
      <c r="G135">
        <v>21.207179750000002</v>
      </c>
      <c r="H135">
        <v>-8</v>
      </c>
      <c r="I135">
        <v>-36</v>
      </c>
      <c r="J135">
        <v>1.17</v>
      </c>
      <c r="K135">
        <v>5.9931830000000001</v>
      </c>
      <c r="L135">
        <v>2.1420112480774458</v>
      </c>
      <c r="M135">
        <v>-0.70085594207440116</v>
      </c>
      <c r="N135">
        <v>-0.8902768562989346</v>
      </c>
      <c r="O135">
        <v>-0.43421748564438761</v>
      </c>
    </row>
    <row r="136" spans="1:15" x14ac:dyDescent="0.25">
      <c r="A136">
        <v>20.402555</v>
      </c>
      <c r="B136">
        <v>0.192411</v>
      </c>
      <c r="C136">
        <v>-6.3144200000000001</v>
      </c>
      <c r="D136">
        <v>9.2894000000000005</v>
      </c>
      <c r="E136">
        <v>11.131563</v>
      </c>
      <c r="F136">
        <v>0.194933</v>
      </c>
      <c r="G136">
        <v>20.4881265</v>
      </c>
      <c r="H136">
        <v>-8</v>
      </c>
      <c r="I136">
        <v>-32</v>
      </c>
      <c r="J136">
        <v>1.17</v>
      </c>
      <c r="K136">
        <v>5.8897335000000002</v>
      </c>
      <c r="L136">
        <v>1.8825181057597451</v>
      </c>
      <c r="M136">
        <v>-0.64098748082061086</v>
      </c>
      <c r="N136">
        <v>-0.6593065398727157</v>
      </c>
      <c r="O136">
        <v>-0.2294182367192438</v>
      </c>
    </row>
    <row r="137" spans="1:15" x14ac:dyDescent="0.25">
      <c r="A137">
        <v>19.499786</v>
      </c>
      <c r="B137">
        <v>2.4531402500000001</v>
      </c>
      <c r="C137">
        <v>-3.0670039999999998</v>
      </c>
      <c r="D137">
        <v>10.603937999999999</v>
      </c>
      <c r="E137">
        <v>13.366812250000001</v>
      </c>
      <c r="F137">
        <v>0.194933</v>
      </c>
      <c r="G137">
        <v>19.767841499999999</v>
      </c>
      <c r="H137">
        <v>-8</v>
      </c>
      <c r="I137">
        <v>-28</v>
      </c>
      <c r="J137">
        <v>1.17</v>
      </c>
      <c r="K137">
        <v>5.7842745000000004</v>
      </c>
      <c r="L137">
        <v>1.6504614768388051</v>
      </c>
      <c r="M137">
        <v>-0.59608278322866648</v>
      </c>
      <c r="N137">
        <v>-0.46817963001101798</v>
      </c>
      <c r="O137">
        <v>-3.668976408016647E-2</v>
      </c>
    </row>
    <row r="138" spans="1:15" x14ac:dyDescent="0.25">
      <c r="A138">
        <v>18.597017000000001</v>
      </c>
      <c r="B138">
        <v>3.9923602499999999</v>
      </c>
      <c r="C138">
        <v>-0.36082399999999998</v>
      </c>
      <c r="D138">
        <v>11.699387</v>
      </c>
      <c r="E138">
        <v>15.020898000000001</v>
      </c>
      <c r="F138">
        <v>0.14620649999999999</v>
      </c>
      <c r="G138">
        <v>19.328791750000001</v>
      </c>
      <c r="H138">
        <v>-8</v>
      </c>
      <c r="I138">
        <v>-24</v>
      </c>
      <c r="J138">
        <v>1.17</v>
      </c>
      <c r="K138">
        <v>5.7262955</v>
      </c>
      <c r="L138">
        <v>1.435656381398293</v>
      </c>
      <c r="M138">
        <v>-0.58361877988170774</v>
      </c>
      <c r="N138">
        <v>-0.32624838329019218</v>
      </c>
      <c r="O138">
        <v>0.12645067116926961</v>
      </c>
    </row>
    <row r="139" spans="1:15" x14ac:dyDescent="0.25">
      <c r="A139">
        <v>17.6039715</v>
      </c>
      <c r="B139">
        <v>5.2429767500000004</v>
      </c>
      <c r="C139">
        <v>1.942339</v>
      </c>
      <c r="D139">
        <v>12.663381749999999</v>
      </c>
      <c r="E139">
        <v>16.451457999999999</v>
      </c>
      <c r="F139">
        <v>2.6999999999999999E-5</v>
      </c>
      <c r="G139">
        <v>18.968636249999999</v>
      </c>
      <c r="H139">
        <v>-8</v>
      </c>
      <c r="I139">
        <v>-20</v>
      </c>
      <c r="J139">
        <v>1.17</v>
      </c>
      <c r="K139">
        <v>5.6942810000000001</v>
      </c>
      <c r="L139">
        <v>1.2180025032841431</v>
      </c>
      <c r="M139">
        <v>-0.57705520773513708</v>
      </c>
      <c r="N139">
        <v>-0.19575956174135861</v>
      </c>
      <c r="O139">
        <v>0.27942452367456549</v>
      </c>
    </row>
    <row r="140" spans="1:15" x14ac:dyDescent="0.25">
      <c r="A140">
        <v>16.249817</v>
      </c>
      <c r="B140">
        <v>6.1568880000000004</v>
      </c>
      <c r="C140">
        <v>4.0199350000000003</v>
      </c>
      <c r="D140">
        <v>13.145379</v>
      </c>
      <c r="E140">
        <v>17.1220325</v>
      </c>
      <c r="F140">
        <v>0.194933</v>
      </c>
      <c r="G140">
        <v>18.52627025</v>
      </c>
      <c r="H140">
        <v>-8</v>
      </c>
      <c r="I140">
        <v>-16</v>
      </c>
      <c r="J140">
        <v>1.17</v>
      </c>
      <c r="K140">
        <v>5.5978135</v>
      </c>
      <c r="L140">
        <v>1.0163411721370641</v>
      </c>
      <c r="M140">
        <v>-0.58076914872843954</v>
      </c>
      <c r="N140">
        <v>-0.11674986399127101</v>
      </c>
      <c r="O140">
        <v>0.40666931597334738</v>
      </c>
    </row>
    <row r="141" spans="1:15" x14ac:dyDescent="0.25">
      <c r="A141">
        <v>14.8505255</v>
      </c>
      <c r="B141">
        <v>6.8302975000000004</v>
      </c>
      <c r="C141">
        <v>5.962167</v>
      </c>
      <c r="D141">
        <v>13.583558500000001</v>
      </c>
      <c r="E141">
        <v>17.613787500000001</v>
      </c>
      <c r="F141">
        <v>0.14620649999999999</v>
      </c>
      <c r="G141">
        <v>18.048218500000001</v>
      </c>
      <c r="H141">
        <v>-8</v>
      </c>
      <c r="I141">
        <v>-12</v>
      </c>
      <c r="J141">
        <v>1.17</v>
      </c>
      <c r="K141">
        <v>5.5318825</v>
      </c>
      <c r="L141">
        <v>0.79235752989940833</v>
      </c>
      <c r="M141">
        <v>-0.60203707349835733</v>
      </c>
      <c r="N141">
        <v>-3.8744048462614387E-2</v>
      </c>
      <c r="O141">
        <v>0.55717261203011847</v>
      </c>
    </row>
    <row r="142" spans="1:15" x14ac:dyDescent="0.25">
      <c r="A142">
        <v>13.406094749999999</v>
      </c>
      <c r="B142">
        <v>7.1189010000000001</v>
      </c>
      <c r="C142">
        <v>7.5877154999999998</v>
      </c>
      <c r="D142">
        <v>13.671194</v>
      </c>
      <c r="E142">
        <v>17.703196999999999</v>
      </c>
      <c r="F142">
        <v>0.14620649999999999</v>
      </c>
      <c r="G142">
        <v>17.886054250000001</v>
      </c>
      <c r="H142">
        <v>-8</v>
      </c>
      <c r="I142">
        <v>-8</v>
      </c>
      <c r="J142">
        <v>1.17</v>
      </c>
      <c r="K142">
        <v>5.5067372499999996</v>
      </c>
      <c r="L142">
        <v>0.56216860347655262</v>
      </c>
      <c r="M142">
        <v>-0.63307859338472738</v>
      </c>
      <c r="N142">
        <v>-1.766728337992568E-2</v>
      </c>
      <c r="O142">
        <v>0.69634570713119937</v>
      </c>
    </row>
    <row r="143" spans="1:15" x14ac:dyDescent="0.25">
      <c r="A143">
        <v>12.277633</v>
      </c>
      <c r="B143">
        <v>7.599907</v>
      </c>
      <c r="C143">
        <v>9.57624225</v>
      </c>
      <c r="D143">
        <v>14.197011</v>
      </c>
      <c r="E143">
        <v>18.463183000000001</v>
      </c>
      <c r="F143">
        <v>0.194933</v>
      </c>
      <c r="G143">
        <v>18.128249749999998</v>
      </c>
      <c r="H143">
        <v>-8</v>
      </c>
      <c r="I143">
        <v>-4</v>
      </c>
      <c r="J143">
        <v>1.17</v>
      </c>
      <c r="K143">
        <v>5.536708</v>
      </c>
      <c r="L143">
        <v>0.27358976584444511</v>
      </c>
      <c r="M143">
        <v>-0.66804876702901006</v>
      </c>
      <c r="N143">
        <v>3.3910628839761779E-2</v>
      </c>
      <c r="O143">
        <v>0.85008532857474384</v>
      </c>
    </row>
    <row r="144" spans="1:15" x14ac:dyDescent="0.25">
      <c r="A144">
        <v>11.013756000000001</v>
      </c>
      <c r="B144">
        <v>7.8885110000000003</v>
      </c>
      <c r="C144">
        <v>11.563767</v>
      </c>
      <c r="D144">
        <v>14.635189499999999</v>
      </c>
      <c r="E144">
        <v>18.954937000000001</v>
      </c>
      <c r="F144">
        <v>0.194933</v>
      </c>
      <c r="G144">
        <v>18.688501500000001</v>
      </c>
      <c r="H144">
        <v>-8</v>
      </c>
      <c r="I144">
        <v>0</v>
      </c>
      <c r="J144">
        <v>1.17</v>
      </c>
      <c r="K144">
        <v>5.6225032500000003</v>
      </c>
      <c r="L144">
        <v>-5.7872724325581812E-2</v>
      </c>
      <c r="M144">
        <v>-0.70989246568492281</v>
      </c>
      <c r="N144">
        <v>2.8034617929548079E-2</v>
      </c>
      <c r="O144">
        <v>0.97394695713142643</v>
      </c>
    </row>
    <row r="145" spans="1:15" x14ac:dyDescent="0.25">
      <c r="A145">
        <v>9.4790495000000004</v>
      </c>
      <c r="B145">
        <v>8.0809139999999999</v>
      </c>
      <c r="C145">
        <v>13.3706075</v>
      </c>
      <c r="D145">
        <v>14.722826</v>
      </c>
      <c r="E145">
        <v>19.312576</v>
      </c>
      <c r="F145">
        <v>0.14620649999999999</v>
      </c>
      <c r="G145">
        <v>19.047556</v>
      </c>
      <c r="H145">
        <v>-8</v>
      </c>
      <c r="I145">
        <v>4</v>
      </c>
      <c r="J145">
        <v>1.1625000000000001</v>
      </c>
      <c r="K145">
        <v>5.7025245</v>
      </c>
      <c r="L145">
        <v>-0.36944804494084921</v>
      </c>
      <c r="M145">
        <v>-0.6306170950011758</v>
      </c>
      <c r="N145">
        <v>2.5162350772708869E-2</v>
      </c>
      <c r="O145">
        <v>0.81973331919973091</v>
      </c>
    </row>
    <row r="146" spans="1:15" x14ac:dyDescent="0.25">
      <c r="A146">
        <v>7.7637879999999999</v>
      </c>
      <c r="B146">
        <v>8.0809139999999999</v>
      </c>
      <c r="C146">
        <v>14.90446425</v>
      </c>
      <c r="D146">
        <v>14.67900775</v>
      </c>
      <c r="E146">
        <v>19.312576</v>
      </c>
      <c r="F146">
        <v>0.194933</v>
      </c>
      <c r="G146">
        <v>19.406572749999999</v>
      </c>
      <c r="H146">
        <v>-8</v>
      </c>
      <c r="I146">
        <v>8</v>
      </c>
      <c r="J146">
        <v>1.1625000000000001</v>
      </c>
      <c r="K146">
        <v>5.7491382499999997</v>
      </c>
      <c r="L146">
        <v>-0.62691265975869659</v>
      </c>
      <c r="M146">
        <v>-0.57927685800763373</v>
      </c>
      <c r="N146">
        <v>-8.2524050227278656E-3</v>
      </c>
      <c r="O146">
        <v>0.6784254042391612</v>
      </c>
    </row>
    <row r="147" spans="1:15" x14ac:dyDescent="0.25">
      <c r="A147">
        <v>5.8679729999999992</v>
      </c>
      <c r="B147">
        <v>7.8404102499999997</v>
      </c>
      <c r="C147">
        <v>16.44223525</v>
      </c>
      <c r="D147">
        <v>14.284646499999999</v>
      </c>
      <c r="E147">
        <v>18.910232000000001</v>
      </c>
      <c r="F147">
        <v>0.194933</v>
      </c>
      <c r="G147">
        <v>19.64893825</v>
      </c>
      <c r="H147">
        <v>-8</v>
      </c>
      <c r="I147">
        <v>12</v>
      </c>
      <c r="J147">
        <v>1.17</v>
      </c>
      <c r="K147">
        <v>5.7666572499999997</v>
      </c>
      <c r="L147">
        <v>-0.87713266114121002</v>
      </c>
      <c r="M147">
        <v>-0.53449531384746585</v>
      </c>
      <c r="N147">
        <v>-6.1237519601760812E-2</v>
      </c>
      <c r="O147">
        <v>0.55249004024218795</v>
      </c>
    </row>
    <row r="148" spans="1:15" x14ac:dyDescent="0.25">
      <c r="A148">
        <v>3.701327</v>
      </c>
      <c r="B148">
        <v>7.1189010000000001</v>
      </c>
      <c r="C148">
        <v>17.708186999999999</v>
      </c>
      <c r="D148">
        <v>13.627376249999999</v>
      </c>
      <c r="E148">
        <v>18.060839000000001</v>
      </c>
      <c r="F148">
        <v>0.194933</v>
      </c>
      <c r="G148">
        <v>19.850199</v>
      </c>
      <c r="H148">
        <v>-8</v>
      </c>
      <c r="I148">
        <v>16</v>
      </c>
      <c r="J148">
        <v>1.17</v>
      </c>
      <c r="K148">
        <v>5.7964419999999999</v>
      </c>
      <c r="L148">
        <v>-1.1071868376276439</v>
      </c>
      <c r="M148">
        <v>-0.51449339518622306</v>
      </c>
      <c r="N148">
        <v>-0.1414450777073446</v>
      </c>
      <c r="O148">
        <v>0.4122616256550477</v>
      </c>
    </row>
    <row r="149" spans="1:15" x14ac:dyDescent="0.25">
      <c r="A149">
        <v>1.3992662499999999</v>
      </c>
      <c r="B149">
        <v>5.964486</v>
      </c>
      <c r="C149">
        <v>18.789891999999998</v>
      </c>
      <c r="D149">
        <v>12.663381749999999</v>
      </c>
      <c r="E149">
        <v>16.585573</v>
      </c>
      <c r="F149">
        <v>0.194933</v>
      </c>
      <c r="G149">
        <v>20.127979499999999</v>
      </c>
      <c r="H149">
        <v>-8</v>
      </c>
      <c r="I149">
        <v>20</v>
      </c>
      <c r="J149">
        <v>1.17</v>
      </c>
      <c r="K149">
        <v>5.8372267500000001</v>
      </c>
      <c r="L149">
        <v>-1.347770496309709</v>
      </c>
      <c r="M149">
        <v>-0.51921691097616329</v>
      </c>
      <c r="N149">
        <v>-0.27465411325166778</v>
      </c>
      <c r="O149">
        <v>0.27025899621938348</v>
      </c>
    </row>
    <row r="150" spans="1:15" x14ac:dyDescent="0.25">
      <c r="A150">
        <v>-1.26156275</v>
      </c>
      <c r="B150">
        <v>4.37716525</v>
      </c>
      <c r="C150">
        <v>19.78358875</v>
      </c>
      <c r="D150">
        <v>11.524115249999999</v>
      </c>
      <c r="E150">
        <v>14.5738485</v>
      </c>
      <c r="F150">
        <v>0.14620649999999999</v>
      </c>
      <c r="G150">
        <v>20.568158</v>
      </c>
      <c r="H150">
        <v>-8</v>
      </c>
      <c r="I150">
        <v>24</v>
      </c>
      <c r="J150">
        <v>1.17</v>
      </c>
      <c r="K150">
        <v>5.9084012499999998</v>
      </c>
      <c r="L150">
        <v>-1.616947760170437</v>
      </c>
      <c r="M150">
        <v>-0.54917971345828986</v>
      </c>
      <c r="N150">
        <v>-0.46066692798120967</v>
      </c>
      <c r="O150">
        <v>0.108624300050104</v>
      </c>
    </row>
    <row r="151" spans="1:15" x14ac:dyDescent="0.25">
      <c r="A151">
        <v>-4.0998070000000002</v>
      </c>
      <c r="B151">
        <v>2.5012409999999998</v>
      </c>
      <c r="C151">
        <v>20.326936249999999</v>
      </c>
      <c r="D151">
        <v>9.946669</v>
      </c>
      <c r="E151">
        <v>11.802137999999999</v>
      </c>
      <c r="F151">
        <v>0.194933</v>
      </c>
      <c r="G151">
        <v>20.6894165</v>
      </c>
      <c r="H151">
        <v>-8</v>
      </c>
      <c r="I151">
        <v>28</v>
      </c>
      <c r="J151">
        <v>1.17</v>
      </c>
      <c r="K151">
        <v>5.9188862499999999</v>
      </c>
      <c r="L151">
        <v>-1.938398622307937</v>
      </c>
      <c r="M151">
        <v>-0.59085228903251974</v>
      </c>
      <c r="N151">
        <v>-0.70526122709543604</v>
      </c>
      <c r="O151">
        <v>-7.8888305889827787E-2</v>
      </c>
    </row>
    <row r="152" spans="1:15" x14ac:dyDescent="0.25">
      <c r="A152">
        <v>-6.9832017500000001</v>
      </c>
      <c r="B152">
        <v>0.43291374999999999</v>
      </c>
      <c r="C152">
        <v>20.775919250000001</v>
      </c>
      <c r="D152">
        <v>8.2377690000000001</v>
      </c>
      <c r="E152">
        <v>8.4939685000000011</v>
      </c>
      <c r="F152">
        <v>0.194933</v>
      </c>
      <c r="G152">
        <v>20.888285499999999</v>
      </c>
      <c r="H152">
        <v>-8</v>
      </c>
      <c r="I152">
        <v>32</v>
      </c>
      <c r="J152">
        <v>1.17</v>
      </c>
      <c r="K152">
        <v>5.9475315000000002</v>
      </c>
      <c r="L152">
        <v>-2.3587303850266048</v>
      </c>
      <c r="M152">
        <v>-0.6631761362302564</v>
      </c>
      <c r="N152">
        <v>-1.053170473532322</v>
      </c>
      <c r="O152">
        <v>-0.29484206683487052</v>
      </c>
    </row>
    <row r="153" spans="1:15" x14ac:dyDescent="0.25">
      <c r="A153">
        <v>-9.822165</v>
      </c>
      <c r="B153">
        <v>-1.8227340000000001</v>
      </c>
      <c r="C153">
        <v>21.093468250000001</v>
      </c>
      <c r="D153">
        <v>6.3535987499999997</v>
      </c>
      <c r="E153">
        <v>4.8281599999999996</v>
      </c>
      <c r="F153">
        <v>0.194933</v>
      </c>
      <c r="G153">
        <v>21.208412500000001</v>
      </c>
      <c r="H153">
        <v>-8</v>
      </c>
      <c r="I153">
        <v>36</v>
      </c>
      <c r="J153">
        <v>1.17</v>
      </c>
      <c r="K153">
        <v>5.9933589999999999</v>
      </c>
      <c r="L153">
        <v>-2.902894819094608</v>
      </c>
      <c r="M153">
        <v>-0.76770266547777388</v>
      </c>
      <c r="N153">
        <v>-1.538081189455732</v>
      </c>
      <c r="O153">
        <v>-0.56494692037388261</v>
      </c>
    </row>
    <row r="154" spans="1:15" x14ac:dyDescent="0.25">
      <c r="A154">
        <v>20.944216000000001</v>
      </c>
      <c r="B154">
        <v>0.24051149999999999</v>
      </c>
      <c r="C154">
        <v>-9.2912177500000013</v>
      </c>
      <c r="D154">
        <v>5.4334205000000004</v>
      </c>
      <c r="E154">
        <v>8.2257390000000008</v>
      </c>
      <c r="F154">
        <v>0.194933</v>
      </c>
      <c r="G154">
        <v>20.606974000000001</v>
      </c>
      <c r="H154">
        <v>-4</v>
      </c>
      <c r="I154">
        <v>-36</v>
      </c>
      <c r="J154">
        <v>1.17</v>
      </c>
      <c r="K154">
        <v>5.9069692500000004</v>
      </c>
      <c r="L154">
        <v>2.3712609802688638</v>
      </c>
      <c r="M154">
        <v>-0.40731657859702219</v>
      </c>
      <c r="N154">
        <v>-0.9710913339259104</v>
      </c>
      <c r="O154">
        <v>-0.37014822380452728</v>
      </c>
    </row>
    <row r="155" spans="1:15" x14ac:dyDescent="0.25">
      <c r="A155">
        <v>20.222002</v>
      </c>
      <c r="B155">
        <v>2.3088380000000002</v>
      </c>
      <c r="C155">
        <v>-6.2693165000000004</v>
      </c>
      <c r="D155">
        <v>7.18614</v>
      </c>
      <c r="E155">
        <v>10.95274375</v>
      </c>
      <c r="F155">
        <v>0.194933</v>
      </c>
      <c r="G155">
        <v>19.88905175</v>
      </c>
      <c r="H155">
        <v>-4</v>
      </c>
      <c r="I155">
        <v>-32</v>
      </c>
      <c r="J155">
        <v>1.1675</v>
      </c>
      <c r="K155">
        <v>5.8083925000000001</v>
      </c>
      <c r="L155">
        <v>2.0483904874817158</v>
      </c>
      <c r="M155">
        <v>-0.37713372400164802</v>
      </c>
      <c r="N155">
        <v>-0.69099565108038352</v>
      </c>
      <c r="O155">
        <v>-0.16817812837219051</v>
      </c>
    </row>
    <row r="156" spans="1:15" x14ac:dyDescent="0.25">
      <c r="A156">
        <v>19.319230999999998</v>
      </c>
      <c r="B156">
        <v>4.3290644999999994</v>
      </c>
      <c r="C156">
        <v>-3.0219010000000002</v>
      </c>
      <c r="D156">
        <v>8.7635850000000008</v>
      </c>
      <c r="E156">
        <v>13.27740275</v>
      </c>
      <c r="F156">
        <v>0.194933</v>
      </c>
      <c r="G156">
        <v>19.248759499999998</v>
      </c>
      <c r="H156">
        <v>-4</v>
      </c>
      <c r="I156">
        <v>-28</v>
      </c>
      <c r="J156">
        <v>1.17</v>
      </c>
      <c r="K156">
        <v>5.7070604999999999</v>
      </c>
      <c r="L156">
        <v>1.769783555512956</v>
      </c>
      <c r="M156">
        <v>-0.35126990348427239</v>
      </c>
      <c r="N156">
        <v>-0.47305024447456978</v>
      </c>
      <c r="O156">
        <v>3.6337628082309961E-2</v>
      </c>
    </row>
    <row r="157" spans="1:15" x14ac:dyDescent="0.25">
      <c r="A157">
        <v>18.416461999999999</v>
      </c>
      <c r="B157">
        <v>5.7720830000000003</v>
      </c>
      <c r="C157">
        <v>-0.40592699999999998</v>
      </c>
      <c r="D157">
        <v>9.9028510000000001</v>
      </c>
      <c r="E157">
        <v>15.020898000000001</v>
      </c>
      <c r="F157">
        <v>2.6999999999999999E-5</v>
      </c>
      <c r="G157">
        <v>18.928616250000001</v>
      </c>
      <c r="H157">
        <v>-4</v>
      </c>
      <c r="I157">
        <v>-24</v>
      </c>
      <c r="J157">
        <v>1.17</v>
      </c>
      <c r="K157">
        <v>5.6882742500000001</v>
      </c>
      <c r="L157">
        <v>1.525579927920824</v>
      </c>
      <c r="M157">
        <v>-0.33482161794886789</v>
      </c>
      <c r="N157">
        <v>-0.31673570647832638</v>
      </c>
      <c r="O157">
        <v>0.2174777234928075</v>
      </c>
    </row>
    <row r="158" spans="1:15" x14ac:dyDescent="0.25">
      <c r="A158">
        <v>17.423418000000002</v>
      </c>
      <c r="B158">
        <v>6.9745995000000001</v>
      </c>
      <c r="C158">
        <v>1.7164807500000001</v>
      </c>
      <c r="D158">
        <v>10.779210000000001</v>
      </c>
      <c r="E158">
        <v>16.272635999999999</v>
      </c>
      <c r="F158">
        <v>0.14620649999999999</v>
      </c>
      <c r="G158">
        <v>18.4494805</v>
      </c>
      <c r="H158">
        <v>-4</v>
      </c>
      <c r="I158">
        <v>-20</v>
      </c>
      <c r="J158">
        <v>1.17</v>
      </c>
      <c r="K158">
        <v>5.5935195000000002</v>
      </c>
      <c r="L158">
        <v>1.3169673250244729</v>
      </c>
      <c r="M158">
        <v>-0.31894741069810428</v>
      </c>
      <c r="N158">
        <v>-0.1825533164134196</v>
      </c>
      <c r="O158">
        <v>0.35214719459771249</v>
      </c>
    </row>
    <row r="159" spans="1:15" x14ac:dyDescent="0.25">
      <c r="A159">
        <v>16.1144015</v>
      </c>
      <c r="B159">
        <v>7.7442087500000003</v>
      </c>
      <c r="C159">
        <v>3.8844370000000001</v>
      </c>
      <c r="D159">
        <v>11.392662</v>
      </c>
      <c r="E159">
        <v>16.987919000000002</v>
      </c>
      <c r="F159">
        <v>9.7479999999999997E-2</v>
      </c>
      <c r="G159">
        <v>17.9681785</v>
      </c>
      <c r="H159">
        <v>-4</v>
      </c>
      <c r="I159">
        <v>-16</v>
      </c>
      <c r="J159">
        <v>1.17</v>
      </c>
      <c r="K159">
        <v>5.5269962499999998</v>
      </c>
      <c r="L159">
        <v>1.0945185158438639</v>
      </c>
      <c r="M159">
        <v>-0.32649460310657458</v>
      </c>
      <c r="N159">
        <v>-8.774054947541482E-2</v>
      </c>
      <c r="O159">
        <v>0.51169181269740105</v>
      </c>
    </row>
    <row r="160" spans="1:15" x14ac:dyDescent="0.25">
      <c r="A160">
        <v>15.572740749999999</v>
      </c>
      <c r="B160">
        <v>8.8505230000000008</v>
      </c>
      <c r="C160">
        <v>6.1428384999999999</v>
      </c>
      <c r="D160">
        <v>12.444293</v>
      </c>
      <c r="E160">
        <v>18.418478</v>
      </c>
      <c r="F160">
        <v>0.194933</v>
      </c>
      <c r="G160">
        <v>18.60738525</v>
      </c>
      <c r="H160">
        <v>-4</v>
      </c>
      <c r="I160">
        <v>-12</v>
      </c>
      <c r="J160">
        <v>1.17</v>
      </c>
      <c r="K160">
        <v>5.6101847500000002</v>
      </c>
      <c r="L160">
        <v>0.86340221284016971</v>
      </c>
      <c r="M160">
        <v>-0.32904566187441803</v>
      </c>
      <c r="N160">
        <v>-1.7296223009652559E-2</v>
      </c>
      <c r="O160">
        <v>0.66854818928958792</v>
      </c>
    </row>
    <row r="161" spans="1:15" x14ac:dyDescent="0.25">
      <c r="A161">
        <v>14.669971500000001</v>
      </c>
      <c r="B161">
        <v>9.4277320000000007</v>
      </c>
      <c r="C161">
        <v>8.1307707499999999</v>
      </c>
      <c r="D161">
        <v>13.145379</v>
      </c>
      <c r="E161">
        <v>19.312576</v>
      </c>
      <c r="F161">
        <v>0.194933</v>
      </c>
      <c r="G161">
        <v>18.889707999999999</v>
      </c>
      <c r="H161">
        <v>-4</v>
      </c>
      <c r="I161">
        <v>-8</v>
      </c>
      <c r="J161">
        <v>1.17</v>
      </c>
      <c r="K161">
        <v>5.6530420000000001</v>
      </c>
      <c r="L161">
        <v>0.620810380503518</v>
      </c>
      <c r="M161">
        <v>-0.35294146336567422</v>
      </c>
      <c r="N161">
        <v>4.0145729470957403E-2</v>
      </c>
      <c r="O161">
        <v>0.81496761164320852</v>
      </c>
    </row>
    <row r="162" spans="1:15" x14ac:dyDescent="0.25">
      <c r="A162">
        <v>13.406094749999999</v>
      </c>
      <c r="B162">
        <v>9.8125359999999997</v>
      </c>
      <c r="C162">
        <v>10.2079755</v>
      </c>
      <c r="D162">
        <v>13.671194</v>
      </c>
      <c r="E162">
        <v>19.849035000000001</v>
      </c>
      <c r="F162">
        <v>0.14620649999999999</v>
      </c>
      <c r="G162">
        <v>19.367682250000001</v>
      </c>
      <c r="H162">
        <v>-4</v>
      </c>
      <c r="I162">
        <v>-4</v>
      </c>
      <c r="J162">
        <v>1.17</v>
      </c>
      <c r="K162">
        <v>5.7320845</v>
      </c>
      <c r="L162">
        <v>0.32499470713083228</v>
      </c>
      <c r="M162">
        <v>-0.39219720958998078</v>
      </c>
      <c r="N162">
        <v>4.8961924072213357E-2</v>
      </c>
      <c r="O162">
        <v>1.00258880646351</v>
      </c>
    </row>
    <row r="163" spans="1:15" x14ac:dyDescent="0.25">
      <c r="A163">
        <v>11.871387500000001</v>
      </c>
      <c r="B163">
        <v>10.197341</v>
      </c>
      <c r="C163">
        <v>12.331677000000001</v>
      </c>
      <c r="D163">
        <v>13.80264725</v>
      </c>
      <c r="E163">
        <v>20.206676000000002</v>
      </c>
      <c r="F163">
        <v>0.14620649999999999</v>
      </c>
      <c r="G163">
        <v>19.68896775</v>
      </c>
      <c r="H163">
        <v>-4</v>
      </c>
      <c r="I163">
        <v>0</v>
      </c>
      <c r="J163">
        <v>1.17</v>
      </c>
      <c r="K163">
        <v>5.7798160000000003</v>
      </c>
      <c r="L163">
        <v>-5.0159961181710948E-2</v>
      </c>
      <c r="M163">
        <v>-0.393106273228711</v>
      </c>
      <c r="N163">
        <v>5.644260460173986E-2</v>
      </c>
      <c r="O163">
        <v>1.1871205369662241</v>
      </c>
    </row>
    <row r="164" spans="1:15" x14ac:dyDescent="0.25">
      <c r="A164">
        <v>10.1103355</v>
      </c>
      <c r="B164">
        <v>10.197341</v>
      </c>
      <c r="C164">
        <v>14.227925000000001</v>
      </c>
      <c r="D164">
        <v>13.89028325</v>
      </c>
      <c r="E164">
        <v>20.430202999999999</v>
      </c>
      <c r="F164">
        <v>0.194933</v>
      </c>
      <c r="G164">
        <v>19.930240000000001</v>
      </c>
      <c r="H164">
        <v>-4</v>
      </c>
      <c r="I164">
        <v>4</v>
      </c>
      <c r="J164">
        <v>1.17</v>
      </c>
      <c r="K164">
        <v>5.8082205</v>
      </c>
      <c r="L164">
        <v>-0.40076565234265737</v>
      </c>
      <c r="M164">
        <v>-0.35940136573508241</v>
      </c>
      <c r="N164">
        <v>4.856496458988982E-2</v>
      </c>
      <c r="O164">
        <v>0.96916195551855511</v>
      </c>
    </row>
    <row r="165" spans="1:15" x14ac:dyDescent="0.25">
      <c r="A165">
        <v>8.1700342500000005</v>
      </c>
      <c r="B165">
        <v>10.197341</v>
      </c>
      <c r="C165">
        <v>15.90018375</v>
      </c>
      <c r="D165">
        <v>13.71501175</v>
      </c>
      <c r="E165">
        <v>20.430202999999999</v>
      </c>
      <c r="F165">
        <v>0.194933</v>
      </c>
      <c r="G165">
        <v>20.170362000000001</v>
      </c>
      <c r="H165">
        <v>-4</v>
      </c>
      <c r="I165">
        <v>8</v>
      </c>
      <c r="J165">
        <v>1.17</v>
      </c>
      <c r="K165">
        <v>5.8434609999999996</v>
      </c>
      <c r="L165">
        <v>-0.68734993226265084</v>
      </c>
      <c r="M165">
        <v>-0.3128412363695619</v>
      </c>
      <c r="N165">
        <v>2.3050951270966819E-2</v>
      </c>
      <c r="O165">
        <v>0.79932804870413254</v>
      </c>
    </row>
    <row r="166" spans="1:15" x14ac:dyDescent="0.25">
      <c r="A166">
        <v>6.1839422500000003</v>
      </c>
      <c r="B166">
        <v>10.004937999999999</v>
      </c>
      <c r="C166">
        <v>17.524034749999998</v>
      </c>
      <c r="D166">
        <v>13.320651</v>
      </c>
      <c r="E166">
        <v>20.117267500000001</v>
      </c>
      <c r="F166">
        <v>0.14620649999999999</v>
      </c>
      <c r="G166">
        <v>20.687006499999999</v>
      </c>
      <c r="H166">
        <v>-4</v>
      </c>
      <c r="I166">
        <v>12</v>
      </c>
      <c r="J166">
        <v>1.1675</v>
      </c>
      <c r="K166">
        <v>5.9319230000000003</v>
      </c>
      <c r="L166">
        <v>-0.94325658029271175</v>
      </c>
      <c r="M166">
        <v>-0.27579523186986898</v>
      </c>
      <c r="N166">
        <v>-4.7400910780643513E-2</v>
      </c>
      <c r="O166">
        <v>0.66110931955601737</v>
      </c>
    </row>
    <row r="167" spans="1:15" x14ac:dyDescent="0.25">
      <c r="A167">
        <v>3.8818809999999999</v>
      </c>
      <c r="B167">
        <v>9.2834290000000017</v>
      </c>
      <c r="C167">
        <v>18.69831975</v>
      </c>
      <c r="D167">
        <v>12.444293</v>
      </c>
      <c r="E167">
        <v>19.17846175</v>
      </c>
      <c r="F167">
        <v>0.194933</v>
      </c>
      <c r="G167">
        <v>20.849488749999999</v>
      </c>
      <c r="H167">
        <v>-4</v>
      </c>
      <c r="I167">
        <v>16</v>
      </c>
      <c r="J167">
        <v>1.17</v>
      </c>
      <c r="K167">
        <v>5.9419562499999996</v>
      </c>
      <c r="L167">
        <v>-1.176432985933537</v>
      </c>
      <c r="M167">
        <v>-0.25092497098985128</v>
      </c>
      <c r="N167">
        <v>-0.13275303874589009</v>
      </c>
      <c r="O167">
        <v>0.50724554395366872</v>
      </c>
    </row>
    <row r="168" spans="1:15" x14ac:dyDescent="0.25">
      <c r="A168">
        <v>1.173573</v>
      </c>
      <c r="B168">
        <v>8.0328132500000002</v>
      </c>
      <c r="C168">
        <v>19.872617999999999</v>
      </c>
      <c r="D168">
        <v>11.305026</v>
      </c>
      <c r="E168">
        <v>17.524377999999999</v>
      </c>
      <c r="F168">
        <v>0.194933</v>
      </c>
      <c r="G168">
        <v>21.050815</v>
      </c>
      <c r="H168">
        <v>-4</v>
      </c>
      <c r="I168">
        <v>20</v>
      </c>
      <c r="J168">
        <v>1.1675</v>
      </c>
      <c r="K168">
        <v>5.9772740000000004</v>
      </c>
      <c r="L168">
        <v>-1.4471763264661071</v>
      </c>
      <c r="M168">
        <v>-0.2532556568498095</v>
      </c>
      <c r="N168">
        <v>-0.27291729011302363</v>
      </c>
      <c r="O168">
        <v>0.34121291750982241</v>
      </c>
    </row>
    <row r="169" spans="1:15" x14ac:dyDescent="0.25">
      <c r="A169">
        <v>-1.261563</v>
      </c>
      <c r="B169">
        <v>6.4454925000000003</v>
      </c>
      <c r="C169">
        <v>20.00942375</v>
      </c>
      <c r="D169">
        <v>9.6837617500000004</v>
      </c>
      <c r="E169">
        <v>14.976193</v>
      </c>
      <c r="F169">
        <v>0.194933</v>
      </c>
      <c r="G169">
        <v>20.648190499999998</v>
      </c>
      <c r="H169">
        <v>-4</v>
      </c>
      <c r="I169">
        <v>24</v>
      </c>
      <c r="J169">
        <v>1.1625000000000001</v>
      </c>
      <c r="K169">
        <v>5.9320142499999999</v>
      </c>
      <c r="L169">
        <v>-1.7176069917443071</v>
      </c>
      <c r="M169">
        <v>-0.2614618221444735</v>
      </c>
      <c r="N169">
        <v>-0.45799287595032412</v>
      </c>
      <c r="O169">
        <v>0.19356121683553751</v>
      </c>
    </row>
    <row r="170" spans="1:15" x14ac:dyDescent="0.25">
      <c r="A170">
        <v>-3.9196070000000001</v>
      </c>
      <c r="B170">
        <v>4.5695682499999997</v>
      </c>
      <c r="C170">
        <v>19.739709999999999</v>
      </c>
      <c r="D170">
        <v>7.5805007500000006</v>
      </c>
      <c r="E170">
        <v>11.533908500000001</v>
      </c>
      <c r="F170">
        <v>0.194933</v>
      </c>
      <c r="G170">
        <v>19.9279045</v>
      </c>
      <c r="H170">
        <v>-4</v>
      </c>
      <c r="I170">
        <v>28</v>
      </c>
      <c r="J170">
        <v>1.17</v>
      </c>
      <c r="K170">
        <v>5.8078775</v>
      </c>
      <c r="L170">
        <v>-2.1107923921207972</v>
      </c>
      <c r="M170">
        <v>-0.26862628472395211</v>
      </c>
      <c r="N170">
        <v>-0.74889238659348645</v>
      </c>
      <c r="O170">
        <v>1.1604020710299451E-2</v>
      </c>
    </row>
    <row r="171" spans="1:15" x14ac:dyDescent="0.25">
      <c r="A171">
        <v>-6.08253325</v>
      </c>
      <c r="B171">
        <v>2.8860459999999999</v>
      </c>
      <c r="C171">
        <v>19.46869075</v>
      </c>
      <c r="D171">
        <v>5.8277822500000003</v>
      </c>
      <c r="E171">
        <v>8.3151490000000017</v>
      </c>
      <c r="F171">
        <v>0.194933</v>
      </c>
      <c r="G171">
        <v>19.48886525</v>
      </c>
      <c r="H171">
        <v>-4</v>
      </c>
      <c r="I171">
        <v>32</v>
      </c>
      <c r="J171">
        <v>1.17</v>
      </c>
      <c r="K171">
        <v>5.7428827499999997</v>
      </c>
      <c r="L171">
        <v>-2.5775682173960952</v>
      </c>
      <c r="M171">
        <v>-0.29675019871459779</v>
      </c>
      <c r="N171">
        <v>-1.127193681711681</v>
      </c>
      <c r="O171">
        <v>-0.18089943695973859</v>
      </c>
    </row>
    <row r="172" spans="1:15" x14ac:dyDescent="0.25">
      <c r="A172">
        <v>-8.5600489999999994</v>
      </c>
      <c r="B172">
        <v>0.76961800000000002</v>
      </c>
      <c r="C172">
        <v>18.970564</v>
      </c>
      <c r="D172">
        <v>3.5930675000000001</v>
      </c>
      <c r="E172">
        <v>4.3811095</v>
      </c>
      <c r="F172">
        <v>0.194933</v>
      </c>
      <c r="G172">
        <v>18.809666</v>
      </c>
      <c r="H172">
        <v>-4</v>
      </c>
      <c r="I172">
        <v>36</v>
      </c>
      <c r="J172">
        <v>1.17</v>
      </c>
      <c r="K172">
        <v>5.6409140000000004</v>
      </c>
      <c r="L172">
        <v>-3.326856039376858</v>
      </c>
      <c r="M172">
        <v>-0.34108348750399581</v>
      </c>
      <c r="N172">
        <v>-1.7437769552173989</v>
      </c>
      <c r="O172">
        <v>-0.49424114473381742</v>
      </c>
    </row>
    <row r="173" spans="1:15" x14ac:dyDescent="0.25">
      <c r="A173">
        <v>18.777570999999998</v>
      </c>
      <c r="B173">
        <v>2.5012409999999998</v>
      </c>
      <c r="C173">
        <v>-8.0283339999999992</v>
      </c>
      <c r="D173">
        <v>2.8919804999999998</v>
      </c>
      <c r="E173">
        <v>7.3763447500000003</v>
      </c>
      <c r="F173">
        <v>9.7479999999999997E-2</v>
      </c>
      <c r="G173">
        <v>18.28832375</v>
      </c>
      <c r="H173">
        <v>0</v>
      </c>
      <c r="I173">
        <v>-36</v>
      </c>
      <c r="J173">
        <v>1.17</v>
      </c>
      <c r="K173">
        <v>5.5763170000000004</v>
      </c>
      <c r="L173">
        <v>2.6437108263092002</v>
      </c>
      <c r="M173">
        <v>-3.8537054635119618E-2</v>
      </c>
      <c r="N173">
        <v>-1.0762581467650021</v>
      </c>
      <c r="O173">
        <v>-0.28220854355009478</v>
      </c>
    </row>
    <row r="174" spans="1:15" x14ac:dyDescent="0.25">
      <c r="A174">
        <v>18.371324000000001</v>
      </c>
      <c r="B174">
        <v>4.2809637499999997</v>
      </c>
      <c r="C174">
        <v>-5.5476687499999997</v>
      </c>
      <c r="D174">
        <v>4.6008800000000001</v>
      </c>
      <c r="E174">
        <v>9.9692337500000008</v>
      </c>
      <c r="F174">
        <v>0.194933</v>
      </c>
      <c r="G174">
        <v>18.008198499999999</v>
      </c>
      <c r="H174">
        <v>0</v>
      </c>
      <c r="I174">
        <v>-32</v>
      </c>
      <c r="J174">
        <v>1.17</v>
      </c>
      <c r="K174">
        <v>5.5181407499999997</v>
      </c>
      <c r="L174">
        <v>2.2560398546012128</v>
      </c>
      <c r="M174">
        <v>-3.0171981181141609E-2</v>
      </c>
      <c r="N174">
        <v>-0.75823697763596321</v>
      </c>
      <c r="O174">
        <v>-7.8123192895763818E-2</v>
      </c>
    </row>
    <row r="175" spans="1:15" x14ac:dyDescent="0.25">
      <c r="A175">
        <v>18.190771250000001</v>
      </c>
      <c r="B175">
        <v>5.9163852500000003</v>
      </c>
      <c r="C175">
        <v>-2.8414890000000002</v>
      </c>
      <c r="D175">
        <v>6.3535987499999997</v>
      </c>
      <c r="E175">
        <v>12.383303250000001</v>
      </c>
      <c r="F175">
        <v>0.194933</v>
      </c>
      <c r="G175">
        <v>18.048209750000002</v>
      </c>
      <c r="H175">
        <v>0</v>
      </c>
      <c r="I175">
        <v>-28</v>
      </c>
      <c r="J175">
        <v>1.17</v>
      </c>
      <c r="K175">
        <v>5.524311</v>
      </c>
      <c r="L175">
        <v>1.9392649324005089</v>
      </c>
      <c r="M175">
        <v>-4.0242094332775653E-2</v>
      </c>
      <c r="N175">
        <v>-0.52239163596009841</v>
      </c>
      <c r="O175">
        <v>0.1238657299737298</v>
      </c>
    </row>
    <row r="176" spans="1:15" x14ac:dyDescent="0.25">
      <c r="A176">
        <v>18.235910000000001</v>
      </c>
      <c r="B176">
        <v>7.599907</v>
      </c>
      <c r="C176">
        <v>-0.36082399999999998</v>
      </c>
      <c r="D176">
        <v>7.8872260000000001</v>
      </c>
      <c r="E176">
        <v>14.797373</v>
      </c>
      <c r="F176">
        <v>0.194933</v>
      </c>
      <c r="G176">
        <v>18.569541999999998</v>
      </c>
      <c r="H176">
        <v>0</v>
      </c>
      <c r="I176">
        <v>-24</v>
      </c>
      <c r="J176">
        <v>1.165</v>
      </c>
      <c r="K176">
        <v>5.6164784999999986</v>
      </c>
      <c r="L176">
        <v>1.663769053892578</v>
      </c>
      <c r="M176">
        <v>-2.570284426118901E-2</v>
      </c>
      <c r="N176">
        <v>-0.33751047017531471</v>
      </c>
      <c r="O176">
        <v>0.30638602431538692</v>
      </c>
    </row>
    <row r="177" spans="1:15" x14ac:dyDescent="0.25">
      <c r="A177">
        <v>18.010216750000001</v>
      </c>
      <c r="B177">
        <v>9.0429259999999996</v>
      </c>
      <c r="C177">
        <v>1.80682875</v>
      </c>
      <c r="D177">
        <v>9.3332180000000005</v>
      </c>
      <c r="E177">
        <v>16.809097000000001</v>
      </c>
      <c r="F177">
        <v>0.194933</v>
      </c>
      <c r="G177">
        <v>18.928616250000001</v>
      </c>
      <c r="H177">
        <v>0</v>
      </c>
      <c r="I177">
        <v>-20</v>
      </c>
      <c r="J177">
        <v>1.165</v>
      </c>
      <c r="K177">
        <v>5.67109475</v>
      </c>
      <c r="L177">
        <v>1.423320024632357</v>
      </c>
      <c r="M177">
        <v>-2.549944605624014E-2</v>
      </c>
      <c r="N177">
        <v>-0.1861804052697916</v>
      </c>
      <c r="O177">
        <v>0.45940297611193509</v>
      </c>
    </row>
    <row r="178" spans="1:15" x14ac:dyDescent="0.25">
      <c r="A178">
        <v>17.513694999999998</v>
      </c>
      <c r="B178">
        <v>10.1011395</v>
      </c>
      <c r="C178">
        <v>4.0648325000000014</v>
      </c>
      <c r="D178">
        <v>10.38484875</v>
      </c>
      <c r="E178">
        <v>18.239656</v>
      </c>
      <c r="F178">
        <v>0.194933</v>
      </c>
      <c r="G178">
        <v>19.248759499999998</v>
      </c>
      <c r="H178">
        <v>0</v>
      </c>
      <c r="I178">
        <v>-16</v>
      </c>
      <c r="J178">
        <v>1.17</v>
      </c>
      <c r="K178">
        <v>5.7070604999999999</v>
      </c>
      <c r="L178">
        <v>1.205471513280449</v>
      </c>
      <c r="M178">
        <v>-2.532647325278516E-2</v>
      </c>
      <c r="N178">
        <v>-9.0483852468302622E-2</v>
      </c>
      <c r="O178">
        <v>0.61750598232597165</v>
      </c>
    </row>
    <row r="179" spans="1:15" x14ac:dyDescent="0.25">
      <c r="A179">
        <v>16.609847250000001</v>
      </c>
      <c r="B179">
        <v>10.822648750000001</v>
      </c>
      <c r="C179">
        <v>6.4129990000000001</v>
      </c>
      <c r="D179">
        <v>11.392662</v>
      </c>
      <c r="E179">
        <v>19.491398</v>
      </c>
      <c r="F179">
        <v>0.194933</v>
      </c>
      <c r="G179">
        <v>19.647789</v>
      </c>
      <c r="H179">
        <v>0</v>
      </c>
      <c r="I179">
        <v>-12</v>
      </c>
      <c r="J179">
        <v>1.17</v>
      </c>
      <c r="K179">
        <v>5.7664869999999997</v>
      </c>
      <c r="L179">
        <v>0.93775919503261596</v>
      </c>
      <c r="M179">
        <v>-5.2376508413004771E-2</v>
      </c>
      <c r="N179">
        <v>-1.4375951132691821E-2</v>
      </c>
      <c r="O179">
        <v>0.77470986886814375</v>
      </c>
    </row>
    <row r="180" spans="1:15" x14ac:dyDescent="0.25">
      <c r="A180">
        <v>15.527602</v>
      </c>
      <c r="B180">
        <v>11.544157999999999</v>
      </c>
      <c r="C180">
        <v>8.6270757499999995</v>
      </c>
      <c r="D180">
        <v>11.962294999999999</v>
      </c>
      <c r="E180">
        <v>20.206676000000002</v>
      </c>
      <c r="F180">
        <v>0.14620649999999999</v>
      </c>
      <c r="G180">
        <v>19.88905175</v>
      </c>
      <c r="H180">
        <v>0</v>
      </c>
      <c r="I180">
        <v>-8</v>
      </c>
      <c r="J180">
        <v>1.17</v>
      </c>
      <c r="K180">
        <v>5.80929875</v>
      </c>
      <c r="L180">
        <v>0.68177954617939862</v>
      </c>
      <c r="M180">
        <v>-4.1323540134020731E-2</v>
      </c>
      <c r="N180">
        <v>3.1374658164534878E-2</v>
      </c>
      <c r="O180">
        <v>0.98209181368214793</v>
      </c>
    </row>
    <row r="181" spans="1:15" x14ac:dyDescent="0.25">
      <c r="A181">
        <v>14.083171999999999</v>
      </c>
      <c r="B181">
        <v>12.025164999999999</v>
      </c>
      <c r="C181">
        <v>10.840316</v>
      </c>
      <c r="D181">
        <v>12.312839</v>
      </c>
      <c r="E181">
        <v>20.653727499999999</v>
      </c>
      <c r="F181">
        <v>0.194933</v>
      </c>
      <c r="G181">
        <v>20.130341749999999</v>
      </c>
      <c r="H181">
        <v>0</v>
      </c>
      <c r="I181">
        <v>-4</v>
      </c>
      <c r="J181">
        <v>1.17</v>
      </c>
      <c r="K181">
        <v>5.8375954999999999</v>
      </c>
      <c r="L181">
        <v>0.35172420104088059</v>
      </c>
      <c r="M181">
        <v>-3.112489712043031E-2</v>
      </c>
      <c r="N181">
        <v>5.6691829428285843E-2</v>
      </c>
      <c r="O181">
        <v>1.218897477213188</v>
      </c>
    </row>
    <row r="182" spans="1:15" x14ac:dyDescent="0.25">
      <c r="A182">
        <v>12.41225425</v>
      </c>
      <c r="B182">
        <v>12.313768</v>
      </c>
      <c r="C182">
        <v>12.96236375</v>
      </c>
      <c r="D182">
        <v>12.488110750000001</v>
      </c>
      <c r="E182">
        <v>21.100777000000001</v>
      </c>
      <c r="F182">
        <v>0.194933</v>
      </c>
      <c r="G182">
        <v>20.529342</v>
      </c>
      <c r="H182">
        <v>0</v>
      </c>
      <c r="I182">
        <v>0</v>
      </c>
      <c r="J182">
        <v>1.17</v>
      </c>
      <c r="K182">
        <v>5.8957257500000004</v>
      </c>
      <c r="L182">
        <v>-6.2904488566246253E-2</v>
      </c>
      <c r="M182">
        <v>-1.9966306930884279E-2</v>
      </c>
      <c r="N182">
        <v>6.5388029054615146E-2</v>
      </c>
      <c r="O182">
        <v>1.3926339211403911</v>
      </c>
    </row>
    <row r="183" spans="1:15" x14ac:dyDescent="0.25">
      <c r="A183">
        <v>10.6075105</v>
      </c>
      <c r="B183">
        <v>12.409969500000001</v>
      </c>
      <c r="C183">
        <v>14.7689545</v>
      </c>
      <c r="D183">
        <v>12.488110750000001</v>
      </c>
      <c r="E183">
        <v>21.23489125</v>
      </c>
      <c r="F183">
        <v>0.194933</v>
      </c>
      <c r="G183">
        <v>20.728223</v>
      </c>
      <c r="H183">
        <v>0</v>
      </c>
      <c r="I183">
        <v>4</v>
      </c>
      <c r="J183">
        <v>1.17</v>
      </c>
      <c r="K183">
        <v>5.9244845000000002</v>
      </c>
      <c r="L183">
        <v>-0.42758932057523269</v>
      </c>
      <c r="M183">
        <v>-7.9344710631725421E-3</v>
      </c>
      <c r="N183">
        <v>5.1924853299478983E-2</v>
      </c>
      <c r="O183">
        <v>1.1617815793207471</v>
      </c>
    </row>
    <row r="184" spans="1:15" x14ac:dyDescent="0.25">
      <c r="A184">
        <v>8.531141250000001</v>
      </c>
      <c r="B184">
        <v>12.265667499999999</v>
      </c>
      <c r="C184">
        <v>16.57883975</v>
      </c>
      <c r="D184">
        <v>12.312839</v>
      </c>
      <c r="E184">
        <v>21.145481749999998</v>
      </c>
      <c r="F184">
        <v>0.14620649999999999</v>
      </c>
      <c r="G184">
        <v>20.890733000000001</v>
      </c>
      <c r="H184">
        <v>0</v>
      </c>
      <c r="I184">
        <v>8</v>
      </c>
      <c r="J184">
        <v>1.17</v>
      </c>
      <c r="K184">
        <v>5.9548544999999997</v>
      </c>
      <c r="L184">
        <v>-0.74809845945688769</v>
      </c>
      <c r="M184">
        <v>-4.3903543193924578E-3</v>
      </c>
      <c r="N184">
        <v>2.3665574726048539E-2</v>
      </c>
      <c r="O184">
        <v>0.95195193530569333</v>
      </c>
    </row>
    <row r="185" spans="1:15" x14ac:dyDescent="0.25">
      <c r="A185">
        <v>6.2742187500000002</v>
      </c>
      <c r="B185">
        <v>11.7846625</v>
      </c>
      <c r="C185">
        <v>17.842533750000001</v>
      </c>
      <c r="D185">
        <v>11.699387</v>
      </c>
      <c r="E185">
        <v>20.519613</v>
      </c>
      <c r="F185">
        <v>0.194933</v>
      </c>
      <c r="G185">
        <v>20.930753500000002</v>
      </c>
      <c r="H185">
        <v>0</v>
      </c>
      <c r="I185">
        <v>12</v>
      </c>
      <c r="J185">
        <v>1.17</v>
      </c>
      <c r="K185">
        <v>5.9536332500000002</v>
      </c>
      <c r="L185">
        <v>-1.002935622617481</v>
      </c>
      <c r="M185">
        <v>7.3943900293248731E-3</v>
      </c>
      <c r="N185">
        <v>-3.564458801383568E-2</v>
      </c>
      <c r="O185">
        <v>0.76208095759838668</v>
      </c>
    </row>
    <row r="186" spans="1:15" x14ac:dyDescent="0.25">
      <c r="A186">
        <v>3.791604</v>
      </c>
      <c r="B186">
        <v>10.582146</v>
      </c>
      <c r="C186">
        <v>18.111177000000001</v>
      </c>
      <c r="D186">
        <v>10.297212999999999</v>
      </c>
      <c r="E186">
        <v>18.597297999999999</v>
      </c>
      <c r="F186">
        <v>0.194933</v>
      </c>
      <c r="G186">
        <v>20.010280999999999</v>
      </c>
      <c r="H186">
        <v>0</v>
      </c>
      <c r="I186">
        <v>16</v>
      </c>
      <c r="J186">
        <v>1.17</v>
      </c>
      <c r="K186">
        <v>5.8199990000000001</v>
      </c>
      <c r="L186">
        <v>-1.239500687730873</v>
      </c>
      <c r="M186">
        <v>2.4642121899558819E-2</v>
      </c>
      <c r="N186">
        <v>-0.12230690749466511</v>
      </c>
      <c r="O186">
        <v>0.59289698017461001</v>
      </c>
    </row>
    <row r="187" spans="1:15" x14ac:dyDescent="0.25">
      <c r="A187">
        <v>1.3541274999999999</v>
      </c>
      <c r="B187">
        <v>9.5239325000000008</v>
      </c>
      <c r="C187">
        <v>18.427334999999999</v>
      </c>
      <c r="D187">
        <v>8.8950390000000006</v>
      </c>
      <c r="E187">
        <v>16.540868</v>
      </c>
      <c r="F187">
        <v>0.194933</v>
      </c>
      <c r="G187">
        <v>19.570055499999999</v>
      </c>
      <c r="H187">
        <v>0</v>
      </c>
      <c r="I187">
        <v>20</v>
      </c>
      <c r="J187">
        <v>1.17</v>
      </c>
      <c r="K187">
        <v>5.7549774999999999</v>
      </c>
      <c r="L187">
        <v>-1.495576604351269</v>
      </c>
      <c r="M187">
        <v>5.5100734312155591E-2</v>
      </c>
      <c r="N187">
        <v>-0.26539806232065838</v>
      </c>
      <c r="O187">
        <v>0.43186744096784302</v>
      </c>
    </row>
    <row r="188" spans="1:15" x14ac:dyDescent="0.25">
      <c r="A188">
        <v>-1.0813390000000001</v>
      </c>
      <c r="B188">
        <v>8.0809139999999999</v>
      </c>
      <c r="C188">
        <v>18.518883249999998</v>
      </c>
      <c r="D188">
        <v>7.2299577500000014</v>
      </c>
      <c r="E188">
        <v>14.0373885</v>
      </c>
      <c r="F188">
        <v>0.14620649999999999</v>
      </c>
      <c r="G188">
        <v>18.969747999999999</v>
      </c>
      <c r="H188">
        <v>0</v>
      </c>
      <c r="I188">
        <v>24</v>
      </c>
      <c r="J188">
        <v>1.17</v>
      </c>
      <c r="K188">
        <v>5.6724654999999986</v>
      </c>
      <c r="L188">
        <v>-1.7879720742670751</v>
      </c>
      <c r="M188">
        <v>7.7632536590624468E-2</v>
      </c>
      <c r="N188">
        <v>-0.44996272769181739</v>
      </c>
      <c r="O188">
        <v>0.26708567170953462</v>
      </c>
    </row>
    <row r="189" spans="1:15" x14ac:dyDescent="0.25">
      <c r="A189">
        <v>-3.46929775</v>
      </c>
      <c r="B189">
        <v>6.4454925000000003</v>
      </c>
      <c r="C189">
        <v>18.427334999999999</v>
      </c>
      <c r="D189">
        <v>5.4772382500000001</v>
      </c>
      <c r="E189">
        <v>11.131563</v>
      </c>
      <c r="F189">
        <v>9.7479999999999997E-2</v>
      </c>
      <c r="G189">
        <v>18.648481</v>
      </c>
      <c r="H189">
        <v>0</v>
      </c>
      <c r="I189">
        <v>28</v>
      </c>
      <c r="J189">
        <v>1.17</v>
      </c>
      <c r="K189">
        <v>5.6312357500000001</v>
      </c>
      <c r="L189">
        <v>-2.162266801545488</v>
      </c>
      <c r="M189">
        <v>9.5641264032756523E-2</v>
      </c>
      <c r="N189">
        <v>-0.74224886175512905</v>
      </c>
      <c r="O189">
        <v>8.9596084437542522E-2</v>
      </c>
    </row>
    <row r="190" spans="1:15" x14ac:dyDescent="0.25">
      <c r="A190">
        <v>-6.0374774999999996</v>
      </c>
      <c r="B190">
        <v>4.7619705000000003</v>
      </c>
      <c r="C190">
        <v>18.428546999999998</v>
      </c>
      <c r="D190">
        <v>3.4177955</v>
      </c>
      <c r="E190">
        <v>7.8681000000000001</v>
      </c>
      <c r="F190">
        <v>0.194933</v>
      </c>
      <c r="G190">
        <v>18.448396750000001</v>
      </c>
      <c r="H190">
        <v>0</v>
      </c>
      <c r="I190">
        <v>32</v>
      </c>
      <c r="J190">
        <v>1.17</v>
      </c>
      <c r="K190">
        <v>5.5859104999999998</v>
      </c>
      <c r="L190">
        <v>-2.6658970892485718</v>
      </c>
      <c r="M190">
        <v>0.1463276490786474</v>
      </c>
      <c r="N190">
        <v>-1.152945526991584</v>
      </c>
      <c r="O190">
        <v>-0.16387710793906379</v>
      </c>
    </row>
    <row r="191" spans="1:15" x14ac:dyDescent="0.25">
      <c r="A191">
        <v>-8.019933</v>
      </c>
      <c r="B191">
        <v>3.0303482499999999</v>
      </c>
      <c r="C191">
        <v>17.97804425</v>
      </c>
      <c r="D191">
        <v>1.358352</v>
      </c>
      <c r="E191">
        <v>4.3811095</v>
      </c>
      <c r="F191">
        <v>0.14620649999999999</v>
      </c>
      <c r="G191">
        <v>17.9681785</v>
      </c>
      <c r="H191">
        <v>0</v>
      </c>
      <c r="I191">
        <v>36</v>
      </c>
      <c r="J191">
        <v>1.17</v>
      </c>
      <c r="K191">
        <v>5.5194855</v>
      </c>
      <c r="L191">
        <v>-3.3718591523056132</v>
      </c>
      <c r="M191">
        <v>0.2165974542075545</v>
      </c>
      <c r="N191">
        <v>-1.7624929757333929</v>
      </c>
      <c r="O191">
        <v>-0.45074001749973519</v>
      </c>
    </row>
    <row r="192" spans="1:15" x14ac:dyDescent="0.25">
      <c r="A192">
        <v>19.047170250000001</v>
      </c>
      <c r="B192">
        <v>4.5695682499999997</v>
      </c>
      <c r="C192">
        <v>-8.2087454999999991</v>
      </c>
      <c r="D192">
        <v>0.70108300000000001</v>
      </c>
      <c r="E192">
        <v>7.3316400000000002</v>
      </c>
      <c r="F192">
        <v>0.194933</v>
      </c>
      <c r="G192">
        <v>18.569541999999998</v>
      </c>
      <c r="H192">
        <v>4</v>
      </c>
      <c r="I192">
        <v>-36</v>
      </c>
      <c r="J192">
        <v>1.17</v>
      </c>
      <c r="K192">
        <v>5.6044260000000001</v>
      </c>
      <c r="L192">
        <v>2.4586801035616501</v>
      </c>
      <c r="M192">
        <v>0.34895707131081999</v>
      </c>
      <c r="N192">
        <v>-1.0137672796788619</v>
      </c>
      <c r="O192">
        <v>-0.35620011268517088</v>
      </c>
    </row>
    <row r="193" spans="1:15" x14ac:dyDescent="0.25">
      <c r="A193">
        <v>19.319230999999998</v>
      </c>
      <c r="B193">
        <v>6.6378950000000003</v>
      </c>
      <c r="C193">
        <v>-5.6378747499999999</v>
      </c>
      <c r="D193">
        <v>2.7167085000000002</v>
      </c>
      <c r="E193">
        <v>10.3268735</v>
      </c>
      <c r="F193">
        <v>0.194933</v>
      </c>
      <c r="G193">
        <v>19.007544500000002</v>
      </c>
      <c r="H193">
        <v>4</v>
      </c>
      <c r="I193">
        <v>-32</v>
      </c>
      <c r="J193">
        <v>1.17</v>
      </c>
      <c r="K193">
        <v>5.6708207499999999</v>
      </c>
      <c r="L193">
        <v>2.1173235980701222</v>
      </c>
      <c r="M193">
        <v>0.33262334281457451</v>
      </c>
      <c r="N193">
        <v>-0.73648421669764297</v>
      </c>
      <c r="O193">
        <v>-0.1403960209315428</v>
      </c>
    </row>
    <row r="194" spans="1:15" x14ac:dyDescent="0.25">
      <c r="A194">
        <v>19.317976000000002</v>
      </c>
      <c r="B194">
        <v>8.2733150000000002</v>
      </c>
      <c r="C194">
        <v>-2.9767980000000001</v>
      </c>
      <c r="D194">
        <v>4.7323339999999998</v>
      </c>
      <c r="E194">
        <v>13.053877999999999</v>
      </c>
      <c r="F194">
        <v>0.194933</v>
      </c>
      <c r="G194">
        <v>19.248759499999998</v>
      </c>
      <c r="H194">
        <v>4</v>
      </c>
      <c r="I194">
        <v>-28</v>
      </c>
      <c r="J194">
        <v>1.1675</v>
      </c>
      <c r="K194">
        <v>5.7131910000000001</v>
      </c>
      <c r="L194">
        <v>1.831023300546492</v>
      </c>
      <c r="M194">
        <v>0.29081780530551482</v>
      </c>
      <c r="N194">
        <v>-0.50876860029345994</v>
      </c>
      <c r="O194">
        <v>5.6094388375515808E-2</v>
      </c>
    </row>
    <row r="195" spans="1:15" x14ac:dyDescent="0.25">
      <c r="A195">
        <v>19.319230999999998</v>
      </c>
      <c r="B195">
        <v>9.8606365</v>
      </c>
      <c r="C195">
        <v>-0.22551499999999999</v>
      </c>
      <c r="D195">
        <v>6.4850519999999996</v>
      </c>
      <c r="E195">
        <v>15.467947499999999</v>
      </c>
      <c r="F195">
        <v>0.194933</v>
      </c>
      <c r="G195">
        <v>19.6878095</v>
      </c>
      <c r="H195">
        <v>4</v>
      </c>
      <c r="I195">
        <v>-24</v>
      </c>
      <c r="J195">
        <v>1.1599999999999999</v>
      </c>
      <c r="K195">
        <v>5.7972520000000003</v>
      </c>
      <c r="L195">
        <v>1.584150360415602</v>
      </c>
      <c r="M195">
        <v>0.27363400159289092</v>
      </c>
      <c r="N195">
        <v>-0.34204608562993288</v>
      </c>
      <c r="O195">
        <v>0.2378716173019414</v>
      </c>
    </row>
    <row r="196" spans="1:15" x14ac:dyDescent="0.25">
      <c r="A196">
        <v>18.912985750000001</v>
      </c>
      <c r="B196">
        <v>10.966951</v>
      </c>
      <c r="C196">
        <v>1.9871110000000001</v>
      </c>
      <c r="D196">
        <v>7.8872260000000001</v>
      </c>
      <c r="E196">
        <v>17.434968000000001</v>
      </c>
      <c r="F196">
        <v>0.194933</v>
      </c>
      <c r="G196">
        <v>19.929072250000001</v>
      </c>
      <c r="H196">
        <v>4</v>
      </c>
      <c r="I196">
        <v>-20</v>
      </c>
      <c r="J196">
        <v>1.17</v>
      </c>
      <c r="K196">
        <v>5.8080489999999996</v>
      </c>
      <c r="L196">
        <v>1.354351870658274</v>
      </c>
      <c r="M196">
        <v>0.2464339926509414</v>
      </c>
      <c r="N196">
        <v>-0.19962553711723191</v>
      </c>
      <c r="O196">
        <v>0.37946505884649878</v>
      </c>
    </row>
    <row r="197" spans="1:15" x14ac:dyDescent="0.25">
      <c r="A197">
        <v>18.2335405</v>
      </c>
      <c r="B197">
        <v>12.121366</v>
      </c>
      <c r="C197">
        <v>4.5164897499999999</v>
      </c>
      <c r="D197">
        <v>9.1141290000000001</v>
      </c>
      <c r="E197">
        <v>18.954937000000001</v>
      </c>
      <c r="F197">
        <v>0.194933</v>
      </c>
      <c r="G197">
        <v>20.170362000000001</v>
      </c>
      <c r="H197">
        <v>4</v>
      </c>
      <c r="I197">
        <v>-16</v>
      </c>
      <c r="J197">
        <v>1.17</v>
      </c>
      <c r="K197">
        <v>5.8434609999999996</v>
      </c>
      <c r="L197">
        <v>1.1299399947141751</v>
      </c>
      <c r="M197">
        <v>0.24772069574705269</v>
      </c>
      <c r="N197">
        <v>-0.10012045163994771</v>
      </c>
      <c r="O197">
        <v>0.54535250899662779</v>
      </c>
    </row>
    <row r="198" spans="1:15" x14ac:dyDescent="0.25">
      <c r="A198">
        <v>17.333141000000001</v>
      </c>
      <c r="B198">
        <v>13.179579499999999</v>
      </c>
      <c r="C198">
        <v>6.9567840000000007</v>
      </c>
      <c r="D198">
        <v>9.946669</v>
      </c>
      <c r="E198">
        <v>20.251381500000001</v>
      </c>
      <c r="F198">
        <v>0.194933</v>
      </c>
      <c r="G198">
        <v>20.490525999999999</v>
      </c>
      <c r="H198">
        <v>4</v>
      </c>
      <c r="I198">
        <v>-12</v>
      </c>
      <c r="J198">
        <v>1.17</v>
      </c>
      <c r="K198">
        <v>5.890104</v>
      </c>
      <c r="L198">
        <v>0.87939789250295675</v>
      </c>
      <c r="M198">
        <v>0.27395746174047941</v>
      </c>
      <c r="N198">
        <v>-2.0289423627115818E-2</v>
      </c>
      <c r="O198">
        <v>0.69979401633963578</v>
      </c>
    </row>
    <row r="199" spans="1:15" x14ac:dyDescent="0.25">
      <c r="A199">
        <v>16.069262999999999</v>
      </c>
      <c r="B199">
        <v>13.852989000000001</v>
      </c>
      <c r="C199">
        <v>9.0329977499999998</v>
      </c>
      <c r="D199">
        <v>10.472484250000001</v>
      </c>
      <c r="E199">
        <v>20.966661999999999</v>
      </c>
      <c r="F199">
        <v>0.194933</v>
      </c>
      <c r="G199">
        <v>20.769457500000001</v>
      </c>
      <c r="H199">
        <v>4</v>
      </c>
      <c r="I199">
        <v>-8</v>
      </c>
      <c r="J199">
        <v>1.17</v>
      </c>
      <c r="K199">
        <v>5.9304327499999996</v>
      </c>
      <c r="L199">
        <v>0.62744389161215353</v>
      </c>
      <c r="M199">
        <v>0.30142612839321969</v>
      </c>
      <c r="N199">
        <v>1.7397862110677391E-2</v>
      </c>
      <c r="O199">
        <v>0.85264241013471542</v>
      </c>
    </row>
    <row r="200" spans="1:15" x14ac:dyDescent="0.25">
      <c r="A200">
        <v>14.5336085</v>
      </c>
      <c r="B200">
        <v>14.3339935</v>
      </c>
      <c r="C200">
        <v>11.24757275</v>
      </c>
      <c r="D200">
        <v>10.779210000000001</v>
      </c>
      <c r="E200">
        <v>21.458416</v>
      </c>
      <c r="F200">
        <v>0.194933</v>
      </c>
      <c r="G200">
        <v>20.970773999999999</v>
      </c>
      <c r="H200">
        <v>4</v>
      </c>
      <c r="I200">
        <v>-4</v>
      </c>
      <c r="J200">
        <v>1.1675</v>
      </c>
      <c r="K200">
        <v>5.9657920000000004</v>
      </c>
      <c r="L200">
        <v>0.31462669333104237</v>
      </c>
      <c r="M200">
        <v>0.34035485428150047</v>
      </c>
      <c r="N200">
        <v>4.6688860121347431E-2</v>
      </c>
      <c r="O200">
        <v>1.0358537276929529</v>
      </c>
    </row>
    <row r="201" spans="1:15" x14ac:dyDescent="0.25">
      <c r="A201">
        <v>12.593602499999999</v>
      </c>
      <c r="B201">
        <v>14.430194999999999</v>
      </c>
      <c r="C201">
        <v>13.00924</v>
      </c>
      <c r="D201">
        <v>10.691573999999999</v>
      </c>
      <c r="E201">
        <v>21.324300999999998</v>
      </c>
      <c r="F201">
        <v>0.194933</v>
      </c>
      <c r="G201">
        <v>20.849488749999999</v>
      </c>
      <c r="H201">
        <v>4</v>
      </c>
      <c r="I201">
        <v>0</v>
      </c>
      <c r="J201">
        <v>1.1675</v>
      </c>
      <c r="K201">
        <v>5.9483392500000001</v>
      </c>
      <c r="L201">
        <v>-4.2839820008434268E-2</v>
      </c>
      <c r="M201">
        <v>0.38620802791899639</v>
      </c>
      <c r="N201">
        <v>4.8926766526807643E-2</v>
      </c>
      <c r="O201">
        <v>1.1826166836595129</v>
      </c>
    </row>
    <row r="202" spans="1:15" x14ac:dyDescent="0.25">
      <c r="A202">
        <v>10.15612625</v>
      </c>
      <c r="B202">
        <v>13.660586</v>
      </c>
      <c r="C202">
        <v>14.183690500000001</v>
      </c>
      <c r="D202">
        <v>10.253394999999999</v>
      </c>
      <c r="E202">
        <v>20.385497999999998</v>
      </c>
      <c r="F202">
        <v>0.194933</v>
      </c>
      <c r="G202">
        <v>20.010280999999999</v>
      </c>
      <c r="H202">
        <v>4</v>
      </c>
      <c r="I202">
        <v>4</v>
      </c>
      <c r="J202">
        <v>1.1599999999999999</v>
      </c>
      <c r="K202">
        <v>5.8450309999999996</v>
      </c>
      <c r="L202">
        <v>-0.39563680896471409</v>
      </c>
      <c r="M202">
        <v>0.3346317214895036</v>
      </c>
      <c r="N202">
        <v>3.6857518545066609E-2</v>
      </c>
      <c r="O202">
        <v>0.98331665122548884</v>
      </c>
    </row>
    <row r="203" spans="1:15" x14ac:dyDescent="0.25">
      <c r="A203">
        <v>7.9443419999999998</v>
      </c>
      <c r="B203">
        <v>13.131478749999999</v>
      </c>
      <c r="C203">
        <v>15.35610975</v>
      </c>
      <c r="D203">
        <v>9.6837617500000004</v>
      </c>
      <c r="E203">
        <v>19.670217999999998</v>
      </c>
      <c r="F203">
        <v>0.194933</v>
      </c>
      <c r="G203">
        <v>19.607777500000001</v>
      </c>
      <c r="H203">
        <v>4</v>
      </c>
      <c r="I203">
        <v>8</v>
      </c>
      <c r="J203">
        <v>1.165</v>
      </c>
      <c r="K203">
        <v>5.7729875000000002</v>
      </c>
      <c r="L203">
        <v>-0.68273317999698147</v>
      </c>
      <c r="M203">
        <v>0.31755183412975369</v>
      </c>
      <c r="N203">
        <v>5.766197340043501E-3</v>
      </c>
      <c r="O203">
        <v>0.79395964437202937</v>
      </c>
    </row>
    <row r="204" spans="1:15" x14ac:dyDescent="0.25">
      <c r="A204">
        <v>5.7776959999999997</v>
      </c>
      <c r="B204">
        <v>12.313768</v>
      </c>
      <c r="C204">
        <v>16.12391375</v>
      </c>
      <c r="D204">
        <v>8.9388570000000005</v>
      </c>
      <c r="E204">
        <v>18.597297999999999</v>
      </c>
      <c r="F204">
        <v>0.194933</v>
      </c>
      <c r="G204">
        <v>19.04867625</v>
      </c>
      <c r="H204">
        <v>4</v>
      </c>
      <c r="I204">
        <v>12</v>
      </c>
      <c r="J204">
        <v>1.17</v>
      </c>
      <c r="K204">
        <v>5.6770257500000003</v>
      </c>
      <c r="L204">
        <v>-0.92056214591279173</v>
      </c>
      <c r="M204">
        <v>0.30028512713495559</v>
      </c>
      <c r="N204">
        <v>-4.0161703578910433E-2</v>
      </c>
      <c r="O204">
        <v>0.63736362636195709</v>
      </c>
    </row>
    <row r="205" spans="1:15" x14ac:dyDescent="0.25">
      <c r="A205">
        <v>3.4756345</v>
      </c>
      <c r="B205">
        <v>11.351755000000001</v>
      </c>
      <c r="C205">
        <v>16.619637999999998</v>
      </c>
      <c r="D205">
        <v>7.8872260000000001</v>
      </c>
      <c r="E205">
        <v>17.1220325</v>
      </c>
      <c r="F205">
        <v>0.14620649999999999</v>
      </c>
      <c r="G205">
        <v>18.608468999999999</v>
      </c>
      <c r="H205">
        <v>4</v>
      </c>
      <c r="I205">
        <v>16</v>
      </c>
      <c r="J205">
        <v>1.17</v>
      </c>
      <c r="K205">
        <v>5.61776125</v>
      </c>
      <c r="L205">
        <v>-1.148931572338032</v>
      </c>
      <c r="M205">
        <v>0.30284028105296701</v>
      </c>
      <c r="N205">
        <v>-0.12997692305598571</v>
      </c>
      <c r="O205">
        <v>0.48388882226851709</v>
      </c>
    </row>
    <row r="206" spans="1:15" x14ac:dyDescent="0.25">
      <c r="A206">
        <v>1.2637769999999999</v>
      </c>
      <c r="B206">
        <v>10.389744</v>
      </c>
      <c r="C206">
        <v>17.072377750000001</v>
      </c>
      <c r="D206">
        <v>6.660323</v>
      </c>
      <c r="E206">
        <v>15.378537</v>
      </c>
      <c r="F206">
        <v>0.14620649999999999</v>
      </c>
      <c r="G206">
        <v>18.3272695</v>
      </c>
      <c r="H206">
        <v>4</v>
      </c>
      <c r="I206">
        <v>20</v>
      </c>
      <c r="J206">
        <v>1.17</v>
      </c>
      <c r="K206">
        <v>5.5748195000000003</v>
      </c>
      <c r="L206">
        <v>-1.384716772142434</v>
      </c>
      <c r="M206">
        <v>0.32666975402454029</v>
      </c>
      <c r="N206">
        <v>-0.2582872252312054</v>
      </c>
      <c r="O206">
        <v>0.33423968626383321</v>
      </c>
    </row>
    <row r="207" spans="1:15" x14ac:dyDescent="0.25">
      <c r="A207">
        <v>-0.90111600000000003</v>
      </c>
      <c r="B207">
        <v>9.2353280000000009</v>
      </c>
      <c r="C207">
        <v>17.164971999999999</v>
      </c>
      <c r="D207">
        <v>5.1705135000000002</v>
      </c>
      <c r="E207">
        <v>13.053877999999999</v>
      </c>
      <c r="F207">
        <v>0.194933</v>
      </c>
      <c r="G207">
        <v>17.80810675</v>
      </c>
      <c r="H207">
        <v>4</v>
      </c>
      <c r="I207">
        <v>24</v>
      </c>
      <c r="J207">
        <v>1.17</v>
      </c>
      <c r="K207">
        <v>5.4870650000000003</v>
      </c>
      <c r="L207">
        <v>-1.6545542469408661</v>
      </c>
      <c r="M207">
        <v>0.37223752684576061</v>
      </c>
      <c r="N207">
        <v>-0.43542299315589511</v>
      </c>
      <c r="O207">
        <v>0.17766654277584379</v>
      </c>
    </row>
    <row r="208" spans="1:15" x14ac:dyDescent="0.25">
      <c r="A208">
        <v>-3.5143534999999999</v>
      </c>
      <c r="B208">
        <v>8.2252147499999992</v>
      </c>
      <c r="C208">
        <v>18.067203500000002</v>
      </c>
      <c r="D208">
        <v>3.4177955</v>
      </c>
      <c r="E208">
        <v>10.863333750000001</v>
      </c>
      <c r="F208">
        <v>0.194933</v>
      </c>
      <c r="G208">
        <v>18.289398500000001</v>
      </c>
      <c r="H208">
        <v>4</v>
      </c>
      <c r="I208">
        <v>28</v>
      </c>
      <c r="J208">
        <v>1.1675</v>
      </c>
      <c r="K208">
        <v>5.5675020000000002</v>
      </c>
      <c r="L208">
        <v>-1.9779179051085269</v>
      </c>
      <c r="M208">
        <v>0.44055014041497143</v>
      </c>
      <c r="N208">
        <v>-0.68063094526003343</v>
      </c>
      <c r="O208">
        <v>-2.2257685437259381E-2</v>
      </c>
    </row>
    <row r="209" spans="1:15" x14ac:dyDescent="0.25">
      <c r="A209">
        <v>-6.0374774999999996</v>
      </c>
      <c r="B209">
        <v>7.0227000000000004</v>
      </c>
      <c r="C209">
        <v>18.789891999999998</v>
      </c>
      <c r="D209">
        <v>1.577442</v>
      </c>
      <c r="E209">
        <v>8.1810340000000004</v>
      </c>
      <c r="F209">
        <v>0.194933</v>
      </c>
      <c r="G209">
        <v>18.888595250000002</v>
      </c>
      <c r="H209">
        <v>4</v>
      </c>
      <c r="I209">
        <v>32</v>
      </c>
      <c r="J209">
        <v>1.1675</v>
      </c>
      <c r="K209">
        <v>5.6589010000000002</v>
      </c>
      <c r="L209">
        <v>-2.3848008762207442</v>
      </c>
      <c r="M209">
        <v>0.52304595429692058</v>
      </c>
      <c r="N209">
        <v>-1.0285230104954459</v>
      </c>
      <c r="O209">
        <v>-0.23292942696334379</v>
      </c>
    </row>
    <row r="210" spans="1:15" x14ac:dyDescent="0.25">
      <c r="A210">
        <v>-8.6507144999999994</v>
      </c>
      <c r="B210">
        <v>5.3872790000000004</v>
      </c>
      <c r="C210">
        <v>19.15249725</v>
      </c>
      <c r="D210">
        <v>-0.786721</v>
      </c>
      <c r="E210">
        <v>4.6940449999999991</v>
      </c>
      <c r="F210">
        <v>0.14620649999999999</v>
      </c>
      <c r="G210">
        <v>19.208739250000001</v>
      </c>
      <c r="H210">
        <v>4</v>
      </c>
      <c r="I210">
        <v>36</v>
      </c>
      <c r="J210">
        <v>1.17</v>
      </c>
      <c r="K210">
        <v>5.7083345000000003</v>
      </c>
      <c r="L210">
        <v>-2.9538633602581492</v>
      </c>
      <c r="M210">
        <v>0.65590364216873498</v>
      </c>
      <c r="N210">
        <v>-1.542170727119456</v>
      </c>
      <c r="O210">
        <v>-0.51682266504326457</v>
      </c>
    </row>
    <row r="211" spans="1:15" x14ac:dyDescent="0.25">
      <c r="A211">
        <v>19.951170999999999</v>
      </c>
      <c r="B211">
        <v>6.8302975000000004</v>
      </c>
      <c r="C211">
        <v>-8.7950850000000003</v>
      </c>
      <c r="D211">
        <v>-1.7919775</v>
      </c>
      <c r="E211">
        <v>7.1528200000000002</v>
      </c>
      <c r="F211">
        <v>0.194933</v>
      </c>
      <c r="G211">
        <v>19.6500965</v>
      </c>
      <c r="H211">
        <v>8</v>
      </c>
      <c r="I211">
        <v>-36</v>
      </c>
      <c r="J211">
        <v>1.17</v>
      </c>
      <c r="K211">
        <v>5.7668524999999997</v>
      </c>
      <c r="L211">
        <v>2.3096463587993838</v>
      </c>
      <c r="M211">
        <v>0.69274747296333716</v>
      </c>
      <c r="N211">
        <v>-1.0041174126948711</v>
      </c>
      <c r="O211">
        <v>-0.44095550198666711</v>
      </c>
    </row>
    <row r="212" spans="1:15" x14ac:dyDescent="0.25">
      <c r="A212">
        <v>20.222002</v>
      </c>
      <c r="B212">
        <v>8.6581209999999995</v>
      </c>
      <c r="C212">
        <v>-6.1340070000000004</v>
      </c>
      <c r="D212">
        <v>0.35053899999999999</v>
      </c>
      <c r="E212">
        <v>10.282169</v>
      </c>
      <c r="F212">
        <v>0.194933</v>
      </c>
      <c r="G212">
        <v>20.010280999999999</v>
      </c>
      <c r="H212">
        <v>8</v>
      </c>
      <c r="I212">
        <v>-32</v>
      </c>
      <c r="J212">
        <v>1.165</v>
      </c>
      <c r="K212">
        <v>5.8325149999999999</v>
      </c>
      <c r="L212">
        <v>2.0007148254075631</v>
      </c>
      <c r="M212">
        <v>0.63063806324732297</v>
      </c>
      <c r="N212">
        <v>-0.73851818544326586</v>
      </c>
      <c r="O212">
        <v>-0.23431242674094871</v>
      </c>
    </row>
    <row r="213" spans="1:15" x14ac:dyDescent="0.25">
      <c r="A213">
        <v>20.175548249999999</v>
      </c>
      <c r="B213">
        <v>10.293542499999999</v>
      </c>
      <c r="C213">
        <v>-3.1572100000000001</v>
      </c>
      <c r="D213">
        <v>2.5852547499999998</v>
      </c>
      <c r="E213">
        <v>13.143288</v>
      </c>
      <c r="F213">
        <v>0.194933</v>
      </c>
      <c r="G213">
        <v>20.170362000000001</v>
      </c>
      <c r="H213">
        <v>8</v>
      </c>
      <c r="I213">
        <v>-28</v>
      </c>
      <c r="J213">
        <v>1.1675</v>
      </c>
      <c r="K213">
        <v>5.8497442499999996</v>
      </c>
      <c r="L213">
        <v>1.73748716388142</v>
      </c>
      <c r="M213">
        <v>0.57397921416928366</v>
      </c>
      <c r="N213">
        <v>-0.52328108913659188</v>
      </c>
      <c r="O213">
        <v>-3.5813941468497403E-2</v>
      </c>
    </row>
    <row r="214" spans="1:15" x14ac:dyDescent="0.25">
      <c r="A214">
        <v>20.041447000000002</v>
      </c>
      <c r="B214">
        <v>11.832763</v>
      </c>
      <c r="C214">
        <v>-0.31572099999999997</v>
      </c>
      <c r="D214">
        <v>4.5570622500000004</v>
      </c>
      <c r="E214">
        <v>15.646768</v>
      </c>
      <c r="F214">
        <v>0.194933</v>
      </c>
      <c r="G214">
        <v>20.609383999999999</v>
      </c>
      <c r="H214">
        <v>8</v>
      </c>
      <c r="I214">
        <v>-24</v>
      </c>
      <c r="J214">
        <v>1.17</v>
      </c>
      <c r="K214">
        <v>5.9073177499999998</v>
      </c>
      <c r="L214">
        <v>1.5050575453011881</v>
      </c>
      <c r="M214">
        <v>0.53791046831626754</v>
      </c>
      <c r="N214">
        <v>-0.36695546935114998</v>
      </c>
      <c r="O214">
        <v>0.14244480972160331</v>
      </c>
    </row>
    <row r="215" spans="1:15" x14ac:dyDescent="0.25">
      <c r="A215">
        <v>19.5449245</v>
      </c>
      <c r="B215">
        <v>13.227680250000001</v>
      </c>
      <c r="C215">
        <v>2.2585449999999998</v>
      </c>
      <c r="D215">
        <v>6.2659627499999999</v>
      </c>
      <c r="E215">
        <v>17.747902</v>
      </c>
      <c r="F215">
        <v>0.194933</v>
      </c>
      <c r="G215">
        <v>20.849488749999999</v>
      </c>
      <c r="H215">
        <v>8</v>
      </c>
      <c r="I215">
        <v>-20</v>
      </c>
      <c r="J215">
        <v>1.17</v>
      </c>
      <c r="K215">
        <v>5.9419562499999996</v>
      </c>
      <c r="L215">
        <v>1.281867758065135</v>
      </c>
      <c r="M215">
        <v>0.51624867123864826</v>
      </c>
      <c r="N215">
        <v>-0.23001951487772271</v>
      </c>
      <c r="O215">
        <v>0.30162633596334371</v>
      </c>
    </row>
    <row r="216" spans="1:15" x14ac:dyDescent="0.25">
      <c r="A216">
        <v>18.776350749999999</v>
      </c>
      <c r="B216">
        <v>14.478295749999999</v>
      </c>
      <c r="C216">
        <v>4.7878094999999998</v>
      </c>
      <c r="D216">
        <v>7.4928650000000001</v>
      </c>
      <c r="E216">
        <v>19.401986999999998</v>
      </c>
      <c r="F216">
        <v>0.194933</v>
      </c>
      <c r="G216">
        <v>21.08959325</v>
      </c>
      <c r="H216">
        <v>8</v>
      </c>
      <c r="I216">
        <v>-16</v>
      </c>
      <c r="J216">
        <v>1.17</v>
      </c>
      <c r="K216">
        <v>5.9763714999999999</v>
      </c>
      <c r="L216">
        <v>1.054834445968118</v>
      </c>
      <c r="M216">
        <v>0.52675621045159504</v>
      </c>
      <c r="N216">
        <v>-0.1272403341076814</v>
      </c>
      <c r="O216">
        <v>0.44836041030794738</v>
      </c>
    </row>
    <row r="217" spans="1:15" x14ac:dyDescent="0.25">
      <c r="A217">
        <v>17.288002250000002</v>
      </c>
      <c r="B217">
        <v>15.007403999999999</v>
      </c>
      <c r="C217">
        <v>6.9111560000000001</v>
      </c>
      <c r="D217">
        <v>8.0624979999999997</v>
      </c>
      <c r="E217">
        <v>20.072563250000002</v>
      </c>
      <c r="F217">
        <v>0.194933</v>
      </c>
      <c r="G217">
        <v>20.810692</v>
      </c>
      <c r="H217">
        <v>8</v>
      </c>
      <c r="I217">
        <v>-12</v>
      </c>
      <c r="J217">
        <v>1.17</v>
      </c>
      <c r="K217">
        <v>5.9363809999999999</v>
      </c>
      <c r="L217">
        <v>0.82453777973967091</v>
      </c>
      <c r="M217">
        <v>0.55181274641888955</v>
      </c>
      <c r="N217">
        <v>-5.8667173701903941E-2</v>
      </c>
      <c r="O217">
        <v>0.57937351299708695</v>
      </c>
    </row>
    <row r="218" spans="1:15" x14ac:dyDescent="0.25">
      <c r="A218">
        <v>15.30190925</v>
      </c>
      <c r="B218">
        <v>14.86310175</v>
      </c>
      <c r="C218">
        <v>8.6276480000000006</v>
      </c>
      <c r="D218">
        <v>8.1939512499999996</v>
      </c>
      <c r="E218">
        <v>19.893740999999999</v>
      </c>
      <c r="F218">
        <v>0.194933</v>
      </c>
      <c r="G218">
        <v>19.970260499999998</v>
      </c>
      <c r="H218">
        <v>8</v>
      </c>
      <c r="I218">
        <v>-8</v>
      </c>
      <c r="J218">
        <v>1.17</v>
      </c>
      <c r="K218">
        <v>5.8141097500000001</v>
      </c>
      <c r="L218">
        <v>0.58120699535437836</v>
      </c>
      <c r="M218">
        <v>0.58082528703149316</v>
      </c>
      <c r="N218">
        <v>-6.7215569077741961E-3</v>
      </c>
      <c r="O218">
        <v>0.71555708333931467</v>
      </c>
    </row>
    <row r="219" spans="1:15" x14ac:dyDescent="0.25">
      <c r="A219">
        <v>13.45035625</v>
      </c>
      <c r="B219">
        <v>14.86310175</v>
      </c>
      <c r="C219">
        <v>10.11696025</v>
      </c>
      <c r="D219">
        <v>8.0624979999999997</v>
      </c>
      <c r="E219">
        <v>19.7596265</v>
      </c>
      <c r="F219">
        <v>0.194933</v>
      </c>
      <c r="G219">
        <v>19.530035000000002</v>
      </c>
      <c r="H219">
        <v>8</v>
      </c>
      <c r="I219">
        <v>-4</v>
      </c>
      <c r="J219">
        <v>1.17</v>
      </c>
      <c r="K219">
        <v>5.7490399999999999</v>
      </c>
      <c r="L219">
        <v>0.31236234808106522</v>
      </c>
      <c r="M219">
        <v>0.63744628232087497</v>
      </c>
      <c r="N219">
        <v>2.1448725027197461E-2</v>
      </c>
      <c r="O219">
        <v>0.83369388949406353</v>
      </c>
    </row>
    <row r="220" spans="1:15" x14ac:dyDescent="0.25">
      <c r="A220">
        <v>11.51027975</v>
      </c>
      <c r="B220">
        <v>14.67069875</v>
      </c>
      <c r="C220">
        <v>11.561481000000001</v>
      </c>
      <c r="D220">
        <v>7.931044</v>
      </c>
      <c r="E220">
        <v>19.446692500000001</v>
      </c>
      <c r="F220">
        <v>0.194933</v>
      </c>
      <c r="G220">
        <v>19.247629750000002</v>
      </c>
      <c r="H220">
        <v>8</v>
      </c>
      <c r="I220">
        <v>0</v>
      </c>
      <c r="J220">
        <v>1.165</v>
      </c>
      <c r="K220">
        <v>5.7191527500000001</v>
      </c>
      <c r="L220">
        <v>-5.2856966523504439E-3</v>
      </c>
      <c r="M220">
        <v>0.69292181299563671</v>
      </c>
      <c r="N220">
        <v>2.0501440741525781E-2</v>
      </c>
      <c r="O220">
        <v>0.9794251658383224</v>
      </c>
    </row>
    <row r="221" spans="1:15" x14ac:dyDescent="0.25">
      <c r="A221">
        <v>9.3881677500000009</v>
      </c>
      <c r="B221">
        <v>14.18969175</v>
      </c>
      <c r="C221">
        <v>12.82686475</v>
      </c>
      <c r="D221">
        <v>7.7119540000000004</v>
      </c>
      <c r="E221">
        <v>18.776116999999999</v>
      </c>
      <c r="F221">
        <v>9.7479999999999997E-2</v>
      </c>
      <c r="G221">
        <v>18.608468999999999</v>
      </c>
      <c r="H221">
        <v>8</v>
      </c>
      <c r="I221">
        <v>4</v>
      </c>
      <c r="J221">
        <v>1.17</v>
      </c>
      <c r="K221">
        <v>5.6251724999999997</v>
      </c>
      <c r="L221">
        <v>-0.33626815052322501</v>
      </c>
      <c r="M221">
        <v>0.63345401829062009</v>
      </c>
      <c r="N221">
        <v>1.6394086485776081E-2</v>
      </c>
      <c r="O221">
        <v>0.82657318760595877</v>
      </c>
    </row>
    <row r="222" spans="1:15" x14ac:dyDescent="0.25">
      <c r="A222">
        <v>7.7637879999999999</v>
      </c>
      <c r="B222">
        <v>14.38209425</v>
      </c>
      <c r="C222">
        <v>14.454712499999999</v>
      </c>
      <c r="D222">
        <v>7.6681362499999999</v>
      </c>
      <c r="E222">
        <v>18.954937000000001</v>
      </c>
      <c r="F222">
        <v>0.194933</v>
      </c>
      <c r="G222">
        <v>19.009768000000001</v>
      </c>
      <c r="H222">
        <v>8</v>
      </c>
      <c r="I222">
        <v>8</v>
      </c>
      <c r="J222">
        <v>1.17</v>
      </c>
      <c r="K222">
        <v>5.67115525</v>
      </c>
      <c r="L222">
        <v>-0.59533887285146181</v>
      </c>
      <c r="M222">
        <v>0.59739071119752485</v>
      </c>
      <c r="N222">
        <v>-4.8994466021133288E-3</v>
      </c>
      <c r="O222">
        <v>0.66921069279935852</v>
      </c>
    </row>
    <row r="223" spans="1:15" x14ac:dyDescent="0.25">
      <c r="A223">
        <v>5.9582499999999996</v>
      </c>
      <c r="B223">
        <v>14.237792000000001</v>
      </c>
      <c r="C223">
        <v>16.080867999999999</v>
      </c>
      <c r="D223">
        <v>7.4052290000000003</v>
      </c>
      <c r="E223">
        <v>18.64200275</v>
      </c>
      <c r="F223">
        <v>0.194933</v>
      </c>
      <c r="G223">
        <v>19.490014500000001</v>
      </c>
      <c r="H223">
        <v>8</v>
      </c>
      <c r="I223">
        <v>12</v>
      </c>
      <c r="J223">
        <v>1.17</v>
      </c>
      <c r="K223">
        <v>5.7430777499999994</v>
      </c>
      <c r="L223">
        <v>-0.84636313417985432</v>
      </c>
      <c r="M223">
        <v>0.57129902859112303</v>
      </c>
      <c r="N223">
        <v>-7.0918139383488399E-2</v>
      </c>
      <c r="O223">
        <v>0.54235864140873369</v>
      </c>
    </row>
    <row r="224" spans="1:15" x14ac:dyDescent="0.25">
      <c r="A224">
        <v>3.791604</v>
      </c>
      <c r="B224">
        <v>13.852989000000001</v>
      </c>
      <c r="C224">
        <v>17.345656999999999</v>
      </c>
      <c r="D224">
        <v>6.660323</v>
      </c>
      <c r="E224">
        <v>17.882017000000001</v>
      </c>
      <c r="F224">
        <v>0.194933</v>
      </c>
      <c r="G224">
        <v>19.810178499999999</v>
      </c>
      <c r="H224">
        <v>8</v>
      </c>
      <c r="I224">
        <v>16</v>
      </c>
      <c r="J224">
        <v>1.1625000000000001</v>
      </c>
      <c r="K224">
        <v>5.8092272500000002</v>
      </c>
      <c r="L224">
        <v>-1.070954148542435</v>
      </c>
      <c r="M224">
        <v>0.56831823601251363</v>
      </c>
      <c r="N224">
        <v>-0.15235092835219119</v>
      </c>
      <c r="O224">
        <v>0.39751969284895949</v>
      </c>
    </row>
    <row r="225" spans="1:15" x14ac:dyDescent="0.25">
      <c r="A225">
        <v>1.3087580000000001</v>
      </c>
      <c r="B225">
        <v>13.083378</v>
      </c>
      <c r="C225">
        <v>18.609219499999998</v>
      </c>
      <c r="D225">
        <v>5.5648747500000004</v>
      </c>
      <c r="E225">
        <v>16.630278000000001</v>
      </c>
      <c r="F225">
        <v>0.194933</v>
      </c>
      <c r="G225">
        <v>20.170362000000001</v>
      </c>
      <c r="H225">
        <v>8</v>
      </c>
      <c r="I225">
        <v>20</v>
      </c>
      <c r="J225">
        <v>1.1675</v>
      </c>
      <c r="K225">
        <v>5.8497442499999996</v>
      </c>
      <c r="L225">
        <v>-1.3112900475195171</v>
      </c>
      <c r="M225">
        <v>0.56986634112020207</v>
      </c>
      <c r="N225">
        <v>-0.26832109160268108</v>
      </c>
      <c r="O225">
        <v>0.2457189465749027</v>
      </c>
    </row>
    <row r="226" spans="1:15" x14ac:dyDescent="0.25">
      <c r="A226">
        <v>-1.261563</v>
      </c>
      <c r="B226">
        <v>12.121366</v>
      </c>
      <c r="C226">
        <v>19.5125815</v>
      </c>
      <c r="D226">
        <v>3.8559760000000001</v>
      </c>
      <c r="E226">
        <v>14.61855325</v>
      </c>
      <c r="F226">
        <v>0.194933</v>
      </c>
      <c r="G226">
        <v>20.410485000000001</v>
      </c>
      <c r="H226">
        <v>8</v>
      </c>
      <c r="I226">
        <v>24</v>
      </c>
      <c r="J226">
        <v>1.17</v>
      </c>
      <c r="K226">
        <v>5.8784665</v>
      </c>
      <c r="L226">
        <v>-1.5595164810214019</v>
      </c>
      <c r="M226">
        <v>0.62048314657825632</v>
      </c>
      <c r="N226">
        <v>-0.43481425468533269</v>
      </c>
      <c r="O226">
        <v>8.2747714223990354E-2</v>
      </c>
    </row>
    <row r="227" spans="1:15" x14ac:dyDescent="0.25">
      <c r="A227">
        <v>-4.0550220000000001</v>
      </c>
      <c r="B227">
        <v>10.91885025</v>
      </c>
      <c r="C227">
        <v>20.235269500000001</v>
      </c>
      <c r="D227">
        <v>1.6650780000000001</v>
      </c>
      <c r="E227">
        <v>11.936253750000001</v>
      </c>
      <c r="F227">
        <v>0.194933</v>
      </c>
      <c r="G227">
        <v>20.729427250000001</v>
      </c>
      <c r="H227">
        <v>8</v>
      </c>
      <c r="I227">
        <v>28</v>
      </c>
      <c r="J227">
        <v>1.17</v>
      </c>
      <c r="K227">
        <v>5.9246365000000001</v>
      </c>
      <c r="L227">
        <v>-1.8498525732680129</v>
      </c>
      <c r="M227">
        <v>0.70470434988565123</v>
      </c>
      <c r="N227">
        <v>-0.66961238639375531</v>
      </c>
      <c r="O227">
        <v>-0.1058283321203024</v>
      </c>
    </row>
    <row r="228" spans="1:15" x14ac:dyDescent="0.25">
      <c r="A228">
        <v>-7.0737614999999998</v>
      </c>
      <c r="B228">
        <v>9.8125359999999997</v>
      </c>
      <c r="C228">
        <v>20.778651750000002</v>
      </c>
      <c r="D228">
        <v>-1.00525525</v>
      </c>
      <c r="E228">
        <v>8.5833779999999997</v>
      </c>
      <c r="F228">
        <v>0.194933</v>
      </c>
      <c r="G228">
        <v>21.050815</v>
      </c>
      <c r="H228">
        <v>8</v>
      </c>
      <c r="I228">
        <v>32</v>
      </c>
      <c r="J228">
        <v>1.17</v>
      </c>
      <c r="K228">
        <v>5.9708415000000006</v>
      </c>
      <c r="L228">
        <v>-2.2065668178089721</v>
      </c>
      <c r="M228">
        <v>0.85701357900516739</v>
      </c>
      <c r="N228">
        <v>-0.98773703446855399</v>
      </c>
      <c r="O228">
        <v>-0.33540731021858861</v>
      </c>
    </row>
    <row r="229" spans="1:15" x14ac:dyDescent="0.25">
      <c r="A229">
        <v>-9.7771089999999994</v>
      </c>
      <c r="B229">
        <v>7.93661175</v>
      </c>
      <c r="C229">
        <v>20.733478000000002</v>
      </c>
      <c r="D229">
        <v>-3.6276609999999998</v>
      </c>
      <c r="E229">
        <v>4.6940449999999991</v>
      </c>
      <c r="F229">
        <v>0.194933</v>
      </c>
      <c r="G229">
        <v>20.970773999999999</v>
      </c>
      <c r="H229">
        <v>8</v>
      </c>
      <c r="I229">
        <v>36</v>
      </c>
      <c r="J229">
        <v>1.165</v>
      </c>
      <c r="K229">
        <v>5.9721529999999996</v>
      </c>
      <c r="L229">
        <v>-2.677247685527405</v>
      </c>
      <c r="M229">
        <v>1.0147760453483869</v>
      </c>
      <c r="N229">
        <v>-1.4282967653021641</v>
      </c>
      <c r="O229">
        <v>-0.60522700419792186</v>
      </c>
    </row>
    <row r="230" spans="1:15" x14ac:dyDescent="0.25">
      <c r="A230">
        <v>19.951170999999999</v>
      </c>
      <c r="B230">
        <v>8.7062214999999998</v>
      </c>
      <c r="C230">
        <v>-9.0657029999999992</v>
      </c>
      <c r="D230">
        <v>-4.5017960000000006</v>
      </c>
      <c r="E230">
        <v>6.5269495000000006</v>
      </c>
      <c r="F230">
        <v>0.194933</v>
      </c>
      <c r="G230">
        <v>20.010280999999999</v>
      </c>
      <c r="H230">
        <v>12</v>
      </c>
      <c r="I230">
        <v>-36</v>
      </c>
      <c r="J230">
        <v>1.17</v>
      </c>
      <c r="K230">
        <v>5.8199990000000001</v>
      </c>
      <c r="L230">
        <v>2.1799926745963729</v>
      </c>
      <c r="M230">
        <v>0.99230814696707337</v>
      </c>
      <c r="N230">
        <v>-1.013015030695197</v>
      </c>
      <c r="O230">
        <v>-0.52430319025564653</v>
      </c>
    </row>
    <row r="231" spans="1:15" x14ac:dyDescent="0.25">
      <c r="A231">
        <v>19.182562749999999</v>
      </c>
      <c r="B231">
        <v>10.053038750000001</v>
      </c>
      <c r="C231">
        <v>-5.9986980000000001</v>
      </c>
      <c r="D231">
        <v>-1.966804</v>
      </c>
      <c r="E231">
        <v>9.2092489999999998</v>
      </c>
      <c r="F231">
        <v>0.14620649999999999</v>
      </c>
      <c r="G231">
        <v>19.4477145</v>
      </c>
      <c r="H231">
        <v>12</v>
      </c>
      <c r="I231">
        <v>-32</v>
      </c>
      <c r="J231">
        <v>1.17</v>
      </c>
      <c r="K231">
        <v>5.7440032499999996</v>
      </c>
      <c r="L231">
        <v>1.908871194742882</v>
      </c>
      <c r="M231">
        <v>0.91115422032745297</v>
      </c>
      <c r="N231">
        <v>-0.77618175346573026</v>
      </c>
      <c r="O231">
        <v>-0.31295132998343073</v>
      </c>
    </row>
    <row r="232" spans="1:15" x14ac:dyDescent="0.25">
      <c r="A232">
        <v>18.548253500000001</v>
      </c>
      <c r="B232">
        <v>11.159352999999999</v>
      </c>
      <c r="C232">
        <v>-3.0219010000000002</v>
      </c>
      <c r="D232">
        <v>0.30672125</v>
      </c>
      <c r="E232">
        <v>11.57861325</v>
      </c>
      <c r="F232">
        <v>0.194933</v>
      </c>
      <c r="G232">
        <v>18.928616250000001</v>
      </c>
      <c r="H232">
        <v>12</v>
      </c>
      <c r="I232">
        <v>-28</v>
      </c>
      <c r="J232">
        <v>1.17</v>
      </c>
      <c r="K232">
        <v>5.6589124999999996</v>
      </c>
      <c r="L232">
        <v>1.6674218321503631</v>
      </c>
      <c r="M232">
        <v>0.83895717199300246</v>
      </c>
      <c r="N232">
        <v>-0.56818181306967819</v>
      </c>
      <c r="O232">
        <v>-0.120015229976225</v>
      </c>
    </row>
    <row r="233" spans="1:15" x14ac:dyDescent="0.25">
      <c r="A233">
        <v>17.737088</v>
      </c>
      <c r="B233">
        <v>12.121366</v>
      </c>
      <c r="C233">
        <v>-0.36082399999999998</v>
      </c>
      <c r="D233">
        <v>2.2347107500000001</v>
      </c>
      <c r="E233">
        <v>13.545632749999999</v>
      </c>
      <c r="F233">
        <v>0.14620649999999999</v>
      </c>
      <c r="G233">
        <v>18.6484895</v>
      </c>
      <c r="H233">
        <v>12</v>
      </c>
      <c r="I233">
        <v>-24</v>
      </c>
      <c r="J233">
        <v>1.17</v>
      </c>
      <c r="K233">
        <v>5.6238512500000004</v>
      </c>
      <c r="L233">
        <v>1.4353603174074789</v>
      </c>
      <c r="M233">
        <v>0.7841410626342814</v>
      </c>
      <c r="N233">
        <v>-0.40472145246271368</v>
      </c>
      <c r="O233">
        <v>6.2697791322075258E-2</v>
      </c>
    </row>
    <row r="234" spans="1:15" x14ac:dyDescent="0.25">
      <c r="A234">
        <v>16.519570250000001</v>
      </c>
      <c r="B234">
        <v>12.890976</v>
      </c>
      <c r="C234">
        <v>1.6710862500000001</v>
      </c>
      <c r="D234">
        <v>3.6807029999999998</v>
      </c>
      <c r="E234">
        <v>14.663258000000001</v>
      </c>
      <c r="F234">
        <v>0.194933</v>
      </c>
      <c r="G234">
        <v>18.08822975</v>
      </c>
      <c r="H234">
        <v>12</v>
      </c>
      <c r="I234">
        <v>-20</v>
      </c>
      <c r="J234">
        <v>1.17</v>
      </c>
      <c r="K234">
        <v>5.5305095</v>
      </c>
      <c r="L234">
        <v>1.2386558330894231</v>
      </c>
      <c r="M234">
        <v>0.7683400402959697</v>
      </c>
      <c r="N234">
        <v>-0.28569315120021271</v>
      </c>
      <c r="O234">
        <v>0.2069776230862197</v>
      </c>
    </row>
    <row r="235" spans="1:15" x14ac:dyDescent="0.25">
      <c r="A235">
        <v>15.707138</v>
      </c>
      <c r="B235">
        <v>13.660586</v>
      </c>
      <c r="C235">
        <v>3.74868625</v>
      </c>
      <c r="D235">
        <v>4.644698</v>
      </c>
      <c r="E235">
        <v>15.914999</v>
      </c>
      <c r="F235">
        <v>0.194933</v>
      </c>
      <c r="G235">
        <v>18.047154249999998</v>
      </c>
      <c r="H235">
        <v>12</v>
      </c>
      <c r="I235">
        <v>-16</v>
      </c>
      <c r="J235">
        <v>1.17</v>
      </c>
      <c r="K235">
        <v>5.52414775</v>
      </c>
      <c r="L235">
        <v>1.0204963520342869</v>
      </c>
      <c r="M235">
        <v>0.769379582626605</v>
      </c>
      <c r="N235">
        <v>-0.18198491752212539</v>
      </c>
      <c r="O235">
        <v>0.34151072948390793</v>
      </c>
    </row>
    <row r="236" spans="1:15" x14ac:dyDescent="0.25">
      <c r="A236">
        <v>15.166492999999999</v>
      </c>
      <c r="B236">
        <v>14.67069875</v>
      </c>
      <c r="C236">
        <v>5.8718310000000002</v>
      </c>
      <c r="D236">
        <v>5.4772382500000001</v>
      </c>
      <c r="E236">
        <v>17.345558</v>
      </c>
      <c r="F236">
        <v>0.194933</v>
      </c>
      <c r="G236">
        <v>18.569541999999998</v>
      </c>
      <c r="H236">
        <v>12</v>
      </c>
      <c r="I236">
        <v>-12</v>
      </c>
      <c r="J236">
        <v>1.17</v>
      </c>
      <c r="K236">
        <v>5.6044260000000001</v>
      </c>
      <c r="L236">
        <v>0.79637536498655515</v>
      </c>
      <c r="M236">
        <v>0.78772044267927421</v>
      </c>
      <c r="N236">
        <v>-0.1048779810344221</v>
      </c>
      <c r="O236">
        <v>0.46956408211094902</v>
      </c>
    </row>
    <row r="237" spans="1:15" x14ac:dyDescent="0.25">
      <c r="A237">
        <v>14.0371205</v>
      </c>
      <c r="B237">
        <v>15.392208</v>
      </c>
      <c r="C237">
        <v>7.678553</v>
      </c>
      <c r="D237">
        <v>5.9154187499999997</v>
      </c>
      <c r="E237">
        <v>18.239656</v>
      </c>
      <c r="F237">
        <v>0.194933</v>
      </c>
      <c r="G237">
        <v>18.849686999999999</v>
      </c>
      <c r="H237">
        <v>12</v>
      </c>
      <c r="I237">
        <v>-8</v>
      </c>
      <c r="J237">
        <v>1.17</v>
      </c>
      <c r="K237">
        <v>5.6469779999999998</v>
      </c>
      <c r="L237">
        <v>0.55564297653846417</v>
      </c>
      <c r="M237">
        <v>0.82819490817310004</v>
      </c>
      <c r="N237">
        <v>-5.3347717378954572E-2</v>
      </c>
      <c r="O237">
        <v>0.57703315449372239</v>
      </c>
    </row>
    <row r="238" spans="1:15" x14ac:dyDescent="0.25">
      <c r="A238">
        <v>12.818465249999999</v>
      </c>
      <c r="B238">
        <v>15.969416000000001</v>
      </c>
      <c r="C238">
        <v>9.43948125</v>
      </c>
      <c r="D238">
        <v>5.9592369999999999</v>
      </c>
      <c r="E238">
        <v>18.954937000000001</v>
      </c>
      <c r="F238">
        <v>0.194933</v>
      </c>
      <c r="G238">
        <v>19.289911</v>
      </c>
      <c r="H238">
        <v>12</v>
      </c>
      <c r="I238">
        <v>-4</v>
      </c>
      <c r="J238">
        <v>1.1625000000000001</v>
      </c>
      <c r="K238">
        <v>5.7316595000000001</v>
      </c>
      <c r="L238">
        <v>0.30018442275798041</v>
      </c>
      <c r="M238">
        <v>0.88936342296597282</v>
      </c>
      <c r="N238">
        <v>-2.9746939918082891E-2</v>
      </c>
      <c r="O238">
        <v>0.66674955285967841</v>
      </c>
    </row>
    <row r="239" spans="1:15" x14ac:dyDescent="0.25">
      <c r="A239">
        <v>11.3741295</v>
      </c>
      <c r="B239">
        <v>16.354220999999999</v>
      </c>
      <c r="C239">
        <v>11.291246750000001</v>
      </c>
      <c r="D239">
        <v>6.0906902499999998</v>
      </c>
      <c r="E239">
        <v>19.312576</v>
      </c>
      <c r="F239">
        <v>0.194933</v>
      </c>
      <c r="G239">
        <v>19.690117000000001</v>
      </c>
      <c r="H239">
        <v>12</v>
      </c>
      <c r="I239">
        <v>0</v>
      </c>
      <c r="J239">
        <v>1.165</v>
      </c>
      <c r="K239">
        <v>5.7852044999999999</v>
      </c>
      <c r="L239">
        <v>7.7847667614031196E-3</v>
      </c>
      <c r="M239">
        <v>0.96612191754837462</v>
      </c>
      <c r="N239">
        <v>-3.5538830575886429E-2</v>
      </c>
      <c r="O239">
        <v>0.79958911902887264</v>
      </c>
    </row>
    <row r="240" spans="1:15" x14ac:dyDescent="0.25">
      <c r="A240">
        <v>9.7034957500000001</v>
      </c>
      <c r="B240">
        <v>16.546623</v>
      </c>
      <c r="C240">
        <v>13.006669</v>
      </c>
      <c r="D240">
        <v>6.2221445000000006</v>
      </c>
      <c r="E240">
        <v>19.491398</v>
      </c>
      <c r="F240">
        <v>0.194933</v>
      </c>
      <c r="G240">
        <v>19.850199</v>
      </c>
      <c r="H240">
        <v>12</v>
      </c>
      <c r="I240">
        <v>4</v>
      </c>
      <c r="J240">
        <v>1.165</v>
      </c>
      <c r="K240">
        <v>5.8089075000000001</v>
      </c>
      <c r="L240">
        <v>-0.28649377925822211</v>
      </c>
      <c r="M240">
        <v>0.89554812645652049</v>
      </c>
      <c r="N240">
        <v>-3.1124031782333871E-2</v>
      </c>
      <c r="O240">
        <v>0.67386319978677234</v>
      </c>
    </row>
    <row r="241" spans="1:15" x14ac:dyDescent="0.25">
      <c r="A241">
        <v>7.9443419999999998</v>
      </c>
      <c r="B241">
        <v>16.594723999999999</v>
      </c>
      <c r="C241">
        <v>14.816079500000001</v>
      </c>
      <c r="D241">
        <v>6.1345080000000003</v>
      </c>
      <c r="E241">
        <v>19.401986999999998</v>
      </c>
      <c r="F241">
        <v>0.14620649999999999</v>
      </c>
      <c r="G241">
        <v>20.170362000000001</v>
      </c>
      <c r="H241">
        <v>12</v>
      </c>
      <c r="I241">
        <v>8</v>
      </c>
      <c r="J241">
        <v>1.1599999999999999</v>
      </c>
      <c r="K241">
        <v>5.8757342499999998</v>
      </c>
      <c r="L241">
        <v>-0.55588024703899985</v>
      </c>
      <c r="M241">
        <v>0.84613652685444085</v>
      </c>
      <c r="N241">
        <v>-6.2208940505933098E-2</v>
      </c>
      <c r="O241">
        <v>0.55764585970910618</v>
      </c>
    </row>
    <row r="242" spans="1:15" x14ac:dyDescent="0.25">
      <c r="A242">
        <v>5.912731</v>
      </c>
      <c r="B242">
        <v>16.354220999999999</v>
      </c>
      <c r="C242">
        <v>16.261551000000001</v>
      </c>
      <c r="D242">
        <v>5.8277822500000003</v>
      </c>
      <c r="E242">
        <v>18.954937000000001</v>
      </c>
      <c r="F242">
        <v>0.194933</v>
      </c>
      <c r="G242">
        <v>20.490525999999999</v>
      </c>
      <c r="H242">
        <v>12</v>
      </c>
      <c r="I242">
        <v>12</v>
      </c>
      <c r="J242">
        <v>1.1599999999999999</v>
      </c>
      <c r="K242">
        <v>5.915438</v>
      </c>
      <c r="L242">
        <v>-0.79090595807780484</v>
      </c>
      <c r="M242">
        <v>0.80448160647975853</v>
      </c>
      <c r="N242">
        <v>-0.1173604890629471</v>
      </c>
      <c r="O242">
        <v>0.43377117461954151</v>
      </c>
    </row>
    <row r="243" spans="1:15" x14ac:dyDescent="0.25">
      <c r="A243">
        <v>3.6559617499999999</v>
      </c>
      <c r="B243">
        <v>15.969416000000001</v>
      </c>
      <c r="C243">
        <v>17.5691965</v>
      </c>
      <c r="D243">
        <v>5.1266957499999997</v>
      </c>
      <c r="E243">
        <v>18.060839000000001</v>
      </c>
      <c r="F243">
        <v>0.194933</v>
      </c>
      <c r="G243">
        <v>20.730651000000002</v>
      </c>
      <c r="H243">
        <v>12</v>
      </c>
      <c r="I243">
        <v>16</v>
      </c>
      <c r="J243">
        <v>1.1599999999999999</v>
      </c>
      <c r="K243">
        <v>5.9503170000000001</v>
      </c>
      <c r="L243">
        <v>-1.0178189136416169</v>
      </c>
      <c r="M243">
        <v>0.79320303422139449</v>
      </c>
      <c r="N243">
        <v>-0.19529443768824009</v>
      </c>
      <c r="O243">
        <v>0.30700338782793091</v>
      </c>
    </row>
    <row r="244" spans="1:15" x14ac:dyDescent="0.25">
      <c r="A244">
        <v>1.1284345</v>
      </c>
      <c r="B244">
        <v>15.392208</v>
      </c>
      <c r="C244">
        <v>18.832582250000002</v>
      </c>
      <c r="D244">
        <v>3.8121577499999999</v>
      </c>
      <c r="E244">
        <v>16.585573</v>
      </c>
      <c r="F244">
        <v>0.194933</v>
      </c>
      <c r="G244">
        <v>21.168392000000001</v>
      </c>
      <c r="H244">
        <v>12</v>
      </c>
      <c r="I244">
        <v>20</v>
      </c>
      <c r="J244">
        <v>1.1599999999999999</v>
      </c>
      <c r="K244">
        <v>6.01338375</v>
      </c>
      <c r="L244">
        <v>-1.2543166682406539</v>
      </c>
      <c r="M244">
        <v>0.82040290450666176</v>
      </c>
      <c r="N244">
        <v>-0.32477837609100513</v>
      </c>
      <c r="O244">
        <v>0.16122621365398171</v>
      </c>
    </row>
    <row r="245" spans="1:15" x14ac:dyDescent="0.25">
      <c r="A245">
        <v>-1.531898</v>
      </c>
      <c r="B245">
        <v>13.852989000000001</v>
      </c>
      <c r="C245">
        <v>18.969316500000001</v>
      </c>
      <c r="D245">
        <v>1.7527137500000001</v>
      </c>
      <c r="E245">
        <v>13.90327375</v>
      </c>
      <c r="F245">
        <v>0.194933</v>
      </c>
      <c r="G245">
        <v>20.410485000000001</v>
      </c>
      <c r="H245">
        <v>12</v>
      </c>
      <c r="I245">
        <v>24</v>
      </c>
      <c r="J245">
        <v>1.1599999999999999</v>
      </c>
      <c r="K245">
        <v>5.9037499999999996</v>
      </c>
      <c r="L245">
        <v>-1.486374170003181</v>
      </c>
      <c r="M245">
        <v>0.87728321162348377</v>
      </c>
      <c r="N245">
        <v>-0.47179075061117831</v>
      </c>
      <c r="O245">
        <v>-6.1078108561355218E-3</v>
      </c>
    </row>
    <row r="246" spans="1:15" x14ac:dyDescent="0.25">
      <c r="A246">
        <v>-4.1451339999999997</v>
      </c>
      <c r="B246">
        <v>12.121366</v>
      </c>
      <c r="C246">
        <v>18.835054249999999</v>
      </c>
      <c r="D246">
        <v>-0.48077425000000001</v>
      </c>
      <c r="E246">
        <v>10.818628500000001</v>
      </c>
      <c r="F246">
        <v>0.194933</v>
      </c>
      <c r="G246">
        <v>19.850199</v>
      </c>
      <c r="H246">
        <v>12</v>
      </c>
      <c r="I246">
        <v>28</v>
      </c>
      <c r="J246">
        <v>1.1599999999999999</v>
      </c>
      <c r="K246">
        <v>5.8213730000000004</v>
      </c>
      <c r="L246">
        <v>-1.7500442919505519</v>
      </c>
      <c r="M246">
        <v>0.9597185300720974</v>
      </c>
      <c r="N246">
        <v>-0.68783166321060962</v>
      </c>
      <c r="O246">
        <v>-0.1909904975970575</v>
      </c>
    </row>
    <row r="247" spans="1:15" x14ac:dyDescent="0.25">
      <c r="A247">
        <v>-6.5330919999999999</v>
      </c>
      <c r="B247">
        <v>10.6302465</v>
      </c>
      <c r="C247">
        <v>18.743493749999999</v>
      </c>
      <c r="D247">
        <v>-2.8409395000000002</v>
      </c>
      <c r="E247">
        <v>7.6445740000000004</v>
      </c>
      <c r="F247">
        <v>0.194933</v>
      </c>
      <c r="G247">
        <v>19.488874750000001</v>
      </c>
      <c r="H247">
        <v>12</v>
      </c>
      <c r="I247">
        <v>32</v>
      </c>
      <c r="J247">
        <v>1.1599999999999999</v>
      </c>
      <c r="K247">
        <v>5.7676090000000002</v>
      </c>
      <c r="L247">
        <v>-2.049743070167398</v>
      </c>
      <c r="M247">
        <v>1.09241293950183</v>
      </c>
      <c r="N247">
        <v>-0.96048452904401493</v>
      </c>
      <c r="O247">
        <v>-0.39588993428819258</v>
      </c>
    </row>
    <row r="248" spans="1:15" x14ac:dyDescent="0.25">
      <c r="A248">
        <v>-8.650148999999999</v>
      </c>
      <c r="B248">
        <v>8.8986237500000005</v>
      </c>
      <c r="C248">
        <v>18.067203500000002</v>
      </c>
      <c r="D248">
        <v>-5.3322250000000002</v>
      </c>
      <c r="E248">
        <v>4.0681747499999998</v>
      </c>
      <c r="F248">
        <v>0.194933</v>
      </c>
      <c r="G248">
        <v>18.849686999999999</v>
      </c>
      <c r="H248">
        <v>12</v>
      </c>
      <c r="I248">
        <v>36</v>
      </c>
      <c r="J248">
        <v>1.1625000000000001</v>
      </c>
      <c r="K248">
        <v>5.6651875</v>
      </c>
      <c r="L248">
        <v>-2.415893704406475</v>
      </c>
      <c r="M248">
        <v>1.2868125927950249</v>
      </c>
      <c r="N248">
        <v>-1.3366677392971771</v>
      </c>
      <c r="O248">
        <v>-0.64979899839276423</v>
      </c>
    </row>
    <row r="249" spans="1:15" x14ac:dyDescent="0.25">
      <c r="A249">
        <v>17.872480500000002</v>
      </c>
      <c r="B249">
        <v>9.4277320000000007</v>
      </c>
      <c r="C249">
        <v>-8.5695695000000001</v>
      </c>
      <c r="D249">
        <v>-6.3811859999999996</v>
      </c>
      <c r="E249">
        <v>5.0516842500000001</v>
      </c>
      <c r="F249">
        <v>0.194933</v>
      </c>
      <c r="G249">
        <v>18.409459999999999</v>
      </c>
      <c r="H249">
        <v>16</v>
      </c>
      <c r="I249">
        <v>-36</v>
      </c>
      <c r="J249">
        <v>1.1599999999999999</v>
      </c>
      <c r="K249">
        <v>5.6039589999999997</v>
      </c>
      <c r="L249">
        <v>2.1108485236610308</v>
      </c>
      <c r="M249">
        <v>1.2620046842518871</v>
      </c>
      <c r="N249">
        <v>-1.066367198628577</v>
      </c>
      <c r="O249">
        <v>-0.61229746608408142</v>
      </c>
    </row>
    <row r="250" spans="1:15" x14ac:dyDescent="0.25">
      <c r="A250">
        <v>17.197724749999999</v>
      </c>
      <c r="B250">
        <v>10.389744</v>
      </c>
      <c r="C250">
        <v>-5.6829780000000003</v>
      </c>
      <c r="D250">
        <v>-3.8461940000000001</v>
      </c>
      <c r="E250">
        <v>7.599869</v>
      </c>
      <c r="F250">
        <v>0.194933</v>
      </c>
      <c r="G250">
        <v>17.849173499999999</v>
      </c>
      <c r="H250">
        <v>16</v>
      </c>
      <c r="I250">
        <v>-32</v>
      </c>
      <c r="J250">
        <v>1.165</v>
      </c>
      <c r="K250">
        <v>5.5052944999999998</v>
      </c>
      <c r="L250">
        <v>1.8505778025564239</v>
      </c>
      <c r="M250">
        <v>1.1514354602343511</v>
      </c>
      <c r="N250">
        <v>-0.82906327193711682</v>
      </c>
      <c r="O250">
        <v>-0.4011240131023931</v>
      </c>
    </row>
    <row r="251" spans="1:15" x14ac:dyDescent="0.25">
      <c r="A251">
        <v>17.512557749999999</v>
      </c>
      <c r="B251">
        <v>12.121366</v>
      </c>
      <c r="C251">
        <v>-3.3827250000000002</v>
      </c>
      <c r="D251">
        <v>-1.8793905</v>
      </c>
      <c r="E251">
        <v>10.282169</v>
      </c>
      <c r="F251">
        <v>0.194933</v>
      </c>
      <c r="G251">
        <v>18.489501000000001</v>
      </c>
      <c r="H251">
        <v>16</v>
      </c>
      <c r="I251">
        <v>-28</v>
      </c>
      <c r="J251">
        <v>1.17</v>
      </c>
      <c r="K251">
        <v>5.5921924999999986</v>
      </c>
      <c r="L251">
        <v>1.618176912047903</v>
      </c>
      <c r="M251">
        <v>1.084245425168449</v>
      </c>
      <c r="N251">
        <v>-0.63560100899584415</v>
      </c>
      <c r="O251">
        <v>-0.21884086020183829</v>
      </c>
    </row>
    <row r="252" spans="1:15" x14ac:dyDescent="0.25">
      <c r="A252">
        <v>17.512557749999999</v>
      </c>
      <c r="B252">
        <v>13.70868675</v>
      </c>
      <c r="C252">
        <v>-0.72164799999999996</v>
      </c>
      <c r="D252">
        <v>0.21908575</v>
      </c>
      <c r="E252">
        <v>12.74094375</v>
      </c>
      <c r="F252">
        <v>0.194933</v>
      </c>
      <c r="G252">
        <v>18.929728000000001</v>
      </c>
      <c r="H252">
        <v>16</v>
      </c>
      <c r="I252">
        <v>-24</v>
      </c>
      <c r="J252">
        <v>1.17</v>
      </c>
      <c r="K252">
        <v>5.6590797500000001</v>
      </c>
      <c r="L252">
        <v>1.4034839842944671</v>
      </c>
      <c r="M252">
        <v>1.038290424799839</v>
      </c>
      <c r="N252">
        <v>-0.47637304111519702</v>
      </c>
      <c r="O252">
        <v>-3.4353865968717888E-2</v>
      </c>
    </row>
    <row r="253" spans="1:15" x14ac:dyDescent="0.25">
      <c r="A253">
        <v>17.017171250000001</v>
      </c>
      <c r="B253">
        <v>15.007403999999999</v>
      </c>
      <c r="C253">
        <v>1.35511325</v>
      </c>
      <c r="D253">
        <v>1.8403495000000001</v>
      </c>
      <c r="E253">
        <v>14.61855325</v>
      </c>
      <c r="F253">
        <v>0.194933</v>
      </c>
      <c r="G253">
        <v>19.209869000000001</v>
      </c>
      <c r="H253">
        <v>16</v>
      </c>
      <c r="I253">
        <v>-20</v>
      </c>
      <c r="J253">
        <v>1.1675</v>
      </c>
      <c r="K253">
        <v>5.7073725</v>
      </c>
      <c r="L253">
        <v>1.202877405680814</v>
      </c>
      <c r="M253">
        <v>1.0112432385232679</v>
      </c>
      <c r="N253">
        <v>-0.35263749193880062</v>
      </c>
      <c r="O253">
        <v>0.10776181601859861</v>
      </c>
    </row>
    <row r="254" spans="1:15" x14ac:dyDescent="0.25">
      <c r="A254">
        <v>16.2939015</v>
      </c>
      <c r="B254">
        <v>16.017516749999999</v>
      </c>
      <c r="C254">
        <v>3.432299</v>
      </c>
      <c r="D254">
        <v>2.9796170000000002</v>
      </c>
      <c r="E254">
        <v>16.22793175</v>
      </c>
      <c r="F254">
        <v>0.194933</v>
      </c>
      <c r="G254">
        <v>19.568906250000001</v>
      </c>
      <c r="H254">
        <v>16</v>
      </c>
      <c r="I254">
        <v>-16</v>
      </c>
      <c r="J254">
        <v>1.1599999999999999</v>
      </c>
      <c r="K254">
        <v>5.7795590000000008</v>
      </c>
      <c r="L254">
        <v>0.98770690783042758</v>
      </c>
      <c r="M254">
        <v>1.0012458861649121</v>
      </c>
      <c r="N254">
        <v>-0.25659878786178952</v>
      </c>
      <c r="O254">
        <v>0.2312347003563987</v>
      </c>
    </row>
    <row r="255" spans="1:15" x14ac:dyDescent="0.25">
      <c r="A255">
        <v>15.526594749999999</v>
      </c>
      <c r="B255">
        <v>16.931426999999999</v>
      </c>
      <c r="C255">
        <v>5.4649532499999998</v>
      </c>
      <c r="D255">
        <v>3.7683395000000002</v>
      </c>
      <c r="E255">
        <v>17.524377999999999</v>
      </c>
      <c r="F255">
        <v>0.194933</v>
      </c>
      <c r="G255">
        <v>19.850199</v>
      </c>
      <c r="H255">
        <v>16</v>
      </c>
      <c r="I255">
        <v>-12</v>
      </c>
      <c r="J255">
        <v>1.165</v>
      </c>
      <c r="K255">
        <v>5.8089075000000001</v>
      </c>
      <c r="L255">
        <v>0.77950005135191436</v>
      </c>
      <c r="M255">
        <v>1.0197814775923839</v>
      </c>
      <c r="N255">
        <v>-0.18019406830362891</v>
      </c>
      <c r="O255">
        <v>0.34260684549411979</v>
      </c>
    </row>
    <row r="256" spans="1:15" x14ac:dyDescent="0.25">
      <c r="A256">
        <v>14.217663249999999</v>
      </c>
      <c r="B256">
        <v>17.508635999999999</v>
      </c>
      <c r="C256">
        <v>7.3623827500000001</v>
      </c>
      <c r="D256">
        <v>4.0750649999999986</v>
      </c>
      <c r="E256">
        <v>18.418478</v>
      </c>
      <c r="F256">
        <v>0.194933</v>
      </c>
      <c r="G256">
        <v>20.090321500000002</v>
      </c>
      <c r="H256">
        <v>16</v>
      </c>
      <c r="I256">
        <v>-8</v>
      </c>
      <c r="J256">
        <v>1.17</v>
      </c>
      <c r="K256">
        <v>5.8317300000000003</v>
      </c>
      <c r="L256">
        <v>0.53980904431189114</v>
      </c>
      <c r="M256">
        <v>1.0577840012137589</v>
      </c>
      <c r="N256">
        <v>-0.13164742254264011</v>
      </c>
      <c r="O256">
        <v>0.43498780944323351</v>
      </c>
    </row>
    <row r="257" spans="1:15" x14ac:dyDescent="0.25">
      <c r="A257">
        <v>12.773326750000001</v>
      </c>
      <c r="B257">
        <v>18.085842</v>
      </c>
      <c r="C257">
        <v>9.2136589999999998</v>
      </c>
      <c r="D257">
        <v>4.0750649999999986</v>
      </c>
      <c r="E257">
        <v>18.999642000000001</v>
      </c>
      <c r="F257">
        <v>0.194933</v>
      </c>
      <c r="G257">
        <v>20.450505499999998</v>
      </c>
      <c r="H257">
        <v>16</v>
      </c>
      <c r="I257">
        <v>-4</v>
      </c>
      <c r="J257">
        <v>1.17</v>
      </c>
      <c r="K257">
        <v>5.8842852499999996</v>
      </c>
      <c r="L257">
        <v>0.2881320102932165</v>
      </c>
      <c r="M257">
        <v>1.1340223427271809</v>
      </c>
      <c r="N257">
        <v>-0.11746781234708641</v>
      </c>
      <c r="O257">
        <v>0.52199338577467858</v>
      </c>
    </row>
    <row r="258" spans="1:15" x14ac:dyDescent="0.25">
      <c r="A258">
        <v>11.1928635</v>
      </c>
      <c r="B258">
        <v>18.470648000000001</v>
      </c>
      <c r="C258">
        <v>11.019534999999999</v>
      </c>
      <c r="D258">
        <v>4.0750649999999986</v>
      </c>
      <c r="E258">
        <v>19.357281499999999</v>
      </c>
      <c r="F258">
        <v>0.194933</v>
      </c>
      <c r="G258">
        <v>20.65061</v>
      </c>
      <c r="H258">
        <v>16</v>
      </c>
      <c r="I258">
        <v>0</v>
      </c>
      <c r="J258">
        <v>1.165</v>
      </c>
      <c r="K258">
        <v>5.9260044999999986</v>
      </c>
      <c r="L258">
        <v>1.4677653245207801E-2</v>
      </c>
      <c r="M258">
        <v>1.218980470967336</v>
      </c>
      <c r="N258">
        <v>-0.1095684242472249</v>
      </c>
      <c r="O258">
        <v>0.62261443219329726</v>
      </c>
    </row>
    <row r="259" spans="1:15" x14ac:dyDescent="0.25">
      <c r="A259">
        <v>9.433306</v>
      </c>
      <c r="B259">
        <v>18.566849999999999</v>
      </c>
      <c r="C259">
        <v>12.7817025</v>
      </c>
      <c r="D259">
        <v>4.1627010000000002</v>
      </c>
      <c r="E259">
        <v>19.401986999999998</v>
      </c>
      <c r="F259">
        <v>0.194933</v>
      </c>
      <c r="G259">
        <v>20.890733000000001</v>
      </c>
      <c r="H259">
        <v>16</v>
      </c>
      <c r="I259">
        <v>4</v>
      </c>
      <c r="J259">
        <v>1.1675</v>
      </c>
      <c r="K259">
        <v>5.9542655</v>
      </c>
      <c r="L259">
        <v>-0.26573137702706501</v>
      </c>
      <c r="M259">
        <v>1.142834849954345</v>
      </c>
      <c r="N259">
        <v>-0.1181311528161698</v>
      </c>
      <c r="O259">
        <v>0.52395138648091932</v>
      </c>
    </row>
    <row r="260" spans="1:15" x14ac:dyDescent="0.25">
      <c r="A260">
        <v>7.4473437499999999</v>
      </c>
      <c r="B260">
        <v>18.470648000000001</v>
      </c>
      <c r="C260">
        <v>14.318262000000001</v>
      </c>
      <c r="D260">
        <v>4.0312469999999996</v>
      </c>
      <c r="E260">
        <v>19.089051999999999</v>
      </c>
      <c r="F260">
        <v>0.194933</v>
      </c>
      <c r="G260">
        <v>21.089602750000001</v>
      </c>
      <c r="H260">
        <v>16</v>
      </c>
      <c r="I260">
        <v>8</v>
      </c>
      <c r="J260">
        <v>1.17</v>
      </c>
      <c r="K260">
        <v>5.9763942500000002</v>
      </c>
      <c r="L260">
        <v>-0.5146774828811399</v>
      </c>
      <c r="M260">
        <v>1.0816559741321681</v>
      </c>
      <c r="N260">
        <v>-0.1498640871071811</v>
      </c>
      <c r="O260">
        <v>0.4153311045400272</v>
      </c>
    </row>
    <row r="261" spans="1:15" x14ac:dyDescent="0.25">
      <c r="A261">
        <v>5.2360340000000001</v>
      </c>
      <c r="B261">
        <v>17.4124345</v>
      </c>
      <c r="C261">
        <v>15.265785749999999</v>
      </c>
      <c r="D261">
        <v>3.5054319999999999</v>
      </c>
      <c r="E261">
        <v>17.703196999999999</v>
      </c>
      <c r="F261">
        <v>0.194933</v>
      </c>
      <c r="G261">
        <v>20.170362000000001</v>
      </c>
      <c r="H261">
        <v>16</v>
      </c>
      <c r="I261">
        <v>12</v>
      </c>
      <c r="J261">
        <v>1.1599999999999999</v>
      </c>
      <c r="K261">
        <v>5.8685939999999999</v>
      </c>
      <c r="L261">
        <v>-0.75228042993403166</v>
      </c>
      <c r="M261">
        <v>1.0430931971764561</v>
      </c>
      <c r="N261">
        <v>-0.1850494402235027</v>
      </c>
      <c r="O261">
        <v>0.31320542099344878</v>
      </c>
    </row>
    <row r="262" spans="1:15" x14ac:dyDescent="0.25">
      <c r="A262">
        <v>2.7985579999999999</v>
      </c>
      <c r="B262">
        <v>16.354220999999999</v>
      </c>
      <c r="C262">
        <v>15.89809125</v>
      </c>
      <c r="D262">
        <v>2.6728907500000001</v>
      </c>
      <c r="E262">
        <v>16.049113999999999</v>
      </c>
      <c r="F262">
        <v>0.14620649999999999</v>
      </c>
      <c r="G262">
        <v>19.690117000000001</v>
      </c>
      <c r="H262">
        <v>16</v>
      </c>
      <c r="I262">
        <v>16</v>
      </c>
      <c r="J262">
        <v>1.1599999999999999</v>
      </c>
      <c r="K262">
        <v>5.8048462499999998</v>
      </c>
      <c r="L262">
        <v>-0.98395595345245401</v>
      </c>
      <c r="M262">
        <v>1.027651593746737</v>
      </c>
      <c r="N262">
        <v>-0.27350359276958819</v>
      </c>
      <c r="O262">
        <v>0.19451644987661071</v>
      </c>
    </row>
    <row r="263" spans="1:15" x14ac:dyDescent="0.25">
      <c r="A263">
        <v>0.40621950000000001</v>
      </c>
      <c r="B263">
        <v>15.34410725</v>
      </c>
      <c r="C263">
        <v>16.488491249999999</v>
      </c>
      <c r="D263">
        <v>1.4021699999999999</v>
      </c>
      <c r="E263">
        <v>14.171503</v>
      </c>
      <c r="F263">
        <v>0.194933</v>
      </c>
      <c r="G263">
        <v>19.249890000000001</v>
      </c>
      <c r="H263">
        <v>16</v>
      </c>
      <c r="I263">
        <v>20</v>
      </c>
      <c r="J263">
        <v>1.1625000000000001</v>
      </c>
      <c r="K263">
        <v>5.7256464999999999</v>
      </c>
      <c r="L263">
        <v>-1.2121695060539219</v>
      </c>
      <c r="M263">
        <v>1.050899809208772</v>
      </c>
      <c r="N263">
        <v>-0.38283952143787009</v>
      </c>
      <c r="O263">
        <v>5.347668488480517E-2</v>
      </c>
    </row>
    <row r="264" spans="1:15" x14ac:dyDescent="0.25">
      <c r="A264">
        <v>-1.9824550000000001</v>
      </c>
      <c r="B264">
        <v>13.94919</v>
      </c>
      <c r="C264">
        <v>16.530408000000001</v>
      </c>
      <c r="D264">
        <v>-0.34965400000000002</v>
      </c>
      <c r="E264">
        <v>11.802137999999999</v>
      </c>
      <c r="F264">
        <v>0.194933</v>
      </c>
      <c r="G264">
        <v>18.649583</v>
      </c>
      <c r="H264">
        <v>16</v>
      </c>
      <c r="I264">
        <v>24</v>
      </c>
      <c r="J264">
        <v>1.1599999999999999</v>
      </c>
      <c r="K264">
        <v>5.6407635000000003</v>
      </c>
      <c r="L264">
        <v>-1.4275592377272319</v>
      </c>
      <c r="M264">
        <v>1.1026088639569469</v>
      </c>
      <c r="N264">
        <v>-0.52801845746814768</v>
      </c>
      <c r="O264">
        <v>-0.1049481259628125</v>
      </c>
    </row>
    <row r="265" spans="1:15" x14ac:dyDescent="0.25">
      <c r="A265">
        <v>-4.2803012499999999</v>
      </c>
      <c r="B265">
        <v>12.602372000000001</v>
      </c>
      <c r="C265">
        <v>16.665905500000001</v>
      </c>
      <c r="D265">
        <v>-2.4038715000000002</v>
      </c>
      <c r="E265">
        <v>9.2092489999999998</v>
      </c>
      <c r="F265">
        <v>0.194933</v>
      </c>
      <c r="G265">
        <v>18.249378</v>
      </c>
      <c r="H265">
        <v>16</v>
      </c>
      <c r="I265">
        <v>28</v>
      </c>
      <c r="J265">
        <v>1.1599999999999999</v>
      </c>
      <c r="K265">
        <v>5.5792789999999997</v>
      </c>
      <c r="L265">
        <v>-1.6688542173738761</v>
      </c>
      <c r="M265">
        <v>1.1955954095072949</v>
      </c>
      <c r="N265">
        <v>-0.72030483450212668</v>
      </c>
      <c r="O265">
        <v>-0.28180259576836242</v>
      </c>
    </row>
    <row r="266" spans="1:15" x14ac:dyDescent="0.25">
      <c r="A266">
        <v>-6.5330922500000002</v>
      </c>
      <c r="B266">
        <v>10.91885025</v>
      </c>
      <c r="C266">
        <v>16.440071750000001</v>
      </c>
      <c r="D266">
        <v>-4.7203302499999999</v>
      </c>
      <c r="E266">
        <v>6.21401425</v>
      </c>
      <c r="F266">
        <v>0.14620649999999999</v>
      </c>
      <c r="G266">
        <v>17.849173499999999</v>
      </c>
      <c r="H266">
        <v>16</v>
      </c>
      <c r="I266">
        <v>32</v>
      </c>
      <c r="J266">
        <v>1.1675</v>
      </c>
      <c r="K266">
        <v>5.5069515000000004</v>
      </c>
      <c r="L266">
        <v>-1.94022106387347</v>
      </c>
      <c r="M266">
        <v>1.32086785543388</v>
      </c>
      <c r="N266">
        <v>-0.98273702900058513</v>
      </c>
      <c r="O266">
        <v>-0.48754506738788161</v>
      </c>
    </row>
    <row r="267" spans="1:15" x14ac:dyDescent="0.25">
      <c r="A267">
        <v>-8.8759937499999992</v>
      </c>
      <c r="B267">
        <v>10.004937999999999</v>
      </c>
      <c r="C267">
        <v>16.620732</v>
      </c>
      <c r="D267">
        <v>-7.3427350000000002</v>
      </c>
      <c r="E267">
        <v>3.2187790000000001</v>
      </c>
      <c r="F267">
        <v>0.194933</v>
      </c>
      <c r="G267">
        <v>18.208291750000001</v>
      </c>
      <c r="H267">
        <v>16</v>
      </c>
      <c r="I267">
        <v>36</v>
      </c>
      <c r="J267">
        <v>1.17</v>
      </c>
      <c r="K267">
        <v>5.5490500000000003</v>
      </c>
      <c r="L267">
        <v>-2.250898899526582</v>
      </c>
      <c r="M267">
        <v>1.5314641785715279</v>
      </c>
      <c r="N267">
        <v>-1.3233273928539779</v>
      </c>
      <c r="O267">
        <v>-0.73303168448745748</v>
      </c>
    </row>
    <row r="268" spans="1:15" x14ac:dyDescent="0.25">
      <c r="A268">
        <v>17.33201575</v>
      </c>
      <c r="B268">
        <v>10.6302465</v>
      </c>
      <c r="C268">
        <v>-9.2461149999999996</v>
      </c>
      <c r="D268">
        <v>-8.6539384999999989</v>
      </c>
      <c r="E268">
        <v>3.9787642499999998</v>
      </c>
      <c r="F268">
        <v>0.194933</v>
      </c>
      <c r="G268">
        <v>18.729624000000001</v>
      </c>
      <c r="H268">
        <v>20</v>
      </c>
      <c r="I268">
        <v>-36</v>
      </c>
      <c r="J268">
        <v>1.17</v>
      </c>
      <c r="K268">
        <v>5.6287859999999998</v>
      </c>
      <c r="L268">
        <v>2.0557821146077471</v>
      </c>
      <c r="M268">
        <v>1.49161338672545</v>
      </c>
      <c r="N268">
        <v>-1.140986768346604</v>
      </c>
      <c r="O268">
        <v>-0.70734148814603792</v>
      </c>
    </row>
    <row r="269" spans="1:15" x14ac:dyDescent="0.25">
      <c r="A269">
        <v>17.423418000000002</v>
      </c>
      <c r="B269">
        <v>12.313768</v>
      </c>
      <c r="C269">
        <v>-6.8105522499999998</v>
      </c>
      <c r="D269">
        <v>-6.3374799999999993</v>
      </c>
      <c r="E269">
        <v>6.7504742499999999</v>
      </c>
      <c r="F269">
        <v>0.194933</v>
      </c>
      <c r="G269">
        <v>18.969747999999999</v>
      </c>
      <c r="H269">
        <v>20</v>
      </c>
      <c r="I269">
        <v>-32</v>
      </c>
      <c r="J269">
        <v>1.17</v>
      </c>
      <c r="K269">
        <v>5.6651175</v>
      </c>
      <c r="L269">
        <v>1.8188674589878819</v>
      </c>
      <c r="M269">
        <v>1.39979652781633</v>
      </c>
      <c r="N269">
        <v>-0.91713670800591451</v>
      </c>
      <c r="O269">
        <v>-0.50799349697674678</v>
      </c>
    </row>
    <row r="270" spans="1:15" x14ac:dyDescent="0.25">
      <c r="A270">
        <v>17.468556499999998</v>
      </c>
      <c r="B270">
        <v>13.901089499999999</v>
      </c>
      <c r="C270">
        <v>-4.2396820000000002</v>
      </c>
      <c r="D270">
        <v>-4.0210217500000001</v>
      </c>
      <c r="E270">
        <v>9.3880684999999993</v>
      </c>
      <c r="F270">
        <v>0.194933</v>
      </c>
      <c r="G270">
        <v>19.369952999999999</v>
      </c>
      <c r="H270">
        <v>20</v>
      </c>
      <c r="I270">
        <v>-28</v>
      </c>
      <c r="J270">
        <v>1.17</v>
      </c>
      <c r="K270">
        <v>5.7251909999999997</v>
      </c>
      <c r="L270">
        <v>1.6059046164495829</v>
      </c>
      <c r="M270">
        <v>1.3258330951357331</v>
      </c>
      <c r="N270">
        <v>-0.73848350659007034</v>
      </c>
      <c r="O270">
        <v>-0.31991057316381311</v>
      </c>
    </row>
    <row r="271" spans="1:15" x14ac:dyDescent="0.25">
      <c r="A271">
        <v>17.240613</v>
      </c>
      <c r="B271">
        <v>15.392208</v>
      </c>
      <c r="C271">
        <v>-1.7139139999999999</v>
      </c>
      <c r="D271">
        <v>-2.0105110000000002</v>
      </c>
      <c r="E271">
        <v>11.757433000000001</v>
      </c>
      <c r="F271">
        <v>0.194933</v>
      </c>
      <c r="G271">
        <v>19.690117000000001</v>
      </c>
      <c r="H271">
        <v>20</v>
      </c>
      <c r="I271">
        <v>-24</v>
      </c>
      <c r="J271">
        <v>1.165</v>
      </c>
      <c r="K271">
        <v>5.7852044999999999</v>
      </c>
      <c r="L271">
        <v>1.391707067891323</v>
      </c>
      <c r="M271">
        <v>1.277785951252842</v>
      </c>
      <c r="N271">
        <v>-0.58247362340862163</v>
      </c>
      <c r="O271">
        <v>-0.15102634429754189</v>
      </c>
    </row>
    <row r="272" spans="1:15" x14ac:dyDescent="0.25">
      <c r="A272">
        <v>16.564720749999999</v>
      </c>
      <c r="B272">
        <v>16.546623</v>
      </c>
      <c r="C272">
        <v>0.49680000000000002</v>
      </c>
      <c r="D272">
        <v>-0.48077399999999998</v>
      </c>
      <c r="E272">
        <v>13.635043</v>
      </c>
      <c r="F272">
        <v>0.194933</v>
      </c>
      <c r="G272">
        <v>19.850199</v>
      </c>
      <c r="H272">
        <v>20</v>
      </c>
      <c r="I272">
        <v>-20</v>
      </c>
      <c r="J272">
        <v>1.17</v>
      </c>
      <c r="K272">
        <v>5.7964419999999999</v>
      </c>
      <c r="L272">
        <v>1.1791632426218659</v>
      </c>
      <c r="M272">
        <v>1.249545773264104</v>
      </c>
      <c r="N272">
        <v>-0.45612566053135029</v>
      </c>
      <c r="O272">
        <v>-1.367580608969916E-2</v>
      </c>
    </row>
    <row r="273" spans="1:15" x14ac:dyDescent="0.25">
      <c r="A273">
        <v>15.843571750000001</v>
      </c>
      <c r="B273">
        <v>17.5567365</v>
      </c>
      <c r="C273">
        <v>2.4387319999999999</v>
      </c>
      <c r="D273">
        <v>0.70108300000000001</v>
      </c>
      <c r="E273">
        <v>15.24442275</v>
      </c>
      <c r="F273">
        <v>0.194933</v>
      </c>
      <c r="G273">
        <v>20.170362000000001</v>
      </c>
      <c r="H273">
        <v>20</v>
      </c>
      <c r="I273">
        <v>-16</v>
      </c>
      <c r="J273">
        <v>1.1675</v>
      </c>
      <c r="K273">
        <v>5.8497442499999996</v>
      </c>
      <c r="L273">
        <v>0.980299748639888</v>
      </c>
      <c r="M273">
        <v>1.232636160014047</v>
      </c>
      <c r="N273">
        <v>-0.36025660532934423</v>
      </c>
      <c r="O273">
        <v>0.10055247639897889</v>
      </c>
    </row>
    <row r="274" spans="1:15" x14ac:dyDescent="0.25">
      <c r="A274">
        <v>14.804427</v>
      </c>
      <c r="B274">
        <v>18.470648000000001</v>
      </c>
      <c r="C274">
        <v>4.5161899999999999</v>
      </c>
      <c r="D274">
        <v>1.4021699999999999</v>
      </c>
      <c r="E274">
        <v>16.496162999999999</v>
      </c>
      <c r="F274">
        <v>0.194933</v>
      </c>
      <c r="G274">
        <v>20.490525999999999</v>
      </c>
      <c r="H274">
        <v>20</v>
      </c>
      <c r="I274">
        <v>-12</v>
      </c>
      <c r="J274">
        <v>1.1599999999999999</v>
      </c>
      <c r="K274">
        <v>5.915438</v>
      </c>
      <c r="L274">
        <v>0.76003406854779798</v>
      </c>
      <c r="M274">
        <v>1.2609185373126111</v>
      </c>
      <c r="N274">
        <v>-0.29511249658237287</v>
      </c>
      <c r="O274">
        <v>0.20420627334263641</v>
      </c>
    </row>
    <row r="275" spans="1:15" x14ac:dyDescent="0.25">
      <c r="A275">
        <v>13.49637225</v>
      </c>
      <c r="B275">
        <v>19.047854999999998</v>
      </c>
      <c r="C275">
        <v>6.3686850000000002</v>
      </c>
      <c r="D275">
        <v>1.6650780000000001</v>
      </c>
      <c r="E275">
        <v>17.345558</v>
      </c>
      <c r="F275">
        <v>0.194933</v>
      </c>
      <c r="G275">
        <v>20.65061</v>
      </c>
      <c r="H275">
        <v>20</v>
      </c>
      <c r="I275">
        <v>-8</v>
      </c>
      <c r="J275">
        <v>1.1599999999999999</v>
      </c>
      <c r="K275">
        <v>5.9387210000000001</v>
      </c>
      <c r="L275">
        <v>0.53477830786481795</v>
      </c>
      <c r="M275">
        <v>1.3041641766833589</v>
      </c>
      <c r="N275">
        <v>-0.2479675271939647</v>
      </c>
      <c r="O275">
        <v>0.28675678055322301</v>
      </c>
    </row>
    <row r="276" spans="1:15" x14ac:dyDescent="0.25">
      <c r="A276">
        <v>12.051159</v>
      </c>
      <c r="B276">
        <v>19.528860999999999</v>
      </c>
      <c r="C276">
        <v>8.1748584999999991</v>
      </c>
      <c r="D276">
        <v>1.6212599999999999</v>
      </c>
      <c r="E276">
        <v>17.882017000000001</v>
      </c>
      <c r="F276">
        <v>0.14620649999999999</v>
      </c>
      <c r="G276">
        <v>20.970773999999999</v>
      </c>
      <c r="H276">
        <v>20</v>
      </c>
      <c r="I276">
        <v>-4</v>
      </c>
      <c r="J276">
        <v>1.165</v>
      </c>
      <c r="K276">
        <v>5.9791720000000002</v>
      </c>
      <c r="L276">
        <v>0.29853157140672021</v>
      </c>
      <c r="M276">
        <v>1.3791978855788389</v>
      </c>
      <c r="N276">
        <v>-0.2378986571597744</v>
      </c>
      <c r="O276">
        <v>0.36601398897847243</v>
      </c>
    </row>
    <row r="277" spans="1:15" x14ac:dyDescent="0.25">
      <c r="A277">
        <v>10.109683</v>
      </c>
      <c r="B277">
        <v>19.240259000000002</v>
      </c>
      <c r="C277">
        <v>9.7562819999999988</v>
      </c>
      <c r="D277">
        <v>1.6650780000000001</v>
      </c>
      <c r="E277">
        <v>17.792607</v>
      </c>
      <c r="F277">
        <v>0.194933</v>
      </c>
      <c r="G277">
        <v>20.570568000000002</v>
      </c>
      <c r="H277">
        <v>20</v>
      </c>
      <c r="I277">
        <v>0</v>
      </c>
      <c r="J277">
        <v>1.1675</v>
      </c>
      <c r="K277">
        <v>5.9080294999999996</v>
      </c>
      <c r="L277">
        <v>2.925237098636637E-2</v>
      </c>
      <c r="M277">
        <v>1.4547395495705431</v>
      </c>
      <c r="N277">
        <v>-0.22994834034715561</v>
      </c>
      <c r="O277">
        <v>0.45657292664232119</v>
      </c>
    </row>
    <row r="278" spans="1:15" x14ac:dyDescent="0.25">
      <c r="A278">
        <v>7.9884589999999998</v>
      </c>
      <c r="B278">
        <v>18.566849999999999</v>
      </c>
      <c r="C278">
        <v>10.975826</v>
      </c>
      <c r="D278">
        <v>1.577442</v>
      </c>
      <c r="E278">
        <v>17.1220325</v>
      </c>
      <c r="F278">
        <v>0.194933</v>
      </c>
      <c r="G278">
        <v>19.88905175</v>
      </c>
      <c r="H278">
        <v>20</v>
      </c>
      <c r="I278">
        <v>4</v>
      </c>
      <c r="J278">
        <v>1.1625000000000001</v>
      </c>
      <c r="K278">
        <v>5.8208824999999997</v>
      </c>
      <c r="L278">
        <v>-0.24207406154956371</v>
      </c>
      <c r="M278">
        <v>1.376971238881223</v>
      </c>
      <c r="N278">
        <v>-0.22431843450914851</v>
      </c>
      <c r="O278">
        <v>0.37184541415790551</v>
      </c>
    </row>
    <row r="279" spans="1:15" x14ac:dyDescent="0.25">
      <c r="A279">
        <v>6.1388040000000004</v>
      </c>
      <c r="B279">
        <v>18.037741499999999</v>
      </c>
      <c r="C279">
        <v>12.285693500000001</v>
      </c>
      <c r="D279">
        <v>1.5336240000000001</v>
      </c>
      <c r="E279">
        <v>16.317341500000001</v>
      </c>
      <c r="F279">
        <v>0.194933</v>
      </c>
      <c r="G279">
        <v>19.490014500000001</v>
      </c>
      <c r="H279">
        <v>20</v>
      </c>
      <c r="I279">
        <v>8</v>
      </c>
      <c r="J279">
        <v>1.1599999999999999</v>
      </c>
      <c r="K279">
        <v>5.7677792500000002</v>
      </c>
      <c r="L279">
        <v>-0.49253569015446141</v>
      </c>
      <c r="M279">
        <v>1.322361689304878</v>
      </c>
      <c r="N279">
        <v>-0.25425893911511988</v>
      </c>
      <c r="O279">
        <v>0.2917954358383934</v>
      </c>
    </row>
    <row r="280" spans="1:15" x14ac:dyDescent="0.25">
      <c r="A280">
        <v>3.9719077500000002</v>
      </c>
      <c r="B280">
        <v>17.171931499999999</v>
      </c>
      <c r="C280">
        <v>13.099576000000001</v>
      </c>
      <c r="D280">
        <v>0.96399049999999997</v>
      </c>
      <c r="E280">
        <v>15.110308</v>
      </c>
      <c r="F280">
        <v>0.194933</v>
      </c>
      <c r="G280">
        <v>18.889707999999999</v>
      </c>
      <c r="H280">
        <v>20</v>
      </c>
      <c r="I280">
        <v>12</v>
      </c>
      <c r="J280">
        <v>1.1599999999999999</v>
      </c>
      <c r="K280">
        <v>5.6773559999999996</v>
      </c>
      <c r="L280">
        <v>-0.72203505994125783</v>
      </c>
      <c r="M280">
        <v>1.2821302284407521</v>
      </c>
      <c r="N280">
        <v>-0.2990158513590313</v>
      </c>
      <c r="O280">
        <v>0.17981682808207891</v>
      </c>
    </row>
    <row r="281" spans="1:15" x14ac:dyDescent="0.25">
      <c r="A281">
        <v>1.7151382500000001</v>
      </c>
      <c r="B281">
        <v>16.354220999999999</v>
      </c>
      <c r="C281">
        <v>13.91082625</v>
      </c>
      <c r="D281">
        <v>0.3505395</v>
      </c>
      <c r="E281">
        <v>13.769157999999999</v>
      </c>
      <c r="F281">
        <v>0.194933</v>
      </c>
      <c r="G281">
        <v>18.489501000000001</v>
      </c>
      <c r="H281">
        <v>20</v>
      </c>
      <c r="I281">
        <v>16</v>
      </c>
      <c r="J281">
        <v>1.1599999999999999</v>
      </c>
      <c r="K281">
        <v>5.6162449999999993</v>
      </c>
      <c r="L281">
        <v>-0.95755977814314852</v>
      </c>
      <c r="M281">
        <v>1.2565434568707119</v>
      </c>
      <c r="N281">
        <v>-0.37066473989906318</v>
      </c>
      <c r="O281">
        <v>6.5853342166435111E-2</v>
      </c>
    </row>
    <row r="282" spans="1:15" x14ac:dyDescent="0.25">
      <c r="A282">
        <v>-0.49561424999999998</v>
      </c>
      <c r="B282">
        <v>15.4403085</v>
      </c>
      <c r="C282">
        <v>14.453761</v>
      </c>
      <c r="D282">
        <v>-0.56818749999999996</v>
      </c>
      <c r="E282">
        <v>12.070368500000001</v>
      </c>
      <c r="F282">
        <v>0.194933</v>
      </c>
      <c r="G282">
        <v>18.169336000000001</v>
      </c>
      <c r="H282">
        <v>20</v>
      </c>
      <c r="I282">
        <v>20</v>
      </c>
      <c r="J282">
        <v>1.1599999999999999</v>
      </c>
      <c r="K282">
        <v>5.5668839999999999</v>
      </c>
      <c r="L282">
        <v>-1.186275170122056</v>
      </c>
      <c r="M282">
        <v>1.2702918276223629</v>
      </c>
      <c r="N282">
        <v>-0.48397303713553641</v>
      </c>
      <c r="O282">
        <v>-5.7676471394817748E-2</v>
      </c>
    </row>
    <row r="283" spans="1:15" x14ac:dyDescent="0.25">
      <c r="A283">
        <v>-2.7934600000000001</v>
      </c>
      <c r="B283">
        <v>14.622598</v>
      </c>
      <c r="C283">
        <v>15.174450999999999</v>
      </c>
      <c r="D283">
        <v>-2.2727520000000001</v>
      </c>
      <c r="E283">
        <v>10.2374645</v>
      </c>
      <c r="F283">
        <v>0.194933</v>
      </c>
      <c r="G283">
        <v>18.249378</v>
      </c>
      <c r="H283">
        <v>20</v>
      </c>
      <c r="I283">
        <v>24</v>
      </c>
      <c r="J283">
        <v>1.17</v>
      </c>
      <c r="K283">
        <v>5.5553850000000002</v>
      </c>
      <c r="L283">
        <v>-1.407012063215582</v>
      </c>
      <c r="M283">
        <v>1.3230234422392451</v>
      </c>
      <c r="N283">
        <v>-0.62741289292926883</v>
      </c>
      <c r="O283">
        <v>-0.21362424862068</v>
      </c>
    </row>
    <row r="284" spans="1:15" x14ac:dyDescent="0.25">
      <c r="A284">
        <v>-5.2711870000000003</v>
      </c>
      <c r="B284">
        <v>14.045391</v>
      </c>
      <c r="C284">
        <v>16.078752000000001</v>
      </c>
      <c r="D284">
        <v>-4.4143819999999998</v>
      </c>
      <c r="E284">
        <v>8.2257390000000008</v>
      </c>
      <c r="F284">
        <v>0.194933</v>
      </c>
      <c r="G284">
        <v>18.809666</v>
      </c>
      <c r="H284">
        <v>20</v>
      </c>
      <c r="I284">
        <v>28</v>
      </c>
      <c r="J284">
        <v>1.17</v>
      </c>
      <c r="K284">
        <v>5.6409140000000004</v>
      </c>
      <c r="L284">
        <v>-1.633713286800726</v>
      </c>
      <c r="M284">
        <v>1.412551783580855</v>
      </c>
      <c r="N284">
        <v>-0.80988665152930484</v>
      </c>
      <c r="O284">
        <v>-0.38546365172547109</v>
      </c>
    </row>
    <row r="285" spans="1:15" x14ac:dyDescent="0.25">
      <c r="A285">
        <v>-7.9298219999999997</v>
      </c>
      <c r="B285">
        <v>13.083378</v>
      </c>
      <c r="C285">
        <v>16.619637999999998</v>
      </c>
      <c r="D285">
        <v>-7.2116160000000002</v>
      </c>
      <c r="E285">
        <v>5.5881439999999998</v>
      </c>
      <c r="F285">
        <v>0.14620649999999999</v>
      </c>
      <c r="G285">
        <v>19.089808250000001</v>
      </c>
      <c r="H285">
        <v>20</v>
      </c>
      <c r="I285">
        <v>32</v>
      </c>
      <c r="J285">
        <v>1.17</v>
      </c>
      <c r="K285">
        <v>5.6905222499999999</v>
      </c>
      <c r="L285">
        <v>-1.865680487420597</v>
      </c>
      <c r="M285">
        <v>1.542349310749257</v>
      </c>
      <c r="N285">
        <v>-1.026127535724022</v>
      </c>
      <c r="O285">
        <v>-0.58644028262927228</v>
      </c>
    </row>
    <row r="286" spans="1:15" x14ac:dyDescent="0.25">
      <c r="A286">
        <v>-10.498002250000001</v>
      </c>
      <c r="B286">
        <v>11.736561999999999</v>
      </c>
      <c r="C286">
        <v>16.801392249999999</v>
      </c>
      <c r="D286">
        <v>-10.00884825</v>
      </c>
      <c r="E286">
        <v>2.4587957500000002</v>
      </c>
      <c r="F286">
        <v>0.194933</v>
      </c>
      <c r="G286">
        <v>19.449994</v>
      </c>
      <c r="H286">
        <v>20</v>
      </c>
      <c r="I286">
        <v>36</v>
      </c>
      <c r="J286">
        <v>1.17</v>
      </c>
      <c r="K286">
        <v>5.7371154999999998</v>
      </c>
      <c r="L286">
        <v>-2.1474923992946668</v>
      </c>
      <c r="M286">
        <v>1.710591220818114</v>
      </c>
      <c r="N286">
        <v>-1.3366038672701659</v>
      </c>
      <c r="O286">
        <v>-0.82191472829732404</v>
      </c>
    </row>
    <row r="287" spans="1:15" x14ac:dyDescent="0.25">
      <c r="A287">
        <v>17.19661125</v>
      </c>
      <c r="B287">
        <v>12.506171</v>
      </c>
      <c r="C287">
        <v>-11.456162000000001</v>
      </c>
      <c r="D287">
        <v>-11.713411750000001</v>
      </c>
      <c r="E287">
        <v>2.6376152500000001</v>
      </c>
      <c r="F287">
        <v>0.194933</v>
      </c>
      <c r="G287">
        <v>20.010280999999999</v>
      </c>
      <c r="H287">
        <v>24</v>
      </c>
      <c r="I287">
        <v>-36</v>
      </c>
      <c r="J287">
        <v>1.17</v>
      </c>
      <c r="K287">
        <v>5.8199990000000001</v>
      </c>
      <c r="L287">
        <v>2.01462178876853</v>
      </c>
      <c r="M287">
        <v>1.7029323291433771</v>
      </c>
      <c r="N287">
        <v>-1.221524218613103</v>
      </c>
      <c r="O287">
        <v>-0.82824801992876951</v>
      </c>
    </row>
    <row r="288" spans="1:15" x14ac:dyDescent="0.25">
      <c r="A288">
        <v>17.33201575</v>
      </c>
      <c r="B288">
        <v>14.18969175</v>
      </c>
      <c r="C288">
        <v>-8.7048787499999989</v>
      </c>
      <c r="D288">
        <v>-9.0472999999999999</v>
      </c>
      <c r="E288">
        <v>5.5881439999999998</v>
      </c>
      <c r="F288">
        <v>0.14620649999999999</v>
      </c>
      <c r="G288">
        <v>20.170362000000001</v>
      </c>
      <c r="H288">
        <v>24</v>
      </c>
      <c r="I288">
        <v>-32</v>
      </c>
      <c r="J288">
        <v>1.17</v>
      </c>
      <c r="K288">
        <v>5.8505707499999993</v>
      </c>
      <c r="L288">
        <v>1.800124372548455</v>
      </c>
      <c r="M288">
        <v>1.6065547026164839</v>
      </c>
      <c r="N288">
        <v>-1.0081947495938579</v>
      </c>
      <c r="O288">
        <v>-0.62374957958992561</v>
      </c>
    </row>
    <row r="289" spans="1:15" x14ac:dyDescent="0.25">
      <c r="A289">
        <v>17.197724749999999</v>
      </c>
      <c r="B289">
        <v>15.777013</v>
      </c>
      <c r="C289">
        <v>-6.3144200000000001</v>
      </c>
      <c r="D289">
        <v>-6.861961</v>
      </c>
      <c r="E289">
        <v>8.0469190000000008</v>
      </c>
      <c r="F289">
        <v>0.194933</v>
      </c>
      <c r="G289">
        <v>20.569362999999999</v>
      </c>
      <c r="H289">
        <v>24</v>
      </c>
      <c r="I289">
        <v>-28</v>
      </c>
      <c r="J289">
        <v>1.17</v>
      </c>
      <c r="K289">
        <v>5.9015217499999997</v>
      </c>
      <c r="L289">
        <v>1.606572794086258</v>
      </c>
      <c r="M289">
        <v>1.5468917246127389</v>
      </c>
      <c r="N289">
        <v>-0.85564146658166895</v>
      </c>
      <c r="O289">
        <v>-0.46347935646701027</v>
      </c>
    </row>
    <row r="290" spans="1:15" x14ac:dyDescent="0.25">
      <c r="A290">
        <v>16.972033</v>
      </c>
      <c r="B290">
        <v>17.316233</v>
      </c>
      <c r="C290">
        <v>-3.7435482499999999</v>
      </c>
      <c r="D290">
        <v>-4.7203302499999999</v>
      </c>
      <c r="E290">
        <v>10.416283249999999</v>
      </c>
      <c r="F290">
        <v>0.194933</v>
      </c>
      <c r="G290">
        <v>20.8507125</v>
      </c>
      <c r="H290">
        <v>24</v>
      </c>
      <c r="I290">
        <v>-24</v>
      </c>
      <c r="J290">
        <v>1.17</v>
      </c>
      <c r="K290">
        <v>5.9421317499999997</v>
      </c>
      <c r="L290">
        <v>1.4142093771281099</v>
      </c>
      <c r="M290">
        <v>1.504377215579944</v>
      </c>
      <c r="N290">
        <v>-0.71233862725288777</v>
      </c>
      <c r="O290">
        <v>-0.3022032927292978</v>
      </c>
    </row>
    <row r="291" spans="1:15" x14ac:dyDescent="0.25">
      <c r="A291">
        <v>16.248762750000001</v>
      </c>
      <c r="B291">
        <v>18.470648000000001</v>
      </c>
      <c r="C291">
        <v>-1.217781</v>
      </c>
      <c r="D291">
        <v>-3.0594730000000001</v>
      </c>
      <c r="E291">
        <v>12.47271375</v>
      </c>
      <c r="F291">
        <v>0.194933</v>
      </c>
      <c r="G291">
        <v>21.130856000000001</v>
      </c>
      <c r="H291">
        <v>24</v>
      </c>
      <c r="I291">
        <v>-20</v>
      </c>
      <c r="J291">
        <v>1.17</v>
      </c>
      <c r="K291">
        <v>5.9822990000000003</v>
      </c>
      <c r="L291">
        <v>1.1954262705742771</v>
      </c>
      <c r="M291">
        <v>1.4735502273342409</v>
      </c>
      <c r="N291">
        <v>-0.59259252845828958</v>
      </c>
      <c r="O291">
        <v>-0.1597015047536878</v>
      </c>
    </row>
    <row r="292" spans="1:15" x14ac:dyDescent="0.25">
      <c r="A292">
        <v>14.849565500000001</v>
      </c>
      <c r="B292">
        <v>18.855453000000001</v>
      </c>
      <c r="C292">
        <v>0.99361900000000003</v>
      </c>
      <c r="D292">
        <v>-2.0979247499999998</v>
      </c>
      <c r="E292">
        <v>13.590337999999999</v>
      </c>
      <c r="F292">
        <v>0.194933</v>
      </c>
      <c r="G292">
        <v>20.610589000000001</v>
      </c>
      <c r="H292">
        <v>24</v>
      </c>
      <c r="I292">
        <v>-16</v>
      </c>
      <c r="J292">
        <v>1.17</v>
      </c>
      <c r="K292">
        <v>5.9074920000000004</v>
      </c>
      <c r="L292">
        <v>0.97973611705904928</v>
      </c>
      <c r="M292">
        <v>1.4816050852076981</v>
      </c>
      <c r="N292">
        <v>-0.4964277623047384</v>
      </c>
      <c r="O292">
        <v>-5.2779123789214753E-2</v>
      </c>
    </row>
    <row r="293" spans="1:15" x14ac:dyDescent="0.25">
      <c r="A293">
        <v>13.26810725</v>
      </c>
      <c r="B293">
        <v>18.663052</v>
      </c>
      <c r="C293">
        <v>2.7552300000000001</v>
      </c>
      <c r="D293">
        <v>-1.2237895000000001</v>
      </c>
      <c r="E293">
        <v>14.126798000000001</v>
      </c>
      <c r="F293">
        <v>0.194933</v>
      </c>
      <c r="G293">
        <v>19.890219500000001</v>
      </c>
      <c r="H293">
        <v>24</v>
      </c>
      <c r="I293">
        <v>-12</v>
      </c>
      <c r="J293">
        <v>1.17</v>
      </c>
      <c r="K293">
        <v>5.8023312499999999</v>
      </c>
      <c r="L293">
        <v>0.78681839615138793</v>
      </c>
      <c r="M293">
        <v>1.488428617766379</v>
      </c>
      <c r="N293">
        <v>-0.43137629538156541</v>
      </c>
      <c r="O293">
        <v>4.2774585051448592E-2</v>
      </c>
    </row>
    <row r="294" spans="1:15" x14ac:dyDescent="0.25">
      <c r="A294">
        <v>11.555418</v>
      </c>
      <c r="B294">
        <v>18.566849999999999</v>
      </c>
      <c r="C294">
        <v>4.5613519999999994</v>
      </c>
      <c r="D294">
        <v>-0.74301400000000006</v>
      </c>
      <c r="E294">
        <v>14.484439</v>
      </c>
      <c r="F294">
        <v>0.194933</v>
      </c>
      <c r="G294">
        <v>19.528885750000001</v>
      </c>
      <c r="H294">
        <v>24</v>
      </c>
      <c r="I294">
        <v>-8</v>
      </c>
      <c r="J294">
        <v>1.17</v>
      </c>
      <c r="K294">
        <v>5.7488450000000002</v>
      </c>
      <c r="L294">
        <v>0.55616442107533459</v>
      </c>
      <c r="M294">
        <v>1.535583811449877</v>
      </c>
      <c r="N294">
        <v>-0.40115026199167081</v>
      </c>
      <c r="O294">
        <v>0.1363464125109568</v>
      </c>
    </row>
    <row r="295" spans="1:15" x14ac:dyDescent="0.25">
      <c r="A295">
        <v>9.8846544999999999</v>
      </c>
      <c r="B295">
        <v>18.470648000000001</v>
      </c>
      <c r="C295">
        <v>6.09727</v>
      </c>
      <c r="D295">
        <v>-0.61189399999999994</v>
      </c>
      <c r="E295">
        <v>14.707962999999999</v>
      </c>
      <c r="F295">
        <v>0.194933</v>
      </c>
      <c r="G295">
        <v>19.049787999999999</v>
      </c>
      <c r="H295">
        <v>24</v>
      </c>
      <c r="I295">
        <v>-4</v>
      </c>
      <c r="J295">
        <v>1.17</v>
      </c>
      <c r="K295">
        <v>5.6771929999999999</v>
      </c>
      <c r="L295">
        <v>0.31654357133867439</v>
      </c>
      <c r="M295">
        <v>1.5948751727549419</v>
      </c>
      <c r="N295">
        <v>-0.36290412281863949</v>
      </c>
      <c r="O295">
        <v>0.2129547880099564</v>
      </c>
    </row>
    <row r="296" spans="1:15" x14ac:dyDescent="0.25">
      <c r="A296">
        <v>7.9889697499999999</v>
      </c>
      <c r="B296">
        <v>17.893439999999998</v>
      </c>
      <c r="C296">
        <v>7.4070555000000002</v>
      </c>
      <c r="D296">
        <v>-0.61189399999999994</v>
      </c>
      <c r="E296">
        <v>14.260913</v>
      </c>
      <c r="F296">
        <v>0.14620649999999999</v>
      </c>
      <c r="G296">
        <v>18.409459999999999</v>
      </c>
      <c r="H296">
        <v>24</v>
      </c>
      <c r="I296">
        <v>0</v>
      </c>
      <c r="J296">
        <v>1.17</v>
      </c>
      <c r="K296">
        <v>5.5874027499999999</v>
      </c>
      <c r="L296">
        <v>5.3568378369656507E-2</v>
      </c>
      <c r="M296">
        <v>1.703525855348204</v>
      </c>
      <c r="N296">
        <v>-0.38193241662236138</v>
      </c>
      <c r="O296">
        <v>0.29930665289552683</v>
      </c>
    </row>
    <row r="297" spans="1:15" x14ac:dyDescent="0.25">
      <c r="A297">
        <v>6.2738147499999997</v>
      </c>
      <c r="B297">
        <v>17.508635999999999</v>
      </c>
      <c r="C297">
        <v>8.8523375000000009</v>
      </c>
      <c r="D297">
        <v>-0.65560050000000003</v>
      </c>
      <c r="E297">
        <v>13.947979</v>
      </c>
      <c r="F297">
        <v>0.194933</v>
      </c>
      <c r="G297">
        <v>18.209357000000001</v>
      </c>
      <c r="H297">
        <v>24</v>
      </c>
      <c r="I297">
        <v>4</v>
      </c>
      <c r="J297">
        <v>1.17</v>
      </c>
      <c r="K297">
        <v>5.5492140000000001</v>
      </c>
      <c r="L297">
        <v>-0.23146324490612721</v>
      </c>
      <c r="M297">
        <v>1.630727647082818</v>
      </c>
      <c r="N297">
        <v>-0.38255174950766491</v>
      </c>
      <c r="O297">
        <v>0.23472858218528611</v>
      </c>
    </row>
    <row r="298" spans="1:15" x14ac:dyDescent="0.25">
      <c r="A298">
        <v>4.4226967500000001</v>
      </c>
      <c r="B298">
        <v>17.123830999999999</v>
      </c>
      <c r="C298">
        <v>9.9814617500000011</v>
      </c>
      <c r="D298">
        <v>-0.83042799999999994</v>
      </c>
      <c r="E298">
        <v>13.232697999999999</v>
      </c>
      <c r="F298">
        <v>0.14620649999999999</v>
      </c>
      <c r="G298">
        <v>17.88919375</v>
      </c>
      <c r="H298">
        <v>24</v>
      </c>
      <c r="I298">
        <v>8</v>
      </c>
      <c r="J298">
        <v>1.17</v>
      </c>
      <c r="K298">
        <v>5.5072237499999996</v>
      </c>
      <c r="L298">
        <v>-0.48604970802342867</v>
      </c>
      <c r="M298">
        <v>1.569910833432183</v>
      </c>
      <c r="N298">
        <v>-0.40718376038423781</v>
      </c>
      <c r="O298">
        <v>0.1442894811154358</v>
      </c>
    </row>
    <row r="299" spans="1:15" x14ac:dyDescent="0.25">
      <c r="A299">
        <v>2.4824440000000001</v>
      </c>
      <c r="B299">
        <v>17.123830999999999</v>
      </c>
      <c r="C299">
        <v>11.33642075</v>
      </c>
      <c r="D299">
        <v>-1.2674965</v>
      </c>
      <c r="E299">
        <v>12.696239</v>
      </c>
      <c r="F299">
        <v>0.194933</v>
      </c>
      <c r="G299">
        <v>18.089293999999999</v>
      </c>
      <c r="H299">
        <v>24</v>
      </c>
      <c r="I299">
        <v>12</v>
      </c>
      <c r="J299">
        <v>1.17</v>
      </c>
      <c r="K299">
        <v>5.5307009999999996</v>
      </c>
      <c r="L299">
        <v>-0.73238872167695879</v>
      </c>
      <c r="M299">
        <v>1.521378737701647</v>
      </c>
      <c r="N299">
        <v>-0.44613924376310032</v>
      </c>
      <c r="O299">
        <v>3.41676850859318E-2</v>
      </c>
    </row>
    <row r="300" spans="1:15" x14ac:dyDescent="0.25">
      <c r="A300">
        <v>0.31592874999999998</v>
      </c>
      <c r="B300">
        <v>17.123830999999999</v>
      </c>
      <c r="C300">
        <v>12.647038</v>
      </c>
      <c r="D300">
        <v>-1.879391</v>
      </c>
      <c r="E300">
        <v>11.980959</v>
      </c>
      <c r="F300">
        <v>0.14620649999999999</v>
      </c>
      <c r="G300">
        <v>18.609562499999999</v>
      </c>
      <c r="H300">
        <v>24</v>
      </c>
      <c r="I300">
        <v>16</v>
      </c>
      <c r="J300">
        <v>1.17</v>
      </c>
      <c r="K300">
        <v>5.6179272500000002</v>
      </c>
      <c r="L300">
        <v>-0.96620500825116962</v>
      </c>
      <c r="M300">
        <v>1.4889789304919709</v>
      </c>
      <c r="N300">
        <v>-0.51943220069725338</v>
      </c>
      <c r="O300">
        <v>-7.2693322545261535E-2</v>
      </c>
    </row>
    <row r="301" spans="1:15" x14ac:dyDescent="0.25">
      <c r="A301">
        <v>-1.9824550000000001</v>
      </c>
      <c r="B301">
        <v>16.931426999999999</v>
      </c>
      <c r="C301">
        <v>13.8195865</v>
      </c>
      <c r="D301">
        <v>-2.8409395000000002</v>
      </c>
      <c r="E301">
        <v>10.818628500000001</v>
      </c>
      <c r="F301">
        <v>0.194933</v>
      </c>
      <c r="G301">
        <v>18.969747999999999</v>
      </c>
      <c r="H301">
        <v>24</v>
      </c>
      <c r="I301">
        <v>20</v>
      </c>
      <c r="J301">
        <v>1.17</v>
      </c>
      <c r="K301">
        <v>5.6651175</v>
      </c>
      <c r="L301">
        <v>-1.1943832420781739</v>
      </c>
      <c r="M301">
        <v>1.4945262526626959</v>
      </c>
      <c r="N301">
        <v>-0.61617858641446333</v>
      </c>
      <c r="O301">
        <v>-0.19702851501708421</v>
      </c>
    </row>
    <row r="302" spans="1:15" x14ac:dyDescent="0.25">
      <c r="A302">
        <v>-4.4605250000000014</v>
      </c>
      <c r="B302">
        <v>16.354220999999999</v>
      </c>
      <c r="C302">
        <v>14.768966750000001</v>
      </c>
      <c r="D302">
        <v>-4.4580887499999999</v>
      </c>
      <c r="E302">
        <v>9.1198399999999999</v>
      </c>
      <c r="F302">
        <v>0.194933</v>
      </c>
      <c r="G302">
        <v>19.289911</v>
      </c>
      <c r="H302">
        <v>24</v>
      </c>
      <c r="I302">
        <v>24</v>
      </c>
      <c r="J302">
        <v>1.17</v>
      </c>
      <c r="K302">
        <v>5.7132164999999997</v>
      </c>
      <c r="L302">
        <v>-1.416185307740494</v>
      </c>
      <c r="M302">
        <v>1.5326709397181051</v>
      </c>
      <c r="N302">
        <v>-0.74897609575328439</v>
      </c>
      <c r="O302">
        <v>-0.34271633321215178</v>
      </c>
    </row>
    <row r="303" spans="1:15" x14ac:dyDescent="0.25">
      <c r="A303">
        <v>-6.9836495000000003</v>
      </c>
      <c r="B303">
        <v>15.58461</v>
      </c>
      <c r="C303">
        <v>15.492618999999999</v>
      </c>
      <c r="D303">
        <v>-6.7308409999999999</v>
      </c>
      <c r="E303">
        <v>6.9739990000000001</v>
      </c>
      <c r="F303">
        <v>0.194933</v>
      </c>
      <c r="G303">
        <v>19.690117000000001</v>
      </c>
      <c r="H303">
        <v>24</v>
      </c>
      <c r="I303">
        <v>28</v>
      </c>
      <c r="J303">
        <v>1.17</v>
      </c>
      <c r="K303">
        <v>5.7727899999999996</v>
      </c>
      <c r="L303">
        <v>-1.6250714874569381</v>
      </c>
      <c r="M303">
        <v>1.613424171156647</v>
      </c>
      <c r="N303">
        <v>-0.91940232062468008</v>
      </c>
      <c r="O303">
        <v>-0.50985914002466259</v>
      </c>
    </row>
    <row r="304" spans="1:15" x14ac:dyDescent="0.25">
      <c r="A304">
        <v>-9.7320534999999992</v>
      </c>
      <c r="B304">
        <v>14.622598</v>
      </c>
      <c r="C304">
        <v>15.852929</v>
      </c>
      <c r="D304">
        <v>-9.5280735000000014</v>
      </c>
      <c r="E304">
        <v>4.2469947499999998</v>
      </c>
      <c r="F304">
        <v>0.194933</v>
      </c>
      <c r="G304">
        <v>19.970260499999998</v>
      </c>
      <c r="H304">
        <v>24</v>
      </c>
      <c r="I304">
        <v>32</v>
      </c>
      <c r="J304">
        <v>1.17</v>
      </c>
      <c r="K304">
        <v>5.8141097500000001</v>
      </c>
      <c r="L304">
        <v>-1.8436852900819869</v>
      </c>
      <c r="M304">
        <v>1.7403270441509211</v>
      </c>
      <c r="N304">
        <v>-1.1330435570979069</v>
      </c>
      <c r="O304">
        <v>-0.70797737651095183</v>
      </c>
    </row>
    <row r="305" spans="1:15" x14ac:dyDescent="0.25">
      <c r="A305">
        <v>-12.435402249999999</v>
      </c>
      <c r="B305">
        <v>13.227680250000001</v>
      </c>
      <c r="C305">
        <v>16.078752000000001</v>
      </c>
      <c r="D305">
        <v>-12.5875465</v>
      </c>
      <c r="E305">
        <v>1.1176444999999999</v>
      </c>
      <c r="F305">
        <v>0.194933</v>
      </c>
      <c r="G305">
        <v>20.250402999999999</v>
      </c>
      <c r="H305">
        <v>24</v>
      </c>
      <c r="I305">
        <v>36</v>
      </c>
      <c r="J305">
        <v>1.17</v>
      </c>
      <c r="K305">
        <v>5.8551450000000003</v>
      </c>
      <c r="L305">
        <v>-2.092173094435962</v>
      </c>
      <c r="M305">
        <v>1.894129821957939</v>
      </c>
      <c r="N305">
        <v>-1.4038296974275351</v>
      </c>
      <c r="O305">
        <v>-0.93228601420097157</v>
      </c>
    </row>
    <row r="306" spans="1:15" x14ac:dyDescent="0.25">
      <c r="A306">
        <v>16.15954</v>
      </c>
      <c r="B306">
        <v>13.660586</v>
      </c>
      <c r="C306">
        <v>-13.621105500000001</v>
      </c>
      <c r="D306">
        <v>-14.160989750000001</v>
      </c>
      <c r="E306">
        <v>0.84941525000000007</v>
      </c>
      <c r="F306">
        <v>0.14620649999999999</v>
      </c>
      <c r="G306">
        <v>20.65061</v>
      </c>
      <c r="H306">
        <v>28</v>
      </c>
      <c r="I306">
        <v>-36</v>
      </c>
      <c r="J306">
        <v>1.1675</v>
      </c>
      <c r="K306">
        <v>5.9266722499999993</v>
      </c>
      <c r="L306">
        <v>2.020369817261082</v>
      </c>
      <c r="M306">
        <v>1.8874457207164761</v>
      </c>
      <c r="N306">
        <v>-1.343347110574064</v>
      </c>
      <c r="O306">
        <v>-0.95227364224578359</v>
      </c>
    </row>
    <row r="307" spans="1:15" x14ac:dyDescent="0.25">
      <c r="A307">
        <v>16.246654249999999</v>
      </c>
      <c r="B307">
        <v>15.392208</v>
      </c>
      <c r="C307">
        <v>-11.00513175</v>
      </c>
      <c r="D307">
        <v>-11.582291</v>
      </c>
      <c r="E307">
        <v>3.5317147499999999</v>
      </c>
      <c r="F307">
        <v>0.194933</v>
      </c>
      <c r="G307">
        <v>20.810692</v>
      </c>
      <c r="H307">
        <v>28</v>
      </c>
      <c r="I307">
        <v>-32</v>
      </c>
      <c r="J307">
        <v>1.1599999999999999</v>
      </c>
      <c r="K307">
        <v>5.961913</v>
      </c>
      <c r="L307">
        <v>1.8381659176545251</v>
      </c>
      <c r="M307">
        <v>1.819442065389808</v>
      </c>
      <c r="N307">
        <v>-1.1654866125573531</v>
      </c>
      <c r="O307">
        <v>-0.7748609589756279</v>
      </c>
    </row>
    <row r="308" spans="1:15" x14ac:dyDescent="0.25">
      <c r="A308">
        <v>16.1144015</v>
      </c>
      <c r="B308">
        <v>16.931426999999999</v>
      </c>
      <c r="C308">
        <v>-8.3891570000000009</v>
      </c>
      <c r="D308">
        <v>-9.0035929999999986</v>
      </c>
      <c r="E308">
        <v>6.1246047499999996</v>
      </c>
      <c r="F308">
        <v>0.194933</v>
      </c>
      <c r="G308">
        <v>21.010794499999999</v>
      </c>
      <c r="H308">
        <v>28</v>
      </c>
      <c r="I308">
        <v>-28</v>
      </c>
      <c r="J308">
        <v>1.1625000000000001</v>
      </c>
      <c r="K308">
        <v>5.9843612500000001</v>
      </c>
      <c r="L308">
        <v>1.6533196129082119</v>
      </c>
      <c r="M308">
        <v>1.7499156299848491</v>
      </c>
      <c r="N308">
        <v>-1.0044283689711131</v>
      </c>
      <c r="O308">
        <v>-0.59991203172743734</v>
      </c>
    </row>
    <row r="309" spans="1:15" x14ac:dyDescent="0.25">
      <c r="A309">
        <v>15.254791750000001</v>
      </c>
      <c r="B309">
        <v>17.701038</v>
      </c>
      <c r="C309">
        <v>-5.7280810000000004</v>
      </c>
      <c r="D309">
        <v>-6.9493749999999999</v>
      </c>
      <c r="E309">
        <v>7.9575094999999996</v>
      </c>
      <c r="F309">
        <v>0.194933</v>
      </c>
      <c r="G309">
        <v>20.610589000000001</v>
      </c>
      <c r="H309">
        <v>28</v>
      </c>
      <c r="I309">
        <v>-24</v>
      </c>
      <c r="J309">
        <v>1.1599999999999999</v>
      </c>
      <c r="K309">
        <v>5.9329002500000003</v>
      </c>
      <c r="L309">
        <v>1.467732742997971</v>
      </c>
      <c r="M309">
        <v>1.7242995164406041</v>
      </c>
      <c r="N309">
        <v>-0.88510010317618226</v>
      </c>
      <c r="O309">
        <v>-0.45702342638884091</v>
      </c>
    </row>
    <row r="310" spans="1:15" x14ac:dyDescent="0.25">
      <c r="A310">
        <v>14.03713275</v>
      </c>
      <c r="B310">
        <v>18.085842</v>
      </c>
      <c r="C310">
        <v>-3.0670039999999998</v>
      </c>
      <c r="D310">
        <v>-5.2448112499999997</v>
      </c>
      <c r="E310">
        <v>9.4327737500000008</v>
      </c>
      <c r="F310">
        <v>0.194933</v>
      </c>
      <c r="G310">
        <v>19.930240000000001</v>
      </c>
      <c r="H310">
        <v>28</v>
      </c>
      <c r="I310">
        <v>-20</v>
      </c>
      <c r="J310">
        <v>1.165</v>
      </c>
      <c r="K310">
        <v>5.8207364999999998</v>
      </c>
      <c r="L310">
        <v>1.2587126233845389</v>
      </c>
      <c r="M310">
        <v>1.716931199610253</v>
      </c>
      <c r="N310">
        <v>-0.7725488862018709</v>
      </c>
      <c r="O310">
        <v>-0.32014879470650498</v>
      </c>
    </row>
    <row r="311" spans="1:15" x14ac:dyDescent="0.25">
      <c r="A311">
        <v>12.772497</v>
      </c>
      <c r="B311">
        <v>18.278245999999999</v>
      </c>
      <c r="C311">
        <v>-0.90206000000000008</v>
      </c>
      <c r="D311">
        <v>-4.3269692500000003</v>
      </c>
      <c r="E311">
        <v>10.639808499999999</v>
      </c>
      <c r="F311">
        <v>0.194933</v>
      </c>
      <c r="G311">
        <v>19.530035000000002</v>
      </c>
      <c r="H311">
        <v>28</v>
      </c>
      <c r="I311">
        <v>-16</v>
      </c>
      <c r="J311">
        <v>1.17</v>
      </c>
      <c r="K311">
        <v>5.7490399999999999</v>
      </c>
      <c r="L311">
        <v>1.0316977149118469</v>
      </c>
      <c r="M311">
        <v>1.705476570306643</v>
      </c>
      <c r="N311">
        <v>-0.67073558177624859</v>
      </c>
      <c r="O311">
        <v>-0.2118498308039469</v>
      </c>
    </row>
    <row r="312" spans="1:15" x14ac:dyDescent="0.25">
      <c r="A312">
        <v>11.32825525</v>
      </c>
      <c r="B312">
        <v>18.278245999999999</v>
      </c>
      <c r="C312">
        <v>1.0840179999999999</v>
      </c>
      <c r="D312">
        <v>-3.4091265000000002</v>
      </c>
      <c r="E312">
        <v>11.265677999999999</v>
      </c>
      <c r="F312">
        <v>0.194933</v>
      </c>
      <c r="G312">
        <v>18.889707999999999</v>
      </c>
      <c r="H312">
        <v>28</v>
      </c>
      <c r="I312">
        <v>-12</v>
      </c>
      <c r="J312">
        <v>1.17</v>
      </c>
      <c r="K312">
        <v>5.6530420000000001</v>
      </c>
      <c r="L312">
        <v>0.8242944145799902</v>
      </c>
      <c r="M312">
        <v>1.745005473878698</v>
      </c>
      <c r="N312">
        <v>-0.61345202901648244</v>
      </c>
      <c r="O312">
        <v>-0.1092150761507918</v>
      </c>
    </row>
    <row r="313" spans="1:15" x14ac:dyDescent="0.25">
      <c r="A313">
        <v>9.7486224999999997</v>
      </c>
      <c r="B313">
        <v>18.182044000000001</v>
      </c>
      <c r="C313">
        <v>2.5290560000000002</v>
      </c>
      <c r="D313">
        <v>-3.1905934999999999</v>
      </c>
      <c r="E313">
        <v>11.623317999999999</v>
      </c>
      <c r="F313">
        <v>0.194933</v>
      </c>
      <c r="G313">
        <v>18.569541999999998</v>
      </c>
      <c r="H313">
        <v>28</v>
      </c>
      <c r="I313">
        <v>-8</v>
      </c>
      <c r="J313">
        <v>1.17</v>
      </c>
      <c r="K313">
        <v>5.6044260000000001</v>
      </c>
      <c r="L313">
        <v>0.60394712534061445</v>
      </c>
      <c r="M313">
        <v>1.787906332478761</v>
      </c>
      <c r="N313">
        <v>-0.58108105905177687</v>
      </c>
      <c r="O313">
        <v>-4.3967188640700247E-2</v>
      </c>
    </row>
    <row r="314" spans="1:15" x14ac:dyDescent="0.25">
      <c r="A314">
        <v>8.1238515000000007</v>
      </c>
      <c r="B314">
        <v>18.037741499999999</v>
      </c>
      <c r="C314">
        <v>4.20060725</v>
      </c>
      <c r="D314">
        <v>-2.9720594999999999</v>
      </c>
      <c r="E314">
        <v>11.802137999999999</v>
      </c>
      <c r="F314">
        <v>0.194933</v>
      </c>
      <c r="G314">
        <v>18.249378</v>
      </c>
      <c r="H314">
        <v>28</v>
      </c>
      <c r="I314">
        <v>-4</v>
      </c>
      <c r="J314">
        <v>1.165</v>
      </c>
      <c r="K314">
        <v>5.5673320000000004</v>
      </c>
      <c r="L314">
        <v>0.35065989868436442</v>
      </c>
      <c r="M314">
        <v>1.877904009589384</v>
      </c>
      <c r="N314">
        <v>-0.57629524085283901</v>
      </c>
      <c r="O314">
        <v>3.7525670070181358E-2</v>
      </c>
    </row>
    <row r="315" spans="1:15" x14ac:dyDescent="0.25">
      <c r="A315">
        <v>6.499911</v>
      </c>
      <c r="B315">
        <v>18.085842</v>
      </c>
      <c r="C315">
        <v>5.8714364999999997</v>
      </c>
      <c r="D315">
        <v>-2.9720589999999998</v>
      </c>
      <c r="E315">
        <v>11.936253750000001</v>
      </c>
      <c r="F315">
        <v>9.7479999999999997E-2</v>
      </c>
      <c r="G315">
        <v>18.249378</v>
      </c>
      <c r="H315">
        <v>28</v>
      </c>
      <c r="I315">
        <v>0</v>
      </c>
      <c r="J315">
        <v>1.1599999999999999</v>
      </c>
      <c r="K315">
        <v>5.5942964999999996</v>
      </c>
      <c r="L315">
        <v>5.9933379592903249E-2</v>
      </c>
      <c r="M315">
        <v>2.008157389536402</v>
      </c>
      <c r="N315">
        <v>-0.60207885110102133</v>
      </c>
      <c r="O315">
        <v>0.12899139930933551</v>
      </c>
    </row>
    <row r="316" spans="1:15" x14ac:dyDescent="0.25">
      <c r="A316">
        <v>4.7395120000000004</v>
      </c>
      <c r="B316">
        <v>18.566849999999999</v>
      </c>
      <c r="C316">
        <v>7.5882170000000002</v>
      </c>
      <c r="D316">
        <v>-3.2780065</v>
      </c>
      <c r="E316">
        <v>11.980959</v>
      </c>
      <c r="F316">
        <v>0.194933</v>
      </c>
      <c r="G316">
        <v>18.769645000000001</v>
      </c>
      <c r="H316">
        <v>28</v>
      </c>
      <c r="I316">
        <v>4</v>
      </c>
      <c r="J316">
        <v>1.1599999999999999</v>
      </c>
      <c r="K316">
        <v>5.6590860000000003</v>
      </c>
      <c r="L316">
        <v>-0.25317725581252182</v>
      </c>
      <c r="M316">
        <v>1.941740549239753</v>
      </c>
      <c r="N316">
        <v>-0.6034419842891886</v>
      </c>
      <c r="O316">
        <v>4.7676942809209907E-2</v>
      </c>
    </row>
    <row r="317" spans="1:15" x14ac:dyDescent="0.25">
      <c r="A317">
        <v>3.0238795000000001</v>
      </c>
      <c r="B317">
        <v>18.999754500000002</v>
      </c>
      <c r="C317">
        <v>9.2130510000000001</v>
      </c>
      <c r="D317">
        <v>-3.4965402499999998</v>
      </c>
      <c r="E317">
        <v>11.936253750000001</v>
      </c>
      <c r="F317">
        <v>0.14620649999999999</v>
      </c>
      <c r="G317">
        <v>19.249890000000001</v>
      </c>
      <c r="H317">
        <v>28</v>
      </c>
      <c r="I317">
        <v>8</v>
      </c>
      <c r="J317">
        <v>1.1625000000000001</v>
      </c>
      <c r="K317">
        <v>5.7329382500000001</v>
      </c>
      <c r="L317">
        <v>-0.5084501782705193</v>
      </c>
      <c r="M317">
        <v>1.8481107060332711</v>
      </c>
      <c r="N317">
        <v>-0.60082194692210722</v>
      </c>
      <c r="O317">
        <v>-3.1417669492865237E-2</v>
      </c>
    </row>
    <row r="318" spans="1:15" x14ac:dyDescent="0.25">
      <c r="A318">
        <v>0.76720374999999996</v>
      </c>
      <c r="B318">
        <v>18.951654000000001</v>
      </c>
      <c r="C318">
        <v>10.658940749999999</v>
      </c>
      <c r="D318">
        <v>-4.1084355000000006</v>
      </c>
      <c r="E318">
        <v>11.310383249999999</v>
      </c>
      <c r="F318">
        <v>0.194933</v>
      </c>
      <c r="G318">
        <v>19.530035000000002</v>
      </c>
      <c r="H318">
        <v>28</v>
      </c>
      <c r="I318">
        <v>12</v>
      </c>
      <c r="J318">
        <v>1.17</v>
      </c>
      <c r="K318">
        <v>5.7490399999999999</v>
      </c>
      <c r="L318">
        <v>-0.76202955434051156</v>
      </c>
      <c r="M318">
        <v>1.7764662828241029</v>
      </c>
      <c r="N318">
        <v>-0.6332179134158904</v>
      </c>
      <c r="O318">
        <v>-0.1437124807439166</v>
      </c>
    </row>
    <row r="319" spans="1:15" x14ac:dyDescent="0.25">
      <c r="A319">
        <v>-1.6670655000000001</v>
      </c>
      <c r="B319">
        <v>18.855453000000001</v>
      </c>
      <c r="C319">
        <v>12.014684750000001</v>
      </c>
      <c r="D319">
        <v>-4.7640370000000001</v>
      </c>
      <c r="E319">
        <v>10.416283249999999</v>
      </c>
      <c r="F319">
        <v>0.194933</v>
      </c>
      <c r="G319">
        <v>19.850199</v>
      </c>
      <c r="H319">
        <v>28</v>
      </c>
      <c r="I319">
        <v>16</v>
      </c>
      <c r="J319">
        <v>1.17</v>
      </c>
      <c r="K319">
        <v>5.7964419999999999</v>
      </c>
      <c r="L319">
        <v>-1.0037264389963361</v>
      </c>
      <c r="M319">
        <v>1.7327246182250571</v>
      </c>
      <c r="N319">
        <v>-0.69210148889043677</v>
      </c>
      <c r="O319">
        <v>-0.25017483505440768</v>
      </c>
    </row>
    <row r="320" spans="1:15" x14ac:dyDescent="0.25">
      <c r="A320">
        <v>-4.2803012499999999</v>
      </c>
      <c r="B320">
        <v>18.518749</v>
      </c>
      <c r="C320">
        <v>13.007526</v>
      </c>
      <c r="D320">
        <v>-5.7255845000000001</v>
      </c>
      <c r="E320">
        <v>8.9857242500000005</v>
      </c>
      <c r="F320">
        <v>0.14620649999999999</v>
      </c>
      <c r="G320">
        <v>20.170362000000001</v>
      </c>
      <c r="H320">
        <v>28</v>
      </c>
      <c r="I320">
        <v>20</v>
      </c>
      <c r="J320">
        <v>1.17</v>
      </c>
      <c r="K320">
        <v>5.8505707499999993</v>
      </c>
      <c r="L320">
        <v>-1.2358454365217031</v>
      </c>
      <c r="M320">
        <v>1.733141050319472</v>
      </c>
      <c r="N320">
        <v>-0.79955014837798721</v>
      </c>
      <c r="O320">
        <v>-0.36809481625687579</v>
      </c>
    </row>
    <row r="321" spans="1:15" x14ac:dyDescent="0.25">
      <c r="A321">
        <v>-6.8034272500000004</v>
      </c>
      <c r="B321">
        <v>17.893439999999998</v>
      </c>
      <c r="C321">
        <v>13.91082625</v>
      </c>
      <c r="D321">
        <v>-7.2116150000000001</v>
      </c>
      <c r="E321">
        <v>7.2422300000000002</v>
      </c>
      <c r="F321">
        <v>0.194933</v>
      </c>
      <c r="G321">
        <v>20.450505499999998</v>
      </c>
      <c r="H321">
        <v>28</v>
      </c>
      <c r="I321">
        <v>24</v>
      </c>
      <c r="J321">
        <v>1.1675</v>
      </c>
      <c r="K321">
        <v>5.8906187499999998</v>
      </c>
      <c r="L321">
        <v>-1.4536659645486769</v>
      </c>
      <c r="M321">
        <v>1.761804774502</v>
      </c>
      <c r="N321">
        <v>-0.92693095565590733</v>
      </c>
      <c r="O321">
        <v>-0.50543506873369082</v>
      </c>
    </row>
    <row r="322" spans="1:15" x14ac:dyDescent="0.25">
      <c r="A322">
        <v>-9.6419417500000009</v>
      </c>
      <c r="B322">
        <v>17.123830999999999</v>
      </c>
      <c r="C322">
        <v>14.54314525</v>
      </c>
      <c r="D322">
        <v>-9.5717805000000009</v>
      </c>
      <c r="E322">
        <v>4.9622742500000001</v>
      </c>
      <c r="F322">
        <v>0.194933</v>
      </c>
      <c r="G322">
        <v>20.810692</v>
      </c>
      <c r="H322">
        <v>28</v>
      </c>
      <c r="I322">
        <v>28</v>
      </c>
      <c r="J322">
        <v>1.1599999999999999</v>
      </c>
      <c r="K322">
        <v>5.961913</v>
      </c>
      <c r="L322">
        <v>-1.660026729690995</v>
      </c>
      <c r="M322">
        <v>1.832336299905442</v>
      </c>
      <c r="N322">
        <v>-1.087811820081992</v>
      </c>
      <c r="O322">
        <v>-0.67274669093955419</v>
      </c>
    </row>
    <row r="323" spans="1:15" x14ac:dyDescent="0.25">
      <c r="A323">
        <v>-12.300234250000001</v>
      </c>
      <c r="B323">
        <v>16.161819000000001</v>
      </c>
      <c r="C323">
        <v>14.814128500000001</v>
      </c>
      <c r="D323">
        <v>-12.237893250000001</v>
      </c>
      <c r="E323">
        <v>2.503501</v>
      </c>
      <c r="F323">
        <v>0.194933</v>
      </c>
      <c r="G323">
        <v>20.970773999999999</v>
      </c>
      <c r="H323">
        <v>28</v>
      </c>
      <c r="I323">
        <v>32</v>
      </c>
      <c r="J323">
        <v>1.1625000000000001</v>
      </c>
      <c r="K323">
        <v>5.9786079999999986</v>
      </c>
      <c r="L323">
        <v>-1.8355004069957559</v>
      </c>
      <c r="M323">
        <v>1.9224917244334809</v>
      </c>
      <c r="N323">
        <v>-1.2501590228542701</v>
      </c>
      <c r="O323">
        <v>-0.84371936695403615</v>
      </c>
    </row>
    <row r="324" spans="1:15" x14ac:dyDescent="0.25">
      <c r="A324">
        <v>-14.913471250000001</v>
      </c>
      <c r="B324">
        <v>14.478295749999999</v>
      </c>
      <c r="C324">
        <v>14.85831525</v>
      </c>
      <c r="D324">
        <v>-14.9914185</v>
      </c>
      <c r="E324">
        <v>-0.62441000000000002</v>
      </c>
      <c r="F324">
        <v>0.194933</v>
      </c>
      <c r="G324">
        <v>20.930753500000002</v>
      </c>
      <c r="H324">
        <v>28</v>
      </c>
      <c r="I324">
        <v>36</v>
      </c>
      <c r="J324">
        <v>1.17</v>
      </c>
      <c r="K324">
        <v>5.9536332500000002</v>
      </c>
      <c r="L324">
        <v>-2.0778900330067511</v>
      </c>
      <c r="M324">
        <v>2.0567677633820249</v>
      </c>
      <c r="N324">
        <v>-1.5044198288932691</v>
      </c>
      <c r="O324">
        <v>-1.0571672540979189</v>
      </c>
    </row>
    <row r="325" spans="1:15" x14ac:dyDescent="0.25">
      <c r="A325">
        <v>13.902616999999999</v>
      </c>
      <c r="B325">
        <v>13.852989000000001</v>
      </c>
      <c r="C325">
        <v>-15.109504250000001</v>
      </c>
      <c r="D325">
        <v>-15.5158995</v>
      </c>
      <c r="E325">
        <v>-1.3380240000000001</v>
      </c>
      <c r="F325">
        <v>0.194933</v>
      </c>
      <c r="G325">
        <v>20.05030125</v>
      </c>
      <c r="H325">
        <v>32</v>
      </c>
      <c r="I325">
        <v>-36</v>
      </c>
      <c r="J325">
        <v>1.1625000000000001</v>
      </c>
      <c r="K325">
        <v>5.8446384999999994</v>
      </c>
      <c r="L325">
        <v>2.0760608123467348</v>
      </c>
      <c r="M325">
        <v>2.101592696447061</v>
      </c>
      <c r="N325">
        <v>-1.5305045533521731</v>
      </c>
      <c r="O325">
        <v>-1.1096786433755059</v>
      </c>
    </row>
    <row r="326" spans="1:15" x14ac:dyDescent="0.25">
      <c r="A326">
        <v>13.541511</v>
      </c>
      <c r="B326">
        <v>14.95930325</v>
      </c>
      <c r="C326">
        <v>-12.222913</v>
      </c>
      <c r="D326">
        <v>-12.718666750000001</v>
      </c>
      <c r="E326">
        <v>1.07293975</v>
      </c>
      <c r="F326">
        <v>0.194933</v>
      </c>
      <c r="G326">
        <v>19.530035000000002</v>
      </c>
      <c r="H326">
        <v>32</v>
      </c>
      <c r="I326">
        <v>-32</v>
      </c>
      <c r="J326">
        <v>1.165</v>
      </c>
      <c r="K326">
        <v>5.7614035000000001</v>
      </c>
      <c r="L326">
        <v>1.9023431925875971</v>
      </c>
      <c r="M326">
        <v>2.0436469919791929</v>
      </c>
      <c r="N326">
        <v>-1.3628227141396561</v>
      </c>
      <c r="O326">
        <v>-0.93517093142834851</v>
      </c>
    </row>
    <row r="327" spans="1:15" x14ac:dyDescent="0.25">
      <c r="A327">
        <v>12.9990065</v>
      </c>
      <c r="B327">
        <v>15.777013</v>
      </c>
      <c r="C327">
        <v>-9.6069382500000007</v>
      </c>
      <c r="D327">
        <v>-10.183674</v>
      </c>
      <c r="E327">
        <v>3.1293695000000001</v>
      </c>
      <c r="F327">
        <v>0.194933</v>
      </c>
      <c r="G327">
        <v>19.089808250000001</v>
      </c>
      <c r="H327">
        <v>32</v>
      </c>
      <c r="I327">
        <v>-28</v>
      </c>
      <c r="J327">
        <v>1.1675</v>
      </c>
      <c r="K327">
        <v>5.6893357499999997</v>
      </c>
      <c r="L327">
        <v>1.735674382115157</v>
      </c>
      <c r="M327">
        <v>1.993251845609834</v>
      </c>
      <c r="N327">
        <v>-1.225499178886404</v>
      </c>
      <c r="O327">
        <v>-0.77471765830640937</v>
      </c>
    </row>
    <row r="328" spans="1:15" x14ac:dyDescent="0.25">
      <c r="A328">
        <v>12.141424000000001</v>
      </c>
      <c r="B328">
        <v>16.354220999999999</v>
      </c>
      <c r="C328">
        <v>-7.0811702500000004</v>
      </c>
      <c r="D328">
        <v>-8.2605779999999989</v>
      </c>
      <c r="E328">
        <v>4.783455</v>
      </c>
      <c r="F328">
        <v>0.14620649999999999</v>
      </c>
      <c r="G328">
        <v>18.489501000000001</v>
      </c>
      <c r="H328">
        <v>32</v>
      </c>
      <c r="I328">
        <v>-24</v>
      </c>
      <c r="J328">
        <v>1.17</v>
      </c>
      <c r="K328">
        <v>5.5996362499999996</v>
      </c>
      <c r="L328">
        <v>1.543459988306128</v>
      </c>
      <c r="M328">
        <v>1.9764046400002291</v>
      </c>
      <c r="N328">
        <v>-1.1005542390147169</v>
      </c>
      <c r="O328">
        <v>-0.62767816878324523</v>
      </c>
    </row>
    <row r="329" spans="1:15" x14ac:dyDescent="0.25">
      <c r="A329">
        <v>11.32972625</v>
      </c>
      <c r="B329">
        <v>16.835227</v>
      </c>
      <c r="C329">
        <v>-4.8260209999999999</v>
      </c>
      <c r="D329">
        <v>-6.9930820000000002</v>
      </c>
      <c r="E329">
        <v>6.1246047499999996</v>
      </c>
      <c r="F329">
        <v>0.194933</v>
      </c>
      <c r="G329">
        <v>18.249378</v>
      </c>
      <c r="H329">
        <v>32</v>
      </c>
      <c r="I329">
        <v>-20</v>
      </c>
      <c r="J329">
        <v>1.17</v>
      </c>
      <c r="K329">
        <v>5.5553850000000002</v>
      </c>
      <c r="L329">
        <v>1.342517948043902</v>
      </c>
      <c r="M329">
        <v>1.9800356287843861</v>
      </c>
      <c r="N329">
        <v>-1.007533383151201</v>
      </c>
      <c r="O329">
        <v>-0.50725193393015888</v>
      </c>
    </row>
    <row r="330" spans="1:15" x14ac:dyDescent="0.25">
      <c r="A330">
        <v>10.290212500000001</v>
      </c>
      <c r="B330">
        <v>17.123830999999999</v>
      </c>
      <c r="C330">
        <v>-2.6610770000000001</v>
      </c>
      <c r="D330">
        <v>-5.9878262499999986</v>
      </c>
      <c r="E330">
        <v>7.3316400000000002</v>
      </c>
      <c r="F330">
        <v>0.194933</v>
      </c>
      <c r="G330">
        <v>17.929214000000002</v>
      </c>
      <c r="H330">
        <v>32</v>
      </c>
      <c r="I330">
        <v>-16</v>
      </c>
      <c r="J330">
        <v>1.17</v>
      </c>
      <c r="K330">
        <v>5.5059069999999997</v>
      </c>
      <c r="L330">
        <v>1.1111196786123549</v>
      </c>
      <c r="M330">
        <v>1.9828257954153199</v>
      </c>
      <c r="N330">
        <v>-0.90921400238087136</v>
      </c>
      <c r="O330">
        <v>-0.38770949508919872</v>
      </c>
    </row>
    <row r="331" spans="1:15" x14ac:dyDescent="0.25">
      <c r="A331">
        <v>9.3881677500000009</v>
      </c>
      <c r="B331">
        <v>17.5567365</v>
      </c>
      <c r="C331">
        <v>-0.76675099999999996</v>
      </c>
      <c r="D331">
        <v>-5.5507584999999997</v>
      </c>
      <c r="E331">
        <v>8.2704440000000012</v>
      </c>
      <c r="F331">
        <v>0.194933</v>
      </c>
      <c r="G331">
        <v>17.969234</v>
      </c>
      <c r="H331">
        <v>32</v>
      </c>
      <c r="I331">
        <v>-12</v>
      </c>
      <c r="J331">
        <v>1.1675</v>
      </c>
      <c r="K331">
        <v>5.5180257499999996</v>
      </c>
      <c r="L331">
        <v>0.88850538482583663</v>
      </c>
      <c r="M331">
        <v>2.0218256361138471</v>
      </c>
      <c r="N331">
        <v>-0.84861258808416307</v>
      </c>
      <c r="O331">
        <v>-0.29343616250051169</v>
      </c>
    </row>
    <row r="332" spans="1:15" x14ac:dyDescent="0.25">
      <c r="A332">
        <v>8.3043809999999993</v>
      </c>
      <c r="B332">
        <v>18.4225475</v>
      </c>
      <c r="C332">
        <v>0.99354399999999998</v>
      </c>
      <c r="D332">
        <v>-5.3759315000000001</v>
      </c>
      <c r="E332">
        <v>9.0304295000000003</v>
      </c>
      <c r="F332">
        <v>0.194933</v>
      </c>
      <c r="G332">
        <v>18.489501000000001</v>
      </c>
      <c r="H332">
        <v>32</v>
      </c>
      <c r="I332">
        <v>-8</v>
      </c>
      <c r="J332">
        <v>1.17</v>
      </c>
      <c r="K332">
        <v>5.5921924999999986</v>
      </c>
      <c r="L332">
        <v>0.65148771764505187</v>
      </c>
      <c r="M332">
        <v>2.1207476428680412</v>
      </c>
      <c r="N332">
        <v>-0.84294036817925799</v>
      </c>
      <c r="O332">
        <v>-0.21261265500898441</v>
      </c>
    </row>
    <row r="333" spans="1:15" x14ac:dyDescent="0.25">
      <c r="A333">
        <v>6.8610189999999998</v>
      </c>
      <c r="B333">
        <v>18.999754500000002</v>
      </c>
      <c r="C333">
        <v>2.66490575</v>
      </c>
      <c r="D333">
        <v>-5.4633455</v>
      </c>
      <c r="E333">
        <v>9.5221842500000005</v>
      </c>
      <c r="F333">
        <v>0.194933</v>
      </c>
      <c r="G333">
        <v>18.969747999999999</v>
      </c>
      <c r="H333">
        <v>32</v>
      </c>
      <c r="I333">
        <v>-4</v>
      </c>
      <c r="J333">
        <v>1.17</v>
      </c>
      <c r="K333">
        <v>5.6651175</v>
      </c>
      <c r="L333">
        <v>0.38422235781007358</v>
      </c>
      <c r="M333">
        <v>2.23999733420125</v>
      </c>
      <c r="N333">
        <v>-0.86508318557865393</v>
      </c>
      <c r="O333">
        <v>-0.14597082196166519</v>
      </c>
    </row>
    <row r="334" spans="1:15" x14ac:dyDescent="0.25">
      <c r="A334">
        <v>5.1898965000000006</v>
      </c>
      <c r="B334">
        <v>19.240259000000002</v>
      </c>
      <c r="C334">
        <v>4.2903787500000004</v>
      </c>
      <c r="D334">
        <v>-5.7692914999999996</v>
      </c>
      <c r="E334">
        <v>9.7010044999999998</v>
      </c>
      <c r="F334">
        <v>0.194933</v>
      </c>
      <c r="G334">
        <v>19.209869000000001</v>
      </c>
      <c r="H334">
        <v>32</v>
      </c>
      <c r="I334">
        <v>0</v>
      </c>
      <c r="J334">
        <v>1.17</v>
      </c>
      <c r="K334">
        <v>5.7012419999999997</v>
      </c>
      <c r="L334">
        <v>8.6167056766638037E-2</v>
      </c>
      <c r="M334">
        <v>2.3956307164832329</v>
      </c>
      <c r="N334">
        <v>-0.91092753752775601</v>
      </c>
      <c r="O334">
        <v>-8.9431573866652542E-2</v>
      </c>
    </row>
    <row r="335" spans="1:15" x14ac:dyDescent="0.25">
      <c r="A335">
        <v>3.3398015000000001</v>
      </c>
      <c r="B335">
        <v>19.625063000000001</v>
      </c>
      <c r="C335">
        <v>6.1424317500000001</v>
      </c>
      <c r="D335">
        <v>-5.8567049999999998</v>
      </c>
      <c r="E335">
        <v>9.8351179999999996</v>
      </c>
      <c r="F335">
        <v>0.194933</v>
      </c>
      <c r="G335">
        <v>19.610075999999999</v>
      </c>
      <c r="H335">
        <v>32</v>
      </c>
      <c r="I335">
        <v>4</v>
      </c>
      <c r="J335">
        <v>1.17</v>
      </c>
      <c r="K335">
        <v>5.7609149999999998</v>
      </c>
      <c r="L335">
        <v>-0.2526345179116492</v>
      </c>
      <c r="M335">
        <v>2.2969864738347079</v>
      </c>
      <c r="N335">
        <v>-0.88113744189732857</v>
      </c>
      <c r="O335">
        <v>-0.13101144358043859</v>
      </c>
    </row>
    <row r="336" spans="1:15" x14ac:dyDescent="0.25">
      <c r="A336">
        <v>1.2184314999999999</v>
      </c>
      <c r="B336">
        <v>19.817467000000001</v>
      </c>
      <c r="C336">
        <v>7.7232015000000001</v>
      </c>
      <c r="D336">
        <v>-6.2500659999999986</v>
      </c>
      <c r="E336">
        <v>9.5221842500000005</v>
      </c>
      <c r="F336">
        <v>0.194933</v>
      </c>
      <c r="G336">
        <v>19.930240000000001</v>
      </c>
      <c r="H336">
        <v>32</v>
      </c>
      <c r="I336">
        <v>8</v>
      </c>
      <c r="J336">
        <v>1.17</v>
      </c>
      <c r="K336">
        <v>5.8082205</v>
      </c>
      <c r="L336">
        <v>-0.54033271221112922</v>
      </c>
      <c r="M336">
        <v>2.165481623378438</v>
      </c>
      <c r="N336">
        <v>-0.86465155094007851</v>
      </c>
      <c r="O336">
        <v>-0.22518590590448029</v>
      </c>
    </row>
    <row r="337" spans="1:15" x14ac:dyDescent="0.25">
      <c r="A337">
        <v>-1.261563</v>
      </c>
      <c r="B337">
        <v>19.817467000000001</v>
      </c>
      <c r="C337">
        <v>9.1239419999999996</v>
      </c>
      <c r="D337">
        <v>-6.9056680000000004</v>
      </c>
      <c r="E337">
        <v>8.7621979999999997</v>
      </c>
      <c r="F337">
        <v>0.194933</v>
      </c>
      <c r="G337">
        <v>20.170362000000001</v>
      </c>
      <c r="H337">
        <v>32</v>
      </c>
      <c r="I337">
        <v>12</v>
      </c>
      <c r="J337">
        <v>1.165</v>
      </c>
      <c r="K337">
        <v>5.8560274999999997</v>
      </c>
      <c r="L337">
        <v>-0.80848326418598049</v>
      </c>
      <c r="M337">
        <v>2.0803000869841139</v>
      </c>
      <c r="N337">
        <v>-0.88809448063324725</v>
      </c>
      <c r="O337">
        <v>-0.33306176518654562</v>
      </c>
    </row>
    <row r="338" spans="1:15" x14ac:dyDescent="0.25">
      <c r="A338">
        <v>-3.6495207500000002</v>
      </c>
      <c r="B338">
        <v>19.817467000000001</v>
      </c>
      <c r="C338">
        <v>10.477589999999999</v>
      </c>
      <c r="D338">
        <v>-7.3864409999999996</v>
      </c>
      <c r="E338">
        <v>7.7786894999999996</v>
      </c>
      <c r="F338">
        <v>0.194933</v>
      </c>
      <c r="G338">
        <v>20.490525999999999</v>
      </c>
      <c r="H338">
        <v>32</v>
      </c>
      <c r="I338">
        <v>16</v>
      </c>
      <c r="J338">
        <v>1.1599999999999999</v>
      </c>
      <c r="K338">
        <v>5.915438</v>
      </c>
      <c r="L338">
        <v>-1.0624796388757241</v>
      </c>
      <c r="M338">
        <v>2.045977438307538</v>
      </c>
      <c r="N338">
        <v>-0.95607192485962222</v>
      </c>
      <c r="O338">
        <v>-0.42965350197304297</v>
      </c>
    </row>
    <row r="339" spans="1:15" x14ac:dyDescent="0.25">
      <c r="A339">
        <v>-6.5330919999999999</v>
      </c>
      <c r="B339">
        <v>19.432659000000001</v>
      </c>
      <c r="C339">
        <v>11.425995</v>
      </c>
      <c r="D339">
        <v>-8.4791120000000006</v>
      </c>
      <c r="E339">
        <v>6.3481290000000001</v>
      </c>
      <c r="F339">
        <v>0.194933</v>
      </c>
      <c r="G339">
        <v>20.65061</v>
      </c>
      <c r="H339">
        <v>32</v>
      </c>
      <c r="I339">
        <v>20</v>
      </c>
      <c r="J339">
        <v>1.17</v>
      </c>
      <c r="K339">
        <v>5.9132879999999997</v>
      </c>
      <c r="L339">
        <v>-1.2962888742305121</v>
      </c>
      <c r="M339">
        <v>2.014701800816372</v>
      </c>
      <c r="N339">
        <v>-1.0323739427129679</v>
      </c>
      <c r="O339">
        <v>-0.55586882587540321</v>
      </c>
    </row>
    <row r="340" spans="1:15" x14ac:dyDescent="0.25">
      <c r="A340">
        <v>-9.2364394999999995</v>
      </c>
      <c r="B340">
        <v>18.855453000000001</v>
      </c>
      <c r="C340">
        <v>12.284075</v>
      </c>
      <c r="D340">
        <v>-9.9651420000000002</v>
      </c>
      <c r="E340">
        <v>4.6493399999999996</v>
      </c>
      <c r="F340">
        <v>0.194933</v>
      </c>
      <c r="G340">
        <v>20.970773999999999</v>
      </c>
      <c r="H340">
        <v>32</v>
      </c>
      <c r="I340">
        <v>24</v>
      </c>
      <c r="J340">
        <v>1.17</v>
      </c>
      <c r="K340">
        <v>5.959384</v>
      </c>
      <c r="L340">
        <v>-1.51019402620246</v>
      </c>
      <c r="M340">
        <v>2.0224944542258489</v>
      </c>
      <c r="N340">
        <v>-1.145361841072789</v>
      </c>
      <c r="O340">
        <v>-0.68741056684066382</v>
      </c>
    </row>
    <row r="341" spans="1:15" x14ac:dyDescent="0.25">
      <c r="A341">
        <v>-11.714509</v>
      </c>
      <c r="B341">
        <v>17.797239000000001</v>
      </c>
      <c r="C341">
        <v>12.647038</v>
      </c>
      <c r="D341">
        <v>-11.800825</v>
      </c>
      <c r="E341">
        <v>2.503501</v>
      </c>
      <c r="F341">
        <v>0.194933</v>
      </c>
      <c r="G341">
        <v>20.810692</v>
      </c>
      <c r="H341">
        <v>32</v>
      </c>
      <c r="I341">
        <v>28</v>
      </c>
      <c r="J341">
        <v>1.1675</v>
      </c>
      <c r="K341">
        <v>5.9427640000000004</v>
      </c>
      <c r="L341">
        <v>-1.7082591488573251</v>
      </c>
      <c r="M341">
        <v>2.075410602546619</v>
      </c>
      <c r="N341">
        <v>-1.283721147676637</v>
      </c>
      <c r="O341">
        <v>-0.83812057445352717</v>
      </c>
    </row>
    <row r="342" spans="1:15" x14ac:dyDescent="0.25">
      <c r="A342">
        <v>-13.651909</v>
      </c>
      <c r="B342">
        <v>15.921315249999999</v>
      </c>
      <c r="C342">
        <v>12.464722999999999</v>
      </c>
      <c r="D342">
        <v>-13.54909425</v>
      </c>
      <c r="E342">
        <v>0.17884025000000001</v>
      </c>
      <c r="F342">
        <v>0.194933</v>
      </c>
      <c r="G342">
        <v>20.090321500000002</v>
      </c>
      <c r="H342">
        <v>32</v>
      </c>
      <c r="I342">
        <v>32</v>
      </c>
      <c r="J342">
        <v>1.17</v>
      </c>
      <c r="K342">
        <v>5.8317300000000003</v>
      </c>
      <c r="L342">
        <v>-1.8953749933337509</v>
      </c>
      <c r="M342">
        <v>2.1387413025109061</v>
      </c>
      <c r="N342">
        <v>-1.445056628321209</v>
      </c>
      <c r="O342">
        <v>-1.001168526421341</v>
      </c>
    </row>
    <row r="343" spans="1:15" x14ac:dyDescent="0.25">
      <c r="A343">
        <v>-15.6794215</v>
      </c>
      <c r="B343">
        <v>14.237792000000001</v>
      </c>
      <c r="C343">
        <v>12.059061249999999</v>
      </c>
      <c r="D343">
        <v>-15.603312499999999</v>
      </c>
      <c r="E343">
        <v>-2.4084425</v>
      </c>
      <c r="F343">
        <v>0.194933</v>
      </c>
      <c r="G343">
        <v>19.610075999999999</v>
      </c>
      <c r="H343">
        <v>32</v>
      </c>
      <c r="I343">
        <v>36</v>
      </c>
      <c r="J343">
        <v>1.1675</v>
      </c>
      <c r="K343">
        <v>5.7670967500000003</v>
      </c>
      <c r="L343">
        <v>-2.096254902084381</v>
      </c>
      <c r="M343">
        <v>2.255085156987696</v>
      </c>
      <c r="N343">
        <v>-1.6640377515429241</v>
      </c>
      <c r="O343">
        <v>-1.196693298856043</v>
      </c>
    </row>
    <row r="344" spans="1:15" x14ac:dyDescent="0.25">
      <c r="A344">
        <v>11.50805025</v>
      </c>
      <c r="B344">
        <v>13.468184000000001</v>
      </c>
      <c r="C344">
        <v>-15.786049500000001</v>
      </c>
      <c r="D344">
        <v>-15.865553</v>
      </c>
      <c r="E344">
        <v>-3.3896600000000001</v>
      </c>
      <c r="F344">
        <v>0.194933</v>
      </c>
      <c r="G344">
        <v>19.049787999999999</v>
      </c>
      <c r="H344">
        <v>36</v>
      </c>
      <c r="I344">
        <v>-36</v>
      </c>
      <c r="J344">
        <v>1.165</v>
      </c>
      <c r="K344">
        <v>5.6894019999999994</v>
      </c>
      <c r="L344">
        <v>2.1947715555843872</v>
      </c>
      <c r="M344">
        <v>2.3588008524061741</v>
      </c>
      <c r="N344">
        <v>-1.804437476219676</v>
      </c>
      <c r="O344">
        <v>-1.288250136375668</v>
      </c>
    </row>
    <row r="345" spans="1:15" x14ac:dyDescent="0.25">
      <c r="A345">
        <v>11.103321749999999</v>
      </c>
      <c r="B345">
        <v>14.28589275</v>
      </c>
      <c r="C345">
        <v>-13.2602815</v>
      </c>
      <c r="D345">
        <v>-13.461679999999999</v>
      </c>
      <c r="E345">
        <v>-1.3380240000000001</v>
      </c>
      <c r="F345">
        <v>0.14620649999999999</v>
      </c>
      <c r="G345">
        <v>18.409459999999999</v>
      </c>
      <c r="H345">
        <v>36</v>
      </c>
      <c r="I345">
        <v>-32</v>
      </c>
      <c r="J345">
        <v>1.17</v>
      </c>
      <c r="K345">
        <v>5.5874027499999999</v>
      </c>
      <c r="L345">
        <v>2.0265075696677259</v>
      </c>
      <c r="M345">
        <v>2.307997666359078</v>
      </c>
      <c r="N345">
        <v>-1.642650085243099</v>
      </c>
      <c r="O345">
        <v>-1.123467788235375</v>
      </c>
    </row>
    <row r="346" spans="1:15" x14ac:dyDescent="0.25">
      <c r="A346">
        <v>10.83250325</v>
      </c>
      <c r="B346">
        <v>15.392208</v>
      </c>
      <c r="C346">
        <v>-11.140440999999999</v>
      </c>
      <c r="D346">
        <v>-11.713411750000001</v>
      </c>
      <c r="E346">
        <v>0.49177425000000002</v>
      </c>
      <c r="F346">
        <v>0.194933</v>
      </c>
      <c r="G346">
        <v>18.409459999999999</v>
      </c>
      <c r="H346">
        <v>36</v>
      </c>
      <c r="I346">
        <v>-28</v>
      </c>
      <c r="J346">
        <v>1.17</v>
      </c>
      <c r="K346">
        <v>5.5799589999999997</v>
      </c>
      <c r="L346">
        <v>1.8436048493834529</v>
      </c>
      <c r="M346">
        <v>2.2742700155938498</v>
      </c>
      <c r="N346">
        <v>-1.503390773740428</v>
      </c>
      <c r="O346">
        <v>-0.97510100781712727</v>
      </c>
    </row>
    <row r="347" spans="1:15" x14ac:dyDescent="0.25">
      <c r="A347">
        <v>10.562372</v>
      </c>
      <c r="B347">
        <v>16.739027</v>
      </c>
      <c r="C347">
        <v>-9.1108060000000002</v>
      </c>
      <c r="D347">
        <v>-10.402208999999999</v>
      </c>
      <c r="E347">
        <v>2.145861</v>
      </c>
      <c r="F347">
        <v>0.194933</v>
      </c>
      <c r="G347">
        <v>18.809666</v>
      </c>
      <c r="H347">
        <v>36</v>
      </c>
      <c r="I347">
        <v>-24</v>
      </c>
      <c r="J347">
        <v>1.165</v>
      </c>
      <c r="K347">
        <v>5.6530449999999997</v>
      </c>
      <c r="L347">
        <v>1.652971329758578</v>
      </c>
      <c r="M347">
        <v>2.280394434241273</v>
      </c>
      <c r="N347">
        <v>-1.40011904370242</v>
      </c>
      <c r="O347">
        <v>-0.83607996818900165</v>
      </c>
    </row>
    <row r="348" spans="1:15" x14ac:dyDescent="0.25">
      <c r="A348">
        <v>10.154821249999999</v>
      </c>
      <c r="B348">
        <v>17.893439999999998</v>
      </c>
      <c r="C348">
        <v>-7.1262734999999999</v>
      </c>
      <c r="D348">
        <v>-9.4406610000000004</v>
      </c>
      <c r="E348">
        <v>3.6211247499999999</v>
      </c>
      <c r="F348">
        <v>0.194933</v>
      </c>
      <c r="G348">
        <v>19.209869000000001</v>
      </c>
      <c r="H348">
        <v>36</v>
      </c>
      <c r="I348">
        <v>-20</v>
      </c>
      <c r="J348">
        <v>1.17</v>
      </c>
      <c r="K348">
        <v>5.7012419999999997</v>
      </c>
      <c r="L348">
        <v>1.4516445002975951</v>
      </c>
      <c r="M348">
        <v>2.296162025399318</v>
      </c>
      <c r="N348">
        <v>-1.309538120929238</v>
      </c>
      <c r="O348">
        <v>-0.71221564236671253</v>
      </c>
    </row>
    <row r="349" spans="1:15" x14ac:dyDescent="0.25">
      <c r="A349">
        <v>9.3887730000000005</v>
      </c>
      <c r="B349">
        <v>18.855453000000001</v>
      </c>
      <c r="C349">
        <v>-5.1417419999999998</v>
      </c>
      <c r="D349">
        <v>-9.0035929999999986</v>
      </c>
      <c r="E349">
        <v>4.9175694999999999</v>
      </c>
      <c r="F349">
        <v>0.194933</v>
      </c>
      <c r="G349">
        <v>19.6500965</v>
      </c>
      <c r="H349">
        <v>36</v>
      </c>
      <c r="I349">
        <v>-16</v>
      </c>
      <c r="J349">
        <v>1.17</v>
      </c>
      <c r="K349">
        <v>5.7668524999999997</v>
      </c>
      <c r="L349">
        <v>1.2118625807129819</v>
      </c>
      <c r="M349">
        <v>2.323477880185461</v>
      </c>
      <c r="N349">
        <v>-1.2287107852096291</v>
      </c>
      <c r="O349">
        <v>-0.60612688189549224</v>
      </c>
    </row>
    <row r="350" spans="1:15" x14ac:dyDescent="0.25">
      <c r="A350">
        <v>8.4403185000000001</v>
      </c>
      <c r="B350">
        <v>19.432659000000001</v>
      </c>
      <c r="C350">
        <v>-3.0670039999999998</v>
      </c>
      <c r="D350">
        <v>-8.5665252499999998</v>
      </c>
      <c r="E350">
        <v>5.9010800000000003</v>
      </c>
      <c r="F350">
        <v>0.194933</v>
      </c>
      <c r="G350">
        <v>19.850199</v>
      </c>
      <c r="H350">
        <v>36</v>
      </c>
      <c r="I350">
        <v>-12</v>
      </c>
      <c r="J350">
        <v>1.17</v>
      </c>
      <c r="K350">
        <v>5.7964419999999999</v>
      </c>
      <c r="L350">
        <v>0.98208815271519723</v>
      </c>
      <c r="M350">
        <v>2.389609795244481</v>
      </c>
      <c r="N350">
        <v>-1.1905535810563701</v>
      </c>
      <c r="O350">
        <v>-0.51298187757348224</v>
      </c>
    </row>
    <row r="351" spans="1:15" x14ac:dyDescent="0.25">
      <c r="A351">
        <v>7.0411207500000002</v>
      </c>
      <c r="B351">
        <v>20.154171250000001</v>
      </c>
      <c r="C351">
        <v>-1.037369</v>
      </c>
      <c r="D351">
        <v>-8.5228184999999996</v>
      </c>
      <c r="E351">
        <v>6.5716547500000004</v>
      </c>
      <c r="F351">
        <v>0.194933</v>
      </c>
      <c r="G351">
        <v>20.130341749999999</v>
      </c>
      <c r="H351">
        <v>36</v>
      </c>
      <c r="I351">
        <v>-8</v>
      </c>
      <c r="J351">
        <v>1.17</v>
      </c>
      <c r="K351">
        <v>5.8375954999999999</v>
      </c>
      <c r="L351">
        <v>0.71166477023962049</v>
      </c>
      <c r="M351">
        <v>2.526376782086686</v>
      </c>
      <c r="N351">
        <v>-1.194546381972019</v>
      </c>
      <c r="O351">
        <v>-0.43825734294874802</v>
      </c>
    </row>
    <row r="352" spans="1:15" x14ac:dyDescent="0.25">
      <c r="A352">
        <v>5.5065090000000003</v>
      </c>
      <c r="B352">
        <v>20.587076</v>
      </c>
      <c r="C352">
        <v>0.81289549999999999</v>
      </c>
      <c r="D352">
        <v>-8.5665252499999998</v>
      </c>
      <c r="E352">
        <v>6.8845884999999996</v>
      </c>
      <c r="F352">
        <v>0.194933</v>
      </c>
      <c r="G352">
        <v>20.490525999999999</v>
      </c>
      <c r="H352">
        <v>36</v>
      </c>
      <c r="I352">
        <v>-4</v>
      </c>
      <c r="J352">
        <v>1.17</v>
      </c>
      <c r="K352">
        <v>5.890104</v>
      </c>
      <c r="L352">
        <v>0.43619410118135721</v>
      </c>
      <c r="M352">
        <v>2.709101274342526</v>
      </c>
      <c r="N352">
        <v>-1.264348709600986</v>
      </c>
      <c r="O352">
        <v>-0.37835604406356638</v>
      </c>
    </row>
    <row r="353" spans="1:15" x14ac:dyDescent="0.25">
      <c r="A353">
        <v>3.5656967499999999</v>
      </c>
      <c r="B353">
        <v>20.779478000000001</v>
      </c>
      <c r="C353">
        <v>2.4840517499999999</v>
      </c>
      <c r="D353">
        <v>-8.7413530000000002</v>
      </c>
      <c r="E353">
        <v>7.0634095000000006</v>
      </c>
      <c r="F353">
        <v>0.194933</v>
      </c>
      <c r="G353">
        <v>20.65061</v>
      </c>
      <c r="H353">
        <v>36</v>
      </c>
      <c r="I353">
        <v>0</v>
      </c>
      <c r="J353">
        <v>1.1675</v>
      </c>
      <c r="K353">
        <v>5.9196462500000004</v>
      </c>
      <c r="L353">
        <v>0.1060887744084741</v>
      </c>
      <c r="M353">
        <v>2.8964592197877441</v>
      </c>
      <c r="N353">
        <v>-1.3331169534704621</v>
      </c>
      <c r="O353">
        <v>-0.32606854767746568</v>
      </c>
    </row>
    <row r="354" spans="1:15" x14ac:dyDescent="0.25">
      <c r="A354">
        <v>1.4442232500000001</v>
      </c>
      <c r="B354">
        <v>21.019981000000001</v>
      </c>
      <c r="C354">
        <v>4.2452164999999997</v>
      </c>
      <c r="D354">
        <v>-9.3095400000000001</v>
      </c>
      <c r="E354">
        <v>6.8845884999999996</v>
      </c>
      <c r="F354">
        <v>0.194933</v>
      </c>
      <c r="G354">
        <v>20.970773999999999</v>
      </c>
      <c r="H354">
        <v>36</v>
      </c>
      <c r="I354">
        <v>4</v>
      </c>
      <c r="J354">
        <v>1.1599999999999999</v>
      </c>
      <c r="K354">
        <v>5.9850159999999999</v>
      </c>
      <c r="L354">
        <v>-0.25889804088449708</v>
      </c>
      <c r="M354">
        <v>2.8038569442635559</v>
      </c>
      <c r="N354">
        <v>-1.302240952093918</v>
      </c>
      <c r="O354">
        <v>-0.38152992492047932</v>
      </c>
    </row>
    <row r="355" spans="1:15" x14ac:dyDescent="0.25">
      <c r="A355">
        <v>-0.85606000000000004</v>
      </c>
      <c r="B355">
        <v>20.6351765</v>
      </c>
      <c r="C355">
        <v>5.780729</v>
      </c>
      <c r="D355">
        <v>-9.396953250000001</v>
      </c>
      <c r="E355">
        <v>6.3034239999999997</v>
      </c>
      <c r="F355">
        <v>0.194933</v>
      </c>
      <c r="G355">
        <v>20.65061</v>
      </c>
      <c r="H355">
        <v>36</v>
      </c>
      <c r="I355">
        <v>8</v>
      </c>
      <c r="J355">
        <v>1.1675</v>
      </c>
      <c r="K355">
        <v>5.9196462500000004</v>
      </c>
      <c r="L355">
        <v>-0.5806674154720175</v>
      </c>
      <c r="M355">
        <v>2.6274857179882929</v>
      </c>
      <c r="N355">
        <v>-1.255266653817936</v>
      </c>
      <c r="O355">
        <v>-0.46555541122203847</v>
      </c>
    </row>
    <row r="356" spans="1:15" x14ac:dyDescent="0.25">
      <c r="A356">
        <v>-3.1989622500000001</v>
      </c>
      <c r="B356">
        <v>19.769366000000002</v>
      </c>
      <c r="C356">
        <v>6.8655280000000003</v>
      </c>
      <c r="D356">
        <v>-9.3532469999999996</v>
      </c>
      <c r="E356">
        <v>5.2752100000000004</v>
      </c>
      <c r="F356">
        <v>0.194933</v>
      </c>
      <c r="G356">
        <v>19.930240000000001</v>
      </c>
      <c r="H356">
        <v>36</v>
      </c>
      <c r="I356">
        <v>12</v>
      </c>
      <c r="J356">
        <v>1.17</v>
      </c>
      <c r="K356">
        <v>5.8082205</v>
      </c>
      <c r="L356">
        <v>-0.87128785258527797</v>
      </c>
      <c r="M356">
        <v>2.521220233641281</v>
      </c>
      <c r="N356">
        <v>-1.2687329936395331</v>
      </c>
      <c r="O356">
        <v>-0.56020961058363605</v>
      </c>
    </row>
    <row r="357" spans="1:15" x14ac:dyDescent="0.25">
      <c r="A357">
        <v>-5.5869202500000004</v>
      </c>
      <c r="B357">
        <v>18.951654000000001</v>
      </c>
      <c r="C357">
        <v>7.8581865000000004</v>
      </c>
      <c r="D357">
        <v>-9.6154867500000005</v>
      </c>
      <c r="E357">
        <v>4.3364047499999998</v>
      </c>
      <c r="F357">
        <v>0.14620649999999999</v>
      </c>
      <c r="G357">
        <v>19.530035000000002</v>
      </c>
      <c r="H357">
        <v>36</v>
      </c>
      <c r="I357">
        <v>16</v>
      </c>
      <c r="J357">
        <v>1.1675</v>
      </c>
      <c r="K357">
        <v>5.7624475000000004</v>
      </c>
      <c r="L357">
        <v>-1.126296650474184</v>
      </c>
      <c r="M357">
        <v>2.3930436428247708</v>
      </c>
      <c r="N357">
        <v>-1.2727570260688379</v>
      </c>
      <c r="O357">
        <v>-0.64898893323252094</v>
      </c>
    </row>
    <row r="358" spans="1:15" x14ac:dyDescent="0.25">
      <c r="A358">
        <v>-7.6144315000000002</v>
      </c>
      <c r="B358">
        <v>17.797239000000001</v>
      </c>
      <c r="C358">
        <v>8.4464039999999994</v>
      </c>
      <c r="D358">
        <v>-9.8777280000000012</v>
      </c>
      <c r="E358">
        <v>2.9952549999999998</v>
      </c>
      <c r="F358">
        <v>0.14620649999999999</v>
      </c>
      <c r="G358">
        <v>18.889707999999999</v>
      </c>
      <c r="H358">
        <v>36</v>
      </c>
      <c r="I358">
        <v>20</v>
      </c>
      <c r="J358">
        <v>1.17</v>
      </c>
      <c r="K358">
        <v>5.6603899999999996</v>
      </c>
      <c r="L358">
        <v>-1.367893914368854</v>
      </c>
      <c r="M358">
        <v>2.357126434724512</v>
      </c>
      <c r="N358">
        <v>-1.3538171526906579</v>
      </c>
      <c r="O358">
        <v>-0.75733165705413741</v>
      </c>
    </row>
    <row r="359" spans="1:15" x14ac:dyDescent="0.25">
      <c r="A359">
        <v>-9.8672210000000007</v>
      </c>
      <c r="B359">
        <v>16.739027</v>
      </c>
      <c r="C359">
        <v>8.8071632500000003</v>
      </c>
      <c r="D359">
        <v>-10.839275000000001</v>
      </c>
      <c r="E359">
        <v>1.43058</v>
      </c>
      <c r="F359">
        <v>0.194933</v>
      </c>
      <c r="G359">
        <v>18.4494805</v>
      </c>
      <c r="H359">
        <v>36</v>
      </c>
      <c r="I359">
        <v>24</v>
      </c>
      <c r="J359">
        <v>1.17</v>
      </c>
      <c r="K359">
        <v>5.58607575</v>
      </c>
      <c r="L359">
        <v>-1.584749536753941</v>
      </c>
      <c r="M359">
        <v>2.34037746899173</v>
      </c>
      <c r="N359">
        <v>-1.4442684516045741</v>
      </c>
      <c r="O359">
        <v>-0.89513928745768234</v>
      </c>
    </row>
    <row r="360" spans="1:15" x14ac:dyDescent="0.25">
      <c r="A360">
        <v>-11.8046205</v>
      </c>
      <c r="B360">
        <v>15.680811500000001</v>
      </c>
      <c r="C360">
        <v>8.9884197500000003</v>
      </c>
      <c r="D360">
        <v>-12.106773</v>
      </c>
      <c r="E360">
        <v>-0.26760349999999999</v>
      </c>
      <c r="F360">
        <v>0.194933</v>
      </c>
      <c r="G360">
        <v>18.209357000000001</v>
      </c>
      <c r="H360">
        <v>36</v>
      </c>
      <c r="I360">
        <v>28</v>
      </c>
      <c r="J360">
        <v>1.17</v>
      </c>
      <c r="K360">
        <v>5.5492140000000001</v>
      </c>
      <c r="L360">
        <v>-1.7790053826080141</v>
      </c>
      <c r="M360">
        <v>2.3774297006491789</v>
      </c>
      <c r="N360">
        <v>-1.5808739404187679</v>
      </c>
      <c r="O360">
        <v>-1.0395883394638989</v>
      </c>
    </row>
    <row r="361" spans="1:15" x14ac:dyDescent="0.25">
      <c r="A361">
        <v>-13.651909</v>
      </c>
      <c r="B361">
        <v>14.478295749999999</v>
      </c>
      <c r="C361">
        <v>9.1233222500000011</v>
      </c>
      <c r="D361">
        <v>-13.505388</v>
      </c>
      <c r="E361">
        <v>-2.0070355000000002</v>
      </c>
      <c r="F361">
        <v>0.14620649999999999</v>
      </c>
      <c r="G361">
        <v>17.969234</v>
      </c>
      <c r="H361">
        <v>36</v>
      </c>
      <c r="I361">
        <v>32</v>
      </c>
      <c r="J361">
        <v>1.165</v>
      </c>
      <c r="K361">
        <v>5.5315159999999999</v>
      </c>
      <c r="L361">
        <v>-1.9683268750386551</v>
      </c>
      <c r="M361">
        <v>2.4183323228253411</v>
      </c>
      <c r="N361">
        <v>-1.726440911861199</v>
      </c>
      <c r="O361">
        <v>-1.1860946423604071</v>
      </c>
    </row>
    <row r="362" spans="1:15" x14ac:dyDescent="0.25">
      <c r="A362">
        <v>-16.084922500000001</v>
      </c>
      <c r="B362">
        <v>13.804888249999999</v>
      </c>
      <c r="C362">
        <v>9.3937000000000008</v>
      </c>
      <c r="D362">
        <v>-15.690727000000001</v>
      </c>
      <c r="E362">
        <v>-4.14787325</v>
      </c>
      <c r="F362">
        <v>0.194933</v>
      </c>
      <c r="G362">
        <v>18.529521500000001</v>
      </c>
      <c r="H362">
        <v>36</v>
      </c>
      <c r="I362">
        <v>36</v>
      </c>
      <c r="J362">
        <v>1.1599999999999999</v>
      </c>
      <c r="K362">
        <v>5.6223879999999999</v>
      </c>
      <c r="L362">
        <v>-2.170303323804474</v>
      </c>
      <c r="M362">
        <v>2.5125090440267899</v>
      </c>
      <c r="N362">
        <v>-1.9317549983783839</v>
      </c>
      <c r="O362">
        <v>-1.369929274818241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362"/>
  <sheetViews>
    <sheetView workbookViewId="0">
      <selection activeCell="Q14" sqref="Q1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8.8471109999999999</v>
      </c>
      <c r="B2">
        <v>-13.76643775</v>
      </c>
      <c r="C2">
        <v>-13.622003250000001</v>
      </c>
      <c r="D2">
        <v>12.488110750000001</v>
      </c>
      <c r="E2">
        <v>-1.6056284999999999</v>
      </c>
      <c r="F2">
        <v>9.7479999999999997E-2</v>
      </c>
      <c r="G2">
        <v>16.848660249999998</v>
      </c>
      <c r="H2">
        <v>-36</v>
      </c>
      <c r="I2">
        <v>-36</v>
      </c>
      <c r="J2">
        <v>1.17</v>
      </c>
      <c r="K2">
        <v>5.3511057500000003</v>
      </c>
      <c r="L2">
        <v>1.8587578589949301</v>
      </c>
      <c r="M2">
        <v>-2.1719489810443009</v>
      </c>
      <c r="N2">
        <v>-1.526700313962555</v>
      </c>
      <c r="O2">
        <v>-1.1409322316016091</v>
      </c>
    </row>
    <row r="3" spans="1:15" x14ac:dyDescent="0.25">
      <c r="A3">
        <v>9.0728027499999993</v>
      </c>
      <c r="B3">
        <v>-12.903037250000001</v>
      </c>
      <c r="C3">
        <v>-12.403325000000001</v>
      </c>
      <c r="D3">
        <v>13.97791975</v>
      </c>
      <c r="E3">
        <v>-0.133796</v>
      </c>
      <c r="F3">
        <v>9.7479999999999997E-2</v>
      </c>
      <c r="G3">
        <v>17.524915</v>
      </c>
      <c r="H3">
        <v>-36</v>
      </c>
      <c r="I3">
        <v>-32</v>
      </c>
      <c r="J3">
        <v>1.17</v>
      </c>
      <c r="K3">
        <v>5.4580304999999996</v>
      </c>
      <c r="L3">
        <v>1.715450974854523</v>
      </c>
      <c r="M3">
        <v>-2.1471477467382112</v>
      </c>
      <c r="N3">
        <v>-1.410539620562137</v>
      </c>
      <c r="O3">
        <v>-1.018484502125188</v>
      </c>
    </row>
    <row r="4" spans="1:15" x14ac:dyDescent="0.25">
      <c r="A4">
        <v>9.1179415000000006</v>
      </c>
      <c r="B4">
        <v>-11.9916705</v>
      </c>
      <c r="C4">
        <v>-10.86982225</v>
      </c>
      <c r="D4">
        <v>15.423912</v>
      </c>
      <c r="E4">
        <v>1.2964657500000001</v>
      </c>
      <c r="F4">
        <v>9.7479999999999997E-2</v>
      </c>
      <c r="G4">
        <v>17.80810675</v>
      </c>
      <c r="H4">
        <v>-36</v>
      </c>
      <c r="I4">
        <v>-28</v>
      </c>
      <c r="J4">
        <v>1.17</v>
      </c>
      <c r="K4">
        <v>5.5021865000000014</v>
      </c>
      <c r="L4">
        <v>1.570497621922978</v>
      </c>
      <c r="M4">
        <v>-2.1541520980488369</v>
      </c>
      <c r="N4">
        <v>-1.297417171799544</v>
      </c>
      <c r="O4">
        <v>-0.90576728219620839</v>
      </c>
    </row>
    <row r="5" spans="1:15" x14ac:dyDescent="0.25">
      <c r="A5">
        <v>8.8019722500000004</v>
      </c>
      <c r="B5">
        <v>-10.98436875</v>
      </c>
      <c r="C5">
        <v>-8.8852909999999987</v>
      </c>
      <c r="D5">
        <v>16.475543999999999</v>
      </c>
      <c r="E5">
        <v>2.5929104999999999</v>
      </c>
      <c r="F5">
        <v>0.14620649999999999</v>
      </c>
      <c r="G5">
        <v>18.007142999999999</v>
      </c>
      <c r="H5">
        <v>-36</v>
      </c>
      <c r="I5">
        <v>-24</v>
      </c>
      <c r="J5">
        <v>1.17</v>
      </c>
      <c r="K5">
        <v>5.5255207500000001</v>
      </c>
      <c r="L5">
        <v>1.411849852075765</v>
      </c>
      <c r="M5">
        <v>-2.1919999848921461</v>
      </c>
      <c r="N5">
        <v>-1.230458117816033</v>
      </c>
      <c r="O5">
        <v>-0.80472741336317744</v>
      </c>
    </row>
    <row r="6" spans="1:15" x14ac:dyDescent="0.25">
      <c r="A6">
        <v>8.2603107499999986</v>
      </c>
      <c r="B6">
        <v>-10.025035750000001</v>
      </c>
      <c r="C6">
        <v>-6.72034675</v>
      </c>
      <c r="D6">
        <v>17.527173999999999</v>
      </c>
      <c r="E6">
        <v>3.7105342499999998</v>
      </c>
      <c r="F6">
        <v>0.14620649999999999</v>
      </c>
      <c r="G6">
        <v>18.36621525</v>
      </c>
      <c r="H6">
        <v>-36</v>
      </c>
      <c r="I6">
        <v>-20</v>
      </c>
      <c r="J6">
        <v>1.17</v>
      </c>
      <c r="K6">
        <v>5.5807665000000002</v>
      </c>
      <c r="L6">
        <v>1.239800097674312</v>
      </c>
      <c r="M6">
        <v>-2.280437568149559</v>
      </c>
      <c r="N6">
        <v>-1.2130732060528899</v>
      </c>
      <c r="O6">
        <v>-0.70503137428730711</v>
      </c>
    </row>
    <row r="7" spans="1:15" x14ac:dyDescent="0.25">
      <c r="A7">
        <v>7.4026800000000001</v>
      </c>
      <c r="B7">
        <v>-9.7372362500000005</v>
      </c>
      <c r="C7">
        <v>-4.5554030000000001</v>
      </c>
      <c r="D7">
        <v>18.403534000000001</v>
      </c>
      <c r="E7">
        <v>4.6046347499999998</v>
      </c>
      <c r="F7">
        <v>4.8753499999999998E-2</v>
      </c>
      <c r="G7">
        <v>18.647396000000001</v>
      </c>
      <c r="H7">
        <v>-36</v>
      </c>
      <c r="I7">
        <v>-16</v>
      </c>
      <c r="J7">
        <v>1.17</v>
      </c>
      <c r="K7">
        <v>5.6384457499999998</v>
      </c>
      <c r="L7">
        <v>1.017627409030285</v>
      </c>
      <c r="M7">
        <v>-2.3947546247615028</v>
      </c>
      <c r="N7">
        <v>-1.1950367961501851</v>
      </c>
      <c r="O7">
        <v>-0.61229021075083168</v>
      </c>
    </row>
    <row r="8" spans="1:15" x14ac:dyDescent="0.25">
      <c r="A8">
        <v>6.2290805000000002</v>
      </c>
      <c r="B8">
        <v>-9.25756975</v>
      </c>
      <c r="C8">
        <v>-2.3002530000000001</v>
      </c>
      <c r="D8">
        <v>18.929348000000001</v>
      </c>
      <c r="E8">
        <v>5.3199149999999999</v>
      </c>
      <c r="F8">
        <v>4.8753499999999998E-2</v>
      </c>
      <c r="G8">
        <v>18.928616250000001</v>
      </c>
      <c r="H8">
        <v>-36</v>
      </c>
      <c r="I8">
        <v>-12</v>
      </c>
      <c r="J8">
        <v>1.17</v>
      </c>
      <c r="K8">
        <v>5.6809564999999997</v>
      </c>
      <c r="L8">
        <v>0.7684234906799583</v>
      </c>
      <c r="M8">
        <v>-2.539926743134616</v>
      </c>
      <c r="N8">
        <v>-1.226416374002085</v>
      </c>
      <c r="O8">
        <v>-0.52510128244998977</v>
      </c>
    </row>
    <row r="9" spans="1:15" x14ac:dyDescent="0.25">
      <c r="A9">
        <v>5.0103415</v>
      </c>
      <c r="B9">
        <v>-9.1136695000000003</v>
      </c>
      <c r="C9">
        <v>-0.22551499999999999</v>
      </c>
      <c r="D9">
        <v>19.455164</v>
      </c>
      <c r="E9">
        <v>5.9010800000000003</v>
      </c>
      <c r="F9">
        <v>9.7479999999999997E-2</v>
      </c>
      <c r="G9">
        <v>19.248759499999998</v>
      </c>
      <c r="H9">
        <v>-36</v>
      </c>
      <c r="I9">
        <v>-8</v>
      </c>
      <c r="J9">
        <v>1.17</v>
      </c>
      <c r="K9">
        <v>5.7216034999999996</v>
      </c>
      <c r="L9">
        <v>0.49530970180643757</v>
      </c>
      <c r="M9">
        <v>-2.7027345161739529</v>
      </c>
      <c r="N9">
        <v>-1.262800647492756</v>
      </c>
      <c r="O9">
        <v>-0.45092278831944532</v>
      </c>
    </row>
    <row r="10" spans="1:15" x14ac:dyDescent="0.25">
      <c r="A10">
        <v>3.5207730000000002</v>
      </c>
      <c r="B10">
        <v>-9.0657027499999998</v>
      </c>
      <c r="C10">
        <v>1.58108125</v>
      </c>
      <c r="D10">
        <v>19.980979999999999</v>
      </c>
      <c r="E10">
        <v>6.3034239999999997</v>
      </c>
      <c r="F10">
        <v>9.7479999999999997E-2</v>
      </c>
      <c r="G10">
        <v>19.4099735</v>
      </c>
      <c r="H10">
        <v>-36</v>
      </c>
      <c r="I10">
        <v>-4</v>
      </c>
      <c r="J10">
        <v>1.17</v>
      </c>
      <c r="K10">
        <v>5.7456652500000001</v>
      </c>
      <c r="L10">
        <v>0.1931352625131014</v>
      </c>
      <c r="M10">
        <v>-2.891556731492865</v>
      </c>
      <c r="N10">
        <v>-1.3047438431313481</v>
      </c>
      <c r="O10">
        <v>-0.38220050708389708</v>
      </c>
    </row>
    <row r="11" spans="1:15" x14ac:dyDescent="0.25">
      <c r="A11">
        <v>1.8055110000000001</v>
      </c>
      <c r="B11">
        <v>-8.9218030000000006</v>
      </c>
      <c r="C11">
        <v>3.6139100000000002</v>
      </c>
      <c r="D11">
        <v>20.15625</v>
      </c>
      <c r="E11">
        <v>6.6163600000000002</v>
      </c>
      <c r="F11">
        <v>0.194933</v>
      </c>
      <c r="G11">
        <v>19.767841499999999</v>
      </c>
      <c r="H11">
        <v>-36</v>
      </c>
      <c r="I11">
        <v>0</v>
      </c>
      <c r="J11">
        <v>1.1675</v>
      </c>
      <c r="K11">
        <v>5.7905065000000002</v>
      </c>
      <c r="L11">
        <v>-0.17774221109770499</v>
      </c>
      <c r="M11">
        <v>-2.857951728629867</v>
      </c>
      <c r="N11">
        <v>-1.292620379142303</v>
      </c>
      <c r="O11">
        <v>-0.36885685438749821</v>
      </c>
    </row>
    <row r="12" spans="1:15" x14ac:dyDescent="0.25">
      <c r="A12">
        <v>-0.225267</v>
      </c>
      <c r="B12">
        <v>-8.6340029999999999</v>
      </c>
      <c r="C12">
        <v>5.3305210000000001</v>
      </c>
      <c r="D12">
        <v>19.630436</v>
      </c>
      <c r="E12">
        <v>6.4375390000000001</v>
      </c>
      <c r="F12">
        <v>0.194933</v>
      </c>
      <c r="G12">
        <v>19.16984875</v>
      </c>
      <c r="H12">
        <v>-36</v>
      </c>
      <c r="I12">
        <v>4</v>
      </c>
      <c r="J12">
        <v>1.17</v>
      </c>
      <c r="K12">
        <v>5.6952297499999993</v>
      </c>
      <c r="L12">
        <v>-0.51117437961012668</v>
      </c>
      <c r="M12">
        <v>-2.6010152462863481</v>
      </c>
      <c r="N12">
        <v>-1.171725962646605</v>
      </c>
      <c r="O12">
        <v>-0.4255033500158219</v>
      </c>
    </row>
    <row r="13" spans="1:15" x14ac:dyDescent="0.25">
      <c r="A13">
        <v>-2.2075930000000001</v>
      </c>
      <c r="B13">
        <v>-8.3941692499999991</v>
      </c>
      <c r="C13">
        <v>6.5945074999999997</v>
      </c>
      <c r="D13">
        <v>18.885529999999999</v>
      </c>
      <c r="E13">
        <v>6.0799000000000003</v>
      </c>
      <c r="F13">
        <v>9.7479999999999997E-2</v>
      </c>
      <c r="G13">
        <v>18.647396000000001</v>
      </c>
      <c r="H13">
        <v>-36</v>
      </c>
      <c r="I13">
        <v>8</v>
      </c>
      <c r="J13">
        <v>1.17</v>
      </c>
      <c r="K13">
        <v>5.6310655000000001</v>
      </c>
      <c r="L13">
        <v>-0.77344415031126368</v>
      </c>
      <c r="M13">
        <v>-2.397010040431415</v>
      </c>
      <c r="N13">
        <v>-1.1043115680699731</v>
      </c>
      <c r="O13">
        <v>-0.47435750166128821</v>
      </c>
    </row>
    <row r="14" spans="1:15" x14ac:dyDescent="0.25">
      <c r="A14">
        <v>-4.2349744999999999</v>
      </c>
      <c r="B14">
        <v>-8.1543354999999984</v>
      </c>
      <c r="C14">
        <v>7.8602635000000003</v>
      </c>
      <c r="D14">
        <v>18.228259999999999</v>
      </c>
      <c r="E14">
        <v>5.5434390000000002</v>
      </c>
      <c r="F14">
        <v>0.14620649999999999</v>
      </c>
      <c r="G14">
        <v>18.248302750000001</v>
      </c>
      <c r="H14">
        <v>-36</v>
      </c>
      <c r="I14">
        <v>12</v>
      </c>
      <c r="J14">
        <v>1.17</v>
      </c>
      <c r="K14">
        <v>5.5626695000000002</v>
      </c>
      <c r="L14">
        <v>-1.030490946806355</v>
      </c>
      <c r="M14">
        <v>-2.2476814325567291</v>
      </c>
      <c r="N14">
        <v>-1.082376595680042</v>
      </c>
      <c r="O14">
        <v>-0.54019913817787202</v>
      </c>
    </row>
    <row r="15" spans="1:15" x14ac:dyDescent="0.25">
      <c r="A15">
        <v>-6.1726450000000002</v>
      </c>
      <c r="B15">
        <v>-8.3462025000000004</v>
      </c>
      <c r="C15">
        <v>8.6728217500000007</v>
      </c>
      <c r="D15">
        <v>17.527173999999999</v>
      </c>
      <c r="E15">
        <v>4.6046347499999998</v>
      </c>
      <c r="F15">
        <v>0.14620649999999999</v>
      </c>
      <c r="G15">
        <v>18.085072</v>
      </c>
      <c r="H15">
        <v>-36</v>
      </c>
      <c r="I15">
        <v>16</v>
      </c>
      <c r="J15">
        <v>1.17</v>
      </c>
      <c r="K15">
        <v>5.5375587499999996</v>
      </c>
      <c r="L15">
        <v>-1.2513319542291179</v>
      </c>
      <c r="M15">
        <v>-2.1809524613503402</v>
      </c>
      <c r="N15">
        <v>-1.136354098561712</v>
      </c>
      <c r="O15">
        <v>-0.62417828982502277</v>
      </c>
    </row>
    <row r="16" spans="1:15" x14ac:dyDescent="0.25">
      <c r="A16">
        <v>-7.9287732499999999</v>
      </c>
      <c r="B16">
        <v>-8.9218030000000006</v>
      </c>
      <c r="C16">
        <v>9.2154830000000008</v>
      </c>
      <c r="D16">
        <v>16.300270000000001</v>
      </c>
      <c r="E16">
        <v>3.3081895000000001</v>
      </c>
      <c r="F16">
        <v>9.7479999999999997E-2</v>
      </c>
      <c r="G16">
        <v>17.646995</v>
      </c>
      <c r="H16">
        <v>-36</v>
      </c>
      <c r="I16">
        <v>20</v>
      </c>
      <c r="J16">
        <v>1.17</v>
      </c>
      <c r="K16">
        <v>5.4771417500000004</v>
      </c>
      <c r="L16">
        <v>-1.4611302508955999</v>
      </c>
      <c r="M16">
        <v>-2.149610712648951</v>
      </c>
      <c r="N16">
        <v>-1.222094760008555</v>
      </c>
      <c r="O16">
        <v>-0.72638856366590177</v>
      </c>
    </row>
    <row r="17" spans="1:15" x14ac:dyDescent="0.25">
      <c r="A17">
        <v>-10.046135749999999</v>
      </c>
      <c r="B17">
        <v>-10.168936</v>
      </c>
      <c r="C17">
        <v>9.9376104999999999</v>
      </c>
      <c r="D17">
        <v>15.862092000000001</v>
      </c>
      <c r="E17">
        <v>2.145861</v>
      </c>
      <c r="F17">
        <v>4.8753499999999998E-2</v>
      </c>
      <c r="G17">
        <v>17.80810675</v>
      </c>
      <c r="H17">
        <v>-36</v>
      </c>
      <c r="I17">
        <v>24</v>
      </c>
      <c r="J17">
        <v>1.17</v>
      </c>
      <c r="K17">
        <v>5.5097637500000003</v>
      </c>
      <c r="L17">
        <v>-1.6308702618337509</v>
      </c>
      <c r="M17">
        <v>-2.1244280273954019</v>
      </c>
      <c r="N17">
        <v>-1.2782034565333751</v>
      </c>
      <c r="O17">
        <v>-0.82884568297242156</v>
      </c>
    </row>
    <row r="18" spans="1:15" x14ac:dyDescent="0.25">
      <c r="A18">
        <v>-12.390346750000001</v>
      </c>
      <c r="B18">
        <v>-12.27947</v>
      </c>
      <c r="C18">
        <v>10.661049</v>
      </c>
      <c r="D18">
        <v>15.380094250000001</v>
      </c>
      <c r="E18">
        <v>0.2682505</v>
      </c>
      <c r="F18">
        <v>0.194933</v>
      </c>
      <c r="G18">
        <v>18.246172250000001</v>
      </c>
      <c r="H18">
        <v>-36</v>
      </c>
      <c r="I18">
        <v>28</v>
      </c>
      <c r="J18">
        <v>1.17</v>
      </c>
      <c r="K18">
        <v>5.5548649999999986</v>
      </c>
      <c r="L18">
        <v>-1.829086626721601</v>
      </c>
      <c r="M18">
        <v>-2.1947104837010531</v>
      </c>
      <c r="N18">
        <v>-1.426548757664972</v>
      </c>
      <c r="O18">
        <v>-0.99422001223014378</v>
      </c>
    </row>
    <row r="19" spans="1:15" x14ac:dyDescent="0.25">
      <c r="A19">
        <v>-14.6431375</v>
      </c>
      <c r="B19">
        <v>-14.43797075</v>
      </c>
      <c r="C19">
        <v>11.022441000000001</v>
      </c>
      <c r="D19">
        <v>14.372282</v>
      </c>
      <c r="E19">
        <v>-1.917834</v>
      </c>
      <c r="F19">
        <v>2.6999999999999999E-5</v>
      </c>
      <c r="G19">
        <v>18.448396750000001</v>
      </c>
      <c r="H19">
        <v>-36</v>
      </c>
      <c r="I19">
        <v>32</v>
      </c>
      <c r="J19">
        <v>1.17</v>
      </c>
      <c r="K19">
        <v>5.6156540000000001</v>
      </c>
      <c r="L19">
        <v>-2.0333634904219098</v>
      </c>
      <c r="M19">
        <v>-2.282502845963529</v>
      </c>
      <c r="N19">
        <v>-1.6135890144635761</v>
      </c>
      <c r="O19">
        <v>-1.151969594395748</v>
      </c>
    </row>
    <row r="20" spans="1:15" x14ac:dyDescent="0.25">
      <c r="A20">
        <v>-16.80581475</v>
      </c>
      <c r="B20">
        <v>-16.692403500000001</v>
      </c>
      <c r="C20">
        <v>11.338659</v>
      </c>
      <c r="D20">
        <v>13.364469</v>
      </c>
      <c r="E20">
        <v>-4.3708795</v>
      </c>
      <c r="F20">
        <v>0.14620649999999999</v>
      </c>
      <c r="G20">
        <v>18.928616250000001</v>
      </c>
      <c r="H20">
        <v>-36</v>
      </c>
      <c r="I20">
        <v>36</v>
      </c>
      <c r="J20">
        <v>1.17</v>
      </c>
      <c r="K20">
        <v>5.6662604999999999</v>
      </c>
      <c r="L20">
        <v>-2.2737800864624909</v>
      </c>
      <c r="M20">
        <v>-2.428316912816832</v>
      </c>
      <c r="N20">
        <v>-1.8823898755344499</v>
      </c>
      <c r="O20">
        <v>-1.3648673857390869</v>
      </c>
    </row>
    <row r="21" spans="1:15" x14ac:dyDescent="0.25">
      <c r="A21">
        <v>12.277633</v>
      </c>
      <c r="B21">
        <v>-15.205438750000001</v>
      </c>
      <c r="C21">
        <v>-14.83888675</v>
      </c>
      <c r="D21">
        <v>13.846465</v>
      </c>
      <c r="E21">
        <v>0.178841</v>
      </c>
      <c r="F21">
        <v>2.6999999999999999E-5</v>
      </c>
      <c r="G21">
        <v>19.208748499999999</v>
      </c>
      <c r="H21">
        <v>-32</v>
      </c>
      <c r="I21">
        <v>-36</v>
      </c>
      <c r="J21">
        <v>1.17</v>
      </c>
      <c r="K21">
        <v>5.7302200000000001</v>
      </c>
      <c r="L21">
        <v>1.7838719844441011</v>
      </c>
      <c r="M21">
        <v>-1.9111909436213601</v>
      </c>
      <c r="N21">
        <v>-1.2518968950295479</v>
      </c>
      <c r="O21">
        <v>-0.98823658740823328</v>
      </c>
    </row>
    <row r="22" spans="1:15" x14ac:dyDescent="0.25">
      <c r="A22">
        <v>12.4130485</v>
      </c>
      <c r="B22">
        <v>-13.286769749999999</v>
      </c>
      <c r="C22">
        <v>-12.62966625</v>
      </c>
      <c r="D22">
        <v>15.248640999999999</v>
      </c>
      <c r="E22">
        <v>2.2352704999999999</v>
      </c>
      <c r="F22">
        <v>4.8753499999999998E-2</v>
      </c>
      <c r="G22">
        <v>19.408833749999999</v>
      </c>
      <c r="H22">
        <v>-32</v>
      </c>
      <c r="I22">
        <v>-32</v>
      </c>
      <c r="J22">
        <v>1.17</v>
      </c>
      <c r="K22">
        <v>5.7527225</v>
      </c>
      <c r="L22">
        <v>1.648282637659122</v>
      </c>
      <c r="M22">
        <v>-1.8782143506008311</v>
      </c>
      <c r="N22">
        <v>-1.130369300071256</v>
      </c>
      <c r="O22">
        <v>-0.85611296121664537</v>
      </c>
    </row>
    <row r="23" spans="1:15" x14ac:dyDescent="0.25">
      <c r="A23">
        <v>12.277633</v>
      </c>
      <c r="B23">
        <v>-11.416069500000001</v>
      </c>
      <c r="C23">
        <v>-10.238381</v>
      </c>
      <c r="D23">
        <v>16.9575405</v>
      </c>
      <c r="E23">
        <v>4.1575849999999992</v>
      </c>
      <c r="F23">
        <v>9.7479999999999997E-2</v>
      </c>
      <c r="G23">
        <v>19.80670375</v>
      </c>
      <c r="H23">
        <v>-32</v>
      </c>
      <c r="I23">
        <v>-28</v>
      </c>
      <c r="J23">
        <v>1.17</v>
      </c>
      <c r="K23">
        <v>5.8043810000000002</v>
      </c>
      <c r="L23">
        <v>1.5026039905420441</v>
      </c>
      <c r="M23">
        <v>-1.8934806004624249</v>
      </c>
      <c r="N23">
        <v>-1.044347992414097</v>
      </c>
      <c r="O23">
        <v>-0.7290633105801948</v>
      </c>
    </row>
    <row r="24" spans="1:15" x14ac:dyDescent="0.25">
      <c r="A24">
        <v>11.420003250000001</v>
      </c>
      <c r="B24">
        <v>-9.593337</v>
      </c>
      <c r="C24">
        <v>-7.4419950000000004</v>
      </c>
      <c r="D24">
        <v>17.527173999999999</v>
      </c>
      <c r="E24">
        <v>5.6775540000000007</v>
      </c>
      <c r="F24">
        <v>0.14620649999999999</v>
      </c>
      <c r="G24">
        <v>19.287649999999999</v>
      </c>
      <c r="H24">
        <v>-32</v>
      </c>
      <c r="I24">
        <v>-24</v>
      </c>
      <c r="J24">
        <v>1.17</v>
      </c>
      <c r="K24">
        <v>5.72016525</v>
      </c>
      <c r="L24">
        <v>1.3287899912326471</v>
      </c>
      <c r="M24">
        <v>-1.9106291064079359</v>
      </c>
      <c r="N24">
        <v>-0.95883474731548879</v>
      </c>
      <c r="O24">
        <v>-0.61035929789432886</v>
      </c>
    </row>
    <row r="25" spans="1:15" x14ac:dyDescent="0.25">
      <c r="A25">
        <v>10.472094999999999</v>
      </c>
      <c r="B25">
        <v>-8.1543354999999984</v>
      </c>
      <c r="C25">
        <v>-4.871124</v>
      </c>
      <c r="D25">
        <v>17.8338985</v>
      </c>
      <c r="E25">
        <v>6.7504735</v>
      </c>
      <c r="F25">
        <v>0.14620649999999999</v>
      </c>
      <c r="G25">
        <v>18.728530500000002</v>
      </c>
      <c r="H25">
        <v>-32</v>
      </c>
      <c r="I25">
        <v>-20</v>
      </c>
      <c r="J25">
        <v>1.17</v>
      </c>
      <c r="K25">
        <v>5.6359994999999996</v>
      </c>
      <c r="L25">
        <v>1.156832879462089</v>
      </c>
      <c r="M25">
        <v>-1.9594903742221019</v>
      </c>
      <c r="N25">
        <v>-0.90316826934312244</v>
      </c>
      <c r="O25">
        <v>-0.50208561578958322</v>
      </c>
    </row>
    <row r="26" spans="1:15" x14ac:dyDescent="0.25">
      <c r="A26">
        <v>9.2082189999999997</v>
      </c>
      <c r="B26">
        <v>-7.2429682500000014</v>
      </c>
      <c r="C26">
        <v>-2.7061799999999998</v>
      </c>
      <c r="D26">
        <v>17.877715999999999</v>
      </c>
      <c r="E26">
        <v>7.4210495000000014</v>
      </c>
      <c r="F26">
        <v>9.7479999999999997E-2</v>
      </c>
      <c r="G26">
        <v>18.248302750000001</v>
      </c>
      <c r="H26">
        <v>-32</v>
      </c>
      <c r="I26">
        <v>-16</v>
      </c>
      <c r="J26">
        <v>1.17</v>
      </c>
      <c r="K26">
        <v>5.5701792499999998</v>
      </c>
      <c r="L26">
        <v>0.96121336422004866</v>
      </c>
      <c r="M26">
        <v>-2.0266601844343679</v>
      </c>
      <c r="N26">
        <v>-0.87354560334460807</v>
      </c>
      <c r="O26">
        <v>-0.40912335121308402</v>
      </c>
    </row>
    <row r="27" spans="1:15" x14ac:dyDescent="0.25">
      <c r="A27">
        <v>7.9443419999999998</v>
      </c>
      <c r="B27">
        <v>-6.2836352499999997</v>
      </c>
      <c r="C27">
        <v>-0.27061800000000003</v>
      </c>
      <c r="D27">
        <v>17.702445999999998</v>
      </c>
      <c r="E27">
        <v>8.1810340000000004</v>
      </c>
      <c r="F27">
        <v>4.8753499999999998E-2</v>
      </c>
      <c r="G27">
        <v>17.847080500000001</v>
      </c>
      <c r="H27">
        <v>-32</v>
      </c>
      <c r="I27">
        <v>-12</v>
      </c>
      <c r="J27">
        <v>1.17</v>
      </c>
      <c r="K27">
        <v>5.5158277499999997</v>
      </c>
      <c r="L27">
        <v>0.71690499976858224</v>
      </c>
      <c r="M27">
        <v>-2.0933675619150409</v>
      </c>
      <c r="N27">
        <v>-0.84360938212461867</v>
      </c>
      <c r="O27">
        <v>-0.29017845942616338</v>
      </c>
    </row>
    <row r="28" spans="1:15" x14ac:dyDescent="0.25">
      <c r="A28">
        <v>6.6804649999999999</v>
      </c>
      <c r="B28">
        <v>-5.7560019999999996</v>
      </c>
      <c r="C28">
        <v>1.44556</v>
      </c>
      <c r="D28">
        <v>17.702445999999998</v>
      </c>
      <c r="E28">
        <v>8.4939685000000011</v>
      </c>
      <c r="F28">
        <v>9.7479999999999997E-2</v>
      </c>
      <c r="G28">
        <v>17.687015500000001</v>
      </c>
      <c r="H28">
        <v>-32</v>
      </c>
      <c r="I28">
        <v>-8</v>
      </c>
      <c r="J28">
        <v>1.17</v>
      </c>
      <c r="K28">
        <v>5.4833569999999998</v>
      </c>
      <c r="L28">
        <v>0.49161244056835829</v>
      </c>
      <c r="M28">
        <v>-2.2029941084367199</v>
      </c>
      <c r="N28">
        <v>-0.86339395119864837</v>
      </c>
      <c r="O28">
        <v>-0.2115522318897442</v>
      </c>
    </row>
    <row r="29" spans="1:15" x14ac:dyDescent="0.25">
      <c r="A29">
        <v>5.0554800000000002</v>
      </c>
      <c r="B29">
        <v>-5.2763344999999999</v>
      </c>
      <c r="C29">
        <v>3.2525179999999998</v>
      </c>
      <c r="D29">
        <v>17.351901999999999</v>
      </c>
      <c r="E29">
        <v>8.4939685000000011</v>
      </c>
      <c r="F29">
        <v>9.7479999999999997E-2</v>
      </c>
      <c r="G29">
        <v>17.246836500000001</v>
      </c>
      <c r="H29">
        <v>-32</v>
      </c>
      <c r="I29">
        <v>-4</v>
      </c>
      <c r="J29">
        <v>1.17</v>
      </c>
      <c r="K29">
        <v>5.4143024999999998</v>
      </c>
      <c r="L29">
        <v>0.18967174905638229</v>
      </c>
      <c r="M29">
        <v>-2.3805363194186131</v>
      </c>
      <c r="N29">
        <v>-0.92089756734950168</v>
      </c>
      <c r="O29">
        <v>-0.1167297336370236</v>
      </c>
    </row>
    <row r="30" spans="1:15" x14ac:dyDescent="0.25">
      <c r="A30">
        <v>3.6110500000000001</v>
      </c>
      <c r="B30">
        <v>-4.9405682500000001</v>
      </c>
      <c r="C30">
        <v>4.7884329999999986</v>
      </c>
      <c r="D30">
        <v>17.088994</v>
      </c>
      <c r="E30">
        <v>8.5386732500000004</v>
      </c>
      <c r="F30">
        <v>0.194933</v>
      </c>
      <c r="G30">
        <v>17.085781749999999</v>
      </c>
      <c r="H30">
        <v>-32</v>
      </c>
      <c r="I30">
        <v>0</v>
      </c>
      <c r="J30">
        <v>1.17</v>
      </c>
      <c r="K30">
        <v>5.3733722500000001</v>
      </c>
      <c r="L30">
        <v>-0.127914701118444</v>
      </c>
      <c r="M30">
        <v>-2.3936964672310421</v>
      </c>
      <c r="N30">
        <v>-0.92875585509663194</v>
      </c>
      <c r="O30">
        <v>-9.3408553162874733E-2</v>
      </c>
    </row>
    <row r="31" spans="1:15" x14ac:dyDescent="0.25">
      <c r="A31">
        <v>1.8957885000000001</v>
      </c>
      <c r="B31">
        <v>-5.0365015</v>
      </c>
      <c r="C31">
        <v>6.4146959999999993</v>
      </c>
      <c r="D31">
        <v>17.395720000000001</v>
      </c>
      <c r="E31">
        <v>8.6727880000000006</v>
      </c>
      <c r="F31">
        <v>9.7479999999999997E-2</v>
      </c>
      <c r="G31">
        <v>17.366889</v>
      </c>
      <c r="H31">
        <v>-32</v>
      </c>
      <c r="I31">
        <v>4</v>
      </c>
      <c r="J31">
        <v>1.17</v>
      </c>
      <c r="K31">
        <v>5.4332287499999996</v>
      </c>
      <c r="L31">
        <v>-0.44120897249946017</v>
      </c>
      <c r="M31">
        <v>-2.1899856703326619</v>
      </c>
      <c r="N31">
        <v>-0.84881790321329431</v>
      </c>
      <c r="O31">
        <v>-0.16285188968892689</v>
      </c>
    </row>
    <row r="32" spans="1:15" x14ac:dyDescent="0.25">
      <c r="A32">
        <v>0.13538875</v>
      </c>
      <c r="B32">
        <v>-5.2763344999999999</v>
      </c>
      <c r="C32">
        <v>7.9054372500000003</v>
      </c>
      <c r="D32">
        <v>17.702445999999998</v>
      </c>
      <c r="E32">
        <v>8.5386732500000004</v>
      </c>
      <c r="F32">
        <v>4.8753499999999998E-2</v>
      </c>
      <c r="G32">
        <v>17.764982</v>
      </c>
      <c r="H32">
        <v>-32</v>
      </c>
      <c r="I32">
        <v>8</v>
      </c>
      <c r="J32">
        <v>1.17</v>
      </c>
      <c r="K32">
        <v>5.5030884999999996</v>
      </c>
      <c r="L32">
        <v>-0.69943734965357929</v>
      </c>
      <c r="M32">
        <v>-2.0684635317416729</v>
      </c>
      <c r="N32">
        <v>-0.83053233966181361</v>
      </c>
      <c r="O32">
        <v>-0.2357787129931859</v>
      </c>
    </row>
    <row r="33" spans="1:15" x14ac:dyDescent="0.25">
      <c r="A33">
        <v>-2.1173517500000001</v>
      </c>
      <c r="B33">
        <v>-5.6121017499999999</v>
      </c>
      <c r="C33">
        <v>9.3497700000000012</v>
      </c>
      <c r="D33">
        <v>17.702445999999998</v>
      </c>
      <c r="E33">
        <v>8.1810340000000004</v>
      </c>
      <c r="F33">
        <v>4.8753499999999998E-2</v>
      </c>
      <c r="G33">
        <v>17.967131999999999</v>
      </c>
      <c r="H33">
        <v>-32</v>
      </c>
      <c r="I33">
        <v>12</v>
      </c>
      <c r="J33">
        <v>1.17</v>
      </c>
      <c r="K33">
        <v>5.5343780000000002</v>
      </c>
      <c r="L33">
        <v>-0.95194417063237868</v>
      </c>
      <c r="M33">
        <v>-1.9357017264000349</v>
      </c>
      <c r="N33">
        <v>-0.81264698049811368</v>
      </c>
      <c r="O33">
        <v>-0.32485278955628027</v>
      </c>
    </row>
    <row r="34" spans="1:15" x14ac:dyDescent="0.25">
      <c r="A34">
        <v>-4.0547627500000001</v>
      </c>
      <c r="B34">
        <v>-5.9958355000000001</v>
      </c>
      <c r="C34">
        <v>10.661049</v>
      </c>
      <c r="D34">
        <v>17.702445999999998</v>
      </c>
      <c r="E34">
        <v>7.5551640000000004</v>
      </c>
      <c r="F34">
        <v>0.14620649999999999</v>
      </c>
      <c r="G34">
        <v>18.3272695</v>
      </c>
      <c r="H34">
        <v>-32</v>
      </c>
      <c r="I34">
        <v>16</v>
      </c>
      <c r="J34">
        <v>1.17</v>
      </c>
      <c r="K34">
        <v>5.5747875000000002</v>
      </c>
      <c r="L34">
        <v>-1.1697637641443279</v>
      </c>
      <c r="M34">
        <v>-1.883783161726839</v>
      </c>
      <c r="N34">
        <v>-0.85631629901902484</v>
      </c>
      <c r="O34">
        <v>-0.4110361363172309</v>
      </c>
    </row>
    <row r="35" spans="1:15" x14ac:dyDescent="0.25">
      <c r="A35">
        <v>-6.2168877499999997</v>
      </c>
      <c r="B35">
        <v>-6.9072009999999997</v>
      </c>
      <c r="C35">
        <v>11.65410775</v>
      </c>
      <c r="D35">
        <v>17.264265999999999</v>
      </c>
      <c r="E35">
        <v>6.4375390000000001</v>
      </c>
      <c r="F35">
        <v>0.194933</v>
      </c>
      <c r="G35">
        <v>18.489501000000001</v>
      </c>
      <c r="H35">
        <v>-32</v>
      </c>
      <c r="I35">
        <v>20</v>
      </c>
      <c r="J35">
        <v>1.17</v>
      </c>
      <c r="K35">
        <v>5.5921924999999986</v>
      </c>
      <c r="L35">
        <v>-1.3747523917339699</v>
      </c>
      <c r="M35">
        <v>-1.8594021757755239</v>
      </c>
      <c r="N35">
        <v>-0.92711503965376474</v>
      </c>
      <c r="O35">
        <v>-0.51977838073063609</v>
      </c>
    </row>
    <row r="36" spans="1:15" x14ac:dyDescent="0.25">
      <c r="A36">
        <v>-8.7858807500000005</v>
      </c>
      <c r="B36">
        <v>-8.8738362500000001</v>
      </c>
      <c r="C36">
        <v>12.512354500000001</v>
      </c>
      <c r="D36">
        <v>16.650815999999999</v>
      </c>
      <c r="E36">
        <v>4.5599295</v>
      </c>
      <c r="F36">
        <v>0.14620649999999999</v>
      </c>
      <c r="G36">
        <v>18.88749275</v>
      </c>
      <c r="H36">
        <v>-32</v>
      </c>
      <c r="I36">
        <v>24</v>
      </c>
      <c r="J36">
        <v>1.17</v>
      </c>
      <c r="K36">
        <v>5.66006125</v>
      </c>
      <c r="L36">
        <v>-1.590744524742461</v>
      </c>
      <c r="M36">
        <v>-1.9063375658088471</v>
      </c>
      <c r="N36">
        <v>-1.07007396322257</v>
      </c>
      <c r="O36">
        <v>-0.67033932336991009</v>
      </c>
    </row>
    <row r="37" spans="1:15" x14ac:dyDescent="0.25">
      <c r="A37">
        <v>-10.948559749999999</v>
      </c>
      <c r="B37">
        <v>-10.888435250000001</v>
      </c>
      <c r="C37">
        <v>13.234215750000001</v>
      </c>
      <c r="D37">
        <v>15.774456000000001</v>
      </c>
      <c r="E37">
        <v>2.6823199999999998</v>
      </c>
      <c r="F37">
        <v>0.194933</v>
      </c>
      <c r="G37">
        <v>19.287649999999999</v>
      </c>
      <c r="H37">
        <v>-32</v>
      </c>
      <c r="I37">
        <v>28</v>
      </c>
      <c r="J37">
        <v>1.17</v>
      </c>
      <c r="K37">
        <v>5.712879</v>
      </c>
      <c r="L37">
        <v>-1.778100837451597</v>
      </c>
      <c r="M37">
        <v>-1.9604216913363079</v>
      </c>
      <c r="N37">
        <v>-1.220930195906601</v>
      </c>
      <c r="O37">
        <v>-0.81710842967772901</v>
      </c>
    </row>
    <row r="38" spans="1:15" x14ac:dyDescent="0.25">
      <c r="A38">
        <v>-13.289717749999999</v>
      </c>
      <c r="B38">
        <v>-13.238803000000001</v>
      </c>
      <c r="C38">
        <v>13.461835499999999</v>
      </c>
      <c r="D38">
        <v>14.854279249999999</v>
      </c>
      <c r="E38">
        <v>0.22354574999999999</v>
      </c>
      <c r="F38">
        <v>0.14620649999999999</v>
      </c>
      <c r="G38">
        <v>19.4477145</v>
      </c>
      <c r="H38">
        <v>-32</v>
      </c>
      <c r="I38">
        <v>32</v>
      </c>
      <c r="J38">
        <v>1.17</v>
      </c>
      <c r="K38">
        <v>5.7440032499999996</v>
      </c>
      <c r="L38">
        <v>-1.983409935091238</v>
      </c>
      <c r="M38">
        <v>-2.0828838576818258</v>
      </c>
      <c r="N38">
        <v>-1.4253184185613039</v>
      </c>
      <c r="O38">
        <v>-0.99427676301999945</v>
      </c>
    </row>
    <row r="39" spans="1:15" x14ac:dyDescent="0.25">
      <c r="A39">
        <v>-15.63436525</v>
      </c>
      <c r="B39">
        <v>-15.781038000000001</v>
      </c>
      <c r="C39">
        <v>13.73288</v>
      </c>
      <c r="D39">
        <v>13.671194</v>
      </c>
      <c r="E39">
        <v>-2.4530427499999998</v>
      </c>
      <c r="F39">
        <v>0.194933</v>
      </c>
      <c r="G39">
        <v>19.728979249999998</v>
      </c>
      <c r="H39">
        <v>-32</v>
      </c>
      <c r="I39">
        <v>36</v>
      </c>
      <c r="J39">
        <v>1.17</v>
      </c>
      <c r="K39">
        <v>5.7785322499999996</v>
      </c>
      <c r="L39">
        <v>-2.2156895389294888</v>
      </c>
      <c r="M39">
        <v>-2.2221235346043469</v>
      </c>
      <c r="N39">
        <v>-1.6736279316870071</v>
      </c>
      <c r="O39">
        <v>-1.1997998201437019</v>
      </c>
    </row>
    <row r="40" spans="1:15" x14ac:dyDescent="0.25">
      <c r="A40">
        <v>13.9928945</v>
      </c>
      <c r="B40">
        <v>-12.998969750000001</v>
      </c>
      <c r="C40">
        <v>-12.403324749999999</v>
      </c>
      <c r="D40">
        <v>13.101561</v>
      </c>
      <c r="E40">
        <v>2.3693852500000001</v>
      </c>
      <c r="F40">
        <v>0.194933</v>
      </c>
      <c r="G40">
        <v>18.928616250000001</v>
      </c>
      <c r="H40">
        <v>-28</v>
      </c>
      <c r="I40">
        <v>-36</v>
      </c>
      <c r="J40">
        <v>1.17</v>
      </c>
      <c r="K40">
        <v>5.6589124999999996</v>
      </c>
      <c r="L40">
        <v>1.751575065775308</v>
      </c>
      <c r="M40">
        <v>-1.7319088271899761</v>
      </c>
      <c r="N40">
        <v>-1.098830789105907</v>
      </c>
      <c r="O40">
        <v>-0.85566554912846304</v>
      </c>
    </row>
    <row r="41" spans="1:15" x14ac:dyDescent="0.25">
      <c r="A41">
        <v>13.631786999999999</v>
      </c>
      <c r="B41">
        <v>-10.552670000000001</v>
      </c>
      <c r="C41">
        <v>-9.7879887500000002</v>
      </c>
      <c r="D41">
        <v>14.197011</v>
      </c>
      <c r="E41">
        <v>4.4705190000000004</v>
      </c>
      <c r="F41">
        <v>0.14620649999999999</v>
      </c>
      <c r="G41">
        <v>18.487333499999998</v>
      </c>
      <c r="H41">
        <v>-28</v>
      </c>
      <c r="I41">
        <v>-32</v>
      </c>
      <c r="J41">
        <v>1.17</v>
      </c>
      <c r="K41">
        <v>5.5993057500000001</v>
      </c>
      <c r="L41">
        <v>1.5996066127178119</v>
      </c>
      <c r="M41">
        <v>-1.6904659053522431</v>
      </c>
      <c r="N41">
        <v>-0.95737588427680553</v>
      </c>
      <c r="O41">
        <v>-0.70463360965357102</v>
      </c>
    </row>
    <row r="42" spans="1:15" x14ac:dyDescent="0.25">
      <c r="A42">
        <v>13.135264250000001</v>
      </c>
      <c r="B42">
        <v>-8.2023022499999989</v>
      </c>
      <c r="C42">
        <v>-7.1262734999999999</v>
      </c>
      <c r="D42">
        <v>15.073370000000001</v>
      </c>
      <c r="E42">
        <v>6.3481290000000001</v>
      </c>
      <c r="F42">
        <v>0.194933</v>
      </c>
      <c r="G42">
        <v>18.08822975</v>
      </c>
      <c r="H42">
        <v>-28</v>
      </c>
      <c r="I42">
        <v>-28</v>
      </c>
      <c r="J42">
        <v>1.17</v>
      </c>
      <c r="K42">
        <v>5.5305095</v>
      </c>
      <c r="L42">
        <v>1.445984671581718</v>
      </c>
      <c r="M42">
        <v>-1.661081223109991</v>
      </c>
      <c r="N42">
        <v>-0.83784979288802797</v>
      </c>
      <c r="O42">
        <v>-0.56088120007678255</v>
      </c>
    </row>
    <row r="43" spans="1:15" x14ac:dyDescent="0.25">
      <c r="A43">
        <v>12.277633</v>
      </c>
      <c r="B43">
        <v>-6.6673692500000001</v>
      </c>
      <c r="C43">
        <v>-4.8260209999999999</v>
      </c>
      <c r="D43">
        <v>15.599183999999999</v>
      </c>
      <c r="E43">
        <v>7.689279</v>
      </c>
      <c r="F43">
        <v>9.7479999999999997E-2</v>
      </c>
      <c r="G43">
        <v>17.80810675</v>
      </c>
      <c r="H43">
        <v>-28</v>
      </c>
      <c r="I43">
        <v>-24</v>
      </c>
      <c r="J43">
        <v>1.17</v>
      </c>
      <c r="K43">
        <v>5.5021865000000014</v>
      </c>
      <c r="L43">
        <v>1.272985623181633</v>
      </c>
      <c r="M43">
        <v>-1.6572567103042719</v>
      </c>
      <c r="N43">
        <v>-0.7531317357731544</v>
      </c>
      <c r="O43">
        <v>-0.43491897661384649</v>
      </c>
    </row>
    <row r="44" spans="1:15" x14ac:dyDescent="0.25">
      <c r="A44">
        <v>11.420003250000001</v>
      </c>
      <c r="B44">
        <v>-5.3243012500000004</v>
      </c>
      <c r="C44">
        <v>-2.615974</v>
      </c>
      <c r="D44">
        <v>16.125</v>
      </c>
      <c r="E44">
        <v>8.7621979999999997</v>
      </c>
      <c r="F44">
        <v>0.14620649999999999</v>
      </c>
      <c r="G44">
        <v>17.527979999999999</v>
      </c>
      <c r="H44">
        <v>-28</v>
      </c>
      <c r="I44">
        <v>-20</v>
      </c>
      <c r="J44">
        <v>1.17</v>
      </c>
      <c r="K44">
        <v>5.4508642500000004</v>
      </c>
      <c r="L44">
        <v>1.102370907056379</v>
      </c>
      <c r="M44">
        <v>-1.684659030485038</v>
      </c>
      <c r="N44">
        <v>-0.68850260464351831</v>
      </c>
      <c r="O44">
        <v>-0.3232382561657306</v>
      </c>
    </row>
    <row r="45" spans="1:15" x14ac:dyDescent="0.25">
      <c r="A45">
        <v>10.291541</v>
      </c>
      <c r="B45">
        <v>-4.3170009999999994</v>
      </c>
      <c r="C45">
        <v>-0.58633900000000005</v>
      </c>
      <c r="D45">
        <v>16.300270000000001</v>
      </c>
      <c r="E45">
        <v>9.4774790000000007</v>
      </c>
      <c r="F45">
        <v>4.8753499999999998E-2</v>
      </c>
      <c r="G45">
        <v>17.245836000000001</v>
      </c>
      <c r="H45">
        <v>-28</v>
      </c>
      <c r="I45">
        <v>-16</v>
      </c>
      <c r="J45">
        <v>1.17</v>
      </c>
      <c r="K45">
        <v>5.4218215000000001</v>
      </c>
      <c r="L45">
        <v>0.91187574888475875</v>
      </c>
      <c r="M45">
        <v>-1.7283353429662449</v>
      </c>
      <c r="N45">
        <v>-0.65121599883820347</v>
      </c>
      <c r="O45">
        <v>-0.20959713905443869</v>
      </c>
    </row>
    <row r="46" spans="1:15" x14ac:dyDescent="0.25">
      <c r="A46">
        <v>9.3887730000000005</v>
      </c>
      <c r="B46">
        <v>-3.8373349999999999</v>
      </c>
      <c r="C46">
        <v>1.084093</v>
      </c>
      <c r="D46">
        <v>17.001358</v>
      </c>
      <c r="E46">
        <v>10.371578</v>
      </c>
      <c r="F46">
        <v>0.194933</v>
      </c>
      <c r="G46">
        <v>17.525933500000001</v>
      </c>
      <c r="H46">
        <v>-28</v>
      </c>
      <c r="I46">
        <v>-12</v>
      </c>
      <c r="J46">
        <v>1.17</v>
      </c>
      <c r="K46">
        <v>5.4429302499999999</v>
      </c>
      <c r="L46">
        <v>0.70688962619169549</v>
      </c>
      <c r="M46">
        <v>-1.7737776658904869</v>
      </c>
      <c r="N46">
        <v>-0.60897463926537232</v>
      </c>
      <c r="O46">
        <v>-0.13376978034581649</v>
      </c>
    </row>
    <row r="47" spans="1:15" x14ac:dyDescent="0.25">
      <c r="A47">
        <v>8.4860030000000002</v>
      </c>
      <c r="B47">
        <v>-3.4056342499999999</v>
      </c>
      <c r="C47">
        <v>3.0718227499999999</v>
      </c>
      <c r="D47">
        <v>17.702445999999998</v>
      </c>
      <c r="E47">
        <v>11.176268</v>
      </c>
      <c r="F47">
        <v>9.7479999999999997E-2</v>
      </c>
      <c r="G47">
        <v>17.847080500000001</v>
      </c>
      <c r="H47">
        <v>-28</v>
      </c>
      <c r="I47">
        <v>-8</v>
      </c>
      <c r="J47">
        <v>1.17</v>
      </c>
      <c r="K47">
        <v>5.5082504999999999</v>
      </c>
      <c r="L47">
        <v>0.47729420114100041</v>
      </c>
      <c r="M47">
        <v>-1.8609179460503049</v>
      </c>
      <c r="N47">
        <v>-0.58808879041216278</v>
      </c>
      <c r="O47">
        <v>-2.3260155876103712E-2</v>
      </c>
    </row>
    <row r="48" spans="1:15" x14ac:dyDescent="0.25">
      <c r="A48">
        <v>7.0867105000000006</v>
      </c>
      <c r="B48">
        <v>-3.3097007500000002</v>
      </c>
      <c r="C48">
        <v>4.878781</v>
      </c>
      <c r="D48">
        <v>18.184442499999999</v>
      </c>
      <c r="E48">
        <v>11.57861325</v>
      </c>
      <c r="F48">
        <v>4.8753499999999998E-2</v>
      </c>
      <c r="G48">
        <v>18.048218500000001</v>
      </c>
      <c r="H48">
        <v>-28</v>
      </c>
      <c r="I48">
        <v>-4</v>
      </c>
      <c r="J48">
        <v>1.17</v>
      </c>
      <c r="K48">
        <v>5.5469030000000004</v>
      </c>
      <c r="L48">
        <v>0.20454438206819051</v>
      </c>
      <c r="M48">
        <v>-1.991346853755892</v>
      </c>
      <c r="N48">
        <v>-0.59940362207156717</v>
      </c>
      <c r="O48">
        <v>6.816240985980293E-2</v>
      </c>
    </row>
    <row r="49" spans="1:15" x14ac:dyDescent="0.25">
      <c r="A49">
        <v>5.6422805</v>
      </c>
      <c r="B49">
        <v>-3.0698669999999999</v>
      </c>
      <c r="C49">
        <v>6.8212619999999999</v>
      </c>
      <c r="D49">
        <v>18.534986499999999</v>
      </c>
      <c r="E49">
        <v>11.980959</v>
      </c>
      <c r="F49">
        <v>0.194933</v>
      </c>
      <c r="G49">
        <v>18.525195499999999</v>
      </c>
      <c r="H49">
        <v>-28</v>
      </c>
      <c r="I49">
        <v>0</v>
      </c>
      <c r="J49">
        <v>1.17</v>
      </c>
      <c r="K49">
        <v>5.5976490000000014</v>
      </c>
      <c r="L49">
        <v>-0.11022284981902471</v>
      </c>
      <c r="M49">
        <v>-2.0201717374912982</v>
      </c>
      <c r="N49">
        <v>-0.61192713463839032</v>
      </c>
      <c r="O49">
        <v>0.1020530310644274</v>
      </c>
    </row>
    <row r="50" spans="1:15" x14ac:dyDescent="0.25">
      <c r="A50">
        <v>3.8367425000000002</v>
      </c>
      <c r="B50">
        <v>-3.0698669999999999</v>
      </c>
      <c r="C50">
        <v>8.673394</v>
      </c>
      <c r="D50">
        <v>18.797893999999999</v>
      </c>
      <c r="E50">
        <v>12.11507325</v>
      </c>
      <c r="F50">
        <v>0.14620649999999999</v>
      </c>
      <c r="G50">
        <v>18.768542499999999</v>
      </c>
      <c r="H50">
        <v>-28</v>
      </c>
      <c r="I50">
        <v>4</v>
      </c>
      <c r="J50">
        <v>1.17</v>
      </c>
      <c r="K50">
        <v>5.64206275</v>
      </c>
      <c r="L50">
        <v>-0.41228341266696372</v>
      </c>
      <c r="M50">
        <v>-1.864081342526543</v>
      </c>
      <c r="N50">
        <v>-0.56717924135967168</v>
      </c>
      <c r="O50">
        <v>2.0265715735804709E-2</v>
      </c>
    </row>
    <row r="51" spans="1:15" x14ac:dyDescent="0.25">
      <c r="A51">
        <v>1.8957885000000001</v>
      </c>
      <c r="B51">
        <v>-3.2137672500000001</v>
      </c>
      <c r="C51">
        <v>10.254484</v>
      </c>
      <c r="D51">
        <v>18.841712000000001</v>
      </c>
      <c r="E51">
        <v>11.980959</v>
      </c>
      <c r="F51">
        <v>4.8753499999999998E-2</v>
      </c>
      <c r="G51">
        <v>18.968636249999999</v>
      </c>
      <c r="H51">
        <v>-28</v>
      </c>
      <c r="I51">
        <v>8</v>
      </c>
      <c r="J51">
        <v>1.17</v>
      </c>
      <c r="K51">
        <v>5.6869329999999998</v>
      </c>
      <c r="L51">
        <v>-0.6613335664018033</v>
      </c>
      <c r="M51">
        <v>-1.744932160150082</v>
      </c>
      <c r="N51">
        <v>-0.55281800663570735</v>
      </c>
      <c r="O51">
        <v>-5.5940606171859579E-2</v>
      </c>
    </row>
    <row r="52" spans="1:15" x14ac:dyDescent="0.25">
      <c r="A52">
        <v>-0.13517375000000001</v>
      </c>
      <c r="B52">
        <v>-3.50156775</v>
      </c>
      <c r="C52">
        <v>11.60970275</v>
      </c>
      <c r="D52">
        <v>18.797893999999999</v>
      </c>
      <c r="E52">
        <v>11.57861325</v>
      </c>
      <c r="F52">
        <v>9.7479999999999997E-2</v>
      </c>
      <c r="G52">
        <v>19.287649999999999</v>
      </c>
      <c r="H52">
        <v>-28</v>
      </c>
      <c r="I52">
        <v>12</v>
      </c>
      <c r="J52">
        <v>1.17</v>
      </c>
      <c r="K52">
        <v>5.7274219999999998</v>
      </c>
      <c r="L52">
        <v>-0.87668983937640799</v>
      </c>
      <c r="M52">
        <v>-1.664531011621331</v>
      </c>
      <c r="N52">
        <v>-0.57544743648432028</v>
      </c>
      <c r="O52">
        <v>-0.14303051199248559</v>
      </c>
    </row>
    <row r="53" spans="1:15" x14ac:dyDescent="0.25">
      <c r="A53">
        <v>-2.3427487500000002</v>
      </c>
      <c r="B53">
        <v>-3.9812352500000001</v>
      </c>
      <c r="C53">
        <v>13.010097</v>
      </c>
      <c r="D53">
        <v>18.578804000000002</v>
      </c>
      <c r="E53">
        <v>10.639808499999999</v>
      </c>
      <c r="F53">
        <v>9.7479999999999997E-2</v>
      </c>
      <c r="G53">
        <v>19.607777500000001</v>
      </c>
      <c r="H53">
        <v>-28</v>
      </c>
      <c r="I53">
        <v>16</v>
      </c>
      <c r="J53">
        <v>1.17</v>
      </c>
      <c r="K53">
        <v>5.7749689999999996</v>
      </c>
      <c r="L53">
        <v>-1.112411531622602</v>
      </c>
      <c r="M53">
        <v>-1.634623013828163</v>
      </c>
      <c r="N53">
        <v>-0.64984373467466638</v>
      </c>
      <c r="O53">
        <v>-0.23613841094977511</v>
      </c>
    </row>
    <row r="54" spans="1:15" x14ac:dyDescent="0.25">
      <c r="A54">
        <v>-4.4151740000000004</v>
      </c>
      <c r="B54">
        <v>-5.0844679999999993</v>
      </c>
      <c r="C54">
        <v>13.913575</v>
      </c>
      <c r="D54">
        <v>17.877715999999999</v>
      </c>
      <c r="E54">
        <v>9.2986579999999996</v>
      </c>
      <c r="F54">
        <v>0.14620649999999999</v>
      </c>
      <c r="G54">
        <v>19.727830000000001</v>
      </c>
      <c r="H54">
        <v>-28</v>
      </c>
      <c r="I54">
        <v>20</v>
      </c>
      <c r="J54">
        <v>1.17</v>
      </c>
      <c r="K54">
        <v>5.7855582500000002</v>
      </c>
      <c r="L54">
        <v>-1.3046932907175179</v>
      </c>
      <c r="M54">
        <v>-1.634522383893513</v>
      </c>
      <c r="N54">
        <v>-0.74242146714121304</v>
      </c>
      <c r="O54">
        <v>-0.34845803012844567</v>
      </c>
    </row>
    <row r="55" spans="1:15" x14ac:dyDescent="0.25">
      <c r="A55">
        <v>-6.6227675000000001</v>
      </c>
      <c r="B55">
        <v>-6.7153359999999997</v>
      </c>
      <c r="C55">
        <v>14.454712499999999</v>
      </c>
      <c r="D55">
        <v>16.650815999999999</v>
      </c>
      <c r="E55">
        <v>7.1528200000000002</v>
      </c>
      <c r="F55">
        <v>0.14620649999999999</v>
      </c>
      <c r="G55">
        <v>19.4477145</v>
      </c>
      <c r="H55">
        <v>-28</v>
      </c>
      <c r="I55">
        <v>24</v>
      </c>
      <c r="J55">
        <v>1.17</v>
      </c>
      <c r="K55">
        <v>5.7440032499999996</v>
      </c>
      <c r="L55">
        <v>-1.5249330760130171</v>
      </c>
      <c r="M55">
        <v>-1.6905335296996531</v>
      </c>
      <c r="N55">
        <v>-0.88952234719062107</v>
      </c>
      <c r="O55">
        <v>-0.49307960246767202</v>
      </c>
    </row>
    <row r="56" spans="1:15" x14ac:dyDescent="0.25">
      <c r="A56">
        <v>-8.5144387500000001</v>
      </c>
      <c r="B56">
        <v>-8.4901027500000001</v>
      </c>
      <c r="C56">
        <v>14.498939500000001</v>
      </c>
      <c r="D56">
        <v>15.073370000000001</v>
      </c>
      <c r="E56">
        <v>4.8728645000000004</v>
      </c>
      <c r="F56">
        <v>4.8753499999999998E-2</v>
      </c>
      <c r="G56">
        <v>18.768542499999999</v>
      </c>
      <c r="H56">
        <v>-28</v>
      </c>
      <c r="I56">
        <v>28</v>
      </c>
      <c r="J56">
        <v>1.17</v>
      </c>
      <c r="K56">
        <v>5.6567910000000001</v>
      </c>
      <c r="L56">
        <v>-1.720676090658227</v>
      </c>
      <c r="M56">
        <v>-1.7618723845940549</v>
      </c>
      <c r="N56">
        <v>-1.039029908749237</v>
      </c>
      <c r="O56">
        <v>-0.63933843584773609</v>
      </c>
    </row>
    <row r="57" spans="1:15" x14ac:dyDescent="0.25">
      <c r="A57">
        <v>-10.362152249999999</v>
      </c>
      <c r="B57">
        <v>-10.408769749999999</v>
      </c>
      <c r="C57">
        <v>14.274026750000001</v>
      </c>
      <c r="D57">
        <v>13.495922999999999</v>
      </c>
      <c r="E57">
        <v>2.3246799999999999</v>
      </c>
      <c r="F57">
        <v>4.8753499999999998E-2</v>
      </c>
      <c r="G57">
        <v>18.3272695</v>
      </c>
      <c r="H57">
        <v>-28</v>
      </c>
      <c r="I57">
        <v>32</v>
      </c>
      <c r="J57">
        <v>1.17</v>
      </c>
      <c r="K57">
        <v>5.5897404999999996</v>
      </c>
      <c r="L57">
        <v>-1.9383410332017099</v>
      </c>
      <c r="M57">
        <v>-1.880790968295357</v>
      </c>
      <c r="N57">
        <v>-1.259097699492038</v>
      </c>
      <c r="O57">
        <v>-0.82092313553957574</v>
      </c>
    </row>
    <row r="58" spans="1:15" x14ac:dyDescent="0.25">
      <c r="A58">
        <v>-12.255178000000001</v>
      </c>
      <c r="B58">
        <v>-12.471337</v>
      </c>
      <c r="C58">
        <v>14.093343000000001</v>
      </c>
      <c r="D58">
        <v>11.743205</v>
      </c>
      <c r="E58">
        <v>-0.57980900000000002</v>
      </c>
      <c r="F58">
        <v>0.14620649999999999</v>
      </c>
      <c r="G58">
        <v>18.046107500000002</v>
      </c>
      <c r="H58">
        <v>-28</v>
      </c>
      <c r="I58">
        <v>36</v>
      </c>
      <c r="J58">
        <v>1.17</v>
      </c>
      <c r="K58">
        <v>5.5315234999999996</v>
      </c>
      <c r="L58">
        <v>-2.2361591077955691</v>
      </c>
      <c r="M58">
        <v>-2.0550512630635298</v>
      </c>
      <c r="N58">
        <v>-1.580809058819076</v>
      </c>
      <c r="O58">
        <v>-1.061674910173543</v>
      </c>
    </row>
    <row r="59" spans="1:15" x14ac:dyDescent="0.25">
      <c r="A59">
        <v>14.399141500000001</v>
      </c>
      <c r="B59">
        <v>-10.073002499999999</v>
      </c>
      <c r="C59">
        <v>-9.6520414999999993</v>
      </c>
      <c r="D59">
        <v>11.305026</v>
      </c>
      <c r="E59">
        <v>3.755239</v>
      </c>
      <c r="F59">
        <v>9.7479999999999997E-2</v>
      </c>
      <c r="G59">
        <v>17.687015500000001</v>
      </c>
      <c r="H59">
        <v>-24</v>
      </c>
      <c r="I59">
        <v>-36</v>
      </c>
      <c r="J59">
        <v>1.17</v>
      </c>
      <c r="K59">
        <v>5.4833569999999998</v>
      </c>
      <c r="L59">
        <v>1.766222688792038</v>
      </c>
      <c r="M59">
        <v>-1.5698888698441289</v>
      </c>
      <c r="N59">
        <v>-1.0231461812606171</v>
      </c>
      <c r="O59">
        <v>-0.73138536789021269</v>
      </c>
    </row>
    <row r="60" spans="1:15" x14ac:dyDescent="0.25">
      <c r="A60">
        <v>14.03803325</v>
      </c>
      <c r="B60">
        <v>-7.8185682500000002</v>
      </c>
      <c r="C60">
        <v>-7.2164799999999998</v>
      </c>
      <c r="D60">
        <v>12.444293</v>
      </c>
      <c r="E60">
        <v>5.8116695000000007</v>
      </c>
      <c r="F60">
        <v>0.14620649999999999</v>
      </c>
      <c r="G60">
        <v>17.366889</v>
      </c>
      <c r="H60">
        <v>-24</v>
      </c>
      <c r="I60">
        <v>-32</v>
      </c>
      <c r="J60">
        <v>1.17</v>
      </c>
      <c r="K60">
        <v>5.4255809999999993</v>
      </c>
      <c r="L60">
        <v>1.594693145032495</v>
      </c>
      <c r="M60">
        <v>-1.520262890801759</v>
      </c>
      <c r="N60">
        <v>-0.86702552546873812</v>
      </c>
      <c r="O60">
        <v>-0.57501296113982803</v>
      </c>
    </row>
    <row r="61" spans="1:15" x14ac:dyDescent="0.25">
      <c r="A61">
        <v>13.406094749999999</v>
      </c>
      <c r="B61">
        <v>-5.70803525</v>
      </c>
      <c r="C61">
        <v>-4.9162270000000001</v>
      </c>
      <c r="D61">
        <v>13.145379</v>
      </c>
      <c r="E61">
        <v>7.5551640000000004</v>
      </c>
      <c r="F61">
        <v>2.6999999999999999E-5</v>
      </c>
      <c r="G61">
        <v>16.847669499999999</v>
      </c>
      <c r="H61">
        <v>-24</v>
      </c>
      <c r="I61">
        <v>-28</v>
      </c>
      <c r="J61">
        <v>1.17</v>
      </c>
      <c r="K61">
        <v>5.3664957499999986</v>
      </c>
      <c r="L61">
        <v>1.4239602737760071</v>
      </c>
      <c r="M61">
        <v>-1.465247809901228</v>
      </c>
      <c r="N61">
        <v>-0.72218802097667711</v>
      </c>
      <c r="O61">
        <v>-0.41284590394897219</v>
      </c>
    </row>
    <row r="62" spans="1:15" x14ac:dyDescent="0.25">
      <c r="A62">
        <v>13.2706795</v>
      </c>
      <c r="B62">
        <v>-4.1731014999999996</v>
      </c>
      <c r="C62">
        <v>-2.796386</v>
      </c>
      <c r="D62">
        <v>14.547553000000001</v>
      </c>
      <c r="E62">
        <v>9.3880684999999993</v>
      </c>
      <c r="F62">
        <v>0.194933</v>
      </c>
      <c r="G62">
        <v>17.3658705</v>
      </c>
      <c r="H62">
        <v>-24</v>
      </c>
      <c r="I62">
        <v>-24</v>
      </c>
      <c r="J62">
        <v>1.17</v>
      </c>
      <c r="K62">
        <v>5.4177084999999998</v>
      </c>
      <c r="L62">
        <v>1.2481538806464629</v>
      </c>
      <c r="M62">
        <v>-1.454257516631311</v>
      </c>
      <c r="N62">
        <v>-0.61972304337763728</v>
      </c>
      <c r="O62">
        <v>-0.28582562204966622</v>
      </c>
    </row>
    <row r="63" spans="1:15" x14ac:dyDescent="0.25">
      <c r="A63">
        <v>12.999848</v>
      </c>
      <c r="B63">
        <v>-3.1658005</v>
      </c>
      <c r="C63">
        <v>-0.902119</v>
      </c>
      <c r="D63">
        <v>15.730638000000001</v>
      </c>
      <c r="E63">
        <v>10.908039</v>
      </c>
      <c r="F63">
        <v>9.7479999999999997E-2</v>
      </c>
      <c r="G63">
        <v>17.609048999999999</v>
      </c>
      <c r="H63">
        <v>-24</v>
      </c>
      <c r="I63">
        <v>-20</v>
      </c>
      <c r="J63">
        <v>1.17</v>
      </c>
      <c r="K63">
        <v>5.4712040000000002</v>
      </c>
      <c r="L63">
        <v>1.074189408634959</v>
      </c>
      <c r="M63">
        <v>-1.460091697231513</v>
      </c>
      <c r="N63">
        <v>-0.51777954030448514</v>
      </c>
      <c r="O63">
        <v>-0.16468019244543169</v>
      </c>
    </row>
    <row r="64" spans="1:15" x14ac:dyDescent="0.25">
      <c r="A64">
        <v>12.277633</v>
      </c>
      <c r="B64">
        <v>-2.15850075</v>
      </c>
      <c r="C64">
        <v>1.038994</v>
      </c>
      <c r="D64">
        <v>16.650815999999999</v>
      </c>
      <c r="E64">
        <v>12.11507325</v>
      </c>
      <c r="F64">
        <v>4.8753499999999998E-2</v>
      </c>
      <c r="G64">
        <v>17.847080500000001</v>
      </c>
      <c r="H64">
        <v>-24</v>
      </c>
      <c r="I64">
        <v>-16</v>
      </c>
      <c r="J64">
        <v>1.17</v>
      </c>
      <c r="K64">
        <v>5.5157947500000004</v>
      </c>
      <c r="L64">
        <v>0.886730241969518</v>
      </c>
      <c r="M64">
        <v>-1.484089308326175</v>
      </c>
      <c r="N64">
        <v>-0.45228881639432428</v>
      </c>
      <c r="O64">
        <v>-4.8016190662941639E-2</v>
      </c>
    </row>
    <row r="65" spans="1:15" x14ac:dyDescent="0.25">
      <c r="A65">
        <v>11.420003250000001</v>
      </c>
      <c r="B65">
        <v>-1.534934</v>
      </c>
      <c r="C65">
        <v>2.7556050000000001</v>
      </c>
      <c r="D65">
        <v>17.483356000000001</v>
      </c>
      <c r="E65">
        <v>13.053877999999999</v>
      </c>
      <c r="F65">
        <v>0.194933</v>
      </c>
      <c r="G65">
        <v>18.206161250000001</v>
      </c>
      <c r="H65">
        <v>-24</v>
      </c>
      <c r="I65">
        <v>-12</v>
      </c>
      <c r="J65">
        <v>1.17</v>
      </c>
      <c r="K65">
        <v>5.5487219999999997</v>
      </c>
      <c r="L65">
        <v>0.69627721207414328</v>
      </c>
      <c r="M65">
        <v>-1.5283877961899901</v>
      </c>
      <c r="N65">
        <v>-0.41406258165511561</v>
      </c>
      <c r="O65">
        <v>3.3393229244766488E-2</v>
      </c>
    </row>
    <row r="66" spans="1:15" x14ac:dyDescent="0.25">
      <c r="A66">
        <v>10.291541</v>
      </c>
      <c r="B66">
        <v>-1.00730075</v>
      </c>
      <c r="C66">
        <v>4.8336069999999998</v>
      </c>
      <c r="D66">
        <v>18.052990000000001</v>
      </c>
      <c r="E66">
        <v>13.90327375</v>
      </c>
      <c r="F66">
        <v>9.7479999999999997E-2</v>
      </c>
      <c r="G66">
        <v>18.409459999999999</v>
      </c>
      <c r="H66">
        <v>-24</v>
      </c>
      <c r="I66">
        <v>-8</v>
      </c>
      <c r="J66">
        <v>1.17</v>
      </c>
      <c r="K66">
        <v>5.5948465000000001</v>
      </c>
      <c r="L66">
        <v>0.45520086846419072</v>
      </c>
      <c r="M66">
        <v>-1.5896645539989189</v>
      </c>
      <c r="N66">
        <v>-0.37582321830092702</v>
      </c>
      <c r="O66">
        <v>0.1514338507659739</v>
      </c>
    </row>
    <row r="67" spans="1:15" x14ac:dyDescent="0.25">
      <c r="A67">
        <v>8.9373874999999998</v>
      </c>
      <c r="B67">
        <v>-0.91136725000000007</v>
      </c>
      <c r="C67">
        <v>6.6405659999999997</v>
      </c>
      <c r="D67">
        <v>18.403534000000001</v>
      </c>
      <c r="E67">
        <v>14.3950285</v>
      </c>
      <c r="F67">
        <v>9.7479999999999997E-2</v>
      </c>
      <c r="G67">
        <v>18.807461</v>
      </c>
      <c r="H67">
        <v>-24</v>
      </c>
      <c r="I67">
        <v>-4</v>
      </c>
      <c r="J67">
        <v>1.17</v>
      </c>
      <c r="K67">
        <v>5.6553087499999997</v>
      </c>
      <c r="L67">
        <v>0.1992307055042378</v>
      </c>
      <c r="M67">
        <v>-1.6751729673916971</v>
      </c>
      <c r="N67">
        <v>-0.38269247028069792</v>
      </c>
      <c r="O67">
        <v>0.2399933925004642</v>
      </c>
    </row>
    <row r="68" spans="1:15" x14ac:dyDescent="0.25">
      <c r="A68">
        <v>7.3575415</v>
      </c>
      <c r="B68">
        <v>-0.71950025000000006</v>
      </c>
      <c r="C68">
        <v>8.5824859999999994</v>
      </c>
      <c r="D68">
        <v>18.754076000000001</v>
      </c>
      <c r="E68">
        <v>14.707962999999999</v>
      </c>
      <c r="F68">
        <v>4.8753499999999998E-2</v>
      </c>
      <c r="G68">
        <v>19.087567499999999</v>
      </c>
      <c r="H68">
        <v>-24</v>
      </c>
      <c r="I68">
        <v>0</v>
      </c>
      <c r="J68">
        <v>1.17</v>
      </c>
      <c r="K68">
        <v>5.7047352500000006</v>
      </c>
      <c r="L68">
        <v>-0.1074638683460178</v>
      </c>
      <c r="M68">
        <v>-1.7100572716360301</v>
      </c>
      <c r="N68">
        <v>-0.38458276370892053</v>
      </c>
      <c r="O68">
        <v>0.28719689778418322</v>
      </c>
    </row>
    <row r="69" spans="1:15" x14ac:dyDescent="0.25">
      <c r="A69">
        <v>5.5971419999999998</v>
      </c>
      <c r="B69">
        <v>-0.62356674999999995</v>
      </c>
      <c r="C69">
        <v>10.20931</v>
      </c>
      <c r="D69">
        <v>18.754076000000001</v>
      </c>
      <c r="E69">
        <v>14.663258000000001</v>
      </c>
      <c r="F69">
        <v>0.194933</v>
      </c>
      <c r="G69">
        <v>19.166487249999999</v>
      </c>
      <c r="H69">
        <v>-24</v>
      </c>
      <c r="I69">
        <v>4</v>
      </c>
      <c r="J69">
        <v>1.17</v>
      </c>
      <c r="K69">
        <v>5.6947257499999999</v>
      </c>
      <c r="L69">
        <v>-0.37879603732166189</v>
      </c>
      <c r="M69">
        <v>-1.591395903286881</v>
      </c>
      <c r="N69">
        <v>-0.36982844767301881</v>
      </c>
      <c r="O69">
        <v>0.18823372340246569</v>
      </c>
    </row>
    <row r="70" spans="1:15" x14ac:dyDescent="0.25">
      <c r="A70">
        <v>3.8818809999999999</v>
      </c>
      <c r="B70">
        <v>-0.52763349999999998</v>
      </c>
      <c r="C70">
        <v>11.789617249999999</v>
      </c>
      <c r="D70">
        <v>18.578804000000002</v>
      </c>
      <c r="E70">
        <v>14.484439</v>
      </c>
      <c r="F70">
        <v>9.7479999999999997E-2</v>
      </c>
      <c r="G70">
        <v>19.209869000000001</v>
      </c>
      <c r="H70">
        <v>-24</v>
      </c>
      <c r="I70">
        <v>8</v>
      </c>
      <c r="J70">
        <v>1.17</v>
      </c>
      <c r="K70">
        <v>5.7158144999999996</v>
      </c>
      <c r="L70">
        <v>-0.61740458523670794</v>
      </c>
      <c r="M70">
        <v>-1.491857508361691</v>
      </c>
      <c r="N70">
        <v>-0.36897673237960288</v>
      </c>
      <c r="O70">
        <v>0.1233943127833505</v>
      </c>
    </row>
    <row r="71" spans="1:15" x14ac:dyDescent="0.25">
      <c r="A71">
        <v>1.8506497500000001</v>
      </c>
      <c r="B71">
        <v>-0.91136725000000007</v>
      </c>
      <c r="C71">
        <v>13.281140000000001</v>
      </c>
      <c r="D71">
        <v>18.578804000000002</v>
      </c>
      <c r="E71">
        <v>13.992683749999999</v>
      </c>
      <c r="F71">
        <v>0.14620649999999999</v>
      </c>
      <c r="G71">
        <v>19.568906250000001</v>
      </c>
      <c r="H71">
        <v>-24</v>
      </c>
      <c r="I71">
        <v>12</v>
      </c>
      <c r="J71">
        <v>1.17</v>
      </c>
      <c r="K71">
        <v>5.7620329999999997</v>
      </c>
      <c r="L71">
        <v>-0.84525983927401471</v>
      </c>
      <c r="M71">
        <v>-1.441255003972955</v>
      </c>
      <c r="N71">
        <v>-0.41234797321545458</v>
      </c>
      <c r="O71">
        <v>2.3920196963534611E-2</v>
      </c>
    </row>
    <row r="72" spans="1:15" x14ac:dyDescent="0.25">
      <c r="A72">
        <v>-0.27033499999999999</v>
      </c>
      <c r="B72">
        <v>-1.3910337500000001</v>
      </c>
      <c r="C72">
        <v>14.31919375</v>
      </c>
      <c r="D72">
        <v>17.746263500000001</v>
      </c>
      <c r="E72">
        <v>12.785648500000001</v>
      </c>
      <c r="F72">
        <v>9.7479999999999997E-2</v>
      </c>
      <c r="G72">
        <v>19.367682250000001</v>
      </c>
      <c r="H72">
        <v>-24</v>
      </c>
      <c r="I72">
        <v>16</v>
      </c>
      <c r="J72">
        <v>1.17</v>
      </c>
      <c r="K72">
        <v>5.7393407500000002</v>
      </c>
      <c r="L72">
        <v>-1.0714685919460201</v>
      </c>
      <c r="M72">
        <v>-1.4055062535299729</v>
      </c>
      <c r="N72">
        <v>-0.48348761388399858</v>
      </c>
      <c r="O72">
        <v>-6.8112169490000846E-2</v>
      </c>
    </row>
    <row r="73" spans="1:15" x14ac:dyDescent="0.25">
      <c r="A73">
        <v>-2.2976930000000002</v>
      </c>
      <c r="B73">
        <v>-2.4942679999999999</v>
      </c>
      <c r="C73">
        <v>14.636359000000001</v>
      </c>
      <c r="D73">
        <v>16.475543999999999</v>
      </c>
      <c r="E73">
        <v>10.997448500000001</v>
      </c>
      <c r="F73">
        <v>0.14620649999999999</v>
      </c>
      <c r="G73">
        <v>18.8063675</v>
      </c>
      <c r="H73">
        <v>-24</v>
      </c>
      <c r="I73">
        <v>20</v>
      </c>
      <c r="J73">
        <v>1.17</v>
      </c>
      <c r="K73">
        <v>5.6477940000000002</v>
      </c>
      <c r="L73">
        <v>-1.264399416852372</v>
      </c>
      <c r="M73">
        <v>-1.4163954486080239</v>
      </c>
      <c r="N73">
        <v>-0.58306278582434368</v>
      </c>
      <c r="O73">
        <v>-0.18979896965170981</v>
      </c>
    </row>
    <row r="74" spans="1:15" x14ac:dyDescent="0.25">
      <c r="A74">
        <v>-4.2346795000000004</v>
      </c>
      <c r="B74">
        <v>-4.1251350000000002</v>
      </c>
      <c r="C74">
        <v>14.996756</v>
      </c>
      <c r="D74">
        <v>15.20482325</v>
      </c>
      <c r="E74">
        <v>8.9410190000000007</v>
      </c>
      <c r="F74">
        <v>0.14620649999999999</v>
      </c>
      <c r="G74">
        <v>18.328344250000001</v>
      </c>
      <c r="H74">
        <v>-24</v>
      </c>
      <c r="I74">
        <v>24</v>
      </c>
      <c r="J74">
        <v>1.17</v>
      </c>
      <c r="K74">
        <v>5.5749839999999997</v>
      </c>
      <c r="L74">
        <v>-1.465731608316116</v>
      </c>
      <c r="M74">
        <v>-1.4732615083380249</v>
      </c>
      <c r="N74">
        <v>-0.71552512556881953</v>
      </c>
      <c r="O74">
        <v>-0.32970376476937963</v>
      </c>
    </row>
    <row r="75" spans="1:15" x14ac:dyDescent="0.25">
      <c r="A75">
        <v>-6.0817437500000002</v>
      </c>
      <c r="B75">
        <v>-5.8999022500000002</v>
      </c>
      <c r="C75">
        <v>14.997749000000001</v>
      </c>
      <c r="D75">
        <v>13.671194</v>
      </c>
      <c r="E75">
        <v>6.4375390000000001</v>
      </c>
      <c r="F75">
        <v>0.194933</v>
      </c>
      <c r="G75">
        <v>17.847080500000001</v>
      </c>
      <c r="H75">
        <v>-24</v>
      </c>
      <c r="I75">
        <v>28</v>
      </c>
      <c r="J75">
        <v>1.17</v>
      </c>
      <c r="K75">
        <v>5.4931289999999997</v>
      </c>
      <c r="L75">
        <v>-1.696110563012988</v>
      </c>
      <c r="M75">
        <v>-1.574735693511512</v>
      </c>
      <c r="N75">
        <v>-0.91803978622285232</v>
      </c>
      <c r="O75">
        <v>-0.49769151084567442</v>
      </c>
    </row>
    <row r="76" spans="1:15" x14ac:dyDescent="0.25">
      <c r="A76">
        <v>-7.9743589999999998</v>
      </c>
      <c r="B76">
        <v>-7.9145017499999986</v>
      </c>
      <c r="C76">
        <v>15.0419295</v>
      </c>
      <c r="D76">
        <v>12.093749000000001</v>
      </c>
      <c r="E76">
        <v>3.799944</v>
      </c>
      <c r="F76">
        <v>0.14620649999999999</v>
      </c>
      <c r="G76">
        <v>17.687015500000001</v>
      </c>
      <c r="H76">
        <v>-24</v>
      </c>
      <c r="I76">
        <v>32</v>
      </c>
      <c r="J76">
        <v>1.17</v>
      </c>
      <c r="K76">
        <v>5.4757785000000014</v>
      </c>
      <c r="L76">
        <v>-1.960061542470922</v>
      </c>
      <c r="M76">
        <v>-1.7038559231846091</v>
      </c>
      <c r="N76">
        <v>-1.182692206485525</v>
      </c>
      <c r="O76">
        <v>-0.68889453226388375</v>
      </c>
    </row>
    <row r="77" spans="1:15" x14ac:dyDescent="0.25">
      <c r="A77">
        <v>-10.00174</v>
      </c>
      <c r="B77">
        <v>-9.9770690000000002</v>
      </c>
      <c r="C77">
        <v>14.636359000000001</v>
      </c>
      <c r="D77">
        <v>10.516302</v>
      </c>
      <c r="E77">
        <v>0.98352950000000006</v>
      </c>
      <c r="F77">
        <v>0.14620649999999999</v>
      </c>
      <c r="G77">
        <v>17.526952000000001</v>
      </c>
      <c r="H77">
        <v>-24</v>
      </c>
      <c r="I77">
        <v>36</v>
      </c>
      <c r="J77">
        <v>1.17</v>
      </c>
      <c r="K77">
        <v>5.4507032500000001</v>
      </c>
      <c r="L77">
        <v>-2.2455058684538658</v>
      </c>
      <c r="M77">
        <v>-1.8677859893931219</v>
      </c>
      <c r="N77">
        <v>-1.5078210397682781</v>
      </c>
      <c r="O77">
        <v>-0.9238064604844396</v>
      </c>
    </row>
    <row r="78" spans="1:15" x14ac:dyDescent="0.25">
      <c r="A78">
        <v>14.895664</v>
      </c>
      <c r="B78">
        <v>-7.8665349999999998</v>
      </c>
      <c r="C78">
        <v>-8.0739564999999995</v>
      </c>
      <c r="D78">
        <v>9.9028510000000001</v>
      </c>
      <c r="E78">
        <v>4.7387499999999996</v>
      </c>
      <c r="F78">
        <v>9.7479999999999997E-2</v>
      </c>
      <c r="G78">
        <v>17.006750499999999</v>
      </c>
      <c r="H78">
        <v>-20</v>
      </c>
      <c r="I78">
        <v>-36</v>
      </c>
      <c r="J78">
        <v>1.17</v>
      </c>
      <c r="K78">
        <v>5.3762974999999997</v>
      </c>
      <c r="L78">
        <v>1.807431353681616</v>
      </c>
      <c r="M78">
        <v>-1.398184977458403</v>
      </c>
      <c r="N78">
        <v>-0.96534315994444797</v>
      </c>
      <c r="O78">
        <v>-0.63478861093523209</v>
      </c>
    </row>
    <row r="79" spans="1:15" x14ac:dyDescent="0.25">
      <c r="A79">
        <v>15.437325</v>
      </c>
      <c r="B79">
        <v>-5.8519354999999997</v>
      </c>
      <c r="C79">
        <v>-5.8637672500000004</v>
      </c>
      <c r="D79">
        <v>11.743205</v>
      </c>
      <c r="E79">
        <v>7.3763447500000003</v>
      </c>
      <c r="F79">
        <v>0.194933</v>
      </c>
      <c r="G79">
        <v>17.487959499999999</v>
      </c>
      <c r="H79">
        <v>-20</v>
      </c>
      <c r="I79">
        <v>-32</v>
      </c>
      <c r="J79">
        <v>1.17</v>
      </c>
      <c r="K79">
        <v>5.43696775</v>
      </c>
      <c r="L79">
        <v>1.6095906462445599</v>
      </c>
      <c r="M79">
        <v>-1.329534156029621</v>
      </c>
      <c r="N79">
        <v>-0.76406208567658807</v>
      </c>
      <c r="O79">
        <v>-0.45736368628494012</v>
      </c>
    </row>
    <row r="80" spans="1:15" x14ac:dyDescent="0.25">
      <c r="A80">
        <v>15.527602</v>
      </c>
      <c r="B80">
        <v>-3.9812349999999999</v>
      </c>
      <c r="C80">
        <v>-3.8788575000000001</v>
      </c>
      <c r="D80">
        <v>13.145379</v>
      </c>
      <c r="E80">
        <v>9.5668895000000003</v>
      </c>
      <c r="F80">
        <v>0.194933</v>
      </c>
      <c r="G80">
        <v>17.886054250000001</v>
      </c>
      <c r="H80">
        <v>-20</v>
      </c>
      <c r="I80">
        <v>-28</v>
      </c>
      <c r="J80">
        <v>1.17</v>
      </c>
      <c r="K80">
        <v>5.499193</v>
      </c>
      <c r="L80">
        <v>1.4379309393581909</v>
      </c>
      <c r="M80">
        <v>-1.268974018512333</v>
      </c>
      <c r="N80">
        <v>-0.61642517214502579</v>
      </c>
      <c r="O80">
        <v>-0.30558465412398689</v>
      </c>
    </row>
    <row r="81" spans="1:15" x14ac:dyDescent="0.25">
      <c r="A81">
        <v>15.347047999999999</v>
      </c>
      <c r="B81">
        <v>-2.3024010000000001</v>
      </c>
      <c r="C81">
        <v>-1.6237079999999999</v>
      </c>
      <c r="D81">
        <v>14.547553000000001</v>
      </c>
      <c r="E81">
        <v>11.533908500000001</v>
      </c>
      <c r="F81">
        <v>0.194933</v>
      </c>
      <c r="G81">
        <v>18.007142999999999</v>
      </c>
      <c r="H81">
        <v>-20</v>
      </c>
      <c r="I81">
        <v>-24</v>
      </c>
      <c r="J81">
        <v>1.17</v>
      </c>
      <c r="K81">
        <v>5.5179774999999998</v>
      </c>
      <c r="L81">
        <v>1.257431079754384</v>
      </c>
      <c r="M81">
        <v>-1.248480377187186</v>
      </c>
      <c r="N81">
        <v>-0.47967167787535792</v>
      </c>
      <c r="O81">
        <v>-0.15989391116232321</v>
      </c>
    </row>
    <row r="82" spans="1:15" x14ac:dyDescent="0.25">
      <c r="A82">
        <v>14.9408025</v>
      </c>
      <c r="B82">
        <v>-1.00730075</v>
      </c>
      <c r="C82">
        <v>0.54204074999999996</v>
      </c>
      <c r="D82">
        <v>15.818274000000001</v>
      </c>
      <c r="E82">
        <v>13.232697999999999</v>
      </c>
      <c r="F82">
        <v>0.194933</v>
      </c>
      <c r="G82">
        <v>18.447313000000001</v>
      </c>
      <c r="H82">
        <v>-20</v>
      </c>
      <c r="I82">
        <v>-20</v>
      </c>
      <c r="J82">
        <v>1.17</v>
      </c>
      <c r="K82">
        <v>5.5857184999999996</v>
      </c>
      <c r="L82">
        <v>1.069349262623829</v>
      </c>
      <c r="M82">
        <v>-1.249546742155716</v>
      </c>
      <c r="N82">
        <v>-0.38729212927157258</v>
      </c>
      <c r="O82">
        <v>-3.1743706788956973E-2</v>
      </c>
    </row>
    <row r="83" spans="1:15" x14ac:dyDescent="0.25">
      <c r="A83">
        <v>14.263726</v>
      </c>
      <c r="B83">
        <v>9.6210000000000004E-2</v>
      </c>
      <c r="C83">
        <v>2.3490389999999999</v>
      </c>
      <c r="D83">
        <v>16.826087999999999</v>
      </c>
      <c r="E83">
        <v>14.663258000000001</v>
      </c>
      <c r="F83">
        <v>0.14620649999999999</v>
      </c>
      <c r="G83">
        <v>18.6484895</v>
      </c>
      <c r="H83">
        <v>-20</v>
      </c>
      <c r="I83">
        <v>-16</v>
      </c>
      <c r="J83">
        <v>1.17</v>
      </c>
      <c r="K83">
        <v>5.6238512500000004</v>
      </c>
      <c r="L83">
        <v>0.88647901884018609</v>
      </c>
      <c r="M83">
        <v>-1.2447142454866791</v>
      </c>
      <c r="N83">
        <v>-0.29653104349291448</v>
      </c>
      <c r="O83">
        <v>8.0087709104912821E-2</v>
      </c>
    </row>
    <row r="84" spans="1:15" x14ac:dyDescent="0.25">
      <c r="A84">
        <v>13.225541249999999</v>
      </c>
      <c r="B84">
        <v>0.81771875000000005</v>
      </c>
      <c r="C84">
        <v>4.3815795</v>
      </c>
      <c r="D84">
        <v>17.570992</v>
      </c>
      <c r="E84">
        <v>15.602062999999999</v>
      </c>
      <c r="F84">
        <v>0.194933</v>
      </c>
      <c r="G84">
        <v>19.086455749999999</v>
      </c>
      <c r="H84">
        <v>-20</v>
      </c>
      <c r="I84">
        <v>-12</v>
      </c>
      <c r="J84">
        <v>1.17</v>
      </c>
      <c r="K84">
        <v>5.6826764999999986</v>
      </c>
      <c r="L84">
        <v>0.68020353535156297</v>
      </c>
      <c r="M84">
        <v>-1.2885635710301659</v>
      </c>
      <c r="N84">
        <v>-0.26798386772209831</v>
      </c>
      <c r="O84">
        <v>0.1849822266710914</v>
      </c>
    </row>
    <row r="85" spans="1:15" x14ac:dyDescent="0.25">
      <c r="A85">
        <v>12.09708</v>
      </c>
      <c r="B85">
        <v>1.2506250000000001</v>
      </c>
      <c r="C85">
        <v>6.3243479999999996</v>
      </c>
      <c r="D85">
        <v>18.228259999999999</v>
      </c>
      <c r="E85">
        <v>16.451457999999999</v>
      </c>
      <c r="F85">
        <v>9.7479999999999997E-2</v>
      </c>
      <c r="G85">
        <v>19.407703250000001</v>
      </c>
      <c r="H85">
        <v>-20</v>
      </c>
      <c r="I85">
        <v>-8</v>
      </c>
      <c r="J85">
        <v>1.17</v>
      </c>
      <c r="K85">
        <v>5.7453277500000004</v>
      </c>
      <c r="L85">
        <v>0.45584556797239739</v>
      </c>
      <c r="M85">
        <v>-1.340615345904772</v>
      </c>
      <c r="N85">
        <v>-0.23342949824634701</v>
      </c>
      <c r="O85">
        <v>0.29139693130013478</v>
      </c>
    </row>
    <row r="86" spans="1:15" x14ac:dyDescent="0.25">
      <c r="A86">
        <v>10.652649</v>
      </c>
      <c r="B86">
        <v>1.539228</v>
      </c>
      <c r="C86">
        <v>8.2668292500000007</v>
      </c>
      <c r="D86">
        <v>18.578804000000002</v>
      </c>
      <c r="E86">
        <v>16.943213499999999</v>
      </c>
      <c r="F86">
        <v>0.14620649999999999</v>
      </c>
      <c r="G86">
        <v>19.567757</v>
      </c>
      <c r="H86">
        <v>-20</v>
      </c>
      <c r="I86">
        <v>-4</v>
      </c>
      <c r="J86">
        <v>1.17</v>
      </c>
      <c r="K86">
        <v>5.761838</v>
      </c>
      <c r="L86">
        <v>0.19813289174915719</v>
      </c>
      <c r="M86">
        <v>-1.415319135549685</v>
      </c>
      <c r="N86">
        <v>-0.2179892620320186</v>
      </c>
      <c r="O86">
        <v>0.39508474710090807</v>
      </c>
    </row>
    <row r="87" spans="1:15" x14ac:dyDescent="0.25">
      <c r="A87">
        <v>9.0276639999999997</v>
      </c>
      <c r="B87">
        <v>1.7316309999999999</v>
      </c>
      <c r="C87">
        <v>10.164135999999999</v>
      </c>
      <c r="D87">
        <v>18.578804000000002</v>
      </c>
      <c r="E87">
        <v>16.987919000000002</v>
      </c>
      <c r="F87">
        <v>0.14620649999999999</v>
      </c>
      <c r="G87">
        <v>19.686660249999999</v>
      </c>
      <c r="H87">
        <v>-20</v>
      </c>
      <c r="I87">
        <v>0</v>
      </c>
      <c r="J87">
        <v>1.17</v>
      </c>
      <c r="K87">
        <v>5.7794222499999997</v>
      </c>
      <c r="L87">
        <v>-9.7937662606466525E-2</v>
      </c>
      <c r="M87">
        <v>-1.451288786765031</v>
      </c>
      <c r="N87">
        <v>-0.23246398301144169</v>
      </c>
      <c r="O87">
        <v>0.45085241288733119</v>
      </c>
    </row>
    <row r="88" spans="1:15" x14ac:dyDescent="0.25">
      <c r="A88">
        <v>6.9964337499999996</v>
      </c>
      <c r="B88">
        <v>1.7316309999999999</v>
      </c>
      <c r="C88">
        <v>11.382326000000001</v>
      </c>
      <c r="D88">
        <v>17.9215345</v>
      </c>
      <c r="E88">
        <v>16.451457999999999</v>
      </c>
      <c r="F88">
        <v>0.14620649999999999</v>
      </c>
      <c r="G88">
        <v>18.928616250000001</v>
      </c>
      <c r="H88">
        <v>-20</v>
      </c>
      <c r="I88">
        <v>4</v>
      </c>
      <c r="J88">
        <v>1.17</v>
      </c>
      <c r="K88">
        <v>5.6662604999999999</v>
      </c>
      <c r="L88">
        <v>-0.36285802431066527</v>
      </c>
      <c r="M88">
        <v>-1.3394211649359851</v>
      </c>
      <c r="N88">
        <v>-0.20494491690833111</v>
      </c>
      <c r="O88">
        <v>0.34896482919645488</v>
      </c>
    </row>
    <row r="89" spans="1:15" x14ac:dyDescent="0.25">
      <c r="A89">
        <v>5.1006185000000004</v>
      </c>
      <c r="B89">
        <v>1.7316309999999999</v>
      </c>
      <c r="C89">
        <v>12.332486250000001</v>
      </c>
      <c r="D89">
        <v>17.176629999999999</v>
      </c>
      <c r="E89">
        <v>15.557358000000001</v>
      </c>
      <c r="F89">
        <v>0.14620649999999999</v>
      </c>
      <c r="G89">
        <v>18.487333499999998</v>
      </c>
      <c r="H89">
        <v>-20</v>
      </c>
      <c r="I89">
        <v>8</v>
      </c>
      <c r="J89">
        <v>1.17</v>
      </c>
      <c r="K89">
        <v>5.5993057500000001</v>
      </c>
      <c r="L89">
        <v>-0.59562368148450684</v>
      </c>
      <c r="M89">
        <v>-1.272124453164637</v>
      </c>
      <c r="N89">
        <v>-0.2413388514117423</v>
      </c>
      <c r="O89">
        <v>0.2693291219344468</v>
      </c>
    </row>
    <row r="90" spans="1:15" x14ac:dyDescent="0.25">
      <c r="A90">
        <v>3.20480375</v>
      </c>
      <c r="B90">
        <v>1.4911274999999999</v>
      </c>
      <c r="C90">
        <v>13.235965999999999</v>
      </c>
      <c r="D90">
        <v>16.300270000000001</v>
      </c>
      <c r="E90">
        <v>14.663258000000001</v>
      </c>
      <c r="F90">
        <v>0.14620649999999999</v>
      </c>
      <c r="G90">
        <v>17.967131999999999</v>
      </c>
      <c r="H90">
        <v>-20</v>
      </c>
      <c r="I90">
        <v>12</v>
      </c>
      <c r="J90">
        <v>1.17</v>
      </c>
      <c r="K90">
        <v>5.519323</v>
      </c>
      <c r="L90">
        <v>-0.81453618043509046</v>
      </c>
      <c r="M90">
        <v>-1.2025075624105011</v>
      </c>
      <c r="N90">
        <v>-0.26829711682080698</v>
      </c>
      <c r="O90">
        <v>0.17878822955000709</v>
      </c>
    </row>
    <row r="91" spans="1:15" x14ac:dyDescent="0.25">
      <c r="A91">
        <v>1.2638499999999999</v>
      </c>
      <c r="B91">
        <v>0.76961800000000002</v>
      </c>
      <c r="C91">
        <v>13.867490249999999</v>
      </c>
      <c r="D91">
        <v>15.29245875</v>
      </c>
      <c r="E91">
        <v>13.232697999999999</v>
      </c>
      <c r="F91">
        <v>9.7479999999999997E-2</v>
      </c>
      <c r="G91">
        <v>17.608011749999999</v>
      </c>
      <c r="H91">
        <v>-20</v>
      </c>
      <c r="I91">
        <v>16</v>
      </c>
      <c r="J91">
        <v>1.17</v>
      </c>
      <c r="K91">
        <v>5.47098</v>
      </c>
      <c r="L91">
        <v>-1.0317352154934309</v>
      </c>
      <c r="M91">
        <v>-1.1888411549018969</v>
      </c>
      <c r="N91">
        <v>-0.35816360870087699</v>
      </c>
      <c r="O91">
        <v>7.5250221759003227E-2</v>
      </c>
    </row>
    <row r="92" spans="1:15" x14ac:dyDescent="0.25">
      <c r="A92">
        <v>-0.67583649999999995</v>
      </c>
      <c r="B92">
        <v>-0.33576725000000002</v>
      </c>
      <c r="C92">
        <v>14.410489500000001</v>
      </c>
      <c r="D92">
        <v>14.24082875</v>
      </c>
      <c r="E92">
        <v>11.623317999999999</v>
      </c>
      <c r="F92">
        <v>0.194933</v>
      </c>
      <c r="G92">
        <v>17.405891</v>
      </c>
      <c r="H92">
        <v>-20</v>
      </c>
      <c r="I92">
        <v>20</v>
      </c>
      <c r="J92">
        <v>1.17</v>
      </c>
      <c r="K92">
        <v>5.4240512499999998</v>
      </c>
      <c r="L92">
        <v>-1.24383706939202</v>
      </c>
      <c r="M92">
        <v>-1.2017787563474229</v>
      </c>
      <c r="N92">
        <v>-0.47678486626839828</v>
      </c>
      <c r="O92">
        <v>-5.7731048216902309E-2</v>
      </c>
    </row>
    <row r="93" spans="1:15" x14ac:dyDescent="0.25">
      <c r="A93">
        <v>-2.4779045000000002</v>
      </c>
      <c r="B93">
        <v>-1.8227340000000001</v>
      </c>
      <c r="C93">
        <v>14.7257245</v>
      </c>
      <c r="D93">
        <v>13.145379</v>
      </c>
      <c r="E93">
        <v>9.6562999999999999</v>
      </c>
      <c r="F93">
        <v>0.14620649999999999</v>
      </c>
      <c r="G93">
        <v>17.126793249999999</v>
      </c>
      <c r="H93">
        <v>-20</v>
      </c>
      <c r="I93">
        <v>24</v>
      </c>
      <c r="J93">
        <v>1.17</v>
      </c>
      <c r="K93">
        <v>5.3876282499999997</v>
      </c>
      <c r="L93">
        <v>-1.4570972202772801</v>
      </c>
      <c r="M93">
        <v>-1.267778991935995</v>
      </c>
      <c r="N93">
        <v>-0.63279073307499911</v>
      </c>
      <c r="O93">
        <v>-0.19446818155221751</v>
      </c>
    </row>
    <row r="94" spans="1:15" x14ac:dyDescent="0.25">
      <c r="A94">
        <v>-4.5503417500000003</v>
      </c>
      <c r="B94">
        <v>-3.6934347500000002</v>
      </c>
      <c r="C94">
        <v>15.0419295</v>
      </c>
      <c r="D94">
        <v>11.918476999999999</v>
      </c>
      <c r="E94">
        <v>7.3763447500000003</v>
      </c>
      <c r="F94">
        <v>0.14620649999999999</v>
      </c>
      <c r="G94">
        <v>17.007741249999999</v>
      </c>
      <c r="H94">
        <v>-20</v>
      </c>
      <c r="I94">
        <v>28</v>
      </c>
      <c r="J94">
        <v>1.17</v>
      </c>
      <c r="K94">
        <v>5.3686997500000002</v>
      </c>
      <c r="L94">
        <v>-1.7040428458722501</v>
      </c>
      <c r="M94">
        <v>-1.3578169836094109</v>
      </c>
      <c r="N94">
        <v>-0.83769551993251135</v>
      </c>
      <c r="O94">
        <v>-0.37121786861408151</v>
      </c>
    </row>
    <row r="95" spans="1:15" x14ac:dyDescent="0.25">
      <c r="A95">
        <v>-6.6682600000000001</v>
      </c>
      <c r="B95">
        <v>-5.8039687499999992</v>
      </c>
      <c r="C95">
        <v>15.720534000000001</v>
      </c>
      <c r="D95">
        <v>11.042118</v>
      </c>
      <c r="E95">
        <v>5.0069790000000003</v>
      </c>
      <c r="F95">
        <v>9.7479999999999997E-2</v>
      </c>
      <c r="G95">
        <v>17.565944500000001</v>
      </c>
      <c r="H95">
        <v>-20</v>
      </c>
      <c r="I95">
        <v>32</v>
      </c>
      <c r="J95">
        <v>1.17</v>
      </c>
      <c r="K95">
        <v>5.4644387500000002</v>
      </c>
      <c r="L95">
        <v>-1.99136461758824</v>
      </c>
      <c r="M95">
        <v>-1.498342984456446</v>
      </c>
      <c r="N95">
        <v>-1.1170460810553009</v>
      </c>
      <c r="O95">
        <v>-0.56330766134238319</v>
      </c>
    </row>
    <row r="96" spans="1:15" x14ac:dyDescent="0.25">
      <c r="A96">
        <v>-9.0556392500000005</v>
      </c>
      <c r="B96">
        <v>-8.1543354999999984</v>
      </c>
      <c r="C96">
        <v>16.172273499999999</v>
      </c>
      <c r="D96">
        <v>9.7713972499999997</v>
      </c>
      <c r="E96">
        <v>2.0564499999999999</v>
      </c>
      <c r="F96">
        <v>0.14620649999999999</v>
      </c>
      <c r="G96">
        <v>17.847080500000001</v>
      </c>
      <c r="H96">
        <v>-20</v>
      </c>
      <c r="I96">
        <v>36</v>
      </c>
      <c r="J96">
        <v>1.17</v>
      </c>
      <c r="K96">
        <v>5.5007062500000004</v>
      </c>
      <c r="L96">
        <v>-2.3662842498787948</v>
      </c>
      <c r="M96">
        <v>-1.681375412145178</v>
      </c>
      <c r="N96">
        <v>-1.4810838904656409</v>
      </c>
      <c r="O96">
        <v>-0.82077218165454191</v>
      </c>
    </row>
    <row r="97" spans="1:15" x14ac:dyDescent="0.25">
      <c r="A97">
        <v>17.152585999999999</v>
      </c>
      <c r="B97">
        <v>-6.3795687500000007</v>
      </c>
      <c r="C97">
        <v>-8.2087454999999991</v>
      </c>
      <c r="D97">
        <v>9.6399439999999998</v>
      </c>
      <c r="E97">
        <v>6.1246047499999996</v>
      </c>
      <c r="F97">
        <v>9.7479999999999997E-2</v>
      </c>
      <c r="G97">
        <v>18.128249749999998</v>
      </c>
      <c r="H97">
        <v>-16</v>
      </c>
      <c r="I97">
        <v>-36</v>
      </c>
      <c r="J97">
        <v>1.17</v>
      </c>
      <c r="K97">
        <v>5.5517275000000001</v>
      </c>
      <c r="L97">
        <v>1.889996729344374</v>
      </c>
      <c r="M97">
        <v>-1.1938034948584131</v>
      </c>
      <c r="N97">
        <v>-0.89452740810921738</v>
      </c>
      <c r="O97">
        <v>-0.55081825419567987</v>
      </c>
    </row>
    <row r="98" spans="1:15" x14ac:dyDescent="0.25">
      <c r="A98">
        <v>17.468556499999998</v>
      </c>
      <c r="B98">
        <v>-4.3649674999999997</v>
      </c>
      <c r="C98">
        <v>-5.9084922500000001</v>
      </c>
      <c r="D98">
        <v>11.392662</v>
      </c>
      <c r="E98">
        <v>8.8069032499999995</v>
      </c>
      <c r="F98">
        <v>0.194933</v>
      </c>
      <c r="G98">
        <v>18.565207000000001</v>
      </c>
      <c r="H98">
        <v>-16</v>
      </c>
      <c r="I98">
        <v>-32</v>
      </c>
      <c r="J98">
        <v>1.17</v>
      </c>
      <c r="K98">
        <v>5.6037650000000001</v>
      </c>
      <c r="L98">
        <v>1.6765385258435701</v>
      </c>
      <c r="M98">
        <v>-1.130093662705421</v>
      </c>
      <c r="N98">
        <v>-0.69983816744444438</v>
      </c>
      <c r="O98">
        <v>-0.38237127885222971</v>
      </c>
    </row>
    <row r="99" spans="1:15" x14ac:dyDescent="0.25">
      <c r="A99">
        <v>17.423418000000002</v>
      </c>
      <c r="B99">
        <v>-2.1105339999999999</v>
      </c>
      <c r="C99">
        <v>-3.292519</v>
      </c>
      <c r="D99">
        <v>12.838653000000001</v>
      </c>
      <c r="E99">
        <v>11.220973000000001</v>
      </c>
      <c r="F99">
        <v>0.194933</v>
      </c>
      <c r="G99">
        <v>18.846379500000001</v>
      </c>
      <c r="H99">
        <v>-16</v>
      </c>
      <c r="I99">
        <v>-28</v>
      </c>
      <c r="J99">
        <v>1.17</v>
      </c>
      <c r="K99">
        <v>5.6464777499999999</v>
      </c>
      <c r="L99">
        <v>1.4880512488528379</v>
      </c>
      <c r="M99">
        <v>-1.073792206402715</v>
      </c>
      <c r="N99">
        <v>-0.54779673317927335</v>
      </c>
      <c r="O99">
        <v>-0.20800276156571099</v>
      </c>
    </row>
    <row r="100" spans="1:15" x14ac:dyDescent="0.25">
      <c r="A100">
        <v>17.152585999999999</v>
      </c>
      <c r="B100">
        <v>-0.19186475</v>
      </c>
      <c r="C100">
        <v>-0.76675099999999996</v>
      </c>
      <c r="D100">
        <v>14.32846425</v>
      </c>
      <c r="E100">
        <v>13.411517</v>
      </c>
      <c r="F100">
        <v>0.14620649999999999</v>
      </c>
      <c r="G100">
        <v>18.9675245</v>
      </c>
      <c r="H100">
        <v>-16</v>
      </c>
      <c r="I100">
        <v>-24</v>
      </c>
      <c r="J100">
        <v>1.17</v>
      </c>
      <c r="K100">
        <v>5.6721310000000003</v>
      </c>
      <c r="L100">
        <v>1.2900376919879</v>
      </c>
      <c r="M100">
        <v>-1.04527637752114</v>
      </c>
      <c r="N100">
        <v>-0.3999987257088285</v>
      </c>
      <c r="O100">
        <v>-4.5017457368462771E-2</v>
      </c>
    </row>
    <row r="101" spans="1:15" x14ac:dyDescent="0.25">
      <c r="A101">
        <v>16.610925999999999</v>
      </c>
      <c r="B101">
        <v>1.2025245</v>
      </c>
      <c r="C101">
        <v>1.2647772500000001</v>
      </c>
      <c r="D101">
        <v>15.599183999999999</v>
      </c>
      <c r="E101">
        <v>15.199718000000001</v>
      </c>
      <c r="F101">
        <v>0.14620649999999999</v>
      </c>
      <c r="G101">
        <v>19.3265405</v>
      </c>
      <c r="H101">
        <v>-16</v>
      </c>
      <c r="I101">
        <v>-20</v>
      </c>
      <c r="J101">
        <v>1.17</v>
      </c>
      <c r="K101">
        <v>5.7259837500000001</v>
      </c>
      <c r="L101">
        <v>1.0988265791113889</v>
      </c>
      <c r="M101">
        <v>-1.0308226748648199</v>
      </c>
      <c r="N101">
        <v>-0.29549668005283519</v>
      </c>
      <c r="O101">
        <v>7.7866937279612983E-2</v>
      </c>
    </row>
    <row r="102" spans="1:15" x14ac:dyDescent="0.25">
      <c r="A102">
        <v>15.88871</v>
      </c>
      <c r="B102">
        <v>2.4531402500000001</v>
      </c>
      <c r="C102">
        <v>3.5687359999999999</v>
      </c>
      <c r="D102">
        <v>16.519362000000001</v>
      </c>
      <c r="E102">
        <v>16.630278000000001</v>
      </c>
      <c r="F102">
        <v>9.7479999999999997E-2</v>
      </c>
      <c r="G102">
        <v>19.56661725</v>
      </c>
      <c r="H102">
        <v>-16</v>
      </c>
      <c r="I102">
        <v>-16</v>
      </c>
      <c r="J102">
        <v>1.17</v>
      </c>
      <c r="K102">
        <v>5.7688959999999998</v>
      </c>
      <c r="L102">
        <v>0.90459182634771373</v>
      </c>
      <c r="M102">
        <v>-1.0328232935266679</v>
      </c>
      <c r="N102">
        <v>-0.21561851033300619</v>
      </c>
      <c r="O102">
        <v>0.21398740831875709</v>
      </c>
    </row>
    <row r="103" spans="1:15" x14ac:dyDescent="0.25">
      <c r="A103">
        <v>14.805387</v>
      </c>
      <c r="B103">
        <v>3.3189514999999998</v>
      </c>
      <c r="C103">
        <v>5.8714515</v>
      </c>
      <c r="D103">
        <v>17.351901999999999</v>
      </c>
      <c r="E103">
        <v>17.747902</v>
      </c>
      <c r="F103">
        <v>0.194933</v>
      </c>
      <c r="G103">
        <v>19.690117000000001</v>
      </c>
      <c r="H103">
        <v>-16</v>
      </c>
      <c r="I103">
        <v>-12</v>
      </c>
      <c r="J103">
        <v>1.17</v>
      </c>
      <c r="K103">
        <v>5.7727899999999996</v>
      </c>
      <c r="L103">
        <v>0.67925901620226448</v>
      </c>
      <c r="M103">
        <v>-1.0669911641864309</v>
      </c>
      <c r="N103">
        <v>-0.14773394034724829</v>
      </c>
      <c r="O103">
        <v>0.33463926386771581</v>
      </c>
    </row>
    <row r="104" spans="1:15" x14ac:dyDescent="0.25">
      <c r="A104">
        <v>13.090125499999999</v>
      </c>
      <c r="B104">
        <v>3.655656</v>
      </c>
      <c r="C104">
        <v>7.3633499999999996</v>
      </c>
      <c r="D104">
        <v>17.176629999999999</v>
      </c>
      <c r="E104">
        <v>17.792607</v>
      </c>
      <c r="F104">
        <v>0.14620649999999999</v>
      </c>
      <c r="G104">
        <v>19.168718999999999</v>
      </c>
      <c r="H104">
        <v>-16</v>
      </c>
      <c r="I104">
        <v>-8</v>
      </c>
      <c r="J104">
        <v>1.17</v>
      </c>
      <c r="K104">
        <v>5.7023222499999999</v>
      </c>
      <c r="L104">
        <v>0.46621527513021871</v>
      </c>
      <c r="M104">
        <v>-1.1008184194827999</v>
      </c>
      <c r="N104">
        <v>-0.1120239135052844</v>
      </c>
      <c r="O104">
        <v>0.43663129656371008</v>
      </c>
    </row>
    <row r="105" spans="1:15" x14ac:dyDescent="0.25">
      <c r="A105">
        <v>11.19431</v>
      </c>
      <c r="B105">
        <v>3.7518570000000002</v>
      </c>
      <c r="C105">
        <v>8.8089167499999999</v>
      </c>
      <c r="D105">
        <v>16.78227</v>
      </c>
      <c r="E105">
        <v>17.345558</v>
      </c>
      <c r="F105">
        <v>0.14620649999999999</v>
      </c>
      <c r="G105">
        <v>18.606301500000001</v>
      </c>
      <c r="H105">
        <v>-16</v>
      </c>
      <c r="I105">
        <v>-4</v>
      </c>
      <c r="J105">
        <v>1.17</v>
      </c>
      <c r="K105">
        <v>5.6174307499999996</v>
      </c>
      <c r="L105">
        <v>0.215544771447919</v>
      </c>
      <c r="M105">
        <v>-1.177583049859896</v>
      </c>
      <c r="N105">
        <v>-0.1139664253704578</v>
      </c>
      <c r="O105">
        <v>0.55443412403791525</v>
      </c>
    </row>
    <row r="106" spans="1:15" x14ac:dyDescent="0.25">
      <c r="A106">
        <v>9.3887730000000005</v>
      </c>
      <c r="B106">
        <v>3.7518570000000002</v>
      </c>
      <c r="C106">
        <v>10.118962</v>
      </c>
      <c r="D106">
        <v>16.431725499999999</v>
      </c>
      <c r="E106">
        <v>17.1220325</v>
      </c>
      <c r="F106">
        <v>0.194933</v>
      </c>
      <c r="G106">
        <v>18.047163000000001</v>
      </c>
      <c r="H106">
        <v>-16</v>
      </c>
      <c r="I106">
        <v>0</v>
      </c>
      <c r="J106">
        <v>1.17</v>
      </c>
      <c r="K106">
        <v>5.5241759999999998</v>
      </c>
      <c r="L106">
        <v>-6.920886656071483E-2</v>
      </c>
      <c r="M106">
        <v>-1.2017810578440971</v>
      </c>
      <c r="N106">
        <v>-8.7760779711517994E-2</v>
      </c>
      <c r="O106">
        <v>0.60431253136926244</v>
      </c>
    </row>
    <row r="107" spans="1:15" x14ac:dyDescent="0.25">
      <c r="A107">
        <v>7.4929570000000014</v>
      </c>
      <c r="B107">
        <v>3.7037564999999999</v>
      </c>
      <c r="C107">
        <v>11.20239875</v>
      </c>
      <c r="D107">
        <v>15.774456000000001</v>
      </c>
      <c r="E107">
        <v>16.4067525</v>
      </c>
      <c r="F107">
        <v>0.14620649999999999</v>
      </c>
      <c r="G107">
        <v>17.766010250000001</v>
      </c>
      <c r="H107">
        <v>-16</v>
      </c>
      <c r="I107">
        <v>4</v>
      </c>
      <c r="J107">
        <v>1.17</v>
      </c>
      <c r="K107">
        <v>5.4880642499999999</v>
      </c>
      <c r="L107">
        <v>-0.34319887352670742</v>
      </c>
      <c r="M107">
        <v>-1.1168141386484569</v>
      </c>
      <c r="N107">
        <v>-0.1257274110687491</v>
      </c>
      <c r="O107">
        <v>0.504512666219882</v>
      </c>
    </row>
    <row r="108" spans="1:15" x14ac:dyDescent="0.25">
      <c r="A108">
        <v>5.7776959999999997</v>
      </c>
      <c r="B108">
        <v>3.655656</v>
      </c>
      <c r="C108">
        <v>12.37684425</v>
      </c>
      <c r="D108">
        <v>15.29245875</v>
      </c>
      <c r="E108">
        <v>15.914999</v>
      </c>
      <c r="F108">
        <v>4.8753499999999998E-2</v>
      </c>
      <c r="G108">
        <v>17.487959499999999</v>
      </c>
      <c r="H108">
        <v>-16</v>
      </c>
      <c r="I108">
        <v>8</v>
      </c>
      <c r="J108">
        <v>1.17</v>
      </c>
      <c r="K108">
        <v>5.4598744999999997</v>
      </c>
      <c r="L108">
        <v>-0.58929790201622156</v>
      </c>
      <c r="M108">
        <v>-1.0391558405664849</v>
      </c>
      <c r="N108">
        <v>-0.14046393375150901</v>
      </c>
      <c r="O108">
        <v>0.41684120917033729</v>
      </c>
    </row>
    <row r="109" spans="1:15" x14ac:dyDescent="0.25">
      <c r="A109">
        <v>4.2881264999999997</v>
      </c>
      <c r="B109">
        <v>3.5594545000000002</v>
      </c>
      <c r="C109">
        <v>13.958748999999999</v>
      </c>
      <c r="D109">
        <v>15.3362765</v>
      </c>
      <c r="E109">
        <v>15.8255885</v>
      </c>
      <c r="F109">
        <v>9.7479999999999997E-2</v>
      </c>
      <c r="G109">
        <v>17.847080500000001</v>
      </c>
      <c r="H109">
        <v>-16</v>
      </c>
      <c r="I109">
        <v>12</v>
      </c>
      <c r="J109">
        <v>1.17</v>
      </c>
      <c r="K109">
        <v>5.5082175000000007</v>
      </c>
      <c r="L109">
        <v>-0.81263491502073359</v>
      </c>
      <c r="M109">
        <v>-0.9895357246352724</v>
      </c>
      <c r="N109">
        <v>-0.16986506843591831</v>
      </c>
      <c r="O109">
        <v>0.32149512028060212</v>
      </c>
    </row>
    <row r="110" spans="1:15" x14ac:dyDescent="0.25">
      <c r="A110">
        <v>2.3020355000000001</v>
      </c>
      <c r="B110">
        <v>2.8860459999999999</v>
      </c>
      <c r="C110">
        <v>15.447454499999999</v>
      </c>
      <c r="D110">
        <v>14.898097</v>
      </c>
      <c r="E110">
        <v>15.065602999999999</v>
      </c>
      <c r="F110">
        <v>0.14620649999999999</v>
      </c>
      <c r="G110">
        <v>18.168270750000001</v>
      </c>
      <c r="H110">
        <v>-16</v>
      </c>
      <c r="I110">
        <v>16</v>
      </c>
      <c r="J110">
        <v>1.17</v>
      </c>
      <c r="K110">
        <v>5.5503887499999998</v>
      </c>
      <c r="L110">
        <v>-1.054023722766197</v>
      </c>
      <c r="M110">
        <v>-0.9631892750734653</v>
      </c>
      <c r="N110">
        <v>-0.24883089139003831</v>
      </c>
      <c r="O110">
        <v>0.19630464079454879</v>
      </c>
    </row>
    <row r="111" spans="1:15" x14ac:dyDescent="0.25">
      <c r="A111">
        <v>0.22566549999999999</v>
      </c>
      <c r="B111">
        <v>1.58732875</v>
      </c>
      <c r="C111">
        <v>16.443317</v>
      </c>
      <c r="D111">
        <v>14.372282</v>
      </c>
      <c r="E111">
        <v>13.769157999999999</v>
      </c>
      <c r="F111">
        <v>0.14620649999999999</v>
      </c>
      <c r="G111">
        <v>18.568448499999999</v>
      </c>
      <c r="H111">
        <v>-16</v>
      </c>
      <c r="I111">
        <v>20</v>
      </c>
      <c r="J111">
        <v>1.17</v>
      </c>
      <c r="K111">
        <v>5.6116134999999998</v>
      </c>
      <c r="L111">
        <v>-1.2608364632776801</v>
      </c>
      <c r="M111">
        <v>-0.99395732876359966</v>
      </c>
      <c r="N111">
        <v>-0.37309995911651977</v>
      </c>
      <c r="O111">
        <v>5.9108558300173683E-2</v>
      </c>
    </row>
    <row r="112" spans="1:15" x14ac:dyDescent="0.25">
      <c r="A112">
        <v>-2.2077347500000002</v>
      </c>
      <c r="B112">
        <v>-0.28780050000000001</v>
      </c>
      <c r="C112">
        <v>17.435997749999999</v>
      </c>
      <c r="D112">
        <v>13.53974075</v>
      </c>
      <c r="E112">
        <v>11.802137999999999</v>
      </c>
      <c r="F112">
        <v>0.194933</v>
      </c>
      <c r="G112">
        <v>19.006432749999998</v>
      </c>
      <c r="H112">
        <v>-16</v>
      </c>
      <c r="I112">
        <v>24</v>
      </c>
      <c r="J112">
        <v>1.17</v>
      </c>
      <c r="K112">
        <v>5.6706535000000002</v>
      </c>
      <c r="L112">
        <v>-1.5052890265074119</v>
      </c>
      <c r="M112">
        <v>-1.0595801829989331</v>
      </c>
      <c r="N112">
        <v>-0.55210284992480552</v>
      </c>
      <c r="O112">
        <v>-0.1105213996825367</v>
      </c>
    </row>
    <row r="113" spans="1:15" x14ac:dyDescent="0.25">
      <c r="A113">
        <v>-4.4151860000000003</v>
      </c>
      <c r="B113">
        <v>-2.15850075</v>
      </c>
      <c r="C113">
        <v>18.113558749999999</v>
      </c>
      <c r="D113">
        <v>12.444293</v>
      </c>
      <c r="E113">
        <v>9.5221842500000005</v>
      </c>
      <c r="F113">
        <v>9.7479999999999997E-2</v>
      </c>
      <c r="G113">
        <v>19.168718999999999</v>
      </c>
      <c r="H113">
        <v>-16</v>
      </c>
      <c r="I113">
        <v>28</v>
      </c>
      <c r="J113">
        <v>1.17</v>
      </c>
      <c r="K113">
        <v>5.7096097500000003</v>
      </c>
      <c r="L113">
        <v>-1.758871962509416</v>
      </c>
      <c r="M113">
        <v>-1.140057889467512</v>
      </c>
      <c r="N113">
        <v>-0.75320890486339054</v>
      </c>
      <c r="O113">
        <v>-0.26419116608980009</v>
      </c>
    </row>
    <row r="114" spans="1:15" x14ac:dyDescent="0.25">
      <c r="A114">
        <v>-7.1183575000000001</v>
      </c>
      <c r="B114">
        <v>-4.5568342499999996</v>
      </c>
      <c r="C114">
        <v>18.566493749999999</v>
      </c>
      <c r="D114">
        <v>11.042118</v>
      </c>
      <c r="E114">
        <v>6.4822442499999999</v>
      </c>
      <c r="F114">
        <v>0.194933</v>
      </c>
      <c r="G114">
        <v>19.4877255</v>
      </c>
      <c r="H114">
        <v>-16</v>
      </c>
      <c r="I114">
        <v>32</v>
      </c>
      <c r="J114">
        <v>1.17</v>
      </c>
      <c r="K114">
        <v>5.7427132500000004</v>
      </c>
      <c r="L114">
        <v>-2.08482215002042</v>
      </c>
      <c r="M114">
        <v>-1.2661824539913631</v>
      </c>
      <c r="N114">
        <v>-1.0556723962806069</v>
      </c>
      <c r="O114">
        <v>-0.4896596669680725</v>
      </c>
    </row>
    <row r="115" spans="1:15" x14ac:dyDescent="0.25">
      <c r="A115">
        <v>-9.4617195000000009</v>
      </c>
      <c r="B115">
        <v>-6.9072009999999997</v>
      </c>
      <c r="C115">
        <v>18.611667749999999</v>
      </c>
      <c r="D115">
        <v>9.3770360000000004</v>
      </c>
      <c r="E115">
        <v>3.1740742499999999</v>
      </c>
      <c r="F115">
        <v>9.7479999999999997E-2</v>
      </c>
      <c r="G115">
        <v>19.647789</v>
      </c>
      <c r="H115">
        <v>-16</v>
      </c>
      <c r="I115">
        <v>36</v>
      </c>
      <c r="J115">
        <v>1.17</v>
      </c>
      <c r="K115">
        <v>5.7808807499999997</v>
      </c>
      <c r="L115">
        <v>-2.4716129900330861</v>
      </c>
      <c r="M115">
        <v>-1.4336705657172299</v>
      </c>
      <c r="N115">
        <v>-1.4503592954529301</v>
      </c>
      <c r="O115">
        <v>-0.72916068748444707</v>
      </c>
    </row>
    <row r="116" spans="1:15" x14ac:dyDescent="0.25">
      <c r="A116">
        <v>18.416461999999999</v>
      </c>
      <c r="B116">
        <v>-4.4609007500000004</v>
      </c>
      <c r="C116">
        <v>-8.5244662499999997</v>
      </c>
      <c r="D116">
        <v>8.3692229999999999</v>
      </c>
      <c r="E116">
        <v>6.9739990000000001</v>
      </c>
      <c r="F116">
        <v>0.14620649999999999</v>
      </c>
      <c r="G116">
        <v>18.845286000000002</v>
      </c>
      <c r="H116">
        <v>-12</v>
      </c>
      <c r="I116">
        <v>-36</v>
      </c>
      <c r="J116">
        <v>1.17</v>
      </c>
      <c r="K116">
        <v>5.6536920000000004</v>
      </c>
      <c r="L116">
        <v>2.000598319618891</v>
      </c>
      <c r="M116">
        <v>-0.95276156598593287</v>
      </c>
      <c r="N116">
        <v>-0.88155134264552659</v>
      </c>
      <c r="O116">
        <v>-0.49295584504166923</v>
      </c>
    </row>
    <row r="117" spans="1:15" x14ac:dyDescent="0.25">
      <c r="A117">
        <v>18.055354999999999</v>
      </c>
      <c r="B117">
        <v>-2.1105339999999999</v>
      </c>
      <c r="C117">
        <v>-5.6829780000000003</v>
      </c>
      <c r="D117">
        <v>9.8152150000000002</v>
      </c>
      <c r="E117">
        <v>9.4774790000000007</v>
      </c>
      <c r="F117">
        <v>0.14620649999999999</v>
      </c>
      <c r="G117">
        <v>18.3272695</v>
      </c>
      <c r="H117">
        <v>-12</v>
      </c>
      <c r="I117">
        <v>-32</v>
      </c>
      <c r="J117">
        <v>1.17</v>
      </c>
      <c r="K117">
        <v>5.5748195000000003</v>
      </c>
      <c r="L117">
        <v>1.7749275951474219</v>
      </c>
      <c r="M117">
        <v>-0.8917059280352424</v>
      </c>
      <c r="N117">
        <v>-0.66171195207277733</v>
      </c>
      <c r="O117">
        <v>-0.30227463840778429</v>
      </c>
    </row>
    <row r="118" spans="1:15" x14ac:dyDescent="0.25">
      <c r="A118">
        <v>17.152585999999999</v>
      </c>
      <c r="B118">
        <v>9.0000000000000002E-6</v>
      </c>
      <c r="C118">
        <v>-2.9316949999999999</v>
      </c>
      <c r="D118">
        <v>10.954482</v>
      </c>
      <c r="E118">
        <v>11.444499</v>
      </c>
      <c r="F118">
        <v>0.14620649999999999</v>
      </c>
      <c r="G118">
        <v>17.886054250000001</v>
      </c>
      <c r="H118">
        <v>-12</v>
      </c>
      <c r="I118">
        <v>-28</v>
      </c>
      <c r="J118">
        <v>1.17</v>
      </c>
      <c r="K118">
        <v>5.5067702500000006</v>
      </c>
      <c r="L118">
        <v>1.555669762506809</v>
      </c>
      <c r="M118">
        <v>-0.84852325948083884</v>
      </c>
      <c r="N118">
        <v>-0.498944657486312</v>
      </c>
      <c r="O118">
        <v>-0.1248504198502646</v>
      </c>
    </row>
    <row r="119" spans="1:15" x14ac:dyDescent="0.25">
      <c r="A119">
        <v>16.430371999999998</v>
      </c>
      <c r="B119">
        <v>1.7797317500000001</v>
      </c>
      <c r="C119">
        <v>-0.22551574999999999</v>
      </c>
      <c r="D119">
        <v>11.918476999999999</v>
      </c>
      <c r="E119">
        <v>13.187993000000001</v>
      </c>
      <c r="F119">
        <v>0.14620649999999999</v>
      </c>
      <c r="G119">
        <v>17.687015500000001</v>
      </c>
      <c r="H119">
        <v>-12</v>
      </c>
      <c r="I119">
        <v>-24</v>
      </c>
      <c r="J119">
        <v>1.17</v>
      </c>
      <c r="K119">
        <v>5.4757785000000014</v>
      </c>
      <c r="L119">
        <v>1.3421183212972529</v>
      </c>
      <c r="M119">
        <v>-0.81693568368743441</v>
      </c>
      <c r="N119">
        <v>-0.36259467426713132</v>
      </c>
      <c r="O119">
        <v>5.0822612203245063E-2</v>
      </c>
    </row>
    <row r="120" spans="1:15" x14ac:dyDescent="0.25">
      <c r="A120">
        <v>15.527602</v>
      </c>
      <c r="B120">
        <v>3.0303482499999999</v>
      </c>
      <c r="C120">
        <v>1.58108125</v>
      </c>
      <c r="D120">
        <v>12.75101725</v>
      </c>
      <c r="E120">
        <v>14.3950285</v>
      </c>
      <c r="F120">
        <v>4.8753499999999998E-2</v>
      </c>
      <c r="G120">
        <v>17.406909500000001</v>
      </c>
      <c r="H120">
        <v>-12</v>
      </c>
      <c r="I120">
        <v>-20</v>
      </c>
      <c r="J120">
        <v>1.17</v>
      </c>
      <c r="K120">
        <v>5.4471887499999996</v>
      </c>
      <c r="L120">
        <v>1.1536572999758159</v>
      </c>
      <c r="M120">
        <v>-0.80410396530855999</v>
      </c>
      <c r="N120">
        <v>-0.24913593391402961</v>
      </c>
      <c r="O120">
        <v>0.18672914877438751</v>
      </c>
    </row>
    <row r="121" spans="1:15" x14ac:dyDescent="0.25">
      <c r="A121">
        <v>14.263726</v>
      </c>
      <c r="B121">
        <v>3.8961587500000001</v>
      </c>
      <c r="C121">
        <v>3.5235620000000001</v>
      </c>
      <c r="D121">
        <v>13.145379</v>
      </c>
      <c r="E121">
        <v>15.020898000000001</v>
      </c>
      <c r="F121">
        <v>9.7479999999999997E-2</v>
      </c>
      <c r="G121">
        <v>16.926719250000001</v>
      </c>
      <c r="H121">
        <v>-12</v>
      </c>
      <c r="I121">
        <v>-16</v>
      </c>
      <c r="J121">
        <v>1.17</v>
      </c>
      <c r="K121">
        <v>5.3635222499999999</v>
      </c>
      <c r="L121">
        <v>0.94952486043643614</v>
      </c>
      <c r="M121">
        <v>-0.81771012302538204</v>
      </c>
      <c r="N121">
        <v>-0.16852064427588159</v>
      </c>
      <c r="O121">
        <v>0.31941075175966932</v>
      </c>
    </row>
    <row r="122" spans="1:15" x14ac:dyDescent="0.25">
      <c r="A122">
        <v>13.722063</v>
      </c>
      <c r="B122">
        <v>4.7619705000000003</v>
      </c>
      <c r="C122">
        <v>5.4208689999999997</v>
      </c>
      <c r="D122">
        <v>14.109374499999999</v>
      </c>
      <c r="E122">
        <v>16.22793175</v>
      </c>
      <c r="F122">
        <v>0.14620649999999999</v>
      </c>
      <c r="G122">
        <v>17.446920500000001</v>
      </c>
      <c r="H122">
        <v>-12</v>
      </c>
      <c r="I122">
        <v>-12</v>
      </c>
      <c r="J122">
        <v>1.17</v>
      </c>
      <c r="K122">
        <v>5.4381415000000004</v>
      </c>
      <c r="L122">
        <v>0.74546312130731307</v>
      </c>
      <c r="M122">
        <v>-0.83941835848848267</v>
      </c>
      <c r="N122">
        <v>-0.1095545667285448</v>
      </c>
      <c r="O122">
        <v>0.44410376989963779</v>
      </c>
    </row>
    <row r="123" spans="1:15" x14ac:dyDescent="0.25">
      <c r="A123">
        <v>12.819295</v>
      </c>
      <c r="B123">
        <v>5.1948759999999998</v>
      </c>
      <c r="C123">
        <v>7.273002</v>
      </c>
      <c r="D123">
        <v>14.810461500000001</v>
      </c>
      <c r="E123">
        <v>17.166737000000001</v>
      </c>
      <c r="F123">
        <v>0.14620649999999999</v>
      </c>
      <c r="G123">
        <v>17.886054250000001</v>
      </c>
      <c r="H123">
        <v>-12</v>
      </c>
      <c r="I123">
        <v>-8</v>
      </c>
      <c r="J123">
        <v>1.17</v>
      </c>
      <c r="K123">
        <v>5.5067702500000006</v>
      </c>
      <c r="L123">
        <v>0.50728854255451639</v>
      </c>
      <c r="M123">
        <v>-0.87954528622364359</v>
      </c>
      <c r="N123">
        <v>-6.5773092684739506E-2</v>
      </c>
      <c r="O123">
        <v>0.55687982295993765</v>
      </c>
    </row>
    <row r="124" spans="1:15" x14ac:dyDescent="0.25">
      <c r="A124">
        <v>11.6908335</v>
      </c>
      <c r="B124">
        <v>5.5315804999999996</v>
      </c>
      <c r="C124">
        <v>9.0347860000000004</v>
      </c>
      <c r="D124">
        <v>15.20482325</v>
      </c>
      <c r="E124">
        <v>17.703196999999999</v>
      </c>
      <c r="F124">
        <v>0.194933</v>
      </c>
      <c r="G124">
        <v>18.007142999999999</v>
      </c>
      <c r="H124">
        <v>-12</v>
      </c>
      <c r="I124">
        <v>-4</v>
      </c>
      <c r="J124">
        <v>1.17</v>
      </c>
      <c r="K124">
        <v>5.5179774999999998</v>
      </c>
      <c r="L124">
        <v>0.25489275842439058</v>
      </c>
      <c r="M124">
        <v>-0.92834494755282104</v>
      </c>
      <c r="N124">
        <v>-2.9187089917308041E-2</v>
      </c>
      <c r="O124">
        <v>0.68028017535967034</v>
      </c>
    </row>
    <row r="125" spans="1:15" x14ac:dyDescent="0.25">
      <c r="A125">
        <v>10.291541</v>
      </c>
      <c r="B125">
        <v>5.7720830000000003</v>
      </c>
      <c r="C125">
        <v>10.886919000000001</v>
      </c>
      <c r="D125">
        <v>15.555365999999999</v>
      </c>
      <c r="E125">
        <v>18.10554325</v>
      </c>
      <c r="F125">
        <v>0.14620649999999999</v>
      </c>
      <c r="G125">
        <v>18.36621525</v>
      </c>
      <c r="H125">
        <v>-12</v>
      </c>
      <c r="I125">
        <v>0</v>
      </c>
      <c r="J125">
        <v>1.17</v>
      </c>
      <c r="K125">
        <v>5.5807665000000002</v>
      </c>
      <c r="L125">
        <v>-5.9125220784920628E-2</v>
      </c>
      <c r="M125">
        <v>-0.97120549945324441</v>
      </c>
      <c r="N125">
        <v>-2.5919482230068371E-2</v>
      </c>
      <c r="O125">
        <v>0.78277095939804076</v>
      </c>
    </row>
    <row r="126" spans="1:15" x14ac:dyDescent="0.25">
      <c r="A126">
        <v>8.7116947499999995</v>
      </c>
      <c r="B126">
        <v>5.9163852500000003</v>
      </c>
      <c r="C126">
        <v>12.513183</v>
      </c>
      <c r="D126">
        <v>15.599183999999999</v>
      </c>
      <c r="E126">
        <v>18.239656</v>
      </c>
      <c r="F126">
        <v>0.194933</v>
      </c>
      <c r="G126">
        <v>18.567364749999999</v>
      </c>
      <c r="H126">
        <v>-12</v>
      </c>
      <c r="I126">
        <v>4</v>
      </c>
      <c r="J126">
        <v>1.17</v>
      </c>
      <c r="K126">
        <v>5.6040679999999998</v>
      </c>
      <c r="L126">
        <v>-0.34792093367703658</v>
      </c>
      <c r="M126">
        <v>-0.88624167521229413</v>
      </c>
      <c r="N126">
        <v>-2.996594418333158E-2</v>
      </c>
      <c r="O126">
        <v>0.65165792092220787</v>
      </c>
    </row>
    <row r="127" spans="1:15" x14ac:dyDescent="0.25">
      <c r="A127">
        <v>6.9964337499999996</v>
      </c>
      <c r="B127">
        <v>5.9163852500000003</v>
      </c>
      <c r="C127">
        <v>14.094271000000001</v>
      </c>
      <c r="D127">
        <v>15.555365999999999</v>
      </c>
      <c r="E127">
        <v>18.194951750000001</v>
      </c>
      <c r="F127">
        <v>0.194933</v>
      </c>
      <c r="G127">
        <v>18.846379500000001</v>
      </c>
      <c r="H127">
        <v>-12</v>
      </c>
      <c r="I127">
        <v>8</v>
      </c>
      <c r="J127">
        <v>1.17</v>
      </c>
      <c r="K127">
        <v>5.6464777499999999</v>
      </c>
      <c r="L127">
        <v>-0.60467408126331323</v>
      </c>
      <c r="M127">
        <v>-0.82117481731271935</v>
      </c>
      <c r="N127">
        <v>-5.5560442673161077E-2</v>
      </c>
      <c r="O127">
        <v>0.53353828704916451</v>
      </c>
    </row>
    <row r="128" spans="1:15" x14ac:dyDescent="0.25">
      <c r="A128">
        <v>5.1908954999999999</v>
      </c>
      <c r="B128">
        <v>5.7239825</v>
      </c>
      <c r="C128">
        <v>15.585012000000001</v>
      </c>
      <c r="D128">
        <v>15.117187749999999</v>
      </c>
      <c r="E128">
        <v>17.792607</v>
      </c>
      <c r="F128">
        <v>9.7479999999999997E-2</v>
      </c>
      <c r="G128">
        <v>19.205387000000002</v>
      </c>
      <c r="H128">
        <v>-12</v>
      </c>
      <c r="I128">
        <v>12</v>
      </c>
      <c r="J128">
        <v>1.17</v>
      </c>
      <c r="K128">
        <v>5.7151445000000001</v>
      </c>
      <c r="L128">
        <v>-0.8426474557531608</v>
      </c>
      <c r="M128">
        <v>-0.76149844906223685</v>
      </c>
      <c r="N128">
        <v>-0.1145627309888331</v>
      </c>
      <c r="O128">
        <v>0.43458758829932242</v>
      </c>
    </row>
    <row r="129" spans="1:15" x14ac:dyDescent="0.25">
      <c r="A129">
        <v>3.20480375</v>
      </c>
      <c r="B129">
        <v>4.9543732499999997</v>
      </c>
      <c r="C129">
        <v>16.804708000000002</v>
      </c>
      <c r="D129">
        <v>14.67900775</v>
      </c>
      <c r="E129">
        <v>16.987919000000002</v>
      </c>
      <c r="F129">
        <v>0.194933</v>
      </c>
      <c r="G129">
        <v>19.3265405</v>
      </c>
      <c r="H129">
        <v>-12</v>
      </c>
      <c r="I129">
        <v>16</v>
      </c>
      <c r="J129">
        <v>1.17</v>
      </c>
      <c r="K129">
        <v>5.7186975000000002</v>
      </c>
      <c r="L129">
        <v>-1.053579086246252</v>
      </c>
      <c r="M129">
        <v>-0.75338683399310225</v>
      </c>
      <c r="N129">
        <v>-0.18121094142250019</v>
      </c>
      <c r="O129">
        <v>0.30099228806128209</v>
      </c>
    </row>
    <row r="130" spans="1:15" x14ac:dyDescent="0.25">
      <c r="A130">
        <v>0.85760375</v>
      </c>
      <c r="B130">
        <v>3.7518570000000002</v>
      </c>
      <c r="C130">
        <v>17.887708249999999</v>
      </c>
      <c r="D130">
        <v>13.80264725</v>
      </c>
      <c r="E130">
        <v>15.557358000000001</v>
      </c>
      <c r="F130">
        <v>9.7479999999999997E-2</v>
      </c>
      <c r="G130">
        <v>19.646648750000001</v>
      </c>
      <c r="H130">
        <v>-12</v>
      </c>
      <c r="I130">
        <v>20</v>
      </c>
      <c r="J130">
        <v>1.17</v>
      </c>
      <c r="K130">
        <v>5.7807647500000003</v>
      </c>
      <c r="L130">
        <v>-1.285049851378042</v>
      </c>
      <c r="M130">
        <v>-0.7583694227751574</v>
      </c>
      <c r="N130">
        <v>-0.30860057001386482</v>
      </c>
      <c r="O130">
        <v>0.1665793461464205</v>
      </c>
    </row>
    <row r="131" spans="1:15" x14ac:dyDescent="0.25">
      <c r="A131">
        <v>-1.621785</v>
      </c>
      <c r="B131">
        <v>1.9721344999999999</v>
      </c>
      <c r="C131">
        <v>18.476145249999998</v>
      </c>
      <c r="D131">
        <v>12.531928499999999</v>
      </c>
      <c r="E131">
        <v>13.23269775</v>
      </c>
      <c r="F131">
        <v>0.194933</v>
      </c>
      <c r="G131">
        <v>19.528885750000001</v>
      </c>
      <c r="H131">
        <v>-12</v>
      </c>
      <c r="I131">
        <v>24</v>
      </c>
      <c r="J131">
        <v>1.17</v>
      </c>
      <c r="K131">
        <v>5.7488450000000002</v>
      </c>
      <c r="L131">
        <v>-1.5392119458222571</v>
      </c>
      <c r="M131">
        <v>-0.8087143633266366</v>
      </c>
      <c r="N131">
        <v>-0.48221584087089953</v>
      </c>
      <c r="O131">
        <v>-1.5263328318089219E-3</v>
      </c>
    </row>
    <row r="132" spans="1:15" x14ac:dyDescent="0.25">
      <c r="A132">
        <v>-3.91959525</v>
      </c>
      <c r="B132">
        <v>0.14431050000000001</v>
      </c>
      <c r="C132">
        <v>18.205102750000002</v>
      </c>
      <c r="D132">
        <v>10.691573999999999</v>
      </c>
      <c r="E132">
        <v>10.19276</v>
      </c>
      <c r="F132">
        <v>0.14620649999999999</v>
      </c>
      <c r="G132">
        <v>18.846379500000001</v>
      </c>
      <c r="H132">
        <v>-12</v>
      </c>
      <c r="I132">
        <v>28</v>
      </c>
      <c r="J132">
        <v>1.17</v>
      </c>
      <c r="K132">
        <v>5.6538265000000001</v>
      </c>
      <c r="L132">
        <v>-1.8314793614281051</v>
      </c>
      <c r="M132">
        <v>-0.87308360009626063</v>
      </c>
      <c r="N132">
        <v>-0.7163562599953347</v>
      </c>
      <c r="O132">
        <v>-0.16836616037155669</v>
      </c>
    </row>
    <row r="133" spans="1:15" x14ac:dyDescent="0.25">
      <c r="A133">
        <v>-6.3078130000000003</v>
      </c>
      <c r="B133">
        <v>-1.9186669999999999</v>
      </c>
      <c r="C133">
        <v>18.113558749999999</v>
      </c>
      <c r="D133">
        <v>8.9388570000000005</v>
      </c>
      <c r="E133">
        <v>7.0187042499999999</v>
      </c>
      <c r="F133">
        <v>0.194933</v>
      </c>
      <c r="G133">
        <v>18.487333499999998</v>
      </c>
      <c r="H133">
        <v>-12</v>
      </c>
      <c r="I133">
        <v>32</v>
      </c>
      <c r="J133">
        <v>1.17</v>
      </c>
      <c r="K133">
        <v>5.5918619999999999</v>
      </c>
      <c r="L133">
        <v>-2.1939311452682189</v>
      </c>
      <c r="M133">
        <v>-0.97539521571684495</v>
      </c>
      <c r="N133">
        <v>-1.030314522368541</v>
      </c>
      <c r="O133">
        <v>-0.38702850969341512</v>
      </c>
    </row>
    <row r="134" spans="1:15" x14ac:dyDescent="0.25">
      <c r="A134">
        <v>-8.3792834999999997</v>
      </c>
      <c r="B134">
        <v>-3.9812352500000001</v>
      </c>
      <c r="C134">
        <v>17.663013500000002</v>
      </c>
      <c r="D134">
        <v>7.18614</v>
      </c>
      <c r="E134">
        <v>3.6658295000000001</v>
      </c>
      <c r="F134">
        <v>0.14620649999999999</v>
      </c>
      <c r="G134">
        <v>18.046107500000002</v>
      </c>
      <c r="H134">
        <v>-12</v>
      </c>
      <c r="I134">
        <v>36</v>
      </c>
      <c r="J134">
        <v>1.17</v>
      </c>
      <c r="K134">
        <v>5.5315234999999996</v>
      </c>
      <c r="L134">
        <v>-2.645030608504424</v>
      </c>
      <c r="M134">
        <v>-1.1341986248970219</v>
      </c>
      <c r="N134">
        <v>-1.460575531230782</v>
      </c>
      <c r="O134">
        <v>-0.64253541143977178</v>
      </c>
    </row>
    <row r="135" spans="1:15" x14ac:dyDescent="0.25">
      <c r="A135">
        <v>17.694248000000002</v>
      </c>
      <c r="B135">
        <v>-2.0146004999999998</v>
      </c>
      <c r="C135">
        <v>-7.9381277499999996</v>
      </c>
      <c r="D135">
        <v>6.2221445000000006</v>
      </c>
      <c r="E135">
        <v>6.7951779999999999</v>
      </c>
      <c r="F135">
        <v>0.194933</v>
      </c>
      <c r="G135">
        <v>17.764982</v>
      </c>
      <c r="H135">
        <v>-8</v>
      </c>
      <c r="I135">
        <v>-36</v>
      </c>
      <c r="J135">
        <v>1.17</v>
      </c>
      <c r="K135">
        <v>5.480353</v>
      </c>
      <c r="L135">
        <v>2.177564786040787</v>
      </c>
      <c r="M135">
        <v>-0.69976517846194808</v>
      </c>
      <c r="N135">
        <v>-0.93196377833594446</v>
      </c>
      <c r="O135">
        <v>-0.43926169800819359</v>
      </c>
    </row>
    <row r="136" spans="1:15" x14ac:dyDescent="0.25">
      <c r="A136">
        <v>17.333141000000001</v>
      </c>
      <c r="B136">
        <v>4.8109499999999999E-2</v>
      </c>
      <c r="C136">
        <v>-5.2770507499999999</v>
      </c>
      <c r="D136">
        <v>7.7557720000000003</v>
      </c>
      <c r="E136">
        <v>9.2986579999999996</v>
      </c>
      <c r="F136">
        <v>0.14620649999999999</v>
      </c>
      <c r="G136">
        <v>17.487959499999999</v>
      </c>
      <c r="H136">
        <v>-8</v>
      </c>
      <c r="I136">
        <v>-32</v>
      </c>
      <c r="J136">
        <v>1.17</v>
      </c>
      <c r="K136">
        <v>5.4446147500000004</v>
      </c>
      <c r="L136">
        <v>1.8979513417240099</v>
      </c>
      <c r="M136">
        <v>-0.64697595735084468</v>
      </c>
      <c r="N136">
        <v>-0.68746539050060451</v>
      </c>
      <c r="O136">
        <v>-0.23174184995485839</v>
      </c>
    </row>
    <row r="137" spans="1:15" x14ac:dyDescent="0.25">
      <c r="A137">
        <v>16.610925999999999</v>
      </c>
      <c r="B137">
        <v>1.924034</v>
      </c>
      <c r="C137">
        <v>-2.6610770000000001</v>
      </c>
      <c r="D137">
        <v>8.8512210000000007</v>
      </c>
      <c r="E137">
        <v>11.265677999999999</v>
      </c>
      <c r="F137">
        <v>9.7479999999999997E-2</v>
      </c>
      <c r="G137">
        <v>17.084790999999999</v>
      </c>
      <c r="H137">
        <v>-8</v>
      </c>
      <c r="I137">
        <v>-28</v>
      </c>
      <c r="J137">
        <v>1.17</v>
      </c>
      <c r="K137">
        <v>5.3886894999999999</v>
      </c>
      <c r="L137">
        <v>1.6564919466087731</v>
      </c>
      <c r="M137">
        <v>-0.59543726430057187</v>
      </c>
      <c r="N137">
        <v>-0.50015862896740693</v>
      </c>
      <c r="O137">
        <v>-4.0027290487914327E-2</v>
      </c>
    </row>
    <row r="138" spans="1:15" x14ac:dyDescent="0.25">
      <c r="A138">
        <v>16.610925999999999</v>
      </c>
      <c r="B138">
        <v>3.5113537500000001</v>
      </c>
      <c r="C138">
        <v>-0.27061800000000003</v>
      </c>
      <c r="D138">
        <v>10.341030999999999</v>
      </c>
      <c r="E138">
        <v>13.411517</v>
      </c>
      <c r="F138">
        <v>0.194933</v>
      </c>
      <c r="G138">
        <v>17.405891</v>
      </c>
      <c r="H138">
        <v>-8</v>
      </c>
      <c r="I138">
        <v>-24</v>
      </c>
      <c r="J138">
        <v>1.17</v>
      </c>
      <c r="K138">
        <v>5.4240512499999998</v>
      </c>
      <c r="L138">
        <v>1.4317296516261091</v>
      </c>
      <c r="M138">
        <v>-0.57920469625957427</v>
      </c>
      <c r="N138">
        <v>-0.33879431619033218</v>
      </c>
      <c r="O138">
        <v>0.1209382911998266</v>
      </c>
    </row>
    <row r="139" spans="1:15" x14ac:dyDescent="0.25">
      <c r="A139">
        <v>16.430371999999998</v>
      </c>
      <c r="B139">
        <v>4.9062725</v>
      </c>
      <c r="C139">
        <v>1.80681</v>
      </c>
      <c r="D139">
        <v>11.655569</v>
      </c>
      <c r="E139">
        <v>15.24442275</v>
      </c>
      <c r="F139">
        <v>0.14620649999999999</v>
      </c>
      <c r="G139">
        <v>17.767047999999999</v>
      </c>
      <c r="H139">
        <v>-8</v>
      </c>
      <c r="I139">
        <v>-20</v>
      </c>
      <c r="J139">
        <v>1.17</v>
      </c>
      <c r="K139">
        <v>5.4882249999999999</v>
      </c>
      <c r="L139">
        <v>1.230072340827427</v>
      </c>
      <c r="M139">
        <v>-0.56776080063125478</v>
      </c>
      <c r="N139">
        <v>-0.21215174133311429</v>
      </c>
      <c r="O139">
        <v>0.270153561790476</v>
      </c>
    </row>
    <row r="140" spans="1:15" x14ac:dyDescent="0.25">
      <c r="A140">
        <v>15.753295250000001</v>
      </c>
      <c r="B140">
        <v>6.0606869999999997</v>
      </c>
      <c r="C140">
        <v>3.9301279999999998</v>
      </c>
      <c r="D140">
        <v>12.75101725</v>
      </c>
      <c r="E140">
        <v>16.630278000000001</v>
      </c>
      <c r="F140">
        <v>0.194933</v>
      </c>
      <c r="G140">
        <v>17.888138000000001</v>
      </c>
      <c r="H140">
        <v>-8</v>
      </c>
      <c r="I140">
        <v>-16</v>
      </c>
      <c r="J140">
        <v>1.17</v>
      </c>
      <c r="K140">
        <v>5.4994892499999999</v>
      </c>
      <c r="L140">
        <v>1.0162139482766079</v>
      </c>
      <c r="M140">
        <v>-0.57503664822494005</v>
      </c>
      <c r="N140">
        <v>-0.10806964391782339</v>
      </c>
      <c r="O140">
        <v>0.41265631858821777</v>
      </c>
    </row>
    <row r="141" spans="1:15" x14ac:dyDescent="0.25">
      <c r="A141">
        <v>15.031079</v>
      </c>
      <c r="B141">
        <v>6.9264989999999997</v>
      </c>
      <c r="C141">
        <v>6.0081300000000004</v>
      </c>
      <c r="D141">
        <v>13.627376249999999</v>
      </c>
      <c r="E141">
        <v>17.792607</v>
      </c>
      <c r="F141">
        <v>0.14620649999999999</v>
      </c>
      <c r="G141">
        <v>18.169336000000001</v>
      </c>
      <c r="H141">
        <v>-8</v>
      </c>
      <c r="I141">
        <v>-12</v>
      </c>
      <c r="J141">
        <v>1.17</v>
      </c>
      <c r="K141">
        <v>5.5505527499999996</v>
      </c>
      <c r="L141">
        <v>0.79669709996461424</v>
      </c>
      <c r="M141">
        <v>-0.59168233689544636</v>
      </c>
      <c r="N141">
        <v>-3.3360443394903697E-2</v>
      </c>
      <c r="O141">
        <v>0.5582529155949747</v>
      </c>
    </row>
    <row r="142" spans="1:15" x14ac:dyDescent="0.25">
      <c r="A142">
        <v>13.902616999999999</v>
      </c>
      <c r="B142">
        <v>7.5037060000000002</v>
      </c>
      <c r="C142">
        <v>7.9506110000000003</v>
      </c>
      <c r="D142">
        <v>14.24082875</v>
      </c>
      <c r="E142">
        <v>18.597297999999999</v>
      </c>
      <c r="F142">
        <v>0.194933</v>
      </c>
      <c r="G142">
        <v>18.4494805</v>
      </c>
      <c r="H142">
        <v>-8</v>
      </c>
      <c r="I142">
        <v>-8</v>
      </c>
      <c r="J142">
        <v>1.17</v>
      </c>
      <c r="K142">
        <v>5.58607575</v>
      </c>
      <c r="L142">
        <v>0.54755562244624367</v>
      </c>
      <c r="M142">
        <v>-0.61978254740889027</v>
      </c>
      <c r="N142">
        <v>1.359849153729807E-2</v>
      </c>
      <c r="O142">
        <v>0.69292813583487134</v>
      </c>
    </row>
    <row r="143" spans="1:15" x14ac:dyDescent="0.25">
      <c r="A143">
        <v>12.638741</v>
      </c>
      <c r="B143">
        <v>7.8404102499999997</v>
      </c>
      <c r="C143">
        <v>9.9376034999999998</v>
      </c>
      <c r="D143">
        <v>14.635189499999999</v>
      </c>
      <c r="E143">
        <v>19.044346999999998</v>
      </c>
      <c r="F143">
        <v>9.7479999999999997E-2</v>
      </c>
      <c r="G143">
        <v>18.846379500000001</v>
      </c>
      <c r="H143">
        <v>-8</v>
      </c>
      <c r="I143">
        <v>-4</v>
      </c>
      <c r="J143">
        <v>1.17</v>
      </c>
      <c r="K143">
        <v>5.6611752500000003</v>
      </c>
      <c r="L143">
        <v>0.26589688021229507</v>
      </c>
      <c r="M143">
        <v>-0.6691995698774218</v>
      </c>
      <c r="N143">
        <v>1.951693373318621E-2</v>
      </c>
      <c r="O143">
        <v>0.86583686554255546</v>
      </c>
    </row>
    <row r="144" spans="1:15" x14ac:dyDescent="0.25">
      <c r="A144">
        <v>11.32972625</v>
      </c>
      <c r="B144">
        <v>8.0328132500000002</v>
      </c>
      <c r="C144">
        <v>11.745224</v>
      </c>
      <c r="D144">
        <v>14.898097</v>
      </c>
      <c r="E144">
        <v>19.491398</v>
      </c>
      <c r="F144">
        <v>0.194933</v>
      </c>
      <c r="G144">
        <v>19.127587500000001</v>
      </c>
      <c r="H144">
        <v>-8</v>
      </c>
      <c r="I144">
        <v>0</v>
      </c>
      <c r="J144">
        <v>1.17</v>
      </c>
      <c r="K144">
        <v>5.6888814999999999</v>
      </c>
      <c r="L144">
        <v>-4.2334425247072427E-2</v>
      </c>
      <c r="M144">
        <v>-0.69980697042080808</v>
      </c>
      <c r="N144">
        <v>3.7048344249042769E-2</v>
      </c>
      <c r="O144">
        <v>0.96703867331824023</v>
      </c>
    </row>
    <row r="145" spans="1:15" x14ac:dyDescent="0.25">
      <c r="A145">
        <v>9.5693260000000002</v>
      </c>
      <c r="B145">
        <v>8.0809139999999999</v>
      </c>
      <c r="C145">
        <v>13.59556575</v>
      </c>
      <c r="D145">
        <v>14.898097</v>
      </c>
      <c r="E145">
        <v>19.491398</v>
      </c>
      <c r="F145">
        <v>0.194933</v>
      </c>
      <c r="G145">
        <v>19.248759499999998</v>
      </c>
      <c r="H145">
        <v>-8</v>
      </c>
      <c r="I145">
        <v>4</v>
      </c>
      <c r="J145">
        <v>1.17</v>
      </c>
      <c r="K145">
        <v>5.7070604999999999</v>
      </c>
      <c r="L145">
        <v>-0.37747373076156449</v>
      </c>
      <c r="M145">
        <v>-0.63913419470221944</v>
      </c>
      <c r="N145">
        <v>2.2748188262109711E-2</v>
      </c>
      <c r="O145">
        <v>0.80910951317788637</v>
      </c>
    </row>
    <row r="146" spans="1:15" x14ac:dyDescent="0.25">
      <c r="A146">
        <v>7.7637879999999999</v>
      </c>
      <c r="B146">
        <v>8.1290142500000009</v>
      </c>
      <c r="C146">
        <v>15.178447</v>
      </c>
      <c r="D146">
        <v>14.76664375</v>
      </c>
      <c r="E146">
        <v>19.491398</v>
      </c>
      <c r="F146">
        <v>0.194933</v>
      </c>
      <c r="G146">
        <v>19.568906250000001</v>
      </c>
      <c r="H146">
        <v>-8</v>
      </c>
      <c r="I146">
        <v>8</v>
      </c>
      <c r="J146">
        <v>1.17</v>
      </c>
      <c r="K146">
        <v>5.7548072499999998</v>
      </c>
      <c r="L146">
        <v>-0.64224841416367839</v>
      </c>
      <c r="M146">
        <v>-0.57490901223711632</v>
      </c>
      <c r="N146">
        <v>-6.7066235780288931E-3</v>
      </c>
      <c r="O146">
        <v>0.67143546927983133</v>
      </c>
    </row>
    <row r="147" spans="1:15" x14ac:dyDescent="0.25">
      <c r="A147">
        <v>5.8228344999999999</v>
      </c>
      <c r="B147">
        <v>7.6961079999999997</v>
      </c>
      <c r="C147">
        <v>16.44223525</v>
      </c>
      <c r="D147">
        <v>14.32846425</v>
      </c>
      <c r="E147">
        <v>18.865527</v>
      </c>
      <c r="F147">
        <v>0.194933</v>
      </c>
      <c r="G147">
        <v>19.6878095</v>
      </c>
      <c r="H147">
        <v>-8</v>
      </c>
      <c r="I147">
        <v>12</v>
      </c>
      <c r="J147">
        <v>1.17</v>
      </c>
      <c r="K147">
        <v>5.7724244999999996</v>
      </c>
      <c r="L147">
        <v>-0.87722889081350719</v>
      </c>
      <c r="M147">
        <v>-0.54788546289090401</v>
      </c>
      <c r="N147">
        <v>-6.8069908327121453E-2</v>
      </c>
      <c r="O147">
        <v>0.54232705424670258</v>
      </c>
    </row>
    <row r="148" spans="1:15" x14ac:dyDescent="0.25">
      <c r="A148">
        <v>3.5207730000000002</v>
      </c>
      <c r="B148">
        <v>6.6378950000000003</v>
      </c>
      <c r="C148">
        <v>16.759534500000001</v>
      </c>
      <c r="D148">
        <v>12.838653000000001</v>
      </c>
      <c r="E148">
        <v>17.166737000000001</v>
      </c>
      <c r="F148">
        <v>0.14620649999999999</v>
      </c>
      <c r="G148">
        <v>18.88749275</v>
      </c>
      <c r="H148">
        <v>-8</v>
      </c>
      <c r="I148">
        <v>16</v>
      </c>
      <c r="J148">
        <v>1.17</v>
      </c>
      <c r="K148">
        <v>5.6600305000000004</v>
      </c>
      <c r="L148">
        <v>-1.095228546571827</v>
      </c>
      <c r="M148">
        <v>-0.51297778907540237</v>
      </c>
      <c r="N148">
        <v>-0.14239020321788909</v>
      </c>
      <c r="O148">
        <v>0.40813233238934971</v>
      </c>
    </row>
    <row r="149" spans="1:15" x14ac:dyDescent="0.25">
      <c r="A149">
        <v>1.2187114999999999</v>
      </c>
      <c r="B149">
        <v>5.4353794999999998</v>
      </c>
      <c r="C149">
        <v>17.120926999999998</v>
      </c>
      <c r="D149">
        <v>11.567933</v>
      </c>
      <c r="E149">
        <v>15.199718000000001</v>
      </c>
      <c r="F149">
        <v>9.7479999999999997E-2</v>
      </c>
      <c r="G149">
        <v>18.487333499999998</v>
      </c>
      <c r="H149">
        <v>-8</v>
      </c>
      <c r="I149">
        <v>20</v>
      </c>
      <c r="J149">
        <v>1.17</v>
      </c>
      <c r="K149">
        <v>5.6067179999999999</v>
      </c>
      <c r="L149">
        <v>-1.339378043240675</v>
      </c>
      <c r="M149">
        <v>-0.51651028352817119</v>
      </c>
      <c r="N149">
        <v>-0.27691567261066707</v>
      </c>
      <c r="O149">
        <v>0.27202374708739407</v>
      </c>
    </row>
    <row r="150" spans="1:15" x14ac:dyDescent="0.25">
      <c r="A150">
        <v>-0.9911565</v>
      </c>
      <c r="B150">
        <v>3.848058</v>
      </c>
      <c r="C150">
        <v>17.301623750000001</v>
      </c>
      <c r="D150">
        <v>10.165759</v>
      </c>
      <c r="E150">
        <v>12.875057999999999</v>
      </c>
      <c r="F150">
        <v>0.194933</v>
      </c>
      <c r="G150">
        <v>17.9681785</v>
      </c>
      <c r="H150">
        <v>-8</v>
      </c>
      <c r="I150">
        <v>24</v>
      </c>
      <c r="J150">
        <v>1.17</v>
      </c>
      <c r="K150">
        <v>5.5119422499999997</v>
      </c>
      <c r="L150">
        <v>-1.598074521923182</v>
      </c>
      <c r="M150">
        <v>-0.55193635914685824</v>
      </c>
      <c r="N150">
        <v>-0.44496613082246128</v>
      </c>
      <c r="O150">
        <v>0.1077798753101889</v>
      </c>
    </row>
    <row r="151" spans="1:15" x14ac:dyDescent="0.25">
      <c r="A151">
        <v>-3.2438180000000001</v>
      </c>
      <c r="B151">
        <v>2.2607374999999998</v>
      </c>
      <c r="C151">
        <v>17.301623750000001</v>
      </c>
      <c r="D151">
        <v>8.5883129999999994</v>
      </c>
      <c r="E151">
        <v>10.19276</v>
      </c>
      <c r="F151">
        <v>0.194933</v>
      </c>
      <c r="G151">
        <v>17.7670575</v>
      </c>
      <c r="H151">
        <v>-8</v>
      </c>
      <c r="I151">
        <v>28</v>
      </c>
      <c r="J151">
        <v>1.17</v>
      </c>
      <c r="K151">
        <v>5.480677</v>
      </c>
      <c r="L151">
        <v>-1.922973478284888</v>
      </c>
      <c r="M151">
        <v>-0.59223097747129072</v>
      </c>
      <c r="N151">
        <v>-0.70895514535786719</v>
      </c>
      <c r="O151">
        <v>-6.4202791904872797E-2</v>
      </c>
    </row>
    <row r="152" spans="1:15" x14ac:dyDescent="0.25">
      <c r="A152">
        <v>-5.5869202500000004</v>
      </c>
      <c r="B152">
        <v>0.38481325</v>
      </c>
      <c r="C152">
        <v>17.120926999999998</v>
      </c>
      <c r="D152">
        <v>6.8355959999999998</v>
      </c>
      <c r="E152">
        <v>7.1975250000000006</v>
      </c>
      <c r="F152">
        <v>0.14620649999999999</v>
      </c>
      <c r="G152">
        <v>17.526952000000001</v>
      </c>
      <c r="H152">
        <v>-8</v>
      </c>
      <c r="I152">
        <v>32</v>
      </c>
      <c r="J152">
        <v>1.17</v>
      </c>
      <c r="K152">
        <v>5.4507374999999998</v>
      </c>
      <c r="L152">
        <v>-2.3174535143919721</v>
      </c>
      <c r="M152">
        <v>-0.65830285342469286</v>
      </c>
      <c r="N152">
        <v>-1.054217009801883</v>
      </c>
      <c r="O152">
        <v>-0.28035743577183347</v>
      </c>
    </row>
    <row r="153" spans="1:15" x14ac:dyDescent="0.25">
      <c r="A153">
        <v>-7.4792640000000006</v>
      </c>
      <c r="B153">
        <v>-1.3910337500000001</v>
      </c>
      <c r="C153">
        <v>16.577745749999998</v>
      </c>
      <c r="D153">
        <v>4.9952415000000006</v>
      </c>
      <c r="E153">
        <v>3.844649</v>
      </c>
      <c r="F153">
        <v>0.194933</v>
      </c>
      <c r="G153">
        <v>16.925728500000002</v>
      </c>
      <c r="H153">
        <v>-8</v>
      </c>
      <c r="I153">
        <v>36</v>
      </c>
      <c r="J153">
        <v>1.17</v>
      </c>
      <c r="K153">
        <v>5.3478529999999997</v>
      </c>
      <c r="L153">
        <v>-2.905612973293715</v>
      </c>
      <c r="M153">
        <v>-0.77128022127455265</v>
      </c>
      <c r="N153">
        <v>-1.579953785562886</v>
      </c>
      <c r="O153">
        <v>-0.55921891311525784</v>
      </c>
    </row>
    <row r="154" spans="1:15" x14ac:dyDescent="0.25">
      <c r="A154">
        <v>17.558833249999999</v>
      </c>
      <c r="B154">
        <v>0.38481300000000002</v>
      </c>
      <c r="C154">
        <v>-7.4870979999999996</v>
      </c>
      <c r="D154">
        <v>4.5570620000000002</v>
      </c>
      <c r="E154">
        <v>7.0634095000000006</v>
      </c>
      <c r="F154">
        <v>0.194933</v>
      </c>
      <c r="G154">
        <v>17.604937</v>
      </c>
      <c r="H154">
        <v>-4</v>
      </c>
      <c r="I154">
        <v>-36</v>
      </c>
      <c r="J154">
        <v>1.17</v>
      </c>
      <c r="K154">
        <v>5.455336</v>
      </c>
      <c r="L154">
        <v>2.359812532772795</v>
      </c>
      <c r="M154">
        <v>-0.39310377128782392</v>
      </c>
      <c r="N154">
        <v>-0.99327971269730642</v>
      </c>
      <c r="O154">
        <v>-0.35293220933974101</v>
      </c>
    </row>
    <row r="155" spans="1:15" x14ac:dyDescent="0.25">
      <c r="A155">
        <v>18.010216750000001</v>
      </c>
      <c r="B155">
        <v>2.3088380000000002</v>
      </c>
      <c r="C155">
        <v>-5.2770507499999999</v>
      </c>
      <c r="D155">
        <v>6.3535987499999997</v>
      </c>
      <c r="E155">
        <v>9.8351179999999996</v>
      </c>
      <c r="F155">
        <v>0.14620649999999999</v>
      </c>
      <c r="G155">
        <v>17.847080500000001</v>
      </c>
      <c r="H155">
        <v>-4</v>
      </c>
      <c r="I155">
        <v>-32</v>
      </c>
      <c r="J155">
        <v>1.17</v>
      </c>
      <c r="K155">
        <v>5.5007062500000004</v>
      </c>
      <c r="L155">
        <v>2.0573128379260379</v>
      </c>
      <c r="M155">
        <v>-0.35734742442343009</v>
      </c>
      <c r="N155">
        <v>-0.70781376722927547</v>
      </c>
      <c r="O155">
        <v>-0.14401174579018089</v>
      </c>
    </row>
    <row r="156" spans="1:15" x14ac:dyDescent="0.25">
      <c r="A156">
        <v>18.055354999999999</v>
      </c>
      <c r="B156">
        <v>3.9923602499999999</v>
      </c>
      <c r="C156">
        <v>-2.796386</v>
      </c>
      <c r="D156">
        <v>8.0186799999999998</v>
      </c>
      <c r="E156">
        <v>12.383303250000001</v>
      </c>
      <c r="F156">
        <v>0.14620649999999999</v>
      </c>
      <c r="G156">
        <v>17.9681785</v>
      </c>
      <c r="H156">
        <v>-4</v>
      </c>
      <c r="I156">
        <v>-28</v>
      </c>
      <c r="J156">
        <v>1.17</v>
      </c>
      <c r="K156">
        <v>5.5194855</v>
      </c>
      <c r="L156">
        <v>1.7693558644423031</v>
      </c>
      <c r="M156">
        <v>-0.34162040095425</v>
      </c>
      <c r="N156">
        <v>-0.4739065884179488</v>
      </c>
      <c r="O156">
        <v>3.8330909939849923E-2</v>
      </c>
    </row>
    <row r="157" spans="1:15" x14ac:dyDescent="0.25">
      <c r="A157">
        <v>17.874801999999999</v>
      </c>
      <c r="B157">
        <v>5.7720830000000003</v>
      </c>
      <c r="C157">
        <v>-0.36082399999999998</v>
      </c>
      <c r="D157">
        <v>9.5961259999999999</v>
      </c>
      <c r="E157">
        <v>14.61855325</v>
      </c>
      <c r="F157">
        <v>4.8753499999999998E-2</v>
      </c>
      <c r="G157">
        <v>18.405161</v>
      </c>
      <c r="H157">
        <v>-4</v>
      </c>
      <c r="I157">
        <v>-24</v>
      </c>
      <c r="J157">
        <v>1.17</v>
      </c>
      <c r="K157">
        <v>5.6016345000000003</v>
      </c>
      <c r="L157">
        <v>1.5308082746817779</v>
      </c>
      <c r="M157">
        <v>-0.32102710843900112</v>
      </c>
      <c r="N157">
        <v>-0.3179132281407408</v>
      </c>
      <c r="O157">
        <v>0.22304963888688831</v>
      </c>
    </row>
    <row r="158" spans="1:15" x14ac:dyDescent="0.25">
      <c r="A158">
        <v>17.694248000000002</v>
      </c>
      <c r="B158">
        <v>7.1189010000000001</v>
      </c>
      <c r="C158">
        <v>1.7166030000000001</v>
      </c>
      <c r="D158">
        <v>10.866846000000001</v>
      </c>
      <c r="E158">
        <v>16.451457999999999</v>
      </c>
      <c r="F158">
        <v>0.194933</v>
      </c>
      <c r="G158">
        <v>18.649583</v>
      </c>
      <c r="H158">
        <v>-4</v>
      </c>
      <c r="I158">
        <v>-20</v>
      </c>
      <c r="J158">
        <v>1.17</v>
      </c>
      <c r="K158">
        <v>5.616606</v>
      </c>
      <c r="L158">
        <v>1.327731539719297</v>
      </c>
      <c r="M158">
        <v>-0.31145831695359832</v>
      </c>
      <c r="N158">
        <v>-0.18266658474273989</v>
      </c>
      <c r="O158">
        <v>0.35093495662665619</v>
      </c>
    </row>
    <row r="159" spans="1:15" x14ac:dyDescent="0.25">
      <c r="A159">
        <v>17.017171250000001</v>
      </c>
      <c r="B159">
        <v>8.2252147499999992</v>
      </c>
      <c r="C159">
        <v>4.0204760000000004</v>
      </c>
      <c r="D159">
        <v>11.918476999999999</v>
      </c>
      <c r="E159">
        <v>17.882017000000001</v>
      </c>
      <c r="F159">
        <v>0.14620649999999999</v>
      </c>
      <c r="G159">
        <v>19.006432749999998</v>
      </c>
      <c r="H159">
        <v>-4</v>
      </c>
      <c r="I159">
        <v>-16</v>
      </c>
      <c r="J159">
        <v>1.17</v>
      </c>
      <c r="K159">
        <v>5.6779712499999997</v>
      </c>
      <c r="L159">
        <v>1.1052440374730099</v>
      </c>
      <c r="M159">
        <v>-0.3140520981838465</v>
      </c>
      <c r="N159">
        <v>-9.5623020684304769E-2</v>
      </c>
      <c r="O159">
        <v>0.50833332569495338</v>
      </c>
    </row>
    <row r="160" spans="1:15" x14ac:dyDescent="0.25">
      <c r="A160">
        <v>16.2046785</v>
      </c>
      <c r="B160">
        <v>9.0910264999999999</v>
      </c>
      <c r="C160">
        <v>6.2783420000000003</v>
      </c>
      <c r="D160">
        <v>12.838653000000001</v>
      </c>
      <c r="E160">
        <v>18.954937000000001</v>
      </c>
      <c r="F160">
        <v>0.194933</v>
      </c>
      <c r="G160">
        <v>19.247629750000002</v>
      </c>
      <c r="H160">
        <v>-4</v>
      </c>
      <c r="I160">
        <v>-12</v>
      </c>
      <c r="J160">
        <v>1.17</v>
      </c>
      <c r="K160">
        <v>5.7068667499999997</v>
      </c>
      <c r="L160">
        <v>0.88064660262723482</v>
      </c>
      <c r="M160">
        <v>-0.33248594870368958</v>
      </c>
      <c r="N160">
        <v>-2.5917236331812869E-2</v>
      </c>
      <c r="O160">
        <v>0.66472764387808092</v>
      </c>
    </row>
    <row r="161" spans="1:15" x14ac:dyDescent="0.25">
      <c r="A161">
        <v>14.895664</v>
      </c>
      <c r="B161">
        <v>9.6201329999999992</v>
      </c>
      <c r="C161">
        <v>8.3120030000000007</v>
      </c>
      <c r="D161">
        <v>13.320651</v>
      </c>
      <c r="E161">
        <v>19.491398</v>
      </c>
      <c r="F161">
        <v>0.194933</v>
      </c>
      <c r="G161">
        <v>19.287649999999999</v>
      </c>
      <c r="H161">
        <v>-4</v>
      </c>
      <c r="I161">
        <v>-8</v>
      </c>
      <c r="J161">
        <v>1.17</v>
      </c>
      <c r="K161">
        <v>5.712879</v>
      </c>
      <c r="L161">
        <v>0.62550637367189421</v>
      </c>
      <c r="M161">
        <v>-0.35158213566700519</v>
      </c>
      <c r="N161">
        <v>1.9357872864793711E-2</v>
      </c>
      <c r="O161">
        <v>0.83333586690393546</v>
      </c>
    </row>
    <row r="162" spans="1:15" x14ac:dyDescent="0.25">
      <c r="A162">
        <v>13.541511</v>
      </c>
      <c r="B162">
        <v>10.004937999999999</v>
      </c>
      <c r="C162">
        <v>10.299658000000001</v>
      </c>
      <c r="D162">
        <v>13.671194</v>
      </c>
      <c r="E162">
        <v>20.027858999999999</v>
      </c>
      <c r="F162">
        <v>0.14620649999999999</v>
      </c>
      <c r="G162">
        <v>19.528885750000001</v>
      </c>
      <c r="H162">
        <v>-4</v>
      </c>
      <c r="I162">
        <v>-4</v>
      </c>
      <c r="J162">
        <v>1.17</v>
      </c>
      <c r="K162">
        <v>5.7560707500000001</v>
      </c>
      <c r="L162">
        <v>0.32827026231724948</v>
      </c>
      <c r="M162">
        <v>-0.37124533988499497</v>
      </c>
      <c r="N162">
        <v>5.0526066316637488E-2</v>
      </c>
      <c r="O162">
        <v>1.0132175275915969</v>
      </c>
    </row>
    <row r="163" spans="1:15" x14ac:dyDescent="0.25">
      <c r="A163">
        <v>11.871387500000001</v>
      </c>
      <c r="B163">
        <v>10.197341</v>
      </c>
      <c r="C163">
        <v>12.331670000000001</v>
      </c>
      <c r="D163">
        <v>13.671194</v>
      </c>
      <c r="E163">
        <v>20.117267500000001</v>
      </c>
      <c r="F163">
        <v>0.194933</v>
      </c>
      <c r="G163">
        <v>19.568906250000001</v>
      </c>
      <c r="H163">
        <v>-4</v>
      </c>
      <c r="I163">
        <v>0</v>
      </c>
      <c r="J163">
        <v>1.17</v>
      </c>
      <c r="K163">
        <v>5.7548072499999998</v>
      </c>
      <c r="L163">
        <v>-5.0751289626423578E-2</v>
      </c>
      <c r="M163">
        <v>-0.38248618194994749</v>
      </c>
      <c r="N163">
        <v>6.0335919370742508E-2</v>
      </c>
      <c r="O163">
        <v>1.1934622959779</v>
      </c>
    </row>
    <row r="164" spans="1:15" x14ac:dyDescent="0.25">
      <c r="A164">
        <v>9.5241877499999994</v>
      </c>
      <c r="B164">
        <v>9.76443525</v>
      </c>
      <c r="C164">
        <v>13.281140000000001</v>
      </c>
      <c r="D164">
        <v>12.970107</v>
      </c>
      <c r="E164">
        <v>19.133756999999999</v>
      </c>
      <c r="F164">
        <v>0.14620649999999999</v>
      </c>
      <c r="G164">
        <v>18.767440499999999</v>
      </c>
      <c r="H164">
        <v>-4</v>
      </c>
      <c r="I164">
        <v>4</v>
      </c>
      <c r="J164">
        <v>1.17</v>
      </c>
      <c r="K164">
        <v>5.6419017499999997</v>
      </c>
      <c r="L164">
        <v>-0.39589471689270211</v>
      </c>
      <c r="M164">
        <v>-0.33779614354106652</v>
      </c>
      <c r="N164">
        <v>3.8585304906144903E-2</v>
      </c>
      <c r="O164">
        <v>1.0009372909885439</v>
      </c>
    </row>
    <row r="165" spans="1:15" x14ac:dyDescent="0.25">
      <c r="A165">
        <v>7.4929570000000014</v>
      </c>
      <c r="B165">
        <v>9.3315300000000008</v>
      </c>
      <c r="C165">
        <v>14.365315000000001</v>
      </c>
      <c r="D165">
        <v>12.488110750000001</v>
      </c>
      <c r="E165">
        <v>18.552593000000002</v>
      </c>
      <c r="F165">
        <v>0.14620649999999999</v>
      </c>
      <c r="G165">
        <v>18.28832375</v>
      </c>
      <c r="H165">
        <v>-4</v>
      </c>
      <c r="I165">
        <v>8</v>
      </c>
      <c r="J165">
        <v>1.17</v>
      </c>
      <c r="K165">
        <v>5.5688085000000003</v>
      </c>
      <c r="L165">
        <v>-0.67768552924099845</v>
      </c>
      <c r="M165">
        <v>-0.31132564078782388</v>
      </c>
      <c r="N165">
        <v>2.595499761773792E-2</v>
      </c>
      <c r="O165">
        <v>0.81527030547890678</v>
      </c>
    </row>
    <row r="166" spans="1:15" x14ac:dyDescent="0.25">
      <c r="A166">
        <v>5.46172725</v>
      </c>
      <c r="B166">
        <v>8.7543220000000002</v>
      </c>
      <c r="C166">
        <v>15.1322785</v>
      </c>
      <c r="D166">
        <v>11.567933</v>
      </c>
      <c r="E166">
        <v>17.56908275</v>
      </c>
      <c r="F166">
        <v>0.14620649999999999</v>
      </c>
      <c r="G166">
        <v>17.8870915</v>
      </c>
      <c r="H166">
        <v>-4</v>
      </c>
      <c r="I166">
        <v>12</v>
      </c>
      <c r="J166">
        <v>1.17</v>
      </c>
      <c r="K166">
        <v>5.5069039999999996</v>
      </c>
      <c r="L166">
        <v>-0.92446600589790806</v>
      </c>
      <c r="M166">
        <v>-0.26894163472762511</v>
      </c>
      <c r="N166">
        <v>-3.0384697541430441E-2</v>
      </c>
      <c r="O166">
        <v>0.66550461847376652</v>
      </c>
    </row>
    <row r="167" spans="1:15" x14ac:dyDescent="0.25">
      <c r="A167">
        <v>3.2950805000000001</v>
      </c>
      <c r="B167">
        <v>7.8404102499999997</v>
      </c>
      <c r="C167">
        <v>15.58398225</v>
      </c>
      <c r="D167">
        <v>10.516302</v>
      </c>
      <c r="E167">
        <v>16.093819</v>
      </c>
      <c r="F167">
        <v>9.7479999999999997E-2</v>
      </c>
      <c r="G167">
        <v>17.5680005</v>
      </c>
      <c r="H167">
        <v>-4</v>
      </c>
      <c r="I167">
        <v>16</v>
      </c>
      <c r="J167">
        <v>1.17</v>
      </c>
      <c r="K167">
        <v>5.4647942500000006</v>
      </c>
      <c r="L167">
        <v>-1.167481217229686</v>
      </c>
      <c r="M167">
        <v>-0.25418460604167592</v>
      </c>
      <c r="N167">
        <v>-0.14005471884647999</v>
      </c>
      <c r="O167">
        <v>0.51974773517916195</v>
      </c>
    </row>
    <row r="168" spans="1:15" x14ac:dyDescent="0.25">
      <c r="A168">
        <v>1.2638499999999999</v>
      </c>
      <c r="B168">
        <v>6.87839825</v>
      </c>
      <c r="C168">
        <v>16.443317</v>
      </c>
      <c r="D168">
        <v>9.552308</v>
      </c>
      <c r="E168">
        <v>14.797373</v>
      </c>
      <c r="F168">
        <v>0.14620649999999999</v>
      </c>
      <c r="G168">
        <v>17.64803225</v>
      </c>
      <c r="H168">
        <v>-4</v>
      </c>
      <c r="I168">
        <v>20</v>
      </c>
      <c r="J168">
        <v>1.17</v>
      </c>
      <c r="K168">
        <v>5.4696852500000004</v>
      </c>
      <c r="L168">
        <v>-1.415292363492417</v>
      </c>
      <c r="M168">
        <v>-0.24920680028948991</v>
      </c>
      <c r="N168">
        <v>-0.26590383880337931</v>
      </c>
      <c r="O168">
        <v>0.36596391670469419</v>
      </c>
    </row>
    <row r="169" spans="1:15" x14ac:dyDescent="0.25">
      <c r="A169">
        <v>-0.94604175000000001</v>
      </c>
      <c r="B169">
        <v>5.7720830000000003</v>
      </c>
      <c r="C169">
        <v>17.39197175</v>
      </c>
      <c r="D169">
        <v>8.5006769999999996</v>
      </c>
      <c r="E169">
        <v>13.232697999999999</v>
      </c>
      <c r="F169">
        <v>0.194933</v>
      </c>
      <c r="G169">
        <v>17.929214000000002</v>
      </c>
      <c r="H169">
        <v>-4</v>
      </c>
      <c r="I169">
        <v>24</v>
      </c>
      <c r="J169">
        <v>1.17</v>
      </c>
      <c r="K169">
        <v>5.5059069999999997</v>
      </c>
      <c r="L169">
        <v>-1.694846298702072</v>
      </c>
      <c r="M169">
        <v>-0.25220816054401229</v>
      </c>
      <c r="N169">
        <v>-0.4340773322478082</v>
      </c>
      <c r="O169">
        <v>0.20502054068885139</v>
      </c>
    </row>
    <row r="170" spans="1:15" x14ac:dyDescent="0.25">
      <c r="A170">
        <v>-3.3789737500000001</v>
      </c>
      <c r="B170">
        <v>4.37716525</v>
      </c>
      <c r="C170">
        <v>18.158733000000002</v>
      </c>
      <c r="D170">
        <v>7.18614</v>
      </c>
      <c r="E170">
        <v>10.908039</v>
      </c>
      <c r="F170">
        <v>0.194933</v>
      </c>
      <c r="G170">
        <v>18.248302750000001</v>
      </c>
      <c r="H170">
        <v>-4</v>
      </c>
      <c r="I170">
        <v>28</v>
      </c>
      <c r="J170">
        <v>1.17</v>
      </c>
      <c r="K170">
        <v>5.555193</v>
      </c>
      <c r="L170">
        <v>-2.0691608060475568</v>
      </c>
      <c r="M170">
        <v>-0.26983063611373143</v>
      </c>
      <c r="N170">
        <v>-0.70525176387553656</v>
      </c>
      <c r="O170">
        <v>2.9262702279994661E-2</v>
      </c>
    </row>
    <row r="171" spans="1:15" x14ac:dyDescent="0.25">
      <c r="A171">
        <v>-5.94736625</v>
      </c>
      <c r="B171">
        <v>2.6936429999999998</v>
      </c>
      <c r="C171">
        <v>18.74719</v>
      </c>
      <c r="D171">
        <v>5.6086929999999997</v>
      </c>
      <c r="E171">
        <v>8.0022142500000015</v>
      </c>
      <c r="F171">
        <v>0.194933</v>
      </c>
      <c r="G171">
        <v>18.688510000000001</v>
      </c>
      <c r="H171">
        <v>-4</v>
      </c>
      <c r="I171">
        <v>32</v>
      </c>
      <c r="J171">
        <v>1.17</v>
      </c>
      <c r="K171">
        <v>5.6225300000000002</v>
      </c>
      <c r="L171">
        <v>-2.5646153262841782</v>
      </c>
      <c r="M171">
        <v>-0.30274066578823461</v>
      </c>
      <c r="N171">
        <v>-1.1098212060268959</v>
      </c>
      <c r="O171">
        <v>-0.18920097923975199</v>
      </c>
    </row>
    <row r="172" spans="1:15" x14ac:dyDescent="0.25">
      <c r="A172">
        <v>-8.6056592500000004</v>
      </c>
      <c r="B172">
        <v>0.81771875000000005</v>
      </c>
      <c r="C172">
        <v>19.060905999999999</v>
      </c>
      <c r="D172">
        <v>3.6368852500000002</v>
      </c>
      <c r="E172">
        <v>4.5152242500000002</v>
      </c>
      <c r="F172">
        <v>0.194933</v>
      </c>
      <c r="G172">
        <v>19.04644425</v>
      </c>
      <c r="H172">
        <v>-4</v>
      </c>
      <c r="I172">
        <v>36</v>
      </c>
      <c r="J172">
        <v>1.17</v>
      </c>
      <c r="K172">
        <v>5.6766649999999998</v>
      </c>
      <c r="L172">
        <v>-3.29003686857591</v>
      </c>
      <c r="M172">
        <v>-0.33524548975891211</v>
      </c>
      <c r="N172">
        <v>-1.728012359870531</v>
      </c>
      <c r="O172">
        <v>-0.48623833370593061</v>
      </c>
    </row>
    <row r="173" spans="1:15" x14ac:dyDescent="0.25">
      <c r="A173">
        <v>19.860894999999999</v>
      </c>
      <c r="B173">
        <v>2.5012409999999998</v>
      </c>
      <c r="C173">
        <v>-8.7499819999999993</v>
      </c>
      <c r="D173">
        <v>2.9796165000000001</v>
      </c>
      <c r="E173">
        <v>7.8233947500000003</v>
      </c>
      <c r="F173">
        <v>9.7479999999999997E-2</v>
      </c>
      <c r="G173">
        <v>19.525476000000001</v>
      </c>
      <c r="H173">
        <v>0</v>
      </c>
      <c r="I173">
        <v>-36</v>
      </c>
      <c r="J173">
        <v>1.17</v>
      </c>
      <c r="K173">
        <v>5.7628155000000003</v>
      </c>
      <c r="L173">
        <v>2.6134859716365089</v>
      </c>
      <c r="M173">
        <v>-4.3664971103538848E-2</v>
      </c>
      <c r="N173">
        <v>-1.0689703532180239</v>
      </c>
      <c r="O173">
        <v>-0.29430281258974589</v>
      </c>
    </row>
    <row r="174" spans="1:15" x14ac:dyDescent="0.25">
      <c r="A174">
        <v>20.086585750000001</v>
      </c>
      <c r="B174">
        <v>4.7619705000000003</v>
      </c>
      <c r="C174">
        <v>-5.9986980000000001</v>
      </c>
      <c r="D174">
        <v>5.082878</v>
      </c>
      <c r="E174">
        <v>11.04215325</v>
      </c>
      <c r="F174">
        <v>0.14620649999999999</v>
      </c>
      <c r="G174">
        <v>19.690117000000001</v>
      </c>
      <c r="H174">
        <v>0</v>
      </c>
      <c r="I174">
        <v>-32</v>
      </c>
      <c r="J174">
        <v>1.17</v>
      </c>
      <c r="K174">
        <v>5.7799862499999994</v>
      </c>
      <c r="L174">
        <v>2.2370595708451222</v>
      </c>
      <c r="M174">
        <v>-2.7518853349936211E-2</v>
      </c>
      <c r="N174">
        <v>-0.74164315570586703</v>
      </c>
      <c r="O174">
        <v>-6.5566530989246877E-2</v>
      </c>
    </row>
    <row r="175" spans="1:15" x14ac:dyDescent="0.25">
      <c r="A175">
        <v>19.319230999999998</v>
      </c>
      <c r="B175">
        <v>6.349291</v>
      </c>
      <c r="C175">
        <v>-3.0670039999999998</v>
      </c>
      <c r="D175">
        <v>6.660323</v>
      </c>
      <c r="E175">
        <v>13.187993000000001</v>
      </c>
      <c r="F175">
        <v>0.194933</v>
      </c>
      <c r="G175">
        <v>19.128708</v>
      </c>
      <c r="H175">
        <v>0</v>
      </c>
      <c r="I175">
        <v>-28</v>
      </c>
      <c r="J175">
        <v>1.17</v>
      </c>
      <c r="K175">
        <v>5.6890494999999994</v>
      </c>
      <c r="L175">
        <v>1.9388188589942761</v>
      </c>
      <c r="M175">
        <v>-2.693774577773831E-2</v>
      </c>
      <c r="N175">
        <v>-0.51452992542234521</v>
      </c>
      <c r="O175">
        <v>0.12525287041235569</v>
      </c>
    </row>
    <row r="176" spans="1:15" x14ac:dyDescent="0.25">
      <c r="A176">
        <v>18.235910000000001</v>
      </c>
      <c r="B176">
        <v>7.5037060000000002</v>
      </c>
      <c r="C176">
        <v>-0.45102999999999999</v>
      </c>
      <c r="D176">
        <v>7.8434080000000002</v>
      </c>
      <c r="E176">
        <v>14.842078000000001</v>
      </c>
      <c r="F176">
        <v>0.194933</v>
      </c>
      <c r="G176">
        <v>18.686323000000002</v>
      </c>
      <c r="H176">
        <v>0</v>
      </c>
      <c r="I176">
        <v>-24</v>
      </c>
      <c r="J176">
        <v>1.17</v>
      </c>
      <c r="K176">
        <v>5.622198</v>
      </c>
      <c r="L176">
        <v>1.6514056819667331</v>
      </c>
      <c r="M176">
        <v>-3.003621966659268E-2</v>
      </c>
      <c r="N176">
        <v>-0.33974457128823932</v>
      </c>
      <c r="O176">
        <v>0.2944250843975153</v>
      </c>
    </row>
    <row r="177" spans="1:15" x14ac:dyDescent="0.25">
      <c r="A177">
        <v>17.152585999999999</v>
      </c>
      <c r="B177">
        <v>8.5619195000000001</v>
      </c>
      <c r="C177">
        <v>1.6713119999999999</v>
      </c>
      <c r="D177">
        <v>8.8074030000000008</v>
      </c>
      <c r="E177">
        <v>15.914999</v>
      </c>
      <c r="F177">
        <v>0.194933</v>
      </c>
      <c r="G177">
        <v>18.007142999999999</v>
      </c>
      <c r="H177">
        <v>0</v>
      </c>
      <c r="I177">
        <v>-20</v>
      </c>
      <c r="J177">
        <v>1.17</v>
      </c>
      <c r="K177">
        <v>5.5179774999999998</v>
      </c>
      <c r="L177">
        <v>1.433675305683215</v>
      </c>
      <c r="M177">
        <v>-2.272085383821492E-2</v>
      </c>
      <c r="N177">
        <v>-0.1938098195539813</v>
      </c>
      <c r="O177">
        <v>0.45590491701211011</v>
      </c>
    </row>
    <row r="178" spans="1:15" x14ac:dyDescent="0.25">
      <c r="A178">
        <v>15.9789865</v>
      </c>
      <c r="B178">
        <v>9.2353280000000009</v>
      </c>
      <c r="C178">
        <v>3.7042579999999998</v>
      </c>
      <c r="D178">
        <v>9.4646720000000002</v>
      </c>
      <c r="E178">
        <v>16.719687499999999</v>
      </c>
      <c r="F178">
        <v>0.194933</v>
      </c>
      <c r="G178">
        <v>17.847080500000001</v>
      </c>
      <c r="H178">
        <v>0</v>
      </c>
      <c r="I178">
        <v>-16</v>
      </c>
      <c r="J178">
        <v>1.17</v>
      </c>
      <c r="K178">
        <v>5.4931289999999997</v>
      </c>
      <c r="L178">
        <v>1.19763755326789</v>
      </c>
      <c r="M178">
        <v>-2.237911291809461E-2</v>
      </c>
      <c r="N178">
        <v>-0.1101242134184246</v>
      </c>
      <c r="O178">
        <v>0.61235120407391341</v>
      </c>
    </row>
    <row r="179" spans="1:15" x14ac:dyDescent="0.25">
      <c r="A179">
        <v>14.715109999999999</v>
      </c>
      <c r="B179">
        <v>9.76443525</v>
      </c>
      <c r="C179">
        <v>5.5560192500000003</v>
      </c>
      <c r="D179">
        <v>10.078123</v>
      </c>
      <c r="E179">
        <v>17.166737000000001</v>
      </c>
      <c r="F179">
        <v>9.7479999999999997E-2</v>
      </c>
      <c r="G179">
        <v>17.604937</v>
      </c>
      <c r="H179">
        <v>0</v>
      </c>
      <c r="I179">
        <v>-12</v>
      </c>
      <c r="J179">
        <v>1.17</v>
      </c>
      <c r="K179">
        <v>5.4705615000000014</v>
      </c>
      <c r="L179">
        <v>0.96350067632777547</v>
      </c>
      <c r="M179">
        <v>-3.297046199973501E-2</v>
      </c>
      <c r="N179">
        <v>-4.6098017334929672E-2</v>
      </c>
      <c r="O179">
        <v>0.79571118701004961</v>
      </c>
    </row>
    <row r="180" spans="1:15" x14ac:dyDescent="0.25">
      <c r="A180">
        <v>13.180403</v>
      </c>
      <c r="B180">
        <v>10.004937999999999</v>
      </c>
      <c r="C180">
        <v>7.2278279999999997</v>
      </c>
      <c r="D180">
        <v>10.165759</v>
      </c>
      <c r="E180">
        <v>17.166737000000001</v>
      </c>
      <c r="F180">
        <v>0.14620649999999999</v>
      </c>
      <c r="G180">
        <v>17.046761499999999</v>
      </c>
      <c r="H180">
        <v>0</v>
      </c>
      <c r="I180">
        <v>-8</v>
      </c>
      <c r="J180">
        <v>1.17</v>
      </c>
      <c r="K180">
        <v>5.3749134999999999</v>
      </c>
      <c r="L180">
        <v>0.69617877809503548</v>
      </c>
      <c r="M180">
        <v>-1.8808694938244691E-2</v>
      </c>
      <c r="N180">
        <v>1.4031641263040391E-2</v>
      </c>
      <c r="O180">
        <v>0.99062290286460608</v>
      </c>
    </row>
    <row r="181" spans="1:15" x14ac:dyDescent="0.25">
      <c r="A181">
        <v>11.916525999999999</v>
      </c>
      <c r="B181">
        <v>10.197341</v>
      </c>
      <c r="C181">
        <v>8.9438422499999994</v>
      </c>
      <c r="D181">
        <v>10.38484875</v>
      </c>
      <c r="E181">
        <v>17.345558</v>
      </c>
      <c r="F181">
        <v>9.7479999999999997E-2</v>
      </c>
      <c r="G181">
        <v>17.126784000000001</v>
      </c>
      <c r="H181">
        <v>0</v>
      </c>
      <c r="I181">
        <v>-4</v>
      </c>
      <c r="J181">
        <v>1.17</v>
      </c>
      <c r="K181">
        <v>5.3952809999999998</v>
      </c>
      <c r="L181">
        <v>0.38228650251073609</v>
      </c>
      <c r="M181">
        <v>-2.415062702685733E-2</v>
      </c>
      <c r="N181">
        <v>2.8021850923007911E-2</v>
      </c>
      <c r="O181">
        <v>1.218485335796069</v>
      </c>
    </row>
    <row r="182" spans="1:15" x14ac:dyDescent="0.25">
      <c r="A182">
        <v>10.6977875</v>
      </c>
      <c r="B182">
        <v>10.437844500000001</v>
      </c>
      <c r="C182">
        <v>10.932093</v>
      </c>
      <c r="D182">
        <v>10.691573999999999</v>
      </c>
      <c r="E182">
        <v>18.016133499999999</v>
      </c>
      <c r="F182">
        <v>0.14620649999999999</v>
      </c>
      <c r="G182">
        <v>17.687015500000001</v>
      </c>
      <c r="H182">
        <v>0</v>
      </c>
      <c r="I182">
        <v>0</v>
      </c>
      <c r="J182">
        <v>1.17</v>
      </c>
      <c r="K182">
        <v>5.4757785000000014</v>
      </c>
      <c r="L182">
        <v>-3.1317276966816812E-2</v>
      </c>
      <c r="M182">
        <v>-3.391137288919624E-2</v>
      </c>
      <c r="N182">
        <v>4.41758716165086E-2</v>
      </c>
      <c r="O182">
        <v>1.399755507464244</v>
      </c>
    </row>
    <row r="183" spans="1:15" x14ac:dyDescent="0.25">
      <c r="A183">
        <v>9.0728027499999993</v>
      </c>
      <c r="B183">
        <v>10.582146</v>
      </c>
      <c r="C183">
        <v>12.648705</v>
      </c>
      <c r="D183">
        <v>10.823028000000001</v>
      </c>
      <c r="E183">
        <v>18.239656</v>
      </c>
      <c r="F183">
        <v>0.194933</v>
      </c>
      <c r="G183">
        <v>17.847080500000001</v>
      </c>
      <c r="H183">
        <v>0</v>
      </c>
      <c r="I183">
        <v>4</v>
      </c>
      <c r="J183">
        <v>1.17</v>
      </c>
      <c r="K183">
        <v>5.4931289999999997</v>
      </c>
      <c r="L183">
        <v>-0.42505199791293491</v>
      </c>
      <c r="M183">
        <v>-2.8649574923434409E-2</v>
      </c>
      <c r="N183">
        <v>4.6693509734846442E-2</v>
      </c>
      <c r="O183">
        <v>1.145117114890893</v>
      </c>
    </row>
    <row r="184" spans="1:15" x14ac:dyDescent="0.25">
      <c r="A184">
        <v>7.4026800000000001</v>
      </c>
      <c r="B184">
        <v>10.582146</v>
      </c>
      <c r="C184">
        <v>14.274026750000001</v>
      </c>
      <c r="D184">
        <v>10.691573999999999</v>
      </c>
      <c r="E184">
        <v>18.418478</v>
      </c>
      <c r="F184">
        <v>0.14620649999999999</v>
      </c>
      <c r="G184">
        <v>18.167205500000001</v>
      </c>
      <c r="H184">
        <v>0</v>
      </c>
      <c r="I184">
        <v>8</v>
      </c>
      <c r="J184">
        <v>1.17</v>
      </c>
      <c r="K184">
        <v>5.5502247499999999</v>
      </c>
      <c r="L184">
        <v>-0.72897298607637429</v>
      </c>
      <c r="M184">
        <v>-1.160908608205008E-2</v>
      </c>
      <c r="N184">
        <v>2.6657200008699349E-2</v>
      </c>
      <c r="O184">
        <v>0.93848350292513349</v>
      </c>
    </row>
    <row r="185" spans="1:15" x14ac:dyDescent="0.25">
      <c r="A185">
        <v>5.46172725</v>
      </c>
      <c r="B185">
        <v>10.341643250000001</v>
      </c>
      <c r="C185">
        <v>15.720534000000001</v>
      </c>
      <c r="D185">
        <v>10.297212999999999</v>
      </c>
      <c r="E185">
        <v>18.060839000000001</v>
      </c>
      <c r="F185">
        <v>0.14620649999999999</v>
      </c>
      <c r="G185">
        <v>18.487333499999998</v>
      </c>
      <c r="H185">
        <v>0</v>
      </c>
      <c r="I185">
        <v>12</v>
      </c>
      <c r="J185">
        <v>1.17</v>
      </c>
      <c r="K185">
        <v>5.5992742499999997</v>
      </c>
      <c r="L185">
        <v>-1.0058324862656269</v>
      </c>
      <c r="M185">
        <v>4.3520838274884871E-3</v>
      </c>
      <c r="N185">
        <v>-4.1837952788337893E-2</v>
      </c>
      <c r="O185">
        <v>0.75658644006989584</v>
      </c>
    </row>
    <row r="186" spans="1:15" x14ac:dyDescent="0.25">
      <c r="A186">
        <v>3.4756345</v>
      </c>
      <c r="B186">
        <v>9.9568374999999989</v>
      </c>
      <c r="C186">
        <v>16.93799375</v>
      </c>
      <c r="D186">
        <v>9.6399439999999998</v>
      </c>
      <c r="E186">
        <v>17.345558</v>
      </c>
      <c r="F186">
        <v>9.7479999999999997E-2</v>
      </c>
      <c r="G186">
        <v>18.768542499999999</v>
      </c>
      <c r="H186">
        <v>0</v>
      </c>
      <c r="I186">
        <v>16</v>
      </c>
      <c r="J186">
        <v>1.17</v>
      </c>
      <c r="K186">
        <v>5.6494115000000003</v>
      </c>
      <c r="L186">
        <v>-1.24792650258552</v>
      </c>
      <c r="M186">
        <v>2.9385013888779409E-2</v>
      </c>
      <c r="N186">
        <v>-0.13190137196475979</v>
      </c>
      <c r="O186">
        <v>0.59889506145421745</v>
      </c>
    </row>
    <row r="187" spans="1:15" x14ac:dyDescent="0.25">
      <c r="A187">
        <v>1.2187114999999999</v>
      </c>
      <c r="B187">
        <v>9.1391270000000002</v>
      </c>
      <c r="C187">
        <v>17.978037499999999</v>
      </c>
      <c r="D187">
        <v>8.6321309999999993</v>
      </c>
      <c r="E187">
        <v>16.049113999999999</v>
      </c>
      <c r="F187">
        <v>0.14620649999999999</v>
      </c>
      <c r="G187">
        <v>19.088687749999998</v>
      </c>
      <c r="H187">
        <v>0</v>
      </c>
      <c r="I187">
        <v>20</v>
      </c>
      <c r="J187">
        <v>1.17</v>
      </c>
      <c r="K187">
        <v>5.6903542500000004</v>
      </c>
      <c r="L187">
        <v>-1.5067052286923139</v>
      </c>
      <c r="M187">
        <v>4.5597552661041547E-2</v>
      </c>
      <c r="N187">
        <v>-0.27325873696952352</v>
      </c>
      <c r="O187">
        <v>0.42963181482881552</v>
      </c>
    </row>
    <row r="188" spans="1:15" x14ac:dyDescent="0.25">
      <c r="A188">
        <v>-1.171451</v>
      </c>
      <c r="B188">
        <v>8.0328132500000002</v>
      </c>
      <c r="C188">
        <v>18.791128</v>
      </c>
      <c r="D188">
        <v>7.4052290000000003</v>
      </c>
      <c r="E188">
        <v>14.216208</v>
      </c>
      <c r="F188">
        <v>0.194933</v>
      </c>
      <c r="G188">
        <v>19.525476000000001</v>
      </c>
      <c r="H188">
        <v>0</v>
      </c>
      <c r="I188">
        <v>24</v>
      </c>
      <c r="J188">
        <v>1.17</v>
      </c>
      <c r="K188">
        <v>5.7483620000000002</v>
      </c>
      <c r="L188">
        <v>-1.7985782995143049</v>
      </c>
      <c r="M188">
        <v>5.6526959869656022E-2</v>
      </c>
      <c r="N188">
        <v>-0.47836366785926893</v>
      </c>
      <c r="O188">
        <v>0.26325415352659393</v>
      </c>
    </row>
    <row r="189" spans="1:15" x14ac:dyDescent="0.25">
      <c r="A189">
        <v>-3.7846880000000001</v>
      </c>
      <c r="B189">
        <v>6.7340960000000001</v>
      </c>
      <c r="C189">
        <v>19.422257500000001</v>
      </c>
      <c r="D189">
        <v>5.5648747500000004</v>
      </c>
      <c r="E189">
        <v>11.578613499999999</v>
      </c>
      <c r="F189">
        <v>0.194933</v>
      </c>
      <c r="G189">
        <v>19.646648750000001</v>
      </c>
      <c r="H189">
        <v>0</v>
      </c>
      <c r="I189">
        <v>28</v>
      </c>
      <c r="J189">
        <v>1.17</v>
      </c>
      <c r="K189">
        <v>5.7663417499999996</v>
      </c>
      <c r="L189">
        <v>-2.1716256435943149</v>
      </c>
      <c r="M189">
        <v>0.1094328643282796</v>
      </c>
      <c r="N189">
        <v>-0.75508999367917862</v>
      </c>
      <c r="O189">
        <v>6.503508931783511E-2</v>
      </c>
    </row>
    <row r="190" spans="1:15" x14ac:dyDescent="0.25">
      <c r="A190">
        <v>-6.2168877499999997</v>
      </c>
      <c r="B190">
        <v>4.9543732499999997</v>
      </c>
      <c r="C190">
        <v>19.423528749999999</v>
      </c>
      <c r="D190">
        <v>3.6368852500000002</v>
      </c>
      <c r="E190">
        <v>8.3598540000000003</v>
      </c>
      <c r="F190">
        <v>0.194933</v>
      </c>
      <c r="G190">
        <v>19.4477145</v>
      </c>
      <c r="H190">
        <v>0</v>
      </c>
      <c r="I190">
        <v>32</v>
      </c>
      <c r="J190">
        <v>1.17</v>
      </c>
      <c r="K190">
        <v>5.7367765000000004</v>
      </c>
      <c r="L190">
        <v>-2.6571224395867108</v>
      </c>
      <c r="M190">
        <v>0.1365304811794491</v>
      </c>
      <c r="N190">
        <v>-1.1490294680173621</v>
      </c>
      <c r="O190">
        <v>-0.15387880880782889</v>
      </c>
    </row>
    <row r="191" spans="1:15" x14ac:dyDescent="0.25">
      <c r="A191">
        <v>-8.3803799999999988</v>
      </c>
      <c r="B191">
        <v>3.078449</v>
      </c>
      <c r="C191">
        <v>18.792363999999999</v>
      </c>
      <c r="D191">
        <v>1.4459880000000001</v>
      </c>
      <c r="E191">
        <v>4.6046347499999998</v>
      </c>
      <c r="F191">
        <v>0.14620649999999999</v>
      </c>
      <c r="G191">
        <v>18.8063675</v>
      </c>
      <c r="H191">
        <v>0</v>
      </c>
      <c r="I191">
        <v>36</v>
      </c>
      <c r="J191">
        <v>1.17</v>
      </c>
      <c r="K191">
        <v>5.6477947500000001</v>
      </c>
      <c r="L191">
        <v>-3.366617107767063</v>
      </c>
      <c r="M191">
        <v>0.2022142241072557</v>
      </c>
      <c r="N191">
        <v>-1.7596366525367939</v>
      </c>
      <c r="O191">
        <v>-0.44760572490660328</v>
      </c>
    </row>
    <row r="192" spans="1:15" x14ac:dyDescent="0.25">
      <c r="A192">
        <v>18.597017000000001</v>
      </c>
      <c r="B192">
        <v>4.4252659999999997</v>
      </c>
      <c r="C192">
        <v>-8.1185399999999994</v>
      </c>
      <c r="D192">
        <v>0.65726525000000002</v>
      </c>
      <c r="E192">
        <v>7.1528200000000002</v>
      </c>
      <c r="F192">
        <v>9.7479999999999997E-2</v>
      </c>
      <c r="G192">
        <v>18.207216500000001</v>
      </c>
      <c r="H192">
        <v>4</v>
      </c>
      <c r="I192">
        <v>-36</v>
      </c>
      <c r="J192">
        <v>1.17</v>
      </c>
      <c r="K192">
        <v>5.56384525</v>
      </c>
      <c r="L192">
        <v>2.4547236749303019</v>
      </c>
      <c r="M192">
        <v>0.34619355610536362</v>
      </c>
      <c r="N192">
        <v>-1.015740348367151</v>
      </c>
      <c r="O192">
        <v>-0.35174735443354771</v>
      </c>
    </row>
    <row r="193" spans="1:15" x14ac:dyDescent="0.25">
      <c r="A193">
        <v>18.055354999999999</v>
      </c>
      <c r="B193">
        <v>5.964486</v>
      </c>
      <c r="C193">
        <v>-5.3221535000000006</v>
      </c>
      <c r="D193">
        <v>2.4538000000000002</v>
      </c>
      <c r="E193">
        <v>9.4774790000000007</v>
      </c>
      <c r="F193">
        <v>0.194933</v>
      </c>
      <c r="G193">
        <v>17.886054250000001</v>
      </c>
      <c r="H193">
        <v>4</v>
      </c>
      <c r="I193">
        <v>-32</v>
      </c>
      <c r="J193">
        <v>1.17</v>
      </c>
      <c r="K193">
        <v>5.499193</v>
      </c>
      <c r="L193">
        <v>2.1424370040729661</v>
      </c>
      <c r="M193">
        <v>0.32174273665494491</v>
      </c>
      <c r="N193">
        <v>-0.77063281756004165</v>
      </c>
      <c r="O193">
        <v>-0.1492854236563986</v>
      </c>
    </row>
    <row r="194" spans="1:15" x14ac:dyDescent="0.25">
      <c r="A194">
        <v>17.513694999999998</v>
      </c>
      <c r="B194">
        <v>7.4556052499999996</v>
      </c>
      <c r="C194">
        <v>-2.6161392499999998</v>
      </c>
      <c r="D194">
        <v>4.250337</v>
      </c>
      <c r="E194">
        <v>11.757433000000001</v>
      </c>
      <c r="F194">
        <v>9.7479999999999997E-2</v>
      </c>
      <c r="G194">
        <v>17.608011749999999</v>
      </c>
      <c r="H194">
        <v>4</v>
      </c>
      <c r="I194">
        <v>-28</v>
      </c>
      <c r="J194">
        <v>1.17</v>
      </c>
      <c r="K194">
        <v>5.47098</v>
      </c>
      <c r="L194">
        <v>1.8400891735885601</v>
      </c>
      <c r="M194">
        <v>0.29292281909294587</v>
      </c>
      <c r="N194">
        <v>-0.534891951456827</v>
      </c>
      <c r="O194">
        <v>6.5856958232325638E-2</v>
      </c>
    </row>
    <row r="195" spans="1:15" x14ac:dyDescent="0.25">
      <c r="A195">
        <v>16.791478999999999</v>
      </c>
      <c r="B195">
        <v>8.6581209999999995</v>
      </c>
      <c r="C195">
        <v>-0.22551499999999999</v>
      </c>
      <c r="D195">
        <v>5.6086929999999997</v>
      </c>
      <c r="E195">
        <v>13.545632749999999</v>
      </c>
      <c r="F195">
        <v>4.8753499999999998E-2</v>
      </c>
      <c r="G195">
        <v>17.405891</v>
      </c>
      <c r="H195">
        <v>4</v>
      </c>
      <c r="I195">
        <v>-24</v>
      </c>
      <c r="J195">
        <v>1.1599999999999999</v>
      </c>
      <c r="K195">
        <v>5.4704575000000002</v>
      </c>
      <c r="L195">
        <v>1.567887002077623</v>
      </c>
      <c r="M195">
        <v>0.28097144466850338</v>
      </c>
      <c r="N195">
        <v>-0.3557481831170336</v>
      </c>
      <c r="O195">
        <v>0.243576210511427</v>
      </c>
    </row>
    <row r="196" spans="1:15" x14ac:dyDescent="0.25">
      <c r="A196">
        <v>15.7984335</v>
      </c>
      <c r="B196">
        <v>9.3796309999999998</v>
      </c>
      <c r="C196">
        <v>1.6714292500000001</v>
      </c>
      <c r="D196">
        <v>6.6165052499999986</v>
      </c>
      <c r="E196">
        <v>14.484439</v>
      </c>
      <c r="F196">
        <v>2.6999999999999999E-5</v>
      </c>
      <c r="G196">
        <v>16.886699</v>
      </c>
      <c r="H196">
        <v>4</v>
      </c>
      <c r="I196">
        <v>-20</v>
      </c>
      <c r="J196">
        <v>1.17</v>
      </c>
      <c r="K196">
        <v>5.3727044999999993</v>
      </c>
      <c r="L196">
        <v>1.3661121683022821</v>
      </c>
      <c r="M196">
        <v>0.2672514908853228</v>
      </c>
      <c r="N196">
        <v>-0.23237407144589819</v>
      </c>
      <c r="O196">
        <v>0.40090552573575539</v>
      </c>
    </row>
    <row r="197" spans="1:15" x14ac:dyDescent="0.25">
      <c r="A197">
        <v>15.617879500000001</v>
      </c>
      <c r="B197">
        <v>10.389744</v>
      </c>
      <c r="C197">
        <v>3.8395204999999999</v>
      </c>
      <c r="D197">
        <v>7.7995900000000002</v>
      </c>
      <c r="E197">
        <v>16.272635999999999</v>
      </c>
      <c r="F197">
        <v>4.8753499999999998E-2</v>
      </c>
      <c r="G197">
        <v>17.565944500000001</v>
      </c>
      <c r="H197">
        <v>4</v>
      </c>
      <c r="I197">
        <v>-16</v>
      </c>
      <c r="J197">
        <v>1.17</v>
      </c>
      <c r="K197">
        <v>5.4720857499999997</v>
      </c>
      <c r="L197">
        <v>1.1268482652987151</v>
      </c>
      <c r="M197">
        <v>0.24774763312514769</v>
      </c>
      <c r="N197">
        <v>-0.1236913214537448</v>
      </c>
      <c r="O197">
        <v>0.55213476203465517</v>
      </c>
    </row>
    <row r="198" spans="1:15" x14ac:dyDescent="0.25">
      <c r="A198">
        <v>14.985941</v>
      </c>
      <c r="B198">
        <v>11.255554</v>
      </c>
      <c r="C198">
        <v>5.9177822500000001</v>
      </c>
      <c r="D198">
        <v>8.7197670000000009</v>
      </c>
      <c r="E198">
        <v>17.524377999999999</v>
      </c>
      <c r="F198">
        <v>4.8753499999999998E-2</v>
      </c>
      <c r="G198">
        <v>17.847080500000001</v>
      </c>
      <c r="H198">
        <v>4</v>
      </c>
      <c r="I198">
        <v>-12</v>
      </c>
      <c r="J198">
        <v>1.17</v>
      </c>
      <c r="K198">
        <v>5.5157947500000004</v>
      </c>
      <c r="L198">
        <v>0.88853988520480742</v>
      </c>
      <c r="M198">
        <v>0.24846918825144401</v>
      </c>
      <c r="N198">
        <v>-3.1654931222298517E-2</v>
      </c>
      <c r="O198">
        <v>0.7125145617143418</v>
      </c>
    </row>
    <row r="199" spans="1:15" x14ac:dyDescent="0.25">
      <c r="A199">
        <v>14.03803325</v>
      </c>
      <c r="B199">
        <v>11.928964000000001</v>
      </c>
      <c r="C199">
        <v>7.8145697500000004</v>
      </c>
      <c r="D199">
        <v>9.2017644999999995</v>
      </c>
      <c r="E199">
        <v>18.239656</v>
      </c>
      <c r="F199">
        <v>0.14620649999999999</v>
      </c>
      <c r="G199">
        <v>17.929214000000002</v>
      </c>
      <c r="H199">
        <v>4</v>
      </c>
      <c r="I199">
        <v>-8</v>
      </c>
      <c r="J199">
        <v>1.17</v>
      </c>
      <c r="K199">
        <v>5.51345025</v>
      </c>
      <c r="L199">
        <v>0.63953353584695893</v>
      </c>
      <c r="M199">
        <v>0.28019948581752591</v>
      </c>
      <c r="N199">
        <v>3.190258782757021E-2</v>
      </c>
      <c r="O199">
        <v>0.85943163273451573</v>
      </c>
    </row>
    <row r="200" spans="1:15" x14ac:dyDescent="0.25">
      <c r="A200">
        <v>12.864433249999999</v>
      </c>
      <c r="B200">
        <v>12.506171</v>
      </c>
      <c r="C200">
        <v>9.7117567499999993</v>
      </c>
      <c r="D200">
        <v>9.4646720000000002</v>
      </c>
      <c r="E200">
        <v>18.776116999999999</v>
      </c>
      <c r="F200">
        <v>9.7479999999999997E-2</v>
      </c>
      <c r="G200">
        <v>18.289398500000001</v>
      </c>
      <c r="H200">
        <v>4</v>
      </c>
      <c r="I200">
        <v>-4</v>
      </c>
      <c r="J200">
        <v>1.17</v>
      </c>
      <c r="K200">
        <v>5.5764814999999999</v>
      </c>
      <c r="L200">
        <v>0.34306792149712079</v>
      </c>
      <c r="M200">
        <v>0.33103892077973518</v>
      </c>
      <c r="N200">
        <v>5.2964588511895769E-2</v>
      </c>
      <c r="O200">
        <v>1.0330224949703699</v>
      </c>
    </row>
    <row r="201" spans="1:15" x14ac:dyDescent="0.25">
      <c r="A201">
        <v>11.374865</v>
      </c>
      <c r="B201">
        <v>12.746673749999999</v>
      </c>
      <c r="C201">
        <v>11.563767</v>
      </c>
      <c r="D201">
        <v>9.6399439999999998</v>
      </c>
      <c r="E201">
        <v>19.223166500000001</v>
      </c>
      <c r="F201">
        <v>2.6999999999999999E-5</v>
      </c>
      <c r="G201">
        <v>18.807461</v>
      </c>
      <c r="H201">
        <v>4</v>
      </c>
      <c r="I201">
        <v>0</v>
      </c>
      <c r="J201">
        <v>1.17</v>
      </c>
      <c r="K201">
        <v>5.6700370000000007</v>
      </c>
      <c r="L201">
        <v>-2.1676784970616449E-2</v>
      </c>
      <c r="M201">
        <v>0.35643047977279457</v>
      </c>
      <c r="N201">
        <v>4.7687227295115257E-2</v>
      </c>
      <c r="O201">
        <v>1.205687276807661</v>
      </c>
    </row>
    <row r="202" spans="1:15" x14ac:dyDescent="0.25">
      <c r="A202">
        <v>9.704741499999999</v>
      </c>
      <c r="B202">
        <v>12.890976</v>
      </c>
      <c r="C202">
        <v>13.371487999999999</v>
      </c>
      <c r="D202">
        <v>9.7275795000000009</v>
      </c>
      <c r="E202">
        <v>19.357281499999999</v>
      </c>
      <c r="F202">
        <v>0.194933</v>
      </c>
      <c r="G202">
        <v>18.968636249999999</v>
      </c>
      <c r="H202">
        <v>4</v>
      </c>
      <c r="I202">
        <v>4</v>
      </c>
      <c r="J202">
        <v>1.1625000000000001</v>
      </c>
      <c r="K202">
        <v>5.6832370000000001</v>
      </c>
      <c r="L202">
        <v>-0.38031369606543303</v>
      </c>
      <c r="M202">
        <v>0.32811371050407823</v>
      </c>
      <c r="N202">
        <v>4.0263373712409657E-2</v>
      </c>
      <c r="O202">
        <v>0.98764948582659995</v>
      </c>
    </row>
    <row r="203" spans="1:15" x14ac:dyDescent="0.25">
      <c r="A203">
        <v>7.8089265000000001</v>
      </c>
      <c r="B203">
        <v>12.890976</v>
      </c>
      <c r="C203">
        <v>15.042923500000001</v>
      </c>
      <c r="D203">
        <v>9.5084900000000001</v>
      </c>
      <c r="E203">
        <v>19.491398</v>
      </c>
      <c r="F203">
        <v>9.7479999999999997E-2</v>
      </c>
      <c r="G203">
        <v>19.4477145</v>
      </c>
      <c r="H203">
        <v>4</v>
      </c>
      <c r="I203">
        <v>8</v>
      </c>
      <c r="J203">
        <v>1.17</v>
      </c>
      <c r="K203">
        <v>5.7512592500000004</v>
      </c>
      <c r="L203">
        <v>-0.66776976035941782</v>
      </c>
      <c r="M203">
        <v>0.31223718182631072</v>
      </c>
      <c r="N203">
        <v>4.0330717948683327E-3</v>
      </c>
      <c r="O203">
        <v>0.79034381722566938</v>
      </c>
    </row>
    <row r="204" spans="1:15" x14ac:dyDescent="0.25">
      <c r="A204">
        <v>5.9582499999999996</v>
      </c>
      <c r="B204">
        <v>12.698573</v>
      </c>
      <c r="C204">
        <v>16.443317</v>
      </c>
      <c r="D204">
        <v>9.2017644999999995</v>
      </c>
      <c r="E204">
        <v>19.133756999999999</v>
      </c>
      <c r="F204">
        <v>0.194933</v>
      </c>
      <c r="G204">
        <v>19.568906250000001</v>
      </c>
      <c r="H204">
        <v>4</v>
      </c>
      <c r="I204">
        <v>12</v>
      </c>
      <c r="J204">
        <v>1.17</v>
      </c>
      <c r="K204">
        <v>5.7548072499999998</v>
      </c>
      <c r="L204">
        <v>-0.90751643729674258</v>
      </c>
      <c r="M204">
        <v>0.30263131086837203</v>
      </c>
      <c r="N204">
        <v>-3.767633367379776E-2</v>
      </c>
      <c r="O204">
        <v>0.63921642876197549</v>
      </c>
    </row>
    <row r="205" spans="1:15" x14ac:dyDescent="0.25">
      <c r="A205">
        <v>3.791604</v>
      </c>
      <c r="B205">
        <v>12.121366</v>
      </c>
      <c r="C205">
        <v>17.707022500000001</v>
      </c>
      <c r="D205">
        <v>8.5006769999999996</v>
      </c>
      <c r="E205">
        <v>18.239656</v>
      </c>
      <c r="F205">
        <v>0.194933</v>
      </c>
      <c r="G205">
        <v>19.887893500000001</v>
      </c>
      <c r="H205">
        <v>4</v>
      </c>
      <c r="I205">
        <v>16</v>
      </c>
      <c r="J205">
        <v>1.17</v>
      </c>
      <c r="K205">
        <v>5.8019889999999998</v>
      </c>
      <c r="L205">
        <v>-1.1506659883353261</v>
      </c>
      <c r="M205">
        <v>0.29936861623450323</v>
      </c>
      <c r="N205">
        <v>-0.13628081645031931</v>
      </c>
      <c r="O205">
        <v>0.49211863953031049</v>
      </c>
    </row>
    <row r="206" spans="1:15" x14ac:dyDescent="0.25">
      <c r="A206">
        <v>1.3541274999999999</v>
      </c>
      <c r="B206">
        <v>10.774547999999999</v>
      </c>
      <c r="C206">
        <v>17.978048999999999</v>
      </c>
      <c r="D206">
        <v>7.0108670000000002</v>
      </c>
      <c r="E206">
        <v>16.138523249999999</v>
      </c>
      <c r="F206">
        <v>0.14620649999999999</v>
      </c>
      <c r="G206">
        <v>19.286520249999999</v>
      </c>
      <c r="H206">
        <v>4</v>
      </c>
      <c r="I206">
        <v>20</v>
      </c>
      <c r="J206">
        <v>1.17</v>
      </c>
      <c r="K206">
        <v>5.7199419999999996</v>
      </c>
      <c r="L206">
        <v>-1.3904599138569771</v>
      </c>
      <c r="M206">
        <v>0.31480244848176508</v>
      </c>
      <c r="N206">
        <v>-0.2633334509455732</v>
      </c>
      <c r="O206">
        <v>0.33757414379307921</v>
      </c>
    </row>
    <row r="207" spans="1:15" x14ac:dyDescent="0.25">
      <c r="A207">
        <v>-0.901057</v>
      </c>
      <c r="B207">
        <v>9.6201329999999992</v>
      </c>
      <c r="C207">
        <v>17.932875249999999</v>
      </c>
      <c r="D207">
        <v>5.4334199999999999</v>
      </c>
      <c r="E207">
        <v>13.635043</v>
      </c>
      <c r="F207">
        <v>0.194933</v>
      </c>
      <c r="G207">
        <v>18.568458249999999</v>
      </c>
      <c r="H207">
        <v>4</v>
      </c>
      <c r="I207">
        <v>24</v>
      </c>
      <c r="J207">
        <v>1.1625000000000001</v>
      </c>
      <c r="K207">
        <v>5.6223387499999999</v>
      </c>
      <c r="L207">
        <v>-1.6567156526988771</v>
      </c>
      <c r="M207">
        <v>0.36827837056971091</v>
      </c>
      <c r="N207">
        <v>-0.43400814629313827</v>
      </c>
      <c r="O207">
        <v>0.18219449603954771</v>
      </c>
    </row>
    <row r="208" spans="1:15" x14ac:dyDescent="0.25">
      <c r="A208">
        <v>-3.2890739999999998</v>
      </c>
      <c r="B208">
        <v>8.1771145000000001</v>
      </c>
      <c r="C208">
        <v>17.934058749999998</v>
      </c>
      <c r="D208">
        <v>3.4616137500000002</v>
      </c>
      <c r="E208">
        <v>10.908039</v>
      </c>
      <c r="F208">
        <v>9.7479999999999997E-2</v>
      </c>
      <c r="G208">
        <v>18.168270750000001</v>
      </c>
      <c r="H208">
        <v>4</v>
      </c>
      <c r="I208">
        <v>28</v>
      </c>
      <c r="J208">
        <v>1.1625000000000001</v>
      </c>
      <c r="K208">
        <v>5.5757972499999999</v>
      </c>
      <c r="L208">
        <v>-1.9612163985257569</v>
      </c>
      <c r="M208">
        <v>0.43575072649060043</v>
      </c>
      <c r="N208">
        <v>-0.67095477845425844</v>
      </c>
      <c r="O208">
        <v>-1.022442373130957E-3</v>
      </c>
    </row>
    <row r="209" spans="1:15" x14ac:dyDescent="0.25">
      <c r="A209">
        <v>-5.5865545000000001</v>
      </c>
      <c r="B209">
        <v>6.6378950000000003</v>
      </c>
      <c r="C209">
        <v>17.797351750000001</v>
      </c>
      <c r="D209">
        <v>1.4459880000000001</v>
      </c>
      <c r="E209">
        <v>7.7786894999999996</v>
      </c>
      <c r="F209">
        <v>9.7479999999999997E-2</v>
      </c>
      <c r="G209">
        <v>17.848127000000002</v>
      </c>
      <c r="H209">
        <v>4</v>
      </c>
      <c r="I209">
        <v>32</v>
      </c>
      <c r="J209">
        <v>1.165</v>
      </c>
      <c r="K209">
        <v>5.52022675</v>
      </c>
      <c r="L209">
        <v>-2.3746377704672361</v>
      </c>
      <c r="M209">
        <v>0.52704365964906796</v>
      </c>
      <c r="N209">
        <v>-1.022648980208906</v>
      </c>
      <c r="O209">
        <v>-0.22011793791871959</v>
      </c>
    </row>
    <row r="210" spans="1:15" x14ac:dyDescent="0.25">
      <c r="A210">
        <v>-7.7035292499999999</v>
      </c>
      <c r="B210">
        <v>4.8581717500000003</v>
      </c>
      <c r="C210">
        <v>17.346798</v>
      </c>
      <c r="D210">
        <v>-0.69930700000000001</v>
      </c>
      <c r="E210">
        <v>4.2916999999999996</v>
      </c>
      <c r="F210">
        <v>0.14620649999999999</v>
      </c>
      <c r="G210">
        <v>17.526952000000001</v>
      </c>
      <c r="H210">
        <v>4</v>
      </c>
      <c r="I210">
        <v>36</v>
      </c>
      <c r="J210">
        <v>1.165</v>
      </c>
      <c r="K210">
        <v>5.4624087499999998</v>
      </c>
      <c r="L210">
        <v>-2.9495051706844349</v>
      </c>
      <c r="M210">
        <v>0.65440945843691167</v>
      </c>
      <c r="N210">
        <v>-1.558406675402606</v>
      </c>
      <c r="O210">
        <v>-0.51184394551044388</v>
      </c>
    </row>
    <row r="211" spans="1:15" x14ac:dyDescent="0.25">
      <c r="A211">
        <v>17.242863499999999</v>
      </c>
      <c r="B211">
        <v>5.82018375</v>
      </c>
      <c r="C211">
        <v>-7.5322009999999997</v>
      </c>
      <c r="D211">
        <v>-1.5734429999999999</v>
      </c>
      <c r="E211">
        <v>6.1693095000000007</v>
      </c>
      <c r="F211">
        <v>0.194933</v>
      </c>
      <c r="G211">
        <v>17.206824999999998</v>
      </c>
      <c r="H211">
        <v>8</v>
      </c>
      <c r="I211">
        <v>-36</v>
      </c>
      <c r="J211">
        <v>1.17</v>
      </c>
      <c r="K211">
        <v>5.3925879999999999</v>
      </c>
      <c r="L211">
        <v>2.3108183872350452</v>
      </c>
      <c r="M211">
        <v>0.68955310583921059</v>
      </c>
      <c r="N211">
        <v>-1.029560506023538</v>
      </c>
      <c r="O211">
        <v>-0.44282497136747739</v>
      </c>
    </row>
    <row r="212" spans="1:15" x14ac:dyDescent="0.25">
      <c r="A212">
        <v>16.881755999999999</v>
      </c>
      <c r="B212">
        <v>7.2632025000000002</v>
      </c>
      <c r="C212">
        <v>-4.9162270000000001</v>
      </c>
      <c r="D212">
        <v>0.48199374999999989</v>
      </c>
      <c r="E212">
        <v>8.5833779999999997</v>
      </c>
      <c r="F212">
        <v>0.14620649999999999</v>
      </c>
      <c r="G212">
        <v>17.005750500000001</v>
      </c>
      <c r="H212">
        <v>8</v>
      </c>
      <c r="I212">
        <v>-32</v>
      </c>
      <c r="J212">
        <v>1.17</v>
      </c>
      <c r="K212">
        <v>5.3683529999999999</v>
      </c>
      <c r="L212">
        <v>2.0182558136676092</v>
      </c>
      <c r="M212">
        <v>0.62789746052721362</v>
      </c>
      <c r="N212">
        <v>-0.77980790587095294</v>
      </c>
      <c r="O212">
        <v>-0.2187583815405815</v>
      </c>
    </row>
    <row r="213" spans="1:15" x14ac:dyDescent="0.25">
      <c r="A213">
        <v>17.197724749999999</v>
      </c>
      <c r="B213">
        <v>8.9467245000000002</v>
      </c>
      <c r="C213">
        <v>-2.5708709999999999</v>
      </c>
      <c r="D213">
        <v>2.3223467499999999</v>
      </c>
      <c r="E213">
        <v>11.265677999999999</v>
      </c>
      <c r="F213">
        <v>0.194933</v>
      </c>
      <c r="G213">
        <v>17.565944500000001</v>
      </c>
      <c r="H213">
        <v>8</v>
      </c>
      <c r="I213">
        <v>-28</v>
      </c>
      <c r="J213">
        <v>1.17</v>
      </c>
      <c r="K213">
        <v>5.4492132499999997</v>
      </c>
      <c r="L213">
        <v>1.7356097701895501</v>
      </c>
      <c r="M213">
        <v>0.58158656892332383</v>
      </c>
      <c r="N213">
        <v>-0.55315984231042414</v>
      </c>
      <c r="O213">
        <v>-2.7994682139853979E-2</v>
      </c>
    </row>
    <row r="214" spans="1:15" x14ac:dyDescent="0.25">
      <c r="A214">
        <v>17.197724749999999</v>
      </c>
      <c r="B214">
        <v>10.197341</v>
      </c>
      <c r="C214">
        <v>-0.18041375000000001</v>
      </c>
      <c r="D214">
        <v>4.0312472499999998</v>
      </c>
      <c r="E214">
        <v>13.545632749999999</v>
      </c>
      <c r="F214">
        <v>0.194933</v>
      </c>
      <c r="G214">
        <v>17.80810675</v>
      </c>
      <c r="H214">
        <v>8</v>
      </c>
      <c r="I214">
        <v>-24</v>
      </c>
      <c r="J214">
        <v>1.17</v>
      </c>
      <c r="K214">
        <v>5.4870650000000003</v>
      </c>
      <c r="L214">
        <v>1.4955004288198781</v>
      </c>
      <c r="M214">
        <v>0.53060059613771049</v>
      </c>
      <c r="N214">
        <v>-0.36680396588153402</v>
      </c>
      <c r="O214">
        <v>0.14898535516075229</v>
      </c>
    </row>
    <row r="215" spans="1:15" x14ac:dyDescent="0.25">
      <c r="A215">
        <v>16.791478999999999</v>
      </c>
      <c r="B215">
        <v>11.3036545</v>
      </c>
      <c r="C215">
        <v>1.8972990000000001</v>
      </c>
      <c r="D215">
        <v>5.4334199999999999</v>
      </c>
      <c r="E215">
        <v>15.378537</v>
      </c>
      <c r="F215">
        <v>0.194933</v>
      </c>
      <c r="G215">
        <v>17.9681785</v>
      </c>
      <c r="H215">
        <v>8</v>
      </c>
      <c r="I215">
        <v>-20</v>
      </c>
      <c r="J215">
        <v>1.165</v>
      </c>
      <c r="K215">
        <v>5.5237827500000014</v>
      </c>
      <c r="L215">
        <v>1.271563851105284</v>
      </c>
      <c r="M215">
        <v>0.50115660793596384</v>
      </c>
      <c r="N215">
        <v>-0.22110399119344021</v>
      </c>
      <c r="O215">
        <v>0.29630323148580678</v>
      </c>
    </row>
    <row r="216" spans="1:15" x14ac:dyDescent="0.25">
      <c r="A216">
        <v>16.249817</v>
      </c>
      <c r="B216">
        <v>12.409969500000001</v>
      </c>
      <c r="C216">
        <v>4.110824</v>
      </c>
      <c r="D216">
        <v>6.4850519999999996</v>
      </c>
      <c r="E216">
        <v>16.809097000000001</v>
      </c>
      <c r="F216">
        <v>0.14620649999999999</v>
      </c>
      <c r="G216">
        <v>18.3272695</v>
      </c>
      <c r="H216">
        <v>8</v>
      </c>
      <c r="I216">
        <v>-16</v>
      </c>
      <c r="J216">
        <v>1.17</v>
      </c>
      <c r="K216">
        <v>5.5748195000000003</v>
      </c>
      <c r="L216">
        <v>1.054530458858427</v>
      </c>
      <c r="M216">
        <v>0.51473302542023824</v>
      </c>
      <c r="N216">
        <v>-0.13190176670862669</v>
      </c>
      <c r="O216">
        <v>0.44753421452670678</v>
      </c>
    </row>
    <row r="217" spans="1:15" x14ac:dyDescent="0.25">
      <c r="A217">
        <v>15.527602</v>
      </c>
      <c r="B217">
        <v>13.32388175</v>
      </c>
      <c r="C217">
        <v>6.1432452500000014</v>
      </c>
      <c r="D217">
        <v>7.2299577500000014</v>
      </c>
      <c r="E217">
        <v>18.060839000000001</v>
      </c>
      <c r="F217">
        <v>0.194933</v>
      </c>
      <c r="G217">
        <v>18.647396000000001</v>
      </c>
      <c r="H217">
        <v>8</v>
      </c>
      <c r="I217">
        <v>-12</v>
      </c>
      <c r="J217">
        <v>1.17</v>
      </c>
      <c r="K217">
        <v>5.6162740000000007</v>
      </c>
      <c r="L217">
        <v>0.82506290721361086</v>
      </c>
      <c r="M217">
        <v>0.53577371164995546</v>
      </c>
      <c r="N217">
        <v>-5.1556129403656427E-2</v>
      </c>
      <c r="O217">
        <v>0.57075205116772576</v>
      </c>
    </row>
    <row r="218" spans="1:15" x14ac:dyDescent="0.25">
      <c r="A218">
        <v>14.444279999999999</v>
      </c>
      <c r="B218">
        <v>14.045391</v>
      </c>
      <c r="C218">
        <v>8.0409594999999996</v>
      </c>
      <c r="D218">
        <v>7.7119540000000004</v>
      </c>
      <c r="E218">
        <v>18.776116999999999</v>
      </c>
      <c r="F218">
        <v>0.194933</v>
      </c>
      <c r="G218">
        <v>18.768542499999999</v>
      </c>
      <c r="H218">
        <v>8</v>
      </c>
      <c r="I218">
        <v>-8</v>
      </c>
      <c r="J218">
        <v>1.17</v>
      </c>
      <c r="K218">
        <v>5.6346832500000001</v>
      </c>
      <c r="L218">
        <v>0.5874546441104882</v>
      </c>
      <c r="M218">
        <v>0.58107735913021585</v>
      </c>
      <c r="N218">
        <v>7.0974072584388645E-4</v>
      </c>
      <c r="O218">
        <v>0.70477819993040414</v>
      </c>
    </row>
    <row r="219" spans="1:15" x14ac:dyDescent="0.25">
      <c r="A219">
        <v>13.135264250000001</v>
      </c>
      <c r="B219">
        <v>14.430194999999999</v>
      </c>
      <c r="C219">
        <v>9.8479175000000012</v>
      </c>
      <c r="D219">
        <v>7.931044</v>
      </c>
      <c r="E219">
        <v>19.17846175</v>
      </c>
      <c r="F219">
        <v>0.194933</v>
      </c>
      <c r="G219">
        <v>19.088687749999998</v>
      </c>
      <c r="H219">
        <v>8</v>
      </c>
      <c r="I219">
        <v>-4</v>
      </c>
      <c r="J219">
        <v>1.17</v>
      </c>
      <c r="K219">
        <v>5.6830372499999999</v>
      </c>
      <c r="L219">
        <v>0.31945805620214751</v>
      </c>
      <c r="M219">
        <v>0.6316801677872016</v>
      </c>
      <c r="N219">
        <v>8.7238006098959986E-3</v>
      </c>
      <c r="O219">
        <v>0.84505198929315672</v>
      </c>
    </row>
    <row r="220" spans="1:15" x14ac:dyDescent="0.25">
      <c r="A220">
        <v>11.51027975</v>
      </c>
      <c r="B220">
        <v>14.67069875</v>
      </c>
      <c r="C220">
        <v>11.564529</v>
      </c>
      <c r="D220">
        <v>7.8872260000000001</v>
      </c>
      <c r="E220">
        <v>19.446692500000001</v>
      </c>
      <c r="F220">
        <v>0.194933</v>
      </c>
      <c r="G220">
        <v>19.3265405</v>
      </c>
      <c r="H220">
        <v>8</v>
      </c>
      <c r="I220">
        <v>0</v>
      </c>
      <c r="J220">
        <v>1.17</v>
      </c>
      <c r="K220">
        <v>5.7186975000000002</v>
      </c>
      <c r="L220">
        <v>-5.5125056969399016E-3</v>
      </c>
      <c r="M220">
        <v>0.69590144103852103</v>
      </c>
      <c r="N220">
        <v>1.2206788789074011E-2</v>
      </c>
      <c r="O220">
        <v>0.97508196891468146</v>
      </c>
    </row>
    <row r="221" spans="1:15" x14ac:dyDescent="0.25">
      <c r="A221">
        <v>9.7498799999999992</v>
      </c>
      <c r="B221">
        <v>14.766900250000001</v>
      </c>
      <c r="C221">
        <v>13.325433500000001</v>
      </c>
      <c r="D221">
        <v>7.9748619999999999</v>
      </c>
      <c r="E221">
        <v>19.491398</v>
      </c>
      <c r="F221">
        <v>0.194933</v>
      </c>
      <c r="G221">
        <v>19.4477145</v>
      </c>
      <c r="H221">
        <v>8</v>
      </c>
      <c r="I221">
        <v>4</v>
      </c>
      <c r="J221">
        <v>1.17</v>
      </c>
      <c r="K221">
        <v>5.7367765000000004</v>
      </c>
      <c r="L221">
        <v>-0.33641808130762207</v>
      </c>
      <c r="M221">
        <v>0.63900399308445222</v>
      </c>
      <c r="N221">
        <v>4.1099004084214066E-3</v>
      </c>
      <c r="O221">
        <v>0.81548065939288339</v>
      </c>
    </row>
    <row r="222" spans="1:15" x14ac:dyDescent="0.25">
      <c r="A222">
        <v>7.9894805</v>
      </c>
      <c r="B222">
        <v>14.718799499999999</v>
      </c>
      <c r="C222">
        <v>14.997749000000001</v>
      </c>
      <c r="D222">
        <v>7.931044</v>
      </c>
      <c r="E222">
        <v>19.580808000000001</v>
      </c>
      <c r="F222">
        <v>0.194933</v>
      </c>
      <c r="G222">
        <v>19.80670375</v>
      </c>
      <c r="H222">
        <v>8</v>
      </c>
      <c r="I222">
        <v>8</v>
      </c>
      <c r="J222">
        <v>1.17</v>
      </c>
      <c r="K222">
        <v>5.7900167500000004</v>
      </c>
      <c r="L222">
        <v>-0.60310477193861978</v>
      </c>
      <c r="M222">
        <v>0.58409646418581118</v>
      </c>
      <c r="N222">
        <v>-1.9456887896384969E-2</v>
      </c>
      <c r="O222">
        <v>0.66828508997011882</v>
      </c>
    </row>
    <row r="223" spans="1:15" x14ac:dyDescent="0.25">
      <c r="A223">
        <v>5.8228344999999999</v>
      </c>
      <c r="B223">
        <v>14.045391</v>
      </c>
      <c r="C223">
        <v>15.8098475</v>
      </c>
      <c r="D223">
        <v>7.3175932499999998</v>
      </c>
      <c r="E223">
        <v>18.418478</v>
      </c>
      <c r="F223">
        <v>0.14620649999999999</v>
      </c>
      <c r="G223">
        <v>19.247629750000002</v>
      </c>
      <c r="H223">
        <v>8</v>
      </c>
      <c r="I223">
        <v>12</v>
      </c>
      <c r="J223">
        <v>1.17</v>
      </c>
      <c r="K223">
        <v>5.7141529999999996</v>
      </c>
      <c r="L223">
        <v>-0.84287559696233716</v>
      </c>
      <c r="M223">
        <v>0.56781837439042626</v>
      </c>
      <c r="N223">
        <v>-6.9958471556852281E-2</v>
      </c>
      <c r="O223">
        <v>0.5422644587450598</v>
      </c>
    </row>
    <row r="224" spans="1:15" x14ac:dyDescent="0.25">
      <c r="A224">
        <v>3.6110500000000001</v>
      </c>
      <c r="B224">
        <v>12.890976</v>
      </c>
      <c r="C224">
        <v>16.307794999999999</v>
      </c>
      <c r="D224">
        <v>6.3535987499999997</v>
      </c>
      <c r="E224">
        <v>16.898508</v>
      </c>
      <c r="F224">
        <v>0.194933</v>
      </c>
      <c r="G224">
        <v>18.648481</v>
      </c>
      <c r="H224">
        <v>8</v>
      </c>
      <c r="I224">
        <v>16</v>
      </c>
      <c r="J224">
        <v>1.17</v>
      </c>
      <c r="K224">
        <v>5.6164132499999999</v>
      </c>
      <c r="L224">
        <v>-1.065547720702239</v>
      </c>
      <c r="M224">
        <v>0.54865106318245771</v>
      </c>
      <c r="N224">
        <v>-0.1469234344973448</v>
      </c>
      <c r="O224">
        <v>0.40194872944840621</v>
      </c>
    </row>
    <row r="225" spans="1:15" x14ac:dyDescent="0.25">
      <c r="A225">
        <v>1.2638499999999999</v>
      </c>
      <c r="B225">
        <v>11.8808635</v>
      </c>
      <c r="C225">
        <v>16.848776999999998</v>
      </c>
      <c r="D225">
        <v>5.082878</v>
      </c>
      <c r="E225">
        <v>15.155013</v>
      </c>
      <c r="F225">
        <v>0.14620649999999999</v>
      </c>
      <c r="G225">
        <v>18.28832375</v>
      </c>
      <c r="H225">
        <v>8</v>
      </c>
      <c r="I225">
        <v>20</v>
      </c>
      <c r="J225">
        <v>1.17</v>
      </c>
      <c r="K225">
        <v>5.5688405000000003</v>
      </c>
      <c r="L225">
        <v>-1.3007739700371781</v>
      </c>
      <c r="M225">
        <v>0.56740540323141442</v>
      </c>
      <c r="N225">
        <v>-0.26155000628819791</v>
      </c>
      <c r="O225">
        <v>0.25264483231238521</v>
      </c>
    </row>
    <row r="226" spans="1:15" x14ac:dyDescent="0.25">
      <c r="A226">
        <v>-1.1263240000000001</v>
      </c>
      <c r="B226">
        <v>10.5340455</v>
      </c>
      <c r="C226">
        <v>16.939125499999999</v>
      </c>
      <c r="D226">
        <v>3.3301590000000001</v>
      </c>
      <c r="E226">
        <v>12.696239</v>
      </c>
      <c r="F226">
        <v>0.14620649999999999</v>
      </c>
      <c r="G226">
        <v>17.80810675</v>
      </c>
      <c r="H226">
        <v>8</v>
      </c>
      <c r="I226">
        <v>24</v>
      </c>
      <c r="J226">
        <v>1.17</v>
      </c>
      <c r="K226">
        <v>5.4946422500000001</v>
      </c>
      <c r="L226">
        <v>-1.558116376701812</v>
      </c>
      <c r="M226">
        <v>0.62132785523517287</v>
      </c>
      <c r="N226">
        <v>-0.44090555866536119</v>
      </c>
      <c r="O226">
        <v>8.2449628597425204E-2</v>
      </c>
    </row>
    <row r="227" spans="1:15" x14ac:dyDescent="0.25">
      <c r="A227">
        <v>-3.2438057499999999</v>
      </c>
      <c r="B227">
        <v>9.4277320000000007</v>
      </c>
      <c r="C227">
        <v>16.985405</v>
      </c>
      <c r="D227">
        <v>1.577442</v>
      </c>
      <c r="E227">
        <v>10.2374645</v>
      </c>
      <c r="F227">
        <v>9.7479999999999997E-2</v>
      </c>
      <c r="G227">
        <v>17.687015500000001</v>
      </c>
      <c r="H227">
        <v>8</v>
      </c>
      <c r="I227">
        <v>28</v>
      </c>
      <c r="J227">
        <v>1.17</v>
      </c>
      <c r="K227">
        <v>5.4833569999999998</v>
      </c>
      <c r="L227">
        <v>-1.8273721050358329</v>
      </c>
      <c r="M227">
        <v>0.70914280024068033</v>
      </c>
      <c r="N227">
        <v>-0.67301927498162883</v>
      </c>
      <c r="O227">
        <v>-8.4105077503137088E-2</v>
      </c>
    </row>
    <row r="228" spans="1:15" x14ac:dyDescent="0.25">
      <c r="A228">
        <v>-5.4517527500000007</v>
      </c>
      <c r="B228">
        <v>8.0328132500000002</v>
      </c>
      <c r="C228">
        <v>16.758429249999999</v>
      </c>
      <c r="D228">
        <v>-0.56818749999999996</v>
      </c>
      <c r="E228">
        <v>7.2422300000000002</v>
      </c>
      <c r="F228">
        <v>9.7479999999999997E-2</v>
      </c>
      <c r="G228">
        <v>17.445911500000001</v>
      </c>
      <c r="H228">
        <v>8</v>
      </c>
      <c r="I228">
        <v>32</v>
      </c>
      <c r="J228">
        <v>1.17</v>
      </c>
      <c r="K228">
        <v>5.445659</v>
      </c>
      <c r="L228">
        <v>-2.1665071694973528</v>
      </c>
      <c r="M228">
        <v>0.83899242898419324</v>
      </c>
      <c r="N228">
        <v>-0.9953627001348232</v>
      </c>
      <c r="O228">
        <v>-0.30314104576012152</v>
      </c>
    </row>
    <row r="229" spans="1:15" x14ac:dyDescent="0.25">
      <c r="A229">
        <v>-7.5683737500000001</v>
      </c>
      <c r="B229">
        <v>6.4454925000000003</v>
      </c>
      <c r="C229">
        <v>16.533665500000001</v>
      </c>
      <c r="D229">
        <v>-2.7535262500000002</v>
      </c>
      <c r="E229">
        <v>3.9787642499999998</v>
      </c>
      <c r="F229">
        <v>9.7479999999999997E-2</v>
      </c>
      <c r="G229">
        <v>17.086781999999999</v>
      </c>
      <c r="H229">
        <v>8</v>
      </c>
      <c r="I229">
        <v>36</v>
      </c>
      <c r="J229">
        <v>1.17</v>
      </c>
      <c r="K229">
        <v>5.3889702499999999</v>
      </c>
      <c r="L229">
        <v>-2.637042970640266</v>
      </c>
      <c r="M229">
        <v>1.006520384745041</v>
      </c>
      <c r="N229">
        <v>-1.434185438440831</v>
      </c>
      <c r="O229">
        <v>-0.57529406095684421</v>
      </c>
    </row>
    <row r="230" spans="1:15" x14ac:dyDescent="0.25">
      <c r="A230">
        <v>17.6039715</v>
      </c>
      <c r="B230">
        <v>7.599907</v>
      </c>
      <c r="C230">
        <v>-7.7582230000000001</v>
      </c>
      <c r="D230">
        <v>-3.7150745000000001</v>
      </c>
      <c r="E230">
        <v>5.76696425</v>
      </c>
      <c r="F230">
        <v>0.14620649999999999</v>
      </c>
      <c r="G230">
        <v>17.768085750000001</v>
      </c>
      <c r="H230">
        <v>12</v>
      </c>
      <c r="I230">
        <v>-36</v>
      </c>
      <c r="J230">
        <v>1.17</v>
      </c>
      <c r="K230">
        <v>5.4883870000000003</v>
      </c>
      <c r="L230">
        <v>2.2047913256110112</v>
      </c>
      <c r="M230">
        <v>0.98368427894743782</v>
      </c>
      <c r="N230">
        <v>-1.043328233630322</v>
      </c>
      <c r="O230">
        <v>-0.51141753012811053</v>
      </c>
    </row>
    <row r="231" spans="1:15" x14ac:dyDescent="0.25">
      <c r="A231">
        <v>17.829663499999999</v>
      </c>
      <c r="B231">
        <v>9.3796309999999998</v>
      </c>
      <c r="C231">
        <v>-5.5025655000000002</v>
      </c>
      <c r="D231">
        <v>-1.7482709999999999</v>
      </c>
      <c r="E231">
        <v>8.5386732500000004</v>
      </c>
      <c r="F231">
        <v>0.14620649999999999</v>
      </c>
      <c r="G231">
        <v>18.007142999999999</v>
      </c>
      <c r="H231">
        <v>12</v>
      </c>
      <c r="I231">
        <v>-32</v>
      </c>
      <c r="J231">
        <v>1.17</v>
      </c>
      <c r="K231">
        <v>5.5254882500000004</v>
      </c>
      <c r="L231">
        <v>1.9181751880234419</v>
      </c>
      <c r="M231">
        <v>0.91481137945122504</v>
      </c>
      <c r="N231">
        <v>-0.77846670687871866</v>
      </c>
      <c r="O231">
        <v>-0.31004111610710439</v>
      </c>
    </row>
    <row r="232" spans="1:15" x14ac:dyDescent="0.25">
      <c r="A232">
        <v>17.694248000000002</v>
      </c>
      <c r="B232">
        <v>10.6302465</v>
      </c>
      <c r="C232">
        <v>-2.7512829999999999</v>
      </c>
      <c r="D232">
        <v>0.43817549999999988</v>
      </c>
      <c r="E232">
        <v>11.086857999999999</v>
      </c>
      <c r="F232">
        <v>0.194933</v>
      </c>
      <c r="G232">
        <v>18.167205500000001</v>
      </c>
      <c r="H232">
        <v>12</v>
      </c>
      <c r="I232">
        <v>-28</v>
      </c>
      <c r="J232">
        <v>1.17</v>
      </c>
      <c r="K232">
        <v>5.5427149999999994</v>
      </c>
      <c r="L232">
        <v>1.6699479010005831</v>
      </c>
      <c r="M232">
        <v>0.83246603986691725</v>
      </c>
      <c r="N232">
        <v>-0.57835387890974932</v>
      </c>
      <c r="O232">
        <v>-0.1103527336689743</v>
      </c>
    </row>
    <row r="233" spans="1:15" x14ac:dyDescent="0.25">
      <c r="A233">
        <v>17.694248000000002</v>
      </c>
      <c r="B233">
        <v>12.025164999999999</v>
      </c>
      <c r="C233">
        <v>-0.45102999999999999</v>
      </c>
      <c r="D233">
        <v>2.1908924999999999</v>
      </c>
      <c r="E233">
        <v>13.411517</v>
      </c>
      <c r="F233">
        <v>4.8753499999999998E-2</v>
      </c>
      <c r="G233">
        <v>18.565207000000001</v>
      </c>
      <c r="H233">
        <v>12</v>
      </c>
      <c r="I233">
        <v>-24</v>
      </c>
      <c r="J233">
        <v>1.17</v>
      </c>
      <c r="K233">
        <v>5.6260017500000004</v>
      </c>
      <c r="L233">
        <v>1.446830645044944</v>
      </c>
      <c r="M233">
        <v>0.78412297319241275</v>
      </c>
      <c r="N233">
        <v>-0.41094875800911562</v>
      </c>
      <c r="O233">
        <v>6.5502405231384106E-2</v>
      </c>
    </row>
    <row r="234" spans="1:15" x14ac:dyDescent="0.25">
      <c r="A234">
        <v>17.152585999999999</v>
      </c>
      <c r="B234">
        <v>13.275781</v>
      </c>
      <c r="C234">
        <v>1.806951</v>
      </c>
      <c r="D234">
        <v>3.7683395000000002</v>
      </c>
      <c r="E234">
        <v>15.378537</v>
      </c>
      <c r="F234">
        <v>0.14620649999999999</v>
      </c>
      <c r="G234">
        <v>18.728522000000002</v>
      </c>
      <c r="H234">
        <v>12</v>
      </c>
      <c r="I234">
        <v>-20</v>
      </c>
      <c r="J234">
        <v>1.17</v>
      </c>
      <c r="K234">
        <v>5.6359727500000014</v>
      </c>
      <c r="L234">
        <v>1.2187886858191519</v>
      </c>
      <c r="M234">
        <v>0.75510294465537608</v>
      </c>
      <c r="N234">
        <v>-0.26610367366527349</v>
      </c>
      <c r="O234">
        <v>0.20987893785256689</v>
      </c>
    </row>
    <row r="235" spans="1:15" x14ac:dyDescent="0.25">
      <c r="A235">
        <v>16.610925999999999</v>
      </c>
      <c r="B235">
        <v>14.38209425</v>
      </c>
      <c r="C235">
        <v>3.9753020000000001</v>
      </c>
      <c r="D235">
        <v>4.9514232500000004</v>
      </c>
      <c r="E235">
        <v>16.8538025</v>
      </c>
      <c r="F235">
        <v>0.14620649999999999</v>
      </c>
      <c r="G235">
        <v>19.088687749999998</v>
      </c>
      <c r="H235">
        <v>12</v>
      </c>
      <c r="I235">
        <v>-16</v>
      </c>
      <c r="J235">
        <v>1.17</v>
      </c>
      <c r="K235">
        <v>5.6903542500000004</v>
      </c>
      <c r="L235">
        <v>1.019850257063641</v>
      </c>
      <c r="M235">
        <v>0.76113262668228887</v>
      </c>
      <c r="N235">
        <v>-0.18043341017456979</v>
      </c>
      <c r="O235">
        <v>0.34847039725916229</v>
      </c>
    </row>
    <row r="236" spans="1:15" x14ac:dyDescent="0.25">
      <c r="A236">
        <v>15.708157</v>
      </c>
      <c r="B236">
        <v>15.296006500000001</v>
      </c>
      <c r="C236">
        <v>5.9629560000000001</v>
      </c>
      <c r="D236">
        <v>5.6525107499999994</v>
      </c>
      <c r="E236">
        <v>18.060839000000001</v>
      </c>
      <c r="F236">
        <v>0.194933</v>
      </c>
      <c r="G236">
        <v>19.486595250000001</v>
      </c>
      <c r="H236">
        <v>12</v>
      </c>
      <c r="I236">
        <v>-12</v>
      </c>
      <c r="J236">
        <v>1.17</v>
      </c>
      <c r="K236">
        <v>5.7425692499999998</v>
      </c>
      <c r="L236">
        <v>0.79533263663356302</v>
      </c>
      <c r="M236">
        <v>0.78702702906210198</v>
      </c>
      <c r="N236">
        <v>-0.1163655800749633</v>
      </c>
      <c r="O236">
        <v>0.45808569005681821</v>
      </c>
    </row>
    <row r="237" spans="1:15" x14ac:dyDescent="0.25">
      <c r="A237">
        <v>14.57969475</v>
      </c>
      <c r="B237">
        <v>15.8732145</v>
      </c>
      <c r="C237">
        <v>7.9506110000000003</v>
      </c>
      <c r="D237">
        <v>6.1345080000000003</v>
      </c>
      <c r="E237">
        <v>18.865527</v>
      </c>
      <c r="F237">
        <v>0.14620649999999999</v>
      </c>
      <c r="G237">
        <v>19.568906250000001</v>
      </c>
      <c r="H237">
        <v>12</v>
      </c>
      <c r="I237">
        <v>-8</v>
      </c>
      <c r="J237">
        <v>1.17</v>
      </c>
      <c r="K237">
        <v>5.7620329999999997</v>
      </c>
      <c r="L237">
        <v>0.56075636350918356</v>
      </c>
      <c r="M237">
        <v>0.82375795140490315</v>
      </c>
      <c r="N237">
        <v>-5.9528345530712248E-2</v>
      </c>
      <c r="O237">
        <v>0.58336588800478217</v>
      </c>
    </row>
    <row r="238" spans="1:15" x14ac:dyDescent="0.25">
      <c r="A238">
        <v>12.999848</v>
      </c>
      <c r="B238">
        <v>16.161819000000001</v>
      </c>
      <c r="C238">
        <v>9.6659579999999998</v>
      </c>
      <c r="D238">
        <v>6.0906902499999998</v>
      </c>
      <c r="E238">
        <v>19.17846175</v>
      </c>
      <c r="F238">
        <v>0.14620649999999999</v>
      </c>
      <c r="G238">
        <v>19.568906250000001</v>
      </c>
      <c r="H238">
        <v>12</v>
      </c>
      <c r="I238">
        <v>-4</v>
      </c>
      <c r="J238">
        <v>1.17</v>
      </c>
      <c r="K238">
        <v>5.7620329999999997</v>
      </c>
      <c r="L238">
        <v>0.29498185691653028</v>
      </c>
      <c r="M238">
        <v>0.89131152422078797</v>
      </c>
      <c r="N238">
        <v>-3.4590270589659119E-2</v>
      </c>
      <c r="O238">
        <v>0.68431497721175183</v>
      </c>
    </row>
    <row r="239" spans="1:15" x14ac:dyDescent="0.25">
      <c r="A239">
        <v>10.96861775</v>
      </c>
      <c r="B239">
        <v>15.777013</v>
      </c>
      <c r="C239">
        <v>10.8410305</v>
      </c>
      <c r="D239">
        <v>5.8277822500000003</v>
      </c>
      <c r="E239">
        <v>18.64200275</v>
      </c>
      <c r="F239">
        <v>9.7479999999999997E-2</v>
      </c>
      <c r="G239">
        <v>18.928616250000001</v>
      </c>
      <c r="H239">
        <v>12</v>
      </c>
      <c r="I239">
        <v>0</v>
      </c>
      <c r="J239">
        <v>1.17</v>
      </c>
      <c r="K239">
        <v>5.6735782500000003</v>
      </c>
      <c r="L239">
        <v>1.236915983834252E-2</v>
      </c>
      <c r="M239">
        <v>0.96520766295159743</v>
      </c>
      <c r="N239">
        <v>-2.7839857268459538E-2</v>
      </c>
      <c r="O239">
        <v>0.7990053828479533</v>
      </c>
    </row>
    <row r="240" spans="1:15" x14ac:dyDescent="0.25">
      <c r="A240">
        <v>8.9825257500000006</v>
      </c>
      <c r="B240">
        <v>15.199805</v>
      </c>
      <c r="C240">
        <v>12.106616000000001</v>
      </c>
      <c r="D240">
        <v>5.6963284999999999</v>
      </c>
      <c r="E240">
        <v>18.060839000000001</v>
      </c>
      <c r="F240">
        <v>0.14620649999999999</v>
      </c>
      <c r="G240">
        <v>18.409459999999999</v>
      </c>
      <c r="H240">
        <v>12</v>
      </c>
      <c r="I240">
        <v>4</v>
      </c>
      <c r="J240">
        <v>1.1675</v>
      </c>
      <c r="K240">
        <v>5.5934027500000001</v>
      </c>
      <c r="L240">
        <v>-0.29135811857243987</v>
      </c>
      <c r="M240">
        <v>0.88639274183885997</v>
      </c>
      <c r="N240">
        <v>-3.2517862756871463E-2</v>
      </c>
      <c r="O240">
        <v>0.6709526246667451</v>
      </c>
    </row>
    <row r="241" spans="1:15" x14ac:dyDescent="0.25">
      <c r="A241">
        <v>7.0867105000000006</v>
      </c>
      <c r="B241">
        <v>14.815001000000001</v>
      </c>
      <c r="C241">
        <v>13.2333485</v>
      </c>
      <c r="D241">
        <v>5.4772382500000001</v>
      </c>
      <c r="E241">
        <v>17.479672999999998</v>
      </c>
      <c r="F241">
        <v>0.14620649999999999</v>
      </c>
      <c r="G241">
        <v>18.206161250000001</v>
      </c>
      <c r="H241">
        <v>12</v>
      </c>
      <c r="I241">
        <v>8</v>
      </c>
      <c r="J241">
        <v>1.17</v>
      </c>
      <c r="K241">
        <v>5.5561995</v>
      </c>
      <c r="L241">
        <v>-0.54895397702774062</v>
      </c>
      <c r="M241">
        <v>0.83392205987553747</v>
      </c>
      <c r="N241">
        <v>-6.4942141467517145E-2</v>
      </c>
      <c r="O241">
        <v>0.54804972469522251</v>
      </c>
    </row>
    <row r="242" spans="1:15" x14ac:dyDescent="0.25">
      <c r="A242">
        <v>5.0554800000000002</v>
      </c>
      <c r="B242">
        <v>13.94919</v>
      </c>
      <c r="C242">
        <v>13.91082625</v>
      </c>
      <c r="D242">
        <v>4.9952415000000006</v>
      </c>
      <c r="E242">
        <v>16.272635999999999</v>
      </c>
      <c r="F242">
        <v>9.7479999999999997E-2</v>
      </c>
      <c r="G242">
        <v>17.80603125</v>
      </c>
      <c r="H242">
        <v>12</v>
      </c>
      <c r="I242">
        <v>12</v>
      </c>
      <c r="J242">
        <v>1.17</v>
      </c>
      <c r="K242">
        <v>5.5018967500000002</v>
      </c>
      <c r="L242">
        <v>-0.78734421379795616</v>
      </c>
      <c r="M242">
        <v>0.7961143986671364</v>
      </c>
      <c r="N242">
        <v>-0.13632267051589481</v>
      </c>
      <c r="O242">
        <v>0.43816179040620967</v>
      </c>
    </row>
    <row r="243" spans="1:15" x14ac:dyDescent="0.25">
      <c r="A243">
        <v>3.0693890000000001</v>
      </c>
      <c r="B243">
        <v>13.275781</v>
      </c>
      <c r="C243">
        <v>14.635395750000001</v>
      </c>
      <c r="D243">
        <v>4.2065190000000001</v>
      </c>
      <c r="E243">
        <v>15.020898000000001</v>
      </c>
      <c r="F243">
        <v>0.14620649999999999</v>
      </c>
      <c r="G243">
        <v>17.487959499999999</v>
      </c>
      <c r="H243">
        <v>12</v>
      </c>
      <c r="I243">
        <v>16</v>
      </c>
      <c r="J243">
        <v>1.17</v>
      </c>
      <c r="K243">
        <v>5.4445804999999998</v>
      </c>
      <c r="L243">
        <v>-1.0160821971890579</v>
      </c>
      <c r="M243">
        <v>0.79674133510627831</v>
      </c>
      <c r="N243">
        <v>-0.2167331667449123</v>
      </c>
      <c r="O243">
        <v>0.30675258527143773</v>
      </c>
    </row>
    <row r="244" spans="1:15" x14ac:dyDescent="0.25">
      <c r="A244">
        <v>1.083296</v>
      </c>
      <c r="B244">
        <v>12.313768</v>
      </c>
      <c r="C244">
        <v>15.17545</v>
      </c>
      <c r="D244">
        <v>3.11107025</v>
      </c>
      <c r="E244">
        <v>13.590337999999999</v>
      </c>
      <c r="F244">
        <v>0.14620649999999999</v>
      </c>
      <c r="G244">
        <v>17.3658705</v>
      </c>
      <c r="H244">
        <v>12</v>
      </c>
      <c r="I244">
        <v>20</v>
      </c>
      <c r="J244">
        <v>1.1675</v>
      </c>
      <c r="K244">
        <v>5.4311414999999998</v>
      </c>
      <c r="L244">
        <v>-1.22614734635344</v>
      </c>
      <c r="M244">
        <v>0.80069816845553687</v>
      </c>
      <c r="N244">
        <v>-0.3285454466838294</v>
      </c>
      <c r="O244">
        <v>0.16977193682256711</v>
      </c>
    </row>
    <row r="245" spans="1:15" x14ac:dyDescent="0.25">
      <c r="A245">
        <v>-1.1263240000000001</v>
      </c>
      <c r="B245">
        <v>11.351755000000001</v>
      </c>
      <c r="C245">
        <v>15.628128999999999</v>
      </c>
      <c r="D245">
        <v>1.489806</v>
      </c>
      <c r="E245">
        <v>11.57861325</v>
      </c>
      <c r="F245">
        <v>0.14620649999999999</v>
      </c>
      <c r="G245">
        <v>17.166804500000001</v>
      </c>
      <c r="H245">
        <v>12</v>
      </c>
      <c r="I245">
        <v>24</v>
      </c>
      <c r="J245">
        <v>1.1675</v>
      </c>
      <c r="K245">
        <v>5.3997104999999994</v>
      </c>
      <c r="L245">
        <v>-1.470186700839788</v>
      </c>
      <c r="M245">
        <v>0.86536168985983675</v>
      </c>
      <c r="N245">
        <v>-0.4904969828421239</v>
      </c>
      <c r="O245">
        <v>3.1244874342741809E-3</v>
      </c>
    </row>
    <row r="246" spans="1:15" x14ac:dyDescent="0.25">
      <c r="A246">
        <v>-3.4240179999999998</v>
      </c>
      <c r="B246">
        <v>10.6302465</v>
      </c>
      <c r="C246">
        <v>16.532583750000001</v>
      </c>
      <c r="D246">
        <v>-0.21853300000000001</v>
      </c>
      <c r="E246">
        <v>9.6562999999999999</v>
      </c>
      <c r="F246">
        <v>0.194933</v>
      </c>
      <c r="G246">
        <v>17.64803225</v>
      </c>
      <c r="H246">
        <v>12</v>
      </c>
      <c r="I246">
        <v>28</v>
      </c>
      <c r="J246">
        <v>1.17</v>
      </c>
      <c r="K246">
        <v>5.4620732500000004</v>
      </c>
      <c r="L246">
        <v>-1.7387805894582959</v>
      </c>
      <c r="M246">
        <v>0.94518011105998057</v>
      </c>
      <c r="N246">
        <v>-0.69630485296224953</v>
      </c>
      <c r="O246">
        <v>-0.1756561771253817</v>
      </c>
    </row>
    <row r="247" spans="1:15" x14ac:dyDescent="0.25">
      <c r="A247">
        <v>-5.9469772499999998</v>
      </c>
      <c r="B247">
        <v>9.8125359999999997</v>
      </c>
      <c r="C247">
        <v>16.985405</v>
      </c>
      <c r="D247">
        <v>-2.57869875</v>
      </c>
      <c r="E247">
        <v>7.0187042499999999</v>
      </c>
      <c r="F247">
        <v>0.14620649999999999</v>
      </c>
      <c r="G247">
        <v>17.80810675</v>
      </c>
      <c r="H247">
        <v>12</v>
      </c>
      <c r="I247">
        <v>32</v>
      </c>
      <c r="J247">
        <v>1.17</v>
      </c>
      <c r="K247">
        <v>5.4946422500000001</v>
      </c>
      <c r="L247">
        <v>-2.0328203026013179</v>
      </c>
      <c r="M247">
        <v>1.0983454577009051</v>
      </c>
      <c r="N247">
        <v>-0.95647243491361655</v>
      </c>
      <c r="O247">
        <v>-0.39076003732471248</v>
      </c>
    </row>
    <row r="248" spans="1:15" x14ac:dyDescent="0.25">
      <c r="A248">
        <v>-8.4699375000000003</v>
      </c>
      <c r="B248">
        <v>8.5138187500000004</v>
      </c>
      <c r="C248">
        <v>17.164971999999999</v>
      </c>
      <c r="D248">
        <v>-5.2011042500000002</v>
      </c>
      <c r="E248">
        <v>3.844649</v>
      </c>
      <c r="F248">
        <v>9.7479999999999997E-2</v>
      </c>
      <c r="G248">
        <v>18.00818975</v>
      </c>
      <c r="H248">
        <v>12</v>
      </c>
      <c r="I248">
        <v>36</v>
      </c>
      <c r="J248">
        <v>1.17</v>
      </c>
      <c r="K248">
        <v>5.5331989999999998</v>
      </c>
      <c r="L248">
        <v>-2.4003498037295441</v>
      </c>
      <c r="M248">
        <v>1.284209804686971</v>
      </c>
      <c r="N248">
        <v>-1.326317153810785</v>
      </c>
      <c r="O248">
        <v>-0.64916445159175074</v>
      </c>
    </row>
    <row r="249" spans="1:15" x14ac:dyDescent="0.25">
      <c r="A249">
        <v>17.874801999999999</v>
      </c>
      <c r="B249">
        <v>9.4277320000000007</v>
      </c>
      <c r="C249">
        <v>-8.6146724999999993</v>
      </c>
      <c r="D249">
        <v>-6.4686000000000003</v>
      </c>
      <c r="E249">
        <v>5.0516842500000001</v>
      </c>
      <c r="F249">
        <v>0.14620649999999999</v>
      </c>
      <c r="G249">
        <v>18.606301500000001</v>
      </c>
      <c r="H249">
        <v>16</v>
      </c>
      <c r="I249">
        <v>-36</v>
      </c>
      <c r="J249">
        <v>1.17</v>
      </c>
      <c r="K249">
        <v>5.6174307499999996</v>
      </c>
      <c r="L249">
        <v>2.1034971452190541</v>
      </c>
      <c r="M249">
        <v>1.262309411616914</v>
      </c>
      <c r="N249">
        <v>-1.076395907826686</v>
      </c>
      <c r="O249">
        <v>-0.61048852405904119</v>
      </c>
    </row>
    <row r="250" spans="1:15" x14ac:dyDescent="0.25">
      <c r="A250">
        <v>18.100493749999998</v>
      </c>
      <c r="B250">
        <v>10.870749500000001</v>
      </c>
      <c r="C250">
        <v>-5.9986980000000001</v>
      </c>
      <c r="D250">
        <v>-4.1084355000000006</v>
      </c>
      <c r="E250">
        <v>7.9575094999999996</v>
      </c>
      <c r="F250">
        <v>0.14620649999999999</v>
      </c>
      <c r="G250">
        <v>18.768542499999999</v>
      </c>
      <c r="H250">
        <v>16</v>
      </c>
      <c r="I250">
        <v>-32</v>
      </c>
      <c r="J250">
        <v>1.17</v>
      </c>
      <c r="K250">
        <v>5.6420320000000004</v>
      </c>
      <c r="L250">
        <v>1.85221085383627</v>
      </c>
      <c r="M250">
        <v>1.151273494281702</v>
      </c>
      <c r="N250">
        <v>-0.83094563713932401</v>
      </c>
      <c r="O250">
        <v>-0.39962908167732603</v>
      </c>
    </row>
    <row r="251" spans="1:15" x14ac:dyDescent="0.25">
      <c r="A251">
        <v>18.100493749999998</v>
      </c>
      <c r="B251">
        <v>12.506171</v>
      </c>
      <c r="C251">
        <v>-3.472931</v>
      </c>
      <c r="D251">
        <v>-1.9230970000000001</v>
      </c>
      <c r="E251">
        <v>10.550399000000001</v>
      </c>
      <c r="F251">
        <v>0.194933</v>
      </c>
      <c r="G251">
        <v>19.127587500000001</v>
      </c>
      <c r="H251">
        <v>16</v>
      </c>
      <c r="I251">
        <v>-28</v>
      </c>
      <c r="J251">
        <v>1.17</v>
      </c>
      <c r="K251">
        <v>5.6888814999999999</v>
      </c>
      <c r="L251">
        <v>1.628380597247701</v>
      </c>
      <c r="M251">
        <v>1.089141242944101</v>
      </c>
      <c r="N251">
        <v>-0.64742809476716812</v>
      </c>
      <c r="O251">
        <v>-0.21835500522234541</v>
      </c>
    </row>
    <row r="252" spans="1:15" x14ac:dyDescent="0.25">
      <c r="A252">
        <v>17.965078500000001</v>
      </c>
      <c r="B252">
        <v>13.901089499999999</v>
      </c>
      <c r="C252">
        <v>-0.90205999999999997</v>
      </c>
      <c r="D252">
        <v>0.13144975</v>
      </c>
      <c r="E252">
        <v>12.919763</v>
      </c>
      <c r="F252">
        <v>0.194933</v>
      </c>
      <c r="G252">
        <v>19.486595250000001</v>
      </c>
      <c r="H252">
        <v>16</v>
      </c>
      <c r="I252">
        <v>-24</v>
      </c>
      <c r="J252">
        <v>1.1675</v>
      </c>
      <c r="K252">
        <v>5.7487502500000014</v>
      </c>
      <c r="L252">
        <v>1.418073718799864</v>
      </c>
      <c r="M252">
        <v>1.034913178514967</v>
      </c>
      <c r="N252">
        <v>-0.49360683879783129</v>
      </c>
      <c r="O252">
        <v>-4.3609005396070523E-2</v>
      </c>
    </row>
    <row r="253" spans="1:15" x14ac:dyDescent="0.25">
      <c r="A253">
        <v>17.333141000000001</v>
      </c>
      <c r="B253">
        <v>15.103604499999999</v>
      </c>
      <c r="C253">
        <v>1.3098645</v>
      </c>
      <c r="D253">
        <v>1.88416725</v>
      </c>
      <c r="E253">
        <v>14.886782999999999</v>
      </c>
      <c r="F253">
        <v>0.14620649999999999</v>
      </c>
      <c r="G253">
        <v>19.607777500000001</v>
      </c>
      <c r="H253">
        <v>16</v>
      </c>
      <c r="I253">
        <v>-20</v>
      </c>
      <c r="J253">
        <v>1.165</v>
      </c>
      <c r="K253">
        <v>5.7801885000000004</v>
      </c>
      <c r="L253">
        <v>1.205709841845515</v>
      </c>
      <c r="M253">
        <v>0.99470793085052822</v>
      </c>
      <c r="N253">
        <v>-0.35526975896140772</v>
      </c>
      <c r="O253">
        <v>0.1091560650975831</v>
      </c>
    </row>
    <row r="254" spans="1:15" x14ac:dyDescent="0.25">
      <c r="A254">
        <v>16.565787499999999</v>
      </c>
      <c r="B254">
        <v>16.161819000000001</v>
      </c>
      <c r="C254">
        <v>3.5684952499999998</v>
      </c>
      <c r="D254">
        <v>3.0234347499999998</v>
      </c>
      <c r="E254">
        <v>16.496162999999999</v>
      </c>
      <c r="F254">
        <v>0.194933</v>
      </c>
      <c r="G254">
        <v>19.810178499999999</v>
      </c>
      <c r="H254">
        <v>16</v>
      </c>
      <c r="I254">
        <v>-16</v>
      </c>
      <c r="J254">
        <v>1.17</v>
      </c>
      <c r="K254">
        <v>5.7905289999999994</v>
      </c>
      <c r="L254">
        <v>0.98466133258543909</v>
      </c>
      <c r="M254">
        <v>0.99534014895982803</v>
      </c>
      <c r="N254">
        <v>-0.25109071409314199</v>
      </c>
      <c r="O254">
        <v>0.2349308823630514</v>
      </c>
    </row>
    <row r="255" spans="1:15" x14ac:dyDescent="0.25">
      <c r="A255">
        <v>14.805387</v>
      </c>
      <c r="B255">
        <v>16.113718250000002</v>
      </c>
      <c r="C255">
        <v>5.1036324999999998</v>
      </c>
      <c r="D255">
        <v>3.4616137500000002</v>
      </c>
      <c r="E255">
        <v>16.719687499999999</v>
      </c>
      <c r="F255">
        <v>0.14620649999999999</v>
      </c>
      <c r="G255">
        <v>19.0475645</v>
      </c>
      <c r="H255">
        <v>16</v>
      </c>
      <c r="I255">
        <v>-12</v>
      </c>
      <c r="J255">
        <v>1.17</v>
      </c>
      <c r="K255">
        <v>5.6841762500000002</v>
      </c>
      <c r="L255">
        <v>0.7800881563779225</v>
      </c>
      <c r="M255">
        <v>1.017316337734113</v>
      </c>
      <c r="N255">
        <v>-0.1872032103986547</v>
      </c>
      <c r="O255">
        <v>0.33259609364136339</v>
      </c>
    </row>
    <row r="256" spans="1:15" x14ac:dyDescent="0.25">
      <c r="A256">
        <v>13.04498675</v>
      </c>
      <c r="B256">
        <v>15.969416000000001</v>
      </c>
      <c r="C256">
        <v>6.6405659999999997</v>
      </c>
      <c r="D256">
        <v>3.6807034999999999</v>
      </c>
      <c r="E256">
        <v>16.898508</v>
      </c>
      <c r="F256">
        <v>0.194933</v>
      </c>
      <c r="G256">
        <v>18.487333499999998</v>
      </c>
      <c r="H256">
        <v>16</v>
      </c>
      <c r="I256">
        <v>-8</v>
      </c>
      <c r="J256">
        <v>1.165</v>
      </c>
      <c r="K256">
        <v>5.6039130000000004</v>
      </c>
      <c r="L256">
        <v>0.54559853342477782</v>
      </c>
      <c r="M256">
        <v>1.0469424125827811</v>
      </c>
      <c r="N256">
        <v>-0.13536644402980269</v>
      </c>
      <c r="O256">
        <v>0.42309089874144129</v>
      </c>
    </row>
    <row r="257" spans="1:15" x14ac:dyDescent="0.25">
      <c r="A257">
        <v>11.374865</v>
      </c>
      <c r="B257">
        <v>15.969416000000001</v>
      </c>
      <c r="C257">
        <v>8.1307707499999999</v>
      </c>
      <c r="D257">
        <v>3.6807029999999998</v>
      </c>
      <c r="E257">
        <v>16.987919000000002</v>
      </c>
      <c r="F257">
        <v>9.7479999999999997E-2</v>
      </c>
      <c r="G257">
        <v>18.167205500000001</v>
      </c>
      <c r="H257">
        <v>16</v>
      </c>
      <c r="I257">
        <v>-4</v>
      </c>
      <c r="J257">
        <v>1.17</v>
      </c>
      <c r="K257">
        <v>5.5576699999999999</v>
      </c>
      <c r="L257">
        <v>0.2927306355427719</v>
      </c>
      <c r="M257">
        <v>1.108871238809344</v>
      </c>
      <c r="N257">
        <v>-0.1064126721925009</v>
      </c>
      <c r="O257">
        <v>0.52410747966177185</v>
      </c>
    </row>
    <row r="258" spans="1:15" x14ac:dyDescent="0.25">
      <c r="A258">
        <v>9.5693260000000002</v>
      </c>
      <c r="B258">
        <v>15.58461</v>
      </c>
      <c r="C258">
        <v>9.3052109999999999</v>
      </c>
      <c r="D258">
        <v>3.5054319999999999</v>
      </c>
      <c r="E258">
        <v>16.496162999999999</v>
      </c>
      <c r="F258">
        <v>0.194933</v>
      </c>
      <c r="G258">
        <v>17.807068999999998</v>
      </c>
      <c r="H258">
        <v>16</v>
      </c>
      <c r="I258">
        <v>0</v>
      </c>
      <c r="J258">
        <v>1.17</v>
      </c>
      <c r="K258">
        <v>5.4869029999999999</v>
      </c>
      <c r="L258">
        <v>2.6098198795389851E-2</v>
      </c>
      <c r="M258">
        <v>1.197183761536728</v>
      </c>
      <c r="N258">
        <v>-0.13000198879600991</v>
      </c>
      <c r="O258">
        <v>0.61555935058322087</v>
      </c>
    </row>
    <row r="259" spans="1:15" x14ac:dyDescent="0.25">
      <c r="A259">
        <v>7.8992034999999996</v>
      </c>
      <c r="B259">
        <v>15.247905749999999</v>
      </c>
      <c r="C259">
        <v>10.524134</v>
      </c>
      <c r="D259">
        <v>3.5054319999999999</v>
      </c>
      <c r="E259">
        <v>16.138523249999999</v>
      </c>
      <c r="F259">
        <v>0.14620649999999999</v>
      </c>
      <c r="G259">
        <v>17.526952000000001</v>
      </c>
      <c r="H259">
        <v>16</v>
      </c>
      <c r="I259">
        <v>4</v>
      </c>
      <c r="J259">
        <v>1.17</v>
      </c>
      <c r="K259">
        <v>5.4507374999999998</v>
      </c>
      <c r="L259">
        <v>-0.25155261882716062</v>
      </c>
      <c r="M259">
        <v>1.1251746859069021</v>
      </c>
      <c r="N259">
        <v>-0.1330761844339006</v>
      </c>
      <c r="O259">
        <v>0.53240924793736411</v>
      </c>
    </row>
    <row r="260" spans="1:15" x14ac:dyDescent="0.25">
      <c r="A260">
        <v>6.1388040000000004</v>
      </c>
      <c r="B260">
        <v>14.86310175</v>
      </c>
      <c r="C260">
        <v>11.6541145</v>
      </c>
      <c r="D260">
        <v>3.3301590000000001</v>
      </c>
      <c r="E260">
        <v>15.557358000000001</v>
      </c>
      <c r="F260">
        <v>0.194933</v>
      </c>
      <c r="G260">
        <v>17.3268685</v>
      </c>
      <c r="H260">
        <v>16</v>
      </c>
      <c r="I260">
        <v>8</v>
      </c>
      <c r="J260">
        <v>1.1625000000000001</v>
      </c>
      <c r="K260">
        <v>5.4289922500000003</v>
      </c>
      <c r="L260">
        <v>-0.50959747161487057</v>
      </c>
      <c r="M260">
        <v>1.065607904700751</v>
      </c>
      <c r="N260">
        <v>-0.1634972458569586</v>
      </c>
      <c r="O260">
        <v>0.41944010910592949</v>
      </c>
    </row>
    <row r="261" spans="1:15" x14ac:dyDescent="0.25">
      <c r="A261">
        <v>4.5138189999999998</v>
      </c>
      <c r="B261">
        <v>14.815001000000001</v>
      </c>
      <c r="C261">
        <v>13.00924</v>
      </c>
      <c r="D261">
        <v>2.9796170000000002</v>
      </c>
      <c r="E261">
        <v>15.199718000000001</v>
      </c>
      <c r="F261">
        <v>9.7479999999999997E-2</v>
      </c>
      <c r="G261">
        <v>17.608021000000001</v>
      </c>
      <c r="H261">
        <v>16</v>
      </c>
      <c r="I261">
        <v>12</v>
      </c>
      <c r="J261">
        <v>1.17</v>
      </c>
      <c r="K261">
        <v>5.4710437499999998</v>
      </c>
      <c r="L261">
        <v>-0.74176381734043484</v>
      </c>
      <c r="M261">
        <v>1.0333872347856461</v>
      </c>
      <c r="N261">
        <v>-0.21027704531563771</v>
      </c>
      <c r="O261">
        <v>0.31862725923338858</v>
      </c>
    </row>
    <row r="262" spans="1:15" x14ac:dyDescent="0.25">
      <c r="A262">
        <v>2.6180034999999999</v>
      </c>
      <c r="B262">
        <v>14.815001000000001</v>
      </c>
      <c r="C262">
        <v>14.318262000000001</v>
      </c>
      <c r="D262">
        <v>2.4538000000000002</v>
      </c>
      <c r="E262">
        <v>14.61855325</v>
      </c>
      <c r="F262">
        <v>4.8753499999999998E-2</v>
      </c>
      <c r="G262">
        <v>17.847080500000001</v>
      </c>
      <c r="H262">
        <v>16</v>
      </c>
      <c r="I262">
        <v>16</v>
      </c>
      <c r="J262">
        <v>1.165</v>
      </c>
      <c r="K262">
        <v>5.5276737499999999</v>
      </c>
      <c r="L262">
        <v>-0.96837780188887623</v>
      </c>
      <c r="M262">
        <v>1.023081682992935</v>
      </c>
      <c r="N262">
        <v>-0.26723825709730531</v>
      </c>
      <c r="O262">
        <v>0.20585020712063409</v>
      </c>
    </row>
    <row r="263" spans="1:15" x14ac:dyDescent="0.25">
      <c r="A263">
        <v>0.40621950000000001</v>
      </c>
      <c r="B263">
        <v>14.430194999999999</v>
      </c>
      <c r="C263">
        <v>15.5388155</v>
      </c>
      <c r="D263">
        <v>1.4021699999999999</v>
      </c>
      <c r="E263">
        <v>13.411517</v>
      </c>
      <c r="F263">
        <v>0.194933</v>
      </c>
      <c r="G263">
        <v>18.28832375</v>
      </c>
      <c r="H263">
        <v>16</v>
      </c>
      <c r="I263">
        <v>20</v>
      </c>
      <c r="J263">
        <v>1.17</v>
      </c>
      <c r="K263">
        <v>5.5613640000000002</v>
      </c>
      <c r="L263">
        <v>-1.209891347337223</v>
      </c>
      <c r="M263">
        <v>1.0416420450157811</v>
      </c>
      <c r="N263">
        <v>-0.3899143183754239</v>
      </c>
      <c r="O263">
        <v>5.6718081664937268E-2</v>
      </c>
    </row>
    <row r="264" spans="1:15" x14ac:dyDescent="0.25">
      <c r="A264">
        <v>-1.9824550000000001</v>
      </c>
      <c r="B264">
        <v>13.660586</v>
      </c>
      <c r="C264">
        <v>16.441153499999999</v>
      </c>
      <c r="D264">
        <v>-0.26223999999999997</v>
      </c>
      <c r="E264">
        <v>11.623317999999999</v>
      </c>
      <c r="F264">
        <v>0.194933</v>
      </c>
      <c r="G264">
        <v>18.567354999999999</v>
      </c>
      <c r="H264">
        <v>16</v>
      </c>
      <c r="I264">
        <v>24</v>
      </c>
      <c r="J264">
        <v>1.17</v>
      </c>
      <c r="K264">
        <v>5.6040405</v>
      </c>
      <c r="L264">
        <v>-1.4454973064402661</v>
      </c>
      <c r="M264">
        <v>1.0923470384729059</v>
      </c>
      <c r="N264">
        <v>-0.54482197552784217</v>
      </c>
      <c r="O264">
        <v>-0.1033407090439238</v>
      </c>
    </row>
    <row r="265" spans="1:15" x14ac:dyDescent="0.25">
      <c r="A265">
        <v>-4.2803012499999999</v>
      </c>
      <c r="B265">
        <v>12.890976</v>
      </c>
      <c r="C265">
        <v>17.166101000000001</v>
      </c>
      <c r="D265">
        <v>-2.3601649999999998</v>
      </c>
      <c r="E265">
        <v>9.5668895000000003</v>
      </c>
      <c r="F265">
        <v>0.194933</v>
      </c>
      <c r="G265">
        <v>18.888595250000002</v>
      </c>
      <c r="H265">
        <v>16</v>
      </c>
      <c r="I265">
        <v>28</v>
      </c>
      <c r="J265">
        <v>1.17</v>
      </c>
      <c r="K265">
        <v>5.6528485000000002</v>
      </c>
      <c r="L265">
        <v>-1.6642935313392779</v>
      </c>
      <c r="M265">
        <v>1.183530023604239</v>
      </c>
      <c r="N265">
        <v>-0.72340653698766388</v>
      </c>
      <c r="O265">
        <v>-0.27274952784064299</v>
      </c>
    </row>
    <row r="266" spans="1:15" x14ac:dyDescent="0.25">
      <c r="A266">
        <v>-6.89263125</v>
      </c>
      <c r="B266">
        <v>11.736561999999999</v>
      </c>
      <c r="C266">
        <v>17.708186999999999</v>
      </c>
      <c r="D266">
        <v>-5.0262775</v>
      </c>
      <c r="E266">
        <v>6.6610645000000002</v>
      </c>
      <c r="F266">
        <v>9.7479999999999997E-2</v>
      </c>
      <c r="G266">
        <v>19.089808250000001</v>
      </c>
      <c r="H266">
        <v>16</v>
      </c>
      <c r="I266">
        <v>32</v>
      </c>
      <c r="J266">
        <v>1.1675</v>
      </c>
      <c r="K266">
        <v>5.7039702500000002</v>
      </c>
      <c r="L266">
        <v>-1.949284217625711</v>
      </c>
      <c r="M266">
        <v>1.3282510290270011</v>
      </c>
      <c r="N266">
        <v>-0.98484156180556304</v>
      </c>
      <c r="O266">
        <v>-0.47993364473271521</v>
      </c>
    </row>
    <row r="267" spans="1:15" x14ac:dyDescent="0.25">
      <c r="A267">
        <v>-9.5512172500000005</v>
      </c>
      <c r="B267">
        <v>10.341643250000001</v>
      </c>
      <c r="C267">
        <v>17.885354750000001</v>
      </c>
      <c r="D267">
        <v>-7.9109219999999993</v>
      </c>
      <c r="E267">
        <v>3.3976000000000002</v>
      </c>
      <c r="F267">
        <v>0.194933</v>
      </c>
      <c r="G267">
        <v>19.486595250000001</v>
      </c>
      <c r="H267">
        <v>16</v>
      </c>
      <c r="I267">
        <v>36</v>
      </c>
      <c r="J267">
        <v>1.165</v>
      </c>
      <c r="K267">
        <v>5.7549312500000003</v>
      </c>
      <c r="L267">
        <v>-2.262189167459403</v>
      </c>
      <c r="M267">
        <v>1.504954664759276</v>
      </c>
      <c r="N267">
        <v>-1.3265813061010041</v>
      </c>
      <c r="O267">
        <v>-0.73592546341850629</v>
      </c>
    </row>
    <row r="268" spans="1:15" x14ac:dyDescent="0.25">
      <c r="A268">
        <v>18.055354999999999</v>
      </c>
      <c r="B268">
        <v>10.966951</v>
      </c>
      <c r="C268">
        <v>-9.787351000000001</v>
      </c>
      <c r="D268">
        <v>-9.1347120000000004</v>
      </c>
      <c r="E268">
        <v>4.1128799999999996</v>
      </c>
      <c r="F268">
        <v>0.194933</v>
      </c>
      <c r="G268">
        <v>19.726671750000001</v>
      </c>
      <c r="H268">
        <v>20</v>
      </c>
      <c r="I268">
        <v>-36</v>
      </c>
      <c r="J268">
        <v>1.17</v>
      </c>
      <c r="K268">
        <v>5.7781667499999996</v>
      </c>
      <c r="L268">
        <v>2.0512255684707021</v>
      </c>
      <c r="M268">
        <v>1.480920074131798</v>
      </c>
      <c r="N268">
        <v>-1.1502876943179059</v>
      </c>
      <c r="O268">
        <v>-0.71135276867622443</v>
      </c>
    </row>
    <row r="269" spans="1:15" x14ac:dyDescent="0.25">
      <c r="A269">
        <v>17.288002250000002</v>
      </c>
      <c r="B269">
        <v>12.121366</v>
      </c>
      <c r="C269">
        <v>-6.9007587499999996</v>
      </c>
      <c r="D269">
        <v>-6.3811859999999996</v>
      </c>
      <c r="E269">
        <v>6.6163600000000002</v>
      </c>
      <c r="F269">
        <v>0.194933</v>
      </c>
      <c r="G269">
        <v>18.808563500000002</v>
      </c>
      <c r="H269">
        <v>20</v>
      </c>
      <c r="I269">
        <v>-32</v>
      </c>
      <c r="J269">
        <v>1.17</v>
      </c>
      <c r="K269">
        <v>5.6407472500000004</v>
      </c>
      <c r="L269">
        <v>1.8245902458208261</v>
      </c>
      <c r="M269">
        <v>1.395656588347157</v>
      </c>
      <c r="N269">
        <v>-0.91965558504117517</v>
      </c>
      <c r="O269">
        <v>-0.51561718213831176</v>
      </c>
    </row>
    <row r="270" spans="1:15" x14ac:dyDescent="0.25">
      <c r="A270">
        <v>16.610925999999999</v>
      </c>
      <c r="B270">
        <v>13.131478749999999</v>
      </c>
      <c r="C270">
        <v>-4.1043729999999998</v>
      </c>
      <c r="D270">
        <v>-3.8899010000000001</v>
      </c>
      <c r="E270">
        <v>8.8516085000000011</v>
      </c>
      <c r="F270">
        <v>0.194933</v>
      </c>
      <c r="G270">
        <v>18.448396750000001</v>
      </c>
      <c r="H270">
        <v>20</v>
      </c>
      <c r="I270">
        <v>-28</v>
      </c>
      <c r="J270">
        <v>1.17</v>
      </c>
      <c r="K270">
        <v>5.5859104999999998</v>
      </c>
      <c r="L270">
        <v>1.6122820184351729</v>
      </c>
      <c r="M270">
        <v>1.3247825982714281</v>
      </c>
      <c r="N270">
        <v>-0.7469681408164166</v>
      </c>
      <c r="O270">
        <v>-0.32627104000611717</v>
      </c>
    </row>
    <row r="271" spans="1:15" x14ac:dyDescent="0.25">
      <c r="A271">
        <v>15.708157</v>
      </c>
      <c r="B271">
        <v>13.852989000000001</v>
      </c>
      <c r="C271">
        <v>-1.7139139999999999</v>
      </c>
      <c r="D271">
        <v>-1.9230970000000001</v>
      </c>
      <c r="E271">
        <v>10.68451325</v>
      </c>
      <c r="F271">
        <v>0.194933</v>
      </c>
      <c r="G271">
        <v>18.085072</v>
      </c>
      <c r="H271">
        <v>20</v>
      </c>
      <c r="I271">
        <v>-24</v>
      </c>
      <c r="J271">
        <v>1.17</v>
      </c>
      <c r="K271">
        <v>5.5300479999999999</v>
      </c>
      <c r="L271">
        <v>1.3934647494282231</v>
      </c>
      <c r="M271">
        <v>1.2618144215051601</v>
      </c>
      <c r="N271">
        <v>-0.59194243561909199</v>
      </c>
      <c r="O271">
        <v>-0.1610402845448709</v>
      </c>
    </row>
    <row r="272" spans="1:15" x14ac:dyDescent="0.25">
      <c r="A272">
        <v>14.760248499999999</v>
      </c>
      <c r="B272">
        <v>14.430194999999999</v>
      </c>
      <c r="C272">
        <v>0.36132900000000001</v>
      </c>
      <c r="D272">
        <v>-0.48077425000000001</v>
      </c>
      <c r="E272">
        <v>11.980959</v>
      </c>
      <c r="F272">
        <v>0.194933</v>
      </c>
      <c r="G272">
        <v>17.7670575</v>
      </c>
      <c r="H272">
        <v>20</v>
      </c>
      <c r="I272">
        <v>-20</v>
      </c>
      <c r="J272">
        <v>1.1675</v>
      </c>
      <c r="K272">
        <v>5.4865700000000004</v>
      </c>
      <c r="L272">
        <v>1.1958745416966721</v>
      </c>
      <c r="M272">
        <v>1.2383749305459</v>
      </c>
      <c r="N272">
        <v>-0.48055020842058671</v>
      </c>
      <c r="O272">
        <v>-2.1139901634306211E-2</v>
      </c>
    </row>
    <row r="273" spans="1:15" x14ac:dyDescent="0.25">
      <c r="A273">
        <v>13.541511</v>
      </c>
      <c r="B273">
        <v>15.007403999999999</v>
      </c>
      <c r="C273">
        <v>2.0326749999999998</v>
      </c>
      <c r="D273">
        <v>0.56962974999999993</v>
      </c>
      <c r="E273">
        <v>13.053877999999999</v>
      </c>
      <c r="F273">
        <v>4.8753499999999998E-2</v>
      </c>
      <c r="G273">
        <v>17.487959499999999</v>
      </c>
      <c r="H273">
        <v>20</v>
      </c>
      <c r="I273">
        <v>-16</v>
      </c>
      <c r="J273">
        <v>1.17</v>
      </c>
      <c r="K273">
        <v>5.4598744999999997</v>
      </c>
      <c r="L273">
        <v>0.97924676535431154</v>
      </c>
      <c r="M273">
        <v>1.228472236072164</v>
      </c>
      <c r="N273">
        <v>-0.37733532478947263</v>
      </c>
      <c r="O273">
        <v>0.1066260013594113</v>
      </c>
    </row>
    <row r="274" spans="1:15" x14ac:dyDescent="0.25">
      <c r="A274">
        <v>12.232494750000001</v>
      </c>
      <c r="B274">
        <v>15.007403999999999</v>
      </c>
      <c r="C274">
        <v>3.6136692500000001</v>
      </c>
      <c r="D274">
        <v>1.1392625000000001</v>
      </c>
      <c r="E274">
        <v>13.545632749999999</v>
      </c>
      <c r="F274">
        <v>2.6999999999999999E-5</v>
      </c>
      <c r="G274">
        <v>17.007741249999999</v>
      </c>
      <c r="H274">
        <v>20</v>
      </c>
      <c r="I274">
        <v>-12</v>
      </c>
      <c r="J274">
        <v>1.17</v>
      </c>
      <c r="K274">
        <v>5.3919292499999996</v>
      </c>
      <c r="L274">
        <v>0.77168748833662004</v>
      </c>
      <c r="M274">
        <v>1.241685882709914</v>
      </c>
      <c r="N274">
        <v>-0.3100121384878553</v>
      </c>
      <c r="O274">
        <v>0.21277412624186501</v>
      </c>
    </row>
    <row r="275" spans="1:15" x14ac:dyDescent="0.25">
      <c r="A275">
        <v>11.19431</v>
      </c>
      <c r="B275">
        <v>15.488409000000001</v>
      </c>
      <c r="C275">
        <v>5.2394780000000001</v>
      </c>
      <c r="D275">
        <v>1.489806</v>
      </c>
      <c r="E275">
        <v>14.260913</v>
      </c>
      <c r="F275">
        <v>0.194933</v>
      </c>
      <c r="G275">
        <v>17.127793499999999</v>
      </c>
      <c r="H275">
        <v>20</v>
      </c>
      <c r="I275">
        <v>-8</v>
      </c>
      <c r="J275">
        <v>1.17</v>
      </c>
      <c r="K275">
        <v>5.3800322500000002</v>
      </c>
      <c r="L275">
        <v>0.54652035104657137</v>
      </c>
      <c r="M275">
        <v>1.284795110582752</v>
      </c>
      <c r="N275">
        <v>-0.26314915747826889</v>
      </c>
      <c r="O275">
        <v>0.29090764095226279</v>
      </c>
    </row>
    <row r="276" spans="1:15" x14ac:dyDescent="0.25">
      <c r="A276">
        <v>10.110988000000001</v>
      </c>
      <c r="B276">
        <v>16.161819000000001</v>
      </c>
      <c r="C276">
        <v>6.7760879999999997</v>
      </c>
      <c r="D276">
        <v>1.489806</v>
      </c>
      <c r="E276">
        <v>15.020898000000001</v>
      </c>
      <c r="F276">
        <v>0.14620649999999999</v>
      </c>
      <c r="G276">
        <v>17.64803225</v>
      </c>
      <c r="H276">
        <v>20</v>
      </c>
      <c r="I276">
        <v>-4</v>
      </c>
      <c r="J276">
        <v>1.17</v>
      </c>
      <c r="K276">
        <v>5.4696852500000004</v>
      </c>
      <c r="L276">
        <v>0.30624534405396991</v>
      </c>
      <c r="M276">
        <v>1.3475700703881801</v>
      </c>
      <c r="N276">
        <v>-0.24133360043439589</v>
      </c>
      <c r="O276">
        <v>0.36621545982114201</v>
      </c>
    </row>
    <row r="277" spans="1:15" x14ac:dyDescent="0.25">
      <c r="A277">
        <v>8.8019722500000004</v>
      </c>
      <c r="B277">
        <v>16.546623</v>
      </c>
      <c r="C277">
        <v>8.3114542500000006</v>
      </c>
      <c r="D277">
        <v>1.489806</v>
      </c>
      <c r="E277">
        <v>15.378537</v>
      </c>
      <c r="F277">
        <v>0.14620649999999999</v>
      </c>
      <c r="G277">
        <v>17.769133</v>
      </c>
      <c r="H277">
        <v>20</v>
      </c>
      <c r="I277">
        <v>0</v>
      </c>
      <c r="J277">
        <v>1.17</v>
      </c>
      <c r="K277">
        <v>5.4885782499999998</v>
      </c>
      <c r="L277">
        <v>4.6833429476594912E-2</v>
      </c>
      <c r="M277">
        <v>1.436996247499456</v>
      </c>
      <c r="N277">
        <v>-0.2281598146350228</v>
      </c>
      <c r="O277">
        <v>0.45376278635127798</v>
      </c>
    </row>
    <row r="278" spans="1:15" x14ac:dyDescent="0.25">
      <c r="A278">
        <v>7.3575415</v>
      </c>
      <c r="B278">
        <v>16.883327000000001</v>
      </c>
      <c r="C278">
        <v>10.073120749999999</v>
      </c>
      <c r="D278">
        <v>1.577442</v>
      </c>
      <c r="E278">
        <v>15.602062999999999</v>
      </c>
      <c r="F278">
        <v>0.194933</v>
      </c>
      <c r="G278">
        <v>18.128249749999998</v>
      </c>
      <c r="H278">
        <v>20</v>
      </c>
      <c r="I278">
        <v>4</v>
      </c>
      <c r="J278">
        <v>1.17</v>
      </c>
      <c r="K278">
        <v>5.536708</v>
      </c>
      <c r="L278">
        <v>-0.2438163880983136</v>
      </c>
      <c r="M278">
        <v>1.3747502137357599</v>
      </c>
      <c r="N278">
        <v>-0.2269951290817934</v>
      </c>
      <c r="O278">
        <v>0.38379792715958722</v>
      </c>
    </row>
    <row r="279" spans="1:15" x14ac:dyDescent="0.25">
      <c r="A279">
        <v>5.8679729999999992</v>
      </c>
      <c r="B279">
        <v>17.123830999999999</v>
      </c>
      <c r="C279">
        <v>11.60894075</v>
      </c>
      <c r="D279">
        <v>1.489806</v>
      </c>
      <c r="E279">
        <v>15.557358000000001</v>
      </c>
      <c r="F279">
        <v>0.194933</v>
      </c>
      <c r="G279">
        <v>18.608468999999999</v>
      </c>
      <c r="H279">
        <v>20</v>
      </c>
      <c r="I279">
        <v>8</v>
      </c>
      <c r="J279">
        <v>1.1675</v>
      </c>
      <c r="K279">
        <v>5.6163762500000001</v>
      </c>
      <c r="L279">
        <v>-0.48332249053326393</v>
      </c>
      <c r="M279">
        <v>1.3161747434601381</v>
      </c>
      <c r="N279">
        <v>-0.25684339165369668</v>
      </c>
      <c r="O279">
        <v>0.29333641855757081</v>
      </c>
    </row>
    <row r="280" spans="1:15" x14ac:dyDescent="0.25">
      <c r="A280">
        <v>3.8818809999999999</v>
      </c>
      <c r="B280">
        <v>17.027629000000001</v>
      </c>
      <c r="C280">
        <v>13.010097</v>
      </c>
      <c r="D280">
        <v>0.96399050000000008</v>
      </c>
      <c r="E280">
        <v>15.020898000000001</v>
      </c>
      <c r="F280">
        <v>0.194933</v>
      </c>
      <c r="G280">
        <v>18.768542499999999</v>
      </c>
      <c r="H280">
        <v>20</v>
      </c>
      <c r="I280">
        <v>12</v>
      </c>
      <c r="J280">
        <v>1.17</v>
      </c>
      <c r="K280">
        <v>5.6346832500000001</v>
      </c>
      <c r="L280">
        <v>-0.72456429728094052</v>
      </c>
      <c r="M280">
        <v>1.2751126184883039</v>
      </c>
      <c r="N280">
        <v>-0.29747323174604889</v>
      </c>
      <c r="O280">
        <v>0.17691289858222981</v>
      </c>
    </row>
    <row r="281" spans="1:15" x14ac:dyDescent="0.25">
      <c r="A281">
        <v>1.760373</v>
      </c>
      <c r="B281">
        <v>16.883327000000001</v>
      </c>
      <c r="C281">
        <v>14.36342425</v>
      </c>
      <c r="D281">
        <v>0.39435724999999999</v>
      </c>
      <c r="E281">
        <v>14.216208</v>
      </c>
      <c r="F281">
        <v>0.194933</v>
      </c>
      <c r="G281">
        <v>19.127587500000001</v>
      </c>
      <c r="H281">
        <v>20</v>
      </c>
      <c r="I281">
        <v>16</v>
      </c>
      <c r="J281">
        <v>1.1675</v>
      </c>
      <c r="K281">
        <v>5.6949860000000001</v>
      </c>
      <c r="L281">
        <v>-0.95926007961151605</v>
      </c>
      <c r="M281">
        <v>1.2550533618483981</v>
      </c>
      <c r="N281">
        <v>-0.3739788937151613</v>
      </c>
      <c r="O281">
        <v>6.721579201654948E-2</v>
      </c>
    </row>
    <row r="282" spans="1:15" x14ac:dyDescent="0.25">
      <c r="A282">
        <v>-0.54066999999999998</v>
      </c>
      <c r="B282">
        <v>16.4985225</v>
      </c>
      <c r="C282">
        <v>15.490585749999999</v>
      </c>
      <c r="D282">
        <v>-0.65560050000000003</v>
      </c>
      <c r="E282">
        <v>12.875057999999999</v>
      </c>
      <c r="F282">
        <v>0.194933</v>
      </c>
      <c r="G282">
        <v>19.486595250000001</v>
      </c>
      <c r="H282">
        <v>20</v>
      </c>
      <c r="I282">
        <v>20</v>
      </c>
      <c r="J282">
        <v>1.17</v>
      </c>
      <c r="K282">
        <v>5.7425692499999998</v>
      </c>
      <c r="L282">
        <v>-1.1898779957036401</v>
      </c>
      <c r="M282">
        <v>1.273204014602721</v>
      </c>
      <c r="N282">
        <v>-0.49072649284960262</v>
      </c>
      <c r="O282">
        <v>-5.8855226926660537E-2</v>
      </c>
    </row>
    <row r="283" spans="1:15" x14ac:dyDescent="0.25">
      <c r="A283">
        <v>-3.06359475</v>
      </c>
      <c r="B283">
        <v>15.777013</v>
      </c>
      <c r="C283">
        <v>16.307794999999999</v>
      </c>
      <c r="D283">
        <v>-2.447578</v>
      </c>
      <c r="E283">
        <v>10.997448500000001</v>
      </c>
      <c r="F283">
        <v>9.7479999999999997E-2</v>
      </c>
      <c r="G283">
        <v>19.570055499999999</v>
      </c>
      <c r="H283">
        <v>20</v>
      </c>
      <c r="I283">
        <v>24</v>
      </c>
      <c r="J283">
        <v>1.165</v>
      </c>
      <c r="K283">
        <v>5.7817942499999999</v>
      </c>
      <c r="L283">
        <v>-1.4085555753253649</v>
      </c>
      <c r="M283">
        <v>1.3251882016801819</v>
      </c>
      <c r="N283">
        <v>-0.62337439744327927</v>
      </c>
      <c r="O283">
        <v>-0.20745869306030651</v>
      </c>
    </row>
    <row r="284" spans="1:15" x14ac:dyDescent="0.25">
      <c r="A284">
        <v>-5.4968085000000002</v>
      </c>
      <c r="B284">
        <v>14.430194999999999</v>
      </c>
      <c r="C284">
        <v>16.622920000000001</v>
      </c>
      <c r="D284">
        <v>-4.6329165000000003</v>
      </c>
      <c r="E284">
        <v>8.5386732500000004</v>
      </c>
      <c r="F284">
        <v>0.194933</v>
      </c>
      <c r="G284">
        <v>19.408833749999999</v>
      </c>
      <c r="H284">
        <v>20</v>
      </c>
      <c r="I284">
        <v>28</v>
      </c>
      <c r="J284">
        <v>1.17</v>
      </c>
      <c r="K284">
        <v>5.73098375</v>
      </c>
      <c r="L284">
        <v>-1.6260581480335481</v>
      </c>
      <c r="M284">
        <v>1.4013590552139921</v>
      </c>
      <c r="N284">
        <v>-0.7991145959741307</v>
      </c>
      <c r="O284">
        <v>-0.38664048107503862</v>
      </c>
    </row>
    <row r="285" spans="1:15" x14ac:dyDescent="0.25">
      <c r="A285">
        <v>-7.6144317499999996</v>
      </c>
      <c r="B285">
        <v>12.746673749999999</v>
      </c>
      <c r="C285">
        <v>16.261551000000001</v>
      </c>
      <c r="D285">
        <v>-6.861961</v>
      </c>
      <c r="E285">
        <v>5.5434390000000002</v>
      </c>
      <c r="F285">
        <v>0.194933</v>
      </c>
      <c r="G285">
        <v>18.768542499999999</v>
      </c>
      <c r="H285">
        <v>20</v>
      </c>
      <c r="I285">
        <v>32</v>
      </c>
      <c r="J285">
        <v>1.17</v>
      </c>
      <c r="K285">
        <v>5.6346832500000001</v>
      </c>
      <c r="L285">
        <v>-1.868022727375185</v>
      </c>
      <c r="M285">
        <v>1.534158365788227</v>
      </c>
      <c r="N285">
        <v>-1.034701394433474</v>
      </c>
      <c r="O285">
        <v>-0.58153256826197675</v>
      </c>
    </row>
    <row r="286" spans="1:15" x14ac:dyDescent="0.25">
      <c r="A286">
        <v>-9.7771089999999994</v>
      </c>
      <c r="B286">
        <v>11.0150515</v>
      </c>
      <c r="C286">
        <v>15.80983575</v>
      </c>
      <c r="D286">
        <v>-9.2658330000000007</v>
      </c>
      <c r="E286">
        <v>2.4140904999999999</v>
      </c>
      <c r="F286">
        <v>0.194933</v>
      </c>
      <c r="G286">
        <v>18.368355749999999</v>
      </c>
      <c r="H286">
        <v>20</v>
      </c>
      <c r="I286">
        <v>36</v>
      </c>
      <c r="J286">
        <v>1.1675</v>
      </c>
      <c r="K286">
        <v>5.5795969999999997</v>
      </c>
      <c r="L286">
        <v>-2.143776751471016</v>
      </c>
      <c r="M286">
        <v>1.699243656902693</v>
      </c>
      <c r="N286">
        <v>-1.336710633826937</v>
      </c>
      <c r="O286">
        <v>-0.81407938893543386</v>
      </c>
    </row>
    <row r="287" spans="1:15" x14ac:dyDescent="0.25">
      <c r="A287">
        <v>15.347047999999999</v>
      </c>
      <c r="B287">
        <v>10.91885025</v>
      </c>
      <c r="C287">
        <v>-10.103071999999999</v>
      </c>
      <c r="D287">
        <v>-10.271088000000001</v>
      </c>
      <c r="E287">
        <v>2.3246799999999999</v>
      </c>
      <c r="F287">
        <v>0.194933</v>
      </c>
      <c r="G287">
        <v>17.80810675</v>
      </c>
      <c r="H287">
        <v>24</v>
      </c>
      <c r="I287">
        <v>-36</v>
      </c>
      <c r="J287">
        <v>1.17</v>
      </c>
      <c r="K287">
        <v>5.4870650000000003</v>
      </c>
      <c r="L287">
        <v>2.0341146044814131</v>
      </c>
      <c r="M287">
        <v>1.6936056438683751</v>
      </c>
      <c r="N287">
        <v>-1.237515796622489</v>
      </c>
      <c r="O287">
        <v>-0.82977881925309283</v>
      </c>
    </row>
    <row r="288" spans="1:15" x14ac:dyDescent="0.25">
      <c r="A288">
        <v>14.985941</v>
      </c>
      <c r="B288">
        <v>12.0732655</v>
      </c>
      <c r="C288">
        <v>-7.5322009999999997</v>
      </c>
      <c r="D288">
        <v>-7.7360954999999993</v>
      </c>
      <c r="E288">
        <v>4.6940449999999991</v>
      </c>
      <c r="F288">
        <v>0.194933</v>
      </c>
      <c r="G288">
        <v>17.64803225</v>
      </c>
      <c r="H288">
        <v>24</v>
      </c>
      <c r="I288">
        <v>-32</v>
      </c>
      <c r="J288">
        <v>1.17</v>
      </c>
      <c r="K288">
        <v>5.4620732500000004</v>
      </c>
      <c r="L288">
        <v>1.8265664830151951</v>
      </c>
      <c r="M288">
        <v>1.606830460311673</v>
      </c>
      <c r="N288">
        <v>-1.050772935438673</v>
      </c>
      <c r="O288">
        <v>-0.63503792475465382</v>
      </c>
    </row>
    <row r="289" spans="1:15" x14ac:dyDescent="0.25">
      <c r="A289">
        <v>14.444279999999999</v>
      </c>
      <c r="B289">
        <v>13.083378</v>
      </c>
      <c r="C289">
        <v>-5.1868449999999999</v>
      </c>
      <c r="D289">
        <v>-5.5507584999999997</v>
      </c>
      <c r="E289">
        <v>6.7504735</v>
      </c>
      <c r="F289">
        <v>0.14620649999999999</v>
      </c>
      <c r="G289">
        <v>17.406909500000001</v>
      </c>
      <c r="H289">
        <v>24</v>
      </c>
      <c r="I289">
        <v>-28</v>
      </c>
      <c r="J289">
        <v>1.17</v>
      </c>
      <c r="K289">
        <v>5.4318592499999996</v>
      </c>
      <c r="L289">
        <v>1.61988704714218</v>
      </c>
      <c r="M289">
        <v>1.5376187444319001</v>
      </c>
      <c r="N289">
        <v>-0.87939560052135968</v>
      </c>
      <c r="O289">
        <v>-0.45502897595999642</v>
      </c>
    </row>
    <row r="290" spans="1:15" x14ac:dyDescent="0.25">
      <c r="A290">
        <v>13.722063</v>
      </c>
      <c r="B290">
        <v>13.70868675</v>
      </c>
      <c r="C290">
        <v>-2.9316949999999999</v>
      </c>
      <c r="D290">
        <v>-3.7150745000000001</v>
      </c>
      <c r="E290">
        <v>8.4045590000000008</v>
      </c>
      <c r="F290">
        <v>0.14620649999999999</v>
      </c>
      <c r="G290">
        <v>17.046761499999999</v>
      </c>
      <c r="H290">
        <v>24</v>
      </c>
      <c r="I290">
        <v>-24</v>
      </c>
      <c r="J290">
        <v>1.17</v>
      </c>
      <c r="K290">
        <v>5.3748779999999998</v>
      </c>
      <c r="L290">
        <v>1.420023897031945</v>
      </c>
      <c r="M290">
        <v>1.4856988898407599</v>
      </c>
      <c r="N290">
        <v>-0.73689628019820197</v>
      </c>
      <c r="O290">
        <v>-0.29579402001137678</v>
      </c>
    </row>
    <row r="291" spans="1:15" x14ac:dyDescent="0.25">
      <c r="A291">
        <v>13.360956</v>
      </c>
      <c r="B291">
        <v>14.95930325</v>
      </c>
      <c r="C291">
        <v>-1.037369</v>
      </c>
      <c r="D291">
        <v>-2.5786989999999999</v>
      </c>
      <c r="E291">
        <v>10.14805475</v>
      </c>
      <c r="F291">
        <v>4.8753499999999998E-2</v>
      </c>
      <c r="G291">
        <v>17.406909500000001</v>
      </c>
      <c r="H291">
        <v>24</v>
      </c>
      <c r="I291">
        <v>-20</v>
      </c>
      <c r="J291">
        <v>1.165</v>
      </c>
      <c r="K291">
        <v>5.4589334999999997</v>
      </c>
      <c r="L291">
        <v>1.204306132254773</v>
      </c>
      <c r="M291">
        <v>1.466892091286526</v>
      </c>
      <c r="N291">
        <v>-0.60716414005675357</v>
      </c>
      <c r="O291">
        <v>-0.15531188166957399</v>
      </c>
    </row>
    <row r="292" spans="1:15" x14ac:dyDescent="0.25">
      <c r="A292">
        <v>12.819295</v>
      </c>
      <c r="B292">
        <v>15.969416000000001</v>
      </c>
      <c r="C292">
        <v>0.94850800000000002</v>
      </c>
      <c r="D292">
        <v>-1.52973625</v>
      </c>
      <c r="E292">
        <v>11.668023</v>
      </c>
      <c r="F292">
        <v>0.194933</v>
      </c>
      <c r="G292">
        <v>17.847080500000001</v>
      </c>
      <c r="H292">
        <v>24</v>
      </c>
      <c r="I292">
        <v>-16</v>
      </c>
      <c r="J292">
        <v>1.17</v>
      </c>
      <c r="K292">
        <v>5.4931289999999997</v>
      </c>
      <c r="L292">
        <v>0.99265411247286639</v>
      </c>
      <c r="M292">
        <v>1.463306838061057</v>
      </c>
      <c r="N292">
        <v>-0.5167025759222843</v>
      </c>
      <c r="O292">
        <v>-4.0602484182212011E-2</v>
      </c>
    </row>
    <row r="293" spans="1:15" x14ac:dyDescent="0.25">
      <c r="A293">
        <v>11.871387500000001</v>
      </c>
      <c r="B293">
        <v>16.739027</v>
      </c>
      <c r="C293">
        <v>2.43921725</v>
      </c>
      <c r="D293">
        <v>-0.96154849999999992</v>
      </c>
      <c r="E293">
        <v>12.696239</v>
      </c>
      <c r="F293">
        <v>0.14620649999999999</v>
      </c>
      <c r="G293">
        <v>17.886054250000001</v>
      </c>
      <c r="H293">
        <v>24</v>
      </c>
      <c r="I293">
        <v>-12</v>
      </c>
      <c r="J293">
        <v>1.17</v>
      </c>
      <c r="K293">
        <v>5.5067372499999996</v>
      </c>
      <c r="L293">
        <v>0.78882970279951059</v>
      </c>
      <c r="M293">
        <v>1.480329808327481</v>
      </c>
      <c r="N293">
        <v>-0.43407336799144358</v>
      </c>
      <c r="O293">
        <v>4.9649784327599339E-2</v>
      </c>
    </row>
    <row r="294" spans="1:15" x14ac:dyDescent="0.25">
      <c r="A294">
        <v>10.833202999999999</v>
      </c>
      <c r="B294">
        <v>17.316233</v>
      </c>
      <c r="C294">
        <v>4.1557215000000003</v>
      </c>
      <c r="D294">
        <v>-0.69930700000000001</v>
      </c>
      <c r="E294">
        <v>13.590337999999999</v>
      </c>
      <c r="F294">
        <v>0.14620649999999999</v>
      </c>
      <c r="G294">
        <v>18.128249749999998</v>
      </c>
      <c r="H294">
        <v>24</v>
      </c>
      <c r="I294">
        <v>-8</v>
      </c>
      <c r="J294">
        <v>1.165</v>
      </c>
      <c r="K294">
        <v>5.5561699999999998</v>
      </c>
      <c r="L294">
        <v>0.56292428685745366</v>
      </c>
      <c r="M294">
        <v>1.5187440087305679</v>
      </c>
      <c r="N294">
        <v>-0.38255455967365237</v>
      </c>
      <c r="O294">
        <v>0.13336569598675049</v>
      </c>
    </row>
    <row r="295" spans="1:15" x14ac:dyDescent="0.25">
      <c r="A295">
        <v>9.6144645000000004</v>
      </c>
      <c r="B295">
        <v>17.893439999999998</v>
      </c>
      <c r="C295">
        <v>5.8274347500000001</v>
      </c>
      <c r="D295">
        <v>-0.69930700000000001</v>
      </c>
      <c r="E295">
        <v>14.171503</v>
      </c>
      <c r="F295">
        <v>0.14620649999999999</v>
      </c>
      <c r="G295">
        <v>18.568448499999999</v>
      </c>
      <c r="H295">
        <v>24</v>
      </c>
      <c r="I295">
        <v>-4</v>
      </c>
      <c r="J295">
        <v>1.165</v>
      </c>
      <c r="K295">
        <v>5.6237225000000004</v>
      </c>
      <c r="L295">
        <v>0.3262511913509466</v>
      </c>
      <c r="M295">
        <v>1.601908665412876</v>
      </c>
      <c r="N295">
        <v>-0.37890860249521058</v>
      </c>
      <c r="O295">
        <v>0.20827976411960911</v>
      </c>
    </row>
    <row r="296" spans="1:15" x14ac:dyDescent="0.25">
      <c r="A296">
        <v>8.1248959999999997</v>
      </c>
      <c r="B296">
        <v>18.085842</v>
      </c>
      <c r="C296">
        <v>7.5887185000000006</v>
      </c>
      <c r="D296">
        <v>-0.61189399999999994</v>
      </c>
      <c r="E296">
        <v>14.484439</v>
      </c>
      <c r="F296">
        <v>0.194933</v>
      </c>
      <c r="G296">
        <v>18.84747175</v>
      </c>
      <c r="H296">
        <v>24</v>
      </c>
      <c r="I296">
        <v>0</v>
      </c>
      <c r="J296">
        <v>1.17</v>
      </c>
      <c r="K296">
        <v>5.6466177499999999</v>
      </c>
      <c r="L296">
        <v>4.8761616695553671E-2</v>
      </c>
      <c r="M296">
        <v>1.7004037734393189</v>
      </c>
      <c r="N296">
        <v>-0.39680338771673601</v>
      </c>
      <c r="O296">
        <v>0.2995361593956038</v>
      </c>
    </row>
    <row r="297" spans="1:15" x14ac:dyDescent="0.25">
      <c r="A297">
        <v>6.5901879999999986</v>
      </c>
      <c r="B297">
        <v>18.4225475</v>
      </c>
      <c r="C297">
        <v>9.2594407499999996</v>
      </c>
      <c r="D297">
        <v>-0.65560050000000003</v>
      </c>
      <c r="E297">
        <v>14.5738485</v>
      </c>
      <c r="F297">
        <v>0.14620649999999999</v>
      </c>
      <c r="G297">
        <v>19.166487249999999</v>
      </c>
      <c r="H297">
        <v>24</v>
      </c>
      <c r="I297">
        <v>4</v>
      </c>
      <c r="J297">
        <v>1.17</v>
      </c>
      <c r="K297">
        <v>5.702013</v>
      </c>
      <c r="L297">
        <v>-0.23000318247740351</v>
      </c>
      <c r="M297">
        <v>1.6437419771183821</v>
      </c>
      <c r="N297">
        <v>-0.39570618153043258</v>
      </c>
      <c r="O297">
        <v>0.2430664868313458</v>
      </c>
    </row>
    <row r="298" spans="1:15" x14ac:dyDescent="0.25">
      <c r="A298">
        <v>4.7395120000000004</v>
      </c>
      <c r="B298">
        <v>18.470648000000001</v>
      </c>
      <c r="C298">
        <v>10.8410305</v>
      </c>
      <c r="D298">
        <v>-0.91784175000000001</v>
      </c>
      <c r="E298">
        <v>14.3950285</v>
      </c>
      <c r="F298">
        <v>0.14620649999999999</v>
      </c>
      <c r="G298">
        <v>19.408833749999999</v>
      </c>
      <c r="H298">
        <v>24</v>
      </c>
      <c r="I298">
        <v>8</v>
      </c>
      <c r="J298">
        <v>1.165</v>
      </c>
      <c r="K298">
        <v>5.75058325</v>
      </c>
      <c r="L298">
        <v>-0.48875209086776999</v>
      </c>
      <c r="M298">
        <v>1.5530831509359591</v>
      </c>
      <c r="N298">
        <v>-0.40164833572058461</v>
      </c>
      <c r="O298">
        <v>0.1413527964435175</v>
      </c>
    </row>
    <row r="299" spans="1:15" x14ac:dyDescent="0.25">
      <c r="A299">
        <v>2.5728647499999999</v>
      </c>
      <c r="B299">
        <v>18.470648000000001</v>
      </c>
      <c r="C299">
        <v>12.241328749999999</v>
      </c>
      <c r="D299">
        <v>-1.4860294999999999</v>
      </c>
      <c r="E299">
        <v>13.769157999999999</v>
      </c>
      <c r="F299">
        <v>0.194933</v>
      </c>
      <c r="G299">
        <v>19.686669250000001</v>
      </c>
      <c r="H299">
        <v>24</v>
      </c>
      <c r="I299">
        <v>12</v>
      </c>
      <c r="J299">
        <v>1.17</v>
      </c>
      <c r="K299">
        <v>5.7722792500000004</v>
      </c>
      <c r="L299">
        <v>-0.73104426682710999</v>
      </c>
      <c r="M299">
        <v>1.508940710846975</v>
      </c>
      <c r="N299">
        <v>-0.44743726294528929</v>
      </c>
      <c r="O299">
        <v>2.6380811448680101E-2</v>
      </c>
    </row>
    <row r="300" spans="1:15" x14ac:dyDescent="0.25">
      <c r="A300">
        <v>0.31594250000000001</v>
      </c>
      <c r="B300">
        <v>18.037741499999999</v>
      </c>
      <c r="C300">
        <v>13.3706075</v>
      </c>
      <c r="D300">
        <v>-2.0542180000000001</v>
      </c>
      <c r="E300">
        <v>12.696239</v>
      </c>
      <c r="F300">
        <v>0.14620649999999999</v>
      </c>
      <c r="G300">
        <v>19.607777500000001</v>
      </c>
      <c r="H300">
        <v>24</v>
      </c>
      <c r="I300">
        <v>16</v>
      </c>
      <c r="J300">
        <v>1.17</v>
      </c>
      <c r="K300">
        <v>5.7678002500000014</v>
      </c>
      <c r="L300">
        <v>-0.96235056207141345</v>
      </c>
      <c r="M300">
        <v>1.4811082968983891</v>
      </c>
      <c r="N300">
        <v>-0.50949061690413966</v>
      </c>
      <c r="O300">
        <v>-7.4828261071795771E-2</v>
      </c>
    </row>
    <row r="301" spans="1:15" x14ac:dyDescent="0.25">
      <c r="A301">
        <v>-1.8922254999999999</v>
      </c>
      <c r="B301">
        <v>16.739027</v>
      </c>
      <c r="C301">
        <v>13.685909499999999</v>
      </c>
      <c r="D301">
        <v>-2.884646</v>
      </c>
      <c r="E301">
        <v>10.68451325</v>
      </c>
      <c r="F301">
        <v>0.14620649999999999</v>
      </c>
      <c r="G301">
        <v>18.88749275</v>
      </c>
      <c r="H301">
        <v>24</v>
      </c>
      <c r="I301">
        <v>20</v>
      </c>
      <c r="J301">
        <v>1.17</v>
      </c>
      <c r="K301">
        <v>5.66006125</v>
      </c>
      <c r="L301">
        <v>-1.1916382366546581</v>
      </c>
      <c r="M301">
        <v>1.501119439541474</v>
      </c>
      <c r="N301">
        <v>-0.62746978923344376</v>
      </c>
      <c r="O301">
        <v>-0.1938556014657532</v>
      </c>
    </row>
    <row r="302" spans="1:15" x14ac:dyDescent="0.25">
      <c r="A302">
        <v>-4.1901894999999998</v>
      </c>
      <c r="B302">
        <v>15.4403085</v>
      </c>
      <c r="C302">
        <v>13.913575</v>
      </c>
      <c r="D302">
        <v>-4.2832617500000003</v>
      </c>
      <c r="E302">
        <v>8.6727880000000006</v>
      </c>
      <c r="F302">
        <v>0.194933</v>
      </c>
      <c r="G302">
        <v>18.249378</v>
      </c>
      <c r="H302">
        <v>24</v>
      </c>
      <c r="I302">
        <v>24</v>
      </c>
      <c r="J302">
        <v>1.17</v>
      </c>
      <c r="K302">
        <v>5.5553850000000002</v>
      </c>
      <c r="L302">
        <v>-1.402401457140743</v>
      </c>
      <c r="M302">
        <v>1.5279283374648891</v>
      </c>
      <c r="N302">
        <v>-0.74191276490016989</v>
      </c>
      <c r="O302">
        <v>-0.34323017283980151</v>
      </c>
    </row>
    <row r="303" spans="1:15" x14ac:dyDescent="0.25">
      <c r="A303">
        <v>-6.3524560000000001</v>
      </c>
      <c r="B303">
        <v>14.237792000000001</v>
      </c>
      <c r="C303">
        <v>14.138516750000001</v>
      </c>
      <c r="D303">
        <v>-6.0752407499999999</v>
      </c>
      <c r="E303">
        <v>6.4375390000000001</v>
      </c>
      <c r="F303">
        <v>0.194933</v>
      </c>
      <c r="G303">
        <v>18.08717425</v>
      </c>
      <c r="H303">
        <v>24</v>
      </c>
      <c r="I303">
        <v>28</v>
      </c>
      <c r="J303">
        <v>1.17</v>
      </c>
      <c r="K303">
        <v>5.53034625</v>
      </c>
      <c r="L303">
        <v>-1.6196770114178241</v>
      </c>
      <c r="M303">
        <v>1.605612824986542</v>
      </c>
      <c r="N303">
        <v>-0.92084225572971712</v>
      </c>
      <c r="O303">
        <v>-0.5065552185655896</v>
      </c>
    </row>
    <row r="304" spans="1:15" x14ac:dyDescent="0.25">
      <c r="A304">
        <v>-8.1545699999999997</v>
      </c>
      <c r="B304">
        <v>12.5542715</v>
      </c>
      <c r="C304">
        <v>13.73288</v>
      </c>
      <c r="D304">
        <v>-7.9983360000000001</v>
      </c>
      <c r="E304">
        <v>3.889354</v>
      </c>
      <c r="F304">
        <v>0.194933</v>
      </c>
      <c r="G304">
        <v>17.448967</v>
      </c>
      <c r="H304">
        <v>24</v>
      </c>
      <c r="I304">
        <v>32</v>
      </c>
      <c r="J304">
        <v>1.1675</v>
      </c>
      <c r="K304">
        <v>5.4366845000000001</v>
      </c>
      <c r="L304">
        <v>-1.829176603485585</v>
      </c>
      <c r="M304">
        <v>1.7175798096564789</v>
      </c>
      <c r="N304">
        <v>-1.1331979876947711</v>
      </c>
      <c r="O304">
        <v>-0.69123439526413244</v>
      </c>
    </row>
    <row r="305" spans="1:15" x14ac:dyDescent="0.25">
      <c r="A305">
        <v>-10.272724</v>
      </c>
      <c r="B305">
        <v>11.159352999999999</v>
      </c>
      <c r="C305">
        <v>13.460955</v>
      </c>
      <c r="D305">
        <v>-10.314795</v>
      </c>
      <c r="E305">
        <v>1.2070555000000001</v>
      </c>
      <c r="F305">
        <v>0.194933</v>
      </c>
      <c r="G305">
        <v>17.327887</v>
      </c>
      <c r="H305">
        <v>24</v>
      </c>
      <c r="I305">
        <v>36</v>
      </c>
      <c r="J305">
        <v>1.17</v>
      </c>
      <c r="K305">
        <v>5.4117457499999997</v>
      </c>
      <c r="L305">
        <v>-2.0637772835982728</v>
      </c>
      <c r="M305">
        <v>1.8672701974102941</v>
      </c>
      <c r="N305">
        <v>-1.401808537575429</v>
      </c>
      <c r="O305">
        <v>-0.91203725125908941</v>
      </c>
    </row>
    <row r="306" spans="1:15" x14ac:dyDescent="0.25">
      <c r="A306">
        <v>13.04498675</v>
      </c>
      <c r="B306">
        <v>10.91885025</v>
      </c>
      <c r="C306">
        <v>-10.68941025</v>
      </c>
      <c r="D306">
        <v>-11.14522275</v>
      </c>
      <c r="E306">
        <v>0.58118449999999999</v>
      </c>
      <c r="F306">
        <v>9.7479999999999997E-2</v>
      </c>
      <c r="G306">
        <v>16.847669499999999</v>
      </c>
      <c r="H306">
        <v>28</v>
      </c>
      <c r="I306">
        <v>-36</v>
      </c>
      <c r="J306">
        <v>1.17</v>
      </c>
      <c r="K306">
        <v>5.3509112500000002</v>
      </c>
      <c r="L306">
        <v>2.0641304479949332</v>
      </c>
      <c r="M306">
        <v>1.918863167593533</v>
      </c>
      <c r="N306">
        <v>-1.4146546640220661</v>
      </c>
      <c r="O306">
        <v>-0.95791744971493886</v>
      </c>
    </row>
    <row r="307" spans="1:15" x14ac:dyDescent="0.25">
      <c r="A307">
        <v>13.406094749999999</v>
      </c>
      <c r="B307">
        <v>12.506171</v>
      </c>
      <c r="C307">
        <v>-8.7950850000000003</v>
      </c>
      <c r="D307">
        <v>-9.2658330000000007</v>
      </c>
      <c r="E307">
        <v>2.9952549999999998</v>
      </c>
      <c r="F307">
        <v>0.14620649999999999</v>
      </c>
      <c r="G307">
        <v>17.367907500000001</v>
      </c>
      <c r="H307">
        <v>28</v>
      </c>
      <c r="I307">
        <v>-32</v>
      </c>
      <c r="J307">
        <v>1.17</v>
      </c>
      <c r="K307">
        <v>5.4257065000000004</v>
      </c>
      <c r="L307">
        <v>1.846184779761062</v>
      </c>
      <c r="M307">
        <v>1.810523291956927</v>
      </c>
      <c r="N307">
        <v>-1.195203517664267</v>
      </c>
      <c r="O307">
        <v>-0.76313526869835069</v>
      </c>
    </row>
    <row r="308" spans="1:15" x14ac:dyDescent="0.25">
      <c r="A308">
        <v>13.541511</v>
      </c>
      <c r="B308">
        <v>14.045391</v>
      </c>
      <c r="C308">
        <v>-7.0360674999999997</v>
      </c>
      <c r="D308">
        <v>-7.6923892499999997</v>
      </c>
      <c r="E308">
        <v>5.0516842500000001</v>
      </c>
      <c r="F308">
        <v>0.194933</v>
      </c>
      <c r="G308">
        <v>17.769133</v>
      </c>
      <c r="H308">
        <v>28</v>
      </c>
      <c r="I308">
        <v>-28</v>
      </c>
      <c r="J308">
        <v>1.165</v>
      </c>
      <c r="K308">
        <v>5.492788</v>
      </c>
      <c r="L308">
        <v>1.657366909979888</v>
      </c>
      <c r="M308">
        <v>1.7508167834187049</v>
      </c>
      <c r="N308">
        <v>-1.0243125929705901</v>
      </c>
      <c r="O308">
        <v>-0.60880113125887203</v>
      </c>
    </row>
    <row r="309" spans="1:15" x14ac:dyDescent="0.25">
      <c r="A309">
        <v>13.360956</v>
      </c>
      <c r="B309">
        <v>15.34410725</v>
      </c>
      <c r="C309">
        <v>-5.0515359999999996</v>
      </c>
      <c r="D309">
        <v>-6.1189479999999996</v>
      </c>
      <c r="E309">
        <v>6.9292937500000003</v>
      </c>
      <c r="F309">
        <v>0.14620649999999999</v>
      </c>
      <c r="G309">
        <v>17.9681785</v>
      </c>
      <c r="H309">
        <v>28</v>
      </c>
      <c r="I309">
        <v>-24</v>
      </c>
      <c r="J309">
        <v>1.17</v>
      </c>
      <c r="K309">
        <v>5.5194529999999986</v>
      </c>
      <c r="L309">
        <v>1.4713451907154891</v>
      </c>
      <c r="M309">
        <v>1.7150747006140961</v>
      </c>
      <c r="N309">
        <v>-0.88214640935220034</v>
      </c>
      <c r="O309">
        <v>-0.45801497904267391</v>
      </c>
    </row>
    <row r="310" spans="1:15" x14ac:dyDescent="0.25">
      <c r="A310">
        <v>12.954709749999999</v>
      </c>
      <c r="B310">
        <v>16.4985225</v>
      </c>
      <c r="C310">
        <v>-2.9316949999999999</v>
      </c>
      <c r="D310">
        <v>-4.8077439999999996</v>
      </c>
      <c r="E310">
        <v>8.6727880000000006</v>
      </c>
      <c r="F310">
        <v>0.194933</v>
      </c>
      <c r="G310">
        <v>18.28832375</v>
      </c>
      <c r="H310">
        <v>28</v>
      </c>
      <c r="I310">
        <v>-20</v>
      </c>
      <c r="J310">
        <v>1.17</v>
      </c>
      <c r="K310">
        <v>5.5613640000000002</v>
      </c>
      <c r="L310">
        <v>1.26659166895339</v>
      </c>
      <c r="M310">
        <v>1.6987353755772829</v>
      </c>
      <c r="N310">
        <v>-0.76664730683885551</v>
      </c>
      <c r="O310">
        <v>-0.3240511805909802</v>
      </c>
    </row>
    <row r="311" spans="1:15" x14ac:dyDescent="0.25">
      <c r="A311">
        <v>12.232494750000001</v>
      </c>
      <c r="B311">
        <v>17.46053525</v>
      </c>
      <c r="C311">
        <v>-0.90205999999999997</v>
      </c>
      <c r="D311">
        <v>-4.1084355000000006</v>
      </c>
      <c r="E311">
        <v>10.14805475</v>
      </c>
      <c r="F311">
        <v>0.194933</v>
      </c>
      <c r="G311">
        <v>18.687416500000001</v>
      </c>
      <c r="H311">
        <v>28</v>
      </c>
      <c r="I311">
        <v>-16</v>
      </c>
      <c r="J311">
        <v>1.17</v>
      </c>
      <c r="K311">
        <v>5.6223640000000001</v>
      </c>
      <c r="L311">
        <v>1.0380340725574639</v>
      </c>
      <c r="M311">
        <v>1.704681727220404</v>
      </c>
      <c r="N311">
        <v>-0.6749146784966531</v>
      </c>
      <c r="O311">
        <v>-0.21340300192916439</v>
      </c>
    </row>
    <row r="312" spans="1:15" x14ac:dyDescent="0.25">
      <c r="A312">
        <v>11.239448749999999</v>
      </c>
      <c r="B312">
        <v>18.230145</v>
      </c>
      <c r="C312">
        <v>0.94858300000000007</v>
      </c>
      <c r="D312">
        <v>-3.49654</v>
      </c>
      <c r="E312">
        <v>11.176268</v>
      </c>
      <c r="F312">
        <v>9.7479999999999997E-2</v>
      </c>
      <c r="G312">
        <v>18.889707999999999</v>
      </c>
      <c r="H312">
        <v>28</v>
      </c>
      <c r="I312">
        <v>-12</v>
      </c>
      <c r="J312">
        <v>1.17</v>
      </c>
      <c r="K312">
        <v>5.6677379999999999</v>
      </c>
      <c r="L312">
        <v>0.82655297006743567</v>
      </c>
      <c r="M312">
        <v>1.7452684629923929</v>
      </c>
      <c r="N312">
        <v>-0.61966009476221995</v>
      </c>
      <c r="O312">
        <v>-0.1100713068643614</v>
      </c>
    </row>
    <row r="313" spans="1:15" x14ac:dyDescent="0.25">
      <c r="A313">
        <v>10.110988000000001</v>
      </c>
      <c r="B313">
        <v>18.759252499999999</v>
      </c>
      <c r="C313">
        <v>2.7100680000000001</v>
      </c>
      <c r="D313">
        <v>-3.2780065</v>
      </c>
      <c r="E313">
        <v>12.11507325</v>
      </c>
      <c r="F313">
        <v>0.194933</v>
      </c>
      <c r="G313">
        <v>19.248759499999998</v>
      </c>
      <c r="H313">
        <v>28</v>
      </c>
      <c r="I313">
        <v>-8</v>
      </c>
      <c r="J313">
        <v>1.17</v>
      </c>
      <c r="K313">
        <v>5.7070604999999999</v>
      </c>
      <c r="L313">
        <v>0.59691573547130805</v>
      </c>
      <c r="M313">
        <v>1.7773516340498501</v>
      </c>
      <c r="N313">
        <v>-0.57537830857010941</v>
      </c>
      <c r="O313">
        <v>-3.8622506382256172E-2</v>
      </c>
    </row>
    <row r="314" spans="1:15" x14ac:dyDescent="0.25">
      <c r="A314">
        <v>8.6214177499999991</v>
      </c>
      <c r="B314">
        <v>19.240259000000002</v>
      </c>
      <c r="C314">
        <v>4.6068137499999997</v>
      </c>
      <c r="D314">
        <v>-3.2343000000000002</v>
      </c>
      <c r="E314">
        <v>12.606828999999999</v>
      </c>
      <c r="F314">
        <v>0.194933</v>
      </c>
      <c r="G314">
        <v>19.646648750000001</v>
      </c>
      <c r="H314">
        <v>28</v>
      </c>
      <c r="I314">
        <v>-4</v>
      </c>
      <c r="J314">
        <v>1.17</v>
      </c>
      <c r="K314">
        <v>5.7663417499999996</v>
      </c>
      <c r="L314">
        <v>0.33677978738202607</v>
      </c>
      <c r="M314">
        <v>1.885359521077127</v>
      </c>
      <c r="N314">
        <v>-0.59056118634609178</v>
      </c>
      <c r="O314">
        <v>4.1216036432834252E-2</v>
      </c>
    </row>
    <row r="315" spans="1:15" x14ac:dyDescent="0.25">
      <c r="A315">
        <v>7.0415720000000004</v>
      </c>
      <c r="B315">
        <v>19.432659000000001</v>
      </c>
      <c r="C315">
        <v>6.3691034999999996</v>
      </c>
      <c r="D315">
        <v>-3.1905934999999999</v>
      </c>
      <c r="E315">
        <v>12.875057999999999</v>
      </c>
      <c r="F315">
        <v>0.194933</v>
      </c>
      <c r="G315">
        <v>19.728979249999998</v>
      </c>
      <c r="H315">
        <v>28</v>
      </c>
      <c r="I315">
        <v>0</v>
      </c>
      <c r="J315">
        <v>1.17</v>
      </c>
      <c r="K315">
        <v>5.7785322499999996</v>
      </c>
      <c r="L315">
        <v>5.9555202262742489E-2</v>
      </c>
      <c r="M315">
        <v>2.0046083728257789</v>
      </c>
      <c r="N315">
        <v>-0.60732302553569795</v>
      </c>
      <c r="O315">
        <v>0.12358140981659139</v>
      </c>
    </row>
    <row r="316" spans="1:15" x14ac:dyDescent="0.25">
      <c r="A316">
        <v>5.0554800000000002</v>
      </c>
      <c r="B316">
        <v>19.047854999999998</v>
      </c>
      <c r="C316">
        <v>7.8592135000000001</v>
      </c>
      <c r="D316">
        <v>-3.1905934999999999</v>
      </c>
      <c r="E316">
        <v>12.383303250000001</v>
      </c>
      <c r="F316">
        <v>0.194933</v>
      </c>
      <c r="G316">
        <v>19.446584000000001</v>
      </c>
      <c r="H316">
        <v>28</v>
      </c>
      <c r="I316">
        <v>4</v>
      </c>
      <c r="J316">
        <v>1.17</v>
      </c>
      <c r="K316">
        <v>5.7366077500000001</v>
      </c>
      <c r="L316">
        <v>-0.24484396984482371</v>
      </c>
      <c r="M316">
        <v>1.9421504302393391</v>
      </c>
      <c r="N316">
        <v>-0.61688460767857944</v>
      </c>
      <c r="O316">
        <v>6.4412767069293275E-2</v>
      </c>
    </row>
    <row r="317" spans="1:15" x14ac:dyDescent="0.25">
      <c r="A317">
        <v>2.8888349999999998</v>
      </c>
      <c r="B317">
        <v>18.3263465</v>
      </c>
      <c r="C317">
        <v>8.89868025</v>
      </c>
      <c r="D317">
        <v>-3.4091265000000002</v>
      </c>
      <c r="E317">
        <v>11.57861325</v>
      </c>
      <c r="F317">
        <v>0.194933</v>
      </c>
      <c r="G317">
        <v>18.768542499999999</v>
      </c>
      <c r="H317">
        <v>28</v>
      </c>
      <c r="I317">
        <v>8</v>
      </c>
      <c r="J317">
        <v>1.17</v>
      </c>
      <c r="K317">
        <v>5.6346832500000001</v>
      </c>
      <c r="L317">
        <v>-0.50765637091079774</v>
      </c>
      <c r="M317">
        <v>1.836028864048096</v>
      </c>
      <c r="N317">
        <v>-0.60740539647578184</v>
      </c>
      <c r="O317">
        <v>-3.8415319686750923E-2</v>
      </c>
    </row>
    <row r="318" spans="1:15" x14ac:dyDescent="0.25">
      <c r="A318">
        <v>0.81246550000000006</v>
      </c>
      <c r="B318">
        <v>17.604837</v>
      </c>
      <c r="C318">
        <v>9.9827727500000005</v>
      </c>
      <c r="D318">
        <v>-3.7150745000000001</v>
      </c>
      <c r="E318">
        <v>10.59510375</v>
      </c>
      <c r="F318">
        <v>0.14620649999999999</v>
      </c>
      <c r="G318">
        <v>18.249378</v>
      </c>
      <c r="H318">
        <v>28</v>
      </c>
      <c r="I318">
        <v>12</v>
      </c>
      <c r="J318">
        <v>1.17</v>
      </c>
      <c r="K318">
        <v>5.5628615000000003</v>
      </c>
      <c r="L318">
        <v>-0.76126934693705173</v>
      </c>
      <c r="M318">
        <v>1.769876493620393</v>
      </c>
      <c r="N318">
        <v>-0.63544351175899083</v>
      </c>
      <c r="O318">
        <v>-0.13259403366616079</v>
      </c>
    </row>
    <row r="319" spans="1:15" x14ac:dyDescent="0.25">
      <c r="A319">
        <v>-1.3066187499999999</v>
      </c>
      <c r="B319">
        <v>17.07573</v>
      </c>
      <c r="C319">
        <v>10.79586125</v>
      </c>
      <c r="D319">
        <v>-4.1521420000000004</v>
      </c>
      <c r="E319">
        <v>9.4327737500000008</v>
      </c>
      <c r="F319">
        <v>0.194933</v>
      </c>
      <c r="G319">
        <v>17.9681785</v>
      </c>
      <c r="H319">
        <v>28</v>
      </c>
      <c r="I319">
        <v>16</v>
      </c>
      <c r="J319">
        <v>1.17</v>
      </c>
      <c r="K319">
        <v>5.5119422499999997</v>
      </c>
      <c r="L319">
        <v>-0.99510636575991407</v>
      </c>
      <c r="M319">
        <v>1.74537379900394</v>
      </c>
      <c r="N319">
        <v>-0.70180785123942402</v>
      </c>
      <c r="O319">
        <v>-0.24042112040405661</v>
      </c>
    </row>
    <row r="320" spans="1:15" x14ac:dyDescent="0.25">
      <c r="A320">
        <v>-3.4240295000000001</v>
      </c>
      <c r="B320">
        <v>15.969416000000001</v>
      </c>
      <c r="C320">
        <v>11.20239875</v>
      </c>
      <c r="D320">
        <v>-4.851451</v>
      </c>
      <c r="E320">
        <v>7.8681000000000001</v>
      </c>
      <c r="F320">
        <v>0.194933</v>
      </c>
      <c r="G320">
        <v>17.687015500000001</v>
      </c>
      <c r="H320">
        <v>28</v>
      </c>
      <c r="I320">
        <v>20</v>
      </c>
      <c r="J320">
        <v>1.17</v>
      </c>
      <c r="K320">
        <v>5.4681665000000006</v>
      </c>
      <c r="L320">
        <v>-1.218272296974986</v>
      </c>
      <c r="M320">
        <v>1.734295019965294</v>
      </c>
      <c r="N320">
        <v>-0.81788662583313865</v>
      </c>
      <c r="O320">
        <v>-0.36083827858621492</v>
      </c>
    </row>
    <row r="321" spans="1:15" x14ac:dyDescent="0.25">
      <c r="A321">
        <v>-5.6766664999999996</v>
      </c>
      <c r="B321">
        <v>15.34410725</v>
      </c>
      <c r="C321">
        <v>11.92592</v>
      </c>
      <c r="D321">
        <v>-6.0752407499999999</v>
      </c>
      <c r="E321">
        <v>6.3481290000000001</v>
      </c>
      <c r="F321">
        <v>0.14620649999999999</v>
      </c>
      <c r="G321">
        <v>17.649069999999998</v>
      </c>
      <c r="H321">
        <v>28</v>
      </c>
      <c r="I321">
        <v>24</v>
      </c>
      <c r="J321">
        <v>1.17</v>
      </c>
      <c r="K321">
        <v>5.4698124999999997</v>
      </c>
      <c r="L321">
        <v>-1.4400199005785741</v>
      </c>
      <c r="M321">
        <v>1.7522290633735069</v>
      </c>
      <c r="N321">
        <v>-0.92448637237026932</v>
      </c>
      <c r="O321">
        <v>-0.49267711074029119</v>
      </c>
    </row>
    <row r="322" spans="1:15" x14ac:dyDescent="0.25">
      <c r="A322">
        <v>-8.1540400000000002</v>
      </c>
      <c r="B322">
        <v>14.95930325</v>
      </c>
      <c r="C322">
        <v>12.648705</v>
      </c>
      <c r="D322">
        <v>-8.0857499999999991</v>
      </c>
      <c r="E322">
        <v>4.5599295</v>
      </c>
      <c r="F322">
        <v>9.7479999999999997E-2</v>
      </c>
      <c r="G322">
        <v>18.049274</v>
      </c>
      <c r="H322">
        <v>28</v>
      </c>
      <c r="I322">
        <v>28</v>
      </c>
      <c r="J322">
        <v>1.17</v>
      </c>
      <c r="K322">
        <v>5.5395554999999996</v>
      </c>
      <c r="L322">
        <v>-1.640666756394769</v>
      </c>
      <c r="M322">
        <v>1.8175281382636661</v>
      </c>
      <c r="N322">
        <v>-1.0639196104599471</v>
      </c>
      <c r="O322">
        <v>-0.6481063805511158</v>
      </c>
    </row>
    <row r="323" spans="1:15" x14ac:dyDescent="0.25">
      <c r="A323">
        <v>-10.54237425</v>
      </c>
      <c r="B323">
        <v>13.9972905</v>
      </c>
      <c r="C323">
        <v>13.008383</v>
      </c>
      <c r="D323">
        <v>-10.53332925</v>
      </c>
      <c r="E323">
        <v>2.2799752500000001</v>
      </c>
      <c r="F323">
        <v>0.14620649999999999</v>
      </c>
      <c r="G323">
        <v>18.407301499999999</v>
      </c>
      <c r="H323">
        <v>28</v>
      </c>
      <c r="I323">
        <v>32</v>
      </c>
      <c r="J323">
        <v>1.17</v>
      </c>
      <c r="K323">
        <v>5.5870790000000001</v>
      </c>
      <c r="L323">
        <v>-1.837348632122549</v>
      </c>
      <c r="M323">
        <v>1.913806675752046</v>
      </c>
      <c r="N323">
        <v>-1.258212533333563</v>
      </c>
      <c r="O323">
        <v>-0.83352900944905728</v>
      </c>
    </row>
    <row r="324" spans="1:15" x14ac:dyDescent="0.25">
      <c r="A324">
        <v>-13.156294750000001</v>
      </c>
      <c r="B324">
        <v>12.987177000000001</v>
      </c>
      <c r="C324">
        <v>13.277642</v>
      </c>
      <c r="D324">
        <v>-13.199441500000001</v>
      </c>
      <c r="E324">
        <v>-0.35680600000000001</v>
      </c>
      <c r="F324">
        <v>0.194933</v>
      </c>
      <c r="G324">
        <v>18.846379500000001</v>
      </c>
      <c r="H324">
        <v>28</v>
      </c>
      <c r="I324">
        <v>36</v>
      </c>
      <c r="J324">
        <v>1.17</v>
      </c>
      <c r="K324">
        <v>5.6464777499999999</v>
      </c>
      <c r="L324">
        <v>-2.0617848976230402</v>
      </c>
      <c r="M324">
        <v>2.0425966106634199</v>
      </c>
      <c r="N324">
        <v>-1.4979061306052921</v>
      </c>
      <c r="O324">
        <v>-1.0430363925514949</v>
      </c>
    </row>
    <row r="325" spans="1:15" x14ac:dyDescent="0.25">
      <c r="A325">
        <v>13.315817750000001</v>
      </c>
      <c r="B325">
        <v>13.179579499999999</v>
      </c>
      <c r="C325">
        <v>-14.342753</v>
      </c>
      <c r="D325">
        <v>-14.7291785</v>
      </c>
      <c r="E325">
        <v>-1.2934235000000001</v>
      </c>
      <c r="F325">
        <v>0.194933</v>
      </c>
      <c r="G325">
        <v>19.209869000000001</v>
      </c>
      <c r="H325">
        <v>32</v>
      </c>
      <c r="I325">
        <v>-36</v>
      </c>
      <c r="J325">
        <v>1.17</v>
      </c>
      <c r="K325">
        <v>5.7012419999999997</v>
      </c>
      <c r="L325">
        <v>2.0887119782203829</v>
      </c>
      <c r="M325">
        <v>2.1075521910139661</v>
      </c>
      <c r="N325">
        <v>-1.548403489765747</v>
      </c>
      <c r="O325">
        <v>-1.112363982780999</v>
      </c>
    </row>
    <row r="326" spans="1:15" x14ac:dyDescent="0.25">
      <c r="A326">
        <v>13.541511</v>
      </c>
      <c r="B326">
        <v>14.67069875</v>
      </c>
      <c r="C326">
        <v>-12.313119</v>
      </c>
      <c r="D326">
        <v>-12.762375</v>
      </c>
      <c r="E326">
        <v>0.89412000000000003</v>
      </c>
      <c r="F326">
        <v>0.194933</v>
      </c>
      <c r="G326">
        <v>19.4099735</v>
      </c>
      <c r="H326">
        <v>32</v>
      </c>
      <c r="I326">
        <v>-32</v>
      </c>
      <c r="J326">
        <v>1.17</v>
      </c>
      <c r="K326">
        <v>5.7311532500000002</v>
      </c>
      <c r="L326">
        <v>1.9248717616716029</v>
      </c>
      <c r="M326">
        <v>2.0424104450544398</v>
      </c>
      <c r="N326">
        <v>-1.378518453767372</v>
      </c>
      <c r="O326">
        <v>-0.9479452191527169</v>
      </c>
    </row>
    <row r="327" spans="1:15" x14ac:dyDescent="0.25">
      <c r="A327">
        <v>13.541511</v>
      </c>
      <c r="B327">
        <v>16.354220999999999</v>
      </c>
      <c r="C327">
        <v>-9.8775569999999995</v>
      </c>
      <c r="D327">
        <v>-10.53332925</v>
      </c>
      <c r="E327">
        <v>3.3081895000000001</v>
      </c>
      <c r="F327">
        <v>0.194933</v>
      </c>
      <c r="G327">
        <v>19.887884</v>
      </c>
      <c r="H327">
        <v>32</v>
      </c>
      <c r="I327">
        <v>-28</v>
      </c>
      <c r="J327">
        <v>1.17</v>
      </c>
      <c r="K327">
        <v>5.8019645000000004</v>
      </c>
      <c r="L327">
        <v>1.7330337396623889</v>
      </c>
      <c r="M327">
        <v>1.989704973222242</v>
      </c>
      <c r="N327">
        <v>-1.2269546608166351</v>
      </c>
      <c r="O327">
        <v>-0.76963804057306506</v>
      </c>
    </row>
    <row r="328" spans="1:15" x14ac:dyDescent="0.25">
      <c r="A328">
        <v>12.548463999999999</v>
      </c>
      <c r="B328">
        <v>16.739027</v>
      </c>
      <c r="C328">
        <v>-7.1713767500000003</v>
      </c>
      <c r="D328">
        <v>-8.5228184999999996</v>
      </c>
      <c r="E328">
        <v>4.8728647499999997</v>
      </c>
      <c r="F328">
        <v>0.194933</v>
      </c>
      <c r="G328">
        <v>19.088687749999998</v>
      </c>
      <c r="H328">
        <v>32</v>
      </c>
      <c r="I328">
        <v>-24</v>
      </c>
      <c r="J328">
        <v>1.1675</v>
      </c>
      <c r="K328">
        <v>5.6891417500000001</v>
      </c>
      <c r="L328">
        <v>1.5503069521358499</v>
      </c>
      <c r="M328">
        <v>1.986000263867495</v>
      </c>
      <c r="N328">
        <v>-1.11759977610313</v>
      </c>
      <c r="O328">
        <v>-0.63223723008967103</v>
      </c>
    </row>
    <row r="329" spans="1:15" x14ac:dyDescent="0.25">
      <c r="A329">
        <v>11.555418</v>
      </c>
      <c r="B329">
        <v>17.123830999999999</v>
      </c>
      <c r="C329">
        <v>-4.9162270000000001</v>
      </c>
      <c r="D329">
        <v>-7.0804960000000001</v>
      </c>
      <c r="E329">
        <v>6.3481290000000001</v>
      </c>
      <c r="F329">
        <v>0.194933</v>
      </c>
      <c r="G329">
        <v>18.647396000000001</v>
      </c>
      <c r="H329">
        <v>32</v>
      </c>
      <c r="I329">
        <v>-20</v>
      </c>
      <c r="J329">
        <v>1.17</v>
      </c>
      <c r="K329">
        <v>5.6162740000000007</v>
      </c>
      <c r="L329">
        <v>1.3342085863719211</v>
      </c>
      <c r="M329">
        <v>1.960607070716148</v>
      </c>
      <c r="N329">
        <v>-0.996411181984734</v>
      </c>
      <c r="O329">
        <v>-0.50163267678757895</v>
      </c>
    </row>
    <row r="330" spans="1:15" x14ac:dyDescent="0.25">
      <c r="A330">
        <v>10.5172335</v>
      </c>
      <c r="B330">
        <v>17.36433375</v>
      </c>
      <c r="C330">
        <v>-2.796386</v>
      </c>
      <c r="D330">
        <v>-6.1626539999999999</v>
      </c>
      <c r="E330">
        <v>7.3763447500000003</v>
      </c>
      <c r="F330">
        <v>0.194933</v>
      </c>
      <c r="G330">
        <v>18.249378</v>
      </c>
      <c r="H330">
        <v>32</v>
      </c>
      <c r="I330">
        <v>-16</v>
      </c>
      <c r="J330">
        <v>1.1675</v>
      </c>
      <c r="K330">
        <v>5.5613584999999999</v>
      </c>
      <c r="L330">
        <v>1.123021687995261</v>
      </c>
      <c r="M330">
        <v>1.984512718574525</v>
      </c>
      <c r="N330">
        <v>-0.91715870110564945</v>
      </c>
      <c r="O330">
        <v>-0.39427131171233148</v>
      </c>
    </row>
    <row r="331" spans="1:15" x14ac:dyDescent="0.25">
      <c r="A331">
        <v>9.2082189999999997</v>
      </c>
      <c r="B331">
        <v>17.123830999999999</v>
      </c>
      <c r="C331">
        <v>-0.72169525000000001</v>
      </c>
      <c r="D331">
        <v>-5.3322250000000002</v>
      </c>
      <c r="E331">
        <v>8.0469192500000002</v>
      </c>
      <c r="F331">
        <v>9.7479999999999997E-2</v>
      </c>
      <c r="G331">
        <v>17.768085750000001</v>
      </c>
      <c r="H331">
        <v>32</v>
      </c>
      <c r="I331">
        <v>-12</v>
      </c>
      <c r="J331">
        <v>1.1675</v>
      </c>
      <c r="K331">
        <v>5.5018905</v>
      </c>
      <c r="L331">
        <v>0.89677072794739932</v>
      </c>
      <c r="M331">
        <v>2.0280392558247011</v>
      </c>
      <c r="N331">
        <v>-0.87798649954296604</v>
      </c>
      <c r="O331">
        <v>-0.28225557740598711</v>
      </c>
    </row>
    <row r="332" spans="1:15" x14ac:dyDescent="0.25">
      <c r="A332">
        <v>7.7637879999999999</v>
      </c>
      <c r="B332">
        <v>16.931426999999999</v>
      </c>
      <c r="C332">
        <v>0.90347200000000005</v>
      </c>
      <c r="D332">
        <v>-5.11369075</v>
      </c>
      <c r="E332">
        <v>8.4045590000000008</v>
      </c>
      <c r="F332">
        <v>0.14620649999999999</v>
      </c>
      <c r="G332">
        <v>17.448967</v>
      </c>
      <c r="H332">
        <v>32</v>
      </c>
      <c r="I332">
        <v>-8</v>
      </c>
      <c r="J332">
        <v>1.17</v>
      </c>
      <c r="K332">
        <v>5.4384920000000001</v>
      </c>
      <c r="L332">
        <v>0.65277079869429799</v>
      </c>
      <c r="M332">
        <v>2.097604816258527</v>
      </c>
      <c r="N332">
        <v>-0.8605908873406265</v>
      </c>
      <c r="O332">
        <v>-0.21419403682298629</v>
      </c>
    </row>
    <row r="333" spans="1:15" x14ac:dyDescent="0.25">
      <c r="A333">
        <v>6.1388040000000004</v>
      </c>
      <c r="B333">
        <v>16.642824999999998</v>
      </c>
      <c r="C333">
        <v>2.3038650000000001</v>
      </c>
      <c r="D333">
        <v>-4.7203302499999999</v>
      </c>
      <c r="E333">
        <v>8.4939685000000011</v>
      </c>
      <c r="F333">
        <v>4.8753499999999998E-2</v>
      </c>
      <c r="G333">
        <v>17.007741249999999</v>
      </c>
      <c r="H333">
        <v>32</v>
      </c>
      <c r="I333">
        <v>-4</v>
      </c>
      <c r="J333">
        <v>1.1675</v>
      </c>
      <c r="K333">
        <v>5.3899654999999997</v>
      </c>
      <c r="L333">
        <v>0.39525615646857332</v>
      </c>
      <c r="M333">
        <v>2.201907456304073</v>
      </c>
      <c r="N333">
        <v>-0.87762930372117842</v>
      </c>
      <c r="O333">
        <v>-0.1294939068086193</v>
      </c>
    </row>
    <row r="334" spans="1:15" x14ac:dyDescent="0.25">
      <c r="A334">
        <v>4.6040964999999998</v>
      </c>
      <c r="B334">
        <v>16.979527999999998</v>
      </c>
      <c r="C334">
        <v>3.8392750000000002</v>
      </c>
      <c r="D334">
        <v>-4.9388645000000002</v>
      </c>
      <c r="E334">
        <v>8.6280830000000002</v>
      </c>
      <c r="F334">
        <v>0.14620649999999999</v>
      </c>
      <c r="G334">
        <v>17.405891</v>
      </c>
      <c r="H334">
        <v>32</v>
      </c>
      <c r="I334">
        <v>0</v>
      </c>
      <c r="J334">
        <v>1.17</v>
      </c>
      <c r="K334">
        <v>5.4316990000000001</v>
      </c>
      <c r="L334">
        <v>8.3405923672419863E-2</v>
      </c>
      <c r="M334">
        <v>2.3882339613526509</v>
      </c>
      <c r="N334">
        <v>-0.95643429899198551</v>
      </c>
      <c r="O334">
        <v>-7.5862207752224728E-2</v>
      </c>
    </row>
    <row r="335" spans="1:15" x14ac:dyDescent="0.25">
      <c r="A335">
        <v>2.8888349999999998</v>
      </c>
      <c r="B335">
        <v>17.46053525</v>
      </c>
      <c r="C335">
        <v>5.4201505000000001</v>
      </c>
      <c r="D335">
        <v>-5.2885179999999998</v>
      </c>
      <c r="E335">
        <v>8.7621979999999997</v>
      </c>
      <c r="F335">
        <v>4.8753499999999998E-2</v>
      </c>
      <c r="G335">
        <v>17.7670575</v>
      </c>
      <c r="H335">
        <v>32</v>
      </c>
      <c r="I335">
        <v>4</v>
      </c>
      <c r="J335">
        <v>1.17</v>
      </c>
      <c r="K335">
        <v>5.5034112500000001</v>
      </c>
      <c r="L335">
        <v>-0.25409992139962662</v>
      </c>
      <c r="M335">
        <v>2.2835674158404529</v>
      </c>
      <c r="N335">
        <v>-0.9039298028219801</v>
      </c>
      <c r="O335">
        <v>-0.12529065761659</v>
      </c>
    </row>
    <row r="336" spans="1:15" x14ac:dyDescent="0.25">
      <c r="A336">
        <v>1.1284345</v>
      </c>
      <c r="B336">
        <v>17.701038</v>
      </c>
      <c r="C336">
        <v>6.8659820000000007</v>
      </c>
      <c r="D336">
        <v>-5.6381714999999986</v>
      </c>
      <c r="E336">
        <v>8.4939685000000011</v>
      </c>
      <c r="F336">
        <v>0.194933</v>
      </c>
      <c r="G336">
        <v>17.927111750000002</v>
      </c>
      <c r="H336">
        <v>32</v>
      </c>
      <c r="I336">
        <v>8</v>
      </c>
      <c r="J336">
        <v>1.17</v>
      </c>
      <c r="K336">
        <v>5.5055532500000002</v>
      </c>
      <c r="L336">
        <v>-0.5337342389804649</v>
      </c>
      <c r="M336">
        <v>2.1715181355093351</v>
      </c>
      <c r="N336">
        <v>-0.87775593390806494</v>
      </c>
      <c r="O336">
        <v>-0.22786756677481071</v>
      </c>
    </row>
    <row r="337" spans="1:15" x14ac:dyDescent="0.25">
      <c r="A337">
        <v>-0.99109750000000008</v>
      </c>
      <c r="B337">
        <v>17.893439999999998</v>
      </c>
      <c r="C337">
        <v>8.2668292500000007</v>
      </c>
      <c r="D337">
        <v>-6.0315335000000001</v>
      </c>
      <c r="E337">
        <v>8.0469190000000008</v>
      </c>
      <c r="F337">
        <v>0.14620649999999999</v>
      </c>
      <c r="G337">
        <v>18.208291750000001</v>
      </c>
      <c r="H337">
        <v>32</v>
      </c>
      <c r="I337">
        <v>12</v>
      </c>
      <c r="J337">
        <v>1.17</v>
      </c>
      <c r="K337">
        <v>5.5565265000000004</v>
      </c>
      <c r="L337">
        <v>-0.80099840740597794</v>
      </c>
      <c r="M337">
        <v>2.0700145082915848</v>
      </c>
      <c r="N337">
        <v>-0.87922350082484857</v>
      </c>
      <c r="O337">
        <v>-0.31637025756845072</v>
      </c>
    </row>
    <row r="338" spans="1:15" x14ac:dyDescent="0.25">
      <c r="A338">
        <v>-3.1987619999999999</v>
      </c>
      <c r="B338">
        <v>17.893439999999998</v>
      </c>
      <c r="C338">
        <v>9.5310682500000006</v>
      </c>
      <c r="D338">
        <v>-6.6434280000000001</v>
      </c>
      <c r="E338">
        <v>7.1975250000000006</v>
      </c>
      <c r="F338">
        <v>0.194933</v>
      </c>
      <c r="G338">
        <v>18.647396000000001</v>
      </c>
      <c r="H338">
        <v>32</v>
      </c>
      <c r="I338">
        <v>16</v>
      </c>
      <c r="J338">
        <v>1.17</v>
      </c>
      <c r="K338">
        <v>5.6162740000000007</v>
      </c>
      <c r="L338">
        <v>-1.0504595264957099</v>
      </c>
      <c r="M338">
        <v>2.024744683002452</v>
      </c>
      <c r="N338">
        <v>-0.94485752830724334</v>
      </c>
      <c r="O338">
        <v>-0.42217694517810639</v>
      </c>
    </row>
    <row r="339" spans="1:15" x14ac:dyDescent="0.25">
      <c r="A339">
        <v>-5.6770315</v>
      </c>
      <c r="B339">
        <v>17.5567365</v>
      </c>
      <c r="C339">
        <v>10.480354</v>
      </c>
      <c r="D339">
        <v>-7.5175619999999999</v>
      </c>
      <c r="E339">
        <v>6.0351949999999999</v>
      </c>
      <c r="F339">
        <v>0.194933</v>
      </c>
      <c r="G339">
        <v>18.88749275</v>
      </c>
      <c r="H339">
        <v>32</v>
      </c>
      <c r="I339">
        <v>20</v>
      </c>
      <c r="J339">
        <v>1.17</v>
      </c>
      <c r="K339">
        <v>5.6526817500000002</v>
      </c>
      <c r="L339">
        <v>-1.279015258879507</v>
      </c>
      <c r="M339">
        <v>1.984905228385563</v>
      </c>
      <c r="N339">
        <v>-1.0173780276457991</v>
      </c>
      <c r="O339">
        <v>-0.53764339003588613</v>
      </c>
    </row>
    <row r="340" spans="1:15" x14ac:dyDescent="0.25">
      <c r="A340">
        <v>-8.335324</v>
      </c>
      <c r="B340">
        <v>17.123830999999999</v>
      </c>
      <c r="C340">
        <v>11.157224749999999</v>
      </c>
      <c r="D340">
        <v>-9.1784189999999999</v>
      </c>
      <c r="E340">
        <v>4.2469950000000001</v>
      </c>
      <c r="F340">
        <v>0.14620649999999999</v>
      </c>
      <c r="G340">
        <v>19.128708</v>
      </c>
      <c r="H340">
        <v>32</v>
      </c>
      <c r="I340">
        <v>24</v>
      </c>
      <c r="J340">
        <v>1.17</v>
      </c>
      <c r="K340">
        <v>5.6963367500000004</v>
      </c>
      <c r="L340">
        <v>-1.4989932331240321</v>
      </c>
      <c r="M340">
        <v>2.0226317175515232</v>
      </c>
      <c r="N340">
        <v>-1.144409156740348</v>
      </c>
      <c r="O340">
        <v>-0.68462273590838452</v>
      </c>
    </row>
    <row r="341" spans="1:15" x14ac:dyDescent="0.25">
      <c r="A341">
        <v>-10.90278625</v>
      </c>
      <c r="B341">
        <v>16.546623</v>
      </c>
      <c r="C341">
        <v>11.790398</v>
      </c>
      <c r="D341">
        <v>-10.970396750000001</v>
      </c>
      <c r="E341">
        <v>2.4587957500000002</v>
      </c>
      <c r="F341">
        <v>0.194933</v>
      </c>
      <c r="G341">
        <v>19.528895250000001</v>
      </c>
      <c r="H341">
        <v>32</v>
      </c>
      <c r="I341">
        <v>28</v>
      </c>
      <c r="J341">
        <v>1.1675</v>
      </c>
      <c r="K341">
        <v>5.7550522500000003</v>
      </c>
      <c r="L341">
        <v>-1.6941609695148301</v>
      </c>
      <c r="M341">
        <v>2.0542613827276268</v>
      </c>
      <c r="N341">
        <v>-1.274381473394095</v>
      </c>
      <c r="O341">
        <v>-0.8310084404150655</v>
      </c>
    </row>
    <row r="342" spans="1:15" x14ac:dyDescent="0.25">
      <c r="A342">
        <v>-13.46992925</v>
      </c>
      <c r="B342">
        <v>15.58461</v>
      </c>
      <c r="C342">
        <v>12.05985875</v>
      </c>
      <c r="D342">
        <v>-13.374268000000001</v>
      </c>
      <c r="E342">
        <v>8.9430000000000009E-2</v>
      </c>
      <c r="F342">
        <v>0.194933</v>
      </c>
      <c r="G342">
        <v>19.728979249999998</v>
      </c>
      <c r="H342">
        <v>32</v>
      </c>
      <c r="I342">
        <v>32</v>
      </c>
      <c r="J342">
        <v>1.165</v>
      </c>
      <c r="K342">
        <v>5.7909467499999998</v>
      </c>
      <c r="L342">
        <v>-1.8895096854652571</v>
      </c>
      <c r="M342">
        <v>2.1433014754755031</v>
      </c>
      <c r="N342">
        <v>-1.45354943374759</v>
      </c>
      <c r="O342">
        <v>-1.007819752813955</v>
      </c>
    </row>
    <row r="343" spans="1:15" x14ac:dyDescent="0.25">
      <c r="A343">
        <v>-15.4090855</v>
      </c>
      <c r="B343">
        <v>14.045391</v>
      </c>
      <c r="C343">
        <v>11.923556</v>
      </c>
      <c r="D343">
        <v>-15.29736625</v>
      </c>
      <c r="E343">
        <v>-2.2746407500000001</v>
      </c>
      <c r="F343">
        <v>0.194933</v>
      </c>
      <c r="G343">
        <v>19.4477145</v>
      </c>
      <c r="H343">
        <v>32</v>
      </c>
      <c r="I343">
        <v>36</v>
      </c>
      <c r="J343">
        <v>1.17</v>
      </c>
      <c r="K343">
        <v>5.7367765000000004</v>
      </c>
      <c r="L343">
        <v>-2.0899969338714302</v>
      </c>
      <c r="M343">
        <v>2.2436111025796301</v>
      </c>
      <c r="N343">
        <v>-1.6609929353911179</v>
      </c>
      <c r="O343">
        <v>-1.188825590229186</v>
      </c>
    </row>
    <row r="344" spans="1:15" x14ac:dyDescent="0.25">
      <c r="A344">
        <v>11.19431</v>
      </c>
      <c r="B344">
        <v>13.035277499999999</v>
      </c>
      <c r="C344">
        <v>-15.380121750000001</v>
      </c>
      <c r="D344">
        <v>-15.384779</v>
      </c>
      <c r="E344">
        <v>-3.300459</v>
      </c>
      <c r="F344">
        <v>0.194933</v>
      </c>
      <c r="G344">
        <v>18.568448499999999</v>
      </c>
      <c r="H344">
        <v>36</v>
      </c>
      <c r="I344">
        <v>-36</v>
      </c>
      <c r="J344">
        <v>1.17</v>
      </c>
      <c r="K344">
        <v>5.6042332500000001</v>
      </c>
      <c r="L344">
        <v>2.199596638956463</v>
      </c>
      <c r="M344">
        <v>2.3523472010546769</v>
      </c>
      <c r="N344">
        <v>-1.810126738963298</v>
      </c>
      <c r="O344">
        <v>-1.289357585684977</v>
      </c>
    </row>
    <row r="345" spans="1:15" x14ac:dyDescent="0.25">
      <c r="A345">
        <v>10.923479499999999</v>
      </c>
      <c r="B345">
        <v>14.045391</v>
      </c>
      <c r="C345">
        <v>-13.034765999999999</v>
      </c>
      <c r="D345">
        <v>-13.33056075</v>
      </c>
      <c r="E345">
        <v>-1.29342275</v>
      </c>
      <c r="F345">
        <v>0.194933</v>
      </c>
      <c r="G345">
        <v>18.247237500000001</v>
      </c>
      <c r="H345">
        <v>36</v>
      </c>
      <c r="I345">
        <v>-32</v>
      </c>
      <c r="J345">
        <v>1.17</v>
      </c>
      <c r="K345">
        <v>5.5550290000000002</v>
      </c>
      <c r="L345">
        <v>2.0151202286859271</v>
      </c>
      <c r="M345">
        <v>2.302582698357722</v>
      </c>
      <c r="N345">
        <v>-1.6435587840508481</v>
      </c>
      <c r="O345">
        <v>-1.125185778592463</v>
      </c>
    </row>
    <row r="346" spans="1:15" x14ac:dyDescent="0.25">
      <c r="A346">
        <v>10.472094999999999</v>
      </c>
      <c r="B346">
        <v>14.95930325</v>
      </c>
      <c r="C346">
        <v>-10.689410000000001</v>
      </c>
      <c r="D346">
        <v>-11.276343000000001</v>
      </c>
      <c r="E346">
        <v>0.53647975000000003</v>
      </c>
      <c r="F346">
        <v>0.194933</v>
      </c>
      <c r="G346">
        <v>17.927111750000002</v>
      </c>
      <c r="H346">
        <v>36</v>
      </c>
      <c r="I346">
        <v>-28</v>
      </c>
      <c r="J346">
        <v>1.17</v>
      </c>
      <c r="K346">
        <v>5.5055532500000002</v>
      </c>
      <c r="L346">
        <v>1.837107290931782</v>
      </c>
      <c r="M346">
        <v>2.2776477047478281</v>
      </c>
      <c r="N346">
        <v>-1.5098339714514</v>
      </c>
      <c r="O346">
        <v>-0.9703798156100536</v>
      </c>
    </row>
    <row r="347" spans="1:15" x14ac:dyDescent="0.25">
      <c r="A347">
        <v>9.79501825</v>
      </c>
      <c r="B347">
        <v>15.392208</v>
      </c>
      <c r="C347">
        <v>-8.2989510000000006</v>
      </c>
      <c r="D347">
        <v>-9.48436725</v>
      </c>
      <c r="E347">
        <v>2.1011555</v>
      </c>
      <c r="F347">
        <v>0.194933</v>
      </c>
      <c r="G347">
        <v>17.569028500000002</v>
      </c>
      <c r="H347">
        <v>36</v>
      </c>
      <c r="I347">
        <v>-24</v>
      </c>
      <c r="J347">
        <v>1.17</v>
      </c>
      <c r="K347">
        <v>5.4496962500000006</v>
      </c>
      <c r="L347">
        <v>1.6459943341252199</v>
      </c>
      <c r="M347">
        <v>2.263039420457039</v>
      </c>
      <c r="N347">
        <v>-1.4071407938551219</v>
      </c>
      <c r="O347">
        <v>-0.82661698509192871</v>
      </c>
    </row>
    <row r="348" spans="1:15" x14ac:dyDescent="0.25">
      <c r="A348">
        <v>9.3887730000000005</v>
      </c>
      <c r="B348">
        <v>16.354220999999999</v>
      </c>
      <c r="C348">
        <v>-6.4948319999999997</v>
      </c>
      <c r="D348">
        <v>-8.697645249999999</v>
      </c>
      <c r="E348">
        <v>3.4423050000000002</v>
      </c>
      <c r="F348">
        <v>0.194933</v>
      </c>
      <c r="G348">
        <v>17.769133</v>
      </c>
      <c r="H348">
        <v>36</v>
      </c>
      <c r="I348">
        <v>-20</v>
      </c>
      <c r="J348">
        <v>1.17</v>
      </c>
      <c r="K348">
        <v>5.481001</v>
      </c>
      <c r="L348">
        <v>1.439032319629036</v>
      </c>
      <c r="M348">
        <v>2.2696242733501979</v>
      </c>
      <c r="N348">
        <v>-1.2980472440319839</v>
      </c>
      <c r="O348">
        <v>-0.70584939023087212</v>
      </c>
    </row>
    <row r="349" spans="1:15" x14ac:dyDescent="0.25">
      <c r="A349">
        <v>8.756833499999999</v>
      </c>
      <c r="B349">
        <v>17.4124345</v>
      </c>
      <c r="C349">
        <v>-4.9162270000000001</v>
      </c>
      <c r="D349">
        <v>-8.3479919999999996</v>
      </c>
      <c r="E349">
        <v>4.4705190000000004</v>
      </c>
      <c r="F349">
        <v>9.7479999999999997E-2</v>
      </c>
      <c r="G349">
        <v>18.207226500000001</v>
      </c>
      <c r="H349">
        <v>36</v>
      </c>
      <c r="I349">
        <v>-16</v>
      </c>
      <c r="J349">
        <v>1.1675</v>
      </c>
      <c r="K349">
        <v>5.5698462500000003</v>
      </c>
      <c r="L349">
        <v>1.2315549261145791</v>
      </c>
      <c r="M349">
        <v>2.3202179242770931</v>
      </c>
      <c r="N349">
        <v>-1.2372877102900339</v>
      </c>
      <c r="O349">
        <v>-0.60607808845592637</v>
      </c>
    </row>
    <row r="350" spans="1:15" x14ac:dyDescent="0.25">
      <c r="A350">
        <v>7.8089265000000001</v>
      </c>
      <c r="B350">
        <v>18.085842</v>
      </c>
      <c r="C350">
        <v>-2.6161509999999999</v>
      </c>
      <c r="D350">
        <v>-7.7798024999999997</v>
      </c>
      <c r="E350">
        <v>5.5881439999999998</v>
      </c>
      <c r="F350">
        <v>0.14620649999999999</v>
      </c>
      <c r="G350">
        <v>18.448396750000001</v>
      </c>
      <c r="H350">
        <v>36</v>
      </c>
      <c r="I350">
        <v>-12</v>
      </c>
      <c r="J350">
        <v>1.1675</v>
      </c>
      <c r="K350">
        <v>5.5993227499999998</v>
      </c>
      <c r="L350">
        <v>0.96655566360371814</v>
      </c>
      <c r="M350">
        <v>2.3981186728316</v>
      </c>
      <c r="N350">
        <v>-1.192425211841216</v>
      </c>
      <c r="O350">
        <v>-0.4953540790658964</v>
      </c>
    </row>
    <row r="351" spans="1:15" x14ac:dyDescent="0.25">
      <c r="A351">
        <v>6.5901879999999986</v>
      </c>
      <c r="B351">
        <v>18.663052</v>
      </c>
      <c r="C351">
        <v>-1.037369</v>
      </c>
      <c r="D351">
        <v>-8.0420429999999996</v>
      </c>
      <c r="E351">
        <v>6.0799000000000003</v>
      </c>
      <c r="F351">
        <v>0.194933</v>
      </c>
      <c r="G351">
        <v>18.809666</v>
      </c>
      <c r="H351">
        <v>36</v>
      </c>
      <c r="I351">
        <v>-8</v>
      </c>
      <c r="J351">
        <v>1.1675</v>
      </c>
      <c r="K351">
        <v>5.6469664999999996</v>
      </c>
      <c r="L351">
        <v>0.71830256954601313</v>
      </c>
      <c r="M351">
        <v>2.5148025844095661</v>
      </c>
      <c r="N351">
        <v>-1.198850749313267</v>
      </c>
      <c r="O351">
        <v>-0.44579349490217318</v>
      </c>
    </row>
    <row r="352" spans="1:15" x14ac:dyDescent="0.25">
      <c r="A352">
        <v>5.1908954999999999</v>
      </c>
      <c r="B352">
        <v>19.095956000000001</v>
      </c>
      <c r="C352">
        <v>0.72277599999999997</v>
      </c>
      <c r="D352">
        <v>-8.0420429999999996</v>
      </c>
      <c r="E352">
        <v>6.4375390000000001</v>
      </c>
      <c r="F352">
        <v>0.194933</v>
      </c>
      <c r="G352">
        <v>19.128708</v>
      </c>
      <c r="H352">
        <v>36</v>
      </c>
      <c r="I352">
        <v>-4</v>
      </c>
      <c r="J352">
        <v>1.17</v>
      </c>
      <c r="K352">
        <v>5.6890494999999994</v>
      </c>
      <c r="L352">
        <v>0.44251195074660771</v>
      </c>
      <c r="M352">
        <v>2.687683012249221</v>
      </c>
      <c r="N352">
        <v>-1.256903256827592</v>
      </c>
      <c r="O352">
        <v>-0.38174711781936982</v>
      </c>
    </row>
    <row r="353" spans="1:15" x14ac:dyDescent="0.25">
      <c r="A353">
        <v>3.3402189999999998</v>
      </c>
      <c r="B353">
        <v>19.48076</v>
      </c>
      <c r="C353">
        <v>2.3037190000000001</v>
      </c>
      <c r="D353">
        <v>-8.2605779999999989</v>
      </c>
      <c r="E353">
        <v>6.6610645000000002</v>
      </c>
      <c r="F353">
        <v>0.194933</v>
      </c>
      <c r="G353">
        <v>19.52660625</v>
      </c>
      <c r="H353">
        <v>36</v>
      </c>
      <c r="I353">
        <v>0</v>
      </c>
      <c r="J353">
        <v>1.17</v>
      </c>
      <c r="K353">
        <v>5.7485059999999999</v>
      </c>
      <c r="L353">
        <v>0.1074920853976712</v>
      </c>
      <c r="M353">
        <v>2.878041982487209</v>
      </c>
      <c r="N353">
        <v>-1.3347516802426049</v>
      </c>
      <c r="O353">
        <v>-0.3291899005147837</v>
      </c>
    </row>
    <row r="354" spans="1:15" x14ac:dyDescent="0.25">
      <c r="A354">
        <v>1.3089887499999999</v>
      </c>
      <c r="B354">
        <v>19.817467000000001</v>
      </c>
      <c r="C354">
        <v>4.0202115000000003</v>
      </c>
      <c r="D354">
        <v>-8.7413524999999996</v>
      </c>
      <c r="E354">
        <v>6.4822442499999999</v>
      </c>
      <c r="F354">
        <v>0.14620649999999999</v>
      </c>
      <c r="G354">
        <v>19.84671475</v>
      </c>
      <c r="H354">
        <v>36</v>
      </c>
      <c r="I354">
        <v>4</v>
      </c>
      <c r="J354">
        <v>1.17</v>
      </c>
      <c r="K354">
        <v>5.8031015000000004</v>
      </c>
      <c r="L354">
        <v>-0.26585073940331327</v>
      </c>
      <c r="M354">
        <v>2.80031834197827</v>
      </c>
      <c r="N354">
        <v>-1.3104860133879059</v>
      </c>
      <c r="O354">
        <v>-0.37873697925867411</v>
      </c>
    </row>
    <row r="355" spans="1:15" x14ac:dyDescent="0.25">
      <c r="A355">
        <v>-0.72075075</v>
      </c>
      <c r="B355">
        <v>18.951654000000001</v>
      </c>
      <c r="C355">
        <v>5.2853469999999998</v>
      </c>
      <c r="D355">
        <v>-8.5665252499999998</v>
      </c>
      <c r="E355">
        <v>5.8563747500000014</v>
      </c>
      <c r="F355">
        <v>0.194933</v>
      </c>
      <c r="G355">
        <v>19.088687749999998</v>
      </c>
      <c r="H355">
        <v>36</v>
      </c>
      <c r="I355">
        <v>8</v>
      </c>
      <c r="J355">
        <v>1.1675</v>
      </c>
      <c r="K355">
        <v>5.6891669999999994</v>
      </c>
      <c r="L355">
        <v>-0.57202165111563241</v>
      </c>
      <c r="M355">
        <v>2.6208075873800212</v>
      </c>
      <c r="N355">
        <v>-1.260252879261341</v>
      </c>
      <c r="O355">
        <v>-0.46076898089404</v>
      </c>
    </row>
    <row r="356" spans="1:15" x14ac:dyDescent="0.25">
      <c r="A356">
        <v>-2.8385155000000002</v>
      </c>
      <c r="B356">
        <v>18.278245999999999</v>
      </c>
      <c r="C356">
        <v>6.4142659999999996</v>
      </c>
      <c r="D356">
        <v>-8.6539387499999982</v>
      </c>
      <c r="E356">
        <v>5.0963895000000008</v>
      </c>
      <c r="F356">
        <v>0.194933</v>
      </c>
      <c r="G356">
        <v>18.647396000000001</v>
      </c>
      <c r="H356">
        <v>36</v>
      </c>
      <c r="I356">
        <v>12</v>
      </c>
      <c r="J356">
        <v>1.17</v>
      </c>
      <c r="K356">
        <v>5.6162740000000007</v>
      </c>
      <c r="L356">
        <v>-0.85338021391669883</v>
      </c>
      <c r="M356">
        <v>2.4840334217900701</v>
      </c>
      <c r="N356">
        <v>-1.249862904401799</v>
      </c>
      <c r="O356">
        <v>-0.5479266577407389</v>
      </c>
    </row>
    <row r="357" spans="1:15" x14ac:dyDescent="0.25">
      <c r="A357">
        <v>-5.0913057500000001</v>
      </c>
      <c r="B357">
        <v>17.701038</v>
      </c>
      <c r="C357">
        <v>7.2273502499999998</v>
      </c>
      <c r="D357">
        <v>-8.9598870000000002</v>
      </c>
      <c r="E357">
        <v>4.1128799999999996</v>
      </c>
      <c r="F357">
        <v>0.14620649999999999</v>
      </c>
      <c r="G357">
        <v>18.2872585</v>
      </c>
      <c r="H357">
        <v>36</v>
      </c>
      <c r="I357">
        <v>16</v>
      </c>
      <c r="J357">
        <v>1.17</v>
      </c>
      <c r="K357">
        <v>5.5686764999999996</v>
      </c>
      <c r="L357">
        <v>-1.1059600088189689</v>
      </c>
      <c r="M357">
        <v>2.3936547151867771</v>
      </c>
      <c r="N357">
        <v>-1.2725781988997289</v>
      </c>
      <c r="O357">
        <v>-0.64384235067513507</v>
      </c>
    </row>
    <row r="358" spans="1:15" x14ac:dyDescent="0.25">
      <c r="A358">
        <v>-7.0728425000000001</v>
      </c>
      <c r="B358">
        <v>16.594723999999999</v>
      </c>
      <c r="C358">
        <v>7.81457625</v>
      </c>
      <c r="D358">
        <v>-9.2658330000000007</v>
      </c>
      <c r="E358">
        <v>2.9058449999999998</v>
      </c>
      <c r="F358">
        <v>9.7479999999999997E-2</v>
      </c>
      <c r="G358">
        <v>17.847080500000001</v>
      </c>
      <c r="H358">
        <v>36</v>
      </c>
      <c r="I358">
        <v>20</v>
      </c>
      <c r="J358">
        <v>1.1675</v>
      </c>
      <c r="K358">
        <v>5.5141695000000004</v>
      </c>
      <c r="L358">
        <v>-1.3442241353863</v>
      </c>
      <c r="M358">
        <v>2.3350663838440102</v>
      </c>
      <c r="N358">
        <v>-1.349094819992716</v>
      </c>
      <c r="O358">
        <v>-0.74640916600259888</v>
      </c>
    </row>
    <row r="359" spans="1:15" x14ac:dyDescent="0.25">
      <c r="A359">
        <v>-9.1012725000000003</v>
      </c>
      <c r="B359">
        <v>15.58461</v>
      </c>
      <c r="C359">
        <v>8.2211067500000006</v>
      </c>
      <c r="D359">
        <v>-10.096261500000001</v>
      </c>
      <c r="E359">
        <v>1.43058</v>
      </c>
      <c r="F359">
        <v>0.194933</v>
      </c>
      <c r="G359">
        <v>17.60595575</v>
      </c>
      <c r="H359">
        <v>36</v>
      </c>
      <c r="I359">
        <v>24</v>
      </c>
      <c r="J359">
        <v>1.17</v>
      </c>
      <c r="K359">
        <v>5.4554675000000001</v>
      </c>
      <c r="L359">
        <v>-1.570741282910177</v>
      </c>
      <c r="M359">
        <v>2.3285301122485431</v>
      </c>
      <c r="N359">
        <v>-1.466761617143862</v>
      </c>
      <c r="O359">
        <v>-0.88795522393073323</v>
      </c>
    </row>
    <row r="360" spans="1:15" x14ac:dyDescent="0.25">
      <c r="A360">
        <v>-10.81339275</v>
      </c>
      <c r="B360">
        <v>14.57449725</v>
      </c>
      <c r="C360">
        <v>8.4469692500000004</v>
      </c>
      <c r="D360">
        <v>-11.05780925</v>
      </c>
      <c r="E360">
        <v>-8.9190999999999993E-2</v>
      </c>
      <c r="F360">
        <v>9.7479999999999997E-2</v>
      </c>
      <c r="G360">
        <v>17.206824999999998</v>
      </c>
      <c r="H360">
        <v>36</v>
      </c>
      <c r="I360">
        <v>28</v>
      </c>
      <c r="J360">
        <v>1.17</v>
      </c>
      <c r="K360">
        <v>5.4079549999999994</v>
      </c>
      <c r="L360">
        <v>-1.775741567238861</v>
      </c>
      <c r="M360">
        <v>2.3632488165193819</v>
      </c>
      <c r="N360">
        <v>-1.594732084519386</v>
      </c>
      <c r="O360">
        <v>-1.0171392502128831</v>
      </c>
    </row>
    <row r="361" spans="1:15" x14ac:dyDescent="0.25">
      <c r="A361">
        <v>-12.615625</v>
      </c>
      <c r="B361">
        <v>13.3719825</v>
      </c>
      <c r="C361">
        <v>8.5373052499999993</v>
      </c>
      <c r="D361">
        <v>-12.5001335</v>
      </c>
      <c r="E361">
        <v>-1.8732329999999999</v>
      </c>
      <c r="F361">
        <v>0.194933</v>
      </c>
      <c r="G361">
        <v>17.006750499999999</v>
      </c>
      <c r="H361">
        <v>36</v>
      </c>
      <c r="I361">
        <v>32</v>
      </c>
      <c r="J361">
        <v>1.17</v>
      </c>
      <c r="K361">
        <v>5.3607864999999997</v>
      </c>
      <c r="L361">
        <v>-1.979763744542602</v>
      </c>
      <c r="M361">
        <v>2.4214654800436728</v>
      </c>
      <c r="N361">
        <v>-1.767152825649781</v>
      </c>
      <c r="O361">
        <v>-1.193547013344924</v>
      </c>
    </row>
    <row r="362" spans="1:15" x14ac:dyDescent="0.25">
      <c r="A362">
        <v>-14.91249275</v>
      </c>
      <c r="B362">
        <v>12.794774500000001</v>
      </c>
      <c r="C362">
        <v>8.8540910000000004</v>
      </c>
      <c r="D362">
        <v>-14.641764500000001</v>
      </c>
      <c r="E362">
        <v>-3.7910672500000002</v>
      </c>
      <c r="F362">
        <v>0.14620649999999999</v>
      </c>
      <c r="G362">
        <v>17.526952000000001</v>
      </c>
      <c r="H362">
        <v>36</v>
      </c>
      <c r="I362">
        <v>36</v>
      </c>
      <c r="J362">
        <v>1.17</v>
      </c>
      <c r="K362">
        <v>5.4507374999999998</v>
      </c>
      <c r="L362">
        <v>-2.16344801829747</v>
      </c>
      <c r="M362">
        <v>2.4975261262629171</v>
      </c>
      <c r="N362">
        <v>-1.940676574670591</v>
      </c>
      <c r="O362">
        <v>-1.358479574759953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362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9.9742912500000003</v>
      </c>
      <c r="B2">
        <v>-16.071067249999999</v>
      </c>
      <c r="C2">
        <v>-16.28218275</v>
      </c>
      <c r="D2">
        <v>14.284646499999999</v>
      </c>
      <c r="E2">
        <v>-2.0516359999999998</v>
      </c>
      <c r="F2">
        <v>2.6999999999999999E-5</v>
      </c>
      <c r="G2">
        <v>19.249890000000001</v>
      </c>
      <c r="H2">
        <v>-36</v>
      </c>
      <c r="I2">
        <v>-36</v>
      </c>
      <c r="J2">
        <v>1.1625000000000001</v>
      </c>
      <c r="K2">
        <v>5.7548292500000002</v>
      </c>
      <c r="L2">
        <v>1.8588649791079379</v>
      </c>
      <c r="M2">
        <v>-2.1490818084084089</v>
      </c>
      <c r="N2">
        <v>-1.5080666439205339</v>
      </c>
      <c r="O2">
        <v>-1.145231408860776</v>
      </c>
    </row>
    <row r="3" spans="1:15" x14ac:dyDescent="0.25">
      <c r="A3">
        <v>10.290876750000001</v>
      </c>
      <c r="B3">
        <v>-14.967675</v>
      </c>
      <c r="C3">
        <v>-14.7035775</v>
      </c>
      <c r="D3">
        <v>16.081181999999998</v>
      </c>
      <c r="E3">
        <v>-0.35680525000000002</v>
      </c>
      <c r="F3">
        <v>2.6999999999999999E-5</v>
      </c>
      <c r="G3">
        <v>19.930240000000001</v>
      </c>
      <c r="H3">
        <v>-36</v>
      </c>
      <c r="I3">
        <v>-32</v>
      </c>
      <c r="J3">
        <v>1.1625000000000001</v>
      </c>
      <c r="K3">
        <v>5.8556472499999996</v>
      </c>
      <c r="L3">
        <v>1.7262532053512609</v>
      </c>
      <c r="M3">
        <v>-2.144444445446188</v>
      </c>
      <c r="N3">
        <v>-1.401146081438047</v>
      </c>
      <c r="O3">
        <v>-1.0246233547692181</v>
      </c>
    </row>
    <row r="4" spans="1:15" x14ac:dyDescent="0.25">
      <c r="A4">
        <v>10.290876750000001</v>
      </c>
      <c r="B4">
        <v>-13.767412999999999</v>
      </c>
      <c r="C4">
        <v>-12.719045250000001</v>
      </c>
      <c r="D4">
        <v>17.702445999999998</v>
      </c>
      <c r="E4">
        <v>1.296465</v>
      </c>
      <c r="F4">
        <v>2.6999999999999999E-5</v>
      </c>
      <c r="G4">
        <v>20.450505499999998</v>
      </c>
      <c r="H4">
        <v>-36</v>
      </c>
      <c r="I4">
        <v>-28</v>
      </c>
      <c r="J4">
        <v>1.1675</v>
      </c>
      <c r="K4">
        <v>5.9188917500000002</v>
      </c>
      <c r="L4">
        <v>1.582537709645617</v>
      </c>
      <c r="M4">
        <v>-2.1644082254566182</v>
      </c>
      <c r="N4">
        <v>-1.317340406900309</v>
      </c>
      <c r="O4">
        <v>-0.91081467717275721</v>
      </c>
    </row>
    <row r="5" spans="1:15" x14ac:dyDescent="0.25">
      <c r="A5">
        <v>9.8401564999999991</v>
      </c>
      <c r="B5">
        <v>-12.56815175</v>
      </c>
      <c r="C5">
        <v>-10.50899875</v>
      </c>
      <c r="D5">
        <v>18.929348000000001</v>
      </c>
      <c r="E5">
        <v>2.6823199999999998</v>
      </c>
      <c r="F5">
        <v>2.6999999999999999E-5</v>
      </c>
      <c r="G5">
        <v>20.770671499999999</v>
      </c>
      <c r="H5">
        <v>-36</v>
      </c>
      <c r="I5">
        <v>-24</v>
      </c>
      <c r="J5">
        <v>1.165</v>
      </c>
      <c r="K5">
        <v>5.971457</v>
      </c>
      <c r="L5">
        <v>1.4309403608206981</v>
      </c>
      <c r="M5">
        <v>-2.214907025214822</v>
      </c>
      <c r="N5">
        <v>-1.271980084453574</v>
      </c>
      <c r="O5">
        <v>-0.81137800733392584</v>
      </c>
    </row>
    <row r="6" spans="1:15" x14ac:dyDescent="0.25">
      <c r="A6">
        <v>9.2076257500000001</v>
      </c>
      <c r="B6">
        <v>-11.754294249999999</v>
      </c>
      <c r="C6">
        <v>-8.0283339999999992</v>
      </c>
      <c r="D6">
        <v>20.112432500000001</v>
      </c>
      <c r="E6">
        <v>3.9787642499999998</v>
      </c>
      <c r="F6">
        <v>2.6999999999999999E-5</v>
      </c>
      <c r="G6">
        <v>21.130856000000001</v>
      </c>
      <c r="H6">
        <v>-36</v>
      </c>
      <c r="I6">
        <v>-20</v>
      </c>
      <c r="J6">
        <v>1.17</v>
      </c>
      <c r="K6">
        <v>6.0100809999999996</v>
      </c>
      <c r="L6">
        <v>1.242698027740839</v>
      </c>
      <c r="M6">
        <v>-2.2975407735486311</v>
      </c>
      <c r="N6">
        <v>-1.2366778064423269</v>
      </c>
      <c r="O6">
        <v>-0.71314902571511363</v>
      </c>
    </row>
    <row r="7" spans="1:15" x14ac:dyDescent="0.25">
      <c r="A7">
        <v>8.258720499999999</v>
      </c>
      <c r="B7">
        <v>-11.2729575</v>
      </c>
      <c r="C7">
        <v>-5.6829780000000003</v>
      </c>
      <c r="D7">
        <v>21.032609999999998</v>
      </c>
      <c r="E7">
        <v>5.0069790000000003</v>
      </c>
      <c r="F7">
        <v>-4.8582500000000001E-2</v>
      </c>
      <c r="G7">
        <v>21.451018999999999</v>
      </c>
      <c r="H7">
        <v>-36</v>
      </c>
      <c r="I7">
        <v>-16</v>
      </c>
      <c r="J7">
        <v>1.165</v>
      </c>
      <c r="K7">
        <v>6.0753385</v>
      </c>
      <c r="L7">
        <v>1.0338653692849711</v>
      </c>
      <c r="M7">
        <v>-2.3957238703407389</v>
      </c>
      <c r="N7">
        <v>-1.21947698813007</v>
      </c>
      <c r="O7">
        <v>-0.62510236685793696</v>
      </c>
    </row>
    <row r="8" spans="1:15" x14ac:dyDescent="0.25">
      <c r="A8">
        <v>7.0411207500000002</v>
      </c>
      <c r="B8">
        <v>-10.746031500000001</v>
      </c>
      <c r="C8">
        <v>-2.9316949999999999</v>
      </c>
      <c r="D8">
        <v>21.6898795</v>
      </c>
      <c r="E8">
        <v>5.9010800000000003</v>
      </c>
      <c r="F8">
        <v>2.6999999999999999E-5</v>
      </c>
      <c r="G8">
        <v>21.771184999999999</v>
      </c>
      <c r="H8">
        <v>-36</v>
      </c>
      <c r="I8">
        <v>-12</v>
      </c>
      <c r="J8">
        <v>1.165</v>
      </c>
      <c r="K8">
        <v>6.1135830000000002</v>
      </c>
      <c r="L8">
        <v>0.782787652743688</v>
      </c>
      <c r="M8">
        <v>-2.546018881812691</v>
      </c>
      <c r="N8">
        <v>-1.245708094464248</v>
      </c>
      <c r="O8">
        <v>-0.5368027188249519</v>
      </c>
    </row>
    <row r="9" spans="1:15" x14ac:dyDescent="0.25">
      <c r="A9">
        <v>5.5971419999999998</v>
      </c>
      <c r="B9">
        <v>-10.4596485</v>
      </c>
      <c r="C9">
        <v>-0.36082399999999998</v>
      </c>
      <c r="D9">
        <v>22.259512000000001</v>
      </c>
      <c r="E9">
        <v>6.6163600000000002</v>
      </c>
      <c r="F9">
        <v>2.6999999999999999E-5</v>
      </c>
      <c r="G9">
        <v>22.091349000000001</v>
      </c>
      <c r="H9">
        <v>-36</v>
      </c>
      <c r="I9">
        <v>-8</v>
      </c>
      <c r="J9">
        <v>1.1675</v>
      </c>
      <c r="K9">
        <v>6.1517637499999998</v>
      </c>
      <c r="L9">
        <v>0.49540707161623432</v>
      </c>
      <c r="M9">
        <v>-2.720578437272049</v>
      </c>
      <c r="N9">
        <v>-1.2867510462099709</v>
      </c>
      <c r="O9">
        <v>-0.44984946937128312</v>
      </c>
    </row>
    <row r="10" spans="1:15" x14ac:dyDescent="0.25">
      <c r="A10">
        <v>3.6105965000000002</v>
      </c>
      <c r="B10">
        <v>-10.458192499999999</v>
      </c>
      <c r="C10">
        <v>1.7613000000000001</v>
      </c>
      <c r="D10">
        <v>22.653873999999998</v>
      </c>
      <c r="E10">
        <v>7.0187042499999999</v>
      </c>
      <c r="F10">
        <v>2.6999999999999999E-5</v>
      </c>
      <c r="G10">
        <v>22.411511999999998</v>
      </c>
      <c r="H10">
        <v>-36</v>
      </c>
      <c r="I10">
        <v>-4</v>
      </c>
      <c r="J10">
        <v>1.17</v>
      </c>
      <c r="K10">
        <v>6.1895259999999999</v>
      </c>
      <c r="L10">
        <v>0.1626697529821019</v>
      </c>
      <c r="M10">
        <v>-2.9130783664989859</v>
      </c>
      <c r="N10">
        <v>-1.3542314410134719</v>
      </c>
      <c r="O10">
        <v>-0.38254190154530959</v>
      </c>
    </row>
    <row r="11" spans="1:15" x14ac:dyDescent="0.25">
      <c r="A11">
        <v>1.7602647499999999</v>
      </c>
      <c r="B11">
        <v>-10.267019749999999</v>
      </c>
      <c r="C11">
        <v>3.9745085000000002</v>
      </c>
      <c r="D11">
        <v>22.916782000000001</v>
      </c>
      <c r="E11">
        <v>7.2869349999999997</v>
      </c>
      <c r="F11">
        <v>2.6999999999999999E-5</v>
      </c>
      <c r="G11">
        <v>22.571594000000001</v>
      </c>
      <c r="H11">
        <v>-36</v>
      </c>
      <c r="I11">
        <v>0</v>
      </c>
      <c r="J11">
        <v>1.165</v>
      </c>
      <c r="K11">
        <v>6.2249505000000003</v>
      </c>
      <c r="L11">
        <v>-0.19188235939718079</v>
      </c>
      <c r="M11">
        <v>-2.8754472828710762</v>
      </c>
      <c r="N11">
        <v>-1.324451966199222</v>
      </c>
      <c r="O11">
        <v>-0.36853372296487141</v>
      </c>
    </row>
    <row r="12" spans="1:15" x14ac:dyDescent="0.25">
      <c r="A12">
        <v>-0.67583649999999995</v>
      </c>
      <c r="B12">
        <v>-10.362232000000001</v>
      </c>
      <c r="C12">
        <v>6.3682664999999998</v>
      </c>
      <c r="D12">
        <v>23.048234999999998</v>
      </c>
      <c r="E12">
        <v>7.4210495000000014</v>
      </c>
      <c r="F12">
        <v>2.6999999999999999E-5</v>
      </c>
      <c r="G12">
        <v>22.771697</v>
      </c>
      <c r="H12">
        <v>-36</v>
      </c>
      <c r="I12">
        <v>4</v>
      </c>
      <c r="J12">
        <v>1.165</v>
      </c>
      <c r="K12">
        <v>6.2524867500000001</v>
      </c>
      <c r="L12">
        <v>-0.54438184913914089</v>
      </c>
      <c r="M12">
        <v>-2.58200524979015</v>
      </c>
      <c r="N12">
        <v>-1.1863302001837619</v>
      </c>
      <c r="O12">
        <v>-0.42649930123932628</v>
      </c>
    </row>
    <row r="13" spans="1:15" x14ac:dyDescent="0.25">
      <c r="A13">
        <v>-2.9736829999999999</v>
      </c>
      <c r="B13">
        <v>-9.8825122500000013</v>
      </c>
      <c r="C13">
        <v>7.6775380000000002</v>
      </c>
      <c r="D13">
        <v>21.952786</v>
      </c>
      <c r="E13">
        <v>6.7951779999999999</v>
      </c>
      <c r="F13">
        <v>2.6999999999999999E-5</v>
      </c>
      <c r="G13">
        <v>21.851226</v>
      </c>
      <c r="H13">
        <v>-36</v>
      </c>
      <c r="I13">
        <v>8</v>
      </c>
      <c r="J13">
        <v>1.1625000000000001</v>
      </c>
      <c r="K13">
        <v>6.1313602500000002</v>
      </c>
      <c r="L13">
        <v>-0.80559273211207527</v>
      </c>
      <c r="M13">
        <v>-2.4076204697154999</v>
      </c>
      <c r="N13">
        <v>-1.138724497237678</v>
      </c>
      <c r="O13">
        <v>-0.48605675374051921</v>
      </c>
    </row>
    <row r="14" spans="1:15" x14ac:dyDescent="0.25">
      <c r="A14">
        <v>-5.2715290000000001</v>
      </c>
      <c r="B14">
        <v>-9.7392664999999994</v>
      </c>
      <c r="C14">
        <v>8.7168392499999996</v>
      </c>
      <c r="D14">
        <v>21.032609999999998</v>
      </c>
      <c r="E14">
        <v>5.9457850000000008</v>
      </c>
      <c r="F14">
        <v>-4.8582500000000001E-2</v>
      </c>
      <c r="G14">
        <v>21.290937</v>
      </c>
      <c r="H14">
        <v>-36</v>
      </c>
      <c r="I14">
        <v>12</v>
      </c>
      <c r="J14">
        <v>1.1599999999999999</v>
      </c>
      <c r="K14">
        <v>6.0656517499999998</v>
      </c>
      <c r="L14">
        <v>-1.039925293148013</v>
      </c>
      <c r="M14">
        <v>-2.287705226402168</v>
      </c>
      <c r="N14">
        <v>-1.140825073722963</v>
      </c>
      <c r="O14">
        <v>-0.55435459685633193</v>
      </c>
    </row>
    <row r="15" spans="1:15" x14ac:dyDescent="0.25">
      <c r="A15">
        <v>-7.3891522500000004</v>
      </c>
      <c r="B15">
        <v>-9.6913002500000012</v>
      </c>
      <c r="C15">
        <v>9.8904817499999993</v>
      </c>
      <c r="D15">
        <v>20.200068000000002</v>
      </c>
      <c r="E15">
        <v>5.0963895000000008</v>
      </c>
      <c r="F15">
        <v>2.6999999999999999E-5</v>
      </c>
      <c r="G15">
        <v>20.930753500000002</v>
      </c>
      <c r="H15">
        <v>-36</v>
      </c>
      <c r="I15">
        <v>16</v>
      </c>
      <c r="J15">
        <v>1.1625000000000001</v>
      </c>
      <c r="K15">
        <v>6.0008619999999997</v>
      </c>
      <c r="L15">
        <v>-1.267151776883924</v>
      </c>
      <c r="M15">
        <v>-2.1920246888281749</v>
      </c>
      <c r="N15">
        <v>-1.161184616994507</v>
      </c>
      <c r="O15">
        <v>-0.62626770559178491</v>
      </c>
    </row>
    <row r="16" spans="1:15" x14ac:dyDescent="0.25">
      <c r="A16">
        <v>-9.5067747499999999</v>
      </c>
      <c r="B16">
        <v>-10.219039499999999</v>
      </c>
      <c r="C16">
        <v>10.342795000000001</v>
      </c>
      <c r="D16">
        <v>18.797893999999999</v>
      </c>
      <c r="E16">
        <v>3.6658295000000001</v>
      </c>
      <c r="F16">
        <v>2.6999999999999999E-5</v>
      </c>
      <c r="G16">
        <v>20.170362000000001</v>
      </c>
      <c r="H16">
        <v>-36</v>
      </c>
      <c r="I16">
        <v>20</v>
      </c>
      <c r="J16">
        <v>1.1675</v>
      </c>
      <c r="K16">
        <v>5.8782137499999996</v>
      </c>
      <c r="L16">
        <v>-1.467246352275501</v>
      </c>
      <c r="M16">
        <v>-2.1450223741705301</v>
      </c>
      <c r="N16">
        <v>-1.2200862486011741</v>
      </c>
      <c r="O16">
        <v>-0.72906097987021723</v>
      </c>
    </row>
    <row r="17" spans="1:15" x14ac:dyDescent="0.25">
      <c r="A17">
        <v>-12.0749555</v>
      </c>
      <c r="B17">
        <v>-11.944531749999999</v>
      </c>
      <c r="C17">
        <v>11.380833000000001</v>
      </c>
      <c r="D17">
        <v>18.184442499999999</v>
      </c>
      <c r="E17">
        <v>1.9670399999999999</v>
      </c>
      <c r="F17">
        <v>2.6999999999999999E-5</v>
      </c>
      <c r="G17">
        <v>20.570568000000002</v>
      </c>
      <c r="H17">
        <v>-36</v>
      </c>
      <c r="I17">
        <v>24</v>
      </c>
      <c r="J17">
        <v>1.165</v>
      </c>
      <c r="K17">
        <v>5.9425829999999999</v>
      </c>
      <c r="L17">
        <v>-1.6782270382697531</v>
      </c>
      <c r="M17">
        <v>-2.155660026739938</v>
      </c>
      <c r="N17">
        <v>-1.3310683254376601</v>
      </c>
      <c r="O17">
        <v>-0.85928327922903547</v>
      </c>
    </row>
    <row r="18" spans="1:15" x14ac:dyDescent="0.25">
      <c r="A18">
        <v>-14.868415000000001</v>
      </c>
      <c r="B18">
        <v>-14.2940705</v>
      </c>
      <c r="C18">
        <v>12.103426000000001</v>
      </c>
      <c r="D18">
        <v>17.527173999999999</v>
      </c>
      <c r="E18">
        <v>-8.9191000000000006E-2</v>
      </c>
      <c r="F18">
        <v>2.6999999999999999E-5</v>
      </c>
      <c r="G18">
        <v>21.130856000000001</v>
      </c>
      <c r="H18">
        <v>-36</v>
      </c>
      <c r="I18">
        <v>28</v>
      </c>
      <c r="J18">
        <v>1.17</v>
      </c>
      <c r="K18">
        <v>6.0100809999999996</v>
      </c>
      <c r="L18">
        <v>-1.8611456560675099</v>
      </c>
      <c r="M18">
        <v>-2.195772211432431</v>
      </c>
      <c r="N18">
        <v>-1.464252637726883</v>
      </c>
      <c r="O18">
        <v>-1.006154721243592</v>
      </c>
    </row>
    <row r="19" spans="1:15" x14ac:dyDescent="0.25">
      <c r="A19">
        <v>-17.256373499999999</v>
      </c>
      <c r="B19">
        <v>-16.742707750000001</v>
      </c>
      <c r="C19">
        <v>12.464722999999999</v>
      </c>
      <c r="D19">
        <v>16.475543999999999</v>
      </c>
      <c r="E19">
        <v>-2.4976430000000001</v>
      </c>
      <c r="F19">
        <v>2.6999999999999999E-5</v>
      </c>
      <c r="G19">
        <v>21.3309575</v>
      </c>
      <c r="H19">
        <v>-36</v>
      </c>
      <c r="I19">
        <v>32</v>
      </c>
      <c r="J19">
        <v>1.1625000000000001</v>
      </c>
      <c r="K19">
        <v>6.0579479999999997</v>
      </c>
      <c r="L19">
        <v>-2.0495529150853971</v>
      </c>
      <c r="M19">
        <v>-2.2906734839772231</v>
      </c>
      <c r="N19">
        <v>-1.643223560774713</v>
      </c>
      <c r="O19">
        <v>-1.1722415800958581</v>
      </c>
    </row>
    <row r="20" spans="1:15" x14ac:dyDescent="0.25">
      <c r="A20">
        <v>-19.824553999999999</v>
      </c>
      <c r="B20">
        <v>-19.381236999999999</v>
      </c>
      <c r="C20">
        <v>12.69053325</v>
      </c>
      <c r="D20">
        <v>15.248640999999999</v>
      </c>
      <c r="E20">
        <v>-5.3520950000000003</v>
      </c>
      <c r="F20">
        <v>2.6999999999999999E-5</v>
      </c>
      <c r="G20">
        <v>21.731164</v>
      </c>
      <c r="H20">
        <v>-36</v>
      </c>
      <c r="I20">
        <v>36</v>
      </c>
      <c r="J20">
        <v>1.1625000000000001</v>
      </c>
      <c r="K20">
        <v>6.1145009999999997</v>
      </c>
      <c r="L20">
        <v>-2.2816326576377501</v>
      </c>
      <c r="M20">
        <v>-2.430030373027452</v>
      </c>
      <c r="N20">
        <v>-1.9004725701563761</v>
      </c>
      <c r="O20">
        <v>-1.37556641453192</v>
      </c>
    </row>
    <row r="21" spans="1:15" x14ac:dyDescent="0.25">
      <c r="A21">
        <v>13.902616999999999</v>
      </c>
      <c r="B21">
        <v>-17.320794500000002</v>
      </c>
      <c r="C21">
        <v>-17.184242000000001</v>
      </c>
      <c r="D21">
        <v>15.90591</v>
      </c>
      <c r="E21">
        <v>0.13413549999999999</v>
      </c>
      <c r="F21">
        <v>2.6999999999999999E-5</v>
      </c>
      <c r="G21">
        <v>22.131368999999999</v>
      </c>
      <c r="H21">
        <v>-32</v>
      </c>
      <c r="I21">
        <v>-36</v>
      </c>
      <c r="J21">
        <v>1.17</v>
      </c>
      <c r="K21">
        <v>6.1507122499999998</v>
      </c>
      <c r="L21">
        <v>1.7880197918791929</v>
      </c>
      <c r="M21">
        <v>-1.9110828785753231</v>
      </c>
      <c r="N21">
        <v>-1.2652556864428299</v>
      </c>
      <c r="O21">
        <v>-0.99229885651337713</v>
      </c>
    </row>
    <row r="22" spans="1:15" x14ac:dyDescent="0.25">
      <c r="A22">
        <v>14.08225925</v>
      </c>
      <c r="B22">
        <v>-15.064689749999999</v>
      </c>
      <c r="C22">
        <v>-14.523165499999999</v>
      </c>
      <c r="D22">
        <v>17.702445999999998</v>
      </c>
      <c r="E22">
        <v>2.5929104999999999</v>
      </c>
      <c r="F22">
        <v>2.6999999999999999E-5</v>
      </c>
      <c r="G22">
        <v>22.411511999999998</v>
      </c>
      <c r="H22">
        <v>-32</v>
      </c>
      <c r="I22">
        <v>-32</v>
      </c>
      <c r="J22">
        <v>1.17</v>
      </c>
      <c r="K22">
        <v>6.1895259999999999</v>
      </c>
      <c r="L22">
        <v>1.6452332636079789</v>
      </c>
      <c r="M22">
        <v>-1.884593047883435</v>
      </c>
      <c r="N22">
        <v>-1.13986113976561</v>
      </c>
      <c r="O22">
        <v>-0.85086965188947072</v>
      </c>
    </row>
    <row r="23" spans="1:15" x14ac:dyDescent="0.25">
      <c r="A23">
        <v>13.94685525</v>
      </c>
      <c r="B23">
        <v>-13.09671975</v>
      </c>
      <c r="C23">
        <v>-12.08760375</v>
      </c>
      <c r="D23">
        <v>19.411346000000002</v>
      </c>
      <c r="E23">
        <v>4.6493397499999993</v>
      </c>
      <c r="F23">
        <v>2.6999999999999999E-5</v>
      </c>
      <c r="G23">
        <v>22.891760000000001</v>
      </c>
      <c r="H23">
        <v>-32</v>
      </c>
      <c r="I23">
        <v>-28</v>
      </c>
      <c r="J23">
        <v>1.1625000000000001</v>
      </c>
      <c r="K23">
        <v>6.2756697499999996</v>
      </c>
      <c r="L23">
        <v>1.5099977854590481</v>
      </c>
      <c r="M23">
        <v>-1.885462589302171</v>
      </c>
      <c r="N23">
        <v>-1.058070449459025</v>
      </c>
      <c r="O23">
        <v>-0.7303529336613046</v>
      </c>
    </row>
    <row r="24" spans="1:15" x14ac:dyDescent="0.25">
      <c r="A24">
        <v>13.403499</v>
      </c>
      <c r="B24">
        <v>-11.177011</v>
      </c>
      <c r="C24">
        <v>-9.0206</v>
      </c>
      <c r="D24">
        <v>20.638248000000001</v>
      </c>
      <c r="E24">
        <v>6.6163600000000002</v>
      </c>
      <c r="F24">
        <v>2.6999999999999999E-5</v>
      </c>
      <c r="G24">
        <v>22.891760000000001</v>
      </c>
      <c r="H24">
        <v>-32</v>
      </c>
      <c r="I24">
        <v>-24</v>
      </c>
      <c r="J24">
        <v>1.1599999999999999</v>
      </c>
      <c r="K24">
        <v>6.2823960000000003</v>
      </c>
      <c r="L24">
        <v>1.341554067365295</v>
      </c>
      <c r="M24">
        <v>-1.9033726899262611</v>
      </c>
      <c r="N24">
        <v>-0.97369656201070143</v>
      </c>
      <c r="O24">
        <v>-0.60416944006181406</v>
      </c>
    </row>
    <row r="25" spans="1:15" x14ac:dyDescent="0.25">
      <c r="A25">
        <v>12.09708</v>
      </c>
      <c r="B25">
        <v>-9.4040859999999995</v>
      </c>
      <c r="C25">
        <v>-5.8182867500000004</v>
      </c>
      <c r="D25">
        <v>20.857337999999999</v>
      </c>
      <c r="E25">
        <v>7.8681000000000001</v>
      </c>
      <c r="F25">
        <v>2.6999999999999999E-5</v>
      </c>
      <c r="G25">
        <v>22.131368999999999</v>
      </c>
      <c r="H25">
        <v>-32</v>
      </c>
      <c r="I25">
        <v>-20</v>
      </c>
      <c r="J25">
        <v>1.17</v>
      </c>
      <c r="K25">
        <v>6.1507122499999998</v>
      </c>
      <c r="L25">
        <v>1.15737143850223</v>
      </c>
      <c r="M25">
        <v>-1.954974886848686</v>
      </c>
      <c r="N25">
        <v>-0.9214518904096054</v>
      </c>
      <c r="O25">
        <v>-0.49169989082826382</v>
      </c>
    </row>
    <row r="26" spans="1:15" x14ac:dyDescent="0.25">
      <c r="A26">
        <v>10.56100825</v>
      </c>
      <c r="B26">
        <v>-8.3479384999999997</v>
      </c>
      <c r="C26">
        <v>-3.1572100000000001</v>
      </c>
      <c r="D26">
        <v>20.901156</v>
      </c>
      <c r="E26">
        <v>8.6280830000000002</v>
      </c>
      <c r="F26">
        <v>2.6999999999999999E-5</v>
      </c>
      <c r="G26">
        <v>21.451018999999999</v>
      </c>
      <c r="H26">
        <v>-32</v>
      </c>
      <c r="I26">
        <v>-16</v>
      </c>
      <c r="J26">
        <v>1.17</v>
      </c>
      <c r="K26">
        <v>6.0554410000000001</v>
      </c>
      <c r="L26">
        <v>0.95394581632561337</v>
      </c>
      <c r="M26">
        <v>-2.0339474340178501</v>
      </c>
      <c r="N26">
        <v>-0.89169689227980142</v>
      </c>
      <c r="O26">
        <v>-0.40002671771689552</v>
      </c>
    </row>
    <row r="27" spans="1:15" x14ac:dyDescent="0.25">
      <c r="A27">
        <v>9.071059</v>
      </c>
      <c r="B27">
        <v>-7.4353427500000002</v>
      </c>
      <c r="C27">
        <v>-0.54123600000000005</v>
      </c>
      <c r="D27">
        <v>20.725884000000001</v>
      </c>
      <c r="E27">
        <v>9.1645444999999999</v>
      </c>
      <c r="F27">
        <v>2.6999999999999999E-5</v>
      </c>
      <c r="G27">
        <v>20.8507125</v>
      </c>
      <c r="H27">
        <v>-32</v>
      </c>
      <c r="I27">
        <v>-12</v>
      </c>
      <c r="J27">
        <v>1.165</v>
      </c>
      <c r="K27">
        <v>5.9829270000000001</v>
      </c>
      <c r="L27">
        <v>0.73080437433427825</v>
      </c>
      <c r="M27">
        <v>-2.1410959594981032</v>
      </c>
      <c r="N27">
        <v>-0.88849797813483256</v>
      </c>
      <c r="O27">
        <v>-0.30321520173201438</v>
      </c>
    </row>
    <row r="28" spans="1:15" x14ac:dyDescent="0.25">
      <c r="A28">
        <v>7.4026800000000001</v>
      </c>
      <c r="B28">
        <v>-6.8606782499999994</v>
      </c>
      <c r="C28">
        <v>1.4904262500000001</v>
      </c>
      <c r="D28">
        <v>20.638248000000001</v>
      </c>
      <c r="E28">
        <v>9.5221842500000005</v>
      </c>
      <c r="F28">
        <v>2.6999999999999999E-5</v>
      </c>
      <c r="G28">
        <v>20.490525999999999</v>
      </c>
      <c r="H28">
        <v>-32</v>
      </c>
      <c r="I28">
        <v>-8</v>
      </c>
      <c r="J28">
        <v>1.165</v>
      </c>
      <c r="K28">
        <v>5.9310465000000008</v>
      </c>
      <c r="L28">
        <v>0.48426308646261951</v>
      </c>
      <c r="M28">
        <v>-2.252803157354732</v>
      </c>
      <c r="N28">
        <v>-0.89861003481254442</v>
      </c>
      <c r="O28">
        <v>-0.21987022712912269</v>
      </c>
    </row>
    <row r="29" spans="1:15" x14ac:dyDescent="0.25">
      <c r="A29">
        <v>5.5967855000000002</v>
      </c>
      <c r="B29">
        <v>-6.3804635000000003</v>
      </c>
      <c r="C29">
        <v>3.4325275</v>
      </c>
      <c r="D29">
        <v>20.024797499999998</v>
      </c>
      <c r="E29">
        <v>9.5221842500000005</v>
      </c>
      <c r="F29">
        <v>2.6999999999999999E-5</v>
      </c>
      <c r="G29">
        <v>19.850199</v>
      </c>
      <c r="H29">
        <v>-32</v>
      </c>
      <c r="I29">
        <v>-4</v>
      </c>
      <c r="J29">
        <v>1.165</v>
      </c>
      <c r="K29">
        <v>5.8376380000000001</v>
      </c>
      <c r="L29">
        <v>0.1967378122295303</v>
      </c>
      <c r="M29">
        <v>-2.4015105646637989</v>
      </c>
      <c r="N29">
        <v>-0.93938886618162587</v>
      </c>
      <c r="O29">
        <v>-0.13398639756721301</v>
      </c>
    </row>
    <row r="30" spans="1:15" x14ac:dyDescent="0.25">
      <c r="A30">
        <v>3.6561884999999998</v>
      </c>
      <c r="B30">
        <v>-5.9011442499999998</v>
      </c>
      <c r="C30">
        <v>5.464594</v>
      </c>
      <c r="D30">
        <v>19.674254000000001</v>
      </c>
      <c r="E30">
        <v>9.6562999999999999</v>
      </c>
      <c r="F30">
        <v>2.6999999999999999E-5</v>
      </c>
      <c r="G30">
        <v>19.530035000000002</v>
      </c>
      <c r="H30">
        <v>-32</v>
      </c>
      <c r="I30">
        <v>0</v>
      </c>
      <c r="J30">
        <v>1.1625000000000001</v>
      </c>
      <c r="K30">
        <v>5.7965819999999999</v>
      </c>
      <c r="L30">
        <v>-0.16778034939451519</v>
      </c>
      <c r="M30">
        <v>-2.3727612144455921</v>
      </c>
      <c r="N30">
        <v>-0.91605202251466356</v>
      </c>
      <c r="O30">
        <v>-0.1041233726038083</v>
      </c>
    </row>
    <row r="31" spans="1:15" x14ac:dyDescent="0.25">
      <c r="A31">
        <v>1.8054027500000001</v>
      </c>
      <c r="B31">
        <v>-5.9003027499999998</v>
      </c>
      <c r="C31">
        <v>7.1365365000000001</v>
      </c>
      <c r="D31">
        <v>19.718071999999999</v>
      </c>
      <c r="E31">
        <v>9.4774790000000007</v>
      </c>
      <c r="F31">
        <v>2.6999999999999999E-5</v>
      </c>
      <c r="G31">
        <v>19.530035000000002</v>
      </c>
      <c r="H31">
        <v>-32</v>
      </c>
      <c r="I31">
        <v>4</v>
      </c>
      <c r="J31">
        <v>1.17</v>
      </c>
      <c r="K31">
        <v>5.7779429999999996</v>
      </c>
      <c r="L31">
        <v>-0.46259648235127149</v>
      </c>
      <c r="M31">
        <v>-2.2228533282507561</v>
      </c>
      <c r="N31">
        <v>-0.87225571267667446</v>
      </c>
      <c r="O31">
        <v>-0.1776457998722939</v>
      </c>
    </row>
    <row r="32" spans="1:15" x14ac:dyDescent="0.25">
      <c r="A32">
        <v>-0.27033499999999999</v>
      </c>
      <c r="B32">
        <v>-5.9482827499999997</v>
      </c>
      <c r="C32">
        <v>8.8969149999999999</v>
      </c>
      <c r="D32">
        <v>19.980979999999999</v>
      </c>
      <c r="E32">
        <v>9.4774790000000007</v>
      </c>
      <c r="F32">
        <v>2.6999999999999999E-5</v>
      </c>
      <c r="G32">
        <v>19.930240000000001</v>
      </c>
      <c r="H32">
        <v>-32</v>
      </c>
      <c r="I32">
        <v>8</v>
      </c>
      <c r="J32">
        <v>1.1599999999999999</v>
      </c>
      <c r="K32">
        <v>5.861936</v>
      </c>
      <c r="L32">
        <v>-0.72836110589784298</v>
      </c>
      <c r="M32">
        <v>-2.0600953067820651</v>
      </c>
      <c r="N32">
        <v>-0.83048839771763128</v>
      </c>
      <c r="O32">
        <v>-0.2469795621231623</v>
      </c>
    </row>
    <row r="33" spans="1:15" x14ac:dyDescent="0.25">
      <c r="A33">
        <v>-2.3879579999999998</v>
      </c>
      <c r="B33">
        <v>-6.1885700000000003</v>
      </c>
      <c r="C33">
        <v>10.432428</v>
      </c>
      <c r="D33">
        <v>20.068615000000001</v>
      </c>
      <c r="E33">
        <v>9.0304295000000003</v>
      </c>
      <c r="F33">
        <v>2.6999999999999999E-5</v>
      </c>
      <c r="G33">
        <v>20.330444</v>
      </c>
      <c r="H33">
        <v>-32</v>
      </c>
      <c r="I33">
        <v>12</v>
      </c>
      <c r="J33">
        <v>1.165</v>
      </c>
      <c r="K33">
        <v>5.9078324999999996</v>
      </c>
      <c r="L33">
        <v>-0.96261980448493334</v>
      </c>
      <c r="M33">
        <v>-1.9714876352988639</v>
      </c>
      <c r="N33">
        <v>-0.84848433728568362</v>
      </c>
      <c r="O33">
        <v>-0.32197324628660828</v>
      </c>
    </row>
    <row r="34" spans="1:15" x14ac:dyDescent="0.25">
      <c r="A34">
        <v>-5.0011939999999999</v>
      </c>
      <c r="B34">
        <v>-6.8606784999999997</v>
      </c>
      <c r="C34">
        <v>11.742129</v>
      </c>
      <c r="D34">
        <v>19.980979999999999</v>
      </c>
      <c r="E34">
        <v>8.2257390000000008</v>
      </c>
      <c r="F34">
        <v>2.6999999999999999E-5</v>
      </c>
      <c r="G34">
        <v>20.8507125</v>
      </c>
      <c r="H34">
        <v>-32</v>
      </c>
      <c r="I34">
        <v>16</v>
      </c>
      <c r="J34">
        <v>1.165</v>
      </c>
      <c r="K34">
        <v>5.9829515000000004</v>
      </c>
      <c r="L34">
        <v>-1.182722977954257</v>
      </c>
      <c r="M34">
        <v>-1.896070858533025</v>
      </c>
      <c r="N34">
        <v>-0.89182354327253099</v>
      </c>
      <c r="O34">
        <v>-0.41893256808526352</v>
      </c>
    </row>
    <row r="35" spans="1:15" x14ac:dyDescent="0.25">
      <c r="A35">
        <v>-7.3891520000000002</v>
      </c>
      <c r="B35">
        <v>-7.9155977499999999</v>
      </c>
      <c r="C35">
        <v>12.916344499999999</v>
      </c>
      <c r="D35">
        <v>19.498982000000002</v>
      </c>
      <c r="E35">
        <v>6.9739990000000001</v>
      </c>
      <c r="F35">
        <v>2.6999999999999999E-5</v>
      </c>
      <c r="G35">
        <v>21.130856000000001</v>
      </c>
      <c r="H35">
        <v>-32</v>
      </c>
      <c r="I35">
        <v>20</v>
      </c>
      <c r="J35">
        <v>1.17</v>
      </c>
      <c r="K35">
        <v>6.0100809999999996</v>
      </c>
      <c r="L35">
        <v>-1.3882807339783469</v>
      </c>
      <c r="M35">
        <v>-1.8743288939327061</v>
      </c>
      <c r="N35">
        <v>-0.96790696241316654</v>
      </c>
      <c r="O35">
        <v>-0.52318822924647224</v>
      </c>
    </row>
    <row r="36" spans="1:15" x14ac:dyDescent="0.25">
      <c r="A36">
        <v>-9.8221652499999994</v>
      </c>
      <c r="B36">
        <v>-9.7379172500000006</v>
      </c>
      <c r="C36">
        <v>13.86474825</v>
      </c>
      <c r="D36">
        <v>18.754076000000001</v>
      </c>
      <c r="E36">
        <v>5.1858000000000004</v>
      </c>
      <c r="F36">
        <v>2.6999999999999999E-5</v>
      </c>
      <c r="G36">
        <v>21.370978000000001</v>
      </c>
      <c r="H36">
        <v>-32</v>
      </c>
      <c r="I36">
        <v>24</v>
      </c>
      <c r="J36">
        <v>1.165</v>
      </c>
      <c r="K36">
        <v>6.0571450000000002</v>
      </c>
      <c r="L36">
        <v>-1.5827639090490411</v>
      </c>
      <c r="M36">
        <v>-1.9038796790468779</v>
      </c>
      <c r="N36">
        <v>-1.081519794198291</v>
      </c>
      <c r="O36">
        <v>-0.65347031270145317</v>
      </c>
    </row>
    <row r="37" spans="1:15" x14ac:dyDescent="0.25">
      <c r="A37">
        <v>-12.525513999999999</v>
      </c>
      <c r="B37">
        <v>-12.13726675</v>
      </c>
      <c r="C37">
        <v>14.58830725</v>
      </c>
      <c r="D37">
        <v>17.746263500000001</v>
      </c>
      <c r="E37">
        <v>2.8164349999999998</v>
      </c>
      <c r="F37">
        <v>2.6999999999999999E-5</v>
      </c>
      <c r="G37">
        <v>21.651122000000001</v>
      </c>
      <c r="H37">
        <v>-32</v>
      </c>
      <c r="I37">
        <v>28</v>
      </c>
      <c r="J37">
        <v>1.1599999999999999</v>
      </c>
      <c r="K37">
        <v>6.1097774999999999</v>
      </c>
      <c r="L37">
        <v>-1.789995229925206</v>
      </c>
      <c r="M37">
        <v>-1.9728506805736881</v>
      </c>
      <c r="N37">
        <v>-1.243489004785252</v>
      </c>
      <c r="O37">
        <v>-0.81408583597061279</v>
      </c>
    </row>
    <row r="38" spans="1:15" x14ac:dyDescent="0.25">
      <c r="A38">
        <v>-15.228861999999999</v>
      </c>
      <c r="B38">
        <v>-14.921791750000001</v>
      </c>
      <c r="C38">
        <v>14.950602</v>
      </c>
      <c r="D38">
        <v>16.431725499999999</v>
      </c>
      <c r="E38">
        <v>-0.133796</v>
      </c>
      <c r="F38">
        <v>2.6999999999999999E-5</v>
      </c>
      <c r="G38">
        <v>21.8112055</v>
      </c>
      <c r="H38">
        <v>-32</v>
      </c>
      <c r="I38">
        <v>32</v>
      </c>
      <c r="J38">
        <v>1.1599999999999999</v>
      </c>
      <c r="K38">
        <v>6.1323230000000004</v>
      </c>
      <c r="L38">
        <v>-2.0198439495933478</v>
      </c>
      <c r="M38">
        <v>-2.098436055162066</v>
      </c>
      <c r="N38">
        <v>-1.46873363239837</v>
      </c>
      <c r="O38">
        <v>-1.0089598733600389</v>
      </c>
    </row>
    <row r="39" spans="1:15" x14ac:dyDescent="0.25">
      <c r="A39">
        <v>-17.797042749999999</v>
      </c>
      <c r="B39">
        <v>-17.700932250000001</v>
      </c>
      <c r="C39">
        <v>15.0851255</v>
      </c>
      <c r="D39">
        <v>15.117187749999999</v>
      </c>
      <c r="E39">
        <v>-3.0774550000000001</v>
      </c>
      <c r="F39">
        <v>2.6999999999999999E-5</v>
      </c>
      <c r="G39">
        <v>22.091349000000001</v>
      </c>
      <c r="H39">
        <v>-32</v>
      </c>
      <c r="I39">
        <v>36</v>
      </c>
      <c r="J39">
        <v>1.17</v>
      </c>
      <c r="K39">
        <v>6.1451560000000001</v>
      </c>
      <c r="L39">
        <v>-2.2413580164291602</v>
      </c>
      <c r="M39">
        <v>-2.2369432005531942</v>
      </c>
      <c r="N39">
        <v>-1.715595188972187</v>
      </c>
      <c r="O39">
        <v>-1.209796476959377</v>
      </c>
    </row>
    <row r="40" spans="1:15" x14ac:dyDescent="0.25">
      <c r="A40">
        <v>16.248762750000001</v>
      </c>
      <c r="B40">
        <v>-15.544437500000001</v>
      </c>
      <c r="C40">
        <v>-15.199710749999999</v>
      </c>
      <c r="D40">
        <v>15.3362765</v>
      </c>
      <c r="E40">
        <v>2.503501</v>
      </c>
      <c r="F40">
        <v>2.6999999999999999E-5</v>
      </c>
      <c r="G40">
        <v>22.411511999999998</v>
      </c>
      <c r="H40">
        <v>-28</v>
      </c>
      <c r="I40">
        <v>-36</v>
      </c>
      <c r="J40">
        <v>1.17</v>
      </c>
      <c r="K40">
        <v>6.1895259999999999</v>
      </c>
      <c r="L40">
        <v>1.759332751406776</v>
      </c>
      <c r="M40">
        <v>-1.7275449264084011</v>
      </c>
      <c r="N40">
        <v>-1.1137347526411201</v>
      </c>
      <c r="O40">
        <v>-0.85994552664585744</v>
      </c>
    </row>
    <row r="41" spans="1:15" x14ac:dyDescent="0.25">
      <c r="A41">
        <v>16.384166499999999</v>
      </c>
      <c r="B41">
        <v>-12.904813000000001</v>
      </c>
      <c r="C41">
        <v>-12.26801575</v>
      </c>
      <c r="D41">
        <v>17.351901999999999</v>
      </c>
      <c r="E41">
        <v>5.2305050000000008</v>
      </c>
      <c r="F41">
        <v>2.6999999999999999E-5</v>
      </c>
      <c r="G41">
        <v>22.731676</v>
      </c>
      <c r="H41">
        <v>-28</v>
      </c>
      <c r="I41">
        <v>-32</v>
      </c>
      <c r="J41">
        <v>1.17</v>
      </c>
      <c r="K41">
        <v>6.2335799999999999</v>
      </c>
      <c r="L41">
        <v>1.608130058006576</v>
      </c>
      <c r="M41">
        <v>-1.698220752815973</v>
      </c>
      <c r="N41">
        <v>-0.98230058515124652</v>
      </c>
      <c r="O41">
        <v>-0.70639489243894049</v>
      </c>
    </row>
    <row r="42" spans="1:15" x14ac:dyDescent="0.25">
      <c r="A42">
        <v>15.886647999999999</v>
      </c>
      <c r="B42">
        <v>-10.3622455</v>
      </c>
      <c r="C42">
        <v>-9.2461149999999996</v>
      </c>
      <c r="D42">
        <v>18.710258</v>
      </c>
      <c r="E42">
        <v>7.5551640000000004</v>
      </c>
      <c r="F42">
        <v>2.6999999999999999E-5</v>
      </c>
      <c r="G42">
        <v>22.5315735</v>
      </c>
      <c r="H42">
        <v>-28</v>
      </c>
      <c r="I42">
        <v>-28</v>
      </c>
      <c r="J42">
        <v>1.165</v>
      </c>
      <c r="K42">
        <v>6.2194102499999993</v>
      </c>
      <c r="L42">
        <v>1.447816692581684</v>
      </c>
      <c r="M42">
        <v>-1.674780586358769</v>
      </c>
      <c r="N42">
        <v>-0.86276419431046902</v>
      </c>
      <c r="O42">
        <v>-0.56478831232295423</v>
      </c>
    </row>
    <row r="43" spans="1:15" x14ac:dyDescent="0.25">
      <c r="A43">
        <v>14.802507</v>
      </c>
      <c r="B43">
        <v>-7.9624684999999999</v>
      </c>
      <c r="C43">
        <v>-6.0889040000000003</v>
      </c>
      <c r="D43">
        <v>19.104620000000001</v>
      </c>
      <c r="E43">
        <v>9.2092489999999998</v>
      </c>
      <c r="F43">
        <v>2.6999999999999999E-5</v>
      </c>
      <c r="G43">
        <v>21.771184999999999</v>
      </c>
      <c r="H43">
        <v>-28</v>
      </c>
      <c r="I43">
        <v>-24</v>
      </c>
      <c r="J43">
        <v>1.1625000000000001</v>
      </c>
      <c r="K43">
        <v>6.1201425</v>
      </c>
      <c r="L43">
        <v>1.2868202321575271</v>
      </c>
      <c r="M43">
        <v>-1.6672281150823629</v>
      </c>
      <c r="N43">
        <v>-0.77376994823918066</v>
      </c>
      <c r="O43">
        <v>-0.4327562105563027</v>
      </c>
    </row>
    <row r="44" spans="1:15" x14ac:dyDescent="0.25">
      <c r="A44">
        <v>13.631786999999999</v>
      </c>
      <c r="B44">
        <v>-6.38045025</v>
      </c>
      <c r="C44">
        <v>-3.3376220000000001</v>
      </c>
      <c r="D44">
        <v>19.630436</v>
      </c>
      <c r="E44">
        <v>10.550399000000001</v>
      </c>
      <c r="F44">
        <v>2.6999999999999999E-5</v>
      </c>
      <c r="G44">
        <v>21.250916749999998</v>
      </c>
      <c r="H44">
        <v>-28</v>
      </c>
      <c r="I44">
        <v>-20</v>
      </c>
      <c r="J44">
        <v>1.165</v>
      </c>
      <c r="K44">
        <v>6.0400725</v>
      </c>
      <c r="L44">
        <v>1.101262305948836</v>
      </c>
      <c r="M44">
        <v>-1.68800289179124</v>
      </c>
      <c r="N44">
        <v>-0.69441887900465016</v>
      </c>
      <c r="O44">
        <v>-0.31531340999063939</v>
      </c>
    </row>
    <row r="45" spans="1:15" x14ac:dyDescent="0.25">
      <c r="A45">
        <v>12.0962975</v>
      </c>
      <c r="B45">
        <v>-5.1335167500000001</v>
      </c>
      <c r="C45">
        <v>-0.72164799999999996</v>
      </c>
      <c r="D45">
        <v>19.674254000000001</v>
      </c>
      <c r="E45">
        <v>11.310383249999999</v>
      </c>
      <c r="F45">
        <v>-4.8582500000000001E-2</v>
      </c>
      <c r="G45">
        <v>20.530546999999999</v>
      </c>
      <c r="H45">
        <v>-28</v>
      </c>
      <c r="I45">
        <v>-16</v>
      </c>
      <c r="J45">
        <v>1.165</v>
      </c>
      <c r="K45">
        <v>5.9438180000000003</v>
      </c>
      <c r="L45">
        <v>0.90027107987675181</v>
      </c>
      <c r="M45">
        <v>-1.7423975781363941</v>
      </c>
      <c r="N45">
        <v>-0.64759755112337181</v>
      </c>
      <c r="O45">
        <v>-0.2022095173298453</v>
      </c>
    </row>
    <row r="46" spans="1:15" x14ac:dyDescent="0.25">
      <c r="A46">
        <v>10.606146750000001</v>
      </c>
      <c r="B46">
        <v>-4.4612080000000001</v>
      </c>
      <c r="C46">
        <v>1.2193547499999999</v>
      </c>
      <c r="D46">
        <v>19.805707999999999</v>
      </c>
      <c r="E46">
        <v>11.757433000000001</v>
      </c>
      <c r="F46">
        <v>2.6999999999999999E-5</v>
      </c>
      <c r="G46">
        <v>20.170362000000001</v>
      </c>
      <c r="H46">
        <v>-28</v>
      </c>
      <c r="I46">
        <v>-12</v>
      </c>
      <c r="J46">
        <v>1.1599999999999999</v>
      </c>
      <c r="K46">
        <v>5.8971549999999997</v>
      </c>
      <c r="L46">
        <v>0.70165962507754442</v>
      </c>
      <c r="M46">
        <v>-1.814013034752187</v>
      </c>
      <c r="N46">
        <v>-0.62895008954450127</v>
      </c>
      <c r="O46">
        <v>-0.12112603129137101</v>
      </c>
    </row>
    <row r="47" spans="1:15" x14ac:dyDescent="0.25">
      <c r="A47">
        <v>9.0722214999999995</v>
      </c>
      <c r="B47">
        <v>-3.7421890000000002</v>
      </c>
      <c r="C47">
        <v>3.2968122499999999</v>
      </c>
      <c r="D47">
        <v>19.630436</v>
      </c>
      <c r="E47">
        <v>12.159777999999999</v>
      </c>
      <c r="F47">
        <v>-4.8582500000000001E-2</v>
      </c>
      <c r="G47">
        <v>19.850199</v>
      </c>
      <c r="H47">
        <v>-28</v>
      </c>
      <c r="I47">
        <v>-8</v>
      </c>
      <c r="J47">
        <v>1.1599999999999999</v>
      </c>
      <c r="K47">
        <v>5.8573104999999996</v>
      </c>
      <c r="L47">
        <v>0.46643653465156998</v>
      </c>
      <c r="M47">
        <v>-1.8875879338373951</v>
      </c>
      <c r="N47">
        <v>-0.62109783772931015</v>
      </c>
      <c r="O47">
        <v>-1.404438661045509E-2</v>
      </c>
    </row>
    <row r="48" spans="1:15" x14ac:dyDescent="0.25">
      <c r="A48">
        <v>7.5371220000000001</v>
      </c>
      <c r="B48">
        <v>-3.40611525</v>
      </c>
      <c r="C48">
        <v>5.2839452499999986</v>
      </c>
      <c r="D48">
        <v>19.805707999999999</v>
      </c>
      <c r="E48">
        <v>12.517419</v>
      </c>
      <c r="F48">
        <v>2.6999999999999999E-5</v>
      </c>
      <c r="G48">
        <v>19.730137500000001</v>
      </c>
      <c r="H48">
        <v>-28</v>
      </c>
      <c r="I48">
        <v>-4</v>
      </c>
      <c r="J48">
        <v>1.165</v>
      </c>
      <c r="K48">
        <v>5.8199354999999997</v>
      </c>
      <c r="L48">
        <v>0.1945775598245425</v>
      </c>
      <c r="M48">
        <v>-2.0047819836841501</v>
      </c>
      <c r="N48">
        <v>-0.62301314320216705</v>
      </c>
      <c r="O48">
        <v>8.114195309785209E-2</v>
      </c>
    </row>
    <row r="49" spans="1:15" x14ac:dyDescent="0.25">
      <c r="A49">
        <v>5.8679729999999992</v>
      </c>
      <c r="B49">
        <v>-3.4543225</v>
      </c>
      <c r="C49">
        <v>7.3162415000000003</v>
      </c>
      <c r="D49">
        <v>20.243886</v>
      </c>
      <c r="E49">
        <v>12.875057999999999</v>
      </c>
      <c r="F49">
        <v>2.6999999999999999E-5</v>
      </c>
      <c r="G49">
        <v>20.290423499999999</v>
      </c>
      <c r="H49">
        <v>-28</v>
      </c>
      <c r="I49">
        <v>0</v>
      </c>
      <c r="J49">
        <v>1.17</v>
      </c>
      <c r="K49">
        <v>5.8893412500000002</v>
      </c>
      <c r="L49">
        <v>-0.12409271419539759</v>
      </c>
      <c r="M49">
        <v>-2.031061671882457</v>
      </c>
      <c r="N49">
        <v>-0.63554007147669889</v>
      </c>
      <c r="O49">
        <v>0.10344239220195291</v>
      </c>
    </row>
    <row r="50" spans="1:15" x14ac:dyDescent="0.25">
      <c r="A50">
        <v>4.0621725</v>
      </c>
      <c r="B50">
        <v>-3.3099412500000001</v>
      </c>
      <c r="C50">
        <v>9.3491572500000011</v>
      </c>
      <c r="D50">
        <v>20.682065999999999</v>
      </c>
      <c r="E50">
        <v>13.187993000000001</v>
      </c>
      <c r="F50">
        <v>2.6999999999999999E-5</v>
      </c>
      <c r="G50">
        <v>20.730651000000002</v>
      </c>
      <c r="H50">
        <v>-28</v>
      </c>
      <c r="I50">
        <v>4</v>
      </c>
      <c r="J50">
        <v>1.1599999999999999</v>
      </c>
      <c r="K50">
        <v>5.9784885000000001</v>
      </c>
      <c r="L50">
        <v>-0.41269105631442349</v>
      </c>
      <c r="M50">
        <v>-1.8727983230747709</v>
      </c>
      <c r="N50">
        <v>-0.58878951269974111</v>
      </c>
      <c r="O50">
        <v>2.9412993632243981E-2</v>
      </c>
    </row>
    <row r="51" spans="1:15" x14ac:dyDescent="0.25">
      <c r="A51">
        <v>1.8506505</v>
      </c>
      <c r="B51">
        <v>-3.40658225</v>
      </c>
      <c r="C51">
        <v>11.20092225</v>
      </c>
      <c r="D51">
        <v>20.682065999999999</v>
      </c>
      <c r="E51">
        <v>12.919763</v>
      </c>
      <c r="F51">
        <v>2.6999999999999999E-5</v>
      </c>
      <c r="G51">
        <v>21.010794499999999</v>
      </c>
      <c r="H51">
        <v>-28</v>
      </c>
      <c r="I51">
        <v>8</v>
      </c>
      <c r="J51">
        <v>1.165</v>
      </c>
      <c r="K51">
        <v>6.0058502499999999</v>
      </c>
      <c r="L51">
        <v>-0.68260377501940595</v>
      </c>
      <c r="M51">
        <v>-1.7587633893664349</v>
      </c>
      <c r="N51">
        <v>-0.59079574471007967</v>
      </c>
      <c r="O51">
        <v>-5.6669329334624492E-2</v>
      </c>
    </row>
    <row r="52" spans="1:15" x14ac:dyDescent="0.25">
      <c r="A52">
        <v>-0.45055849999999997</v>
      </c>
      <c r="B52">
        <v>-3.6937017499999998</v>
      </c>
      <c r="C52">
        <v>12.82686475</v>
      </c>
      <c r="D52">
        <v>20.638248000000001</v>
      </c>
      <c r="E52">
        <v>12.517419</v>
      </c>
      <c r="F52">
        <v>2.6999999999999999E-5</v>
      </c>
      <c r="G52">
        <v>21.3309575</v>
      </c>
      <c r="H52">
        <v>-28</v>
      </c>
      <c r="I52">
        <v>12</v>
      </c>
      <c r="J52">
        <v>1.1625000000000001</v>
      </c>
      <c r="K52">
        <v>6.0579479999999997</v>
      </c>
      <c r="L52">
        <v>-0.91005963369505694</v>
      </c>
      <c r="M52">
        <v>-1.6677900903370011</v>
      </c>
      <c r="N52">
        <v>-0.60409430330515301</v>
      </c>
      <c r="O52">
        <v>-0.1420063274944979</v>
      </c>
    </row>
    <row r="53" spans="1:15" x14ac:dyDescent="0.25">
      <c r="A53">
        <v>-2.7934600000000001</v>
      </c>
      <c r="B53">
        <v>-4.2696354999999997</v>
      </c>
      <c r="C53">
        <v>14.180884000000001</v>
      </c>
      <c r="D53">
        <v>20.375340000000001</v>
      </c>
      <c r="E53">
        <v>11.533908500000001</v>
      </c>
      <c r="F53">
        <v>2.6999999999999999E-5</v>
      </c>
      <c r="G53">
        <v>21.771184999999999</v>
      </c>
      <c r="H53">
        <v>-28</v>
      </c>
      <c r="I53">
        <v>16</v>
      </c>
      <c r="J53">
        <v>1.165</v>
      </c>
      <c r="K53">
        <v>6.1135830000000002</v>
      </c>
      <c r="L53">
        <v>-1.126731824583082</v>
      </c>
      <c r="M53">
        <v>-1.6358614402587841</v>
      </c>
      <c r="N53">
        <v>-0.67953264219793286</v>
      </c>
      <c r="O53">
        <v>-0.23441809389857149</v>
      </c>
    </row>
    <row r="54" spans="1:15" x14ac:dyDescent="0.25">
      <c r="A54">
        <v>-5.2715290000000001</v>
      </c>
      <c r="B54">
        <v>-5.6121017499999999</v>
      </c>
      <c r="C54">
        <v>15.355098999999999</v>
      </c>
      <c r="D54">
        <v>19.805707999999999</v>
      </c>
      <c r="E54">
        <v>9.924528500000001</v>
      </c>
      <c r="F54">
        <v>2.6999999999999999E-5</v>
      </c>
      <c r="G54">
        <v>21.931266999999998</v>
      </c>
      <c r="H54">
        <v>-28</v>
      </c>
      <c r="I54">
        <v>20</v>
      </c>
      <c r="J54">
        <v>1.17</v>
      </c>
      <c r="K54">
        <v>6.1228509999999998</v>
      </c>
      <c r="L54">
        <v>-1.3423506856948679</v>
      </c>
      <c r="M54">
        <v>-1.654155375527095</v>
      </c>
      <c r="N54">
        <v>-0.7814028704927013</v>
      </c>
      <c r="O54">
        <v>-0.35413973194386611</v>
      </c>
    </row>
    <row r="55" spans="1:15" x14ac:dyDescent="0.25">
      <c r="A55">
        <v>-7.7495989999999999</v>
      </c>
      <c r="B55">
        <v>-7.5318100000000001</v>
      </c>
      <c r="C55">
        <v>16.43899</v>
      </c>
      <c r="D55">
        <v>19.060801999999999</v>
      </c>
      <c r="E55">
        <v>8.0469190000000008</v>
      </c>
      <c r="F55">
        <v>2.6999999999999999E-5</v>
      </c>
      <c r="G55">
        <v>22.331470499999998</v>
      </c>
      <c r="H55">
        <v>-28</v>
      </c>
      <c r="I55">
        <v>24</v>
      </c>
      <c r="J55">
        <v>1.1625000000000001</v>
      </c>
      <c r="K55">
        <v>6.1983959999999998</v>
      </c>
      <c r="L55">
        <v>-1.5419023452407059</v>
      </c>
      <c r="M55">
        <v>-1.6951996564542271</v>
      </c>
      <c r="N55">
        <v>-0.91060643300634481</v>
      </c>
      <c r="O55">
        <v>-0.48703391743295382</v>
      </c>
    </row>
    <row r="56" spans="1:15" x14ac:dyDescent="0.25">
      <c r="A56">
        <v>-10.452946499999999</v>
      </c>
      <c r="B56">
        <v>-10.1717675</v>
      </c>
      <c r="C56">
        <v>17.118669000000001</v>
      </c>
      <c r="D56">
        <v>17.965353</v>
      </c>
      <c r="E56">
        <v>5.4540295000000008</v>
      </c>
      <c r="F56">
        <v>2.6999999999999999E-5</v>
      </c>
      <c r="G56">
        <v>22.571594000000001</v>
      </c>
      <c r="H56">
        <v>-28</v>
      </c>
      <c r="I56">
        <v>28</v>
      </c>
      <c r="J56">
        <v>1.17</v>
      </c>
      <c r="K56">
        <v>6.2115919999999996</v>
      </c>
      <c r="L56">
        <v>-1.748802835444103</v>
      </c>
      <c r="M56">
        <v>-1.7846532929154799</v>
      </c>
      <c r="N56">
        <v>-1.085736474936746</v>
      </c>
      <c r="O56">
        <v>-0.65406066442690913</v>
      </c>
    </row>
    <row r="57" spans="1:15" x14ac:dyDescent="0.25">
      <c r="A57">
        <v>-13.291462750000001</v>
      </c>
      <c r="B57">
        <v>-13.096719999999999</v>
      </c>
      <c r="C57">
        <v>17.613205499999999</v>
      </c>
      <c r="D57">
        <v>16.563179999999999</v>
      </c>
      <c r="E57">
        <v>2.3693852500000001</v>
      </c>
      <c r="F57">
        <v>2.6999999999999999E-5</v>
      </c>
      <c r="G57">
        <v>22.851738999999998</v>
      </c>
      <c r="H57">
        <v>-28</v>
      </c>
      <c r="I57">
        <v>32</v>
      </c>
      <c r="J57">
        <v>1.1675</v>
      </c>
      <c r="K57">
        <v>6.2567395000000001</v>
      </c>
      <c r="L57">
        <v>-1.9857095419586801</v>
      </c>
      <c r="M57">
        <v>-1.9057448628221949</v>
      </c>
      <c r="N57">
        <v>-1.316047710349288</v>
      </c>
      <c r="O57">
        <v>-0.84775038005782322</v>
      </c>
    </row>
    <row r="58" spans="1:15" x14ac:dyDescent="0.25">
      <c r="A58">
        <v>-15.45414175</v>
      </c>
      <c r="B58">
        <v>-15.54336925</v>
      </c>
      <c r="C58">
        <v>17.161584999999999</v>
      </c>
      <c r="D58">
        <v>14.547553000000001</v>
      </c>
      <c r="E58">
        <v>-0.93661499999999998</v>
      </c>
      <c r="F58">
        <v>2.6999999999999999E-5</v>
      </c>
      <c r="G58">
        <v>22.291449750000002</v>
      </c>
      <c r="H58">
        <v>-28</v>
      </c>
      <c r="I58">
        <v>36</v>
      </c>
      <c r="J58">
        <v>1.17</v>
      </c>
      <c r="K58">
        <v>6.1729172499999994</v>
      </c>
      <c r="L58">
        <v>-2.239812895685581</v>
      </c>
      <c r="M58">
        <v>-2.0664597721796789</v>
      </c>
      <c r="N58">
        <v>-1.595182786807757</v>
      </c>
      <c r="O58">
        <v>-1.064309225290607</v>
      </c>
    </row>
    <row r="59" spans="1:15" x14ac:dyDescent="0.25">
      <c r="A59">
        <v>17.151472500000001</v>
      </c>
      <c r="B59">
        <v>-12.37796775</v>
      </c>
      <c r="C59">
        <v>-12.132706750000001</v>
      </c>
      <c r="D59">
        <v>13.758829499999999</v>
      </c>
      <c r="E59">
        <v>4.2916997499999994</v>
      </c>
      <c r="F59">
        <v>2.6999999999999999E-5</v>
      </c>
      <c r="G59">
        <v>21.290937</v>
      </c>
      <c r="H59">
        <v>-24</v>
      </c>
      <c r="I59">
        <v>-36</v>
      </c>
      <c r="J59">
        <v>1.1675</v>
      </c>
      <c r="K59">
        <v>6.0392907499999993</v>
      </c>
      <c r="L59">
        <v>1.769757587372504</v>
      </c>
      <c r="M59">
        <v>-1.579547494858035</v>
      </c>
      <c r="N59">
        <v>-1.027334831706842</v>
      </c>
      <c r="O59">
        <v>-0.74061539631449236</v>
      </c>
    </row>
    <row r="60" spans="1:15" x14ac:dyDescent="0.25">
      <c r="A60">
        <v>16.788208999999998</v>
      </c>
      <c r="B60">
        <v>-9.3535032499999993</v>
      </c>
      <c r="C60">
        <v>-8.9754970000000007</v>
      </c>
      <c r="D60">
        <v>15.1610055</v>
      </c>
      <c r="E60">
        <v>6.9739990000000001</v>
      </c>
      <c r="F60">
        <v>2.6999999999999999E-5</v>
      </c>
      <c r="G60">
        <v>20.930753500000002</v>
      </c>
      <c r="H60">
        <v>-24</v>
      </c>
      <c r="I60">
        <v>-32</v>
      </c>
      <c r="J60">
        <v>1.1625000000000001</v>
      </c>
      <c r="K60">
        <v>6.0008619999999997</v>
      </c>
      <c r="L60">
        <v>1.5964290870438009</v>
      </c>
      <c r="M60">
        <v>-1.5190359654655641</v>
      </c>
      <c r="N60">
        <v>-0.8648400707002486</v>
      </c>
      <c r="O60">
        <v>-0.56785653284687632</v>
      </c>
    </row>
    <row r="61" spans="1:15" x14ac:dyDescent="0.25">
      <c r="A61">
        <v>16.0671775</v>
      </c>
      <c r="B61">
        <v>-6.8601832500000004</v>
      </c>
      <c r="C61">
        <v>-6.0889042500000006</v>
      </c>
      <c r="D61">
        <v>16.037364</v>
      </c>
      <c r="E61">
        <v>8.9410190000000007</v>
      </c>
      <c r="F61">
        <v>2.6999999999999999E-5</v>
      </c>
      <c r="G61">
        <v>20.330444</v>
      </c>
      <c r="H61">
        <v>-24</v>
      </c>
      <c r="I61">
        <v>-28</v>
      </c>
      <c r="J61">
        <v>1.17</v>
      </c>
      <c r="K61">
        <v>5.8951549999999999</v>
      </c>
      <c r="L61">
        <v>1.43725735590708</v>
      </c>
      <c r="M61">
        <v>-1.485407687919025</v>
      </c>
      <c r="N61">
        <v>-0.73885927416126584</v>
      </c>
      <c r="O61">
        <v>-0.41997643784460709</v>
      </c>
    </row>
    <row r="62" spans="1:15" x14ac:dyDescent="0.25">
      <c r="A62">
        <v>15.164526499999999</v>
      </c>
      <c r="B62">
        <v>-4.8932960000000003</v>
      </c>
      <c r="C62">
        <v>-3.5631370000000002</v>
      </c>
      <c r="D62">
        <v>16.826087999999999</v>
      </c>
      <c r="E62">
        <v>10.639808499999999</v>
      </c>
      <c r="F62">
        <v>2.6999999999999999E-5</v>
      </c>
      <c r="G62">
        <v>19.850199</v>
      </c>
      <c r="H62">
        <v>-24</v>
      </c>
      <c r="I62">
        <v>-24</v>
      </c>
      <c r="J62">
        <v>1.165</v>
      </c>
      <c r="K62">
        <v>5.8376380000000001</v>
      </c>
      <c r="L62">
        <v>1.25964404300721</v>
      </c>
      <c r="M62">
        <v>-1.460846557672705</v>
      </c>
      <c r="N62">
        <v>-0.61953125660747599</v>
      </c>
      <c r="O62">
        <v>-0.2843797339793715</v>
      </c>
    </row>
    <row r="63" spans="1:15" x14ac:dyDescent="0.25">
      <c r="A63">
        <v>14.171623500000001</v>
      </c>
      <c r="B63">
        <v>-3.3101547500000001</v>
      </c>
      <c r="C63">
        <v>-1.0824720000000001</v>
      </c>
      <c r="D63">
        <v>17.527173999999999</v>
      </c>
      <c r="E63">
        <v>11.980959</v>
      </c>
      <c r="F63">
        <v>2.6999999999999999E-5</v>
      </c>
      <c r="G63">
        <v>19.530035000000002</v>
      </c>
      <c r="H63">
        <v>-24</v>
      </c>
      <c r="I63">
        <v>-20</v>
      </c>
      <c r="J63">
        <v>1.1599999999999999</v>
      </c>
      <c r="K63">
        <v>5.8027949999999997</v>
      </c>
      <c r="L63">
        <v>1.0759741795172151</v>
      </c>
      <c r="M63">
        <v>-1.46976543029232</v>
      </c>
      <c r="N63">
        <v>-0.53248184760828687</v>
      </c>
      <c r="O63">
        <v>-0.15491262673349071</v>
      </c>
    </row>
    <row r="64" spans="1:15" x14ac:dyDescent="0.25">
      <c r="A64">
        <v>13.04330375</v>
      </c>
      <c r="B64">
        <v>-2.2067744999999999</v>
      </c>
      <c r="C64">
        <v>0.90328300000000006</v>
      </c>
      <c r="D64">
        <v>17.965353</v>
      </c>
      <c r="E64">
        <v>12.964468</v>
      </c>
      <c r="F64">
        <v>2.6999999999999999E-5</v>
      </c>
      <c r="G64">
        <v>19.289911</v>
      </c>
      <c r="H64">
        <v>-24</v>
      </c>
      <c r="I64">
        <v>-16</v>
      </c>
      <c r="J64">
        <v>1.1675</v>
      </c>
      <c r="K64">
        <v>5.7484627499999998</v>
      </c>
      <c r="L64">
        <v>0.89158346962273394</v>
      </c>
      <c r="M64">
        <v>-1.48151365369582</v>
      </c>
      <c r="N64">
        <v>-0.46455865745451003</v>
      </c>
      <c r="O64">
        <v>-4.7878563434944392E-2</v>
      </c>
    </row>
    <row r="65" spans="1:15" x14ac:dyDescent="0.25">
      <c r="A65">
        <v>12.27683875</v>
      </c>
      <c r="B65">
        <v>-1.63097425</v>
      </c>
      <c r="C65">
        <v>2.8453845000000002</v>
      </c>
      <c r="D65">
        <v>19.016984000000001</v>
      </c>
      <c r="E65">
        <v>14.126798000000001</v>
      </c>
      <c r="F65">
        <v>2.6999999999999999E-5</v>
      </c>
      <c r="G65">
        <v>19.930240000000001</v>
      </c>
      <c r="H65">
        <v>-24</v>
      </c>
      <c r="I65">
        <v>-12</v>
      </c>
      <c r="J65">
        <v>1.165</v>
      </c>
      <c r="K65">
        <v>5.8493837499999994</v>
      </c>
      <c r="L65">
        <v>0.69760781130981186</v>
      </c>
      <c r="M65">
        <v>-1.5272411219289941</v>
      </c>
      <c r="N65">
        <v>-0.429265807690275</v>
      </c>
      <c r="O65">
        <v>4.4945098451419897E-2</v>
      </c>
    </row>
    <row r="66" spans="1:15" x14ac:dyDescent="0.25">
      <c r="A66">
        <v>11.013756000000001</v>
      </c>
      <c r="B66">
        <v>-1.247387</v>
      </c>
      <c r="C66">
        <v>5.058135</v>
      </c>
      <c r="D66">
        <v>19.805707999999999</v>
      </c>
      <c r="E66">
        <v>15.020898000000001</v>
      </c>
      <c r="F66">
        <v>2.6999999999999999E-5</v>
      </c>
      <c r="G66">
        <v>20.450505499999998</v>
      </c>
      <c r="H66">
        <v>-24</v>
      </c>
      <c r="I66">
        <v>-8</v>
      </c>
      <c r="J66">
        <v>1.1675</v>
      </c>
      <c r="K66">
        <v>5.9188917500000002</v>
      </c>
      <c r="L66">
        <v>0.45409550926728398</v>
      </c>
      <c r="M66">
        <v>-1.605198986890358</v>
      </c>
      <c r="N66">
        <v>-0.41397764653413122</v>
      </c>
      <c r="O66">
        <v>0.14528947802138131</v>
      </c>
    </row>
    <row r="67" spans="1:15" x14ac:dyDescent="0.25">
      <c r="A67">
        <v>9.5235707500000011</v>
      </c>
      <c r="B67">
        <v>-1.007501</v>
      </c>
      <c r="C67">
        <v>7.0904310000000006</v>
      </c>
      <c r="D67">
        <v>20.200068000000002</v>
      </c>
      <c r="E67">
        <v>15.467947499999999</v>
      </c>
      <c r="F67">
        <v>2.6999999999999999E-5</v>
      </c>
      <c r="G67">
        <v>20.730651000000002</v>
      </c>
      <c r="H67">
        <v>-24</v>
      </c>
      <c r="I67">
        <v>-4</v>
      </c>
      <c r="J67">
        <v>1.1599999999999999</v>
      </c>
      <c r="K67">
        <v>5.9784885000000001</v>
      </c>
      <c r="L67">
        <v>0.19580673049609171</v>
      </c>
      <c r="M67">
        <v>-1.7066607024914591</v>
      </c>
      <c r="N67">
        <v>-0.42356515280647627</v>
      </c>
      <c r="O67">
        <v>0.24476200586965571</v>
      </c>
    </row>
    <row r="68" spans="1:15" x14ac:dyDescent="0.25">
      <c r="A68">
        <v>7.8981942500000004</v>
      </c>
      <c r="B68">
        <v>-0.57568025</v>
      </c>
      <c r="C68">
        <v>9.3033755000000014</v>
      </c>
      <c r="D68">
        <v>20.550612000000001</v>
      </c>
      <c r="E68">
        <v>15.959704</v>
      </c>
      <c r="F68">
        <v>2.6999999999999999E-5</v>
      </c>
      <c r="G68">
        <v>21.090835500000001</v>
      </c>
      <c r="H68">
        <v>-24</v>
      </c>
      <c r="I68">
        <v>0</v>
      </c>
      <c r="J68">
        <v>1.1599999999999999</v>
      </c>
      <c r="K68">
        <v>6.0302042499999997</v>
      </c>
      <c r="L68">
        <v>-0.1142479095995772</v>
      </c>
      <c r="M68">
        <v>-1.717841321339425</v>
      </c>
      <c r="N68">
        <v>-0.41727287016069348</v>
      </c>
      <c r="O68">
        <v>0.29778964502146082</v>
      </c>
    </row>
    <row r="69" spans="1:15" x14ac:dyDescent="0.25">
      <c r="A69">
        <v>6.1372350000000004</v>
      </c>
      <c r="B69">
        <v>-0.5756</v>
      </c>
      <c r="C69">
        <v>11.200184</v>
      </c>
      <c r="D69">
        <v>20.901156</v>
      </c>
      <c r="E69">
        <v>16.138523249999999</v>
      </c>
      <c r="F69">
        <v>2.6999999999999999E-5</v>
      </c>
      <c r="G69">
        <v>21.491039499999999</v>
      </c>
      <c r="H69">
        <v>-24</v>
      </c>
      <c r="I69">
        <v>4</v>
      </c>
      <c r="J69">
        <v>1.1675</v>
      </c>
      <c r="K69">
        <v>6.0675904999999997</v>
      </c>
      <c r="L69">
        <v>-0.37904098881800391</v>
      </c>
      <c r="M69">
        <v>-1.6078822927145979</v>
      </c>
      <c r="N69">
        <v>-0.40072312758445028</v>
      </c>
      <c r="O69">
        <v>0.2081856998393054</v>
      </c>
    </row>
    <row r="70" spans="1:15" x14ac:dyDescent="0.25">
      <c r="A70">
        <v>4.0619104999999998</v>
      </c>
      <c r="B70">
        <v>-0.52770000000000006</v>
      </c>
      <c r="C70">
        <v>13.051831249999999</v>
      </c>
      <c r="D70">
        <v>20.857337999999999</v>
      </c>
      <c r="E70">
        <v>15.959704</v>
      </c>
      <c r="F70">
        <v>2.6999999999999999E-5</v>
      </c>
      <c r="G70">
        <v>21.731164</v>
      </c>
      <c r="H70">
        <v>-24</v>
      </c>
      <c r="I70">
        <v>8</v>
      </c>
      <c r="J70">
        <v>1.17</v>
      </c>
      <c r="K70">
        <v>6.0948465000000001</v>
      </c>
      <c r="L70">
        <v>-0.63338624393186138</v>
      </c>
      <c r="M70">
        <v>-1.5068378694392699</v>
      </c>
      <c r="N70">
        <v>-0.40669173961813387</v>
      </c>
      <c r="O70">
        <v>0.12451213425649291</v>
      </c>
    </row>
    <row r="71" spans="1:15" x14ac:dyDescent="0.25">
      <c r="A71">
        <v>1.8954519999999999</v>
      </c>
      <c r="B71">
        <v>-0.67153350000000001</v>
      </c>
      <c r="C71">
        <v>14.813153</v>
      </c>
      <c r="D71">
        <v>20.682065999999999</v>
      </c>
      <c r="E71">
        <v>15.512652750000001</v>
      </c>
      <c r="F71">
        <v>2.6999999999999999E-5</v>
      </c>
      <c r="G71">
        <v>22.091349000000001</v>
      </c>
      <c r="H71">
        <v>-24</v>
      </c>
      <c r="I71">
        <v>12</v>
      </c>
      <c r="J71">
        <v>1.17</v>
      </c>
      <c r="K71">
        <v>6.1451560000000001</v>
      </c>
      <c r="L71">
        <v>-0.8669534727386512</v>
      </c>
      <c r="M71">
        <v>-1.4331503699464421</v>
      </c>
      <c r="N71">
        <v>-0.44159485995798298</v>
      </c>
      <c r="O71">
        <v>4.1129629800170008E-2</v>
      </c>
    </row>
    <row r="72" spans="1:15" x14ac:dyDescent="0.25">
      <c r="A72">
        <v>-0.67583649999999995</v>
      </c>
      <c r="B72">
        <v>-1.7271609999999999</v>
      </c>
      <c r="C72">
        <v>16.258341000000001</v>
      </c>
      <c r="D72">
        <v>20.287704000000002</v>
      </c>
      <c r="E72">
        <v>14.305618000000001</v>
      </c>
      <c r="F72">
        <v>2.6999999999999999E-5</v>
      </c>
      <c r="G72">
        <v>22.371491249999998</v>
      </c>
      <c r="H72">
        <v>-24</v>
      </c>
      <c r="I72">
        <v>16</v>
      </c>
      <c r="J72">
        <v>1.1675</v>
      </c>
      <c r="K72">
        <v>6.1906452499999993</v>
      </c>
      <c r="L72">
        <v>-1.0920204156665569</v>
      </c>
      <c r="M72">
        <v>-1.419658709997466</v>
      </c>
      <c r="N72">
        <v>-0.52014716658613336</v>
      </c>
      <c r="O72">
        <v>-7.7476367294554233E-2</v>
      </c>
    </row>
    <row r="73" spans="1:15" x14ac:dyDescent="0.25">
      <c r="A73">
        <v>-3.0187390000000001</v>
      </c>
      <c r="B73">
        <v>-3.0225285</v>
      </c>
      <c r="C73">
        <v>17.342234000000001</v>
      </c>
      <c r="D73">
        <v>19.630436</v>
      </c>
      <c r="E73">
        <v>12.83035325</v>
      </c>
      <c r="F73">
        <v>2.6999999999999999E-5</v>
      </c>
      <c r="G73">
        <v>22.571594000000001</v>
      </c>
      <c r="H73">
        <v>-24</v>
      </c>
      <c r="I73">
        <v>20</v>
      </c>
      <c r="J73">
        <v>1.1625000000000001</v>
      </c>
      <c r="K73">
        <v>6.2316297499999997</v>
      </c>
      <c r="L73">
        <v>-1.2845496635901501</v>
      </c>
      <c r="M73">
        <v>-1.4291494274596961</v>
      </c>
      <c r="N73">
        <v>-0.61458710612699463</v>
      </c>
      <c r="O73">
        <v>-0.1905548434121408</v>
      </c>
    </row>
    <row r="74" spans="1:15" x14ac:dyDescent="0.25">
      <c r="A74">
        <v>-5.5869204999999997</v>
      </c>
      <c r="B74">
        <v>-5.13279525</v>
      </c>
      <c r="C74">
        <v>18.38096075</v>
      </c>
      <c r="D74">
        <v>18.710258</v>
      </c>
      <c r="E74">
        <v>10.684513750000001</v>
      </c>
      <c r="F74">
        <v>2.6999999999999999E-5</v>
      </c>
      <c r="G74">
        <v>22.891760000000001</v>
      </c>
      <c r="H74">
        <v>-24</v>
      </c>
      <c r="I74">
        <v>24</v>
      </c>
      <c r="J74">
        <v>1.17</v>
      </c>
      <c r="K74">
        <v>6.2554910000000001</v>
      </c>
      <c r="L74">
        <v>-1.4938816207818739</v>
      </c>
      <c r="M74">
        <v>-1.48608494350934</v>
      </c>
      <c r="N74">
        <v>-0.76086408139575767</v>
      </c>
      <c r="O74">
        <v>-0.33408061918360321</v>
      </c>
    </row>
    <row r="75" spans="1:15" x14ac:dyDescent="0.25">
      <c r="A75">
        <v>-7.8397104999999998</v>
      </c>
      <c r="B75">
        <v>-7.4358500000000003</v>
      </c>
      <c r="C75">
        <v>18.20031225</v>
      </c>
      <c r="D75">
        <v>16.606998000000001</v>
      </c>
      <c r="E75">
        <v>7.4657542499999998</v>
      </c>
      <c r="F75">
        <v>2.6999999999999999E-5</v>
      </c>
      <c r="G75">
        <v>22.011308</v>
      </c>
      <c r="H75">
        <v>-24</v>
      </c>
      <c r="I75">
        <v>28</v>
      </c>
      <c r="J75">
        <v>1.17</v>
      </c>
      <c r="K75">
        <v>6.1340035000000004</v>
      </c>
      <c r="L75">
        <v>-1.7241243451377311</v>
      </c>
      <c r="M75">
        <v>-1.59188044492662</v>
      </c>
      <c r="N75">
        <v>-0.96306839911563347</v>
      </c>
      <c r="O75">
        <v>-0.50567766236666967</v>
      </c>
    </row>
    <row r="76" spans="1:15" x14ac:dyDescent="0.25">
      <c r="A76">
        <v>-10.04744425</v>
      </c>
      <c r="B76">
        <v>-9.6433202500000004</v>
      </c>
      <c r="C76">
        <v>17.793853500000001</v>
      </c>
      <c r="D76">
        <v>14.59137125</v>
      </c>
      <c r="E76">
        <v>4.3364047499999998</v>
      </c>
      <c r="F76">
        <v>2.6999999999999999E-5</v>
      </c>
      <c r="G76">
        <v>21.2108965</v>
      </c>
      <c r="H76">
        <v>-24</v>
      </c>
      <c r="I76">
        <v>32</v>
      </c>
      <c r="J76">
        <v>1.17</v>
      </c>
      <c r="K76">
        <v>6.0214424999999991</v>
      </c>
      <c r="L76">
        <v>-1.963222717510696</v>
      </c>
      <c r="M76">
        <v>-1.7089062346461881</v>
      </c>
      <c r="N76">
        <v>-1.189943595447164</v>
      </c>
      <c r="O76">
        <v>-0.69424290300101354</v>
      </c>
    </row>
    <row r="77" spans="1:15" x14ac:dyDescent="0.25">
      <c r="A77">
        <v>-12.480458499999999</v>
      </c>
      <c r="B77">
        <v>-12.18523325</v>
      </c>
      <c r="C77">
        <v>17.522881999999999</v>
      </c>
      <c r="D77">
        <v>12.488110750000001</v>
      </c>
      <c r="E77">
        <v>0.67059550000000001</v>
      </c>
      <c r="F77">
        <v>2.6999999999999999E-5</v>
      </c>
      <c r="G77">
        <v>20.770671499999999</v>
      </c>
      <c r="H77">
        <v>-24</v>
      </c>
      <c r="I77">
        <v>36</v>
      </c>
      <c r="J77">
        <v>1.165</v>
      </c>
      <c r="K77">
        <v>5.971457</v>
      </c>
      <c r="L77">
        <v>-2.3073665623662469</v>
      </c>
      <c r="M77">
        <v>-1.897456295850825</v>
      </c>
      <c r="N77">
        <v>-1.5457646926440101</v>
      </c>
      <c r="O77">
        <v>-0.94843605266900766</v>
      </c>
    </row>
    <row r="78" spans="1:15" x14ac:dyDescent="0.25">
      <c r="A78">
        <v>17.512557749999999</v>
      </c>
      <c r="B78">
        <v>-9.4027917499999987</v>
      </c>
      <c r="C78">
        <v>-9.9677629999999997</v>
      </c>
      <c r="D78">
        <v>11.874658999999999</v>
      </c>
      <c r="E78">
        <v>5.49873425</v>
      </c>
      <c r="F78">
        <v>-4.8582500000000001E-2</v>
      </c>
      <c r="G78">
        <v>19.970260499999998</v>
      </c>
      <c r="H78">
        <v>-20</v>
      </c>
      <c r="I78">
        <v>-36</v>
      </c>
      <c r="J78">
        <v>1.165</v>
      </c>
      <c r="K78">
        <v>5.8623304999999997</v>
      </c>
      <c r="L78">
        <v>1.809827881882303</v>
      </c>
      <c r="M78">
        <v>-1.4013013691617771</v>
      </c>
      <c r="N78">
        <v>-0.95308219950858031</v>
      </c>
      <c r="O78">
        <v>-0.63463610406739168</v>
      </c>
    </row>
    <row r="79" spans="1:15" x14ac:dyDescent="0.25">
      <c r="A79">
        <v>18.051837500000001</v>
      </c>
      <c r="B79">
        <v>-7.0520769999999997</v>
      </c>
      <c r="C79">
        <v>-7.4419950000000004</v>
      </c>
      <c r="D79">
        <v>13.846465</v>
      </c>
      <c r="E79">
        <v>8.3151490000000017</v>
      </c>
      <c r="F79">
        <v>2.6999999999999999E-5</v>
      </c>
      <c r="G79">
        <v>20.610589000000001</v>
      </c>
      <c r="H79">
        <v>-20</v>
      </c>
      <c r="I79">
        <v>-32</v>
      </c>
      <c r="J79">
        <v>1.1675</v>
      </c>
      <c r="K79">
        <v>5.9419874999999998</v>
      </c>
      <c r="L79">
        <v>1.638276830356973</v>
      </c>
      <c r="M79">
        <v>-1.3429389158385401</v>
      </c>
      <c r="N79">
        <v>-0.79012868834452854</v>
      </c>
      <c r="O79">
        <v>-0.46568996662647288</v>
      </c>
    </row>
    <row r="80" spans="1:15" x14ac:dyDescent="0.25">
      <c r="A80">
        <v>18.007883499999998</v>
      </c>
      <c r="B80">
        <v>-4.7493560000000006</v>
      </c>
      <c r="C80">
        <v>-4.6907120000000004</v>
      </c>
      <c r="D80">
        <v>15.599183999999999</v>
      </c>
      <c r="E80">
        <v>10.95274375</v>
      </c>
      <c r="F80">
        <v>-4.8582500000000001E-2</v>
      </c>
      <c r="G80">
        <v>20.970773999999999</v>
      </c>
      <c r="H80">
        <v>-20</v>
      </c>
      <c r="I80">
        <v>-28</v>
      </c>
      <c r="J80">
        <v>1.1625000000000001</v>
      </c>
      <c r="K80">
        <v>6.0135389999999997</v>
      </c>
      <c r="L80">
        <v>1.448336176668531</v>
      </c>
      <c r="M80">
        <v>-1.298365669155698</v>
      </c>
      <c r="N80">
        <v>-0.63925341071195996</v>
      </c>
      <c r="O80">
        <v>-0.29803899863920341</v>
      </c>
    </row>
    <row r="81" spans="1:15" x14ac:dyDescent="0.25">
      <c r="A81">
        <v>17.737076500000001</v>
      </c>
      <c r="B81">
        <v>-2.6385417499999999</v>
      </c>
      <c r="C81">
        <v>-1.984532</v>
      </c>
      <c r="D81">
        <v>17.176629999999999</v>
      </c>
      <c r="E81">
        <v>13.45622225</v>
      </c>
      <c r="F81">
        <v>2.6999999999999999E-5</v>
      </c>
      <c r="G81">
        <v>21.3309575</v>
      </c>
      <c r="H81">
        <v>-20</v>
      </c>
      <c r="I81">
        <v>-24</v>
      </c>
      <c r="J81">
        <v>1.1599999999999999</v>
      </c>
      <c r="K81">
        <v>6.0644347500000002</v>
      </c>
      <c r="L81">
        <v>1.2507506504921579</v>
      </c>
      <c r="M81">
        <v>-1.256691875673166</v>
      </c>
      <c r="N81">
        <v>-0.4994070740193044</v>
      </c>
      <c r="O81">
        <v>-0.14659002259443901</v>
      </c>
    </row>
    <row r="82" spans="1:15" x14ac:dyDescent="0.25">
      <c r="A82">
        <v>17.23951125</v>
      </c>
      <c r="B82">
        <v>-1.1033010000000001</v>
      </c>
      <c r="C82">
        <v>0.49676049999999999</v>
      </c>
      <c r="D82">
        <v>18.578804000000002</v>
      </c>
      <c r="E82">
        <v>15.289127499999999</v>
      </c>
      <c r="F82">
        <v>2.6999999999999999E-5</v>
      </c>
      <c r="G82">
        <v>21.731164</v>
      </c>
      <c r="H82">
        <v>-20</v>
      </c>
      <c r="I82">
        <v>-20</v>
      </c>
      <c r="J82">
        <v>1.1599999999999999</v>
      </c>
      <c r="K82">
        <v>6.1210604999999996</v>
      </c>
      <c r="L82">
        <v>1.073795516752442</v>
      </c>
      <c r="M82">
        <v>-1.2623338763685541</v>
      </c>
      <c r="N82">
        <v>-0.41317449550901342</v>
      </c>
      <c r="O82">
        <v>-1.941740249626903E-2</v>
      </c>
    </row>
    <row r="83" spans="1:15" x14ac:dyDescent="0.25">
      <c r="A83">
        <v>16.249817</v>
      </c>
      <c r="B83">
        <v>4.8109499999999999E-2</v>
      </c>
      <c r="C83">
        <v>2.5742182499999999</v>
      </c>
      <c r="D83">
        <v>19.630436</v>
      </c>
      <c r="E83">
        <v>16.809097000000001</v>
      </c>
      <c r="F83">
        <v>2.6999999999999999E-5</v>
      </c>
      <c r="G83">
        <v>21.971287499999999</v>
      </c>
      <c r="H83">
        <v>-20</v>
      </c>
      <c r="I83">
        <v>-16</v>
      </c>
      <c r="J83">
        <v>1.1599999999999999</v>
      </c>
      <c r="K83">
        <v>6.1547862499999999</v>
      </c>
      <c r="L83">
        <v>0.88241200848814061</v>
      </c>
      <c r="M83">
        <v>-1.263550733315719</v>
      </c>
      <c r="N83">
        <v>-0.33312151778901228</v>
      </c>
      <c r="O83">
        <v>8.4630393978675861E-2</v>
      </c>
    </row>
    <row r="84" spans="1:15" x14ac:dyDescent="0.25">
      <c r="A84">
        <v>15.16550975</v>
      </c>
      <c r="B84">
        <v>1.0101217499999999</v>
      </c>
      <c r="C84">
        <v>4.9678110000000002</v>
      </c>
      <c r="D84">
        <v>20.506793999999999</v>
      </c>
      <c r="E84">
        <v>18.016133499999999</v>
      </c>
      <c r="F84">
        <v>2.6999999999999999E-5</v>
      </c>
      <c r="G84">
        <v>22.291449750000002</v>
      </c>
      <c r="H84">
        <v>-20</v>
      </c>
      <c r="I84">
        <v>-12</v>
      </c>
      <c r="J84">
        <v>1.17</v>
      </c>
      <c r="K84">
        <v>6.1729172499999994</v>
      </c>
      <c r="L84">
        <v>0.67862552979304669</v>
      </c>
      <c r="M84">
        <v>-1.297445848344138</v>
      </c>
      <c r="N84">
        <v>-0.28452162278921289</v>
      </c>
      <c r="O84">
        <v>0.19892003499887809</v>
      </c>
    </row>
    <row r="85" spans="1:15" x14ac:dyDescent="0.25">
      <c r="A85">
        <v>13.812340000000001</v>
      </c>
      <c r="B85">
        <v>1.539228</v>
      </c>
      <c r="C85">
        <v>7.2710792499999997</v>
      </c>
      <c r="D85">
        <v>21.207879999999999</v>
      </c>
      <c r="E85">
        <v>18.954937000000001</v>
      </c>
      <c r="F85">
        <v>2.6999999999999999E-5</v>
      </c>
      <c r="G85">
        <v>22.611614500000002</v>
      </c>
      <c r="H85">
        <v>-20</v>
      </c>
      <c r="I85">
        <v>-8</v>
      </c>
      <c r="J85">
        <v>1.1625000000000001</v>
      </c>
      <c r="K85">
        <v>6.23715025</v>
      </c>
      <c r="L85">
        <v>0.44957630035772839</v>
      </c>
      <c r="M85">
        <v>-1.3518273133533081</v>
      </c>
      <c r="N85">
        <v>-0.25131932250656031</v>
      </c>
      <c r="O85">
        <v>0.30277179443480678</v>
      </c>
    </row>
    <row r="86" spans="1:15" x14ac:dyDescent="0.25">
      <c r="A86">
        <v>12.0060205</v>
      </c>
      <c r="B86">
        <v>1.68353025</v>
      </c>
      <c r="C86">
        <v>9.3937000000000008</v>
      </c>
      <c r="D86">
        <v>21.514606499999999</v>
      </c>
      <c r="E86">
        <v>19.267871249999999</v>
      </c>
      <c r="F86">
        <v>2.6999999999999999E-5</v>
      </c>
      <c r="G86">
        <v>22.851738999999998</v>
      </c>
      <c r="H86">
        <v>-20</v>
      </c>
      <c r="I86">
        <v>-4</v>
      </c>
      <c r="J86">
        <v>1.165</v>
      </c>
      <c r="K86">
        <v>6.2634657499999999</v>
      </c>
      <c r="L86">
        <v>0.19028530545150821</v>
      </c>
      <c r="M86">
        <v>-1.44445048688175</v>
      </c>
      <c r="N86">
        <v>-0.26105965879707771</v>
      </c>
      <c r="O86">
        <v>0.40340983669014052</v>
      </c>
    </row>
    <row r="87" spans="1:15" x14ac:dyDescent="0.25">
      <c r="A87">
        <v>9.883385500000001</v>
      </c>
      <c r="B87">
        <v>1.9721344999999999</v>
      </c>
      <c r="C87">
        <v>11.15502175</v>
      </c>
      <c r="D87">
        <v>21.076427500000001</v>
      </c>
      <c r="E87">
        <v>18.999642000000001</v>
      </c>
      <c r="F87">
        <v>2.6999999999999999E-5</v>
      </c>
      <c r="G87">
        <v>22.331470499999998</v>
      </c>
      <c r="H87">
        <v>-20</v>
      </c>
      <c r="I87">
        <v>0</v>
      </c>
      <c r="J87">
        <v>1.17</v>
      </c>
      <c r="K87">
        <v>6.1784534999999998</v>
      </c>
      <c r="L87">
        <v>-9.7257013749405485E-2</v>
      </c>
      <c r="M87">
        <v>-1.461497188154997</v>
      </c>
      <c r="N87">
        <v>-0.25489911645515029</v>
      </c>
      <c r="O87">
        <v>0.45347782887116023</v>
      </c>
    </row>
    <row r="88" spans="1:15" x14ac:dyDescent="0.25">
      <c r="A88">
        <v>7.6725257500000001</v>
      </c>
      <c r="B88">
        <v>1.9721344999999999</v>
      </c>
      <c r="C88">
        <v>12.555047</v>
      </c>
      <c r="D88">
        <v>20.243886</v>
      </c>
      <c r="E88">
        <v>18.284361499999999</v>
      </c>
      <c r="F88">
        <v>-4.8582500000000001E-2</v>
      </c>
      <c r="G88">
        <v>21.571080500000001</v>
      </c>
      <c r="H88">
        <v>-20</v>
      </c>
      <c r="I88">
        <v>4</v>
      </c>
      <c r="J88">
        <v>1.17</v>
      </c>
      <c r="K88">
        <v>6.0791760000000004</v>
      </c>
      <c r="L88">
        <v>-0.36273037429422378</v>
      </c>
      <c r="M88">
        <v>-1.357324581723812</v>
      </c>
      <c r="N88">
        <v>-0.24419423358563949</v>
      </c>
      <c r="O88">
        <v>0.36191733202571069</v>
      </c>
    </row>
    <row r="89" spans="1:15" x14ac:dyDescent="0.25">
      <c r="A89">
        <v>5.4606807499999999</v>
      </c>
      <c r="B89">
        <v>2.0683354999999999</v>
      </c>
      <c r="C89">
        <v>13.90991</v>
      </c>
      <c r="D89">
        <v>19.455164</v>
      </c>
      <c r="E89">
        <v>17.479672999999998</v>
      </c>
      <c r="F89">
        <v>2.6999999999999999E-5</v>
      </c>
      <c r="G89">
        <v>21.050815</v>
      </c>
      <c r="H89">
        <v>-20</v>
      </c>
      <c r="I89">
        <v>8</v>
      </c>
      <c r="J89">
        <v>1.17</v>
      </c>
      <c r="K89">
        <v>5.9986765000000002</v>
      </c>
      <c r="L89">
        <v>-0.61607344155261734</v>
      </c>
      <c r="M89">
        <v>-1.267743219847089</v>
      </c>
      <c r="N89">
        <v>-0.26042535894705598</v>
      </c>
      <c r="O89">
        <v>0.27451413430930299</v>
      </c>
    </row>
    <row r="90" spans="1:15" x14ac:dyDescent="0.25">
      <c r="A90">
        <v>3.4300665000000001</v>
      </c>
      <c r="B90">
        <v>1.7316309999999999</v>
      </c>
      <c r="C90">
        <v>14.993802000000001</v>
      </c>
      <c r="D90">
        <v>18.622622</v>
      </c>
      <c r="E90">
        <v>16.451457999999999</v>
      </c>
      <c r="F90">
        <v>2.6999999999999999E-5</v>
      </c>
      <c r="G90">
        <v>20.65061</v>
      </c>
      <c r="H90">
        <v>-20</v>
      </c>
      <c r="I90">
        <v>12</v>
      </c>
      <c r="J90">
        <v>1.165</v>
      </c>
      <c r="K90">
        <v>5.9541694999999999</v>
      </c>
      <c r="L90">
        <v>-0.8336861984719377</v>
      </c>
      <c r="M90">
        <v>-1.217754128749293</v>
      </c>
      <c r="N90">
        <v>-0.3027373870406273</v>
      </c>
      <c r="O90">
        <v>0.18606405150829791</v>
      </c>
    </row>
    <row r="91" spans="1:15" x14ac:dyDescent="0.25">
      <c r="A91">
        <v>1.2637039999999999</v>
      </c>
      <c r="B91">
        <v>0.96202100000000002</v>
      </c>
      <c r="C91">
        <v>15.6271065</v>
      </c>
      <c r="D91">
        <v>17.439537999999999</v>
      </c>
      <c r="E91">
        <v>14.842078000000001</v>
      </c>
      <c r="F91">
        <v>2.6999999999999999E-5</v>
      </c>
      <c r="G91">
        <v>20.010280999999999</v>
      </c>
      <c r="H91">
        <v>-20</v>
      </c>
      <c r="I91">
        <v>16</v>
      </c>
      <c r="J91">
        <v>1.1625000000000001</v>
      </c>
      <c r="K91">
        <v>5.8674182500000001</v>
      </c>
      <c r="L91">
        <v>-1.0461925158892249</v>
      </c>
      <c r="M91">
        <v>-1.200179029493273</v>
      </c>
      <c r="N91">
        <v>-0.37643833328613069</v>
      </c>
      <c r="O91">
        <v>8.1056015212202917E-2</v>
      </c>
    </row>
    <row r="92" spans="1:15" x14ac:dyDescent="0.25">
      <c r="A92">
        <v>-0.90111600000000003</v>
      </c>
      <c r="B92">
        <v>-0.28785349999999998</v>
      </c>
      <c r="C92">
        <v>16.260480999999999</v>
      </c>
      <c r="D92">
        <v>16.256452500000002</v>
      </c>
      <c r="E92">
        <v>13.009173000000001</v>
      </c>
      <c r="F92">
        <v>2.6999999999999999E-5</v>
      </c>
      <c r="G92">
        <v>19.690117000000001</v>
      </c>
      <c r="H92">
        <v>-20</v>
      </c>
      <c r="I92">
        <v>20</v>
      </c>
      <c r="J92">
        <v>1.1625000000000001</v>
      </c>
      <c r="K92">
        <v>5.8202897499999997</v>
      </c>
      <c r="L92">
        <v>-1.261628674125163</v>
      </c>
      <c r="M92">
        <v>-1.216223062265096</v>
      </c>
      <c r="N92">
        <v>-0.49119177354551879</v>
      </c>
      <c r="O92">
        <v>-4.3681238094019192E-2</v>
      </c>
    </row>
    <row r="93" spans="1:15" x14ac:dyDescent="0.25">
      <c r="A93">
        <v>-3.0637949999999998</v>
      </c>
      <c r="B93">
        <v>-2.0629947500000001</v>
      </c>
      <c r="C93">
        <v>16.621825999999999</v>
      </c>
      <c r="D93">
        <v>14.941915249999999</v>
      </c>
      <c r="E93">
        <v>10.729217999999999</v>
      </c>
      <c r="F93">
        <v>2.6999999999999999E-5</v>
      </c>
      <c r="G93">
        <v>19.369952999999999</v>
      </c>
      <c r="H93">
        <v>-20</v>
      </c>
      <c r="I93">
        <v>24</v>
      </c>
      <c r="J93">
        <v>1.1675</v>
      </c>
      <c r="K93">
        <v>5.7604022500000003</v>
      </c>
      <c r="L93">
        <v>-1.480958625319541</v>
      </c>
      <c r="M93">
        <v>-1.279262230247862</v>
      </c>
      <c r="N93">
        <v>-0.6500467326576731</v>
      </c>
      <c r="O93">
        <v>-0.19283769799558581</v>
      </c>
    </row>
    <row r="94" spans="1:15" x14ac:dyDescent="0.25">
      <c r="A94">
        <v>-5.4968085000000002</v>
      </c>
      <c r="B94">
        <v>-4.3661830000000004</v>
      </c>
      <c r="C94">
        <v>17.342234000000001</v>
      </c>
      <c r="D94">
        <v>13.89028325</v>
      </c>
      <c r="E94">
        <v>8.2704440000000012</v>
      </c>
      <c r="F94">
        <v>2.6999999999999999E-5</v>
      </c>
      <c r="G94">
        <v>19.610075999999999</v>
      </c>
      <c r="H94">
        <v>-20</v>
      </c>
      <c r="I94">
        <v>28</v>
      </c>
      <c r="J94">
        <v>1.1675</v>
      </c>
      <c r="K94">
        <v>5.7959972499999992</v>
      </c>
      <c r="L94">
        <v>-1.729978099354059</v>
      </c>
      <c r="M94">
        <v>-1.382874370481509</v>
      </c>
      <c r="N94">
        <v>-0.85893883925801584</v>
      </c>
      <c r="O94">
        <v>-0.37354449010908081</v>
      </c>
    </row>
    <row r="95" spans="1:15" x14ac:dyDescent="0.25">
      <c r="A95">
        <v>-8.0649885000000001</v>
      </c>
      <c r="B95">
        <v>-6.8131655000000002</v>
      </c>
      <c r="C95">
        <v>18.06601525</v>
      </c>
      <c r="D95">
        <v>12.7071995</v>
      </c>
      <c r="E95">
        <v>5.49873425</v>
      </c>
      <c r="F95">
        <v>2.6999999999999999E-5</v>
      </c>
      <c r="G95">
        <v>20.130341749999999</v>
      </c>
      <c r="H95">
        <v>-20</v>
      </c>
      <c r="I95">
        <v>32</v>
      </c>
      <c r="J95">
        <v>1.1599999999999999</v>
      </c>
      <c r="K95">
        <v>5.8912929999999992</v>
      </c>
      <c r="L95">
        <v>-2.0199425006949001</v>
      </c>
      <c r="M95">
        <v>-1.5089817899524001</v>
      </c>
      <c r="N95">
        <v>-1.131165986675001</v>
      </c>
      <c r="O95">
        <v>-0.57499961572611669</v>
      </c>
    </row>
    <row r="96" spans="1:15" x14ac:dyDescent="0.25">
      <c r="A96">
        <v>-10.81339275</v>
      </c>
      <c r="B96">
        <v>-9.7392664999999994</v>
      </c>
      <c r="C96">
        <v>18.471285000000002</v>
      </c>
      <c r="D96">
        <v>11.261208</v>
      </c>
      <c r="E96">
        <v>1.9223345000000001</v>
      </c>
      <c r="F96">
        <v>2.6999999999999999E-5</v>
      </c>
      <c r="G96">
        <v>20.65061</v>
      </c>
      <c r="H96">
        <v>-20</v>
      </c>
      <c r="I96">
        <v>36</v>
      </c>
      <c r="J96">
        <v>1.17</v>
      </c>
      <c r="K96">
        <v>5.9413919999999996</v>
      </c>
      <c r="L96">
        <v>-2.4008202496129609</v>
      </c>
      <c r="M96">
        <v>-1.7216419566459349</v>
      </c>
      <c r="N96">
        <v>-1.535448870352937</v>
      </c>
      <c r="O96">
        <v>-0.84243478858803089</v>
      </c>
    </row>
    <row r="97" spans="1:15" x14ac:dyDescent="0.25">
      <c r="A97">
        <v>19.499786</v>
      </c>
      <c r="B97">
        <v>-7.3889250000000004</v>
      </c>
      <c r="C97">
        <v>-9.8324540000000002</v>
      </c>
      <c r="D97">
        <v>11.129754</v>
      </c>
      <c r="E97">
        <v>6.9739990000000001</v>
      </c>
      <c r="F97">
        <v>2.6999999999999999E-5</v>
      </c>
      <c r="G97">
        <v>21.090835500000001</v>
      </c>
      <c r="H97">
        <v>-16</v>
      </c>
      <c r="I97">
        <v>-36</v>
      </c>
      <c r="J97">
        <v>1.1625000000000001</v>
      </c>
      <c r="K97">
        <v>6.0237662500000004</v>
      </c>
      <c r="L97">
        <v>1.8821516787786621</v>
      </c>
      <c r="M97">
        <v>-1.18826670709624</v>
      </c>
      <c r="N97">
        <v>-0.9058621321384952</v>
      </c>
      <c r="O97">
        <v>-0.55249533578030396</v>
      </c>
    </row>
    <row r="98" spans="1:15" x14ac:dyDescent="0.25">
      <c r="A98">
        <v>19.857021249999999</v>
      </c>
      <c r="B98">
        <v>-4.9412494999999996</v>
      </c>
      <c r="C98">
        <v>-7.1262734999999999</v>
      </c>
      <c r="D98">
        <v>13.013925</v>
      </c>
      <c r="E98">
        <v>10.013939000000001</v>
      </c>
      <c r="F98">
        <v>2.6999999999999999E-5</v>
      </c>
      <c r="G98">
        <v>21.451018999999999</v>
      </c>
      <c r="H98">
        <v>-16</v>
      </c>
      <c r="I98">
        <v>-32</v>
      </c>
      <c r="J98">
        <v>1.17</v>
      </c>
      <c r="K98">
        <v>6.0554410000000001</v>
      </c>
      <c r="L98">
        <v>1.6814581013578329</v>
      </c>
      <c r="M98">
        <v>-1.11887031608615</v>
      </c>
      <c r="N98">
        <v>-0.71270915462681805</v>
      </c>
      <c r="O98">
        <v>-0.37597649434756503</v>
      </c>
    </row>
    <row r="99" spans="1:15" x14ac:dyDescent="0.25">
      <c r="A99">
        <v>19.813185499999999</v>
      </c>
      <c r="B99">
        <v>-2.5425949999999999</v>
      </c>
      <c r="C99">
        <v>-4.1494759999999999</v>
      </c>
      <c r="D99">
        <v>14.898097</v>
      </c>
      <c r="E99">
        <v>12.696239</v>
      </c>
      <c r="F99">
        <v>2.6999999999999999E-5</v>
      </c>
      <c r="G99">
        <v>21.731164</v>
      </c>
      <c r="H99">
        <v>-16</v>
      </c>
      <c r="I99">
        <v>-28</v>
      </c>
      <c r="J99">
        <v>1.1675</v>
      </c>
      <c r="K99">
        <v>6.1014059999999999</v>
      </c>
      <c r="L99">
        <v>1.4937251726060661</v>
      </c>
      <c r="M99">
        <v>-1.087183288025793</v>
      </c>
      <c r="N99">
        <v>-0.5631990626890917</v>
      </c>
      <c r="O99">
        <v>-0.20854673564885101</v>
      </c>
    </row>
    <row r="100" spans="1:15" x14ac:dyDescent="0.25">
      <c r="A100">
        <v>19.498518749999999</v>
      </c>
      <c r="B100">
        <v>-0.19190450000000001</v>
      </c>
      <c r="C100">
        <v>-1.037369</v>
      </c>
      <c r="D100">
        <v>16.475543999999999</v>
      </c>
      <c r="E100">
        <v>15.199718000000001</v>
      </c>
      <c r="F100">
        <v>2.6999999999999999E-5</v>
      </c>
      <c r="G100">
        <v>22.091349000000001</v>
      </c>
      <c r="H100">
        <v>-16</v>
      </c>
      <c r="I100">
        <v>-24</v>
      </c>
      <c r="J100">
        <v>1.165</v>
      </c>
      <c r="K100">
        <v>6.1583714999999994</v>
      </c>
      <c r="L100">
        <v>1.298584901475426</v>
      </c>
      <c r="M100">
        <v>-1.0539342353661449</v>
      </c>
      <c r="N100">
        <v>-0.43580155435960871</v>
      </c>
      <c r="O100">
        <v>-3.8827098609058593E-2</v>
      </c>
    </row>
    <row r="101" spans="1:15" x14ac:dyDescent="0.25">
      <c r="A101">
        <v>18.9556605</v>
      </c>
      <c r="B101">
        <v>1.4430270000000001</v>
      </c>
      <c r="C101">
        <v>1.49032725</v>
      </c>
      <c r="D101">
        <v>18.052990000000001</v>
      </c>
      <c r="E101">
        <v>17.390263000000001</v>
      </c>
      <c r="F101">
        <v>2.6999999999999999E-5</v>
      </c>
      <c r="G101">
        <v>22.451532499999999</v>
      </c>
      <c r="H101">
        <v>-16</v>
      </c>
      <c r="I101">
        <v>-20</v>
      </c>
      <c r="J101">
        <v>1.1625000000000001</v>
      </c>
      <c r="K101">
        <v>6.2150089999999993</v>
      </c>
      <c r="L101">
        <v>1.096873080634337</v>
      </c>
      <c r="M101">
        <v>-1.043135874376238</v>
      </c>
      <c r="N101">
        <v>-0.3178740025651553</v>
      </c>
      <c r="O101">
        <v>9.2148351181815052E-2</v>
      </c>
    </row>
    <row r="102" spans="1:15" x14ac:dyDescent="0.25">
      <c r="A102">
        <v>18.05301</v>
      </c>
      <c r="B102">
        <v>2.6936429999999998</v>
      </c>
      <c r="C102">
        <v>3.8839199999999998</v>
      </c>
      <c r="D102">
        <v>19.104620000000001</v>
      </c>
      <c r="E102">
        <v>18.910232000000001</v>
      </c>
      <c r="F102">
        <v>2.6999999999999999E-5</v>
      </c>
      <c r="G102">
        <v>22.611614500000002</v>
      </c>
      <c r="H102">
        <v>-16</v>
      </c>
      <c r="I102">
        <v>-16</v>
      </c>
      <c r="J102">
        <v>1.1599999999999999</v>
      </c>
      <c r="K102">
        <v>6.2438295000000004</v>
      </c>
      <c r="L102">
        <v>0.90704216024322371</v>
      </c>
      <c r="M102">
        <v>-1.050558384584042</v>
      </c>
      <c r="N102">
        <v>-0.2369478331584024</v>
      </c>
      <c r="O102">
        <v>0.2105315988020515</v>
      </c>
    </row>
    <row r="103" spans="1:15" x14ac:dyDescent="0.25">
      <c r="A103">
        <v>16.879564500000001</v>
      </c>
      <c r="B103">
        <v>3.7999575000000001</v>
      </c>
      <c r="C103">
        <v>6.4581615000000001</v>
      </c>
      <c r="D103">
        <v>20.024797499999998</v>
      </c>
      <c r="E103">
        <v>20.206676000000002</v>
      </c>
      <c r="F103">
        <v>2.6999999999999999E-5</v>
      </c>
      <c r="G103">
        <v>22.891760000000001</v>
      </c>
      <c r="H103">
        <v>-16</v>
      </c>
      <c r="I103">
        <v>-12</v>
      </c>
      <c r="J103">
        <v>1.17</v>
      </c>
      <c r="K103">
        <v>6.2554910000000001</v>
      </c>
      <c r="L103">
        <v>0.69115785386141493</v>
      </c>
      <c r="M103">
        <v>-1.076062327798438</v>
      </c>
      <c r="N103">
        <v>-0.17808919456843739</v>
      </c>
      <c r="O103">
        <v>0.34021350741247602</v>
      </c>
    </row>
    <row r="104" spans="1:15" x14ac:dyDescent="0.25">
      <c r="A104">
        <v>14.804427</v>
      </c>
      <c r="B104">
        <v>4.0885615</v>
      </c>
      <c r="C104">
        <v>8.3098080000000003</v>
      </c>
      <c r="D104">
        <v>19.761890000000001</v>
      </c>
      <c r="E104">
        <v>20.027858999999999</v>
      </c>
      <c r="F104">
        <v>2.6999999999999999E-5</v>
      </c>
      <c r="G104">
        <v>22.131368999999999</v>
      </c>
      <c r="H104">
        <v>-16</v>
      </c>
      <c r="I104">
        <v>-8</v>
      </c>
      <c r="J104">
        <v>1.17</v>
      </c>
      <c r="K104">
        <v>6.1507122499999998</v>
      </c>
      <c r="L104">
        <v>0.46965310603977339</v>
      </c>
      <c r="M104">
        <v>-1.133368945829738</v>
      </c>
      <c r="N104">
        <v>-0.1521085298102558</v>
      </c>
      <c r="O104">
        <v>0.44829605547908541</v>
      </c>
    </row>
    <row r="105" spans="1:15" x14ac:dyDescent="0.25">
      <c r="A105">
        <v>12.5460335</v>
      </c>
      <c r="B105">
        <v>4.232863</v>
      </c>
      <c r="C105">
        <v>9.9356439999999999</v>
      </c>
      <c r="D105">
        <v>19.236073999999999</v>
      </c>
      <c r="E105">
        <v>19.804330749999998</v>
      </c>
      <c r="F105">
        <v>2.6999999999999999E-5</v>
      </c>
      <c r="G105">
        <v>21.451018999999999</v>
      </c>
      <c r="H105">
        <v>-16</v>
      </c>
      <c r="I105">
        <v>-4</v>
      </c>
      <c r="J105">
        <v>1.17</v>
      </c>
      <c r="K105">
        <v>6.0554410000000001</v>
      </c>
      <c r="L105">
        <v>0.20525059855640959</v>
      </c>
      <c r="M105">
        <v>-1.17954676598346</v>
      </c>
      <c r="N105">
        <v>-0.12949798632208631</v>
      </c>
      <c r="O105">
        <v>0.55695344692579285</v>
      </c>
    </row>
    <row r="106" spans="1:15" x14ac:dyDescent="0.25">
      <c r="A106">
        <v>10.652649</v>
      </c>
      <c r="B106">
        <v>4.4252659999999997</v>
      </c>
      <c r="C106">
        <v>11.606643</v>
      </c>
      <c r="D106">
        <v>18.929348000000001</v>
      </c>
      <c r="E106">
        <v>19.536103000000001</v>
      </c>
      <c r="F106">
        <v>2.6999999999999999E-5</v>
      </c>
      <c r="G106">
        <v>21.090835500000001</v>
      </c>
      <c r="H106">
        <v>-16</v>
      </c>
      <c r="I106">
        <v>0</v>
      </c>
      <c r="J106">
        <v>1.17</v>
      </c>
      <c r="K106">
        <v>6.0043787499999999</v>
      </c>
      <c r="L106">
        <v>-7.9535627582468585E-2</v>
      </c>
      <c r="M106">
        <v>-1.2090110716308491</v>
      </c>
      <c r="N106">
        <v>-0.12962623757360639</v>
      </c>
      <c r="O106">
        <v>0.62841967128671039</v>
      </c>
    </row>
    <row r="107" spans="1:15" x14ac:dyDescent="0.25">
      <c r="A107">
        <v>8.3940999999999999</v>
      </c>
      <c r="B107">
        <v>4.3290644999999994</v>
      </c>
      <c r="C107">
        <v>13.006669</v>
      </c>
      <c r="D107">
        <v>18.272078499999999</v>
      </c>
      <c r="E107">
        <v>18.820822</v>
      </c>
      <c r="F107">
        <v>2.6999999999999999E-5</v>
      </c>
      <c r="G107">
        <v>20.490525999999999</v>
      </c>
      <c r="H107">
        <v>-16</v>
      </c>
      <c r="I107">
        <v>4</v>
      </c>
      <c r="J107">
        <v>1.17</v>
      </c>
      <c r="K107">
        <v>5.9183190000000003</v>
      </c>
      <c r="L107">
        <v>-0.37025515029910488</v>
      </c>
      <c r="M107">
        <v>-1.119067323943115</v>
      </c>
      <c r="N107">
        <v>-0.13405797935733091</v>
      </c>
      <c r="O107">
        <v>0.51061091451512763</v>
      </c>
    </row>
    <row r="108" spans="1:15" x14ac:dyDescent="0.25">
      <c r="A108">
        <v>6.4994952499999998</v>
      </c>
      <c r="B108">
        <v>4.2809637499999997</v>
      </c>
      <c r="C108">
        <v>14.181812000000001</v>
      </c>
      <c r="D108">
        <v>17.702445999999998</v>
      </c>
      <c r="E108">
        <v>18.150247499999999</v>
      </c>
      <c r="F108">
        <v>-4.8582500000000001E-2</v>
      </c>
      <c r="G108">
        <v>20.090321500000002</v>
      </c>
      <c r="H108">
        <v>-16</v>
      </c>
      <c r="I108">
        <v>8</v>
      </c>
      <c r="J108">
        <v>1.17</v>
      </c>
      <c r="K108">
        <v>5.8673124999999997</v>
      </c>
      <c r="L108">
        <v>-0.60212772004241544</v>
      </c>
      <c r="M108">
        <v>-1.051881412068483</v>
      </c>
      <c r="N108">
        <v>-0.15213069578899779</v>
      </c>
      <c r="O108">
        <v>0.42631838192286509</v>
      </c>
    </row>
    <row r="109" spans="1:15" x14ac:dyDescent="0.25">
      <c r="A109">
        <v>4.4235419999999994</v>
      </c>
      <c r="B109">
        <v>3.8961587500000001</v>
      </c>
      <c r="C109">
        <v>15.219613000000001</v>
      </c>
      <c r="D109">
        <v>16.913723000000001</v>
      </c>
      <c r="E109">
        <v>17.211442250000001</v>
      </c>
      <c r="F109">
        <v>2.6999999999999999E-5</v>
      </c>
      <c r="G109">
        <v>19.770157999999999</v>
      </c>
      <c r="H109">
        <v>-16</v>
      </c>
      <c r="I109">
        <v>12</v>
      </c>
      <c r="J109">
        <v>1.1599999999999999</v>
      </c>
      <c r="K109">
        <v>5.8383465000000001</v>
      </c>
      <c r="L109">
        <v>-0.8271900428920711</v>
      </c>
      <c r="M109">
        <v>-0.99737041633776125</v>
      </c>
      <c r="N109">
        <v>-0.196055071672778</v>
      </c>
      <c r="O109">
        <v>0.31877017751898812</v>
      </c>
    </row>
    <row r="110" spans="1:15" x14ac:dyDescent="0.25">
      <c r="A110">
        <v>2.3467419999999999</v>
      </c>
      <c r="B110">
        <v>3.1746500000000002</v>
      </c>
      <c r="C110">
        <v>16.800287000000001</v>
      </c>
      <c r="D110">
        <v>16.475543999999999</v>
      </c>
      <c r="E110">
        <v>16.451457999999999</v>
      </c>
      <c r="F110">
        <v>2.6999999999999999E-5</v>
      </c>
      <c r="G110">
        <v>20.330444</v>
      </c>
      <c r="H110">
        <v>-16</v>
      </c>
      <c r="I110">
        <v>16</v>
      </c>
      <c r="J110">
        <v>1.1599999999999999</v>
      </c>
      <c r="K110">
        <v>5.9205100000000002</v>
      </c>
      <c r="L110">
        <v>-1.055728193869911</v>
      </c>
      <c r="M110">
        <v>-0.97151058341689966</v>
      </c>
      <c r="N110">
        <v>-0.2833322224975055</v>
      </c>
      <c r="O110">
        <v>0.2016595338303252</v>
      </c>
    </row>
    <row r="111" spans="1:15" x14ac:dyDescent="0.25">
      <c r="A111">
        <v>-1.6249999999999999E-5</v>
      </c>
      <c r="B111">
        <v>1.7797317500000001</v>
      </c>
      <c r="C111">
        <v>18.064827000000001</v>
      </c>
      <c r="D111">
        <v>15.993546</v>
      </c>
      <c r="E111">
        <v>15.020898000000001</v>
      </c>
      <c r="F111">
        <v>2.6999999999999999E-5</v>
      </c>
      <c r="G111">
        <v>20.810692</v>
      </c>
      <c r="H111">
        <v>-16</v>
      </c>
      <c r="I111">
        <v>20</v>
      </c>
      <c r="J111">
        <v>1.1599999999999999</v>
      </c>
      <c r="K111">
        <v>5.99003</v>
      </c>
      <c r="L111">
        <v>-1.278391430896233</v>
      </c>
      <c r="M111">
        <v>-1.0058436360869181</v>
      </c>
      <c r="N111">
        <v>-0.409725283912238</v>
      </c>
      <c r="O111">
        <v>6.2979207046762645E-2</v>
      </c>
    </row>
    <row r="112" spans="1:15" x14ac:dyDescent="0.25">
      <c r="A112">
        <v>-2.5231257500000002</v>
      </c>
      <c r="B112">
        <v>-0.14391124999999999</v>
      </c>
      <c r="C112">
        <v>19.2390425</v>
      </c>
      <c r="D112">
        <v>15.117187749999999</v>
      </c>
      <c r="E112">
        <v>13.009173000000001</v>
      </c>
      <c r="F112">
        <v>2.6999999999999999E-5</v>
      </c>
      <c r="G112">
        <v>21.290937</v>
      </c>
      <c r="H112">
        <v>-16</v>
      </c>
      <c r="I112">
        <v>24</v>
      </c>
      <c r="J112">
        <v>1.1675</v>
      </c>
      <c r="K112">
        <v>6.0392907499999993</v>
      </c>
      <c r="L112">
        <v>-1.517302269941406</v>
      </c>
      <c r="M112">
        <v>-1.064104102964174</v>
      </c>
      <c r="N112">
        <v>-0.57751421899248023</v>
      </c>
      <c r="O112">
        <v>-9.2942895555911509E-2</v>
      </c>
    </row>
    <row r="113" spans="1:15" x14ac:dyDescent="0.25">
      <c r="A113">
        <v>-5.3165849999999999</v>
      </c>
      <c r="B113">
        <v>-2.6387285</v>
      </c>
      <c r="C113">
        <v>19.871310999999999</v>
      </c>
      <c r="D113">
        <v>13.758829499999999</v>
      </c>
      <c r="E113">
        <v>10.19275925</v>
      </c>
      <c r="F113">
        <v>2.6999999999999999E-5</v>
      </c>
      <c r="G113">
        <v>21.451018999999999</v>
      </c>
      <c r="H113">
        <v>-16</v>
      </c>
      <c r="I113">
        <v>28</v>
      </c>
      <c r="J113">
        <v>1.17</v>
      </c>
      <c r="K113">
        <v>6.0554410000000001</v>
      </c>
      <c r="L113">
        <v>-1.777554575628209</v>
      </c>
      <c r="M113">
        <v>-1.157204649041599</v>
      </c>
      <c r="N113">
        <v>-0.79454953321617916</v>
      </c>
      <c r="O113">
        <v>-0.28072274774265682</v>
      </c>
    </row>
    <row r="114" spans="1:15" x14ac:dyDescent="0.25">
      <c r="A114">
        <v>-7.8847659999999999</v>
      </c>
      <c r="B114">
        <v>-4.8456367499999997</v>
      </c>
      <c r="C114">
        <v>20.458419500000002</v>
      </c>
      <c r="D114">
        <v>12.356657</v>
      </c>
      <c r="E114">
        <v>7.1528197499999999</v>
      </c>
      <c r="F114">
        <v>2.6999999999999999E-5</v>
      </c>
      <c r="G114">
        <v>21.771184999999999</v>
      </c>
      <c r="H114">
        <v>-16</v>
      </c>
      <c r="I114">
        <v>32</v>
      </c>
      <c r="J114">
        <v>1.1675</v>
      </c>
      <c r="K114">
        <v>6.1070234999999986</v>
      </c>
      <c r="L114">
        <v>-2.0966966114742429</v>
      </c>
      <c r="M114">
        <v>-1.2725711066642451</v>
      </c>
      <c r="N114">
        <v>-1.081420345098844</v>
      </c>
      <c r="O114">
        <v>-0.47085377033710341</v>
      </c>
    </row>
    <row r="115" spans="1:15" x14ac:dyDescent="0.25">
      <c r="A115">
        <v>-10.85844925</v>
      </c>
      <c r="B115">
        <v>-7.7247854999999994</v>
      </c>
      <c r="C115">
        <v>20.774553000000001</v>
      </c>
      <c r="D115">
        <v>10.516302</v>
      </c>
      <c r="E115">
        <v>3.2634842499999999</v>
      </c>
      <c r="F115">
        <v>2.6999999999999999E-5</v>
      </c>
      <c r="G115">
        <v>22.091349000000001</v>
      </c>
      <c r="H115">
        <v>-16</v>
      </c>
      <c r="I115">
        <v>36</v>
      </c>
      <c r="J115">
        <v>1.1625000000000001</v>
      </c>
      <c r="K115">
        <v>6.16497925</v>
      </c>
      <c r="L115">
        <v>-2.51963977245966</v>
      </c>
      <c r="M115">
        <v>-1.4529304132220691</v>
      </c>
      <c r="N115">
        <v>-1.4997227588638951</v>
      </c>
      <c r="O115">
        <v>-0.74008035443138454</v>
      </c>
    </row>
    <row r="116" spans="1:15" x14ac:dyDescent="0.25">
      <c r="A116">
        <v>21.708751500000002</v>
      </c>
      <c r="B116">
        <v>-5.3250627499999998</v>
      </c>
      <c r="C116">
        <v>-10.41879275</v>
      </c>
      <c r="D116">
        <v>10.078123</v>
      </c>
      <c r="E116">
        <v>8.2257390000000008</v>
      </c>
      <c r="F116">
        <v>2.6999999999999999E-5</v>
      </c>
      <c r="G116">
        <v>22.411511999999998</v>
      </c>
      <c r="H116">
        <v>-12</v>
      </c>
      <c r="I116">
        <v>-36</v>
      </c>
      <c r="J116">
        <v>1.1599999999999999</v>
      </c>
      <c r="K116">
        <v>6.2161479999999996</v>
      </c>
      <c r="L116">
        <v>1.995773870723013</v>
      </c>
      <c r="M116">
        <v>-0.95683728358334597</v>
      </c>
      <c r="N116">
        <v>-0.88122143081571469</v>
      </c>
      <c r="O116">
        <v>-0.4889628134170681</v>
      </c>
    </row>
    <row r="117" spans="1:15" x14ac:dyDescent="0.25">
      <c r="A117">
        <v>22.026107249999999</v>
      </c>
      <c r="B117">
        <v>-2.6387152500000002</v>
      </c>
      <c r="C117">
        <v>-7.306686</v>
      </c>
      <c r="D117">
        <v>12.269021</v>
      </c>
      <c r="E117">
        <v>11.533908500000001</v>
      </c>
      <c r="F117">
        <v>2.6999999999999999E-5</v>
      </c>
      <c r="G117">
        <v>22.851738999999998</v>
      </c>
      <c r="H117">
        <v>-12</v>
      </c>
      <c r="I117">
        <v>-32</v>
      </c>
      <c r="J117">
        <v>1.165</v>
      </c>
      <c r="K117">
        <v>6.2634657499999999</v>
      </c>
      <c r="L117">
        <v>1.777046325456356</v>
      </c>
      <c r="M117">
        <v>-0.90315131940122739</v>
      </c>
      <c r="N117">
        <v>-0.68565912474350577</v>
      </c>
      <c r="O117">
        <v>-0.30124907918898458</v>
      </c>
    </row>
    <row r="118" spans="1:15" x14ac:dyDescent="0.25">
      <c r="A118">
        <v>21.529619</v>
      </c>
      <c r="B118">
        <v>4.8109499999999999E-2</v>
      </c>
      <c r="C118">
        <v>-3.92396075</v>
      </c>
      <c r="D118">
        <v>13.934101500000001</v>
      </c>
      <c r="E118">
        <v>14.350323250000001</v>
      </c>
      <c r="F118">
        <v>2.6999999999999999E-5</v>
      </c>
      <c r="G118">
        <v>22.771697</v>
      </c>
      <c r="H118">
        <v>-12</v>
      </c>
      <c r="I118">
        <v>-28</v>
      </c>
      <c r="J118">
        <v>1.1599999999999999</v>
      </c>
      <c r="K118">
        <v>6.2658922500000003</v>
      </c>
      <c r="L118">
        <v>1.5626946841959679</v>
      </c>
      <c r="M118">
        <v>-0.85251558174454711</v>
      </c>
      <c r="N118">
        <v>-0.51702020737882737</v>
      </c>
      <c r="O118">
        <v>-0.1189775792214207</v>
      </c>
    </row>
    <row r="119" spans="1:15" x14ac:dyDescent="0.25">
      <c r="A119">
        <v>20.219372</v>
      </c>
      <c r="B119">
        <v>2.212637</v>
      </c>
      <c r="C119">
        <v>-0.63144200000000006</v>
      </c>
      <c r="D119">
        <v>14.941915249999999</v>
      </c>
      <c r="E119">
        <v>16.22793175</v>
      </c>
      <c r="F119">
        <v>2.6999999999999999E-5</v>
      </c>
      <c r="G119">
        <v>21.931266999999998</v>
      </c>
      <c r="H119">
        <v>-12</v>
      </c>
      <c r="I119">
        <v>-24</v>
      </c>
      <c r="J119">
        <v>1.1675</v>
      </c>
      <c r="K119">
        <v>6.1294347499999997</v>
      </c>
      <c r="L119">
        <v>1.350669728567655</v>
      </c>
      <c r="M119">
        <v>-0.8245749642140372</v>
      </c>
      <c r="N119">
        <v>-0.36944518501070811</v>
      </c>
      <c r="O119">
        <v>5.1231218144326997E-2</v>
      </c>
    </row>
    <row r="120" spans="1:15" x14ac:dyDescent="0.25">
      <c r="A120">
        <v>19.045914499999999</v>
      </c>
      <c r="B120">
        <v>3.848058</v>
      </c>
      <c r="C120">
        <v>1.9871110000000001</v>
      </c>
      <c r="D120">
        <v>15.774456000000001</v>
      </c>
      <c r="E120">
        <v>17.613787500000001</v>
      </c>
      <c r="F120">
        <v>2.6999999999999999E-5</v>
      </c>
      <c r="G120">
        <v>21.410998500000002</v>
      </c>
      <c r="H120">
        <v>-12</v>
      </c>
      <c r="I120">
        <v>-20</v>
      </c>
      <c r="J120">
        <v>1.17</v>
      </c>
      <c r="K120">
        <v>6.0497817500000002</v>
      </c>
      <c r="L120">
        <v>1.160805612502668</v>
      </c>
      <c r="M120">
        <v>-0.81155924771280663</v>
      </c>
      <c r="N120">
        <v>-0.25841042333683928</v>
      </c>
      <c r="O120">
        <v>0.1985319263920973</v>
      </c>
    </row>
    <row r="121" spans="1:15" x14ac:dyDescent="0.25">
      <c r="A121">
        <v>17.423418000000002</v>
      </c>
      <c r="B121">
        <v>4.9543732499999997</v>
      </c>
      <c r="C121">
        <v>4.20005425</v>
      </c>
      <c r="D121">
        <v>16.256452500000002</v>
      </c>
      <c r="E121">
        <v>18.418478</v>
      </c>
      <c r="F121">
        <v>2.6999999999999999E-5</v>
      </c>
      <c r="G121">
        <v>20.810692</v>
      </c>
      <c r="H121">
        <v>-12</v>
      </c>
      <c r="I121">
        <v>-16</v>
      </c>
      <c r="J121">
        <v>1.1625000000000001</v>
      </c>
      <c r="K121">
        <v>5.9836165000000001</v>
      </c>
      <c r="L121">
        <v>0.95535752638425564</v>
      </c>
      <c r="M121">
        <v>-0.81656606316705771</v>
      </c>
      <c r="N121">
        <v>-0.17283596885390359</v>
      </c>
      <c r="O121">
        <v>0.33072159237139748</v>
      </c>
    </row>
    <row r="122" spans="1:15" x14ac:dyDescent="0.25">
      <c r="A122">
        <v>15.884586000000001</v>
      </c>
      <c r="B122">
        <v>5.6277815000000002</v>
      </c>
      <c r="C122">
        <v>6.3226740000000001</v>
      </c>
      <c r="D122">
        <v>16.650815999999999</v>
      </c>
      <c r="E122">
        <v>18.999642000000001</v>
      </c>
      <c r="F122">
        <v>2.6999999999999999E-5</v>
      </c>
      <c r="G122">
        <v>20.450505499999998</v>
      </c>
      <c r="H122">
        <v>-12</v>
      </c>
      <c r="I122">
        <v>-12</v>
      </c>
      <c r="J122">
        <v>1.1599999999999999</v>
      </c>
      <c r="K122">
        <v>5.9379580000000001</v>
      </c>
      <c r="L122">
        <v>0.734195513542373</v>
      </c>
      <c r="M122">
        <v>-0.84635215464886082</v>
      </c>
      <c r="N122">
        <v>-0.111480567487861</v>
      </c>
      <c r="O122">
        <v>0.45881246439467549</v>
      </c>
    </row>
    <row r="123" spans="1:15" x14ac:dyDescent="0.25">
      <c r="A123">
        <v>14.217663249999999</v>
      </c>
      <c r="B123">
        <v>6.0606869999999997</v>
      </c>
      <c r="C123">
        <v>8.1291589999999996</v>
      </c>
      <c r="D123">
        <v>16.606998000000001</v>
      </c>
      <c r="E123">
        <v>19.089051999999999</v>
      </c>
      <c r="F123">
        <v>2.6999999999999999E-5</v>
      </c>
      <c r="G123">
        <v>19.890219500000001</v>
      </c>
      <c r="H123">
        <v>-12</v>
      </c>
      <c r="I123">
        <v>-8</v>
      </c>
      <c r="J123">
        <v>1.165</v>
      </c>
      <c r="K123">
        <v>5.8435234999999999</v>
      </c>
      <c r="L123">
        <v>0.50766682369096261</v>
      </c>
      <c r="M123">
        <v>-0.87934002850265069</v>
      </c>
      <c r="N123">
        <v>-6.6849325663413978E-2</v>
      </c>
      <c r="O123">
        <v>0.59154823356146879</v>
      </c>
    </row>
    <row r="124" spans="1:15" x14ac:dyDescent="0.25">
      <c r="A124">
        <v>12.411448</v>
      </c>
      <c r="B124">
        <v>6.1568880000000004</v>
      </c>
      <c r="C124">
        <v>9.7098329999999997</v>
      </c>
      <c r="D124">
        <v>16.475543999999999</v>
      </c>
      <c r="E124">
        <v>18.954937000000001</v>
      </c>
      <c r="F124">
        <v>2.6999999999999999E-5</v>
      </c>
      <c r="G124">
        <v>19.530035000000002</v>
      </c>
      <c r="H124">
        <v>-12</v>
      </c>
      <c r="I124">
        <v>-4</v>
      </c>
      <c r="J124">
        <v>1.1625000000000001</v>
      </c>
      <c r="K124">
        <v>5.7965819999999999</v>
      </c>
      <c r="L124">
        <v>0.24508989786890339</v>
      </c>
      <c r="M124">
        <v>-0.93623497613810003</v>
      </c>
      <c r="N124">
        <v>-5.2179941099603437E-2</v>
      </c>
      <c r="O124">
        <v>0.71982181706123705</v>
      </c>
    </row>
    <row r="125" spans="1:15" x14ac:dyDescent="0.25">
      <c r="A125">
        <v>10.651961249999999</v>
      </c>
      <c r="B125">
        <v>6.1568880000000004</v>
      </c>
      <c r="C125">
        <v>11.380833000000001</v>
      </c>
      <c r="D125">
        <v>16.475543999999999</v>
      </c>
      <c r="E125">
        <v>18.999642000000001</v>
      </c>
      <c r="F125">
        <v>-4.8582500000000001E-2</v>
      </c>
      <c r="G125">
        <v>19.530035000000002</v>
      </c>
      <c r="H125">
        <v>-12</v>
      </c>
      <c r="I125">
        <v>0</v>
      </c>
      <c r="J125">
        <v>1.17</v>
      </c>
      <c r="K125">
        <v>5.7851157499999992</v>
      </c>
      <c r="L125">
        <v>-6.8795402999166866E-2</v>
      </c>
      <c r="M125">
        <v>-0.97394990258986125</v>
      </c>
      <c r="N125">
        <v>-5.0115722918991287E-2</v>
      </c>
      <c r="O125">
        <v>0.79787612835921551</v>
      </c>
    </row>
    <row r="126" spans="1:15" x14ac:dyDescent="0.25">
      <c r="A126">
        <v>9.206439249999999</v>
      </c>
      <c r="B126">
        <v>6.5416939999999997</v>
      </c>
      <c r="C126">
        <v>13.367965999999999</v>
      </c>
      <c r="D126">
        <v>16.78227</v>
      </c>
      <c r="E126">
        <v>19.401986999999998</v>
      </c>
      <c r="F126">
        <v>2.6999999999999999E-5</v>
      </c>
      <c r="G126">
        <v>20.010280999999999</v>
      </c>
      <c r="H126">
        <v>-12</v>
      </c>
      <c r="I126">
        <v>4</v>
      </c>
      <c r="J126">
        <v>1.17</v>
      </c>
      <c r="K126">
        <v>5.8485519999999998</v>
      </c>
      <c r="L126">
        <v>-0.36101741460623532</v>
      </c>
      <c r="M126">
        <v>-0.88835183821051367</v>
      </c>
      <c r="N126">
        <v>-5.2830133201196179E-2</v>
      </c>
      <c r="O126">
        <v>0.68308139397572798</v>
      </c>
    </row>
    <row r="127" spans="1:15" x14ac:dyDescent="0.25">
      <c r="A127">
        <v>7.3566037499999997</v>
      </c>
      <c r="B127">
        <v>6.49359325</v>
      </c>
      <c r="C127">
        <v>15.129288750000001</v>
      </c>
      <c r="D127">
        <v>16.826087999999999</v>
      </c>
      <c r="E127">
        <v>19.491398</v>
      </c>
      <c r="F127">
        <v>2.6999999999999999E-5</v>
      </c>
      <c r="G127">
        <v>20.490525999999999</v>
      </c>
      <c r="H127">
        <v>-12</v>
      </c>
      <c r="I127">
        <v>8</v>
      </c>
      <c r="J127">
        <v>1.17</v>
      </c>
      <c r="K127">
        <v>5.9183190000000003</v>
      </c>
      <c r="L127">
        <v>-0.61850618359837872</v>
      </c>
      <c r="M127">
        <v>-0.82222995534039445</v>
      </c>
      <c r="N127">
        <v>-7.9511810128779337E-2</v>
      </c>
      <c r="O127">
        <v>0.55114679010256706</v>
      </c>
    </row>
    <row r="128" spans="1:15" x14ac:dyDescent="0.25">
      <c r="A128">
        <v>5.5058189999999998</v>
      </c>
      <c r="B128">
        <v>6.349291</v>
      </c>
      <c r="C128">
        <v>16.845449250000001</v>
      </c>
      <c r="D128">
        <v>16.650815999999999</v>
      </c>
      <c r="E128">
        <v>19.223166500000001</v>
      </c>
      <c r="F128">
        <v>2.6999999999999999E-5</v>
      </c>
      <c r="G128">
        <v>20.970773999999999</v>
      </c>
      <c r="H128">
        <v>-12</v>
      </c>
      <c r="I128">
        <v>12</v>
      </c>
      <c r="J128">
        <v>1.165</v>
      </c>
      <c r="K128">
        <v>6.0001479999999994</v>
      </c>
      <c r="L128">
        <v>-0.8528989066860081</v>
      </c>
      <c r="M128">
        <v>-0.77485058920926519</v>
      </c>
      <c r="N128">
        <v>-0.13149524271246479</v>
      </c>
      <c r="O128">
        <v>0.44586302891318602</v>
      </c>
    </row>
    <row r="129" spans="1:15" x14ac:dyDescent="0.25">
      <c r="A129">
        <v>3.2495365</v>
      </c>
      <c r="B129">
        <v>5.5796809999999999</v>
      </c>
      <c r="C129">
        <v>18.245474000000002</v>
      </c>
      <c r="D129">
        <v>15.993546</v>
      </c>
      <c r="E129">
        <v>18.284361499999999</v>
      </c>
      <c r="F129">
        <v>2.6999999999999999E-5</v>
      </c>
      <c r="G129">
        <v>21.290937</v>
      </c>
      <c r="H129">
        <v>-12</v>
      </c>
      <c r="I129">
        <v>16</v>
      </c>
      <c r="J129">
        <v>1.1675</v>
      </c>
      <c r="K129">
        <v>6.0392907499999993</v>
      </c>
      <c r="L129">
        <v>-1.0812306518495181</v>
      </c>
      <c r="M129">
        <v>-0.75086603350486159</v>
      </c>
      <c r="N129">
        <v>-0.21680972066213941</v>
      </c>
      <c r="O129">
        <v>0.31829820528781388</v>
      </c>
    </row>
    <row r="130" spans="1:15" x14ac:dyDescent="0.25">
      <c r="A130">
        <v>0.902644</v>
      </c>
      <c r="B130">
        <v>4.2809637499999997</v>
      </c>
      <c r="C130">
        <v>19.464853000000002</v>
      </c>
      <c r="D130">
        <v>15.117187749999999</v>
      </c>
      <c r="E130">
        <v>16.809097000000001</v>
      </c>
      <c r="F130">
        <v>2.6999999999999999E-5</v>
      </c>
      <c r="G130">
        <v>21.611101000000001</v>
      </c>
      <c r="H130">
        <v>-12</v>
      </c>
      <c r="I130">
        <v>20</v>
      </c>
      <c r="J130">
        <v>1.1625000000000001</v>
      </c>
      <c r="K130">
        <v>6.0976005000000004</v>
      </c>
      <c r="L130">
        <v>-1.305624459799291</v>
      </c>
      <c r="M130">
        <v>-0.76217027582166064</v>
      </c>
      <c r="N130">
        <v>-0.33776087094729168</v>
      </c>
      <c r="O130">
        <v>0.1823076621789553</v>
      </c>
    </row>
    <row r="131" spans="1:15" x14ac:dyDescent="0.25">
      <c r="A131">
        <v>-1.9373992499999999</v>
      </c>
      <c r="B131">
        <v>2.3569387499999999</v>
      </c>
      <c r="C131">
        <v>20.458419500000002</v>
      </c>
      <c r="D131">
        <v>14.021737999999999</v>
      </c>
      <c r="E131">
        <v>14.663258000000001</v>
      </c>
      <c r="F131">
        <v>2.6999999999999999E-5</v>
      </c>
      <c r="G131">
        <v>22.011308</v>
      </c>
      <c r="H131">
        <v>-12</v>
      </c>
      <c r="I131">
        <v>24</v>
      </c>
      <c r="J131">
        <v>1.1599999999999999</v>
      </c>
      <c r="K131">
        <v>6.1603865000000004</v>
      </c>
      <c r="L131">
        <v>-1.549517718837605</v>
      </c>
      <c r="M131">
        <v>-0.80705064286563799</v>
      </c>
      <c r="N131">
        <v>-0.50839082423549764</v>
      </c>
      <c r="O131">
        <v>1.454338029623539E-2</v>
      </c>
    </row>
    <row r="132" spans="1:15" x14ac:dyDescent="0.25">
      <c r="A132">
        <v>-5.0011939999999999</v>
      </c>
      <c r="B132">
        <v>9.620999999999999E-2</v>
      </c>
      <c r="C132">
        <v>21.2261755</v>
      </c>
      <c r="D132">
        <v>12.531928499999999</v>
      </c>
      <c r="E132">
        <v>11.623317999999999</v>
      </c>
      <c r="F132">
        <v>2.6999999999999999E-5</v>
      </c>
      <c r="G132">
        <v>22.211409</v>
      </c>
      <c r="H132">
        <v>-12</v>
      </c>
      <c r="I132">
        <v>28</v>
      </c>
      <c r="J132">
        <v>1.1675</v>
      </c>
      <c r="K132">
        <v>6.1684324999999998</v>
      </c>
      <c r="L132">
        <v>-1.863313602539423</v>
      </c>
      <c r="M132">
        <v>-0.8834841293430864</v>
      </c>
      <c r="N132">
        <v>-0.75225608187554793</v>
      </c>
      <c r="O132">
        <v>-0.17421135224835721</v>
      </c>
    </row>
    <row r="133" spans="1:15" x14ac:dyDescent="0.25">
      <c r="A133">
        <v>-7.9298219999999997</v>
      </c>
      <c r="B133">
        <v>-2.398828</v>
      </c>
      <c r="C133">
        <v>21.81328375</v>
      </c>
      <c r="D133">
        <v>10.9983</v>
      </c>
      <c r="E133">
        <v>8.3598540000000003</v>
      </c>
      <c r="F133">
        <v>2.6999999999999999E-5</v>
      </c>
      <c r="G133">
        <v>22.571594000000001</v>
      </c>
      <c r="H133">
        <v>-12</v>
      </c>
      <c r="I133">
        <v>32</v>
      </c>
      <c r="J133">
        <v>1.17</v>
      </c>
      <c r="K133">
        <v>6.2115919999999996</v>
      </c>
      <c r="L133">
        <v>-2.1993247778599621</v>
      </c>
      <c r="M133">
        <v>-0.99062512093148536</v>
      </c>
      <c r="N133">
        <v>-1.0508834022060209</v>
      </c>
      <c r="O133">
        <v>-0.38186827876389201</v>
      </c>
    </row>
    <row r="134" spans="1:15" x14ac:dyDescent="0.25">
      <c r="A134">
        <v>-11.083728000000001</v>
      </c>
      <c r="B134">
        <v>-5.2294632500000002</v>
      </c>
      <c r="C134">
        <v>22.129417499999999</v>
      </c>
      <c r="D134">
        <v>8.8950390000000006</v>
      </c>
      <c r="E134">
        <v>4.1128799999999996</v>
      </c>
      <c r="F134">
        <v>2.6999999999999999E-5</v>
      </c>
      <c r="G134">
        <v>22.891760000000001</v>
      </c>
      <c r="H134">
        <v>-12</v>
      </c>
      <c r="I134">
        <v>36</v>
      </c>
      <c r="J134">
        <v>1.17</v>
      </c>
      <c r="K134">
        <v>6.2554910000000001</v>
      </c>
      <c r="L134">
        <v>-2.7070239431821399</v>
      </c>
      <c r="M134">
        <v>-1.1512044281130609</v>
      </c>
      <c r="N134">
        <v>-1.530596377624994</v>
      </c>
      <c r="O134">
        <v>-0.66477671173658448</v>
      </c>
    </row>
    <row r="135" spans="1:15" x14ac:dyDescent="0.25">
      <c r="A135">
        <v>22.0246745</v>
      </c>
      <c r="B135">
        <v>-2.59056175</v>
      </c>
      <c r="C135">
        <v>-10.418793000000001</v>
      </c>
      <c r="D135">
        <v>8.0186799999999998</v>
      </c>
      <c r="E135">
        <v>8.4939685000000011</v>
      </c>
      <c r="F135">
        <v>2.6999999999999999E-5</v>
      </c>
      <c r="G135">
        <v>22.251429000000002</v>
      </c>
      <c r="H135">
        <v>-8</v>
      </c>
      <c r="I135">
        <v>-36</v>
      </c>
      <c r="J135">
        <v>1.1625000000000001</v>
      </c>
      <c r="K135">
        <v>6.1872755000000002</v>
      </c>
      <c r="L135">
        <v>2.16310078338332</v>
      </c>
      <c r="M135">
        <v>-0.7073553329856892</v>
      </c>
      <c r="N135">
        <v>-0.91725993411393691</v>
      </c>
      <c r="O135">
        <v>-0.43369011952544712</v>
      </c>
    </row>
    <row r="136" spans="1:15" x14ac:dyDescent="0.25">
      <c r="A136">
        <v>21.39283</v>
      </c>
      <c r="B136">
        <v>-4.7828500000000003E-2</v>
      </c>
      <c r="C136">
        <v>-6.9909647499999998</v>
      </c>
      <c r="D136">
        <v>9.8590330000000002</v>
      </c>
      <c r="E136">
        <v>11.48920375</v>
      </c>
      <c r="F136">
        <v>-4.8582500000000001E-2</v>
      </c>
      <c r="G136">
        <v>21.731164</v>
      </c>
      <c r="H136">
        <v>-8</v>
      </c>
      <c r="I136">
        <v>-32</v>
      </c>
      <c r="J136">
        <v>1.17</v>
      </c>
      <c r="K136">
        <v>6.1016667499999997</v>
      </c>
      <c r="L136">
        <v>1.8911762690878231</v>
      </c>
      <c r="M136">
        <v>-0.66006941898918725</v>
      </c>
      <c r="N136">
        <v>-0.68240422011992119</v>
      </c>
      <c r="O136">
        <v>-0.23117779680306921</v>
      </c>
    </row>
    <row r="137" spans="1:15" x14ac:dyDescent="0.25">
      <c r="A137">
        <v>20.490167</v>
      </c>
      <c r="B137">
        <v>2.3088380000000002</v>
      </c>
      <c r="C137">
        <v>-3.5631370000000002</v>
      </c>
      <c r="D137">
        <v>11.21739</v>
      </c>
      <c r="E137">
        <v>13.769157999999999</v>
      </c>
      <c r="F137">
        <v>2.6999999999999999E-5</v>
      </c>
      <c r="G137">
        <v>21.050815</v>
      </c>
      <c r="H137">
        <v>-8</v>
      </c>
      <c r="I137">
        <v>-28</v>
      </c>
      <c r="J137">
        <v>1.17</v>
      </c>
      <c r="K137">
        <v>5.9986765000000002</v>
      </c>
      <c r="L137">
        <v>1.6707847707996699</v>
      </c>
      <c r="M137">
        <v>-0.61881269120149163</v>
      </c>
      <c r="N137">
        <v>-0.50579532256949511</v>
      </c>
      <c r="O137">
        <v>-4.3558031696297572E-2</v>
      </c>
    </row>
    <row r="138" spans="1:15" x14ac:dyDescent="0.25">
      <c r="A138">
        <v>19.677781</v>
      </c>
      <c r="B138">
        <v>4.37716525</v>
      </c>
      <c r="C138">
        <v>-0.40592699999999998</v>
      </c>
      <c r="D138">
        <v>12.531928499999999</v>
      </c>
      <c r="E138">
        <v>15.914999</v>
      </c>
      <c r="F138">
        <v>2.6999999999999999E-5</v>
      </c>
      <c r="G138">
        <v>20.690630500000001</v>
      </c>
      <c r="H138">
        <v>-8</v>
      </c>
      <c r="I138">
        <v>-24</v>
      </c>
      <c r="J138">
        <v>1.17</v>
      </c>
      <c r="K138">
        <v>5.9471379999999998</v>
      </c>
      <c r="L138">
        <v>1.4418387543263429</v>
      </c>
      <c r="M138">
        <v>-0.58544220988485596</v>
      </c>
      <c r="N138">
        <v>-0.34286693653047029</v>
      </c>
      <c r="O138">
        <v>0.14258516985737429</v>
      </c>
    </row>
    <row r="139" spans="1:15" x14ac:dyDescent="0.25">
      <c r="A139">
        <v>18.46040425</v>
      </c>
      <c r="B139">
        <v>5.6758819999999996</v>
      </c>
      <c r="C139">
        <v>1.8967864999999999</v>
      </c>
      <c r="D139">
        <v>13.408287</v>
      </c>
      <c r="E139">
        <v>17.166737000000001</v>
      </c>
      <c r="F139">
        <v>-4.8582500000000001E-2</v>
      </c>
      <c r="G139">
        <v>20.210382500000001</v>
      </c>
      <c r="H139">
        <v>-8</v>
      </c>
      <c r="I139">
        <v>-20</v>
      </c>
      <c r="J139">
        <v>1.1625000000000001</v>
      </c>
      <c r="K139">
        <v>5.9037439999999997</v>
      </c>
      <c r="L139">
        <v>1.2378902353499961</v>
      </c>
      <c r="M139">
        <v>-0.57791391775953205</v>
      </c>
      <c r="N139">
        <v>-0.22746059822645451</v>
      </c>
      <c r="O139">
        <v>0.28669480670065112</v>
      </c>
    </row>
    <row r="140" spans="1:15" x14ac:dyDescent="0.25">
      <c r="A140">
        <v>17.196599500000001</v>
      </c>
      <c r="B140">
        <v>6.6859954999999998</v>
      </c>
      <c r="C140">
        <v>4.2903787500000004</v>
      </c>
      <c r="D140">
        <v>14.153192750000001</v>
      </c>
      <c r="E140">
        <v>18.060839000000001</v>
      </c>
      <c r="F140">
        <v>-4.8582500000000001E-2</v>
      </c>
      <c r="G140">
        <v>19.850199</v>
      </c>
      <c r="H140">
        <v>-8</v>
      </c>
      <c r="I140">
        <v>-16</v>
      </c>
      <c r="J140">
        <v>1.165</v>
      </c>
      <c r="K140">
        <v>5.8447835000000001</v>
      </c>
      <c r="L140">
        <v>1.026520793509075</v>
      </c>
      <c r="M140">
        <v>-0.59390398825849755</v>
      </c>
      <c r="N140">
        <v>-0.1423235671745802</v>
      </c>
      <c r="O140">
        <v>0.44038662041485199</v>
      </c>
    </row>
    <row r="141" spans="1:15" x14ac:dyDescent="0.25">
      <c r="A141">
        <v>16.607689749999999</v>
      </c>
      <c r="B141">
        <v>7.7442087500000003</v>
      </c>
      <c r="C141">
        <v>6.5484857500000002</v>
      </c>
      <c r="D141">
        <v>15.20482325</v>
      </c>
      <c r="E141">
        <v>19.670217999999998</v>
      </c>
      <c r="F141">
        <v>2.6999999999999999E-5</v>
      </c>
      <c r="G141">
        <v>20.490525999999999</v>
      </c>
      <c r="H141">
        <v>-8</v>
      </c>
      <c r="I141">
        <v>-12</v>
      </c>
      <c r="J141">
        <v>1.17</v>
      </c>
      <c r="K141">
        <v>5.9183190000000003</v>
      </c>
      <c r="L141">
        <v>0.80319522703524748</v>
      </c>
      <c r="M141">
        <v>-0.59570641679784331</v>
      </c>
      <c r="N141">
        <v>-6.5502302852397234E-2</v>
      </c>
      <c r="O141">
        <v>0.57068175373944574</v>
      </c>
    </row>
    <row r="142" spans="1:15" x14ac:dyDescent="0.25">
      <c r="A142">
        <v>15.481456250000001</v>
      </c>
      <c r="B142">
        <v>8.3214157499999999</v>
      </c>
      <c r="C142">
        <v>8.8065910000000009</v>
      </c>
      <c r="D142">
        <v>15.949728</v>
      </c>
      <c r="E142">
        <v>20.564318</v>
      </c>
      <c r="F142">
        <v>2.6999999999999999E-5</v>
      </c>
      <c r="G142">
        <v>20.930753500000002</v>
      </c>
      <c r="H142">
        <v>-8</v>
      </c>
      <c r="I142">
        <v>-8</v>
      </c>
      <c r="J142">
        <v>1.165</v>
      </c>
      <c r="K142">
        <v>5.9944240000000004</v>
      </c>
      <c r="L142">
        <v>0.55624099849264752</v>
      </c>
      <c r="M142">
        <v>-0.63566346316594635</v>
      </c>
      <c r="N142">
        <v>-3.0536923181077261E-2</v>
      </c>
      <c r="O142">
        <v>0.71369778626701241</v>
      </c>
    </row>
    <row r="143" spans="1:15" x14ac:dyDescent="0.25">
      <c r="A143">
        <v>14.03713275</v>
      </c>
      <c r="B143">
        <v>8.8505230000000008</v>
      </c>
      <c r="C143">
        <v>11.019534999999999</v>
      </c>
      <c r="D143">
        <v>16.475543999999999</v>
      </c>
      <c r="E143">
        <v>21.190186499999999</v>
      </c>
      <c r="F143">
        <v>2.6999999999999999E-5</v>
      </c>
      <c r="G143">
        <v>21.290937</v>
      </c>
      <c r="H143">
        <v>-8</v>
      </c>
      <c r="I143">
        <v>-4</v>
      </c>
      <c r="J143">
        <v>1.17</v>
      </c>
      <c r="K143">
        <v>6.0328039999999996</v>
      </c>
      <c r="L143">
        <v>0.26815741499552032</v>
      </c>
      <c r="M143">
        <v>-0.6775118169398151</v>
      </c>
      <c r="N143">
        <v>-9.0151701984012601E-3</v>
      </c>
      <c r="O143">
        <v>0.8827623237130362</v>
      </c>
    </row>
    <row r="144" spans="1:15" x14ac:dyDescent="0.25">
      <c r="A144">
        <v>12.50008875</v>
      </c>
      <c r="B144">
        <v>9.1872275000000005</v>
      </c>
      <c r="C144">
        <v>13.277642</v>
      </c>
      <c r="D144">
        <v>16.869905500000002</v>
      </c>
      <c r="E144">
        <v>21.77135075</v>
      </c>
      <c r="F144">
        <v>2.6999999999999999E-5</v>
      </c>
      <c r="G144">
        <v>21.771184999999999</v>
      </c>
      <c r="H144">
        <v>-8</v>
      </c>
      <c r="I144">
        <v>0</v>
      </c>
      <c r="J144">
        <v>1.17</v>
      </c>
      <c r="K144">
        <v>6.1004639999999997</v>
      </c>
      <c r="L144">
        <v>-7.1143996766144427E-2</v>
      </c>
      <c r="M144">
        <v>-0.70306948472846853</v>
      </c>
      <c r="N144">
        <v>-3.5873174834305088E-5</v>
      </c>
      <c r="O144">
        <v>0.99243117351913512</v>
      </c>
    </row>
    <row r="145" spans="1:15" x14ac:dyDescent="0.25">
      <c r="A145">
        <v>10.650585749999999</v>
      </c>
      <c r="B145">
        <v>9.2353280000000009</v>
      </c>
      <c r="C145">
        <v>15.129288750000001</v>
      </c>
      <c r="D145">
        <v>16.869905500000002</v>
      </c>
      <c r="E145">
        <v>21.816054999999999</v>
      </c>
      <c r="F145">
        <v>2.6999999999999999E-5</v>
      </c>
      <c r="G145">
        <v>21.971287499999999</v>
      </c>
      <c r="H145">
        <v>-8</v>
      </c>
      <c r="I145">
        <v>4</v>
      </c>
      <c r="J145">
        <v>1.17</v>
      </c>
      <c r="K145">
        <v>6.1284272499999997</v>
      </c>
      <c r="L145">
        <v>-0.37721445678692878</v>
      </c>
      <c r="M145">
        <v>-0.64301466809229213</v>
      </c>
      <c r="N145">
        <v>-1.3074206883003529E-2</v>
      </c>
      <c r="O145">
        <v>0.83743348410193419</v>
      </c>
    </row>
    <row r="146" spans="1:15" x14ac:dyDescent="0.25">
      <c r="A146">
        <v>8.6208602499999998</v>
      </c>
      <c r="B146">
        <v>9.2353280000000009</v>
      </c>
      <c r="C146">
        <v>17.071260500000001</v>
      </c>
      <c r="D146">
        <v>16.694634000000001</v>
      </c>
      <c r="E146">
        <v>21.816054999999999</v>
      </c>
      <c r="F146">
        <v>2.6999999999999999E-5</v>
      </c>
      <c r="G146">
        <v>22.291449750000002</v>
      </c>
      <c r="H146">
        <v>-8</v>
      </c>
      <c r="I146">
        <v>8</v>
      </c>
      <c r="J146">
        <v>1.17</v>
      </c>
      <c r="K146">
        <v>6.1729172499999994</v>
      </c>
      <c r="L146">
        <v>-0.65565710388936338</v>
      </c>
      <c r="M146">
        <v>-0.57879190687420534</v>
      </c>
      <c r="N146">
        <v>-3.6892283780061999E-2</v>
      </c>
      <c r="O146">
        <v>0.69276013518152357</v>
      </c>
    </row>
    <row r="147" spans="1:15" x14ac:dyDescent="0.25">
      <c r="A147">
        <v>6.4994952499999998</v>
      </c>
      <c r="B147">
        <v>8.9467245000000002</v>
      </c>
      <c r="C147">
        <v>18.74225775</v>
      </c>
      <c r="D147">
        <v>16.475543999999999</v>
      </c>
      <c r="E147">
        <v>21.503121499999999</v>
      </c>
      <c r="F147">
        <v>2.6999999999999999E-5</v>
      </c>
      <c r="G147">
        <v>22.731676</v>
      </c>
      <c r="H147">
        <v>-8</v>
      </c>
      <c r="I147">
        <v>12</v>
      </c>
      <c r="J147">
        <v>1.17</v>
      </c>
      <c r="K147">
        <v>6.2335799999999999</v>
      </c>
      <c r="L147">
        <v>-0.88846312997003285</v>
      </c>
      <c r="M147">
        <v>-0.54636787598279646</v>
      </c>
      <c r="N147">
        <v>-8.9177062777097887E-2</v>
      </c>
      <c r="O147">
        <v>0.56046839129398929</v>
      </c>
    </row>
    <row r="148" spans="1:15" x14ac:dyDescent="0.25">
      <c r="A148">
        <v>4.1519250000000003</v>
      </c>
      <c r="B148">
        <v>8.2252147499999992</v>
      </c>
      <c r="C148">
        <v>20.051960000000001</v>
      </c>
      <c r="D148">
        <v>15.555365999999999</v>
      </c>
      <c r="E148">
        <v>20.474907999999999</v>
      </c>
      <c r="F148">
        <v>2.6999999999999999E-5</v>
      </c>
      <c r="G148">
        <v>22.891760000000001</v>
      </c>
      <c r="H148">
        <v>-8</v>
      </c>
      <c r="I148">
        <v>16</v>
      </c>
      <c r="J148">
        <v>1.17</v>
      </c>
      <c r="K148">
        <v>6.2554910000000001</v>
      </c>
      <c r="L148">
        <v>-1.1129835297138631</v>
      </c>
      <c r="M148">
        <v>-0.51308133494093167</v>
      </c>
      <c r="N148">
        <v>-0.1692053627866987</v>
      </c>
      <c r="O148">
        <v>0.43318858691083267</v>
      </c>
    </row>
    <row r="149" spans="1:15" x14ac:dyDescent="0.25">
      <c r="A149">
        <v>1.353885</v>
      </c>
      <c r="B149">
        <v>6.5416939999999997</v>
      </c>
      <c r="C149">
        <v>20.322933500000001</v>
      </c>
      <c r="D149">
        <v>13.846465</v>
      </c>
      <c r="E149">
        <v>18.016133499999999</v>
      </c>
      <c r="F149">
        <v>2.6999999999999999E-5</v>
      </c>
      <c r="G149">
        <v>22.091349000000001</v>
      </c>
      <c r="H149">
        <v>-8</v>
      </c>
      <c r="I149">
        <v>20</v>
      </c>
      <c r="J149">
        <v>1.17</v>
      </c>
      <c r="K149">
        <v>6.1451560000000001</v>
      </c>
      <c r="L149">
        <v>-1.348370741239731</v>
      </c>
      <c r="M149">
        <v>-0.5192664473001789</v>
      </c>
      <c r="N149">
        <v>-0.28973129426816452</v>
      </c>
      <c r="O149">
        <v>0.28065089719331771</v>
      </c>
    </row>
    <row r="150" spans="1:15" x14ac:dyDescent="0.25">
      <c r="A150">
        <v>-1.486842</v>
      </c>
      <c r="B150">
        <v>4.6176690000000002</v>
      </c>
      <c r="C150">
        <v>20.413257999999999</v>
      </c>
      <c r="D150">
        <v>12.006112999999999</v>
      </c>
      <c r="E150">
        <v>15.020898000000001</v>
      </c>
      <c r="F150">
        <v>2.6999999999999999E-5</v>
      </c>
      <c r="G150">
        <v>21.491039499999999</v>
      </c>
      <c r="H150">
        <v>-8</v>
      </c>
      <c r="I150">
        <v>24</v>
      </c>
      <c r="J150">
        <v>1.17</v>
      </c>
      <c r="K150">
        <v>6.0610792500000006</v>
      </c>
      <c r="L150">
        <v>-1.6275934175095841</v>
      </c>
      <c r="M150">
        <v>-0.54911825457357122</v>
      </c>
      <c r="N150">
        <v>-0.48086432792193939</v>
      </c>
      <c r="O150">
        <v>0.11634753076550131</v>
      </c>
    </row>
    <row r="151" spans="1:15" x14ac:dyDescent="0.25">
      <c r="A151">
        <v>-4.2352455000000004</v>
      </c>
      <c r="B151">
        <v>2.4531402500000001</v>
      </c>
      <c r="C151">
        <v>20.368095749999998</v>
      </c>
      <c r="D151">
        <v>10.078123</v>
      </c>
      <c r="E151">
        <v>11.668023</v>
      </c>
      <c r="F151">
        <v>2.6999999999999999E-5</v>
      </c>
      <c r="G151">
        <v>20.970773999999999</v>
      </c>
      <c r="H151">
        <v>-8</v>
      </c>
      <c r="I151">
        <v>28</v>
      </c>
      <c r="J151">
        <v>1.17</v>
      </c>
      <c r="K151">
        <v>5.9872719999999999</v>
      </c>
      <c r="L151">
        <v>-1.9590851205995901</v>
      </c>
      <c r="M151">
        <v>-0.60714305321160522</v>
      </c>
      <c r="N151">
        <v>-0.74076494239834911</v>
      </c>
      <c r="O151">
        <v>-7.0935548588731745E-2</v>
      </c>
    </row>
    <row r="152" spans="1:15" x14ac:dyDescent="0.25">
      <c r="A152">
        <v>-6.9836495000000003</v>
      </c>
      <c r="B152">
        <v>0.38481300000000002</v>
      </c>
      <c r="C152">
        <v>20.232609</v>
      </c>
      <c r="D152">
        <v>8.1063157500000003</v>
      </c>
      <c r="E152">
        <v>8.1363289999999999</v>
      </c>
      <c r="F152">
        <v>-4.8582500000000001E-2</v>
      </c>
      <c r="G152">
        <v>20.610589000000001</v>
      </c>
      <c r="H152">
        <v>-8</v>
      </c>
      <c r="I152">
        <v>32</v>
      </c>
      <c r="J152">
        <v>1.1675</v>
      </c>
      <c r="K152">
        <v>5.9490187499999996</v>
      </c>
      <c r="L152">
        <v>-2.3801209419185461</v>
      </c>
      <c r="M152">
        <v>-0.67533057207685787</v>
      </c>
      <c r="N152">
        <v>-1.0909824648307089</v>
      </c>
      <c r="O152">
        <v>-0.28421321025969798</v>
      </c>
    </row>
    <row r="153" spans="1:15" x14ac:dyDescent="0.25">
      <c r="A153">
        <v>-9.3265512499999996</v>
      </c>
      <c r="B153">
        <v>-1.6310942500000001</v>
      </c>
      <c r="C153">
        <v>19.510014999999999</v>
      </c>
      <c r="D153">
        <v>5.8716004999999996</v>
      </c>
      <c r="E153">
        <v>4.2469950000000001</v>
      </c>
      <c r="F153">
        <v>2.6999999999999999E-5</v>
      </c>
      <c r="G153">
        <v>19.890219500000001</v>
      </c>
      <c r="H153">
        <v>-8</v>
      </c>
      <c r="I153">
        <v>36</v>
      </c>
      <c r="J153">
        <v>1.1675</v>
      </c>
      <c r="K153">
        <v>5.8372599999999997</v>
      </c>
      <c r="L153">
        <v>-2.965057763970655</v>
      </c>
      <c r="M153">
        <v>-0.77146301696024677</v>
      </c>
      <c r="N153">
        <v>-1.60850024739311</v>
      </c>
      <c r="O153">
        <v>-0.56329013051445453</v>
      </c>
    </row>
    <row r="154" spans="1:15" x14ac:dyDescent="0.25">
      <c r="A154">
        <v>19.408253500000001</v>
      </c>
      <c r="B154">
        <v>0.24051149999999999</v>
      </c>
      <c r="C154">
        <v>-8.8401879999999995</v>
      </c>
      <c r="D154">
        <v>5.0390597499999998</v>
      </c>
      <c r="E154">
        <v>7.510459</v>
      </c>
      <c r="F154">
        <v>2.6999999999999999E-5</v>
      </c>
      <c r="G154">
        <v>19.369952999999999</v>
      </c>
      <c r="H154">
        <v>-4</v>
      </c>
      <c r="I154">
        <v>-36</v>
      </c>
      <c r="J154">
        <v>1.17</v>
      </c>
      <c r="K154">
        <v>5.7542150000000003</v>
      </c>
      <c r="L154">
        <v>2.3918942028789418</v>
      </c>
      <c r="M154">
        <v>-0.40625940583094539</v>
      </c>
      <c r="N154">
        <v>-1.0041781246068819</v>
      </c>
      <c r="O154">
        <v>-0.36406970476585948</v>
      </c>
    </row>
    <row r="155" spans="1:15" x14ac:dyDescent="0.25">
      <c r="A155">
        <v>19.766767250000001</v>
      </c>
      <c r="B155">
        <v>2.5012409999999998</v>
      </c>
      <c r="C155">
        <v>-6.1340070000000004</v>
      </c>
      <c r="D155">
        <v>7.1423217499999998</v>
      </c>
      <c r="E155">
        <v>10.729217999999999</v>
      </c>
      <c r="F155">
        <v>-4.8582500000000001E-2</v>
      </c>
      <c r="G155">
        <v>19.810178499999999</v>
      </c>
      <c r="H155">
        <v>-4</v>
      </c>
      <c r="I155">
        <v>-32</v>
      </c>
      <c r="J155">
        <v>1.17</v>
      </c>
      <c r="K155">
        <v>5.8263419999999986</v>
      </c>
      <c r="L155">
        <v>2.064530368054907</v>
      </c>
      <c r="M155">
        <v>-0.36993690059168949</v>
      </c>
      <c r="N155">
        <v>-0.72383622753505406</v>
      </c>
      <c r="O155">
        <v>-0.14090998908701149</v>
      </c>
    </row>
    <row r="156" spans="1:15" x14ac:dyDescent="0.25">
      <c r="A156">
        <v>19.859603750000002</v>
      </c>
      <c r="B156">
        <v>4.6657694999999997</v>
      </c>
      <c r="C156">
        <v>-3.3827250000000002</v>
      </c>
      <c r="D156">
        <v>8.9826750000000004</v>
      </c>
      <c r="E156">
        <v>13.545632749999999</v>
      </c>
      <c r="F156">
        <v>-4.8582500000000001E-2</v>
      </c>
      <c r="G156">
        <v>20.170362000000001</v>
      </c>
      <c r="H156">
        <v>-4</v>
      </c>
      <c r="I156">
        <v>-28</v>
      </c>
      <c r="J156">
        <v>1.17</v>
      </c>
      <c r="K156">
        <v>5.8789585000000004</v>
      </c>
      <c r="L156">
        <v>1.801220793281801</v>
      </c>
      <c r="M156">
        <v>-0.33455155668461739</v>
      </c>
      <c r="N156">
        <v>-0.51343052701349001</v>
      </c>
      <c r="O156">
        <v>5.3536542059738713E-2</v>
      </c>
    </row>
    <row r="157" spans="1:15" x14ac:dyDescent="0.25">
      <c r="A157">
        <v>19.857021249999999</v>
      </c>
      <c r="B157">
        <v>6.49359325</v>
      </c>
      <c r="C157">
        <v>-0.58633900000000005</v>
      </c>
      <c r="D157">
        <v>10.647755999999999</v>
      </c>
      <c r="E157">
        <v>16.093819</v>
      </c>
      <c r="F157">
        <v>2.6999999999999999E-5</v>
      </c>
      <c r="G157">
        <v>20.65061</v>
      </c>
      <c r="H157">
        <v>-4</v>
      </c>
      <c r="I157">
        <v>-24</v>
      </c>
      <c r="J157">
        <v>1.17</v>
      </c>
      <c r="K157">
        <v>5.9413919999999996</v>
      </c>
      <c r="L157">
        <v>1.555810940156872</v>
      </c>
      <c r="M157">
        <v>-0.31615011365821621</v>
      </c>
      <c r="N157">
        <v>-0.34679567706757358</v>
      </c>
      <c r="O157">
        <v>0.22482191814913149</v>
      </c>
    </row>
    <row r="158" spans="1:15" x14ac:dyDescent="0.25">
      <c r="A158">
        <v>19.497251500000001</v>
      </c>
      <c r="B158">
        <v>7.9847125000000014</v>
      </c>
      <c r="C158">
        <v>1.85162425</v>
      </c>
      <c r="D158">
        <v>12.225203</v>
      </c>
      <c r="E158">
        <v>18.239656</v>
      </c>
      <c r="F158">
        <v>2.6999999999999999E-5</v>
      </c>
      <c r="G158">
        <v>21.050815</v>
      </c>
      <c r="H158">
        <v>-4</v>
      </c>
      <c r="I158">
        <v>-20</v>
      </c>
      <c r="J158">
        <v>1.17</v>
      </c>
      <c r="K158">
        <v>5.9986765000000002</v>
      </c>
      <c r="L158">
        <v>1.324615266583578</v>
      </c>
      <c r="M158">
        <v>-0.31830952439193688</v>
      </c>
      <c r="N158">
        <v>-0.21104187203915309</v>
      </c>
      <c r="O158">
        <v>0.36923514221197129</v>
      </c>
    </row>
    <row r="159" spans="1:15" x14ac:dyDescent="0.25">
      <c r="A159">
        <v>18.864175249999999</v>
      </c>
      <c r="B159">
        <v>9.2353280000000009</v>
      </c>
      <c r="C159">
        <v>4.5161899999999999</v>
      </c>
      <c r="D159">
        <v>13.452105</v>
      </c>
      <c r="E159">
        <v>19.893740999999999</v>
      </c>
      <c r="F159">
        <v>2.6999999999999999E-5</v>
      </c>
      <c r="G159">
        <v>21.370978000000001</v>
      </c>
      <c r="H159">
        <v>-4</v>
      </c>
      <c r="I159">
        <v>-16</v>
      </c>
      <c r="J159">
        <v>1.17</v>
      </c>
      <c r="K159">
        <v>6.0441225000000003</v>
      </c>
      <c r="L159">
        <v>1.1021807373022969</v>
      </c>
      <c r="M159">
        <v>-0.32391930810532787</v>
      </c>
      <c r="N159">
        <v>-0.1134948074360751</v>
      </c>
      <c r="O159">
        <v>0.52819043817726208</v>
      </c>
    </row>
    <row r="160" spans="1:15" x14ac:dyDescent="0.25">
      <c r="A160">
        <v>18.009044249999999</v>
      </c>
      <c r="B160">
        <v>10.197341</v>
      </c>
      <c r="C160">
        <v>6.9549444999999999</v>
      </c>
      <c r="D160">
        <v>14.4599175</v>
      </c>
      <c r="E160">
        <v>21.145481749999998</v>
      </c>
      <c r="F160">
        <v>2.6999999999999999E-5</v>
      </c>
      <c r="G160">
        <v>21.771184999999999</v>
      </c>
      <c r="H160">
        <v>-4</v>
      </c>
      <c r="I160">
        <v>-12</v>
      </c>
      <c r="J160">
        <v>1.17</v>
      </c>
      <c r="K160">
        <v>6.1004639999999997</v>
      </c>
      <c r="L160">
        <v>0.87947160603656016</v>
      </c>
      <c r="M160">
        <v>-0.33910873409696402</v>
      </c>
      <c r="N160">
        <v>-4.9806466562466102E-2</v>
      </c>
      <c r="O160">
        <v>0.68232192276164472</v>
      </c>
    </row>
    <row r="161" spans="1:15" x14ac:dyDescent="0.25">
      <c r="A161">
        <v>16.609847250000001</v>
      </c>
      <c r="B161">
        <v>10.582146</v>
      </c>
      <c r="C161">
        <v>9.3485377500000002</v>
      </c>
      <c r="D161">
        <v>15.073370000000001</v>
      </c>
      <c r="E161">
        <v>21.994876999999999</v>
      </c>
      <c r="F161">
        <v>2.6999999999999999E-5</v>
      </c>
      <c r="G161">
        <v>22.0513285</v>
      </c>
      <c r="H161">
        <v>-4</v>
      </c>
      <c r="I161">
        <v>-8</v>
      </c>
      <c r="J161">
        <v>1.17</v>
      </c>
      <c r="K161">
        <v>6.1395797500000002</v>
      </c>
      <c r="L161">
        <v>0.60360924761416235</v>
      </c>
      <c r="M161">
        <v>-0.37335368763927063</v>
      </c>
      <c r="N161">
        <v>-4.6865693508876833E-3</v>
      </c>
      <c r="O161">
        <v>0.8284232442141849</v>
      </c>
    </row>
    <row r="162" spans="1:15" x14ac:dyDescent="0.25">
      <c r="A162">
        <v>15.12037175</v>
      </c>
      <c r="B162">
        <v>11.2074535</v>
      </c>
      <c r="C162">
        <v>11.742129</v>
      </c>
      <c r="D162">
        <v>15.555365999999999</v>
      </c>
      <c r="E162">
        <v>22.531338000000002</v>
      </c>
      <c r="F162">
        <v>2.6999999999999999E-5</v>
      </c>
      <c r="G162">
        <v>22.371491249999998</v>
      </c>
      <c r="H162">
        <v>-4</v>
      </c>
      <c r="I162">
        <v>-4</v>
      </c>
      <c r="J162">
        <v>1.17</v>
      </c>
      <c r="K162">
        <v>6.1839897500000003</v>
      </c>
      <c r="L162">
        <v>0.30555577181142152</v>
      </c>
      <c r="M162">
        <v>-0.39322901220138162</v>
      </c>
      <c r="N162">
        <v>1.444950196269216E-2</v>
      </c>
      <c r="O162">
        <v>1.037854380138131</v>
      </c>
    </row>
    <row r="163" spans="1:15" x14ac:dyDescent="0.25">
      <c r="A163">
        <v>13.360090749999999</v>
      </c>
      <c r="B163">
        <v>11.544157999999999</v>
      </c>
      <c r="C163">
        <v>14.000234499999999</v>
      </c>
      <c r="D163">
        <v>15.774456000000001</v>
      </c>
      <c r="E163">
        <v>22.933682000000001</v>
      </c>
      <c r="F163">
        <v>2.6999999999999999E-5</v>
      </c>
      <c r="G163">
        <v>22.731676</v>
      </c>
      <c r="H163">
        <v>-4</v>
      </c>
      <c r="I163">
        <v>0</v>
      </c>
      <c r="J163">
        <v>1.1675</v>
      </c>
      <c r="K163">
        <v>6.2402827500000004</v>
      </c>
      <c r="L163">
        <v>-6.1113054409237921E-2</v>
      </c>
      <c r="M163">
        <v>-0.4036161059577561</v>
      </c>
      <c r="N163">
        <v>1.921961181420535E-2</v>
      </c>
      <c r="O163">
        <v>1.1880643720127819</v>
      </c>
    </row>
    <row r="164" spans="1:15" x14ac:dyDescent="0.25">
      <c r="A164">
        <v>11.328990750000001</v>
      </c>
      <c r="B164">
        <v>11.592259</v>
      </c>
      <c r="C164">
        <v>16.03253175</v>
      </c>
      <c r="D164">
        <v>15.774456000000001</v>
      </c>
      <c r="E164">
        <v>23.067796999999999</v>
      </c>
      <c r="F164">
        <v>2.6999999999999999E-5</v>
      </c>
      <c r="G164">
        <v>22.891760000000001</v>
      </c>
      <c r="H164">
        <v>-4</v>
      </c>
      <c r="I164">
        <v>4</v>
      </c>
      <c r="J164">
        <v>1.17</v>
      </c>
      <c r="K164">
        <v>6.2554910000000001</v>
      </c>
      <c r="L164">
        <v>-0.4052105090487893</v>
      </c>
      <c r="M164">
        <v>-0.36028933403795482</v>
      </c>
      <c r="N164">
        <v>1.516670831696002E-2</v>
      </c>
      <c r="O164">
        <v>0.9874352500481498</v>
      </c>
    </row>
    <row r="165" spans="1:15" x14ac:dyDescent="0.25">
      <c r="A165">
        <v>8.7111372500000002</v>
      </c>
      <c r="B165">
        <v>11.0150515</v>
      </c>
      <c r="C165">
        <v>17.116422750000002</v>
      </c>
      <c r="D165">
        <v>14.898097</v>
      </c>
      <c r="E165">
        <v>21.994876999999999</v>
      </c>
      <c r="F165">
        <v>2.6999999999999999E-5</v>
      </c>
      <c r="G165">
        <v>22.131368999999999</v>
      </c>
      <c r="H165">
        <v>-4</v>
      </c>
      <c r="I165">
        <v>8</v>
      </c>
      <c r="J165">
        <v>1.17</v>
      </c>
      <c r="K165">
        <v>6.1507122499999998</v>
      </c>
      <c r="L165">
        <v>-0.6928337520830623</v>
      </c>
      <c r="M165">
        <v>-0.32004032068319732</v>
      </c>
      <c r="N165">
        <v>-1.128968538968074E-2</v>
      </c>
      <c r="O165">
        <v>0.81307534264236936</v>
      </c>
    </row>
    <row r="166" spans="1:15" x14ac:dyDescent="0.25">
      <c r="A166">
        <v>6.2730185000000001</v>
      </c>
      <c r="B166">
        <v>10.197341</v>
      </c>
      <c r="C166">
        <v>17.929340249999999</v>
      </c>
      <c r="D166">
        <v>13.758829499999999</v>
      </c>
      <c r="E166">
        <v>20.743137000000001</v>
      </c>
      <c r="F166">
        <v>2.6999999999999999E-5</v>
      </c>
      <c r="G166">
        <v>21.53106</v>
      </c>
      <c r="H166">
        <v>-4</v>
      </c>
      <c r="I166">
        <v>12</v>
      </c>
      <c r="J166">
        <v>1.17</v>
      </c>
      <c r="K166">
        <v>6.0667175000000002</v>
      </c>
      <c r="L166">
        <v>-0.93190848206747057</v>
      </c>
      <c r="M166">
        <v>-0.28475308765835439</v>
      </c>
      <c r="N166">
        <v>-6.3005754027933347E-2</v>
      </c>
      <c r="O166">
        <v>0.65840932920573858</v>
      </c>
    </row>
    <row r="167" spans="1:15" x14ac:dyDescent="0.25">
      <c r="A167">
        <v>3.7911275</v>
      </c>
      <c r="B167">
        <v>9.4277320000000007</v>
      </c>
      <c r="C167">
        <v>18.561609000000001</v>
      </c>
      <c r="D167">
        <v>12.488110750000001</v>
      </c>
      <c r="E167">
        <v>19.089051999999999</v>
      </c>
      <c r="F167">
        <v>2.6999999999999999E-5</v>
      </c>
      <c r="G167">
        <v>20.970773999999999</v>
      </c>
      <c r="H167">
        <v>-4</v>
      </c>
      <c r="I167">
        <v>16</v>
      </c>
      <c r="J167">
        <v>1.17</v>
      </c>
      <c r="K167">
        <v>5.9872719999999999</v>
      </c>
      <c r="L167">
        <v>-1.1835746734613191</v>
      </c>
      <c r="M167">
        <v>-0.24522688612059149</v>
      </c>
      <c r="N167">
        <v>-0.15082828419732339</v>
      </c>
      <c r="O167">
        <v>0.52963628934449691</v>
      </c>
    </row>
    <row r="168" spans="1:15" x14ac:dyDescent="0.25">
      <c r="A168">
        <v>1.1283004999999999</v>
      </c>
      <c r="B168">
        <v>8.0328132500000002</v>
      </c>
      <c r="C168">
        <v>19.103555750000002</v>
      </c>
      <c r="D168">
        <v>10.9983</v>
      </c>
      <c r="E168">
        <v>16.987919000000002</v>
      </c>
      <c r="F168">
        <v>2.6999999999999999E-5</v>
      </c>
      <c r="G168">
        <v>20.610589000000001</v>
      </c>
      <c r="H168">
        <v>-4</v>
      </c>
      <c r="I168">
        <v>20</v>
      </c>
      <c r="J168">
        <v>1.17</v>
      </c>
      <c r="K168">
        <v>5.9356237500000004</v>
      </c>
      <c r="L168">
        <v>-1.4487441263087171</v>
      </c>
      <c r="M168">
        <v>-0.2390143686637593</v>
      </c>
      <c r="N168">
        <v>-0.29196176623748632</v>
      </c>
      <c r="O168">
        <v>0.36921699014310588</v>
      </c>
    </row>
    <row r="169" spans="1:15" x14ac:dyDescent="0.25">
      <c r="A169">
        <v>-1.3516744999999999</v>
      </c>
      <c r="B169">
        <v>6.3973917499999997</v>
      </c>
      <c r="C169">
        <v>19.103555750000002</v>
      </c>
      <c r="D169">
        <v>9.3770362499999997</v>
      </c>
      <c r="E169">
        <v>14.305618000000001</v>
      </c>
      <c r="F169">
        <v>2.6999999999999999E-5</v>
      </c>
      <c r="G169">
        <v>20.010280999999999</v>
      </c>
      <c r="H169">
        <v>-4</v>
      </c>
      <c r="I169">
        <v>24</v>
      </c>
      <c r="J169">
        <v>1.17</v>
      </c>
      <c r="K169">
        <v>5.8485519999999998</v>
      </c>
      <c r="L169">
        <v>-1.7360825860477711</v>
      </c>
      <c r="M169">
        <v>-0.25289541291457851</v>
      </c>
      <c r="N169">
        <v>-0.48417415976304817</v>
      </c>
      <c r="O169">
        <v>0.2141641850428021</v>
      </c>
    </row>
    <row r="170" spans="1:15" x14ac:dyDescent="0.25">
      <c r="A170">
        <v>-3.8297435000000002</v>
      </c>
      <c r="B170">
        <v>4.7619705000000003</v>
      </c>
      <c r="C170">
        <v>19.464853000000002</v>
      </c>
      <c r="D170">
        <v>7.7557720000000003</v>
      </c>
      <c r="E170">
        <v>11.623317999999999</v>
      </c>
      <c r="F170">
        <v>2.6999999999999999E-5</v>
      </c>
      <c r="G170">
        <v>19.970260499999998</v>
      </c>
      <c r="H170">
        <v>-4</v>
      </c>
      <c r="I170">
        <v>28</v>
      </c>
      <c r="J170">
        <v>1.17</v>
      </c>
      <c r="K170">
        <v>5.8426917500000002</v>
      </c>
      <c r="L170">
        <v>-2.0878562282527651</v>
      </c>
      <c r="M170">
        <v>-0.26829706076679549</v>
      </c>
      <c r="N170">
        <v>-0.74811940626128559</v>
      </c>
      <c r="O170">
        <v>4.1792682324748087E-2</v>
      </c>
    </row>
    <row r="171" spans="1:15" x14ac:dyDescent="0.25">
      <c r="A171">
        <v>-6.8034272500000004</v>
      </c>
      <c r="B171">
        <v>2.9822475000000002</v>
      </c>
      <c r="C171">
        <v>20.232609</v>
      </c>
      <c r="D171">
        <v>6.0030547500000004</v>
      </c>
      <c r="E171">
        <v>8.4939685000000011</v>
      </c>
      <c r="F171">
        <v>2.6999999999999999E-5</v>
      </c>
      <c r="G171">
        <v>20.610589000000001</v>
      </c>
      <c r="H171">
        <v>-4</v>
      </c>
      <c r="I171">
        <v>32</v>
      </c>
      <c r="J171">
        <v>1.17</v>
      </c>
      <c r="K171">
        <v>5.9356237500000004</v>
      </c>
      <c r="L171">
        <v>-2.5985017330515552</v>
      </c>
      <c r="M171">
        <v>-0.29036584645741959</v>
      </c>
      <c r="N171">
        <v>-1.1645724140725759</v>
      </c>
      <c r="O171">
        <v>-0.18363783210335519</v>
      </c>
    </row>
    <row r="172" spans="1:15" x14ac:dyDescent="0.25">
      <c r="A172">
        <v>-9.5968857500000002</v>
      </c>
      <c r="B172">
        <v>0.96202100000000002</v>
      </c>
      <c r="C172">
        <v>20.6842285</v>
      </c>
      <c r="D172">
        <v>4.0312469999999996</v>
      </c>
      <c r="E172">
        <v>4.8281599999999996</v>
      </c>
      <c r="F172">
        <v>2.6999999999999999E-5</v>
      </c>
      <c r="G172">
        <v>20.970773999999999</v>
      </c>
      <c r="H172">
        <v>-4</v>
      </c>
      <c r="I172">
        <v>36</v>
      </c>
      <c r="J172">
        <v>1.17</v>
      </c>
      <c r="K172">
        <v>5.9872719999999999</v>
      </c>
      <c r="L172">
        <v>-3.311005869004743</v>
      </c>
      <c r="M172">
        <v>-0.33560227372430318</v>
      </c>
      <c r="N172">
        <v>-1.765102329464747</v>
      </c>
      <c r="O172">
        <v>-0.47207132591625989</v>
      </c>
    </row>
    <row r="173" spans="1:15" x14ac:dyDescent="0.25">
      <c r="A173">
        <v>21.662203999999999</v>
      </c>
      <c r="B173">
        <v>2.8860459999999999</v>
      </c>
      <c r="C173">
        <v>-9.8775569999999995</v>
      </c>
      <c r="D173">
        <v>3.3301590000000001</v>
      </c>
      <c r="E173">
        <v>8.4045590000000008</v>
      </c>
      <c r="F173">
        <v>2.6999999999999999E-5</v>
      </c>
      <c r="G173">
        <v>21.491039499999999</v>
      </c>
      <c r="H173">
        <v>0</v>
      </c>
      <c r="I173">
        <v>-36</v>
      </c>
      <c r="J173">
        <v>1.17</v>
      </c>
      <c r="K173">
        <v>6.0610792500000006</v>
      </c>
      <c r="L173">
        <v>2.650336847405125</v>
      </c>
      <c r="M173">
        <v>-3.7319837462204422E-2</v>
      </c>
      <c r="N173">
        <v>-1.0996806760894859</v>
      </c>
      <c r="O173">
        <v>-0.29374783402896182</v>
      </c>
    </row>
    <row r="174" spans="1:15" x14ac:dyDescent="0.25">
      <c r="A174">
        <v>21.979547499999999</v>
      </c>
      <c r="B174">
        <v>5.1948759999999998</v>
      </c>
      <c r="C174">
        <v>-6.90075825</v>
      </c>
      <c r="D174">
        <v>5.6086925000000001</v>
      </c>
      <c r="E174">
        <v>11.846843249999999</v>
      </c>
      <c r="F174">
        <v>2.6999999999999999E-5</v>
      </c>
      <c r="G174">
        <v>21.931266999999998</v>
      </c>
      <c r="H174">
        <v>0</v>
      </c>
      <c r="I174">
        <v>-32</v>
      </c>
      <c r="J174">
        <v>1.17</v>
      </c>
      <c r="K174">
        <v>6.1228509999999998</v>
      </c>
      <c r="L174">
        <v>2.274073611383852</v>
      </c>
      <c r="M174">
        <v>-3.2585266210462052E-2</v>
      </c>
      <c r="N174">
        <v>-0.79407599115835192</v>
      </c>
      <c r="O174">
        <v>-6.7161173768928162E-2</v>
      </c>
    </row>
    <row r="175" spans="1:15" x14ac:dyDescent="0.25">
      <c r="A175">
        <v>21.980980250000002</v>
      </c>
      <c r="B175">
        <v>7.3113029999999997</v>
      </c>
      <c r="C175">
        <v>-3.7886514999999998</v>
      </c>
      <c r="D175">
        <v>7.6243185000000002</v>
      </c>
      <c r="E175">
        <v>14.931488</v>
      </c>
      <c r="F175">
        <v>2.6999999999999999E-5</v>
      </c>
      <c r="G175">
        <v>22.131368999999999</v>
      </c>
      <c r="H175">
        <v>0</v>
      </c>
      <c r="I175">
        <v>-28</v>
      </c>
      <c r="J175">
        <v>1.17</v>
      </c>
      <c r="K175">
        <v>6.1507122499999998</v>
      </c>
      <c r="L175">
        <v>1.956712300214569</v>
      </c>
      <c r="M175">
        <v>-2.37903559160706E-2</v>
      </c>
      <c r="N175">
        <v>-0.54669614748265094</v>
      </c>
      <c r="O175">
        <v>0.13373730977898099</v>
      </c>
    </row>
    <row r="176" spans="1:15" x14ac:dyDescent="0.25">
      <c r="A176">
        <v>21.89212375</v>
      </c>
      <c r="B176">
        <v>9.1872275000000005</v>
      </c>
      <c r="C176">
        <v>-0.81185399999999996</v>
      </c>
      <c r="D176">
        <v>9.4208540000000003</v>
      </c>
      <c r="E176">
        <v>17.613787500000001</v>
      </c>
      <c r="F176">
        <v>2.6999999999999999E-5</v>
      </c>
      <c r="G176">
        <v>22.571594000000001</v>
      </c>
      <c r="H176">
        <v>0</v>
      </c>
      <c r="I176">
        <v>-24</v>
      </c>
      <c r="J176">
        <v>1.17</v>
      </c>
      <c r="K176">
        <v>6.2115919999999996</v>
      </c>
      <c r="L176">
        <v>1.6910527117706791</v>
      </c>
      <c r="M176">
        <v>-1.737695274049247E-2</v>
      </c>
      <c r="N176">
        <v>-0.36927960769181672</v>
      </c>
      <c r="O176">
        <v>0.3119057425775279</v>
      </c>
    </row>
    <row r="177" spans="1:15" x14ac:dyDescent="0.25">
      <c r="A177">
        <v>21.302553499999998</v>
      </c>
      <c r="B177">
        <v>10.437844500000001</v>
      </c>
      <c r="C177">
        <v>1.7613002499999999</v>
      </c>
      <c r="D177">
        <v>11.042118</v>
      </c>
      <c r="E177">
        <v>19.849035000000001</v>
      </c>
      <c r="F177">
        <v>2.6999999999999999E-5</v>
      </c>
      <c r="G177">
        <v>22.811717999999999</v>
      </c>
      <c r="H177">
        <v>0</v>
      </c>
      <c r="I177">
        <v>-20</v>
      </c>
      <c r="J177">
        <v>1.17</v>
      </c>
      <c r="K177">
        <v>6.2445354999999996</v>
      </c>
      <c r="L177">
        <v>1.4212450132235801</v>
      </c>
      <c r="M177">
        <v>-4.3904382548225221E-2</v>
      </c>
      <c r="N177">
        <v>-0.21551094869440229</v>
      </c>
      <c r="O177">
        <v>0.44371886945629019</v>
      </c>
    </row>
    <row r="178" spans="1:15" x14ac:dyDescent="0.25">
      <c r="A178">
        <v>19.906033000000001</v>
      </c>
      <c r="B178">
        <v>11.544157999999999</v>
      </c>
      <c r="C178">
        <v>4.5613519999999994</v>
      </c>
      <c r="D178">
        <v>12.049931000000001</v>
      </c>
      <c r="E178">
        <v>20.921956999999999</v>
      </c>
      <c r="F178">
        <v>2.6999999999999999E-5</v>
      </c>
      <c r="G178">
        <v>22.411511999999998</v>
      </c>
      <c r="H178">
        <v>0</v>
      </c>
      <c r="I178">
        <v>-16</v>
      </c>
      <c r="J178">
        <v>1.17</v>
      </c>
      <c r="K178">
        <v>6.1895259999999999</v>
      </c>
      <c r="L178">
        <v>1.192343175500606</v>
      </c>
      <c r="M178">
        <v>-3.9307397999843598E-2</v>
      </c>
      <c r="N178">
        <v>-0.1157467888651582</v>
      </c>
      <c r="O178">
        <v>0.6257514588998867</v>
      </c>
    </row>
    <row r="179" spans="1:15" x14ac:dyDescent="0.25">
      <c r="A179">
        <v>18.186044500000001</v>
      </c>
      <c r="B179">
        <v>12.121366</v>
      </c>
      <c r="C179">
        <v>7.0904310000000006</v>
      </c>
      <c r="D179">
        <v>12.57574625</v>
      </c>
      <c r="E179">
        <v>21.413710999999999</v>
      </c>
      <c r="F179">
        <v>2.6999999999999999E-5</v>
      </c>
      <c r="G179">
        <v>21.931266999999998</v>
      </c>
      <c r="H179">
        <v>0</v>
      </c>
      <c r="I179">
        <v>-12</v>
      </c>
      <c r="J179">
        <v>1.17</v>
      </c>
      <c r="K179">
        <v>6.1228509999999998</v>
      </c>
      <c r="L179">
        <v>0.93973579329966983</v>
      </c>
      <c r="M179">
        <v>-3.8504021318364487E-2</v>
      </c>
      <c r="N179">
        <v>-4.3869347755951242E-2</v>
      </c>
      <c r="O179">
        <v>0.81355418669346746</v>
      </c>
    </row>
    <row r="180" spans="1:15" x14ac:dyDescent="0.25">
      <c r="A180">
        <v>16.112316</v>
      </c>
      <c r="B180">
        <v>12.121366</v>
      </c>
      <c r="C180">
        <v>8.9420770000000012</v>
      </c>
      <c r="D180">
        <v>12.619564</v>
      </c>
      <c r="E180">
        <v>21.100777000000001</v>
      </c>
      <c r="F180">
        <v>2.6999999999999999E-5</v>
      </c>
      <c r="G180">
        <v>21.130856000000001</v>
      </c>
      <c r="H180">
        <v>0</v>
      </c>
      <c r="I180">
        <v>-8</v>
      </c>
      <c r="J180">
        <v>1.17</v>
      </c>
      <c r="K180">
        <v>6.0100809999999996</v>
      </c>
      <c r="L180">
        <v>0.67837491855334675</v>
      </c>
      <c r="M180">
        <v>-4.7173711365250261E-2</v>
      </c>
      <c r="N180">
        <v>-2.8460016336066978E-3</v>
      </c>
      <c r="O180">
        <v>0.99650151169670775</v>
      </c>
    </row>
    <row r="181" spans="1:15" x14ac:dyDescent="0.25">
      <c r="A181">
        <v>14.126485000000001</v>
      </c>
      <c r="B181">
        <v>12.313768</v>
      </c>
      <c r="C181">
        <v>10.884048999999999</v>
      </c>
      <c r="D181">
        <v>12.57574625</v>
      </c>
      <c r="E181">
        <v>20.921956999999999</v>
      </c>
      <c r="F181">
        <v>2.6999999999999999E-5</v>
      </c>
      <c r="G181">
        <v>20.770671499999999</v>
      </c>
      <c r="H181">
        <v>0</v>
      </c>
      <c r="I181">
        <v>-4</v>
      </c>
      <c r="J181">
        <v>1.1675</v>
      </c>
      <c r="K181">
        <v>5.9650435000000002</v>
      </c>
      <c r="L181">
        <v>0.34774561977295299</v>
      </c>
      <c r="M181">
        <v>-2.8111999086115651E-2</v>
      </c>
      <c r="N181">
        <v>1.6216881186295679E-2</v>
      </c>
      <c r="O181">
        <v>1.244147931555871</v>
      </c>
    </row>
    <row r="182" spans="1:15" x14ac:dyDescent="0.25">
      <c r="A182">
        <v>12.0962975</v>
      </c>
      <c r="B182">
        <v>12.121366</v>
      </c>
      <c r="C182">
        <v>12.509885000000001</v>
      </c>
      <c r="D182">
        <v>12.312839</v>
      </c>
      <c r="E182">
        <v>20.609022750000001</v>
      </c>
      <c r="F182">
        <v>2.6999999999999999E-5</v>
      </c>
      <c r="G182">
        <v>20.370464500000001</v>
      </c>
      <c r="H182">
        <v>0</v>
      </c>
      <c r="I182">
        <v>0</v>
      </c>
      <c r="J182">
        <v>1.1675</v>
      </c>
      <c r="K182">
        <v>5.9072847500000014</v>
      </c>
      <c r="L182">
        <v>-4.8577975821819892E-2</v>
      </c>
      <c r="M182">
        <v>-2.2447307174365681E-2</v>
      </c>
      <c r="N182">
        <v>2.805875728898086E-2</v>
      </c>
      <c r="O182">
        <v>1.4246493378656471</v>
      </c>
    </row>
    <row r="183" spans="1:15" x14ac:dyDescent="0.25">
      <c r="A183">
        <v>9.8846544999999999</v>
      </c>
      <c r="B183">
        <v>11.8808635</v>
      </c>
      <c r="C183">
        <v>13.90991</v>
      </c>
      <c r="D183">
        <v>11.918476999999999</v>
      </c>
      <c r="E183">
        <v>19.983153000000001</v>
      </c>
      <c r="F183">
        <v>2.6999999999999999E-5</v>
      </c>
      <c r="G183">
        <v>19.810178499999999</v>
      </c>
      <c r="H183">
        <v>0</v>
      </c>
      <c r="I183">
        <v>4</v>
      </c>
      <c r="J183">
        <v>1.165</v>
      </c>
      <c r="K183">
        <v>5.8317540000000001</v>
      </c>
      <c r="L183">
        <v>-0.44212475190260392</v>
      </c>
      <c r="M183">
        <v>-4.1305243671334859E-3</v>
      </c>
      <c r="N183">
        <v>1.899923790485698E-2</v>
      </c>
      <c r="O183">
        <v>1.194905166490613</v>
      </c>
    </row>
    <row r="184" spans="1:15" x14ac:dyDescent="0.25">
      <c r="A184">
        <v>7.6720389999999998</v>
      </c>
      <c r="B184">
        <v>11.39985575</v>
      </c>
      <c r="C184">
        <v>15.038964249999999</v>
      </c>
      <c r="D184">
        <v>11.348844</v>
      </c>
      <c r="E184">
        <v>19.357281499999999</v>
      </c>
      <c r="F184">
        <v>2.6999999999999999E-5</v>
      </c>
      <c r="G184">
        <v>19.490014500000001</v>
      </c>
      <c r="H184">
        <v>0</v>
      </c>
      <c r="I184">
        <v>8</v>
      </c>
      <c r="J184">
        <v>1.17</v>
      </c>
      <c r="K184">
        <v>5.772011</v>
      </c>
      <c r="L184">
        <v>-0.74704503274398992</v>
      </c>
      <c r="M184">
        <v>5.2092310762169528E-3</v>
      </c>
      <c r="N184">
        <v>-1.351840310331362E-2</v>
      </c>
      <c r="O184">
        <v>0.96290166122230281</v>
      </c>
    </row>
    <row r="185" spans="1:15" x14ac:dyDescent="0.25">
      <c r="A185">
        <v>5.6863254999999997</v>
      </c>
      <c r="B185">
        <v>10.91885025</v>
      </c>
      <c r="C185">
        <v>16.303503249999999</v>
      </c>
      <c r="D185">
        <v>10.910664000000001</v>
      </c>
      <c r="E185">
        <v>18.865527</v>
      </c>
      <c r="F185">
        <v>2.6999999999999999E-5</v>
      </c>
      <c r="G185">
        <v>19.530035000000002</v>
      </c>
      <c r="H185">
        <v>0</v>
      </c>
      <c r="I185">
        <v>12</v>
      </c>
      <c r="J185">
        <v>1.17</v>
      </c>
      <c r="K185">
        <v>5.7779429999999996</v>
      </c>
      <c r="L185">
        <v>-1.002806221869492</v>
      </c>
      <c r="M185">
        <v>7.0264313413497936E-4</v>
      </c>
      <c r="N185">
        <v>-6.2840501187316364E-2</v>
      </c>
      <c r="O185">
        <v>0.78193061976601252</v>
      </c>
    </row>
    <row r="186" spans="1:15" x14ac:dyDescent="0.25">
      <c r="A186">
        <v>3.56524325</v>
      </c>
      <c r="B186">
        <v>10.485944999999999</v>
      </c>
      <c r="C186">
        <v>17.74869125</v>
      </c>
      <c r="D186">
        <v>10.297212999999999</v>
      </c>
      <c r="E186">
        <v>18.239656</v>
      </c>
      <c r="F186">
        <v>2.6999999999999999E-5</v>
      </c>
      <c r="G186">
        <v>20.010280999999999</v>
      </c>
      <c r="H186">
        <v>0</v>
      </c>
      <c r="I186">
        <v>16</v>
      </c>
      <c r="J186">
        <v>1.17</v>
      </c>
      <c r="K186">
        <v>5.8485519999999998</v>
      </c>
      <c r="L186">
        <v>-1.254263654073335</v>
      </c>
      <c r="M186">
        <v>1.667815147134822E-2</v>
      </c>
      <c r="N186">
        <v>-0.15658291969551269</v>
      </c>
      <c r="O186">
        <v>0.6129978753168781</v>
      </c>
    </row>
    <row r="187" spans="1:15" x14ac:dyDescent="0.25">
      <c r="A187">
        <v>1.173427</v>
      </c>
      <c r="B187">
        <v>9.8125359999999997</v>
      </c>
      <c r="C187">
        <v>19.01323125</v>
      </c>
      <c r="D187">
        <v>9.2894000000000005</v>
      </c>
      <c r="E187">
        <v>17.0326235</v>
      </c>
      <c r="F187">
        <v>2.6999999999999999E-5</v>
      </c>
      <c r="G187">
        <v>20.530546999999999</v>
      </c>
      <c r="H187">
        <v>0</v>
      </c>
      <c r="I187">
        <v>20</v>
      </c>
      <c r="J187">
        <v>1.1675</v>
      </c>
      <c r="K187">
        <v>5.9304760000000014</v>
      </c>
      <c r="L187">
        <v>-1.511735518681016</v>
      </c>
      <c r="M187">
        <v>4.4330286186448298E-2</v>
      </c>
      <c r="N187">
        <v>-0.29641529283703322</v>
      </c>
      <c r="O187">
        <v>0.44330533388925691</v>
      </c>
    </row>
    <row r="188" spans="1:15" x14ac:dyDescent="0.25">
      <c r="A188">
        <v>-1.441786</v>
      </c>
      <c r="B188">
        <v>8.6581209999999995</v>
      </c>
      <c r="C188">
        <v>20.00679775</v>
      </c>
      <c r="D188">
        <v>7.8434080000000002</v>
      </c>
      <c r="E188">
        <v>15.020898000000001</v>
      </c>
      <c r="F188">
        <v>2.6999999999999999E-5</v>
      </c>
      <c r="G188">
        <v>20.8507125</v>
      </c>
      <c r="H188">
        <v>0</v>
      </c>
      <c r="I188">
        <v>24</v>
      </c>
      <c r="J188">
        <v>1.165</v>
      </c>
      <c r="K188">
        <v>5.9829515000000004</v>
      </c>
      <c r="L188">
        <v>-1.814627439522873</v>
      </c>
      <c r="M188">
        <v>6.8906312482892598E-2</v>
      </c>
      <c r="N188">
        <v>-0.49322380384792208</v>
      </c>
      <c r="O188">
        <v>0.27080496508301749</v>
      </c>
    </row>
    <row r="189" spans="1:15" x14ac:dyDescent="0.25">
      <c r="A189">
        <v>-4.2352455000000004</v>
      </c>
      <c r="B189">
        <v>7.2632025000000002</v>
      </c>
      <c r="C189">
        <v>20.72939075</v>
      </c>
      <c r="D189">
        <v>6.0906902499999998</v>
      </c>
      <c r="E189">
        <v>12.293893000000001</v>
      </c>
      <c r="F189">
        <v>2.6999999999999999E-5</v>
      </c>
      <c r="G189">
        <v>21.290937</v>
      </c>
      <c r="H189">
        <v>0</v>
      </c>
      <c r="I189">
        <v>28</v>
      </c>
      <c r="J189">
        <v>1.1675</v>
      </c>
      <c r="K189">
        <v>6.0392907499999993</v>
      </c>
      <c r="L189">
        <v>-2.1964005616933</v>
      </c>
      <c r="M189">
        <v>0.10319234043347709</v>
      </c>
      <c r="N189">
        <v>-0.79158075249276538</v>
      </c>
      <c r="O189">
        <v>8.1623745844365131E-2</v>
      </c>
    </row>
    <row r="190" spans="1:15" x14ac:dyDescent="0.25">
      <c r="A190">
        <v>-7.2089287500000001</v>
      </c>
      <c r="B190">
        <v>5.5315804999999996</v>
      </c>
      <c r="C190">
        <v>21.271337750000001</v>
      </c>
      <c r="D190">
        <v>3.8997937500000002</v>
      </c>
      <c r="E190">
        <v>8.9410190000000007</v>
      </c>
      <c r="F190">
        <v>2.6999999999999999E-5</v>
      </c>
      <c r="G190">
        <v>21.611101000000001</v>
      </c>
      <c r="H190">
        <v>0</v>
      </c>
      <c r="I190">
        <v>32</v>
      </c>
      <c r="J190">
        <v>1.17</v>
      </c>
      <c r="K190">
        <v>6.0779940000000003</v>
      </c>
      <c r="L190">
        <v>-2.6880655522548009</v>
      </c>
      <c r="M190">
        <v>0.15400580521327911</v>
      </c>
      <c r="N190">
        <v>-1.195889893098274</v>
      </c>
      <c r="O190">
        <v>-0.15608739019427631</v>
      </c>
    </row>
    <row r="191" spans="1:15" x14ac:dyDescent="0.25">
      <c r="A191">
        <v>-10.182612000000001</v>
      </c>
      <c r="B191">
        <v>3.5594545000000002</v>
      </c>
      <c r="C191">
        <v>21.587472999999999</v>
      </c>
      <c r="D191">
        <v>1.6650780000000001</v>
      </c>
      <c r="E191">
        <v>5.0069790000000003</v>
      </c>
      <c r="F191">
        <v>2.6999999999999999E-5</v>
      </c>
      <c r="G191">
        <v>21.8112055</v>
      </c>
      <c r="H191">
        <v>0</v>
      </c>
      <c r="I191">
        <v>36</v>
      </c>
      <c r="J191">
        <v>1.17</v>
      </c>
      <c r="K191">
        <v>6.1060607499999993</v>
      </c>
      <c r="L191">
        <v>-3.4288957716088122</v>
      </c>
      <c r="M191">
        <v>0.20447710999651239</v>
      </c>
      <c r="N191">
        <v>-1.813794219368309</v>
      </c>
      <c r="O191">
        <v>-0.45957803258760838</v>
      </c>
    </row>
    <row r="192" spans="1:15" x14ac:dyDescent="0.25">
      <c r="A192">
        <v>22.38719175</v>
      </c>
      <c r="B192">
        <v>5.3872790000000004</v>
      </c>
      <c r="C192">
        <v>-10.238381</v>
      </c>
      <c r="D192">
        <v>0.87635450000000004</v>
      </c>
      <c r="E192">
        <v>8.3598540000000003</v>
      </c>
      <c r="F192">
        <v>2.6999999999999999E-5</v>
      </c>
      <c r="G192">
        <v>22.251429000000002</v>
      </c>
      <c r="H192">
        <v>4</v>
      </c>
      <c r="I192">
        <v>-36</v>
      </c>
      <c r="J192">
        <v>1.17</v>
      </c>
      <c r="K192">
        <v>6.1673809999999998</v>
      </c>
      <c r="L192">
        <v>2.5018213905863371</v>
      </c>
      <c r="M192">
        <v>0.34587211108107552</v>
      </c>
      <c r="N192">
        <v>-1.0652505729699691</v>
      </c>
      <c r="O192">
        <v>-0.35891368281886171</v>
      </c>
    </row>
    <row r="193" spans="1:15" x14ac:dyDescent="0.25">
      <c r="A193">
        <v>22.521126500000001</v>
      </c>
      <c r="B193">
        <v>7.6961079999999997</v>
      </c>
      <c r="C193">
        <v>-6.9909647499999998</v>
      </c>
      <c r="D193">
        <v>3.28634125</v>
      </c>
      <c r="E193">
        <v>11.9809585</v>
      </c>
      <c r="F193">
        <v>2.6999999999999999E-5</v>
      </c>
      <c r="G193">
        <v>22.571594000000001</v>
      </c>
      <c r="H193">
        <v>4</v>
      </c>
      <c r="I193">
        <v>-32</v>
      </c>
      <c r="J193">
        <v>1.17</v>
      </c>
      <c r="K193">
        <v>6.2115919999999996</v>
      </c>
      <c r="L193">
        <v>2.1334377792361048</v>
      </c>
      <c r="M193">
        <v>0.31878644308494503</v>
      </c>
      <c r="N193">
        <v>-0.76562838945592859</v>
      </c>
      <c r="O193">
        <v>-0.13390732067082309</v>
      </c>
    </row>
    <row r="194" spans="1:15" x14ac:dyDescent="0.25">
      <c r="A194">
        <v>22.4308725</v>
      </c>
      <c r="B194">
        <v>9.6201329999999992</v>
      </c>
      <c r="C194">
        <v>-3.7435482499999999</v>
      </c>
      <c r="D194">
        <v>5.6086929999999997</v>
      </c>
      <c r="E194">
        <v>15.110308</v>
      </c>
      <c r="F194">
        <v>2.6999999999999999E-5</v>
      </c>
      <c r="G194">
        <v>22.771697</v>
      </c>
      <c r="H194">
        <v>4</v>
      </c>
      <c r="I194">
        <v>-28</v>
      </c>
      <c r="J194">
        <v>1.1675</v>
      </c>
      <c r="K194">
        <v>6.2457605000000003</v>
      </c>
      <c r="L194">
        <v>1.8462281473985711</v>
      </c>
      <c r="M194">
        <v>0.28295851128162458</v>
      </c>
      <c r="N194">
        <v>-0.54048123147680838</v>
      </c>
      <c r="O194">
        <v>6.5797493762595541E-2</v>
      </c>
    </row>
    <row r="195" spans="1:15" x14ac:dyDescent="0.25">
      <c r="A195">
        <v>21.845564</v>
      </c>
      <c r="B195">
        <v>10.870749500000001</v>
      </c>
      <c r="C195">
        <v>-0.67654499999999995</v>
      </c>
      <c r="D195">
        <v>7.3614112499999997</v>
      </c>
      <c r="E195">
        <v>17.434968000000001</v>
      </c>
      <c r="F195">
        <v>2.6999999999999999E-5</v>
      </c>
      <c r="G195">
        <v>22.571594000000001</v>
      </c>
      <c r="H195">
        <v>4</v>
      </c>
      <c r="I195">
        <v>-24</v>
      </c>
      <c r="J195">
        <v>1.17</v>
      </c>
      <c r="K195">
        <v>6.2115919999999996</v>
      </c>
      <c r="L195">
        <v>1.598166673768727</v>
      </c>
      <c r="M195">
        <v>0.24899951944627099</v>
      </c>
      <c r="N195">
        <v>-0.3644927419206494</v>
      </c>
      <c r="O195">
        <v>0.2372190425697043</v>
      </c>
    </row>
    <row r="196" spans="1:15" x14ac:dyDescent="0.25">
      <c r="A196">
        <v>20.219372</v>
      </c>
      <c r="B196">
        <v>11.7846625</v>
      </c>
      <c r="C196">
        <v>1.9419485000000001</v>
      </c>
      <c r="D196">
        <v>8.5444949999999995</v>
      </c>
      <c r="E196">
        <v>18.686707500000001</v>
      </c>
      <c r="F196">
        <v>2.6999999999999999E-5</v>
      </c>
      <c r="G196">
        <v>21.731164</v>
      </c>
      <c r="H196">
        <v>4</v>
      </c>
      <c r="I196">
        <v>-20</v>
      </c>
      <c r="J196">
        <v>1.17</v>
      </c>
      <c r="K196">
        <v>6.0948465000000001</v>
      </c>
      <c r="L196">
        <v>1.359577504851432</v>
      </c>
      <c r="M196">
        <v>0.2410254240693232</v>
      </c>
      <c r="N196">
        <v>-0.22647544267542299</v>
      </c>
      <c r="O196">
        <v>0.39003285361298029</v>
      </c>
    </row>
    <row r="197" spans="1:15" x14ac:dyDescent="0.25">
      <c r="A197">
        <v>18.82026875</v>
      </c>
      <c r="B197">
        <v>12.5542715</v>
      </c>
      <c r="C197">
        <v>4.4710277500000002</v>
      </c>
      <c r="D197">
        <v>9.552308</v>
      </c>
      <c r="E197">
        <v>19.670217999999998</v>
      </c>
      <c r="F197">
        <v>2.6999999999999999E-5</v>
      </c>
      <c r="G197">
        <v>21.130856000000001</v>
      </c>
      <c r="H197">
        <v>4</v>
      </c>
      <c r="I197">
        <v>-16</v>
      </c>
      <c r="J197">
        <v>1.17</v>
      </c>
      <c r="K197">
        <v>6.0100809999999996</v>
      </c>
      <c r="L197">
        <v>1.1335591966885179</v>
      </c>
      <c r="M197">
        <v>0.23715960597125371</v>
      </c>
      <c r="N197">
        <v>-0.1153885271002323</v>
      </c>
      <c r="O197">
        <v>0.5539198400084353</v>
      </c>
    </row>
    <row r="198" spans="1:15" x14ac:dyDescent="0.25">
      <c r="A198">
        <v>17.285763500000002</v>
      </c>
      <c r="B198">
        <v>13.275781</v>
      </c>
      <c r="C198">
        <v>6.8194577499999998</v>
      </c>
      <c r="D198">
        <v>10.121941</v>
      </c>
      <c r="E198">
        <v>20.206676000000002</v>
      </c>
      <c r="F198">
        <v>-4.8582500000000001E-2</v>
      </c>
      <c r="G198">
        <v>20.8507125</v>
      </c>
      <c r="H198">
        <v>4</v>
      </c>
      <c r="I198">
        <v>-12</v>
      </c>
      <c r="J198">
        <v>1.17</v>
      </c>
      <c r="K198">
        <v>5.9770232500000002</v>
      </c>
      <c r="L198">
        <v>0.89179627886057777</v>
      </c>
      <c r="M198">
        <v>0.26872277565552122</v>
      </c>
      <c r="N198">
        <v>-5.4890828154768617E-2</v>
      </c>
      <c r="O198">
        <v>0.72595214265229124</v>
      </c>
    </row>
    <row r="199" spans="1:15" x14ac:dyDescent="0.25">
      <c r="A199">
        <v>15.346052500000001</v>
      </c>
      <c r="B199">
        <v>13.3719825</v>
      </c>
      <c r="C199">
        <v>8.580781</v>
      </c>
      <c r="D199">
        <v>10.209576999999999</v>
      </c>
      <c r="E199">
        <v>20.206676000000002</v>
      </c>
      <c r="F199">
        <v>2.6999999999999999E-5</v>
      </c>
      <c r="G199">
        <v>20.170362000000001</v>
      </c>
      <c r="H199">
        <v>4</v>
      </c>
      <c r="I199">
        <v>-8</v>
      </c>
      <c r="J199">
        <v>1.17</v>
      </c>
      <c r="K199">
        <v>5.8719000000000001</v>
      </c>
      <c r="L199">
        <v>0.62572436537740694</v>
      </c>
      <c r="M199">
        <v>0.29245758054576809</v>
      </c>
      <c r="N199">
        <v>3.35898918457226E-3</v>
      </c>
      <c r="O199">
        <v>0.86908397442986984</v>
      </c>
    </row>
    <row r="200" spans="1:15" x14ac:dyDescent="0.25">
      <c r="A200">
        <v>13.9928945</v>
      </c>
      <c r="B200">
        <v>14.045391</v>
      </c>
      <c r="C200">
        <v>10.793724750000001</v>
      </c>
      <c r="D200">
        <v>10.56012</v>
      </c>
      <c r="E200">
        <v>20.653727499999999</v>
      </c>
      <c r="F200">
        <v>2.6999999999999999E-5</v>
      </c>
      <c r="G200">
        <v>20.530546999999999</v>
      </c>
      <c r="H200">
        <v>4</v>
      </c>
      <c r="I200">
        <v>-4</v>
      </c>
      <c r="J200">
        <v>1.165</v>
      </c>
      <c r="K200">
        <v>5.9368147499999999</v>
      </c>
      <c r="L200">
        <v>0.3206723604351448</v>
      </c>
      <c r="M200">
        <v>0.34935207891814257</v>
      </c>
      <c r="N200">
        <v>1.230743016763651E-2</v>
      </c>
      <c r="O200">
        <v>1.070214595183804</v>
      </c>
    </row>
    <row r="201" spans="1:15" x14ac:dyDescent="0.25">
      <c r="A201">
        <v>12.4565745</v>
      </c>
      <c r="B201">
        <v>14.38209425</v>
      </c>
      <c r="C201">
        <v>13.006669</v>
      </c>
      <c r="D201">
        <v>10.779210000000001</v>
      </c>
      <c r="E201">
        <v>21.23489125</v>
      </c>
      <c r="F201">
        <v>2.6999999999999999E-5</v>
      </c>
      <c r="G201">
        <v>21.010794499999999</v>
      </c>
      <c r="H201">
        <v>4</v>
      </c>
      <c r="I201">
        <v>0</v>
      </c>
      <c r="J201">
        <v>1.17</v>
      </c>
      <c r="K201">
        <v>5.9929742499999996</v>
      </c>
      <c r="L201">
        <v>-5.7208347569074169E-2</v>
      </c>
      <c r="M201">
        <v>0.37460155650946297</v>
      </c>
      <c r="N201">
        <v>2.3257347699299932E-2</v>
      </c>
      <c r="O201">
        <v>1.208251998986509</v>
      </c>
    </row>
    <row r="202" spans="1:15" x14ac:dyDescent="0.25">
      <c r="A202">
        <v>10.650585749999999</v>
      </c>
      <c r="B202">
        <v>14.57449725</v>
      </c>
      <c r="C202">
        <v>14.813153</v>
      </c>
      <c r="D202">
        <v>10.823028000000001</v>
      </c>
      <c r="E202">
        <v>21.458416</v>
      </c>
      <c r="F202">
        <v>2.6999999999999999E-5</v>
      </c>
      <c r="G202">
        <v>21.370978000000001</v>
      </c>
      <c r="H202">
        <v>4</v>
      </c>
      <c r="I202">
        <v>4</v>
      </c>
      <c r="J202">
        <v>1.165</v>
      </c>
      <c r="K202">
        <v>6.0571204999999999</v>
      </c>
      <c r="L202">
        <v>-0.38824598559929802</v>
      </c>
      <c r="M202">
        <v>0.34986864815815732</v>
      </c>
      <c r="N202">
        <v>8.170359966029668E-3</v>
      </c>
      <c r="O202">
        <v>1.001439163310849</v>
      </c>
    </row>
    <row r="203" spans="1:15" x14ac:dyDescent="0.25">
      <c r="A203">
        <v>8.4854570000000002</v>
      </c>
      <c r="B203">
        <v>14.57449725</v>
      </c>
      <c r="C203">
        <v>16.75512475</v>
      </c>
      <c r="D203">
        <v>10.735391999999999</v>
      </c>
      <c r="E203">
        <v>21.592532500000001</v>
      </c>
      <c r="F203">
        <v>2.6999999999999999E-5</v>
      </c>
      <c r="G203">
        <v>21.771184999999999</v>
      </c>
      <c r="H203">
        <v>4</v>
      </c>
      <c r="I203">
        <v>8</v>
      </c>
      <c r="J203">
        <v>1.165</v>
      </c>
      <c r="K203">
        <v>6.1135830000000002</v>
      </c>
      <c r="L203">
        <v>-0.69018778707464112</v>
      </c>
      <c r="M203">
        <v>0.32037124570785619</v>
      </c>
      <c r="N203">
        <v>-1.4945726117294399E-2</v>
      </c>
      <c r="O203">
        <v>0.80209654674416497</v>
      </c>
    </row>
    <row r="204" spans="1:15" x14ac:dyDescent="0.25">
      <c r="A204">
        <v>6.4084102500000002</v>
      </c>
      <c r="B204">
        <v>14.237792000000001</v>
      </c>
      <c r="C204">
        <v>18.426123</v>
      </c>
      <c r="D204">
        <v>10.341030999999999</v>
      </c>
      <c r="E204">
        <v>21.190186499999999</v>
      </c>
      <c r="F204">
        <v>2.6999999999999999E-5</v>
      </c>
      <c r="G204">
        <v>22.091349000000001</v>
      </c>
      <c r="H204">
        <v>4</v>
      </c>
      <c r="I204">
        <v>12</v>
      </c>
      <c r="J204">
        <v>1.17</v>
      </c>
      <c r="K204">
        <v>6.1451560000000001</v>
      </c>
      <c r="L204">
        <v>-0.93778308872579141</v>
      </c>
      <c r="M204">
        <v>0.30408573443717191</v>
      </c>
      <c r="N204">
        <v>-7.037146820073667E-2</v>
      </c>
      <c r="O204">
        <v>0.65353612455592747</v>
      </c>
    </row>
    <row r="205" spans="1:15" x14ac:dyDescent="0.25">
      <c r="A205">
        <v>4.0619339999999999</v>
      </c>
      <c r="B205">
        <v>13.660586</v>
      </c>
      <c r="C205">
        <v>19.73582425</v>
      </c>
      <c r="D205">
        <v>9.5961259999999999</v>
      </c>
      <c r="E205">
        <v>20.385497999999998</v>
      </c>
      <c r="F205">
        <v>2.6999999999999999E-5</v>
      </c>
      <c r="G205">
        <v>22.411511999999998</v>
      </c>
      <c r="H205">
        <v>4</v>
      </c>
      <c r="I205">
        <v>16</v>
      </c>
      <c r="J205">
        <v>1.17</v>
      </c>
      <c r="K205">
        <v>6.1895259999999999</v>
      </c>
      <c r="L205">
        <v>-1.1562105245891801</v>
      </c>
      <c r="M205">
        <v>0.29979958975394438</v>
      </c>
      <c r="N205">
        <v>-0.14945444174725719</v>
      </c>
      <c r="O205">
        <v>0.50378980010004959</v>
      </c>
    </row>
    <row r="206" spans="1:15" x14ac:dyDescent="0.25">
      <c r="A206">
        <v>1.3990119999999999</v>
      </c>
      <c r="B206">
        <v>12.794774500000001</v>
      </c>
      <c r="C206">
        <v>21.09068925</v>
      </c>
      <c r="D206">
        <v>8.3692229999999999</v>
      </c>
      <c r="E206">
        <v>18.954937000000001</v>
      </c>
      <c r="F206">
        <v>2.6999999999999999E-5</v>
      </c>
      <c r="G206">
        <v>22.851738999999998</v>
      </c>
      <c r="H206">
        <v>4</v>
      </c>
      <c r="I206">
        <v>20</v>
      </c>
      <c r="J206">
        <v>1.17</v>
      </c>
      <c r="K206">
        <v>6.2500132500000003</v>
      </c>
      <c r="L206">
        <v>-1.3995107922845029</v>
      </c>
      <c r="M206">
        <v>0.3145213006055258</v>
      </c>
      <c r="N206">
        <v>-0.27694138665694962</v>
      </c>
      <c r="O206">
        <v>0.34714780302433612</v>
      </c>
    </row>
    <row r="207" spans="1:15" x14ac:dyDescent="0.25">
      <c r="A207">
        <v>-1.62201</v>
      </c>
      <c r="B207">
        <v>10.966951</v>
      </c>
      <c r="C207">
        <v>21.135850999999999</v>
      </c>
      <c r="D207">
        <v>6.1783262499999996</v>
      </c>
      <c r="E207">
        <v>15.78088325</v>
      </c>
      <c r="F207">
        <v>2.6999999999999999E-5</v>
      </c>
      <c r="G207">
        <v>22.091349000000001</v>
      </c>
      <c r="H207">
        <v>4</v>
      </c>
      <c r="I207">
        <v>24</v>
      </c>
      <c r="J207">
        <v>1.1675</v>
      </c>
      <c r="K207">
        <v>6.1517637499999998</v>
      </c>
      <c r="L207">
        <v>-1.6855136983229231</v>
      </c>
      <c r="M207">
        <v>0.35463295138223261</v>
      </c>
      <c r="N207">
        <v>-0.46740952622748461</v>
      </c>
      <c r="O207">
        <v>0.16873834571278901</v>
      </c>
    </row>
    <row r="208" spans="1:15" x14ac:dyDescent="0.25">
      <c r="A208">
        <v>-4.2803012499999999</v>
      </c>
      <c r="B208">
        <v>9.57203275</v>
      </c>
      <c r="C208">
        <v>20.910041249999999</v>
      </c>
      <c r="D208">
        <v>3.8997937500000002</v>
      </c>
      <c r="E208">
        <v>12.428008500000001</v>
      </c>
      <c r="F208">
        <v>2.6999999999999999E-5</v>
      </c>
      <c r="G208">
        <v>21.491039499999999</v>
      </c>
      <c r="H208">
        <v>4</v>
      </c>
      <c r="I208">
        <v>28</v>
      </c>
      <c r="J208">
        <v>1.1625000000000001</v>
      </c>
      <c r="K208">
        <v>6.0806372499999997</v>
      </c>
      <c r="L208">
        <v>-1.996389418266272</v>
      </c>
      <c r="M208">
        <v>0.44951741736018319</v>
      </c>
      <c r="N208">
        <v>-0.71826558278247254</v>
      </c>
      <c r="O208">
        <v>-1.506818849044474E-2</v>
      </c>
    </row>
    <row r="209" spans="1:15" x14ac:dyDescent="0.25">
      <c r="A209">
        <v>-7.1638730000000006</v>
      </c>
      <c r="B209">
        <v>7.6480075000000003</v>
      </c>
      <c r="C209">
        <v>20.6842285</v>
      </c>
      <c r="D209">
        <v>1.3145340000000001</v>
      </c>
      <c r="E209">
        <v>8.5833779999999997</v>
      </c>
      <c r="F209">
        <v>2.6999999999999999E-5</v>
      </c>
      <c r="G209">
        <v>21.090835500000001</v>
      </c>
      <c r="H209">
        <v>4</v>
      </c>
      <c r="I209">
        <v>32</v>
      </c>
      <c r="J209">
        <v>1.17</v>
      </c>
      <c r="K209">
        <v>6.0043787499999999</v>
      </c>
      <c r="L209">
        <v>-2.4199573912063781</v>
      </c>
      <c r="M209">
        <v>0.55035445075874634</v>
      </c>
      <c r="N209">
        <v>-1.0869091227876679</v>
      </c>
      <c r="O209">
        <v>-0.25411298184397257</v>
      </c>
    </row>
    <row r="210" spans="1:15" x14ac:dyDescent="0.25">
      <c r="A210">
        <v>-9.1913830000000001</v>
      </c>
      <c r="B210">
        <v>5.7720830000000003</v>
      </c>
      <c r="C210">
        <v>20.142284499999999</v>
      </c>
      <c r="D210">
        <v>-0.61189399999999994</v>
      </c>
      <c r="E210">
        <v>4.9622742500000001</v>
      </c>
      <c r="F210">
        <v>2.6999999999999999E-5</v>
      </c>
      <c r="G210">
        <v>20.450505499999998</v>
      </c>
      <c r="H210">
        <v>4</v>
      </c>
      <c r="I210">
        <v>36</v>
      </c>
      <c r="J210">
        <v>1.17</v>
      </c>
      <c r="K210">
        <v>5.912528</v>
      </c>
      <c r="L210">
        <v>-2.9739176104428759</v>
      </c>
      <c r="M210">
        <v>0.64723320512328864</v>
      </c>
      <c r="N210">
        <v>-1.570298288795912</v>
      </c>
      <c r="O210">
        <v>-0.49695017949452658</v>
      </c>
    </row>
    <row r="211" spans="1:15" x14ac:dyDescent="0.25">
      <c r="A211">
        <v>20.040144250000001</v>
      </c>
      <c r="B211">
        <v>6.7340960000000001</v>
      </c>
      <c r="C211">
        <v>-9.2010120000000004</v>
      </c>
      <c r="D211">
        <v>-1.7482705000000001</v>
      </c>
      <c r="E211">
        <v>6.9739990000000001</v>
      </c>
      <c r="F211">
        <v>2.6999999999999999E-5</v>
      </c>
      <c r="G211">
        <v>20.010280999999999</v>
      </c>
      <c r="H211">
        <v>8</v>
      </c>
      <c r="I211">
        <v>-36</v>
      </c>
      <c r="J211">
        <v>1.17</v>
      </c>
      <c r="K211">
        <v>5.8485519999999998</v>
      </c>
      <c r="L211">
        <v>2.3490101095948979</v>
      </c>
      <c r="M211">
        <v>0.6813743773485299</v>
      </c>
      <c r="N211">
        <v>-1.0472586098685079</v>
      </c>
      <c r="O211">
        <v>-0.43975189996795871</v>
      </c>
    </row>
    <row r="212" spans="1:15" x14ac:dyDescent="0.25">
      <c r="A212">
        <v>19.316721000000001</v>
      </c>
      <c r="B212">
        <v>8.4657180000000007</v>
      </c>
      <c r="C212">
        <v>-5.8182867500000004</v>
      </c>
      <c r="D212">
        <v>0.65726525000000002</v>
      </c>
      <c r="E212">
        <v>9.8351179999999996</v>
      </c>
      <c r="F212">
        <v>-4.8582500000000001E-2</v>
      </c>
      <c r="G212">
        <v>19.369952999999999</v>
      </c>
      <c r="H212">
        <v>8</v>
      </c>
      <c r="I212">
        <v>-32</v>
      </c>
      <c r="J212">
        <v>1.165</v>
      </c>
      <c r="K212">
        <v>5.7737914999999997</v>
      </c>
      <c r="L212">
        <v>2.0245030145055281</v>
      </c>
      <c r="M212">
        <v>0.62890762716328019</v>
      </c>
      <c r="N212">
        <v>-0.76799970482369984</v>
      </c>
      <c r="O212">
        <v>-0.20388640162594621</v>
      </c>
    </row>
    <row r="213" spans="1:15" x14ac:dyDescent="0.25">
      <c r="A213">
        <v>19.317976000000002</v>
      </c>
      <c r="B213">
        <v>10.197341</v>
      </c>
      <c r="C213">
        <v>-3.0670039999999998</v>
      </c>
      <c r="D213">
        <v>2.6728907500000001</v>
      </c>
      <c r="E213">
        <v>12.696239</v>
      </c>
      <c r="F213">
        <v>2.6999999999999999E-5</v>
      </c>
      <c r="G213">
        <v>19.770157999999999</v>
      </c>
      <c r="H213">
        <v>8</v>
      </c>
      <c r="I213">
        <v>-28</v>
      </c>
      <c r="J213">
        <v>1.17</v>
      </c>
      <c r="K213">
        <v>5.8133429999999997</v>
      </c>
      <c r="L213">
        <v>1.7361873456863679</v>
      </c>
      <c r="M213">
        <v>0.58358171066257492</v>
      </c>
      <c r="N213">
        <v>-0.54866631201164928</v>
      </c>
      <c r="O213">
        <v>-1.5277185621045859E-2</v>
      </c>
    </row>
    <row r="214" spans="1:15" x14ac:dyDescent="0.25">
      <c r="A214">
        <v>19.497251500000001</v>
      </c>
      <c r="B214">
        <v>11.592259</v>
      </c>
      <c r="C214">
        <v>-0.45102999999999999</v>
      </c>
      <c r="D214">
        <v>4.5570620000000002</v>
      </c>
      <c r="E214">
        <v>15.199718000000001</v>
      </c>
      <c r="F214">
        <v>2.6999999999999999E-5</v>
      </c>
      <c r="G214">
        <v>20.330444</v>
      </c>
      <c r="H214">
        <v>8</v>
      </c>
      <c r="I214">
        <v>-24</v>
      </c>
      <c r="J214">
        <v>1.17</v>
      </c>
      <c r="K214">
        <v>5.8951549999999999</v>
      </c>
      <c r="L214">
        <v>1.517354452614704</v>
      </c>
      <c r="M214">
        <v>0.53514903050673124</v>
      </c>
      <c r="N214">
        <v>-0.39027174948221549</v>
      </c>
      <c r="O214">
        <v>0.15617360937985911</v>
      </c>
    </row>
    <row r="215" spans="1:15" x14ac:dyDescent="0.25">
      <c r="A215">
        <v>19.089821749999999</v>
      </c>
      <c r="B215">
        <v>13.083378</v>
      </c>
      <c r="C215">
        <v>2.032273</v>
      </c>
      <c r="D215">
        <v>6.1783262499999996</v>
      </c>
      <c r="E215">
        <v>17.345558</v>
      </c>
      <c r="F215">
        <v>2.6999999999999999E-5</v>
      </c>
      <c r="G215">
        <v>20.65061</v>
      </c>
      <c r="H215">
        <v>8</v>
      </c>
      <c r="I215">
        <v>-20</v>
      </c>
      <c r="J215">
        <v>1.1675</v>
      </c>
      <c r="K215">
        <v>5.9477807499999997</v>
      </c>
      <c r="L215">
        <v>1.2883013204007401</v>
      </c>
      <c r="M215">
        <v>0.52151451980722641</v>
      </c>
      <c r="N215">
        <v>-0.24962423251221921</v>
      </c>
      <c r="O215">
        <v>0.31007465643260901</v>
      </c>
    </row>
    <row r="216" spans="1:15" x14ac:dyDescent="0.25">
      <c r="A216">
        <v>18.4579995</v>
      </c>
      <c r="B216">
        <v>14.3339935</v>
      </c>
      <c r="C216">
        <v>4.6068257499999996</v>
      </c>
      <c r="D216">
        <v>7.536683</v>
      </c>
      <c r="E216">
        <v>19.133756999999999</v>
      </c>
      <c r="F216">
        <v>2.6999999999999999E-5</v>
      </c>
      <c r="G216">
        <v>21.090835500000001</v>
      </c>
      <c r="H216">
        <v>8</v>
      </c>
      <c r="I216">
        <v>-16</v>
      </c>
      <c r="J216">
        <v>1.17</v>
      </c>
      <c r="K216">
        <v>6.0043787499999999</v>
      </c>
      <c r="L216">
        <v>1.060417756343466</v>
      </c>
      <c r="M216">
        <v>0.52039443518593409</v>
      </c>
      <c r="N216">
        <v>-0.14984233007693121</v>
      </c>
      <c r="O216">
        <v>0.46485656686706189</v>
      </c>
    </row>
    <row r="217" spans="1:15" x14ac:dyDescent="0.25">
      <c r="A217">
        <v>17.601685</v>
      </c>
      <c r="B217">
        <v>15.4403085</v>
      </c>
      <c r="C217">
        <v>7.0001067499999996</v>
      </c>
      <c r="D217">
        <v>8.3692229999999999</v>
      </c>
      <c r="E217">
        <v>20.474907999999999</v>
      </c>
      <c r="F217">
        <v>2.6999999999999999E-5</v>
      </c>
      <c r="G217">
        <v>21.491039499999999</v>
      </c>
      <c r="H217">
        <v>8</v>
      </c>
      <c r="I217">
        <v>-12</v>
      </c>
      <c r="J217">
        <v>1.1675</v>
      </c>
      <c r="K217">
        <v>6.0675904999999997</v>
      </c>
      <c r="L217">
        <v>0.82889281417939753</v>
      </c>
      <c r="M217">
        <v>0.55288291339957329</v>
      </c>
      <c r="N217">
        <v>-7.953288022388301E-2</v>
      </c>
      <c r="O217">
        <v>0.6008698557358565</v>
      </c>
    </row>
    <row r="218" spans="1:15" x14ac:dyDescent="0.25">
      <c r="A218">
        <v>16.430371999999998</v>
      </c>
      <c r="B218">
        <v>16.161819000000001</v>
      </c>
      <c r="C218">
        <v>9.0775635000000001</v>
      </c>
      <c r="D218">
        <v>8.8074030000000008</v>
      </c>
      <c r="E218">
        <v>21.279596000000002</v>
      </c>
      <c r="F218">
        <v>2.6999999999999999E-5</v>
      </c>
      <c r="G218">
        <v>21.771184999999999</v>
      </c>
      <c r="H218">
        <v>8</v>
      </c>
      <c r="I218">
        <v>-8</v>
      </c>
      <c r="J218">
        <v>1.1675</v>
      </c>
      <c r="K218">
        <v>6.1070234999999986</v>
      </c>
      <c r="L218">
        <v>0.59597455607837724</v>
      </c>
      <c r="M218">
        <v>0.59610604673684187</v>
      </c>
      <c r="N218">
        <v>-3.9847923015425321E-2</v>
      </c>
      <c r="O218">
        <v>0.72490968535389388</v>
      </c>
    </row>
    <row r="219" spans="1:15" x14ac:dyDescent="0.25">
      <c r="A219">
        <v>14.804427</v>
      </c>
      <c r="B219">
        <v>16.739027</v>
      </c>
      <c r="C219">
        <v>11.245346250000001</v>
      </c>
      <c r="D219">
        <v>8.9826750000000004</v>
      </c>
      <c r="E219">
        <v>21.994876999999999</v>
      </c>
      <c r="F219">
        <v>2.6999999999999999E-5</v>
      </c>
      <c r="G219">
        <v>22.091349000000001</v>
      </c>
      <c r="H219">
        <v>8</v>
      </c>
      <c r="I219">
        <v>-4</v>
      </c>
      <c r="J219">
        <v>1.17</v>
      </c>
      <c r="K219">
        <v>6.1451560000000001</v>
      </c>
      <c r="L219">
        <v>0.29953405029755281</v>
      </c>
      <c r="M219">
        <v>0.65282989777379385</v>
      </c>
      <c r="N219">
        <v>-8.1202907380963606E-3</v>
      </c>
      <c r="O219">
        <v>0.85136181214046358</v>
      </c>
    </row>
    <row r="220" spans="1:15" x14ac:dyDescent="0.25">
      <c r="A220">
        <v>13.132703749999999</v>
      </c>
      <c r="B220">
        <v>17.123830999999999</v>
      </c>
      <c r="C220">
        <v>13.18731775</v>
      </c>
      <c r="D220">
        <v>9.1141287500000008</v>
      </c>
      <c r="E220">
        <v>22.352516000000001</v>
      </c>
      <c r="F220">
        <v>2.6999999999999999E-5</v>
      </c>
      <c r="G220">
        <v>22.451532499999999</v>
      </c>
      <c r="H220">
        <v>8</v>
      </c>
      <c r="I220">
        <v>0</v>
      </c>
      <c r="J220">
        <v>1.17</v>
      </c>
      <c r="K220">
        <v>6.1950424999999996</v>
      </c>
      <c r="L220">
        <v>-4.9044440534220428E-3</v>
      </c>
      <c r="M220">
        <v>0.71325907567074043</v>
      </c>
      <c r="N220">
        <v>-8.7699929534827154E-3</v>
      </c>
      <c r="O220">
        <v>0.9907303404871064</v>
      </c>
    </row>
    <row r="221" spans="1:15" x14ac:dyDescent="0.25">
      <c r="A221">
        <v>11.102598499999999</v>
      </c>
      <c r="B221">
        <v>17.220032</v>
      </c>
      <c r="C221">
        <v>15.355098999999999</v>
      </c>
      <c r="D221">
        <v>9.2017644999999995</v>
      </c>
      <c r="E221">
        <v>22.531338000000002</v>
      </c>
      <c r="F221">
        <v>2.6999999999999999E-5</v>
      </c>
      <c r="G221">
        <v>22.731676</v>
      </c>
      <c r="H221">
        <v>8</v>
      </c>
      <c r="I221">
        <v>4</v>
      </c>
      <c r="J221">
        <v>1.17</v>
      </c>
      <c r="K221">
        <v>6.2335799999999999</v>
      </c>
      <c r="L221">
        <v>-0.34350330860276318</v>
      </c>
      <c r="M221">
        <v>0.64774242318886011</v>
      </c>
      <c r="N221">
        <v>-1.6183911426383531E-2</v>
      </c>
      <c r="O221">
        <v>0.82014765817919466</v>
      </c>
    </row>
    <row r="222" spans="1:15" x14ac:dyDescent="0.25">
      <c r="A222">
        <v>8.8916795000000004</v>
      </c>
      <c r="B222">
        <v>16.979527999999998</v>
      </c>
      <c r="C222">
        <v>16.980936</v>
      </c>
      <c r="D222">
        <v>9.0264930000000003</v>
      </c>
      <c r="E222">
        <v>22.128992</v>
      </c>
      <c r="F222">
        <v>2.6999999999999999E-5</v>
      </c>
      <c r="G222">
        <v>22.6916555</v>
      </c>
      <c r="H222">
        <v>8</v>
      </c>
      <c r="I222">
        <v>8</v>
      </c>
      <c r="J222">
        <v>1.17</v>
      </c>
      <c r="K222">
        <v>6.2280829999999998</v>
      </c>
      <c r="L222">
        <v>-0.61426151685135011</v>
      </c>
      <c r="M222">
        <v>0.6038729353774992</v>
      </c>
      <c r="N222">
        <v>-4.279195098383326E-2</v>
      </c>
      <c r="O222">
        <v>0.68031890577960041</v>
      </c>
    </row>
    <row r="223" spans="1:15" x14ac:dyDescent="0.25">
      <c r="A223">
        <v>6.3636875000000002</v>
      </c>
      <c r="B223">
        <v>15.777013</v>
      </c>
      <c r="C223">
        <v>17.704693500000001</v>
      </c>
      <c r="D223">
        <v>8.2377690000000001</v>
      </c>
      <c r="E223">
        <v>20.564318</v>
      </c>
      <c r="F223">
        <v>2.6999999999999999E-5</v>
      </c>
      <c r="G223">
        <v>21.8112055</v>
      </c>
      <c r="H223">
        <v>8</v>
      </c>
      <c r="I223">
        <v>12</v>
      </c>
      <c r="J223">
        <v>1.17</v>
      </c>
      <c r="K223">
        <v>6.1060607499999993</v>
      </c>
      <c r="L223">
        <v>-0.85503836104384157</v>
      </c>
      <c r="M223">
        <v>0.56842156963123003</v>
      </c>
      <c r="N223">
        <v>-9.4003883686701789E-2</v>
      </c>
      <c r="O223">
        <v>0.55044545163591718</v>
      </c>
    </row>
    <row r="224" spans="1:15" x14ac:dyDescent="0.25">
      <c r="A224">
        <v>3.8357774999999998</v>
      </c>
      <c r="B224">
        <v>14.815001000000001</v>
      </c>
      <c r="C224">
        <v>18.426123</v>
      </c>
      <c r="D224">
        <v>7.2737755000000002</v>
      </c>
      <c r="E224">
        <v>18.954937000000001</v>
      </c>
      <c r="F224">
        <v>2.6999999999999999E-5</v>
      </c>
      <c r="G224">
        <v>21.3309575</v>
      </c>
      <c r="H224">
        <v>8</v>
      </c>
      <c r="I224">
        <v>16</v>
      </c>
      <c r="J224">
        <v>1.17</v>
      </c>
      <c r="K224">
        <v>6.0384632500000004</v>
      </c>
      <c r="L224">
        <v>-1.088823542701681</v>
      </c>
      <c r="M224">
        <v>0.56275589596089626</v>
      </c>
      <c r="N224">
        <v>-0.17730339847574419</v>
      </c>
      <c r="O224">
        <v>0.41457143395990781</v>
      </c>
    </row>
    <row r="225" spans="1:15" x14ac:dyDescent="0.25">
      <c r="A225">
        <v>1.2636309999999999</v>
      </c>
      <c r="B225">
        <v>13.6124855</v>
      </c>
      <c r="C225">
        <v>18.968069</v>
      </c>
      <c r="D225">
        <v>5.7839640000000001</v>
      </c>
      <c r="E225">
        <v>17.0326235</v>
      </c>
      <c r="F225">
        <v>2.6999999999999999E-5</v>
      </c>
      <c r="G225">
        <v>20.970773999999999</v>
      </c>
      <c r="H225">
        <v>8</v>
      </c>
      <c r="I225">
        <v>20</v>
      </c>
      <c r="J225">
        <v>1.17</v>
      </c>
      <c r="K225">
        <v>5.9872719999999999</v>
      </c>
      <c r="L225">
        <v>-1.3106257816649021</v>
      </c>
      <c r="M225">
        <v>0.57951879693961383</v>
      </c>
      <c r="N225">
        <v>-0.29156637196230017</v>
      </c>
      <c r="O225">
        <v>0.26085797283664758</v>
      </c>
    </row>
    <row r="226" spans="1:15" x14ac:dyDescent="0.25">
      <c r="A226">
        <v>-1.3967302500000001</v>
      </c>
      <c r="B226">
        <v>12.025164999999999</v>
      </c>
      <c r="C226">
        <v>19.058393500000001</v>
      </c>
      <c r="D226">
        <v>3.8121577499999999</v>
      </c>
      <c r="E226">
        <v>14.260913</v>
      </c>
      <c r="F226">
        <v>2.6999999999999999E-5</v>
      </c>
      <c r="G226">
        <v>20.330444</v>
      </c>
      <c r="H226">
        <v>8</v>
      </c>
      <c r="I226">
        <v>24</v>
      </c>
      <c r="J226">
        <v>1.17</v>
      </c>
      <c r="K226">
        <v>5.8951549999999999</v>
      </c>
      <c r="L226">
        <v>-1.567065458689934</v>
      </c>
      <c r="M226">
        <v>0.62921449906947158</v>
      </c>
      <c r="N226">
        <v>-0.46500180860826362</v>
      </c>
      <c r="O226">
        <v>9.2521503691139692E-2</v>
      </c>
    </row>
    <row r="227" spans="1:15" x14ac:dyDescent="0.25">
      <c r="A227">
        <v>-4.1000777500000014</v>
      </c>
      <c r="B227">
        <v>10.774547999999999</v>
      </c>
      <c r="C227">
        <v>19.690662</v>
      </c>
      <c r="D227">
        <v>1.6650780000000001</v>
      </c>
      <c r="E227">
        <v>11.533908500000001</v>
      </c>
      <c r="F227">
        <v>2.6999999999999999E-5</v>
      </c>
      <c r="G227">
        <v>20.490525999999999</v>
      </c>
      <c r="H227">
        <v>8</v>
      </c>
      <c r="I227">
        <v>28</v>
      </c>
      <c r="J227">
        <v>1.17</v>
      </c>
      <c r="K227">
        <v>5.9183190000000003</v>
      </c>
      <c r="L227">
        <v>-1.8657207602003321</v>
      </c>
      <c r="M227">
        <v>0.71438407427639838</v>
      </c>
      <c r="N227">
        <v>-0.70239661789528673</v>
      </c>
      <c r="O227">
        <v>-9.5461399352358506E-2</v>
      </c>
    </row>
    <row r="228" spans="1:15" x14ac:dyDescent="0.25">
      <c r="A228">
        <v>-7.0737614999999998</v>
      </c>
      <c r="B228">
        <v>9.8125359999999997</v>
      </c>
      <c r="C228">
        <v>20.368095749999998</v>
      </c>
      <c r="D228">
        <v>-0.83042799999999994</v>
      </c>
      <c r="E228">
        <v>8.4939685000000011</v>
      </c>
      <c r="F228">
        <v>2.6999999999999999E-5</v>
      </c>
      <c r="G228">
        <v>21.130856000000001</v>
      </c>
      <c r="H228">
        <v>8</v>
      </c>
      <c r="I228">
        <v>32</v>
      </c>
      <c r="J228">
        <v>1.1675</v>
      </c>
      <c r="K228">
        <v>6.0165434999999992</v>
      </c>
      <c r="L228">
        <v>-2.2049181647704339</v>
      </c>
      <c r="M228">
        <v>0.85512354624790476</v>
      </c>
      <c r="N228">
        <v>-1.0153577208580471</v>
      </c>
      <c r="O228">
        <v>-0.31752235021275999</v>
      </c>
    </row>
    <row r="229" spans="1:15" x14ac:dyDescent="0.25">
      <c r="A229">
        <v>-10.0023885</v>
      </c>
      <c r="B229">
        <v>8.0809139999999999</v>
      </c>
      <c r="C229">
        <v>20.774553000000001</v>
      </c>
      <c r="D229">
        <v>-3.6713680000000002</v>
      </c>
      <c r="E229">
        <v>4.6046347499999998</v>
      </c>
      <c r="F229">
        <v>2.6999999999999999E-5</v>
      </c>
      <c r="G229">
        <v>21.3309575</v>
      </c>
      <c r="H229">
        <v>8</v>
      </c>
      <c r="I229">
        <v>36</v>
      </c>
      <c r="J229">
        <v>1.17</v>
      </c>
      <c r="K229">
        <v>6.0384632500000004</v>
      </c>
      <c r="L229">
        <v>-2.6901239645315518</v>
      </c>
      <c r="M229">
        <v>1.027256867921188</v>
      </c>
      <c r="N229">
        <v>-1.462067740123058</v>
      </c>
      <c r="O229">
        <v>-0.59757699242696094</v>
      </c>
    </row>
    <row r="230" spans="1:15" x14ac:dyDescent="0.25">
      <c r="A230">
        <v>21.437945249999999</v>
      </c>
      <c r="B230">
        <v>9.4277320000000007</v>
      </c>
      <c r="C230">
        <v>-10.103071999999999</v>
      </c>
      <c r="D230">
        <v>-4.8077439999999996</v>
      </c>
      <c r="E230">
        <v>6.8398832499999997</v>
      </c>
      <c r="F230">
        <v>2.6999999999999999E-5</v>
      </c>
      <c r="G230">
        <v>21.851226</v>
      </c>
      <c r="H230">
        <v>12</v>
      </c>
      <c r="I230">
        <v>-36</v>
      </c>
      <c r="J230">
        <v>1.165</v>
      </c>
      <c r="K230">
        <v>6.1248250000000004</v>
      </c>
      <c r="L230">
        <v>2.2064038128363102</v>
      </c>
      <c r="M230">
        <v>0.99583608364637377</v>
      </c>
      <c r="N230">
        <v>-1.050134346360341</v>
      </c>
      <c r="O230">
        <v>-0.52150288093496078</v>
      </c>
    </row>
    <row r="231" spans="1:15" x14ac:dyDescent="0.25">
      <c r="A231">
        <v>21.573360000000001</v>
      </c>
      <c r="B231">
        <v>11.159352999999999</v>
      </c>
      <c r="C231">
        <v>-7.1262734999999999</v>
      </c>
      <c r="D231">
        <v>-2.3601649999999998</v>
      </c>
      <c r="E231">
        <v>10.14805475</v>
      </c>
      <c r="F231">
        <v>2.6999999999999999E-5</v>
      </c>
      <c r="G231">
        <v>22.091349000000001</v>
      </c>
      <c r="H231">
        <v>12</v>
      </c>
      <c r="I231">
        <v>-32</v>
      </c>
      <c r="J231">
        <v>1.1675</v>
      </c>
      <c r="K231">
        <v>6.1517637499999998</v>
      </c>
      <c r="L231">
        <v>1.9272934400267621</v>
      </c>
      <c r="M231">
        <v>0.90788879498482045</v>
      </c>
      <c r="N231">
        <v>-0.80206352015866855</v>
      </c>
      <c r="O231">
        <v>-0.31851614277208068</v>
      </c>
    </row>
    <row r="232" spans="1:15" x14ac:dyDescent="0.25">
      <c r="A232">
        <v>21.485878</v>
      </c>
      <c r="B232">
        <v>13.035277499999999</v>
      </c>
      <c r="C232">
        <v>-3.92396075</v>
      </c>
      <c r="D232">
        <v>0.30672125</v>
      </c>
      <c r="E232">
        <v>13.366812250000001</v>
      </c>
      <c r="F232">
        <v>2.6999999999999999E-5</v>
      </c>
      <c r="G232">
        <v>22.411511999999998</v>
      </c>
      <c r="H232">
        <v>12</v>
      </c>
      <c r="I232">
        <v>-28</v>
      </c>
      <c r="J232">
        <v>1.17</v>
      </c>
      <c r="K232">
        <v>6.1895259999999999</v>
      </c>
      <c r="L232">
        <v>1.6744124544294801</v>
      </c>
      <c r="M232">
        <v>0.83876735634559296</v>
      </c>
      <c r="N232">
        <v>-0.59602359630153001</v>
      </c>
      <c r="O232">
        <v>-0.1191835870237147</v>
      </c>
    </row>
    <row r="233" spans="1:15" x14ac:dyDescent="0.25">
      <c r="A233">
        <v>21.303939249999999</v>
      </c>
      <c r="B233">
        <v>14.815001000000001</v>
      </c>
      <c r="C233">
        <v>-0.85695699999999997</v>
      </c>
      <c r="D233">
        <v>2.629073</v>
      </c>
      <c r="E233">
        <v>16.093819</v>
      </c>
      <c r="F233">
        <v>2.6999999999999999E-5</v>
      </c>
      <c r="G233">
        <v>22.811717999999999</v>
      </c>
      <c r="H233">
        <v>12</v>
      </c>
      <c r="I233">
        <v>-24</v>
      </c>
      <c r="J233">
        <v>1.17</v>
      </c>
      <c r="K233">
        <v>6.2445354999999996</v>
      </c>
      <c r="L233">
        <v>1.4572056629089589</v>
      </c>
      <c r="M233">
        <v>0.80130195558162298</v>
      </c>
      <c r="N233">
        <v>-0.44175224066640312</v>
      </c>
      <c r="O233">
        <v>5.8268767247260718E-2</v>
      </c>
    </row>
    <row r="234" spans="1:15" x14ac:dyDescent="0.25">
      <c r="A234">
        <v>20.669358750000001</v>
      </c>
      <c r="B234">
        <v>16.161819000000001</v>
      </c>
      <c r="C234">
        <v>1.9419487499999999</v>
      </c>
      <c r="D234">
        <v>4.6008800000000001</v>
      </c>
      <c r="E234">
        <v>18.329066999999998</v>
      </c>
      <c r="F234">
        <v>2.6999999999999999E-5</v>
      </c>
      <c r="G234">
        <v>22.891759499999999</v>
      </c>
      <c r="H234">
        <v>12</v>
      </c>
      <c r="I234">
        <v>-20</v>
      </c>
      <c r="J234">
        <v>1.1675</v>
      </c>
      <c r="K234">
        <v>6.2621745000000004</v>
      </c>
      <c r="L234">
        <v>1.2437177156875949</v>
      </c>
      <c r="M234">
        <v>0.76779210839670609</v>
      </c>
      <c r="N234">
        <v>-0.30302172889990697</v>
      </c>
      <c r="O234">
        <v>0.2172612103566548</v>
      </c>
    </row>
    <row r="235" spans="1:15" x14ac:dyDescent="0.25">
      <c r="A235">
        <v>18.820257250000001</v>
      </c>
      <c r="B235">
        <v>16.739027</v>
      </c>
      <c r="C235">
        <v>4.5161897499999997</v>
      </c>
      <c r="D235">
        <v>5.7401467500000001</v>
      </c>
      <c r="E235">
        <v>19.223166500000001</v>
      </c>
      <c r="F235">
        <v>2.6999999999999999E-5</v>
      </c>
      <c r="G235">
        <v>22.091349000000001</v>
      </c>
      <c r="H235">
        <v>12</v>
      </c>
      <c r="I235">
        <v>-16</v>
      </c>
      <c r="J235">
        <v>1.165</v>
      </c>
      <c r="K235">
        <v>6.1583714999999994</v>
      </c>
      <c r="L235">
        <v>1.014845268678473</v>
      </c>
      <c r="M235">
        <v>0.78032662522097984</v>
      </c>
      <c r="N235">
        <v>-0.20348520783554591</v>
      </c>
      <c r="O235">
        <v>0.36387422210738318</v>
      </c>
    </row>
    <row r="236" spans="1:15" x14ac:dyDescent="0.25">
      <c r="A236">
        <v>17.016057750000002</v>
      </c>
      <c r="B236">
        <v>16.883327000000001</v>
      </c>
      <c r="C236">
        <v>6.5484857500000002</v>
      </c>
      <c r="D236">
        <v>6.2659622500000003</v>
      </c>
      <c r="E236">
        <v>19.670217999999998</v>
      </c>
      <c r="F236">
        <v>2.6999999999999999E-5</v>
      </c>
      <c r="G236">
        <v>21.451018999999999</v>
      </c>
      <c r="H236">
        <v>12</v>
      </c>
      <c r="I236">
        <v>-12</v>
      </c>
      <c r="J236">
        <v>1.17</v>
      </c>
      <c r="K236">
        <v>6.0554410000000001</v>
      </c>
      <c r="L236">
        <v>0.78923826720458912</v>
      </c>
      <c r="M236">
        <v>0.80044178338650929</v>
      </c>
      <c r="N236">
        <v>-0.13427743681742441</v>
      </c>
      <c r="O236">
        <v>0.48318808737706742</v>
      </c>
    </row>
    <row r="237" spans="1:15" x14ac:dyDescent="0.25">
      <c r="A237">
        <v>15.209652999999999</v>
      </c>
      <c r="B237">
        <v>16.931426999999999</v>
      </c>
      <c r="C237">
        <v>8.3098080000000003</v>
      </c>
      <c r="D237">
        <v>6.5726874999999998</v>
      </c>
      <c r="E237">
        <v>19.849035000000001</v>
      </c>
      <c r="F237">
        <v>2.6999999999999999E-5</v>
      </c>
      <c r="G237">
        <v>20.890733000000001</v>
      </c>
      <c r="H237">
        <v>12</v>
      </c>
      <c r="I237">
        <v>-8</v>
      </c>
      <c r="J237">
        <v>1.1675</v>
      </c>
      <c r="K237">
        <v>5.9822620000000004</v>
      </c>
      <c r="L237">
        <v>0.5561091056973404</v>
      </c>
      <c r="M237">
        <v>0.83484339259053719</v>
      </c>
      <c r="N237">
        <v>-8.3956226077507329E-2</v>
      </c>
      <c r="O237">
        <v>0.59974177070730117</v>
      </c>
    </row>
    <row r="238" spans="1:15" x14ac:dyDescent="0.25">
      <c r="A238">
        <v>13.360090749999999</v>
      </c>
      <c r="B238">
        <v>16.931426999999999</v>
      </c>
      <c r="C238">
        <v>9.9356439999999999</v>
      </c>
      <c r="D238">
        <v>6.3974165000000003</v>
      </c>
      <c r="E238">
        <v>19.849035000000001</v>
      </c>
      <c r="F238">
        <v>2.6999999999999999E-5</v>
      </c>
      <c r="G238">
        <v>20.490525999999999</v>
      </c>
      <c r="H238">
        <v>12</v>
      </c>
      <c r="I238">
        <v>-4</v>
      </c>
      <c r="J238">
        <v>1.17</v>
      </c>
      <c r="K238">
        <v>5.9183190000000003</v>
      </c>
      <c r="L238">
        <v>0.29313047535348441</v>
      </c>
      <c r="M238">
        <v>0.90167564388876809</v>
      </c>
      <c r="N238">
        <v>-5.4911171727637757E-2</v>
      </c>
      <c r="O238">
        <v>0.69906091731802711</v>
      </c>
    </row>
    <row r="239" spans="1:15" x14ac:dyDescent="0.25">
      <c r="A239">
        <v>11.19358675</v>
      </c>
      <c r="B239">
        <v>16.546623</v>
      </c>
      <c r="C239">
        <v>11.245346250000001</v>
      </c>
      <c r="D239">
        <v>6.0906907500000003</v>
      </c>
      <c r="E239">
        <v>19.312576</v>
      </c>
      <c r="F239">
        <v>2.6999999999999999E-5</v>
      </c>
      <c r="G239">
        <v>19.890219500000001</v>
      </c>
      <c r="H239">
        <v>12</v>
      </c>
      <c r="I239">
        <v>0</v>
      </c>
      <c r="J239">
        <v>1.17</v>
      </c>
      <c r="K239">
        <v>5.8309712499999993</v>
      </c>
      <c r="L239">
        <v>-4.8943911019419563E-3</v>
      </c>
      <c r="M239">
        <v>0.97984978844494153</v>
      </c>
      <c r="N239">
        <v>-5.4145151876058013E-2</v>
      </c>
      <c r="O239">
        <v>0.80999666348762056</v>
      </c>
    </row>
    <row r="240" spans="1:15" x14ac:dyDescent="0.25">
      <c r="A240">
        <v>9.2521589999999989</v>
      </c>
      <c r="B240">
        <v>16.161819000000001</v>
      </c>
      <c r="C240">
        <v>12.600209</v>
      </c>
      <c r="D240">
        <v>6.0030547500000004</v>
      </c>
      <c r="E240">
        <v>18.776116999999999</v>
      </c>
      <c r="F240">
        <v>2.6999999999999999E-5</v>
      </c>
      <c r="G240">
        <v>19.530035000000002</v>
      </c>
      <c r="H240">
        <v>12</v>
      </c>
      <c r="I240">
        <v>4</v>
      </c>
      <c r="J240">
        <v>1.17</v>
      </c>
      <c r="K240">
        <v>5.7779429999999996</v>
      </c>
      <c r="L240">
        <v>-0.30028562065831388</v>
      </c>
      <c r="M240">
        <v>0.91122077002876178</v>
      </c>
      <c r="N240">
        <v>-6.7626076595497603E-2</v>
      </c>
      <c r="O240">
        <v>0.68420610796393344</v>
      </c>
    </row>
    <row r="241" spans="1:15" x14ac:dyDescent="0.25">
      <c r="A241">
        <v>7.2663384999999998</v>
      </c>
      <c r="B241">
        <v>15.777013</v>
      </c>
      <c r="C241">
        <v>13.729263</v>
      </c>
      <c r="D241">
        <v>5.8277822500000003</v>
      </c>
      <c r="E241">
        <v>18.194951750000001</v>
      </c>
      <c r="F241">
        <v>2.6999999999999999E-5</v>
      </c>
      <c r="G241">
        <v>19.289911</v>
      </c>
      <c r="H241">
        <v>12</v>
      </c>
      <c r="I241">
        <v>8</v>
      </c>
      <c r="J241">
        <v>1.1675</v>
      </c>
      <c r="K241">
        <v>5.7484882500000003</v>
      </c>
      <c r="L241">
        <v>-0.55486047806180427</v>
      </c>
      <c r="M241">
        <v>0.85418761752449812</v>
      </c>
      <c r="N241">
        <v>-9.4040057479627959E-2</v>
      </c>
      <c r="O241">
        <v>0.56214169099468936</v>
      </c>
    </row>
    <row r="242" spans="1:15" x14ac:dyDescent="0.25">
      <c r="A242">
        <v>5.5512907499999997</v>
      </c>
      <c r="B242">
        <v>15.58461</v>
      </c>
      <c r="C242">
        <v>15.264775</v>
      </c>
      <c r="D242">
        <v>5.6086929999999997</v>
      </c>
      <c r="E242">
        <v>17.792607</v>
      </c>
      <c r="F242">
        <v>2.6999999999999999E-5</v>
      </c>
      <c r="G242">
        <v>19.610075999999999</v>
      </c>
      <c r="H242">
        <v>12</v>
      </c>
      <c r="I242">
        <v>12</v>
      </c>
      <c r="J242">
        <v>1.1599999999999999</v>
      </c>
      <c r="K242">
        <v>5.8146614999999997</v>
      </c>
      <c r="L242">
        <v>-0.79538712374238285</v>
      </c>
      <c r="M242">
        <v>0.81688351913511204</v>
      </c>
      <c r="N242">
        <v>-0.14882866531321731</v>
      </c>
      <c r="O242">
        <v>0.45691520153811538</v>
      </c>
    </row>
    <row r="243" spans="1:15" x14ac:dyDescent="0.25">
      <c r="A243">
        <v>3.3853575</v>
      </c>
      <c r="B243">
        <v>15.392208</v>
      </c>
      <c r="C243">
        <v>16.800287000000001</v>
      </c>
      <c r="D243">
        <v>4.9514232500000004</v>
      </c>
      <c r="E243">
        <v>17.166737000000001</v>
      </c>
      <c r="F243">
        <v>2.6999999999999999E-5</v>
      </c>
      <c r="G243">
        <v>20.170362000000001</v>
      </c>
      <c r="H243">
        <v>12</v>
      </c>
      <c r="I243">
        <v>16</v>
      </c>
      <c r="J243">
        <v>1.17</v>
      </c>
      <c r="K243">
        <v>5.8719000000000001</v>
      </c>
      <c r="L243">
        <v>-1.0320492219383139</v>
      </c>
      <c r="M243">
        <v>0.80323528003313949</v>
      </c>
      <c r="N243">
        <v>-0.23108287739673949</v>
      </c>
      <c r="O243">
        <v>0.3207150500596388</v>
      </c>
    </row>
    <row r="244" spans="1:15" x14ac:dyDescent="0.25">
      <c r="A244">
        <v>0.85746849999999997</v>
      </c>
      <c r="B244">
        <v>15.007403999999999</v>
      </c>
      <c r="C244">
        <v>18.155150500000001</v>
      </c>
      <c r="D244">
        <v>3.6807029999999998</v>
      </c>
      <c r="E244">
        <v>15.959704</v>
      </c>
      <c r="F244">
        <v>2.6999999999999999E-5</v>
      </c>
      <c r="G244">
        <v>20.65061</v>
      </c>
      <c r="H244">
        <v>12</v>
      </c>
      <c r="I244">
        <v>20</v>
      </c>
      <c r="J244">
        <v>1.1675</v>
      </c>
      <c r="K244">
        <v>5.9477807499999997</v>
      </c>
      <c r="L244">
        <v>-1.263511697016527</v>
      </c>
      <c r="M244">
        <v>0.82735730683283415</v>
      </c>
      <c r="N244">
        <v>-0.34267307236022959</v>
      </c>
      <c r="O244">
        <v>0.16574590465769559</v>
      </c>
    </row>
    <row r="245" spans="1:15" x14ac:dyDescent="0.25">
      <c r="A245">
        <v>-1.84728775</v>
      </c>
      <c r="B245">
        <v>14.045391</v>
      </c>
      <c r="C245">
        <v>19.103555750000002</v>
      </c>
      <c r="D245">
        <v>1.7527137500000001</v>
      </c>
      <c r="E245">
        <v>13.947979</v>
      </c>
      <c r="F245">
        <v>2.6999999999999999E-5</v>
      </c>
      <c r="G245">
        <v>20.970773999999999</v>
      </c>
      <c r="H245">
        <v>12</v>
      </c>
      <c r="I245">
        <v>24</v>
      </c>
      <c r="J245">
        <v>1.17</v>
      </c>
      <c r="K245">
        <v>5.9872719999999999</v>
      </c>
      <c r="L245">
        <v>-1.4970253487831819</v>
      </c>
      <c r="M245">
        <v>0.87832776497435239</v>
      </c>
      <c r="N245">
        <v>-0.50182164127018092</v>
      </c>
      <c r="O245">
        <v>-3.3335495343799169E-3</v>
      </c>
    </row>
    <row r="246" spans="1:15" x14ac:dyDescent="0.25">
      <c r="A246">
        <v>-4.5956925000000002</v>
      </c>
      <c r="B246">
        <v>13.083378</v>
      </c>
      <c r="C246">
        <v>19.916473249999999</v>
      </c>
      <c r="D246">
        <v>-0.65560050000000003</v>
      </c>
      <c r="E246">
        <v>11.355088500000001</v>
      </c>
      <c r="F246">
        <v>2.6999999999999999E-5</v>
      </c>
      <c r="G246">
        <v>21.290937</v>
      </c>
      <c r="H246">
        <v>12</v>
      </c>
      <c r="I246">
        <v>28</v>
      </c>
      <c r="J246">
        <v>1.17</v>
      </c>
      <c r="K246">
        <v>6.0328039999999996</v>
      </c>
      <c r="L246">
        <v>-1.7534014530811131</v>
      </c>
      <c r="M246">
        <v>0.98279075018019568</v>
      </c>
      <c r="N246">
        <v>-0.71084540955971209</v>
      </c>
      <c r="O246">
        <v>-0.18777243442919511</v>
      </c>
    </row>
    <row r="247" spans="1:15" x14ac:dyDescent="0.25">
      <c r="A247">
        <v>-7.5243200000000003</v>
      </c>
      <c r="B247">
        <v>11.688461</v>
      </c>
      <c r="C247">
        <v>20.458419500000002</v>
      </c>
      <c r="D247">
        <v>-3.4528332499999999</v>
      </c>
      <c r="E247">
        <v>8.0469190000000008</v>
      </c>
      <c r="F247">
        <v>2.6999999999999999E-5</v>
      </c>
      <c r="G247">
        <v>21.611101000000001</v>
      </c>
      <c r="H247">
        <v>12</v>
      </c>
      <c r="I247">
        <v>32</v>
      </c>
      <c r="J247">
        <v>1.17</v>
      </c>
      <c r="K247">
        <v>6.0779940000000003</v>
      </c>
      <c r="L247">
        <v>-2.067382946002855</v>
      </c>
      <c r="M247">
        <v>1.1186521904735369</v>
      </c>
      <c r="N247">
        <v>-1.002151880353449</v>
      </c>
      <c r="O247">
        <v>-0.40547775392566049</v>
      </c>
    </row>
    <row r="248" spans="1:15" x14ac:dyDescent="0.25">
      <c r="A248">
        <v>-10.63316925</v>
      </c>
      <c r="B248">
        <v>10.1011395</v>
      </c>
      <c r="C248">
        <v>20.72939075</v>
      </c>
      <c r="D248">
        <v>-6.6434274999999996</v>
      </c>
      <c r="E248">
        <v>4.0234695</v>
      </c>
      <c r="F248">
        <v>2.6999999999999999E-5</v>
      </c>
      <c r="G248">
        <v>21.971287499999999</v>
      </c>
      <c r="H248">
        <v>12</v>
      </c>
      <c r="I248">
        <v>36</v>
      </c>
      <c r="J248">
        <v>1.17</v>
      </c>
      <c r="K248">
        <v>6.1284272499999997</v>
      </c>
      <c r="L248">
        <v>-2.476996550829893</v>
      </c>
      <c r="M248">
        <v>1.322467515838371</v>
      </c>
      <c r="N248">
        <v>-1.417528917430418</v>
      </c>
      <c r="O248">
        <v>-0.68222165238895949</v>
      </c>
    </row>
    <row r="249" spans="1:15" x14ac:dyDescent="0.25">
      <c r="A249">
        <v>21.437956750000001</v>
      </c>
      <c r="B249">
        <v>11.159352999999999</v>
      </c>
      <c r="C249">
        <v>-10.6443075</v>
      </c>
      <c r="D249">
        <v>-7.9546297499999996</v>
      </c>
      <c r="E249">
        <v>5.9457847500000014</v>
      </c>
      <c r="F249">
        <v>2.6999999999999999E-5</v>
      </c>
      <c r="G249">
        <v>22.5315735</v>
      </c>
      <c r="H249">
        <v>16</v>
      </c>
      <c r="I249">
        <v>-36</v>
      </c>
      <c r="J249">
        <v>1.17</v>
      </c>
      <c r="K249">
        <v>6.2060754999999999</v>
      </c>
      <c r="L249">
        <v>2.1045216450003759</v>
      </c>
      <c r="M249">
        <v>1.2538493446071759</v>
      </c>
      <c r="N249">
        <v>-1.0880644342148611</v>
      </c>
      <c r="O249">
        <v>-0.60998104845835233</v>
      </c>
    </row>
    <row r="250" spans="1:15" x14ac:dyDescent="0.25">
      <c r="A250">
        <v>21.483083499999999</v>
      </c>
      <c r="B250">
        <v>13.179579499999999</v>
      </c>
      <c r="C250">
        <v>-7.4870979999999996</v>
      </c>
      <c r="D250">
        <v>-5.11369075</v>
      </c>
      <c r="E250">
        <v>9.2986579999999996</v>
      </c>
      <c r="F250">
        <v>2.6999999999999999E-5</v>
      </c>
      <c r="G250">
        <v>22.6916555</v>
      </c>
      <c r="H250">
        <v>16</v>
      </c>
      <c r="I250">
        <v>-32</v>
      </c>
      <c r="J250">
        <v>1.17</v>
      </c>
      <c r="K250">
        <v>6.2280829999999998</v>
      </c>
      <c r="L250">
        <v>1.8571920970462441</v>
      </c>
      <c r="M250">
        <v>1.1727495653267941</v>
      </c>
      <c r="N250">
        <v>-0.85858577868173258</v>
      </c>
      <c r="O250">
        <v>-0.40388440701519068</v>
      </c>
    </row>
    <row r="251" spans="1:15" x14ac:dyDescent="0.25">
      <c r="A251">
        <v>21.0782585</v>
      </c>
      <c r="B251">
        <v>14.815001000000001</v>
      </c>
      <c r="C251">
        <v>-4.2396820000000002</v>
      </c>
      <c r="D251">
        <v>-2.2727520000000001</v>
      </c>
      <c r="E251">
        <v>12.293893000000001</v>
      </c>
      <c r="F251">
        <v>4.8753499999999998E-2</v>
      </c>
      <c r="G251">
        <v>22.611614500000002</v>
      </c>
      <c r="H251">
        <v>16</v>
      </c>
      <c r="I251">
        <v>-28</v>
      </c>
      <c r="J251">
        <v>1.17</v>
      </c>
      <c r="K251">
        <v>6.2103697499999999</v>
      </c>
      <c r="L251">
        <v>1.6281792019683401</v>
      </c>
      <c r="M251">
        <v>1.0989012592816421</v>
      </c>
      <c r="N251">
        <v>-0.66352702447539114</v>
      </c>
      <c r="O251">
        <v>-0.2125403076949284</v>
      </c>
    </row>
    <row r="252" spans="1:15" x14ac:dyDescent="0.25">
      <c r="A252">
        <v>19.857021249999999</v>
      </c>
      <c r="B252">
        <v>15.72891225</v>
      </c>
      <c r="C252">
        <v>-1.127575</v>
      </c>
      <c r="D252">
        <v>0.13144975</v>
      </c>
      <c r="E252">
        <v>14.305618000000001</v>
      </c>
      <c r="F252">
        <v>2.6999999999999999E-5</v>
      </c>
      <c r="G252">
        <v>21.891246500000001</v>
      </c>
      <c r="H252">
        <v>16</v>
      </c>
      <c r="I252">
        <v>-24</v>
      </c>
      <c r="J252">
        <v>1.17</v>
      </c>
      <c r="K252">
        <v>6.1172542500000002</v>
      </c>
      <c r="L252">
        <v>1.4175367022937271</v>
      </c>
      <c r="M252">
        <v>1.0536127059338629</v>
      </c>
      <c r="N252">
        <v>-0.51242074592659026</v>
      </c>
      <c r="O252">
        <v>-3.3620342450228623E-2</v>
      </c>
    </row>
    <row r="253" spans="1:15" x14ac:dyDescent="0.25">
      <c r="A253">
        <v>18.4152655</v>
      </c>
      <c r="B253">
        <v>16.546623</v>
      </c>
      <c r="C253">
        <v>1.4000030000000001</v>
      </c>
      <c r="D253">
        <v>2.0156204999999998</v>
      </c>
      <c r="E253">
        <v>15.914999</v>
      </c>
      <c r="F253">
        <v>2.6999999999999999E-5</v>
      </c>
      <c r="G253">
        <v>21.290937</v>
      </c>
      <c r="H253">
        <v>16</v>
      </c>
      <c r="I253">
        <v>-20</v>
      </c>
      <c r="J253">
        <v>1.1675</v>
      </c>
      <c r="K253">
        <v>6.0392907499999993</v>
      </c>
      <c r="L253">
        <v>1.197659671525793</v>
      </c>
      <c r="M253">
        <v>1.022790992860674</v>
      </c>
      <c r="N253">
        <v>-0.37840581085763908</v>
      </c>
      <c r="O253">
        <v>0.1202357401511369</v>
      </c>
    </row>
    <row r="254" spans="1:15" x14ac:dyDescent="0.25">
      <c r="A254">
        <v>17.149245499999999</v>
      </c>
      <c r="B254">
        <v>17.07573</v>
      </c>
      <c r="C254">
        <v>3.6129470000000001</v>
      </c>
      <c r="D254">
        <v>3.1987057499999998</v>
      </c>
      <c r="E254">
        <v>17.0326235</v>
      </c>
      <c r="F254">
        <v>2.6999999999999999E-5</v>
      </c>
      <c r="G254">
        <v>20.890733000000001</v>
      </c>
      <c r="H254">
        <v>16</v>
      </c>
      <c r="I254">
        <v>-16</v>
      </c>
      <c r="J254">
        <v>1.1599999999999999</v>
      </c>
      <c r="K254">
        <v>6.0015269999999994</v>
      </c>
      <c r="L254">
        <v>0.99340946115728301</v>
      </c>
      <c r="M254">
        <v>1.018428179761069</v>
      </c>
      <c r="N254">
        <v>-0.28314959501255432</v>
      </c>
      <c r="O254">
        <v>0.2499596013547486</v>
      </c>
    </row>
    <row r="255" spans="1:15" x14ac:dyDescent="0.25">
      <c r="A255">
        <v>15.480460750000001</v>
      </c>
      <c r="B255">
        <v>17.123830999999999</v>
      </c>
      <c r="C255">
        <v>5.4194319999999996</v>
      </c>
      <c r="D255">
        <v>3.7683395000000002</v>
      </c>
      <c r="E255">
        <v>17.524377999999999</v>
      </c>
      <c r="F255">
        <v>2.6999999999999999E-5</v>
      </c>
      <c r="G255">
        <v>20.290423499999999</v>
      </c>
      <c r="H255">
        <v>16</v>
      </c>
      <c r="I255">
        <v>-12</v>
      </c>
      <c r="J255">
        <v>1.1675</v>
      </c>
      <c r="K255">
        <v>5.8956799999999996</v>
      </c>
      <c r="L255">
        <v>0.77808262585461674</v>
      </c>
      <c r="M255">
        <v>1.032856880576088</v>
      </c>
      <c r="N255">
        <v>-0.21392943380225071</v>
      </c>
      <c r="O255">
        <v>0.35528887121999458</v>
      </c>
    </row>
    <row r="256" spans="1:15" x14ac:dyDescent="0.25">
      <c r="A256">
        <v>13.944141500000001</v>
      </c>
      <c r="B256">
        <v>17.5567365</v>
      </c>
      <c r="C256">
        <v>7.0457347500000003</v>
      </c>
      <c r="D256">
        <v>3.9874292499999999</v>
      </c>
      <c r="E256">
        <v>18.150247499999999</v>
      </c>
      <c r="F256">
        <v>2.6999999999999999E-5</v>
      </c>
      <c r="G256">
        <v>20.170362000000001</v>
      </c>
      <c r="H256">
        <v>16</v>
      </c>
      <c r="I256">
        <v>-8</v>
      </c>
      <c r="J256">
        <v>1.17</v>
      </c>
      <c r="K256">
        <v>5.8719000000000001</v>
      </c>
      <c r="L256">
        <v>0.54603377337600989</v>
      </c>
      <c r="M256">
        <v>1.074082593094559</v>
      </c>
      <c r="N256">
        <v>-0.15994255391242901</v>
      </c>
      <c r="O256">
        <v>0.43666692749818808</v>
      </c>
    </row>
    <row r="257" spans="1:15" x14ac:dyDescent="0.25">
      <c r="A257">
        <v>12.81680575</v>
      </c>
      <c r="B257">
        <v>18.374447</v>
      </c>
      <c r="C257">
        <v>9.2130510000000001</v>
      </c>
      <c r="D257">
        <v>4.250337</v>
      </c>
      <c r="E257">
        <v>19.133756999999999</v>
      </c>
      <c r="F257">
        <v>4.8753499999999998E-2</v>
      </c>
      <c r="G257">
        <v>20.810692</v>
      </c>
      <c r="H257">
        <v>16</v>
      </c>
      <c r="I257">
        <v>-4</v>
      </c>
      <c r="J257">
        <v>1.17</v>
      </c>
      <c r="K257">
        <v>5.9573772500000004</v>
      </c>
      <c r="L257">
        <v>0.29057965098615851</v>
      </c>
      <c r="M257">
        <v>1.138857317935597</v>
      </c>
      <c r="N257">
        <v>-0.13521546823589611</v>
      </c>
      <c r="O257">
        <v>0.53887858797528665</v>
      </c>
    </row>
    <row r="258" spans="1:15" x14ac:dyDescent="0.25">
      <c r="A258">
        <v>11.1928635</v>
      </c>
      <c r="B258">
        <v>18.663052</v>
      </c>
      <c r="C258">
        <v>11.019534999999999</v>
      </c>
      <c r="D258">
        <v>4.250337</v>
      </c>
      <c r="E258">
        <v>19.491398</v>
      </c>
      <c r="F258">
        <v>2.6999999999999999E-5</v>
      </c>
      <c r="G258">
        <v>21.170876249999999</v>
      </c>
      <c r="H258">
        <v>16</v>
      </c>
      <c r="I258">
        <v>0</v>
      </c>
      <c r="J258">
        <v>1.17</v>
      </c>
      <c r="K258">
        <v>6.0157617499999994</v>
      </c>
      <c r="L258">
        <v>1.461928229422626E-2</v>
      </c>
      <c r="M258">
        <v>1.2155919174904211</v>
      </c>
      <c r="N258">
        <v>-0.14164607379626579</v>
      </c>
      <c r="O258">
        <v>0.64396186704974168</v>
      </c>
    </row>
    <row r="259" spans="1:15" x14ac:dyDescent="0.25">
      <c r="A259">
        <v>9.5687090000000001</v>
      </c>
      <c r="B259">
        <v>19.047854999999998</v>
      </c>
      <c r="C259">
        <v>12.96150675</v>
      </c>
      <c r="D259">
        <v>4.3379729999999999</v>
      </c>
      <c r="E259">
        <v>19.7596265</v>
      </c>
      <c r="F259">
        <v>2.6999999999999999E-5</v>
      </c>
      <c r="G259">
        <v>21.611101000000001</v>
      </c>
      <c r="H259">
        <v>16</v>
      </c>
      <c r="I259">
        <v>4</v>
      </c>
      <c r="J259">
        <v>1.17</v>
      </c>
      <c r="K259">
        <v>6.0779940000000003</v>
      </c>
      <c r="L259">
        <v>-0.26491008441047192</v>
      </c>
      <c r="M259">
        <v>1.1486908263537421</v>
      </c>
      <c r="N259">
        <v>-0.14461737382882961</v>
      </c>
      <c r="O259">
        <v>0.54297646169112646</v>
      </c>
    </row>
    <row r="260" spans="1:15" x14ac:dyDescent="0.25">
      <c r="A260">
        <v>7.5822605000000003</v>
      </c>
      <c r="B260">
        <v>19.240259000000002</v>
      </c>
      <c r="C260">
        <v>14.813153</v>
      </c>
      <c r="D260">
        <v>4.2065190000000001</v>
      </c>
      <c r="E260">
        <v>19.714922250000001</v>
      </c>
      <c r="F260">
        <v>2.6999999999999999E-5</v>
      </c>
      <c r="G260">
        <v>22.091349000000001</v>
      </c>
      <c r="H260">
        <v>16</v>
      </c>
      <c r="I260">
        <v>8</v>
      </c>
      <c r="J260">
        <v>1.1675</v>
      </c>
      <c r="K260">
        <v>6.1517637499999998</v>
      </c>
      <c r="L260">
        <v>-0.52321547610899599</v>
      </c>
      <c r="M260">
        <v>1.0878171501672931</v>
      </c>
      <c r="N260">
        <v>-0.1719857023170662</v>
      </c>
      <c r="O260">
        <v>0.42650668490447752</v>
      </c>
    </row>
    <row r="261" spans="1:15" x14ac:dyDescent="0.25">
      <c r="A261">
        <v>5.5964290000000014</v>
      </c>
      <c r="B261">
        <v>19.047854999999998</v>
      </c>
      <c r="C261">
        <v>16.43899</v>
      </c>
      <c r="D261">
        <v>3.8997937500000002</v>
      </c>
      <c r="E261">
        <v>19.133756999999999</v>
      </c>
      <c r="F261">
        <v>2.6999999999999999E-5</v>
      </c>
      <c r="G261">
        <v>22.251429000000002</v>
      </c>
      <c r="H261">
        <v>16</v>
      </c>
      <c r="I261">
        <v>12</v>
      </c>
      <c r="J261">
        <v>1.165</v>
      </c>
      <c r="K261">
        <v>6.180644</v>
      </c>
      <c r="L261">
        <v>-0.75371218514447136</v>
      </c>
      <c r="M261">
        <v>1.052991754809772</v>
      </c>
      <c r="N261">
        <v>-0.21672256356832589</v>
      </c>
      <c r="O261">
        <v>0.33006647787970672</v>
      </c>
    </row>
    <row r="262" spans="1:15" x14ac:dyDescent="0.25">
      <c r="A262">
        <v>3.0690057500000001</v>
      </c>
      <c r="B262">
        <v>18.80735275</v>
      </c>
      <c r="C262">
        <v>17.9745025</v>
      </c>
      <c r="D262">
        <v>3.0672519999999999</v>
      </c>
      <c r="E262">
        <v>18.150247499999999</v>
      </c>
      <c r="F262">
        <v>2.6999999999999999E-5</v>
      </c>
      <c r="G262">
        <v>22.571594000000001</v>
      </c>
      <c r="H262">
        <v>16</v>
      </c>
      <c r="I262">
        <v>16</v>
      </c>
      <c r="J262">
        <v>1.1675</v>
      </c>
      <c r="K262">
        <v>6.2182712499999999</v>
      </c>
      <c r="L262">
        <v>-0.98831445311902666</v>
      </c>
      <c r="M262">
        <v>1.0436115886119881</v>
      </c>
      <c r="N262">
        <v>-0.29316458625379649</v>
      </c>
      <c r="O262">
        <v>0.20347801409225391</v>
      </c>
    </row>
    <row r="263" spans="1:15" x14ac:dyDescent="0.25">
      <c r="A263">
        <v>0.36105350000000003</v>
      </c>
      <c r="B263">
        <v>17.845339500000001</v>
      </c>
      <c r="C263">
        <v>18.968069</v>
      </c>
      <c r="D263">
        <v>1.88416725</v>
      </c>
      <c r="E263">
        <v>16.272635999999999</v>
      </c>
      <c r="F263">
        <v>2.6999999999999999E-5</v>
      </c>
      <c r="G263">
        <v>22.571594000000001</v>
      </c>
      <c r="H263">
        <v>16</v>
      </c>
      <c r="I263">
        <v>20</v>
      </c>
      <c r="J263">
        <v>1.165</v>
      </c>
      <c r="K263">
        <v>6.2249505000000003</v>
      </c>
      <c r="L263">
        <v>-1.228181642547546</v>
      </c>
      <c r="M263">
        <v>1.053550174862018</v>
      </c>
      <c r="N263">
        <v>-0.41578918759338851</v>
      </c>
      <c r="O263">
        <v>7.4141925717691376E-2</v>
      </c>
    </row>
    <row r="264" spans="1:15" x14ac:dyDescent="0.25">
      <c r="A264">
        <v>-2.3879579999999998</v>
      </c>
      <c r="B264">
        <v>16.161819000000001</v>
      </c>
      <c r="C264">
        <v>18.968069</v>
      </c>
      <c r="D264">
        <v>-0.30594700000000002</v>
      </c>
      <c r="E264">
        <v>13.411517</v>
      </c>
      <c r="F264">
        <v>2.6999999999999999E-5</v>
      </c>
      <c r="G264">
        <v>21.771184999999999</v>
      </c>
      <c r="H264">
        <v>16</v>
      </c>
      <c r="I264">
        <v>24</v>
      </c>
      <c r="J264">
        <v>1.17</v>
      </c>
      <c r="K264">
        <v>6.1004639999999997</v>
      </c>
      <c r="L264">
        <v>-1.4470349352178979</v>
      </c>
      <c r="M264">
        <v>1.1158184183800099</v>
      </c>
      <c r="N264">
        <v>-0.56643190897120832</v>
      </c>
      <c r="O264">
        <v>-9.126823184266751E-2</v>
      </c>
    </row>
    <row r="265" spans="1:15" x14ac:dyDescent="0.25">
      <c r="A265">
        <v>-5.1363614999999996</v>
      </c>
      <c r="B265">
        <v>14.526396500000001</v>
      </c>
      <c r="C265">
        <v>19.148717999999999</v>
      </c>
      <c r="D265">
        <v>-2.8409395000000002</v>
      </c>
      <c r="E265">
        <v>10.371578</v>
      </c>
      <c r="F265">
        <v>2.6999999999999999E-5</v>
      </c>
      <c r="G265">
        <v>21.290937</v>
      </c>
      <c r="H265">
        <v>16</v>
      </c>
      <c r="I265">
        <v>28</v>
      </c>
      <c r="J265">
        <v>1.17</v>
      </c>
      <c r="K265">
        <v>6.0328039999999996</v>
      </c>
      <c r="L265">
        <v>-1.6911498443051529</v>
      </c>
      <c r="M265">
        <v>1.2094448866659759</v>
      </c>
      <c r="N265">
        <v>-0.76040892609889776</v>
      </c>
      <c r="O265">
        <v>-0.27773965872081419</v>
      </c>
    </row>
    <row r="266" spans="1:15" x14ac:dyDescent="0.25">
      <c r="A266">
        <v>-7.5693757499999998</v>
      </c>
      <c r="B266">
        <v>12.650472499999999</v>
      </c>
      <c r="C266">
        <v>18.6970955</v>
      </c>
      <c r="D266">
        <v>-5.3759320000000006</v>
      </c>
      <c r="E266">
        <v>6.9739990000000001</v>
      </c>
      <c r="F266">
        <v>2.6999999999999999E-5</v>
      </c>
      <c r="G266">
        <v>20.65061</v>
      </c>
      <c r="H266">
        <v>16</v>
      </c>
      <c r="I266">
        <v>32</v>
      </c>
      <c r="J266">
        <v>1.1625000000000001</v>
      </c>
      <c r="K266">
        <v>5.9605582500000001</v>
      </c>
      <c r="L266">
        <v>-1.9533855242953031</v>
      </c>
      <c r="M266">
        <v>1.34064882079342</v>
      </c>
      <c r="N266">
        <v>-1.017154818351047</v>
      </c>
      <c r="O266">
        <v>-0.48133282266745098</v>
      </c>
    </row>
    <row r="267" spans="1:15" x14ac:dyDescent="0.25">
      <c r="A267">
        <v>-10.047444499999999</v>
      </c>
      <c r="B267">
        <v>10.822648750000001</v>
      </c>
      <c r="C267">
        <v>18.426123</v>
      </c>
      <c r="D267">
        <v>-8.2605779999999989</v>
      </c>
      <c r="E267">
        <v>3.3081895000000001</v>
      </c>
      <c r="F267">
        <v>2.6999999999999999E-5</v>
      </c>
      <c r="G267">
        <v>20.330444</v>
      </c>
      <c r="H267">
        <v>16</v>
      </c>
      <c r="I267">
        <v>36</v>
      </c>
      <c r="J267">
        <v>1.165</v>
      </c>
      <c r="K267">
        <v>5.9078324999999996</v>
      </c>
      <c r="L267">
        <v>-2.2849277599879549</v>
      </c>
      <c r="M267">
        <v>1.531447176578534</v>
      </c>
      <c r="N267">
        <v>-1.3661043946472791</v>
      </c>
      <c r="O267">
        <v>-0.73456859999488167</v>
      </c>
    </row>
    <row r="268" spans="1:15" x14ac:dyDescent="0.25">
      <c r="A268">
        <v>17.782215000000001</v>
      </c>
      <c r="B268">
        <v>11.111252500000001</v>
      </c>
      <c r="C268">
        <v>-10.012866000000001</v>
      </c>
      <c r="D268">
        <v>-9.2221259999999994</v>
      </c>
      <c r="E268">
        <v>3.889354</v>
      </c>
      <c r="F268">
        <v>2.6999999999999999E-5</v>
      </c>
      <c r="G268">
        <v>19.6500965</v>
      </c>
      <c r="H268">
        <v>20</v>
      </c>
      <c r="I268">
        <v>-36</v>
      </c>
      <c r="J268">
        <v>1.1625000000000001</v>
      </c>
      <c r="K268">
        <v>5.8143564999999997</v>
      </c>
      <c r="L268">
        <v>2.057866783156872</v>
      </c>
      <c r="M268">
        <v>1.505412845316042</v>
      </c>
      <c r="N268">
        <v>-1.166901220600796</v>
      </c>
      <c r="O268">
        <v>-0.71206194163050074</v>
      </c>
    </row>
    <row r="269" spans="1:15" x14ac:dyDescent="0.25">
      <c r="A269">
        <v>17.5114205</v>
      </c>
      <c r="B269">
        <v>12.602372000000001</v>
      </c>
      <c r="C269">
        <v>-7.0360674999999997</v>
      </c>
      <c r="D269">
        <v>-6.424893</v>
      </c>
      <c r="E269">
        <v>6.7057690000000001</v>
      </c>
      <c r="F269">
        <v>2.6999999999999999E-5</v>
      </c>
      <c r="G269">
        <v>19.449994</v>
      </c>
      <c r="H269">
        <v>20</v>
      </c>
      <c r="I269">
        <v>-32</v>
      </c>
      <c r="J269">
        <v>1.1625000000000001</v>
      </c>
      <c r="K269">
        <v>5.7846665000000002</v>
      </c>
      <c r="L269">
        <v>1.8269924316089601</v>
      </c>
      <c r="M269">
        <v>1.4161766712203681</v>
      </c>
      <c r="N269">
        <v>-0.94852551678068464</v>
      </c>
      <c r="O269">
        <v>-0.50091752851645921</v>
      </c>
    </row>
    <row r="270" spans="1:15" x14ac:dyDescent="0.25">
      <c r="A270">
        <v>17.737076500000001</v>
      </c>
      <c r="B270">
        <v>14.28589275</v>
      </c>
      <c r="C270">
        <v>-4.7358150000000014</v>
      </c>
      <c r="D270">
        <v>-4.3269690000000001</v>
      </c>
      <c r="E270">
        <v>9.2986579999999996</v>
      </c>
      <c r="F270">
        <v>2.6999999999999999E-5</v>
      </c>
      <c r="G270">
        <v>20.010280999999999</v>
      </c>
      <c r="H270">
        <v>20</v>
      </c>
      <c r="I270">
        <v>-28</v>
      </c>
      <c r="J270">
        <v>1.17</v>
      </c>
      <c r="K270">
        <v>5.8485519999999998</v>
      </c>
      <c r="L270">
        <v>1.6250096860101011</v>
      </c>
      <c r="M270">
        <v>1.3458512017979649</v>
      </c>
      <c r="N270">
        <v>-0.77456513129324323</v>
      </c>
      <c r="O270">
        <v>-0.32760933227743161</v>
      </c>
    </row>
    <row r="271" spans="1:15" x14ac:dyDescent="0.25">
      <c r="A271">
        <v>17.602822249999999</v>
      </c>
      <c r="B271">
        <v>15.969416000000001</v>
      </c>
      <c r="C271">
        <v>-2.1198410000000001</v>
      </c>
      <c r="D271">
        <v>-2.1416317500000002</v>
      </c>
      <c r="E271">
        <v>11.891548500000001</v>
      </c>
      <c r="F271">
        <v>2.6999999999999999E-5</v>
      </c>
      <c r="G271">
        <v>20.490525999999999</v>
      </c>
      <c r="H271">
        <v>20</v>
      </c>
      <c r="I271">
        <v>-24</v>
      </c>
      <c r="J271">
        <v>1.17</v>
      </c>
      <c r="K271">
        <v>5.9183190000000003</v>
      </c>
      <c r="L271">
        <v>1.4065715700409349</v>
      </c>
      <c r="M271">
        <v>1.2916168275888591</v>
      </c>
      <c r="N271">
        <v>-0.6132694740029182</v>
      </c>
      <c r="O271">
        <v>-0.15195872813875591</v>
      </c>
    </row>
    <row r="272" spans="1:15" x14ac:dyDescent="0.25">
      <c r="A272">
        <v>17.151472500000001</v>
      </c>
      <c r="B272">
        <v>17.2681325</v>
      </c>
      <c r="C272">
        <v>0.27095000000000002</v>
      </c>
      <c r="D272">
        <v>-0.52448074999999994</v>
      </c>
      <c r="E272">
        <v>13.947979</v>
      </c>
      <c r="F272">
        <v>2.6999999999999999E-5</v>
      </c>
      <c r="G272">
        <v>20.8507125</v>
      </c>
      <c r="H272">
        <v>20</v>
      </c>
      <c r="I272">
        <v>-20</v>
      </c>
      <c r="J272">
        <v>1.17</v>
      </c>
      <c r="K272">
        <v>5.9701000000000004</v>
      </c>
      <c r="L272">
        <v>1.1993670362822491</v>
      </c>
      <c r="M272">
        <v>1.264187934247996</v>
      </c>
      <c r="N272">
        <v>-0.4904852032083219</v>
      </c>
      <c r="O272">
        <v>-8.9594346777722034E-3</v>
      </c>
    </row>
    <row r="273" spans="1:15" x14ac:dyDescent="0.25">
      <c r="A273">
        <v>16.429305249999999</v>
      </c>
      <c r="B273">
        <v>18.470648000000001</v>
      </c>
      <c r="C273">
        <v>2.4387319999999999</v>
      </c>
      <c r="D273">
        <v>0.78871849999999999</v>
      </c>
      <c r="E273">
        <v>15.87029375</v>
      </c>
      <c r="F273">
        <v>2.6999999999999999E-5</v>
      </c>
      <c r="G273">
        <v>21.2108965</v>
      </c>
      <c r="H273">
        <v>20</v>
      </c>
      <c r="I273">
        <v>-16</v>
      </c>
      <c r="J273">
        <v>1.17</v>
      </c>
      <c r="K273">
        <v>6.0214424999999991</v>
      </c>
      <c r="L273">
        <v>0.98135122752043114</v>
      </c>
      <c r="M273">
        <v>1.2403275829729949</v>
      </c>
      <c r="N273">
        <v>-0.37463735400031872</v>
      </c>
      <c r="O273">
        <v>0.11321507843678159</v>
      </c>
    </row>
    <row r="274" spans="1:15" x14ac:dyDescent="0.25">
      <c r="A274">
        <v>15.299918249999999</v>
      </c>
      <c r="B274">
        <v>19.288359</v>
      </c>
      <c r="C274">
        <v>4.5613519999999994</v>
      </c>
      <c r="D274">
        <v>1.489806</v>
      </c>
      <c r="E274">
        <v>17.077328000000001</v>
      </c>
      <c r="F274">
        <v>2.6999999999999999E-5</v>
      </c>
      <c r="G274">
        <v>21.53106</v>
      </c>
      <c r="H274">
        <v>20</v>
      </c>
      <c r="I274">
        <v>-12</v>
      </c>
      <c r="J274">
        <v>1.17</v>
      </c>
      <c r="K274">
        <v>6.0667175000000002</v>
      </c>
      <c r="L274">
        <v>0.76422219903383182</v>
      </c>
      <c r="M274">
        <v>1.2666361035301801</v>
      </c>
      <c r="N274">
        <v>-0.31700620910837651</v>
      </c>
      <c r="O274">
        <v>0.21534231438211601</v>
      </c>
    </row>
    <row r="275" spans="1:15" x14ac:dyDescent="0.25">
      <c r="A275">
        <v>14.03622</v>
      </c>
      <c r="B275">
        <v>20.009869250000001</v>
      </c>
      <c r="C275">
        <v>6.5033240000000001</v>
      </c>
      <c r="D275">
        <v>1.708896</v>
      </c>
      <c r="E275">
        <v>18.060839000000001</v>
      </c>
      <c r="F275">
        <v>2.6999999999999999E-5</v>
      </c>
      <c r="G275">
        <v>21.931266999999998</v>
      </c>
      <c r="H275">
        <v>20</v>
      </c>
      <c r="I275">
        <v>-8</v>
      </c>
      <c r="J275">
        <v>1.17</v>
      </c>
      <c r="K275">
        <v>6.1228509999999998</v>
      </c>
      <c r="L275">
        <v>0.53980826465646559</v>
      </c>
      <c r="M275">
        <v>1.3114696493771889</v>
      </c>
      <c r="N275">
        <v>-0.27735805772171979</v>
      </c>
      <c r="O275">
        <v>0.2942526607385888</v>
      </c>
    </row>
    <row r="276" spans="1:15" x14ac:dyDescent="0.25">
      <c r="A276">
        <v>12.5919665</v>
      </c>
      <c r="B276">
        <v>20.587076</v>
      </c>
      <c r="C276">
        <v>8.4452947499999986</v>
      </c>
      <c r="D276">
        <v>1.7965314999999999</v>
      </c>
      <c r="E276">
        <v>18.820822</v>
      </c>
      <c r="F276">
        <v>2.6999999999999999E-5</v>
      </c>
      <c r="G276">
        <v>22.251429000000002</v>
      </c>
      <c r="H276">
        <v>20</v>
      </c>
      <c r="I276">
        <v>-4</v>
      </c>
      <c r="J276">
        <v>1.165</v>
      </c>
      <c r="K276">
        <v>6.180644</v>
      </c>
      <c r="L276">
        <v>0.30268797066991981</v>
      </c>
      <c r="M276">
        <v>1.371594672810915</v>
      </c>
      <c r="N276">
        <v>-0.25042983540827612</v>
      </c>
      <c r="O276">
        <v>0.37382227897541759</v>
      </c>
    </row>
    <row r="277" spans="1:15" x14ac:dyDescent="0.25">
      <c r="A277">
        <v>10.786676999999999</v>
      </c>
      <c r="B277">
        <v>20.923779499999998</v>
      </c>
      <c r="C277">
        <v>10.387266</v>
      </c>
      <c r="D277">
        <v>1.7527137500000001</v>
      </c>
      <c r="E277">
        <v>19.17846175</v>
      </c>
      <c r="F277">
        <v>2.6999999999999999E-5</v>
      </c>
      <c r="G277">
        <v>22.571594000000001</v>
      </c>
      <c r="H277">
        <v>20</v>
      </c>
      <c r="I277">
        <v>0</v>
      </c>
      <c r="J277">
        <v>1.1625000000000001</v>
      </c>
      <c r="K277">
        <v>6.2316297499999997</v>
      </c>
      <c r="L277">
        <v>3.047015925004315E-2</v>
      </c>
      <c r="M277">
        <v>1.462506270089214</v>
      </c>
      <c r="N277">
        <v>-0.25885671582183611</v>
      </c>
      <c r="O277">
        <v>0.46308978343800999</v>
      </c>
    </row>
    <row r="278" spans="1:15" x14ac:dyDescent="0.25">
      <c r="A278">
        <v>8.9356667499999993</v>
      </c>
      <c r="B278">
        <v>21.164283999999999</v>
      </c>
      <c r="C278">
        <v>12.419561</v>
      </c>
      <c r="D278">
        <v>1.8403495000000001</v>
      </c>
      <c r="E278">
        <v>19.267871249999999</v>
      </c>
      <c r="F278">
        <v>2.6999999999999999E-5</v>
      </c>
      <c r="G278">
        <v>22.811717999999999</v>
      </c>
      <c r="H278">
        <v>20</v>
      </c>
      <c r="I278">
        <v>4</v>
      </c>
      <c r="J278">
        <v>1.1675</v>
      </c>
      <c r="K278">
        <v>6.2512617500000003</v>
      </c>
      <c r="L278">
        <v>-0.25102157929210028</v>
      </c>
      <c r="M278">
        <v>1.39225084516947</v>
      </c>
      <c r="N278">
        <v>-0.25535949577331502</v>
      </c>
      <c r="O278">
        <v>0.38821937473981077</v>
      </c>
    </row>
    <row r="279" spans="1:15" x14ac:dyDescent="0.25">
      <c r="A279">
        <v>6.7694470000000004</v>
      </c>
      <c r="B279">
        <v>20.538975000000001</v>
      </c>
      <c r="C279">
        <v>13.86474825</v>
      </c>
      <c r="D279">
        <v>1.7527137500000001</v>
      </c>
      <c r="E279">
        <v>18.373772500000001</v>
      </c>
      <c r="F279">
        <v>-4.8582500000000001E-2</v>
      </c>
      <c r="G279">
        <v>22.411511749999999</v>
      </c>
      <c r="H279">
        <v>20</v>
      </c>
      <c r="I279">
        <v>8</v>
      </c>
      <c r="J279">
        <v>1.17</v>
      </c>
      <c r="K279">
        <v>6.1962039999999998</v>
      </c>
      <c r="L279">
        <v>-0.50274994107420856</v>
      </c>
      <c r="M279">
        <v>1.3311677468545811</v>
      </c>
      <c r="N279">
        <v>-0.28611281021422241</v>
      </c>
      <c r="O279">
        <v>0.30542220601122488</v>
      </c>
    </row>
    <row r="280" spans="1:15" x14ac:dyDescent="0.25">
      <c r="A280">
        <v>4.287579</v>
      </c>
      <c r="B280">
        <v>19.576962000000002</v>
      </c>
      <c r="C280">
        <v>14.7228295</v>
      </c>
      <c r="D280">
        <v>1.1392625000000001</v>
      </c>
      <c r="E280">
        <v>16.987919000000002</v>
      </c>
      <c r="F280">
        <v>2.6999999999999999E-5</v>
      </c>
      <c r="G280">
        <v>21.611101000000001</v>
      </c>
      <c r="H280">
        <v>20</v>
      </c>
      <c r="I280">
        <v>12</v>
      </c>
      <c r="J280">
        <v>1.17</v>
      </c>
      <c r="K280">
        <v>6.0779940000000003</v>
      </c>
      <c r="L280">
        <v>-0.73106569460625237</v>
      </c>
      <c r="M280">
        <v>1.2916431525497161</v>
      </c>
      <c r="N280">
        <v>-0.32388556790335798</v>
      </c>
      <c r="O280">
        <v>0.19011820168466489</v>
      </c>
    </row>
    <row r="281" spans="1:15" x14ac:dyDescent="0.25">
      <c r="A281">
        <v>1.6699035</v>
      </c>
      <c r="B281">
        <v>18.663052</v>
      </c>
      <c r="C281">
        <v>15.580909999999999</v>
      </c>
      <c r="D281">
        <v>0.48199374999999989</v>
      </c>
      <c r="E281">
        <v>15.378537</v>
      </c>
      <c r="F281">
        <v>2.6999999999999999E-5</v>
      </c>
      <c r="G281">
        <v>21.2108965</v>
      </c>
      <c r="H281">
        <v>20</v>
      </c>
      <c r="I281">
        <v>16</v>
      </c>
      <c r="J281">
        <v>1.17</v>
      </c>
      <c r="K281">
        <v>6.0214424999999991</v>
      </c>
      <c r="L281">
        <v>-0.97262033647266777</v>
      </c>
      <c r="M281">
        <v>1.2711783559292249</v>
      </c>
      <c r="N281">
        <v>-0.40777396014063849</v>
      </c>
      <c r="O281">
        <v>7.5246506150334042E-2</v>
      </c>
    </row>
    <row r="282" spans="1:15" x14ac:dyDescent="0.25">
      <c r="A282">
        <v>-0.72089199999999998</v>
      </c>
      <c r="B282">
        <v>17.36433375</v>
      </c>
      <c r="C282">
        <v>16.168017500000001</v>
      </c>
      <c r="D282">
        <v>-0.56818749999999996</v>
      </c>
      <c r="E282">
        <v>13.45622225</v>
      </c>
      <c r="F282">
        <v>2.6999999999999999E-5</v>
      </c>
      <c r="G282">
        <v>20.610589000000001</v>
      </c>
      <c r="H282">
        <v>20</v>
      </c>
      <c r="I282">
        <v>20</v>
      </c>
      <c r="J282">
        <v>1.17</v>
      </c>
      <c r="K282">
        <v>5.9356237500000004</v>
      </c>
      <c r="L282">
        <v>-1.197752877504767</v>
      </c>
      <c r="M282">
        <v>1.271744511745456</v>
      </c>
      <c r="N282">
        <v>-0.50740015609203615</v>
      </c>
      <c r="O282">
        <v>-4.5710407517345522E-2</v>
      </c>
    </row>
    <row r="283" spans="1:15" x14ac:dyDescent="0.25">
      <c r="A283">
        <v>-3.2440180000000001</v>
      </c>
      <c r="B283">
        <v>16.161819000000001</v>
      </c>
      <c r="C283">
        <v>16.574476000000001</v>
      </c>
      <c r="D283">
        <v>-2.447578</v>
      </c>
      <c r="E283">
        <v>11.086857999999999</v>
      </c>
      <c r="F283">
        <v>2.6999999999999999E-5</v>
      </c>
      <c r="G283">
        <v>20.170362000000001</v>
      </c>
      <c r="H283">
        <v>20</v>
      </c>
      <c r="I283">
        <v>24</v>
      </c>
      <c r="J283">
        <v>1.1625000000000001</v>
      </c>
      <c r="K283">
        <v>5.8908412499999994</v>
      </c>
      <c r="L283">
        <v>-1.422449100874952</v>
      </c>
      <c r="M283">
        <v>1.3356675855630109</v>
      </c>
      <c r="N283">
        <v>-0.65195781766233241</v>
      </c>
      <c r="O283">
        <v>-0.2042557427672082</v>
      </c>
    </row>
    <row r="284" spans="1:15" x14ac:dyDescent="0.25">
      <c r="A284">
        <v>-5.9924220000000004</v>
      </c>
      <c r="B284">
        <v>15.536509499999999</v>
      </c>
      <c r="C284">
        <v>17.522881999999999</v>
      </c>
      <c r="D284">
        <v>-4.9388639999999997</v>
      </c>
      <c r="E284">
        <v>8.8516085000000011</v>
      </c>
      <c r="F284">
        <v>2.6999999999999999E-5</v>
      </c>
      <c r="G284">
        <v>20.8507125</v>
      </c>
      <c r="H284">
        <v>20</v>
      </c>
      <c r="I284">
        <v>28</v>
      </c>
      <c r="J284">
        <v>1.1599999999999999</v>
      </c>
      <c r="K284">
        <v>5.9957785000000001</v>
      </c>
      <c r="L284">
        <v>-1.6424439393513639</v>
      </c>
      <c r="M284">
        <v>1.4301232216764499</v>
      </c>
      <c r="N284">
        <v>-0.8381180224814847</v>
      </c>
      <c r="O284">
        <v>-0.3817171807159539</v>
      </c>
    </row>
    <row r="285" spans="1:15" x14ac:dyDescent="0.25">
      <c r="A285">
        <v>-8.6957702499999989</v>
      </c>
      <c r="B285">
        <v>14.38209425</v>
      </c>
      <c r="C285">
        <v>18.064827000000001</v>
      </c>
      <c r="D285">
        <v>-7.8235087500000002</v>
      </c>
      <c r="E285">
        <v>5.9904900000000003</v>
      </c>
      <c r="F285">
        <v>2.6999999999999999E-5</v>
      </c>
      <c r="G285">
        <v>21.290937</v>
      </c>
      <c r="H285">
        <v>20</v>
      </c>
      <c r="I285">
        <v>32</v>
      </c>
      <c r="J285">
        <v>1.17</v>
      </c>
      <c r="K285">
        <v>6.0328039999999996</v>
      </c>
      <c r="L285">
        <v>-1.8780293328293849</v>
      </c>
      <c r="M285">
        <v>1.5583475772362649</v>
      </c>
      <c r="N285">
        <v>-1.0738078760083629</v>
      </c>
      <c r="O285">
        <v>-0.57963503700677865</v>
      </c>
    </row>
    <row r="286" spans="1:15" x14ac:dyDescent="0.25">
      <c r="A286">
        <v>-11.714509250000001</v>
      </c>
      <c r="B286">
        <v>12.939076500000001</v>
      </c>
      <c r="C286">
        <v>18.38096075</v>
      </c>
      <c r="D286">
        <v>-11.14522275</v>
      </c>
      <c r="E286">
        <v>2.4587952500000001</v>
      </c>
      <c r="F286">
        <v>2.6999999999999999E-5</v>
      </c>
      <c r="G286">
        <v>21.611101000000001</v>
      </c>
      <c r="H286">
        <v>20</v>
      </c>
      <c r="I286">
        <v>36</v>
      </c>
      <c r="J286">
        <v>1.165</v>
      </c>
      <c r="K286">
        <v>6.0910650000000004</v>
      </c>
      <c r="L286">
        <v>-2.166987521021198</v>
      </c>
      <c r="M286">
        <v>1.7341462866058359</v>
      </c>
      <c r="N286">
        <v>-1.3790751985076579</v>
      </c>
      <c r="O286">
        <v>-0.82300762197936905</v>
      </c>
    </row>
    <row r="287" spans="1:15" x14ac:dyDescent="0.25">
      <c r="A287">
        <v>18.77391025</v>
      </c>
      <c r="B287">
        <v>13.70868675</v>
      </c>
      <c r="C287">
        <v>-12.719044999999999</v>
      </c>
      <c r="D287">
        <v>-12.849788</v>
      </c>
      <c r="E287">
        <v>2.6823199999999998</v>
      </c>
      <c r="F287">
        <v>2.6999999999999999E-5</v>
      </c>
      <c r="G287">
        <v>22.211409</v>
      </c>
      <c r="H287">
        <v>24</v>
      </c>
      <c r="I287">
        <v>-36</v>
      </c>
      <c r="J287">
        <v>1.1625000000000001</v>
      </c>
      <c r="K287">
        <v>6.1816955</v>
      </c>
      <c r="L287">
        <v>2.0362735028913832</v>
      </c>
      <c r="M287">
        <v>1.7172243387920689</v>
      </c>
      <c r="N287">
        <v>-1.2627597090386491</v>
      </c>
      <c r="O287">
        <v>-0.82655970633371156</v>
      </c>
    </row>
    <row r="288" spans="1:15" x14ac:dyDescent="0.25">
      <c r="A288">
        <v>18.821489</v>
      </c>
      <c r="B288">
        <v>15.632710749999999</v>
      </c>
      <c r="C288">
        <v>-9.9226600000000005</v>
      </c>
      <c r="D288">
        <v>-10.096261500000001</v>
      </c>
      <c r="E288">
        <v>5.8116695000000007</v>
      </c>
      <c r="F288">
        <v>2.6999999999999999E-5</v>
      </c>
      <c r="G288">
        <v>22.411511999999998</v>
      </c>
      <c r="H288">
        <v>24</v>
      </c>
      <c r="I288">
        <v>-32</v>
      </c>
      <c r="J288">
        <v>1.17</v>
      </c>
      <c r="K288">
        <v>6.1895259999999999</v>
      </c>
      <c r="L288">
        <v>1.816839988412069</v>
      </c>
      <c r="M288">
        <v>1.6262624247325119</v>
      </c>
      <c r="N288">
        <v>-1.049234873889374</v>
      </c>
      <c r="O288">
        <v>-0.63265033096893053</v>
      </c>
    </row>
    <row r="289" spans="1:15" x14ac:dyDescent="0.25">
      <c r="A289">
        <v>18.82026875</v>
      </c>
      <c r="B289">
        <v>17.46053525</v>
      </c>
      <c r="C289">
        <v>-7.0811707500000001</v>
      </c>
      <c r="D289">
        <v>-7.430148</v>
      </c>
      <c r="E289">
        <v>8.6280830000000002</v>
      </c>
      <c r="F289">
        <v>2.6999999999999999E-5</v>
      </c>
      <c r="G289">
        <v>22.851738999999998</v>
      </c>
      <c r="H289">
        <v>24</v>
      </c>
      <c r="I289">
        <v>-28</v>
      </c>
      <c r="J289">
        <v>1.17</v>
      </c>
      <c r="K289">
        <v>6.2500132500000003</v>
      </c>
      <c r="L289">
        <v>1.6306843454454669</v>
      </c>
      <c r="M289">
        <v>1.5670774524707629</v>
      </c>
      <c r="N289">
        <v>-0.89551116374901751</v>
      </c>
      <c r="O289">
        <v>-0.4567839386367758</v>
      </c>
    </row>
    <row r="290" spans="1:15" x14ac:dyDescent="0.25">
      <c r="A290">
        <v>17.738237250000001</v>
      </c>
      <c r="B290">
        <v>18.3263465</v>
      </c>
      <c r="C290">
        <v>-4.0592699999999997</v>
      </c>
      <c r="D290">
        <v>-4.8077439999999996</v>
      </c>
      <c r="E290">
        <v>10.908039</v>
      </c>
      <c r="F290">
        <v>2.6999999999999999E-5</v>
      </c>
      <c r="G290">
        <v>22.251429000000002</v>
      </c>
      <c r="H290">
        <v>24</v>
      </c>
      <c r="I290">
        <v>-24</v>
      </c>
      <c r="J290">
        <v>1.17</v>
      </c>
      <c r="K290">
        <v>6.1673809999999998</v>
      </c>
      <c r="L290">
        <v>1.4208466006362099</v>
      </c>
      <c r="M290">
        <v>1.507973067465175</v>
      </c>
      <c r="N290">
        <v>-0.7394150589137054</v>
      </c>
      <c r="O290">
        <v>-0.28896490946609388</v>
      </c>
    </row>
    <row r="291" spans="1:15" x14ac:dyDescent="0.25">
      <c r="A291">
        <v>16.428238499999999</v>
      </c>
      <c r="B291">
        <v>18.855453000000001</v>
      </c>
      <c r="C291">
        <v>-1.488399</v>
      </c>
      <c r="D291">
        <v>-3.1905934999999999</v>
      </c>
      <c r="E291">
        <v>12.33859825</v>
      </c>
      <c r="F291">
        <v>2.6999999999999999E-5</v>
      </c>
      <c r="G291">
        <v>21.611101000000001</v>
      </c>
      <c r="H291">
        <v>24</v>
      </c>
      <c r="I291">
        <v>-20</v>
      </c>
      <c r="J291">
        <v>1.17</v>
      </c>
      <c r="K291">
        <v>6.0779940000000003</v>
      </c>
      <c r="L291">
        <v>1.2206816871352659</v>
      </c>
      <c r="M291">
        <v>1.502020175855372</v>
      </c>
      <c r="N291">
        <v>-0.63177856015540923</v>
      </c>
      <c r="O291">
        <v>-0.15940253154023371</v>
      </c>
    </row>
    <row r="292" spans="1:15" x14ac:dyDescent="0.25">
      <c r="A292">
        <v>15.164526499999999</v>
      </c>
      <c r="B292">
        <v>19.240259000000002</v>
      </c>
      <c r="C292">
        <v>0.90322000000000002</v>
      </c>
      <c r="D292">
        <v>-1.9230970000000001</v>
      </c>
      <c r="E292">
        <v>13.769157999999999</v>
      </c>
      <c r="F292">
        <v>2.6999999999999999E-5</v>
      </c>
      <c r="G292">
        <v>21.2108965</v>
      </c>
      <c r="H292">
        <v>24</v>
      </c>
      <c r="I292">
        <v>-16</v>
      </c>
      <c r="J292">
        <v>1.1675</v>
      </c>
      <c r="K292">
        <v>6.0279049999999996</v>
      </c>
      <c r="L292">
        <v>0.9987541228536414</v>
      </c>
      <c r="M292">
        <v>1.482121505376758</v>
      </c>
      <c r="N292">
        <v>-0.52116312121008512</v>
      </c>
      <c r="O292">
        <v>-3.5714129391870138E-2</v>
      </c>
    </row>
    <row r="293" spans="1:15" x14ac:dyDescent="0.25">
      <c r="A293">
        <v>13.44862575</v>
      </c>
      <c r="B293">
        <v>19.192157999999999</v>
      </c>
      <c r="C293">
        <v>2.754867</v>
      </c>
      <c r="D293">
        <v>-1.00525525</v>
      </c>
      <c r="E293">
        <v>14.350323250000001</v>
      </c>
      <c r="F293">
        <v>2.6999999999999999E-5</v>
      </c>
      <c r="G293">
        <v>20.490525999999999</v>
      </c>
      <c r="H293">
        <v>24</v>
      </c>
      <c r="I293">
        <v>-12</v>
      </c>
      <c r="J293">
        <v>1.1675</v>
      </c>
      <c r="K293">
        <v>5.9246827500000014</v>
      </c>
      <c r="L293">
        <v>0.79355001010777426</v>
      </c>
      <c r="M293">
        <v>1.4989578820138829</v>
      </c>
      <c r="N293">
        <v>-0.4557397323435336</v>
      </c>
      <c r="O293">
        <v>6.4965696797943701E-2</v>
      </c>
    </row>
    <row r="294" spans="1:15" x14ac:dyDescent="0.25">
      <c r="A294">
        <v>11.778834249999999</v>
      </c>
      <c r="B294">
        <v>19.240259000000002</v>
      </c>
      <c r="C294">
        <v>4.5161899999999999</v>
      </c>
      <c r="D294">
        <v>-0.786721</v>
      </c>
      <c r="E294">
        <v>14.797373</v>
      </c>
      <c r="F294">
        <v>2.6999999999999999E-5</v>
      </c>
      <c r="G294">
        <v>20.170362000000001</v>
      </c>
      <c r="H294">
        <v>24</v>
      </c>
      <c r="I294">
        <v>-8</v>
      </c>
      <c r="J294">
        <v>1.1625000000000001</v>
      </c>
      <c r="K294">
        <v>5.8908412499999994</v>
      </c>
      <c r="L294">
        <v>0.561587897777168</v>
      </c>
      <c r="M294">
        <v>1.548598741087416</v>
      </c>
      <c r="N294">
        <v>-0.41549380067837688</v>
      </c>
      <c r="O294">
        <v>0.14418926728212969</v>
      </c>
    </row>
    <row r="295" spans="1:15" x14ac:dyDescent="0.25">
      <c r="A295">
        <v>10.064544250000001</v>
      </c>
      <c r="B295">
        <v>19.047854999999998</v>
      </c>
      <c r="C295">
        <v>6.1420250000000003</v>
      </c>
      <c r="D295">
        <v>-0.61189399999999994</v>
      </c>
      <c r="E295">
        <v>14.931488</v>
      </c>
      <c r="F295">
        <v>-4.8582500000000001E-2</v>
      </c>
      <c r="G295">
        <v>19.810178499999999</v>
      </c>
      <c r="H295">
        <v>24</v>
      </c>
      <c r="I295">
        <v>-4</v>
      </c>
      <c r="J295">
        <v>1.1599999999999999</v>
      </c>
      <c r="K295">
        <v>5.8514012499999994</v>
      </c>
      <c r="L295">
        <v>0.3223959250189935</v>
      </c>
      <c r="M295">
        <v>1.615952002850408</v>
      </c>
      <c r="N295">
        <v>-0.40101721621414682</v>
      </c>
      <c r="O295">
        <v>0.2312381402888542</v>
      </c>
    </row>
    <row r="296" spans="1:15" x14ac:dyDescent="0.25">
      <c r="A296">
        <v>8.1243737500000002</v>
      </c>
      <c r="B296">
        <v>18.518749</v>
      </c>
      <c r="C296">
        <v>7.5872140000000003</v>
      </c>
      <c r="D296">
        <v>-0.61189399999999994</v>
      </c>
      <c r="E296">
        <v>14.61855325</v>
      </c>
      <c r="F296">
        <v>2.6999999999999999E-5</v>
      </c>
      <c r="G296">
        <v>19.289911</v>
      </c>
      <c r="H296">
        <v>24</v>
      </c>
      <c r="I296">
        <v>0</v>
      </c>
      <c r="J296">
        <v>1.17</v>
      </c>
      <c r="K296">
        <v>5.7423010000000003</v>
      </c>
      <c r="L296">
        <v>4.8259633581227292E-2</v>
      </c>
      <c r="M296">
        <v>1.718753823013772</v>
      </c>
      <c r="N296">
        <v>-0.41969242890226771</v>
      </c>
      <c r="O296">
        <v>0.3133387565079232</v>
      </c>
    </row>
    <row r="297" spans="1:15" x14ac:dyDescent="0.25">
      <c r="A297">
        <v>6.6349107500000004</v>
      </c>
      <c r="B297">
        <v>19.192157999999999</v>
      </c>
      <c r="C297">
        <v>9.3937000000000008</v>
      </c>
      <c r="D297">
        <v>-0.786721</v>
      </c>
      <c r="E297">
        <v>15.020898000000001</v>
      </c>
      <c r="F297">
        <v>2.6999999999999999E-5</v>
      </c>
      <c r="G297">
        <v>19.970260499999998</v>
      </c>
      <c r="H297">
        <v>24</v>
      </c>
      <c r="I297">
        <v>4</v>
      </c>
      <c r="J297">
        <v>1.1675</v>
      </c>
      <c r="K297">
        <v>5.8489804999999997</v>
      </c>
      <c r="L297">
        <v>-0.22803314744256739</v>
      </c>
      <c r="M297">
        <v>1.651583297019426</v>
      </c>
      <c r="N297">
        <v>-0.40914337418216118</v>
      </c>
      <c r="O297">
        <v>0.24176853610113619</v>
      </c>
    </row>
    <row r="298" spans="1:15" x14ac:dyDescent="0.25">
      <c r="A298">
        <v>4.7392139999999996</v>
      </c>
      <c r="B298">
        <v>19.528860999999999</v>
      </c>
      <c r="C298">
        <v>11.200184</v>
      </c>
      <c r="D298">
        <v>-1.1363760000000001</v>
      </c>
      <c r="E298">
        <v>14.797373</v>
      </c>
      <c r="F298">
        <v>2.6999999999999999E-5</v>
      </c>
      <c r="G298">
        <v>20.490525999999999</v>
      </c>
      <c r="H298">
        <v>24</v>
      </c>
      <c r="I298">
        <v>8</v>
      </c>
      <c r="J298">
        <v>1.1599999999999999</v>
      </c>
      <c r="K298">
        <v>5.9437740000000003</v>
      </c>
      <c r="L298">
        <v>-0.49715056632114979</v>
      </c>
      <c r="M298">
        <v>1.5901566000892751</v>
      </c>
      <c r="N298">
        <v>-0.43810343009123159</v>
      </c>
      <c r="O298">
        <v>0.13863085202125319</v>
      </c>
    </row>
    <row r="299" spans="1:15" x14ac:dyDescent="0.25">
      <c r="A299">
        <v>2.346886</v>
      </c>
      <c r="B299">
        <v>19.625063000000001</v>
      </c>
      <c r="C299">
        <v>12.69053325</v>
      </c>
      <c r="D299">
        <v>-1.7482705000000001</v>
      </c>
      <c r="E299">
        <v>14.216208</v>
      </c>
      <c r="F299">
        <v>2.6999999999999999E-5</v>
      </c>
      <c r="G299">
        <v>20.810692</v>
      </c>
      <c r="H299">
        <v>24</v>
      </c>
      <c r="I299">
        <v>12</v>
      </c>
      <c r="J299">
        <v>1.1625000000000001</v>
      </c>
      <c r="K299">
        <v>5.9836165000000001</v>
      </c>
      <c r="L299">
        <v>-0.74325841264047909</v>
      </c>
      <c r="M299">
        <v>1.535815196215977</v>
      </c>
      <c r="N299">
        <v>-0.47387803720380201</v>
      </c>
      <c r="O299">
        <v>2.1504769871138401E-2</v>
      </c>
    </row>
    <row r="300" spans="1:15" x14ac:dyDescent="0.25">
      <c r="A300">
        <v>0.1805235</v>
      </c>
      <c r="B300">
        <v>19.528860999999999</v>
      </c>
      <c r="C300">
        <v>14.226046500000001</v>
      </c>
      <c r="D300">
        <v>-2.22904525</v>
      </c>
      <c r="E300">
        <v>13.411517</v>
      </c>
      <c r="F300">
        <v>2.6999999999999999E-5</v>
      </c>
      <c r="G300">
        <v>21.290937</v>
      </c>
      <c r="H300">
        <v>24</v>
      </c>
      <c r="I300">
        <v>16</v>
      </c>
      <c r="J300">
        <v>1.1599999999999999</v>
      </c>
      <c r="K300">
        <v>6.058751</v>
      </c>
      <c r="L300">
        <v>-0.97297759434713382</v>
      </c>
      <c r="M300">
        <v>1.5072276296468581</v>
      </c>
      <c r="N300">
        <v>-0.54582956331637744</v>
      </c>
      <c r="O300">
        <v>-7.0948403547220054E-2</v>
      </c>
    </row>
    <row r="301" spans="1:15" x14ac:dyDescent="0.25">
      <c r="A301">
        <v>-2.6132374999999999</v>
      </c>
      <c r="B301">
        <v>19.047854999999998</v>
      </c>
      <c r="C301">
        <v>15.355098999999999</v>
      </c>
      <c r="D301">
        <v>-3.3217132500000002</v>
      </c>
      <c r="E301">
        <v>11.846843249999999</v>
      </c>
      <c r="F301">
        <v>2.6999999999999999E-5</v>
      </c>
      <c r="G301">
        <v>21.571080500000001</v>
      </c>
      <c r="H301">
        <v>24</v>
      </c>
      <c r="I301">
        <v>20</v>
      </c>
      <c r="J301">
        <v>1.1599999999999999</v>
      </c>
      <c r="K301">
        <v>6.0984734999999999</v>
      </c>
      <c r="L301">
        <v>-1.212958032991351</v>
      </c>
      <c r="M301">
        <v>1.5100796661775939</v>
      </c>
      <c r="N301">
        <v>-0.65648736924180995</v>
      </c>
      <c r="O301">
        <v>-0.20027725761459261</v>
      </c>
    </row>
    <row r="302" spans="1:15" x14ac:dyDescent="0.25">
      <c r="A302">
        <v>-5.3165849999999999</v>
      </c>
      <c r="B302">
        <v>18.470648000000001</v>
      </c>
      <c r="C302">
        <v>16.43899</v>
      </c>
      <c r="D302">
        <v>-5.1573975000000001</v>
      </c>
      <c r="E302">
        <v>9.9692337500000008</v>
      </c>
      <c r="F302">
        <v>2.6999999999999999E-5</v>
      </c>
      <c r="G302">
        <v>21.931266999999998</v>
      </c>
      <c r="H302">
        <v>24</v>
      </c>
      <c r="I302">
        <v>24</v>
      </c>
      <c r="J302">
        <v>1.1599999999999999</v>
      </c>
      <c r="K302">
        <v>6.1491860000000003</v>
      </c>
      <c r="L302">
        <v>-1.4307141384707549</v>
      </c>
      <c r="M302">
        <v>1.553854133130383</v>
      </c>
      <c r="N302">
        <v>-0.78666927824748023</v>
      </c>
      <c r="O302">
        <v>-0.34440272864444649</v>
      </c>
    </row>
    <row r="303" spans="1:15" x14ac:dyDescent="0.25">
      <c r="A303">
        <v>-8.3803799999999988</v>
      </c>
      <c r="B303">
        <v>17.508635999999999</v>
      </c>
      <c r="C303">
        <v>17.2519095</v>
      </c>
      <c r="D303">
        <v>-7.8235087500000002</v>
      </c>
      <c r="E303">
        <v>7.510459</v>
      </c>
      <c r="F303">
        <v>2.6999999999999999E-5</v>
      </c>
      <c r="G303">
        <v>22.251429000000002</v>
      </c>
      <c r="H303">
        <v>24</v>
      </c>
      <c r="I303">
        <v>28</v>
      </c>
      <c r="J303">
        <v>1.1675</v>
      </c>
      <c r="K303">
        <v>6.1740124999999999</v>
      </c>
      <c r="L303">
        <v>-1.6417772075428281</v>
      </c>
      <c r="M303">
        <v>1.6225816790129051</v>
      </c>
      <c r="N303">
        <v>-0.94420435506310896</v>
      </c>
      <c r="O303">
        <v>-0.51893378774901944</v>
      </c>
    </row>
    <row r="304" spans="1:15" x14ac:dyDescent="0.25">
      <c r="A304">
        <v>-11.1287845</v>
      </c>
      <c r="B304">
        <v>16.354220999999999</v>
      </c>
      <c r="C304">
        <v>17.658367250000001</v>
      </c>
      <c r="D304">
        <v>-10.795568250000001</v>
      </c>
      <c r="E304">
        <v>4.5152242500000002</v>
      </c>
      <c r="F304">
        <v>2.6999999999999999E-5</v>
      </c>
      <c r="G304">
        <v>22.5315735</v>
      </c>
      <c r="H304">
        <v>24</v>
      </c>
      <c r="I304">
        <v>32</v>
      </c>
      <c r="J304">
        <v>1.165</v>
      </c>
      <c r="K304">
        <v>6.2194339999999997</v>
      </c>
      <c r="L304">
        <v>-1.859947569180169</v>
      </c>
      <c r="M304">
        <v>1.754157089098126</v>
      </c>
      <c r="N304">
        <v>-1.164042659658908</v>
      </c>
      <c r="O304">
        <v>-0.70827178535068414</v>
      </c>
    </row>
    <row r="305" spans="1:15" x14ac:dyDescent="0.25">
      <c r="A305">
        <v>-14.2826895</v>
      </c>
      <c r="B305">
        <v>14.86310175</v>
      </c>
      <c r="C305">
        <v>17.839015750000002</v>
      </c>
      <c r="D305">
        <v>-14.20469675</v>
      </c>
      <c r="E305">
        <v>1.028235</v>
      </c>
      <c r="F305">
        <v>2.6999999999999999E-5</v>
      </c>
      <c r="G305">
        <v>22.811717999999999</v>
      </c>
      <c r="H305">
        <v>24</v>
      </c>
      <c r="I305">
        <v>36</v>
      </c>
      <c r="J305">
        <v>1.17</v>
      </c>
      <c r="K305">
        <v>6.2445354999999996</v>
      </c>
      <c r="L305">
        <v>-2.1033350878464678</v>
      </c>
      <c r="M305">
        <v>1.903347154694137</v>
      </c>
      <c r="N305">
        <v>-1.4263979026956</v>
      </c>
      <c r="O305">
        <v>-0.93267305734251316</v>
      </c>
    </row>
    <row r="306" spans="1:15" x14ac:dyDescent="0.25">
      <c r="A306">
        <v>16.967627</v>
      </c>
      <c r="B306">
        <v>14.526396500000001</v>
      </c>
      <c r="C306">
        <v>-15.01929825</v>
      </c>
      <c r="D306">
        <v>-15.34107225</v>
      </c>
      <c r="E306">
        <v>0.58118524999999999</v>
      </c>
      <c r="F306">
        <v>2.6999999999999999E-5</v>
      </c>
      <c r="G306">
        <v>22.091349000000001</v>
      </c>
      <c r="H306">
        <v>28</v>
      </c>
      <c r="I306">
        <v>-36</v>
      </c>
      <c r="J306">
        <v>1.17</v>
      </c>
      <c r="K306">
        <v>6.1451560000000001</v>
      </c>
      <c r="L306">
        <v>2.029458652510693</v>
      </c>
      <c r="M306">
        <v>1.8950322719313919</v>
      </c>
      <c r="N306">
        <v>-1.364781583756195</v>
      </c>
      <c r="O306">
        <v>-0.9630696333624621</v>
      </c>
    </row>
    <row r="307" spans="1:15" x14ac:dyDescent="0.25">
      <c r="A307">
        <v>16.3820455</v>
      </c>
      <c r="B307">
        <v>15.777013</v>
      </c>
      <c r="C307">
        <v>-11.320853</v>
      </c>
      <c r="D307">
        <v>-11.75711875</v>
      </c>
      <c r="E307">
        <v>3.5317150000000002</v>
      </c>
      <c r="F307">
        <v>2.6999999999999999E-5</v>
      </c>
      <c r="G307">
        <v>21.370978000000001</v>
      </c>
      <c r="H307">
        <v>28</v>
      </c>
      <c r="I307">
        <v>-32</v>
      </c>
      <c r="J307">
        <v>1.17</v>
      </c>
      <c r="K307">
        <v>6.0441225000000003</v>
      </c>
      <c r="L307">
        <v>1.8382394905350761</v>
      </c>
      <c r="M307">
        <v>1.826999602385444</v>
      </c>
      <c r="N307">
        <v>-1.1836985863570699</v>
      </c>
      <c r="O307">
        <v>-0.76562283917151075</v>
      </c>
    </row>
    <row r="308" spans="1:15" x14ac:dyDescent="0.25">
      <c r="A308">
        <v>15.7051</v>
      </c>
      <c r="B308">
        <v>16.739027</v>
      </c>
      <c r="C308">
        <v>-8.5244665000000008</v>
      </c>
      <c r="D308">
        <v>-9.0035929999999986</v>
      </c>
      <c r="E308">
        <v>5.7222592499999996</v>
      </c>
      <c r="F308">
        <v>2.6999999999999999E-5</v>
      </c>
      <c r="G308">
        <v>20.970773999999999</v>
      </c>
      <c r="H308">
        <v>28</v>
      </c>
      <c r="I308">
        <v>-28</v>
      </c>
      <c r="J308">
        <v>1.17</v>
      </c>
      <c r="K308">
        <v>5.9872719999999999</v>
      </c>
      <c r="L308">
        <v>1.6726254338091191</v>
      </c>
      <c r="M308">
        <v>1.7770705097666271</v>
      </c>
      <c r="N308">
        <v>-1.0526635626881109</v>
      </c>
      <c r="O308">
        <v>-0.60499871745605283</v>
      </c>
    </row>
    <row r="309" spans="1:15" x14ac:dyDescent="0.25">
      <c r="A309">
        <v>14.7592885</v>
      </c>
      <c r="B309">
        <v>17.316233</v>
      </c>
      <c r="C309">
        <v>-5.7280810000000004</v>
      </c>
      <c r="D309">
        <v>-6.7745474999999997</v>
      </c>
      <c r="E309">
        <v>7.5551640000000004</v>
      </c>
      <c r="F309">
        <v>2.6999999999999999E-5</v>
      </c>
      <c r="G309">
        <v>20.330444</v>
      </c>
      <c r="H309">
        <v>28</v>
      </c>
      <c r="I309">
        <v>-24</v>
      </c>
      <c r="J309">
        <v>1.1675</v>
      </c>
      <c r="K309">
        <v>5.9014937500000002</v>
      </c>
      <c r="L309">
        <v>1.4839759606765861</v>
      </c>
      <c r="M309">
        <v>1.7449939384142421</v>
      </c>
      <c r="N309">
        <v>-0.92542925301306578</v>
      </c>
      <c r="O309">
        <v>-0.45277919639222552</v>
      </c>
    </row>
    <row r="310" spans="1:15" x14ac:dyDescent="0.25">
      <c r="A310">
        <v>14.126485000000001</v>
      </c>
      <c r="B310">
        <v>18.4225475</v>
      </c>
      <c r="C310">
        <v>-3.3827250000000002</v>
      </c>
      <c r="D310">
        <v>-5.4196390000000001</v>
      </c>
      <c r="E310">
        <v>9.4774790000000007</v>
      </c>
      <c r="F310">
        <v>2.6999999999999999E-5</v>
      </c>
      <c r="G310">
        <v>20.450505499999998</v>
      </c>
      <c r="H310">
        <v>28</v>
      </c>
      <c r="I310">
        <v>-20</v>
      </c>
      <c r="J310">
        <v>1.17</v>
      </c>
      <c r="K310">
        <v>5.912528</v>
      </c>
      <c r="L310">
        <v>1.261580782074367</v>
      </c>
      <c r="M310">
        <v>1.7178992070890939</v>
      </c>
      <c r="N310">
        <v>-0.79063232214609114</v>
      </c>
      <c r="O310">
        <v>-0.31711515140167118</v>
      </c>
    </row>
    <row r="311" spans="1:15" x14ac:dyDescent="0.25">
      <c r="A311">
        <v>13.451233500000001</v>
      </c>
      <c r="B311">
        <v>19.673164</v>
      </c>
      <c r="C311">
        <v>-1.2628839999999999</v>
      </c>
      <c r="D311">
        <v>-4.6766232499999996</v>
      </c>
      <c r="E311">
        <v>11.086857999999999</v>
      </c>
      <c r="F311">
        <v>2.6999999999999999E-5</v>
      </c>
      <c r="G311">
        <v>21.010794499999999</v>
      </c>
      <c r="H311">
        <v>28</v>
      </c>
      <c r="I311">
        <v>-16</v>
      </c>
      <c r="J311">
        <v>1.165</v>
      </c>
      <c r="K311">
        <v>6.0058747500000003</v>
      </c>
      <c r="L311">
        <v>1.0467931894499229</v>
      </c>
      <c r="M311">
        <v>1.7322584923560069</v>
      </c>
      <c r="N311">
        <v>-0.7059984678307456</v>
      </c>
      <c r="O311">
        <v>-0.2112671291242848</v>
      </c>
    </row>
    <row r="312" spans="1:15" x14ac:dyDescent="0.25">
      <c r="A312">
        <v>12.411448</v>
      </c>
      <c r="B312">
        <v>20.394672</v>
      </c>
      <c r="C312">
        <v>0.90322000000000002</v>
      </c>
      <c r="D312">
        <v>-3.8899010000000001</v>
      </c>
      <c r="E312">
        <v>12.3833035</v>
      </c>
      <c r="F312">
        <v>2.6999999999999999E-5</v>
      </c>
      <c r="G312">
        <v>21.290937</v>
      </c>
      <c r="H312">
        <v>28</v>
      </c>
      <c r="I312">
        <v>-12</v>
      </c>
      <c r="J312">
        <v>1.1599999999999999</v>
      </c>
      <c r="K312">
        <v>6.058751</v>
      </c>
      <c r="L312">
        <v>0.8293450555738483</v>
      </c>
      <c r="M312">
        <v>1.7501924534249129</v>
      </c>
      <c r="N312">
        <v>-0.64205015921890851</v>
      </c>
      <c r="O312">
        <v>-0.1076430025937109</v>
      </c>
    </row>
    <row r="313" spans="1:15" x14ac:dyDescent="0.25">
      <c r="A313">
        <v>11.102598499999999</v>
      </c>
      <c r="B313">
        <v>21.164283999999999</v>
      </c>
      <c r="C313">
        <v>2.8000289999999999</v>
      </c>
      <c r="D313">
        <v>-3.715074</v>
      </c>
      <c r="E313">
        <v>13.27740275</v>
      </c>
      <c r="F313">
        <v>2.6999999999999999E-5</v>
      </c>
      <c r="G313">
        <v>21.731164</v>
      </c>
      <c r="H313">
        <v>28</v>
      </c>
      <c r="I313">
        <v>-8</v>
      </c>
      <c r="J313">
        <v>1.1625000000000001</v>
      </c>
      <c r="K313">
        <v>6.1145009999999997</v>
      </c>
      <c r="L313">
        <v>0.60452819737716568</v>
      </c>
      <c r="M313">
        <v>1.811444453104482</v>
      </c>
      <c r="N313">
        <v>-0.61551073746440899</v>
      </c>
      <c r="O313">
        <v>-3.3260503322974609E-2</v>
      </c>
    </row>
    <row r="314" spans="1:15" x14ac:dyDescent="0.25">
      <c r="A314">
        <v>9.5693262499999996</v>
      </c>
      <c r="B314">
        <v>21.741491</v>
      </c>
      <c r="C314">
        <v>4.9678110000000002</v>
      </c>
      <c r="D314">
        <v>-3.6276605000000002</v>
      </c>
      <c r="E314">
        <v>14.0373885</v>
      </c>
      <c r="F314">
        <v>2.6999999999999999E-5</v>
      </c>
      <c r="G314">
        <v>22.091349000000001</v>
      </c>
      <c r="H314">
        <v>28</v>
      </c>
      <c r="I314">
        <v>-4</v>
      </c>
      <c r="J314">
        <v>1.165</v>
      </c>
      <c r="K314">
        <v>6.1583714999999994</v>
      </c>
      <c r="L314">
        <v>0.34425006614806042</v>
      </c>
      <c r="M314">
        <v>1.897838381192599</v>
      </c>
      <c r="N314">
        <v>-0.60250564873556156</v>
      </c>
      <c r="O314">
        <v>5.0144758157997453E-2</v>
      </c>
    </row>
    <row r="315" spans="1:15" x14ac:dyDescent="0.25">
      <c r="A315">
        <v>7.5827472499999997</v>
      </c>
      <c r="B315">
        <v>21.981993500000002</v>
      </c>
      <c r="C315">
        <v>6.9097822500000001</v>
      </c>
      <c r="D315">
        <v>-3.7587809999999999</v>
      </c>
      <c r="E315">
        <v>14.216208</v>
      </c>
      <c r="F315">
        <v>2.6999999999999999E-5</v>
      </c>
      <c r="G315">
        <v>22.411511999999998</v>
      </c>
      <c r="H315">
        <v>28</v>
      </c>
      <c r="I315">
        <v>0</v>
      </c>
      <c r="J315">
        <v>1.165</v>
      </c>
      <c r="K315">
        <v>6.2028369999999997</v>
      </c>
      <c r="L315">
        <v>5.3232440274732097E-2</v>
      </c>
      <c r="M315">
        <v>2.0363786726587509</v>
      </c>
      <c r="N315">
        <v>-0.64834555374620129</v>
      </c>
      <c r="O315">
        <v>0.1246329339684376</v>
      </c>
    </row>
    <row r="316" spans="1:15" x14ac:dyDescent="0.25">
      <c r="A316">
        <v>5.5516472500000003</v>
      </c>
      <c r="B316">
        <v>22.318698999999999</v>
      </c>
      <c r="C316">
        <v>9.0324015000000006</v>
      </c>
      <c r="D316">
        <v>-3.8024874999999998</v>
      </c>
      <c r="E316">
        <v>14.216208</v>
      </c>
      <c r="F316">
        <v>2.6999999999999999E-5</v>
      </c>
      <c r="G316">
        <v>22.731676</v>
      </c>
      <c r="H316">
        <v>28</v>
      </c>
      <c r="I316">
        <v>4</v>
      </c>
      <c r="J316">
        <v>1.1625000000000001</v>
      </c>
      <c r="K316">
        <v>6.2536882499999997</v>
      </c>
      <c r="L316">
        <v>-0.26087652369518322</v>
      </c>
      <c r="M316">
        <v>1.957915486464525</v>
      </c>
      <c r="N316">
        <v>-0.63830006215691149</v>
      </c>
      <c r="O316">
        <v>6.5551935634712621E-2</v>
      </c>
    </row>
    <row r="317" spans="1:15" x14ac:dyDescent="0.25">
      <c r="A317">
        <v>3.24952475</v>
      </c>
      <c r="B317">
        <v>21.7895915</v>
      </c>
      <c r="C317">
        <v>10.477589999999999</v>
      </c>
      <c r="D317">
        <v>-4.0210217500000001</v>
      </c>
      <c r="E317">
        <v>13.545632749999999</v>
      </c>
      <c r="F317">
        <v>2.6999999999999999E-5</v>
      </c>
      <c r="G317">
        <v>22.291449750000002</v>
      </c>
      <c r="H317">
        <v>28</v>
      </c>
      <c r="I317">
        <v>8</v>
      </c>
      <c r="J317">
        <v>1.1625000000000001</v>
      </c>
      <c r="K317">
        <v>6.1928117500000006</v>
      </c>
      <c r="L317">
        <v>-0.51880803346474158</v>
      </c>
      <c r="M317">
        <v>1.8527013542369859</v>
      </c>
      <c r="N317">
        <v>-0.62777800656460603</v>
      </c>
      <c r="O317">
        <v>-2.7651435332479862E-2</v>
      </c>
    </row>
    <row r="318" spans="1:15" x14ac:dyDescent="0.25">
      <c r="A318">
        <v>0.72207725</v>
      </c>
      <c r="B318">
        <v>20.923779499999998</v>
      </c>
      <c r="C318">
        <v>11.606643</v>
      </c>
      <c r="D318">
        <v>-4.5017960000000006</v>
      </c>
      <c r="E318">
        <v>12.249188</v>
      </c>
      <c r="F318">
        <v>2.6999999999999999E-5</v>
      </c>
      <c r="G318">
        <v>21.611101000000001</v>
      </c>
      <c r="H318">
        <v>28</v>
      </c>
      <c r="I318">
        <v>12</v>
      </c>
      <c r="J318">
        <v>1.1599999999999999</v>
      </c>
      <c r="K318">
        <v>6.1041359999999996</v>
      </c>
      <c r="L318">
        <v>-0.76981929984740471</v>
      </c>
      <c r="M318">
        <v>1.7983338744426369</v>
      </c>
      <c r="N318">
        <v>-0.66218024483488525</v>
      </c>
      <c r="O318">
        <v>-0.13367065954760629</v>
      </c>
    </row>
    <row r="319" spans="1:15" x14ac:dyDescent="0.25">
      <c r="A319">
        <v>-1.9824552499999999</v>
      </c>
      <c r="B319">
        <v>20.009868999999998</v>
      </c>
      <c r="C319">
        <v>12.509885000000001</v>
      </c>
      <c r="D319">
        <v>-5.0262772499999997</v>
      </c>
      <c r="E319">
        <v>10.773923249999999</v>
      </c>
      <c r="F319">
        <v>2.6999999999999999E-5</v>
      </c>
      <c r="G319">
        <v>21.2108965</v>
      </c>
      <c r="H319">
        <v>28</v>
      </c>
      <c r="I319">
        <v>16</v>
      </c>
      <c r="J319">
        <v>1.17</v>
      </c>
      <c r="K319">
        <v>6.0214424999999991</v>
      </c>
      <c r="L319">
        <v>-1.0150030950014479</v>
      </c>
      <c r="M319">
        <v>1.75344068112345</v>
      </c>
      <c r="N319">
        <v>-0.7309682430350517</v>
      </c>
      <c r="O319">
        <v>-0.24537721107258681</v>
      </c>
    </row>
    <row r="320" spans="1:15" x14ac:dyDescent="0.25">
      <c r="A320">
        <v>-4.3253570000000003</v>
      </c>
      <c r="B320">
        <v>18.80735275</v>
      </c>
      <c r="C320">
        <v>13.051831249999999</v>
      </c>
      <c r="D320">
        <v>-5.5944649999999996</v>
      </c>
      <c r="E320">
        <v>8.9857242500000005</v>
      </c>
      <c r="F320">
        <v>2.6999999999999999E-5</v>
      </c>
      <c r="G320">
        <v>20.570568000000002</v>
      </c>
      <c r="H320">
        <v>28</v>
      </c>
      <c r="I320">
        <v>20</v>
      </c>
      <c r="J320">
        <v>1.17</v>
      </c>
      <c r="K320">
        <v>5.9298555000000004</v>
      </c>
      <c r="L320">
        <v>-1.246073677715601</v>
      </c>
      <c r="M320">
        <v>1.7498682906747081</v>
      </c>
      <c r="N320">
        <v>-0.83075246649671752</v>
      </c>
      <c r="O320">
        <v>-0.35567328790284908</v>
      </c>
    </row>
    <row r="321" spans="1:15" x14ac:dyDescent="0.25">
      <c r="A321">
        <v>-6.7583715</v>
      </c>
      <c r="B321">
        <v>17.701038</v>
      </c>
      <c r="C321">
        <v>13.41312825</v>
      </c>
      <c r="D321">
        <v>-6.9930820000000002</v>
      </c>
      <c r="E321">
        <v>6.9292937500000003</v>
      </c>
      <c r="F321">
        <v>2.6999999999999999E-5</v>
      </c>
      <c r="G321">
        <v>20.170362000000001</v>
      </c>
      <c r="H321">
        <v>28</v>
      </c>
      <c r="I321">
        <v>24</v>
      </c>
      <c r="J321">
        <v>1.17</v>
      </c>
      <c r="K321">
        <v>5.8719000000000001</v>
      </c>
      <c r="L321">
        <v>-1.461180693355316</v>
      </c>
      <c r="M321">
        <v>1.788795321511512</v>
      </c>
      <c r="N321">
        <v>-0.95916890496588381</v>
      </c>
      <c r="O321">
        <v>-0.49805177069325368</v>
      </c>
    </row>
    <row r="322" spans="1:15" x14ac:dyDescent="0.25">
      <c r="A322">
        <v>-9.1463289999999997</v>
      </c>
      <c r="B322">
        <v>16.354220999999999</v>
      </c>
      <c r="C322">
        <v>13.638939000000001</v>
      </c>
      <c r="D322">
        <v>-8.8724724999999989</v>
      </c>
      <c r="E322">
        <v>4.7387499999999996</v>
      </c>
      <c r="F322">
        <v>-4.8582500000000001E-2</v>
      </c>
      <c r="G322">
        <v>19.850199</v>
      </c>
      <c r="H322">
        <v>28</v>
      </c>
      <c r="I322">
        <v>28</v>
      </c>
      <c r="J322">
        <v>1.17</v>
      </c>
      <c r="K322">
        <v>5.8322259999999986</v>
      </c>
      <c r="L322">
        <v>-1.657353260140356</v>
      </c>
      <c r="M322">
        <v>1.8349213098877659</v>
      </c>
      <c r="N322">
        <v>-1.099175561543708</v>
      </c>
      <c r="O322">
        <v>-0.65174075557695632</v>
      </c>
    </row>
    <row r="323" spans="1:15" x14ac:dyDescent="0.25">
      <c r="A323">
        <v>-11.173839750000001</v>
      </c>
      <c r="B323">
        <v>14.766900250000001</v>
      </c>
      <c r="C323">
        <v>13.4582905</v>
      </c>
      <c r="D323">
        <v>-10.9266895</v>
      </c>
      <c r="E323">
        <v>2.1458602500000001</v>
      </c>
      <c r="F323">
        <v>2.6999999999999999E-5</v>
      </c>
      <c r="G323">
        <v>19.289911</v>
      </c>
      <c r="H323">
        <v>28</v>
      </c>
      <c r="I323">
        <v>32</v>
      </c>
      <c r="J323">
        <v>1.17</v>
      </c>
      <c r="K323">
        <v>5.7423010000000003</v>
      </c>
      <c r="L323">
        <v>-1.8666398302434071</v>
      </c>
      <c r="M323">
        <v>1.947090070427449</v>
      </c>
      <c r="N323">
        <v>-1.2992106110932</v>
      </c>
      <c r="O323">
        <v>-0.83741040591601212</v>
      </c>
    </row>
    <row r="324" spans="1:15" x14ac:dyDescent="0.25">
      <c r="A324">
        <v>-14.147522</v>
      </c>
      <c r="B324">
        <v>13.804888249999999</v>
      </c>
      <c r="C324">
        <v>13.77442475</v>
      </c>
      <c r="D324">
        <v>-14.02987025</v>
      </c>
      <c r="E324">
        <v>-0.62441000000000002</v>
      </c>
      <c r="F324">
        <v>2.6999999999999999E-5</v>
      </c>
      <c r="G324">
        <v>19.890219500000001</v>
      </c>
      <c r="H324">
        <v>28</v>
      </c>
      <c r="I324">
        <v>36</v>
      </c>
      <c r="J324">
        <v>1.1675</v>
      </c>
      <c r="K324">
        <v>5.8372599999999997</v>
      </c>
      <c r="L324">
        <v>-2.073800685509406</v>
      </c>
      <c r="M324">
        <v>2.0673203217685749</v>
      </c>
      <c r="N324">
        <v>-1.5236514181750751</v>
      </c>
      <c r="O324">
        <v>-1.0463886591361351</v>
      </c>
    </row>
    <row r="325" spans="1:15" x14ac:dyDescent="0.25">
      <c r="A325">
        <v>13.989267999999999</v>
      </c>
      <c r="B325">
        <v>14.045391</v>
      </c>
      <c r="C325">
        <v>-15.650740000000001</v>
      </c>
      <c r="D325">
        <v>-15.82184625</v>
      </c>
      <c r="E325">
        <v>-1.6056284999999999</v>
      </c>
      <c r="F325">
        <v>-4.8582500000000001E-2</v>
      </c>
      <c r="G325">
        <v>20.490525999999999</v>
      </c>
      <c r="H325">
        <v>32</v>
      </c>
      <c r="I325">
        <v>-36</v>
      </c>
      <c r="J325">
        <v>1.1599999999999999</v>
      </c>
      <c r="K325">
        <v>5.9508074999999998</v>
      </c>
      <c r="L325">
        <v>2.0976519433311052</v>
      </c>
      <c r="M325">
        <v>2.1136856723176178</v>
      </c>
      <c r="N325">
        <v>-1.5637873646350671</v>
      </c>
      <c r="O325">
        <v>-1.110095610341159</v>
      </c>
    </row>
    <row r="326" spans="1:15" x14ac:dyDescent="0.25">
      <c r="A326">
        <v>14.2185875</v>
      </c>
      <c r="B326">
        <v>15.969416000000001</v>
      </c>
      <c r="C326">
        <v>-13.350487749999999</v>
      </c>
      <c r="D326">
        <v>-13.59280225</v>
      </c>
      <c r="E326">
        <v>0.89412000000000003</v>
      </c>
      <c r="F326">
        <v>2.6999999999999999E-5</v>
      </c>
      <c r="G326">
        <v>20.970773999999999</v>
      </c>
      <c r="H326">
        <v>32</v>
      </c>
      <c r="I326">
        <v>-32</v>
      </c>
      <c r="J326">
        <v>1.1599999999999999</v>
      </c>
      <c r="K326">
        <v>6.0130239999999997</v>
      </c>
      <c r="L326">
        <v>1.9190803736025579</v>
      </c>
      <c r="M326">
        <v>2.05780623751822</v>
      </c>
      <c r="N326">
        <v>-1.397525532611601</v>
      </c>
      <c r="O326">
        <v>-0.93774335249558682</v>
      </c>
    </row>
    <row r="327" spans="1:15" x14ac:dyDescent="0.25">
      <c r="A327">
        <v>14.307003999999999</v>
      </c>
      <c r="B327">
        <v>17.5567365</v>
      </c>
      <c r="C327">
        <v>-10.86982225</v>
      </c>
      <c r="D327">
        <v>-11.494878</v>
      </c>
      <c r="E327">
        <v>3.3528947499999999</v>
      </c>
      <c r="F327">
        <v>2.6999999999999999E-5</v>
      </c>
      <c r="G327">
        <v>21.451018999999999</v>
      </c>
      <c r="H327">
        <v>32</v>
      </c>
      <c r="I327">
        <v>-28</v>
      </c>
      <c r="J327">
        <v>1.165</v>
      </c>
      <c r="K327">
        <v>6.0684635</v>
      </c>
      <c r="L327">
        <v>1.7321568957687079</v>
      </c>
      <c r="M327">
        <v>1.998720640548892</v>
      </c>
      <c r="N327">
        <v>-1.245140864655542</v>
      </c>
      <c r="O327">
        <v>-0.76933575547206179</v>
      </c>
    </row>
    <row r="328" spans="1:15" x14ac:dyDescent="0.25">
      <c r="A328">
        <v>13.901716499999999</v>
      </c>
      <c r="B328">
        <v>18.999754500000002</v>
      </c>
      <c r="C328">
        <v>-8.5244662499999997</v>
      </c>
      <c r="D328">
        <v>-9.7028999999999996</v>
      </c>
      <c r="E328">
        <v>5.3199149999999999</v>
      </c>
      <c r="F328">
        <v>2.6999999999999999E-5</v>
      </c>
      <c r="G328">
        <v>21.731164</v>
      </c>
      <c r="H328">
        <v>32</v>
      </c>
      <c r="I328">
        <v>-24</v>
      </c>
      <c r="J328">
        <v>1.17</v>
      </c>
      <c r="K328">
        <v>6.0948465000000001</v>
      </c>
      <c r="L328">
        <v>1.5537641629949059</v>
      </c>
      <c r="M328">
        <v>1.9885995958226199</v>
      </c>
      <c r="N328">
        <v>-1.137042528751053</v>
      </c>
      <c r="O328">
        <v>-0.63142561576839085</v>
      </c>
    </row>
    <row r="329" spans="1:15" x14ac:dyDescent="0.25">
      <c r="A329">
        <v>13.359225500000001</v>
      </c>
      <c r="B329">
        <v>20.202272000000001</v>
      </c>
      <c r="C329">
        <v>-6.1340070000000004</v>
      </c>
      <c r="D329">
        <v>-8.4354054999999999</v>
      </c>
      <c r="E329">
        <v>7.1528200000000002</v>
      </c>
      <c r="F329">
        <v>2.6999999999999999E-5</v>
      </c>
      <c r="G329">
        <v>22.011308</v>
      </c>
      <c r="H329">
        <v>32</v>
      </c>
      <c r="I329">
        <v>-20</v>
      </c>
      <c r="J329">
        <v>1.17</v>
      </c>
      <c r="K329">
        <v>6.1340035000000004</v>
      </c>
      <c r="L329">
        <v>1.350187584358078</v>
      </c>
      <c r="M329">
        <v>1.983558358784238</v>
      </c>
      <c r="N329">
        <v>-1.029172889537999</v>
      </c>
      <c r="O329">
        <v>-0.50456595599108667</v>
      </c>
    </row>
    <row r="330" spans="1:15" x14ac:dyDescent="0.25">
      <c r="A330">
        <v>12.637105</v>
      </c>
      <c r="B330">
        <v>21.356686</v>
      </c>
      <c r="C330">
        <v>-3.6533427500000002</v>
      </c>
      <c r="D330">
        <v>-7.6049759999999997</v>
      </c>
      <c r="E330">
        <v>8.8516085000000011</v>
      </c>
      <c r="F330">
        <v>2.6999999999999999E-5</v>
      </c>
      <c r="G330">
        <v>22.411511999999998</v>
      </c>
      <c r="H330">
        <v>32</v>
      </c>
      <c r="I330">
        <v>-16</v>
      </c>
      <c r="J330">
        <v>1.17</v>
      </c>
      <c r="K330">
        <v>6.1895259999999999</v>
      </c>
      <c r="L330">
        <v>1.124975062592124</v>
      </c>
      <c r="M330">
        <v>2.0000332597089101</v>
      </c>
      <c r="N330">
        <v>-0.93642462589097342</v>
      </c>
      <c r="O330">
        <v>-0.38874071057772208</v>
      </c>
    </row>
    <row r="331" spans="1:15" x14ac:dyDescent="0.25">
      <c r="A331">
        <v>11.2365435</v>
      </c>
      <c r="B331">
        <v>21.933893000000001</v>
      </c>
      <c r="C331">
        <v>-1.3530899999999999</v>
      </c>
      <c r="D331">
        <v>-7.299029</v>
      </c>
      <c r="E331">
        <v>9.8798232499999994</v>
      </c>
      <c r="F331">
        <v>2.6999999999999999E-5</v>
      </c>
      <c r="G331">
        <v>22.571594000000001</v>
      </c>
      <c r="H331">
        <v>32</v>
      </c>
      <c r="I331">
        <v>-12</v>
      </c>
      <c r="J331">
        <v>1.1625000000000001</v>
      </c>
      <c r="K331">
        <v>6.2316297499999997</v>
      </c>
      <c r="L331">
        <v>0.88627320449110158</v>
      </c>
      <c r="M331">
        <v>2.0578468987227652</v>
      </c>
      <c r="N331">
        <v>-0.89346325731012377</v>
      </c>
      <c r="O331">
        <v>-0.30450094421633811</v>
      </c>
    </row>
    <row r="332" spans="1:15" x14ac:dyDescent="0.25">
      <c r="A332">
        <v>9.8840257500000011</v>
      </c>
      <c r="B332">
        <v>22.511101</v>
      </c>
      <c r="C332">
        <v>0.90322000000000002</v>
      </c>
      <c r="D332">
        <v>-6.8182545000000001</v>
      </c>
      <c r="E332">
        <v>10.818628500000001</v>
      </c>
      <c r="F332">
        <v>2.6999999999999999E-5</v>
      </c>
      <c r="G332">
        <v>22.811717999999999</v>
      </c>
      <c r="H332">
        <v>32</v>
      </c>
      <c r="I332">
        <v>-8</v>
      </c>
      <c r="J332">
        <v>1.1625000000000001</v>
      </c>
      <c r="K332">
        <v>6.2646672499999996</v>
      </c>
      <c r="L332">
        <v>0.65192291998187091</v>
      </c>
      <c r="M332">
        <v>2.1290415157818439</v>
      </c>
      <c r="N332">
        <v>-0.87060929632761119</v>
      </c>
      <c r="O332">
        <v>-0.21469088406717141</v>
      </c>
    </row>
    <row r="333" spans="1:15" x14ac:dyDescent="0.25">
      <c r="A333">
        <v>7.58177375</v>
      </c>
      <c r="B333">
        <v>21.741491</v>
      </c>
      <c r="C333">
        <v>2.754867</v>
      </c>
      <c r="D333">
        <v>-6.4686000000000003</v>
      </c>
      <c r="E333">
        <v>10.729217999999999</v>
      </c>
      <c r="F333">
        <v>2.6999999999999999E-5</v>
      </c>
      <c r="G333">
        <v>21.971287499999999</v>
      </c>
      <c r="H333">
        <v>32</v>
      </c>
      <c r="I333">
        <v>-4</v>
      </c>
      <c r="J333">
        <v>1.1599999999999999</v>
      </c>
      <c r="K333">
        <v>6.1547862499999999</v>
      </c>
      <c r="L333">
        <v>0.38349593178984409</v>
      </c>
      <c r="M333">
        <v>2.2413932147463078</v>
      </c>
      <c r="N333">
        <v>-0.89321713926729895</v>
      </c>
      <c r="O333">
        <v>-0.14752717716801581</v>
      </c>
    </row>
    <row r="334" spans="1:15" x14ac:dyDescent="0.25">
      <c r="A334">
        <v>5.4162439999999998</v>
      </c>
      <c r="B334">
        <v>21.260484999999999</v>
      </c>
      <c r="C334">
        <v>4.6065139999999998</v>
      </c>
      <c r="D334">
        <v>-6.3374790000000001</v>
      </c>
      <c r="E334">
        <v>10.59510375</v>
      </c>
      <c r="F334">
        <v>-4.8582500000000001E-2</v>
      </c>
      <c r="G334">
        <v>21.290937</v>
      </c>
      <c r="H334">
        <v>32</v>
      </c>
      <c r="I334">
        <v>0</v>
      </c>
      <c r="J334">
        <v>1.1625000000000001</v>
      </c>
      <c r="K334">
        <v>6.0591650000000001</v>
      </c>
      <c r="L334">
        <v>7.0641041672480781E-2</v>
      </c>
      <c r="M334">
        <v>2.4081712930750552</v>
      </c>
      <c r="N334">
        <v>-0.93333276085900763</v>
      </c>
      <c r="O334">
        <v>-7.1287748544155496E-2</v>
      </c>
    </row>
    <row r="335" spans="1:15" x14ac:dyDescent="0.25">
      <c r="A335">
        <v>3.20420675</v>
      </c>
      <c r="B335">
        <v>20.827578500000001</v>
      </c>
      <c r="C335">
        <v>6.3678365000000001</v>
      </c>
      <c r="D335">
        <v>-6.3811870000000006</v>
      </c>
      <c r="E335">
        <v>10.1033495</v>
      </c>
      <c r="F335">
        <v>-4.8582500000000001E-2</v>
      </c>
      <c r="G335">
        <v>21.010794499999999</v>
      </c>
      <c r="H335">
        <v>32</v>
      </c>
      <c r="I335">
        <v>4</v>
      </c>
      <c r="J335">
        <v>1.1599999999999999</v>
      </c>
      <c r="K335">
        <v>6.0256774999999996</v>
      </c>
      <c r="L335">
        <v>-0.2706088918456323</v>
      </c>
      <c r="M335">
        <v>2.327169905324423</v>
      </c>
      <c r="N335">
        <v>-0.93298101783026199</v>
      </c>
      <c r="O335">
        <v>-0.13166613914125611</v>
      </c>
    </row>
    <row r="336" spans="1:15" x14ac:dyDescent="0.25">
      <c r="A336">
        <v>0.99285999999999996</v>
      </c>
      <c r="B336">
        <v>20.202272000000001</v>
      </c>
      <c r="C336">
        <v>7.6323760000000007</v>
      </c>
      <c r="D336">
        <v>-6.424893</v>
      </c>
      <c r="E336">
        <v>9.2539534999999997</v>
      </c>
      <c r="F336">
        <v>2.6999999999999999E-5</v>
      </c>
      <c r="G336">
        <v>20.370464500000001</v>
      </c>
      <c r="H336">
        <v>32</v>
      </c>
      <c r="I336">
        <v>8</v>
      </c>
      <c r="J336">
        <v>1.1599999999999999</v>
      </c>
      <c r="K336">
        <v>5.9263260000000004</v>
      </c>
      <c r="L336">
        <v>-0.5546531855854836</v>
      </c>
      <c r="M336">
        <v>2.2245062545667968</v>
      </c>
      <c r="N336">
        <v>-0.9286941333951414</v>
      </c>
      <c r="O336">
        <v>-0.22684168673586441</v>
      </c>
    </row>
    <row r="337" spans="1:15" x14ac:dyDescent="0.25">
      <c r="A337">
        <v>-1.3967302500000001</v>
      </c>
      <c r="B337">
        <v>19.817467000000001</v>
      </c>
      <c r="C337">
        <v>8.9420770000000012</v>
      </c>
      <c r="D337">
        <v>-6.8182539999999996</v>
      </c>
      <c r="E337">
        <v>8.4939685000000011</v>
      </c>
      <c r="F337">
        <v>2.6999999999999999E-5</v>
      </c>
      <c r="G337">
        <v>20.210382500000001</v>
      </c>
      <c r="H337">
        <v>32</v>
      </c>
      <c r="I337">
        <v>12</v>
      </c>
      <c r="J337">
        <v>1.1599999999999999</v>
      </c>
      <c r="K337">
        <v>5.9029937500000003</v>
      </c>
      <c r="L337">
        <v>-0.82046704929257674</v>
      </c>
      <c r="M337">
        <v>2.1137739257654551</v>
      </c>
      <c r="N337">
        <v>-0.92980792858247896</v>
      </c>
      <c r="O337">
        <v>-0.32597018109170323</v>
      </c>
    </row>
    <row r="338" spans="1:15" x14ac:dyDescent="0.25">
      <c r="A338">
        <v>-3.9649100000000002</v>
      </c>
      <c r="B338">
        <v>20.009868999999998</v>
      </c>
      <c r="C338">
        <v>10.387266</v>
      </c>
      <c r="D338">
        <v>-7.5612689999999994</v>
      </c>
      <c r="E338">
        <v>7.689279</v>
      </c>
      <c r="F338">
        <v>2.6999999999999999E-5</v>
      </c>
      <c r="G338">
        <v>20.8507125</v>
      </c>
      <c r="H338">
        <v>32</v>
      </c>
      <c r="I338">
        <v>16</v>
      </c>
      <c r="J338">
        <v>1.1625000000000001</v>
      </c>
      <c r="K338">
        <v>5.9893405</v>
      </c>
      <c r="L338">
        <v>-1.0668859541179301</v>
      </c>
      <c r="M338">
        <v>2.0495382102351751</v>
      </c>
      <c r="N338">
        <v>-0.97838549154424337</v>
      </c>
      <c r="O338">
        <v>-0.42840454602073291</v>
      </c>
    </row>
    <row r="339" spans="1:15" x14ac:dyDescent="0.25">
      <c r="A339">
        <v>-6.7133155000000002</v>
      </c>
      <c r="B339">
        <v>19.817467000000001</v>
      </c>
      <c r="C339">
        <v>11.471157</v>
      </c>
      <c r="D339">
        <v>-8.4791115000000001</v>
      </c>
      <c r="E339">
        <v>6.3034239999999997</v>
      </c>
      <c r="F339">
        <v>2.6999999999999999E-5</v>
      </c>
      <c r="G339">
        <v>21.290937</v>
      </c>
      <c r="H339">
        <v>32</v>
      </c>
      <c r="I339">
        <v>20</v>
      </c>
      <c r="J339">
        <v>1.17</v>
      </c>
      <c r="K339">
        <v>6.0328039999999996</v>
      </c>
      <c r="L339">
        <v>-1.308280332342872</v>
      </c>
      <c r="M339">
        <v>2.0357849641244021</v>
      </c>
      <c r="N339">
        <v>-1.07827097649093</v>
      </c>
      <c r="O339">
        <v>-0.54646827657971753</v>
      </c>
    </row>
    <row r="340" spans="1:15" x14ac:dyDescent="0.25">
      <c r="A340">
        <v>-9.5968857500000002</v>
      </c>
      <c r="B340">
        <v>19.288359</v>
      </c>
      <c r="C340">
        <v>12.329236999999999</v>
      </c>
      <c r="D340">
        <v>-10.13996775</v>
      </c>
      <c r="E340">
        <v>4.5152242500000002</v>
      </c>
      <c r="F340">
        <v>2.6999999999999999E-5</v>
      </c>
      <c r="G340">
        <v>21.571080500000001</v>
      </c>
      <c r="H340">
        <v>32</v>
      </c>
      <c r="I340">
        <v>24</v>
      </c>
      <c r="J340">
        <v>1.165</v>
      </c>
      <c r="K340">
        <v>6.0854267499999999</v>
      </c>
      <c r="L340">
        <v>-1.524408898459467</v>
      </c>
      <c r="M340">
        <v>2.046008009202851</v>
      </c>
      <c r="N340">
        <v>-1.185838425061494</v>
      </c>
      <c r="O340">
        <v>-0.68608528738727736</v>
      </c>
    </row>
    <row r="341" spans="1:15" x14ac:dyDescent="0.25">
      <c r="A341">
        <v>-12.525513999999999</v>
      </c>
      <c r="B341">
        <v>18.663052</v>
      </c>
      <c r="C341">
        <v>13.142155750000001</v>
      </c>
      <c r="D341">
        <v>-12.500132499999999</v>
      </c>
      <c r="E341">
        <v>2.4587957500000002</v>
      </c>
      <c r="F341">
        <v>2.6999999999999999E-5</v>
      </c>
      <c r="G341">
        <v>22.091349000000001</v>
      </c>
      <c r="H341">
        <v>32</v>
      </c>
      <c r="I341">
        <v>28</v>
      </c>
      <c r="J341">
        <v>1.1599999999999999</v>
      </c>
      <c r="K341">
        <v>6.1715869999999997</v>
      </c>
      <c r="L341">
        <v>-1.714440243255162</v>
      </c>
      <c r="M341">
        <v>2.0815216795944571</v>
      </c>
      <c r="N341">
        <v>-1.3113615136801009</v>
      </c>
      <c r="O341">
        <v>-0.835776020973236</v>
      </c>
    </row>
    <row r="342" spans="1:15" x14ac:dyDescent="0.25">
      <c r="A342">
        <v>-15.4090855</v>
      </c>
      <c r="B342">
        <v>17.508635999999999</v>
      </c>
      <c r="C342">
        <v>13.503452749999999</v>
      </c>
      <c r="D342">
        <v>-15.122539</v>
      </c>
      <c r="E342">
        <v>-8.9191000000000006E-2</v>
      </c>
      <c r="F342">
        <v>2.6999999999999999E-5</v>
      </c>
      <c r="G342">
        <v>22.291449750000002</v>
      </c>
      <c r="H342">
        <v>32</v>
      </c>
      <c r="I342">
        <v>32</v>
      </c>
      <c r="J342">
        <v>1.17</v>
      </c>
      <c r="K342">
        <v>6.1729172499999994</v>
      </c>
      <c r="L342">
        <v>-1.905119979846184</v>
      </c>
      <c r="M342">
        <v>2.150114281716585</v>
      </c>
      <c r="N342">
        <v>-1.474705335623296</v>
      </c>
      <c r="O342">
        <v>-1.0058958475240161</v>
      </c>
    </row>
    <row r="343" spans="1:15" x14ac:dyDescent="0.25">
      <c r="A343">
        <v>-18.427823249999999</v>
      </c>
      <c r="B343">
        <v>16.258019999999998</v>
      </c>
      <c r="C343">
        <v>13.684101</v>
      </c>
      <c r="D343">
        <v>-18.18201225</v>
      </c>
      <c r="E343">
        <v>-3.0774550000000001</v>
      </c>
      <c r="F343">
        <v>2.6999999999999999E-5</v>
      </c>
      <c r="G343">
        <v>22.651634999999999</v>
      </c>
      <c r="H343">
        <v>32</v>
      </c>
      <c r="I343">
        <v>36</v>
      </c>
      <c r="J343">
        <v>1.17</v>
      </c>
      <c r="K343">
        <v>6.2225859999999997</v>
      </c>
      <c r="L343">
        <v>-2.108956106980024</v>
      </c>
      <c r="M343">
        <v>2.2618478767541599</v>
      </c>
      <c r="N343">
        <v>-1.6898172174511561</v>
      </c>
      <c r="O343">
        <v>-1.2021795954551</v>
      </c>
    </row>
    <row r="344" spans="1:15" x14ac:dyDescent="0.25">
      <c r="A344">
        <v>12.953026749999999</v>
      </c>
      <c r="B344">
        <v>15.488409000000001</v>
      </c>
      <c r="C344">
        <v>-18.9432595</v>
      </c>
      <c r="D344">
        <v>-18.837611750000001</v>
      </c>
      <c r="E344">
        <v>-4.3711787500000003</v>
      </c>
      <c r="F344">
        <v>2.6999999999999999E-5</v>
      </c>
      <c r="G344">
        <v>22.091349000000001</v>
      </c>
      <c r="H344">
        <v>36</v>
      </c>
      <c r="I344">
        <v>-36</v>
      </c>
      <c r="J344">
        <v>1.1675</v>
      </c>
      <c r="K344">
        <v>6.1517637499999998</v>
      </c>
      <c r="L344">
        <v>2.1968110172400839</v>
      </c>
      <c r="M344">
        <v>2.3641533965876751</v>
      </c>
      <c r="N344">
        <v>-1.8225811861814569</v>
      </c>
      <c r="O344">
        <v>-1.301023975747309</v>
      </c>
    </row>
    <row r="345" spans="1:15" x14ac:dyDescent="0.25">
      <c r="A345">
        <v>12.45738075</v>
      </c>
      <c r="B345">
        <v>16.546623</v>
      </c>
      <c r="C345">
        <v>-15.51543075</v>
      </c>
      <c r="D345">
        <v>-15.60331375</v>
      </c>
      <c r="E345">
        <v>-1.6948300000000001</v>
      </c>
      <c r="F345">
        <v>2.6999999999999999E-5</v>
      </c>
      <c r="G345">
        <v>21.370978000000001</v>
      </c>
      <c r="H345">
        <v>36</v>
      </c>
      <c r="I345">
        <v>-32</v>
      </c>
      <c r="J345">
        <v>1.1625000000000001</v>
      </c>
      <c r="K345">
        <v>6.0636317499999999</v>
      </c>
      <c r="L345">
        <v>2.017655790889521</v>
      </c>
      <c r="M345">
        <v>2.3189243602532228</v>
      </c>
      <c r="N345">
        <v>-1.663767575395239</v>
      </c>
      <c r="O345">
        <v>-1.12224256410336</v>
      </c>
    </row>
    <row r="346" spans="1:15" x14ac:dyDescent="0.25">
      <c r="A346">
        <v>11.959353</v>
      </c>
      <c r="B346">
        <v>17.36433375</v>
      </c>
      <c r="C346">
        <v>-12.899457</v>
      </c>
      <c r="D346">
        <v>-13.286856</v>
      </c>
      <c r="E346">
        <v>0.31295525000000002</v>
      </c>
      <c r="F346">
        <v>2.6999999999999999E-5</v>
      </c>
      <c r="G346">
        <v>20.890733000000001</v>
      </c>
      <c r="H346">
        <v>36</v>
      </c>
      <c r="I346">
        <v>-28</v>
      </c>
      <c r="J346">
        <v>1.17</v>
      </c>
      <c r="K346">
        <v>5.9758239999999994</v>
      </c>
      <c r="L346">
        <v>1.854330546097837</v>
      </c>
      <c r="M346">
        <v>2.2863863022039368</v>
      </c>
      <c r="N346">
        <v>-1.534991404246862</v>
      </c>
      <c r="O346">
        <v>-0.97667948740239563</v>
      </c>
    </row>
    <row r="347" spans="1:15" x14ac:dyDescent="0.25">
      <c r="A347">
        <v>11.147013749999999</v>
      </c>
      <c r="B347">
        <v>17.893439999999998</v>
      </c>
      <c r="C347">
        <v>-9.9226600000000005</v>
      </c>
      <c r="D347">
        <v>-11.057810249999999</v>
      </c>
      <c r="E347">
        <v>2.2352704999999999</v>
      </c>
      <c r="F347">
        <v>2.6999999999999999E-5</v>
      </c>
      <c r="G347">
        <v>20.170362000000001</v>
      </c>
      <c r="H347">
        <v>36</v>
      </c>
      <c r="I347">
        <v>-24</v>
      </c>
      <c r="J347">
        <v>1.17</v>
      </c>
      <c r="K347">
        <v>5.8719000000000001</v>
      </c>
      <c r="L347">
        <v>1.6557541951181349</v>
      </c>
      <c r="M347">
        <v>2.2751160328691289</v>
      </c>
      <c r="N347">
        <v>-1.4094416685718549</v>
      </c>
      <c r="O347">
        <v>-0.82435591741882663</v>
      </c>
    </row>
    <row r="348" spans="1:15" x14ac:dyDescent="0.25">
      <c r="A348">
        <v>10.19994775</v>
      </c>
      <c r="B348">
        <v>18.3263465</v>
      </c>
      <c r="C348">
        <v>-7.5322009999999997</v>
      </c>
      <c r="D348">
        <v>-9.7466070000000009</v>
      </c>
      <c r="E348">
        <v>3.5764197499999999</v>
      </c>
      <c r="F348">
        <v>2.6999999999999999E-5</v>
      </c>
      <c r="G348">
        <v>19.850199</v>
      </c>
      <c r="H348">
        <v>36</v>
      </c>
      <c r="I348">
        <v>-20</v>
      </c>
      <c r="J348">
        <v>1.17</v>
      </c>
      <c r="K348">
        <v>5.8251109999999997</v>
      </c>
      <c r="L348">
        <v>1.4516051708765909</v>
      </c>
      <c r="M348">
        <v>2.2981419996549031</v>
      </c>
      <c r="N348">
        <v>-1.3322342927055051</v>
      </c>
      <c r="O348">
        <v>-0.70725654867726673</v>
      </c>
    </row>
    <row r="349" spans="1:15" x14ac:dyDescent="0.25">
      <c r="A349">
        <v>9.1618937499999991</v>
      </c>
      <c r="B349">
        <v>18.470648000000001</v>
      </c>
      <c r="C349">
        <v>-5.0515359999999996</v>
      </c>
      <c r="D349">
        <v>-8.6102327499999998</v>
      </c>
      <c r="E349">
        <v>4.6940447499999998</v>
      </c>
      <c r="F349">
        <v>2.6999999999999999E-5</v>
      </c>
      <c r="G349">
        <v>19.329931999999999</v>
      </c>
      <c r="H349">
        <v>36</v>
      </c>
      <c r="I349">
        <v>-16</v>
      </c>
      <c r="J349">
        <v>1.17</v>
      </c>
      <c r="K349">
        <v>5.7482579999999999</v>
      </c>
      <c r="L349">
        <v>1.2332678278178659</v>
      </c>
      <c r="M349">
        <v>2.3497575679651121</v>
      </c>
      <c r="N349">
        <v>-1.269906543804181</v>
      </c>
      <c r="O349">
        <v>-0.59268271798999717</v>
      </c>
    </row>
    <row r="350" spans="1:15" x14ac:dyDescent="0.25">
      <c r="A350">
        <v>8.1238515000000007</v>
      </c>
      <c r="B350">
        <v>19.288359</v>
      </c>
      <c r="C350">
        <v>-3.1572100000000001</v>
      </c>
      <c r="D350">
        <v>-8.4791120000000006</v>
      </c>
      <c r="E350">
        <v>5.5881439999999998</v>
      </c>
      <c r="F350">
        <v>2.6999999999999999E-5</v>
      </c>
      <c r="G350">
        <v>19.730137500000001</v>
      </c>
      <c r="H350">
        <v>36</v>
      </c>
      <c r="I350">
        <v>-12</v>
      </c>
      <c r="J350">
        <v>1.17</v>
      </c>
      <c r="K350">
        <v>5.8074589999999997</v>
      </c>
      <c r="L350">
        <v>0.9890912556283511</v>
      </c>
      <c r="M350">
        <v>2.4346314710918109</v>
      </c>
      <c r="N350">
        <v>-1.240054653689419</v>
      </c>
      <c r="O350">
        <v>-0.51007936923177033</v>
      </c>
    </row>
    <row r="351" spans="1:15" x14ac:dyDescent="0.25">
      <c r="A351">
        <v>6.9508442500000003</v>
      </c>
      <c r="B351">
        <v>20.154171250000001</v>
      </c>
      <c r="C351">
        <v>-1.1726780000000001</v>
      </c>
      <c r="D351">
        <v>-8.4791120000000006</v>
      </c>
      <c r="E351">
        <v>6.3928340000000006</v>
      </c>
      <c r="F351">
        <v>2.6999999999999999E-5</v>
      </c>
      <c r="G351">
        <v>20.330444</v>
      </c>
      <c r="H351">
        <v>36</v>
      </c>
      <c r="I351">
        <v>-8</v>
      </c>
      <c r="J351">
        <v>1.1675</v>
      </c>
      <c r="K351">
        <v>5.9014937500000002</v>
      </c>
      <c r="L351">
        <v>0.72413740485004752</v>
      </c>
      <c r="M351">
        <v>2.552347600641339</v>
      </c>
      <c r="N351">
        <v>-1.2424261311429461</v>
      </c>
      <c r="O351">
        <v>-0.43015583215303599</v>
      </c>
    </row>
    <row r="352" spans="1:15" x14ac:dyDescent="0.25">
      <c r="A352">
        <v>5.3259664999999998</v>
      </c>
      <c r="B352">
        <v>20.683277</v>
      </c>
      <c r="C352">
        <v>0.76773325000000003</v>
      </c>
      <c r="D352">
        <v>-8.6102319999999999</v>
      </c>
      <c r="E352">
        <v>6.8398832499999997</v>
      </c>
      <c r="F352">
        <v>2.6999999999999999E-5</v>
      </c>
      <c r="G352">
        <v>20.770671499999999</v>
      </c>
      <c r="H352">
        <v>36</v>
      </c>
      <c r="I352">
        <v>-4</v>
      </c>
      <c r="J352">
        <v>1.1625000000000001</v>
      </c>
      <c r="K352">
        <v>5.9778457500000002</v>
      </c>
      <c r="L352">
        <v>0.4236069474776587</v>
      </c>
      <c r="M352">
        <v>2.7221541380160779</v>
      </c>
      <c r="N352">
        <v>-1.2945662022927911</v>
      </c>
      <c r="O352">
        <v>-0.364365618702573</v>
      </c>
    </row>
    <row r="353" spans="1:15" x14ac:dyDescent="0.25">
      <c r="A353">
        <v>3.3849279999999999</v>
      </c>
      <c r="B353">
        <v>21.019981000000001</v>
      </c>
      <c r="C353">
        <v>2.3032457499999999</v>
      </c>
      <c r="D353">
        <v>-9.0035929999999986</v>
      </c>
      <c r="E353">
        <v>6.8845884999999996</v>
      </c>
      <c r="F353">
        <v>2.6999999999999999E-5</v>
      </c>
      <c r="G353">
        <v>21.090835500000001</v>
      </c>
      <c r="H353">
        <v>36</v>
      </c>
      <c r="I353">
        <v>0</v>
      </c>
      <c r="J353">
        <v>1.1675</v>
      </c>
      <c r="K353">
        <v>6.0108412499999986</v>
      </c>
      <c r="L353">
        <v>0.10568856976600299</v>
      </c>
      <c r="M353">
        <v>2.933542605449587</v>
      </c>
      <c r="N353">
        <v>-1.388088192635563</v>
      </c>
      <c r="O353">
        <v>-0.32734526128612179</v>
      </c>
    </row>
    <row r="354" spans="1:15" x14ac:dyDescent="0.25">
      <c r="A354">
        <v>1.2636925000000001</v>
      </c>
      <c r="B354">
        <v>21.452887</v>
      </c>
      <c r="C354">
        <v>4.1548920000000003</v>
      </c>
      <c r="D354">
        <v>-9.5280735000000014</v>
      </c>
      <c r="E354">
        <v>6.7951779999999999</v>
      </c>
      <c r="F354">
        <v>2.6999999999999999E-5</v>
      </c>
      <c r="G354">
        <v>21.491039499999999</v>
      </c>
      <c r="H354">
        <v>36</v>
      </c>
      <c r="I354">
        <v>4</v>
      </c>
      <c r="J354">
        <v>1.17</v>
      </c>
      <c r="K354">
        <v>6.0610792500000006</v>
      </c>
      <c r="L354">
        <v>-0.26450413555138053</v>
      </c>
      <c r="M354">
        <v>2.8352702138083319</v>
      </c>
      <c r="N354">
        <v>-1.344934518230011</v>
      </c>
      <c r="O354">
        <v>-0.37810134676435447</v>
      </c>
    </row>
    <row r="355" spans="1:15" x14ac:dyDescent="0.25">
      <c r="A355">
        <v>-1.0813390000000001</v>
      </c>
      <c r="B355">
        <v>21.69339025</v>
      </c>
      <c r="C355">
        <v>5.780729</v>
      </c>
      <c r="D355">
        <v>-9.8340209999999999</v>
      </c>
      <c r="E355">
        <v>6.4375390000000001</v>
      </c>
      <c r="F355">
        <v>2.6999999999999999E-5</v>
      </c>
      <c r="G355">
        <v>21.771184999999999</v>
      </c>
      <c r="H355">
        <v>36</v>
      </c>
      <c r="I355">
        <v>8</v>
      </c>
      <c r="J355">
        <v>1.1675</v>
      </c>
      <c r="K355">
        <v>6.1070234999999986</v>
      </c>
      <c r="L355">
        <v>-0.5768819580795802</v>
      </c>
      <c r="M355">
        <v>2.6504559053918011</v>
      </c>
      <c r="N355">
        <v>-1.289072584092597</v>
      </c>
      <c r="O355">
        <v>-0.45880971629532158</v>
      </c>
    </row>
    <row r="356" spans="1:15" x14ac:dyDescent="0.25">
      <c r="A356">
        <v>-3.8747989999999999</v>
      </c>
      <c r="B356">
        <v>21.741491</v>
      </c>
      <c r="C356">
        <v>7.3162415000000003</v>
      </c>
      <c r="D356">
        <v>-10.577035499999999</v>
      </c>
      <c r="E356">
        <v>5.5881439999999998</v>
      </c>
      <c r="F356">
        <v>2.6999999999999999E-5</v>
      </c>
      <c r="G356">
        <v>22.091349000000001</v>
      </c>
      <c r="H356">
        <v>36</v>
      </c>
      <c r="I356">
        <v>12</v>
      </c>
      <c r="J356">
        <v>1.1599999999999999</v>
      </c>
      <c r="K356">
        <v>6.1715869999999997</v>
      </c>
      <c r="L356">
        <v>-0.87337250648187437</v>
      </c>
      <c r="M356">
        <v>2.522182479610958</v>
      </c>
      <c r="N356">
        <v>-1.287957423023097</v>
      </c>
      <c r="O356">
        <v>-0.56390397222192901</v>
      </c>
    </row>
    <row r="357" spans="1:15" x14ac:dyDescent="0.25">
      <c r="A357">
        <v>-6.7583715</v>
      </c>
      <c r="B357">
        <v>21.837692000000001</v>
      </c>
      <c r="C357">
        <v>8.7162670000000002</v>
      </c>
      <c r="D357">
        <v>-11.18892975</v>
      </c>
      <c r="E357">
        <v>4.6493399999999996</v>
      </c>
      <c r="F357">
        <v>2.6999999999999999E-5</v>
      </c>
      <c r="G357">
        <v>22.571594000000001</v>
      </c>
      <c r="H357">
        <v>36</v>
      </c>
      <c r="I357">
        <v>16</v>
      </c>
      <c r="J357">
        <v>1.17</v>
      </c>
      <c r="K357">
        <v>6.2115919999999996</v>
      </c>
      <c r="L357">
        <v>-1.135926523053147</v>
      </c>
      <c r="M357">
        <v>2.4244179163667212</v>
      </c>
      <c r="N357">
        <v>-1.315658206989923</v>
      </c>
      <c r="O357">
        <v>-0.65869768359967784</v>
      </c>
    </row>
    <row r="358" spans="1:15" x14ac:dyDescent="0.25">
      <c r="A358">
        <v>-9.7771092500000005</v>
      </c>
      <c r="B358">
        <v>21.3085855</v>
      </c>
      <c r="C358">
        <v>9.8001572499999998</v>
      </c>
      <c r="D358">
        <v>-12.15048</v>
      </c>
      <c r="E358">
        <v>3.1293695000000001</v>
      </c>
      <c r="F358">
        <v>2.6999999999999999E-5</v>
      </c>
      <c r="G358">
        <v>22.731676</v>
      </c>
      <c r="H358">
        <v>36</v>
      </c>
      <c r="I358">
        <v>20</v>
      </c>
      <c r="J358">
        <v>1.1599999999999999</v>
      </c>
      <c r="K358">
        <v>6.2603910000000003</v>
      </c>
      <c r="L358">
        <v>-1.389112090223257</v>
      </c>
      <c r="M358">
        <v>2.37414826141283</v>
      </c>
      <c r="N358">
        <v>-1.390909447023448</v>
      </c>
      <c r="O358">
        <v>-0.77794160618124453</v>
      </c>
    </row>
    <row r="359" spans="1:15" x14ac:dyDescent="0.25">
      <c r="A359">
        <v>-12.480458499999999</v>
      </c>
      <c r="B359">
        <v>20.442772999999999</v>
      </c>
      <c r="C359">
        <v>10.477589999999999</v>
      </c>
      <c r="D359">
        <v>-13.417973999999999</v>
      </c>
      <c r="E359">
        <v>1.43058</v>
      </c>
      <c r="F359">
        <v>2.6999999999999999E-5</v>
      </c>
      <c r="G359">
        <v>22.651634999999999</v>
      </c>
      <c r="H359">
        <v>36</v>
      </c>
      <c r="I359">
        <v>24</v>
      </c>
      <c r="J359">
        <v>1.1675</v>
      </c>
      <c r="K359">
        <v>6.2292887500000003</v>
      </c>
      <c r="L359">
        <v>-1.5965599319974759</v>
      </c>
      <c r="M359">
        <v>2.3547708386792139</v>
      </c>
      <c r="N359">
        <v>-1.4757831853808689</v>
      </c>
      <c r="O359">
        <v>-0.90051456719577216</v>
      </c>
    </row>
    <row r="360" spans="1:15" x14ac:dyDescent="0.25">
      <c r="A360">
        <v>-14.598082</v>
      </c>
      <c r="B360">
        <v>18.759252499999999</v>
      </c>
      <c r="C360">
        <v>10.658238000000001</v>
      </c>
      <c r="D360">
        <v>-14.598058</v>
      </c>
      <c r="E360">
        <v>-0.62441000000000002</v>
      </c>
      <c r="F360">
        <v>2.6999999999999999E-5</v>
      </c>
      <c r="G360">
        <v>21.931266999999998</v>
      </c>
      <c r="H360">
        <v>36</v>
      </c>
      <c r="I360">
        <v>28</v>
      </c>
      <c r="J360">
        <v>1.17</v>
      </c>
      <c r="K360">
        <v>6.1228509999999998</v>
      </c>
      <c r="L360">
        <v>-1.807514737378122</v>
      </c>
      <c r="M360">
        <v>2.3872358357742818</v>
      </c>
      <c r="N360">
        <v>-1.614279034282885</v>
      </c>
      <c r="O360">
        <v>-1.0447297290406099</v>
      </c>
    </row>
    <row r="361" spans="1:15" x14ac:dyDescent="0.25">
      <c r="A361">
        <v>-16.625592999999999</v>
      </c>
      <c r="B361">
        <v>17.123830999999999</v>
      </c>
      <c r="C361">
        <v>10.567914</v>
      </c>
      <c r="D361">
        <v>-16.215206500000001</v>
      </c>
      <c r="E361">
        <v>-2.676221</v>
      </c>
      <c r="F361">
        <v>2.6999999999999999E-5</v>
      </c>
      <c r="G361">
        <v>21.3309575</v>
      </c>
      <c r="H361">
        <v>36</v>
      </c>
      <c r="I361">
        <v>32</v>
      </c>
      <c r="J361">
        <v>1.1675</v>
      </c>
      <c r="K361">
        <v>6.0449744999999986</v>
      </c>
      <c r="L361">
        <v>-1.978589077935454</v>
      </c>
      <c r="M361">
        <v>2.4257354651866141</v>
      </c>
      <c r="N361">
        <v>-1.746792968726838</v>
      </c>
      <c r="O361">
        <v>-1.194743947585537</v>
      </c>
    </row>
    <row r="362" spans="1:15" x14ac:dyDescent="0.25">
      <c r="A362">
        <v>-18.517935000000001</v>
      </c>
      <c r="B362">
        <v>15.4403085</v>
      </c>
      <c r="C362">
        <v>10.342104000000001</v>
      </c>
      <c r="D362">
        <v>-17.87606525</v>
      </c>
      <c r="E362">
        <v>-4.9956135000000002</v>
      </c>
      <c r="F362">
        <v>2.6999999999999999E-5</v>
      </c>
      <c r="G362">
        <v>20.970773999999999</v>
      </c>
      <c r="H362">
        <v>36</v>
      </c>
      <c r="I362">
        <v>36</v>
      </c>
      <c r="J362">
        <v>1.1675</v>
      </c>
      <c r="K362">
        <v>5.9937100000000001</v>
      </c>
      <c r="L362">
        <v>-2.1862852515286648</v>
      </c>
      <c r="M362">
        <v>2.5238335918662069</v>
      </c>
      <c r="N362">
        <v>-1.967077325514208</v>
      </c>
      <c r="O362">
        <v>-1.3784438792854281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2025-12-08T18:13:00Z</dcterms:modified>
</cp:coreProperties>
</file>