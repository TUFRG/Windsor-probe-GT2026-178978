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1/"/>
    </mc:Choice>
  </mc:AlternateContent>
  <xr:revisionPtr revIDLastSave="13" documentId="13_ncr:1_{29BB0FC9-78D2-45A7-B526-7110A7A8D41D}" xr6:coauthVersionLast="47" xr6:coauthVersionMax="47" xr10:uidLastSave="{430822EA-CCCB-4D22-A92B-8F7BEC59F73B}"/>
  <bookViews>
    <workbookView xWindow="-28920" yWindow="-120" windowWidth="29040" windowHeight="15720" activeTab="1" xr2:uid="{00000000-000D-0000-FFFF-FFFF00000000}"/>
  </bookViews>
  <sheets>
    <sheet name="Sheet1" sheetId="1" r:id="rId1"/>
    <sheet name="R1" sheetId="2" r:id="rId2"/>
    <sheet name="R2" sheetId="3" r:id="rId3"/>
    <sheet name="R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K202" i="1"/>
  <c r="L202" i="1"/>
  <c r="M202" i="1"/>
  <c r="N202" i="1"/>
  <c r="K203" i="1"/>
  <c r="L203" i="1"/>
  <c r="M203" i="1"/>
  <c r="N203" i="1"/>
  <c r="K204" i="1"/>
  <c r="L204" i="1"/>
  <c r="M204" i="1"/>
  <c r="N204" i="1"/>
  <c r="K205" i="1"/>
  <c r="L205" i="1"/>
  <c r="M205" i="1"/>
  <c r="N205" i="1"/>
  <c r="K206" i="1"/>
  <c r="L206" i="1"/>
  <c r="M206" i="1"/>
  <c r="N206" i="1"/>
  <c r="K207" i="1"/>
  <c r="L207" i="1"/>
  <c r="M207" i="1"/>
  <c r="N207" i="1"/>
  <c r="K208" i="1"/>
  <c r="L208" i="1"/>
  <c r="M208" i="1"/>
  <c r="N208" i="1"/>
  <c r="K209" i="1"/>
  <c r="L209" i="1"/>
  <c r="M209" i="1"/>
  <c r="N209" i="1"/>
  <c r="K210" i="1"/>
  <c r="L210" i="1"/>
  <c r="M210" i="1"/>
  <c r="N210" i="1"/>
  <c r="K211" i="1"/>
  <c r="L211" i="1"/>
  <c r="M211" i="1"/>
  <c r="N211" i="1"/>
  <c r="K212" i="1"/>
  <c r="L212" i="1"/>
  <c r="M212" i="1"/>
  <c r="N212" i="1"/>
  <c r="K213" i="1"/>
  <c r="L213" i="1"/>
  <c r="M213" i="1"/>
  <c r="N213" i="1"/>
  <c r="K214" i="1"/>
  <c r="L214" i="1"/>
  <c r="M214" i="1"/>
  <c r="N214" i="1"/>
  <c r="K215" i="1"/>
  <c r="L215" i="1"/>
  <c r="M215" i="1"/>
  <c r="N215" i="1"/>
  <c r="K216" i="1"/>
  <c r="L216" i="1"/>
  <c r="M216" i="1"/>
  <c r="N216" i="1"/>
  <c r="K217" i="1"/>
  <c r="L217" i="1"/>
  <c r="M217" i="1"/>
  <c r="N217" i="1"/>
  <c r="K218" i="1"/>
  <c r="L218" i="1"/>
  <c r="M218" i="1"/>
  <c r="N218" i="1"/>
  <c r="K219" i="1"/>
  <c r="L219" i="1"/>
  <c r="M219" i="1"/>
  <c r="N219" i="1"/>
  <c r="K220" i="1"/>
  <c r="L220" i="1"/>
  <c r="M220" i="1"/>
  <c r="N220" i="1"/>
  <c r="K221" i="1"/>
  <c r="L221" i="1"/>
  <c r="M221" i="1"/>
  <c r="N221" i="1"/>
  <c r="K222" i="1"/>
  <c r="L222" i="1"/>
  <c r="M222" i="1"/>
  <c r="N222" i="1"/>
  <c r="K223" i="1"/>
  <c r="L223" i="1"/>
  <c r="M223" i="1"/>
  <c r="N223" i="1"/>
  <c r="K224" i="1"/>
  <c r="L224" i="1"/>
  <c r="M224" i="1"/>
  <c r="N224" i="1"/>
  <c r="K225" i="1"/>
  <c r="L225" i="1"/>
  <c r="M225" i="1"/>
  <c r="N225" i="1"/>
  <c r="K226" i="1"/>
  <c r="L226" i="1"/>
  <c r="M226" i="1"/>
  <c r="N226" i="1"/>
  <c r="K227" i="1"/>
  <c r="L227" i="1"/>
  <c r="M227" i="1"/>
  <c r="N227" i="1"/>
  <c r="K228" i="1"/>
  <c r="L228" i="1"/>
  <c r="M228" i="1"/>
  <c r="N228" i="1"/>
  <c r="K229" i="1"/>
  <c r="L229" i="1"/>
  <c r="M229" i="1"/>
  <c r="N229" i="1"/>
  <c r="K230" i="1"/>
  <c r="L230" i="1"/>
  <c r="M230" i="1"/>
  <c r="N230" i="1"/>
  <c r="K231" i="1"/>
  <c r="L231" i="1"/>
  <c r="M231" i="1"/>
  <c r="N231" i="1"/>
  <c r="K232" i="1"/>
  <c r="L232" i="1"/>
  <c r="M232" i="1"/>
  <c r="N232" i="1"/>
  <c r="K233" i="1"/>
  <c r="L233" i="1"/>
  <c r="M233" i="1"/>
  <c r="N233" i="1"/>
  <c r="K234" i="1"/>
  <c r="L234" i="1"/>
  <c r="M234" i="1"/>
  <c r="N234" i="1"/>
  <c r="K235" i="1"/>
  <c r="L235" i="1"/>
  <c r="M235" i="1"/>
  <c r="N235" i="1"/>
  <c r="K236" i="1"/>
  <c r="L236" i="1"/>
  <c r="M236" i="1"/>
  <c r="N236" i="1"/>
  <c r="K237" i="1"/>
  <c r="L237" i="1"/>
  <c r="M237" i="1"/>
  <c r="N237" i="1"/>
  <c r="K238" i="1"/>
  <c r="L238" i="1"/>
  <c r="M238" i="1"/>
  <c r="N238" i="1"/>
  <c r="K239" i="1"/>
  <c r="L239" i="1"/>
  <c r="M239" i="1"/>
  <c r="N239" i="1"/>
  <c r="K240" i="1"/>
  <c r="L240" i="1"/>
  <c r="M240" i="1"/>
  <c r="N240" i="1"/>
  <c r="K241" i="1"/>
  <c r="L241" i="1"/>
  <c r="M241" i="1"/>
  <c r="N241" i="1"/>
  <c r="K242" i="1"/>
  <c r="L242" i="1"/>
  <c r="M242" i="1"/>
  <c r="N242" i="1"/>
  <c r="K243" i="1"/>
  <c r="L243" i="1"/>
  <c r="M243" i="1"/>
  <c r="N243" i="1"/>
  <c r="K244" i="1"/>
  <c r="L244" i="1"/>
  <c r="M244" i="1"/>
  <c r="N244" i="1"/>
  <c r="K245" i="1"/>
  <c r="L245" i="1"/>
  <c r="M245" i="1"/>
  <c r="N245" i="1"/>
  <c r="K246" i="1"/>
  <c r="L246" i="1"/>
  <c r="M246" i="1"/>
  <c r="N246" i="1"/>
  <c r="K247" i="1"/>
  <c r="L247" i="1"/>
  <c r="M247" i="1"/>
  <c r="N247" i="1"/>
  <c r="K248" i="1"/>
  <c r="L248" i="1"/>
  <c r="M248" i="1"/>
  <c r="N248" i="1"/>
  <c r="K249" i="1"/>
  <c r="L249" i="1"/>
  <c r="M249" i="1"/>
  <c r="N249" i="1"/>
  <c r="K250" i="1"/>
  <c r="L250" i="1"/>
  <c r="M250" i="1"/>
  <c r="N250" i="1"/>
  <c r="K251" i="1"/>
  <c r="L251" i="1"/>
  <c r="M251" i="1"/>
  <c r="N251" i="1"/>
  <c r="K252" i="1"/>
  <c r="L252" i="1"/>
  <c r="M252" i="1"/>
  <c r="N252" i="1"/>
  <c r="K253" i="1"/>
  <c r="L253" i="1"/>
  <c r="M253" i="1"/>
  <c r="N253" i="1"/>
  <c r="K254" i="1"/>
  <c r="L254" i="1"/>
  <c r="M254" i="1"/>
  <c r="N254" i="1"/>
  <c r="K255" i="1"/>
  <c r="L255" i="1"/>
  <c r="M255" i="1"/>
  <c r="N255" i="1"/>
  <c r="K256" i="1"/>
  <c r="L256" i="1"/>
  <c r="M256" i="1"/>
  <c r="N256" i="1"/>
  <c r="K257" i="1"/>
  <c r="L257" i="1"/>
  <c r="M257" i="1"/>
  <c r="N257" i="1"/>
  <c r="K258" i="1"/>
  <c r="L258" i="1"/>
  <c r="M258" i="1"/>
  <c r="N258" i="1"/>
  <c r="K259" i="1"/>
  <c r="L259" i="1"/>
  <c r="M259" i="1"/>
  <c r="N259" i="1"/>
  <c r="K260" i="1"/>
  <c r="L260" i="1"/>
  <c r="M260" i="1"/>
  <c r="N260" i="1"/>
  <c r="K261" i="1"/>
  <c r="L261" i="1"/>
  <c r="M261" i="1"/>
  <c r="N261" i="1"/>
  <c r="K262" i="1"/>
  <c r="L262" i="1"/>
  <c r="M262" i="1"/>
  <c r="N262" i="1"/>
  <c r="K263" i="1"/>
  <c r="L263" i="1"/>
  <c r="M263" i="1"/>
  <c r="N263" i="1"/>
  <c r="K264" i="1"/>
  <c r="L264" i="1"/>
  <c r="M264" i="1"/>
  <c r="N264" i="1"/>
  <c r="K265" i="1"/>
  <c r="L265" i="1"/>
  <c r="M265" i="1"/>
  <c r="N265" i="1"/>
  <c r="K266" i="1"/>
  <c r="L266" i="1"/>
  <c r="M266" i="1"/>
  <c r="N266" i="1"/>
  <c r="K267" i="1"/>
  <c r="L267" i="1"/>
  <c r="M267" i="1"/>
  <c r="N267" i="1"/>
  <c r="K268" i="1"/>
  <c r="L268" i="1"/>
  <c r="M268" i="1"/>
  <c r="N268" i="1"/>
  <c r="K269" i="1"/>
  <c r="L269" i="1"/>
  <c r="M269" i="1"/>
  <c r="N269" i="1"/>
  <c r="K270" i="1"/>
  <c r="L270" i="1"/>
  <c r="M270" i="1"/>
  <c r="N270" i="1"/>
  <c r="K271" i="1"/>
  <c r="L271" i="1"/>
  <c r="M271" i="1"/>
  <c r="N271" i="1"/>
  <c r="K272" i="1"/>
  <c r="L272" i="1"/>
  <c r="M272" i="1"/>
  <c r="N272" i="1"/>
  <c r="K273" i="1"/>
  <c r="L273" i="1"/>
  <c r="M273" i="1"/>
  <c r="N273" i="1"/>
  <c r="K274" i="1"/>
  <c r="L274" i="1"/>
  <c r="M274" i="1"/>
  <c r="N274" i="1"/>
  <c r="K275" i="1"/>
  <c r="L275" i="1"/>
  <c r="M275" i="1"/>
  <c r="N275" i="1"/>
  <c r="K276" i="1"/>
  <c r="L276" i="1"/>
  <c r="M276" i="1"/>
  <c r="N276" i="1"/>
  <c r="K277" i="1"/>
  <c r="L277" i="1"/>
  <c r="M277" i="1"/>
  <c r="N277" i="1"/>
  <c r="K278" i="1"/>
  <c r="L278" i="1"/>
  <c r="M278" i="1"/>
  <c r="N278" i="1"/>
  <c r="K279" i="1"/>
  <c r="L279" i="1"/>
  <c r="M279" i="1"/>
  <c r="N279" i="1"/>
  <c r="K280" i="1"/>
  <c r="L280" i="1"/>
  <c r="M280" i="1"/>
  <c r="N280" i="1"/>
  <c r="K281" i="1"/>
  <c r="L281" i="1"/>
  <c r="M281" i="1"/>
  <c r="N281" i="1"/>
  <c r="K282" i="1"/>
  <c r="L282" i="1"/>
  <c r="M282" i="1"/>
  <c r="N282" i="1"/>
  <c r="K283" i="1"/>
  <c r="L283" i="1"/>
  <c r="M283" i="1"/>
  <c r="N283" i="1"/>
  <c r="K284" i="1"/>
  <c r="L284" i="1"/>
  <c r="M284" i="1"/>
  <c r="N284" i="1"/>
  <c r="K285" i="1"/>
  <c r="L285" i="1"/>
  <c r="M285" i="1"/>
  <c r="N285" i="1"/>
  <c r="K286" i="1"/>
  <c r="L286" i="1"/>
  <c r="M286" i="1"/>
  <c r="N286" i="1"/>
  <c r="K287" i="1"/>
  <c r="L287" i="1"/>
  <c r="M287" i="1"/>
  <c r="N287" i="1"/>
  <c r="K288" i="1"/>
  <c r="L288" i="1"/>
  <c r="M288" i="1"/>
  <c r="N288" i="1"/>
  <c r="K289" i="1"/>
  <c r="L289" i="1"/>
  <c r="M289" i="1"/>
  <c r="N289" i="1"/>
  <c r="K290" i="1"/>
  <c r="L290" i="1"/>
  <c r="M290" i="1"/>
  <c r="N290" i="1"/>
  <c r="K291" i="1"/>
  <c r="L291" i="1"/>
  <c r="M291" i="1"/>
  <c r="N291" i="1"/>
  <c r="K292" i="1"/>
  <c r="L292" i="1"/>
  <c r="M292" i="1"/>
  <c r="N292" i="1"/>
  <c r="K293" i="1"/>
  <c r="L293" i="1"/>
  <c r="M293" i="1"/>
  <c r="N293" i="1"/>
  <c r="K294" i="1"/>
  <c r="L294" i="1"/>
  <c r="M294" i="1"/>
  <c r="N294" i="1"/>
  <c r="K295" i="1"/>
  <c r="L295" i="1"/>
  <c r="M295" i="1"/>
  <c r="N295" i="1"/>
  <c r="K296" i="1"/>
  <c r="L296" i="1"/>
  <c r="M296" i="1"/>
  <c r="N296" i="1"/>
  <c r="K297" i="1"/>
  <c r="L297" i="1"/>
  <c r="M297" i="1"/>
  <c r="N297" i="1"/>
  <c r="K298" i="1"/>
  <c r="L298" i="1"/>
  <c r="M298" i="1"/>
  <c r="N298" i="1"/>
  <c r="K299" i="1"/>
  <c r="L299" i="1"/>
  <c r="M299" i="1"/>
  <c r="N299" i="1"/>
  <c r="K300" i="1"/>
  <c r="L300" i="1"/>
  <c r="M300" i="1"/>
  <c r="N300" i="1"/>
  <c r="K301" i="1"/>
  <c r="L301" i="1"/>
  <c r="M301" i="1"/>
  <c r="N301" i="1"/>
  <c r="K302" i="1"/>
  <c r="L302" i="1"/>
  <c r="M302" i="1"/>
  <c r="N302" i="1"/>
  <c r="K303" i="1"/>
  <c r="L303" i="1"/>
  <c r="M303" i="1"/>
  <c r="N303" i="1"/>
  <c r="K304" i="1"/>
  <c r="L304" i="1"/>
  <c r="M304" i="1"/>
  <c r="N304" i="1"/>
  <c r="K305" i="1"/>
  <c r="L305" i="1"/>
  <c r="M305" i="1"/>
  <c r="N305" i="1"/>
  <c r="K306" i="1"/>
  <c r="L306" i="1"/>
  <c r="M306" i="1"/>
  <c r="N306" i="1"/>
  <c r="K307" i="1"/>
  <c r="L307" i="1"/>
  <c r="M307" i="1"/>
  <c r="N307" i="1"/>
  <c r="K308" i="1"/>
  <c r="L308" i="1"/>
  <c r="M308" i="1"/>
  <c r="N308" i="1"/>
  <c r="K309" i="1"/>
  <c r="L309" i="1"/>
  <c r="M309" i="1"/>
  <c r="N309" i="1"/>
  <c r="K310" i="1"/>
  <c r="L310" i="1"/>
  <c r="M310" i="1"/>
  <c r="N310" i="1"/>
  <c r="K311" i="1"/>
  <c r="L311" i="1"/>
  <c r="M311" i="1"/>
  <c r="N311" i="1"/>
  <c r="K312" i="1"/>
  <c r="L312" i="1"/>
  <c r="M312" i="1"/>
  <c r="N312" i="1"/>
  <c r="K313" i="1"/>
  <c r="L313" i="1"/>
  <c r="M313" i="1"/>
  <c r="N313" i="1"/>
  <c r="K314" i="1"/>
  <c r="L314" i="1"/>
  <c r="M314" i="1"/>
  <c r="N314" i="1"/>
  <c r="K315" i="1"/>
  <c r="L315" i="1"/>
  <c r="M315" i="1"/>
  <c r="N315" i="1"/>
  <c r="K316" i="1"/>
  <c r="L316" i="1"/>
  <c r="M316" i="1"/>
  <c r="N316" i="1"/>
  <c r="K317" i="1"/>
  <c r="L317" i="1"/>
  <c r="M317" i="1"/>
  <c r="N317" i="1"/>
  <c r="K318" i="1"/>
  <c r="L318" i="1"/>
  <c r="M318" i="1"/>
  <c r="N318" i="1"/>
  <c r="K319" i="1"/>
  <c r="L319" i="1"/>
  <c r="M319" i="1"/>
  <c r="N319" i="1"/>
  <c r="K320" i="1"/>
  <c r="L320" i="1"/>
  <c r="M320" i="1"/>
  <c r="N320" i="1"/>
  <c r="K321" i="1"/>
  <c r="L321" i="1"/>
  <c r="M321" i="1"/>
  <c r="N321" i="1"/>
  <c r="K322" i="1"/>
  <c r="L322" i="1"/>
  <c r="M322" i="1"/>
  <c r="N322" i="1"/>
  <c r="K323" i="1"/>
  <c r="L323" i="1"/>
  <c r="M323" i="1"/>
  <c r="N323" i="1"/>
  <c r="K324" i="1"/>
  <c r="L324" i="1"/>
  <c r="M324" i="1"/>
  <c r="N324" i="1"/>
  <c r="K325" i="1"/>
  <c r="L325" i="1"/>
  <c r="M325" i="1"/>
  <c r="N325" i="1"/>
  <c r="K326" i="1"/>
  <c r="L326" i="1"/>
  <c r="M326" i="1"/>
  <c r="N326" i="1"/>
  <c r="K327" i="1"/>
  <c r="L327" i="1"/>
  <c r="M327" i="1"/>
  <c r="N327" i="1"/>
  <c r="K328" i="1"/>
  <c r="L328" i="1"/>
  <c r="M328" i="1"/>
  <c r="N328" i="1"/>
  <c r="K329" i="1"/>
  <c r="L329" i="1"/>
  <c r="M329" i="1"/>
  <c r="N329" i="1"/>
  <c r="K330" i="1"/>
  <c r="L330" i="1"/>
  <c r="M330" i="1"/>
  <c r="N330" i="1"/>
  <c r="K331" i="1"/>
  <c r="L331" i="1"/>
  <c r="M331" i="1"/>
  <c r="N331" i="1"/>
  <c r="K332" i="1"/>
  <c r="L332" i="1"/>
  <c r="M332" i="1"/>
  <c r="N332" i="1"/>
  <c r="K333" i="1"/>
  <c r="L333" i="1"/>
  <c r="M333" i="1"/>
  <c r="N333" i="1"/>
  <c r="K334" i="1"/>
  <c r="L334" i="1"/>
  <c r="M334" i="1"/>
  <c r="N334" i="1"/>
  <c r="K335" i="1"/>
  <c r="L335" i="1"/>
  <c r="M335" i="1"/>
  <c r="N335" i="1"/>
  <c r="K336" i="1"/>
  <c r="L336" i="1"/>
  <c r="M336" i="1"/>
  <c r="N336" i="1"/>
  <c r="K337" i="1"/>
  <c r="L337" i="1"/>
  <c r="M337" i="1"/>
  <c r="N337" i="1"/>
  <c r="K338" i="1"/>
  <c r="L338" i="1"/>
  <c r="M338" i="1"/>
  <c r="N338" i="1"/>
  <c r="K339" i="1"/>
  <c r="L339" i="1"/>
  <c r="M339" i="1"/>
  <c r="N339" i="1"/>
  <c r="K340" i="1"/>
  <c r="L340" i="1"/>
  <c r="M340" i="1"/>
  <c r="N340" i="1"/>
  <c r="K341" i="1"/>
  <c r="L341" i="1"/>
  <c r="M341" i="1"/>
  <c r="N341" i="1"/>
  <c r="K342" i="1"/>
  <c r="L342" i="1"/>
  <c r="M342" i="1"/>
  <c r="N342" i="1"/>
  <c r="K343" i="1"/>
  <c r="L343" i="1"/>
  <c r="M343" i="1"/>
  <c r="N343" i="1"/>
  <c r="K344" i="1"/>
  <c r="L344" i="1"/>
  <c r="M344" i="1"/>
  <c r="N344" i="1"/>
  <c r="K345" i="1"/>
  <c r="L345" i="1"/>
  <c r="M345" i="1"/>
  <c r="N345" i="1"/>
  <c r="K346" i="1"/>
  <c r="L346" i="1"/>
  <c r="M346" i="1"/>
  <c r="N346" i="1"/>
  <c r="K347" i="1"/>
  <c r="L347" i="1"/>
  <c r="M347" i="1"/>
  <c r="N347" i="1"/>
  <c r="K348" i="1"/>
  <c r="L348" i="1"/>
  <c r="M348" i="1"/>
  <c r="N348" i="1"/>
  <c r="K349" i="1"/>
  <c r="L349" i="1"/>
  <c r="M349" i="1"/>
  <c r="N349" i="1"/>
  <c r="K350" i="1"/>
  <c r="L350" i="1"/>
  <c r="M350" i="1"/>
  <c r="N350" i="1"/>
  <c r="K351" i="1"/>
  <c r="L351" i="1"/>
  <c r="M351" i="1"/>
  <c r="N351" i="1"/>
  <c r="K352" i="1"/>
  <c r="L352" i="1"/>
  <c r="M352" i="1"/>
  <c r="N352" i="1"/>
  <c r="K353" i="1"/>
  <c r="L353" i="1"/>
  <c r="M353" i="1"/>
  <c r="N353" i="1"/>
  <c r="K354" i="1"/>
  <c r="L354" i="1"/>
  <c r="M354" i="1"/>
  <c r="N354" i="1"/>
  <c r="K355" i="1"/>
  <c r="L355" i="1"/>
  <c r="M355" i="1"/>
  <c r="N355" i="1"/>
  <c r="K356" i="1"/>
  <c r="L356" i="1"/>
  <c r="M356" i="1"/>
  <c r="N356" i="1"/>
  <c r="K357" i="1"/>
  <c r="L357" i="1"/>
  <c r="M357" i="1"/>
  <c r="N357" i="1"/>
  <c r="K358" i="1"/>
  <c r="L358" i="1"/>
  <c r="M358" i="1"/>
  <c r="N358" i="1"/>
  <c r="K359" i="1"/>
  <c r="L359" i="1"/>
  <c r="M359" i="1"/>
  <c r="N359" i="1"/>
  <c r="K360" i="1"/>
  <c r="L360" i="1"/>
  <c r="M360" i="1"/>
  <c r="N360" i="1"/>
  <c r="K361" i="1"/>
  <c r="L361" i="1"/>
  <c r="M361" i="1"/>
  <c r="N361" i="1"/>
  <c r="K362" i="1"/>
  <c r="L362" i="1"/>
  <c r="M362" i="1"/>
  <c r="N362" i="1"/>
  <c r="K363" i="1"/>
  <c r="L363" i="1"/>
  <c r="M363" i="1"/>
  <c r="N363" i="1"/>
  <c r="K364" i="1"/>
  <c r="L364" i="1"/>
  <c r="M364" i="1"/>
  <c r="N364" i="1"/>
  <c r="K365" i="1"/>
  <c r="L365" i="1"/>
  <c r="M365" i="1"/>
  <c r="N365" i="1"/>
  <c r="K366" i="1"/>
  <c r="L366" i="1"/>
  <c r="M366" i="1"/>
  <c r="N366" i="1"/>
  <c r="K367" i="1"/>
  <c r="L367" i="1"/>
  <c r="M367" i="1"/>
  <c r="N367" i="1"/>
  <c r="K368" i="1"/>
  <c r="L368" i="1"/>
  <c r="M368" i="1"/>
  <c r="N368" i="1"/>
  <c r="K369" i="1"/>
  <c r="L369" i="1"/>
  <c r="M369" i="1"/>
  <c r="N369" i="1"/>
  <c r="K370" i="1"/>
  <c r="L370" i="1"/>
  <c r="M370" i="1"/>
  <c r="N370" i="1"/>
  <c r="K371" i="1"/>
  <c r="L371" i="1"/>
  <c r="M371" i="1"/>
  <c r="N371" i="1"/>
  <c r="K372" i="1"/>
  <c r="L372" i="1"/>
  <c r="M372" i="1"/>
  <c r="N372" i="1"/>
  <c r="K373" i="1"/>
  <c r="L373" i="1"/>
  <c r="M373" i="1"/>
  <c r="N373" i="1"/>
  <c r="K374" i="1"/>
  <c r="L374" i="1"/>
  <c r="M374" i="1"/>
  <c r="N374" i="1"/>
  <c r="K375" i="1"/>
  <c r="L375" i="1"/>
  <c r="M375" i="1"/>
  <c r="N375" i="1"/>
  <c r="K376" i="1"/>
  <c r="L376" i="1"/>
  <c r="M376" i="1"/>
  <c r="N376" i="1"/>
  <c r="K377" i="1"/>
  <c r="L377" i="1"/>
  <c r="M377" i="1"/>
  <c r="N377" i="1"/>
  <c r="K378" i="1"/>
  <c r="L378" i="1"/>
  <c r="M378" i="1"/>
  <c r="N378" i="1"/>
  <c r="K379" i="1"/>
  <c r="L379" i="1"/>
  <c r="M379" i="1"/>
  <c r="N379" i="1"/>
  <c r="K380" i="1"/>
  <c r="L380" i="1"/>
  <c r="M380" i="1"/>
  <c r="N380" i="1"/>
  <c r="K381" i="1"/>
  <c r="L381" i="1"/>
  <c r="M381" i="1"/>
  <c r="N381" i="1"/>
  <c r="K382" i="1"/>
  <c r="L382" i="1"/>
  <c r="M382" i="1"/>
  <c r="N382" i="1"/>
  <c r="K383" i="1"/>
  <c r="L383" i="1"/>
  <c r="M383" i="1"/>
  <c r="N383" i="1"/>
  <c r="K384" i="1"/>
  <c r="L384" i="1"/>
  <c r="M384" i="1"/>
  <c r="N384" i="1"/>
  <c r="K385" i="1"/>
  <c r="L385" i="1"/>
  <c r="M385" i="1"/>
  <c r="N385" i="1"/>
  <c r="K386" i="1"/>
  <c r="L386" i="1"/>
  <c r="M386" i="1"/>
  <c r="N386" i="1"/>
  <c r="K387" i="1"/>
  <c r="L387" i="1"/>
  <c r="M387" i="1"/>
  <c r="N387" i="1"/>
  <c r="K388" i="1"/>
  <c r="L388" i="1"/>
  <c r="M388" i="1"/>
  <c r="N388" i="1"/>
  <c r="K389" i="1"/>
  <c r="L389" i="1"/>
  <c r="M389" i="1"/>
  <c r="N389" i="1"/>
  <c r="K390" i="1"/>
  <c r="L390" i="1"/>
  <c r="M390" i="1"/>
  <c r="N390" i="1"/>
  <c r="K391" i="1"/>
  <c r="L391" i="1"/>
  <c r="M391" i="1"/>
  <c r="N391" i="1"/>
  <c r="K392" i="1"/>
  <c r="L392" i="1"/>
  <c r="M392" i="1"/>
  <c r="N392" i="1"/>
  <c r="K393" i="1"/>
  <c r="L393" i="1"/>
  <c r="M393" i="1"/>
  <c r="N393" i="1"/>
  <c r="K394" i="1"/>
  <c r="L394" i="1"/>
  <c r="M394" i="1"/>
  <c r="N394" i="1"/>
  <c r="K395" i="1"/>
  <c r="L395" i="1"/>
  <c r="M395" i="1"/>
  <c r="N395" i="1"/>
  <c r="K396" i="1"/>
  <c r="L396" i="1"/>
  <c r="M396" i="1"/>
  <c r="N396" i="1"/>
  <c r="K397" i="1"/>
  <c r="L397" i="1"/>
  <c r="M397" i="1"/>
  <c r="N397" i="1"/>
  <c r="K398" i="1"/>
  <c r="L398" i="1"/>
  <c r="M398" i="1"/>
  <c r="N398" i="1"/>
  <c r="K399" i="1"/>
  <c r="L399" i="1"/>
  <c r="M399" i="1"/>
  <c r="N399" i="1"/>
  <c r="K400" i="1"/>
  <c r="L400" i="1"/>
  <c r="M400" i="1"/>
  <c r="N400" i="1"/>
  <c r="K401" i="1"/>
  <c r="L401" i="1"/>
  <c r="M401" i="1"/>
  <c r="N401" i="1"/>
  <c r="K402" i="1"/>
  <c r="L402" i="1"/>
  <c r="M402" i="1"/>
  <c r="N402" i="1"/>
  <c r="K403" i="1"/>
  <c r="L403" i="1"/>
  <c r="M403" i="1"/>
  <c r="N403" i="1"/>
  <c r="K404" i="1"/>
  <c r="L404" i="1"/>
  <c r="M404" i="1"/>
  <c r="N404" i="1"/>
  <c r="K405" i="1"/>
  <c r="L405" i="1"/>
  <c r="M405" i="1"/>
  <c r="N405" i="1"/>
  <c r="K406" i="1"/>
  <c r="L406" i="1"/>
  <c r="M406" i="1"/>
  <c r="N406" i="1"/>
  <c r="K407" i="1"/>
  <c r="L407" i="1"/>
  <c r="M407" i="1"/>
  <c r="N407" i="1"/>
  <c r="K408" i="1"/>
  <c r="L408" i="1"/>
  <c r="M408" i="1"/>
  <c r="N408" i="1"/>
  <c r="K409" i="1"/>
  <c r="L409" i="1"/>
  <c r="M409" i="1"/>
  <c r="N409" i="1"/>
  <c r="K410" i="1"/>
  <c r="L410" i="1"/>
  <c r="M410" i="1"/>
  <c r="N410" i="1"/>
  <c r="K411" i="1"/>
  <c r="L411" i="1"/>
  <c r="M411" i="1"/>
  <c r="N411" i="1"/>
  <c r="K412" i="1"/>
  <c r="L412" i="1"/>
  <c r="M412" i="1"/>
  <c r="N412" i="1"/>
  <c r="K413" i="1"/>
  <c r="L413" i="1"/>
  <c r="M413" i="1"/>
  <c r="N413" i="1"/>
  <c r="K414" i="1"/>
  <c r="L414" i="1"/>
  <c r="M414" i="1"/>
  <c r="N414" i="1"/>
  <c r="K415" i="1"/>
  <c r="L415" i="1"/>
  <c r="M415" i="1"/>
  <c r="N415" i="1"/>
  <c r="K416" i="1"/>
  <c r="L416" i="1"/>
  <c r="M416" i="1"/>
  <c r="N416" i="1"/>
  <c r="K417" i="1"/>
  <c r="L417" i="1"/>
  <c r="M417" i="1"/>
  <c r="N417" i="1"/>
  <c r="K418" i="1"/>
  <c r="L418" i="1"/>
  <c r="M418" i="1"/>
  <c r="N418" i="1"/>
  <c r="K419" i="1"/>
  <c r="L419" i="1"/>
  <c r="M419" i="1"/>
  <c r="N419" i="1"/>
  <c r="K420" i="1"/>
  <c r="L420" i="1"/>
  <c r="M420" i="1"/>
  <c r="N420" i="1"/>
  <c r="K421" i="1"/>
  <c r="L421" i="1"/>
  <c r="M421" i="1"/>
  <c r="N421" i="1"/>
  <c r="K422" i="1"/>
  <c r="L422" i="1"/>
  <c r="M422" i="1"/>
  <c r="N422" i="1"/>
  <c r="K423" i="1"/>
  <c r="L423" i="1"/>
  <c r="M423" i="1"/>
  <c r="N423" i="1"/>
  <c r="K424" i="1"/>
  <c r="L424" i="1"/>
  <c r="M424" i="1"/>
  <c r="N424" i="1"/>
  <c r="K425" i="1"/>
  <c r="L425" i="1"/>
  <c r="M425" i="1"/>
  <c r="N425" i="1"/>
  <c r="K426" i="1"/>
  <c r="L426" i="1"/>
  <c r="M426" i="1"/>
  <c r="N426" i="1"/>
  <c r="K427" i="1"/>
  <c r="L427" i="1"/>
  <c r="M427" i="1"/>
  <c r="N427" i="1"/>
  <c r="K428" i="1"/>
  <c r="L428" i="1"/>
  <c r="M428" i="1"/>
  <c r="N428" i="1"/>
  <c r="K429" i="1"/>
  <c r="L429" i="1"/>
  <c r="M429" i="1"/>
  <c r="N429" i="1"/>
  <c r="K430" i="1"/>
  <c r="L430" i="1"/>
  <c r="M430" i="1"/>
  <c r="N430" i="1"/>
  <c r="K431" i="1"/>
  <c r="L431" i="1"/>
  <c r="M431" i="1"/>
  <c r="N431" i="1"/>
  <c r="K432" i="1"/>
  <c r="L432" i="1"/>
  <c r="M432" i="1"/>
  <c r="N432" i="1"/>
  <c r="K433" i="1"/>
  <c r="L433" i="1"/>
  <c r="M433" i="1"/>
  <c r="N433" i="1"/>
  <c r="K434" i="1"/>
  <c r="L434" i="1"/>
  <c r="M434" i="1"/>
  <c r="N434" i="1"/>
  <c r="K435" i="1"/>
  <c r="L435" i="1"/>
  <c r="M435" i="1"/>
  <c r="N435" i="1"/>
  <c r="K436" i="1"/>
  <c r="L436" i="1"/>
  <c r="M436" i="1"/>
  <c r="N436" i="1"/>
  <c r="K437" i="1"/>
  <c r="L437" i="1"/>
  <c r="M437" i="1"/>
  <c r="N437" i="1"/>
  <c r="K438" i="1"/>
  <c r="L438" i="1"/>
  <c r="M438" i="1"/>
  <c r="N438" i="1"/>
  <c r="K439" i="1"/>
  <c r="L439" i="1"/>
  <c r="M439" i="1"/>
  <c r="N439" i="1"/>
  <c r="K440" i="1"/>
  <c r="L440" i="1"/>
  <c r="M440" i="1"/>
  <c r="N440" i="1"/>
  <c r="K441" i="1"/>
  <c r="L441" i="1"/>
  <c r="M441" i="1"/>
  <c r="N441" i="1"/>
  <c r="K442" i="1"/>
  <c r="L442" i="1"/>
  <c r="M442" i="1"/>
  <c r="N442" i="1"/>
  <c r="K443" i="1"/>
  <c r="L443" i="1"/>
  <c r="M443" i="1"/>
  <c r="N443" i="1"/>
  <c r="K444" i="1"/>
  <c r="L444" i="1"/>
  <c r="M444" i="1"/>
  <c r="N444" i="1"/>
  <c r="K445" i="1"/>
  <c r="L445" i="1"/>
  <c r="M445" i="1"/>
  <c r="N445" i="1"/>
  <c r="K446" i="1"/>
  <c r="L446" i="1"/>
  <c r="M446" i="1"/>
  <c r="N446" i="1"/>
  <c r="K447" i="1"/>
  <c r="L447" i="1"/>
  <c r="M447" i="1"/>
  <c r="N447" i="1"/>
  <c r="K448" i="1"/>
  <c r="L448" i="1"/>
  <c r="M448" i="1"/>
  <c r="N448" i="1"/>
  <c r="K449" i="1"/>
  <c r="L449" i="1"/>
  <c r="M449" i="1"/>
  <c r="N449" i="1"/>
  <c r="K450" i="1"/>
  <c r="L450" i="1"/>
  <c r="M450" i="1"/>
  <c r="N450" i="1"/>
  <c r="K451" i="1"/>
  <c r="L451" i="1"/>
  <c r="M451" i="1"/>
  <c r="N451" i="1"/>
  <c r="K452" i="1"/>
  <c r="L452" i="1"/>
  <c r="M452" i="1"/>
  <c r="N452" i="1"/>
  <c r="K453" i="1"/>
  <c r="L453" i="1"/>
  <c r="M453" i="1"/>
  <c r="N453" i="1"/>
  <c r="K454" i="1"/>
  <c r="L454" i="1"/>
  <c r="M454" i="1"/>
  <c r="N454" i="1"/>
  <c r="K455" i="1"/>
  <c r="L455" i="1"/>
  <c r="M455" i="1"/>
  <c r="N455" i="1"/>
  <c r="K456" i="1"/>
  <c r="L456" i="1"/>
  <c r="M456" i="1"/>
  <c r="N456" i="1"/>
  <c r="K457" i="1"/>
  <c r="L457" i="1"/>
  <c r="M457" i="1"/>
  <c r="N457" i="1"/>
  <c r="K458" i="1"/>
  <c r="L458" i="1"/>
  <c r="M458" i="1"/>
  <c r="N458" i="1"/>
  <c r="K459" i="1"/>
  <c r="L459" i="1"/>
  <c r="M459" i="1"/>
  <c r="N459" i="1"/>
  <c r="K460" i="1"/>
  <c r="L460" i="1"/>
  <c r="M460" i="1"/>
  <c r="N460" i="1"/>
  <c r="K461" i="1"/>
  <c r="L461" i="1"/>
  <c r="M461" i="1"/>
  <c r="N461" i="1"/>
  <c r="K462" i="1"/>
  <c r="L462" i="1"/>
  <c r="M462" i="1"/>
  <c r="N462" i="1"/>
  <c r="K463" i="1"/>
  <c r="L463" i="1"/>
  <c r="M463" i="1"/>
  <c r="N463" i="1"/>
  <c r="K464" i="1"/>
  <c r="L464" i="1"/>
  <c r="M464" i="1"/>
  <c r="N464" i="1"/>
  <c r="K465" i="1"/>
  <c r="L465" i="1"/>
  <c r="M465" i="1"/>
  <c r="N465" i="1"/>
  <c r="K466" i="1"/>
  <c r="L466" i="1"/>
  <c r="M466" i="1"/>
  <c r="N466" i="1"/>
  <c r="K467" i="1"/>
  <c r="L467" i="1"/>
  <c r="M467" i="1"/>
  <c r="N467" i="1"/>
  <c r="K468" i="1"/>
  <c r="L468" i="1"/>
  <c r="M468" i="1"/>
  <c r="N468" i="1"/>
  <c r="K469" i="1"/>
  <c r="L469" i="1"/>
  <c r="M469" i="1"/>
  <c r="N469" i="1"/>
  <c r="K470" i="1"/>
  <c r="L470" i="1"/>
  <c r="M470" i="1"/>
  <c r="N470" i="1"/>
  <c r="K471" i="1"/>
  <c r="L471" i="1"/>
  <c r="M471" i="1"/>
  <c r="N471" i="1"/>
  <c r="K472" i="1"/>
  <c r="L472" i="1"/>
  <c r="M472" i="1"/>
  <c r="N472" i="1"/>
  <c r="K473" i="1"/>
  <c r="L473" i="1"/>
  <c r="M473" i="1"/>
  <c r="N473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K477" i="1"/>
  <c r="L477" i="1"/>
  <c r="M477" i="1"/>
  <c r="N477" i="1"/>
  <c r="K478" i="1"/>
  <c r="L478" i="1"/>
  <c r="M478" i="1"/>
  <c r="N478" i="1"/>
  <c r="K479" i="1"/>
  <c r="L479" i="1"/>
  <c r="M479" i="1"/>
  <c r="N479" i="1"/>
  <c r="K480" i="1"/>
  <c r="L480" i="1"/>
  <c r="M480" i="1"/>
  <c r="N480" i="1"/>
  <c r="K481" i="1"/>
  <c r="L481" i="1"/>
  <c r="M481" i="1"/>
  <c r="N481" i="1"/>
  <c r="K482" i="1"/>
  <c r="L482" i="1"/>
  <c r="M482" i="1"/>
  <c r="N482" i="1"/>
  <c r="K483" i="1"/>
  <c r="L483" i="1"/>
  <c r="M483" i="1"/>
  <c r="N483" i="1"/>
  <c r="K484" i="1"/>
  <c r="L484" i="1"/>
  <c r="M484" i="1"/>
  <c r="N484" i="1"/>
  <c r="K485" i="1"/>
  <c r="L485" i="1"/>
  <c r="M485" i="1"/>
  <c r="N485" i="1"/>
  <c r="K486" i="1"/>
  <c r="L486" i="1"/>
  <c r="M486" i="1"/>
  <c r="N486" i="1"/>
  <c r="K487" i="1"/>
  <c r="L487" i="1"/>
  <c r="M487" i="1"/>
  <c r="N487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92" i="1"/>
  <c r="L492" i="1"/>
  <c r="M492" i="1"/>
  <c r="N492" i="1"/>
  <c r="K493" i="1"/>
  <c r="L493" i="1"/>
  <c r="M493" i="1"/>
  <c r="N493" i="1"/>
  <c r="K494" i="1"/>
  <c r="L494" i="1"/>
  <c r="M494" i="1"/>
  <c r="N494" i="1"/>
  <c r="K495" i="1"/>
  <c r="L495" i="1"/>
  <c r="M495" i="1"/>
  <c r="N495" i="1"/>
  <c r="K496" i="1"/>
  <c r="L496" i="1"/>
  <c r="M496" i="1"/>
  <c r="N496" i="1"/>
  <c r="K497" i="1"/>
  <c r="L497" i="1"/>
  <c r="M497" i="1"/>
  <c r="N497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K502" i="1"/>
  <c r="L502" i="1"/>
  <c r="M502" i="1"/>
  <c r="N502" i="1"/>
  <c r="K503" i="1"/>
  <c r="L503" i="1"/>
  <c r="M503" i="1"/>
  <c r="N503" i="1"/>
  <c r="K504" i="1"/>
  <c r="L504" i="1"/>
  <c r="M504" i="1"/>
  <c r="N504" i="1"/>
  <c r="K505" i="1"/>
  <c r="L505" i="1"/>
  <c r="M505" i="1"/>
  <c r="N505" i="1"/>
  <c r="K506" i="1"/>
  <c r="L506" i="1"/>
  <c r="M506" i="1"/>
  <c r="N506" i="1"/>
  <c r="K507" i="1"/>
  <c r="L507" i="1"/>
  <c r="M507" i="1"/>
  <c r="N507" i="1"/>
  <c r="K508" i="1"/>
  <c r="L508" i="1"/>
  <c r="M508" i="1"/>
  <c r="N508" i="1"/>
  <c r="K509" i="1"/>
  <c r="L509" i="1"/>
  <c r="M509" i="1"/>
  <c r="N509" i="1"/>
  <c r="K510" i="1"/>
  <c r="L510" i="1"/>
  <c r="M510" i="1"/>
  <c r="N510" i="1"/>
  <c r="K511" i="1"/>
  <c r="L511" i="1"/>
  <c r="M511" i="1"/>
  <c r="N511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K516" i="1"/>
  <c r="L516" i="1"/>
  <c r="M516" i="1"/>
  <c r="N516" i="1"/>
  <c r="K517" i="1"/>
  <c r="L517" i="1"/>
  <c r="M517" i="1"/>
  <c r="N517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K521" i="1"/>
  <c r="L521" i="1"/>
  <c r="M521" i="1"/>
  <c r="N521" i="1"/>
  <c r="K522" i="1"/>
  <c r="L522" i="1"/>
  <c r="M522" i="1"/>
  <c r="N522" i="1"/>
  <c r="K523" i="1"/>
  <c r="L523" i="1"/>
  <c r="M523" i="1"/>
  <c r="N523" i="1"/>
  <c r="K524" i="1"/>
  <c r="L524" i="1"/>
  <c r="M524" i="1"/>
  <c r="N524" i="1"/>
  <c r="K525" i="1"/>
  <c r="L525" i="1"/>
  <c r="M525" i="1"/>
  <c r="N525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K529" i="1"/>
  <c r="L529" i="1"/>
  <c r="M529" i="1"/>
  <c r="N529" i="1"/>
  <c r="K530" i="1"/>
  <c r="L530" i="1"/>
  <c r="M530" i="1"/>
  <c r="N530" i="1"/>
  <c r="L2" i="1"/>
  <c r="M2" i="1"/>
  <c r="N2" i="1"/>
  <c r="K2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118" i="1"/>
  <c r="E118" i="1"/>
  <c r="F118" i="1"/>
  <c r="G118" i="1"/>
  <c r="H118" i="1"/>
  <c r="D119" i="1"/>
  <c r="E119" i="1"/>
  <c r="F119" i="1"/>
  <c r="G119" i="1"/>
  <c r="H119" i="1"/>
  <c r="D120" i="1"/>
  <c r="E120" i="1"/>
  <c r="F120" i="1"/>
  <c r="G120" i="1"/>
  <c r="H120" i="1"/>
  <c r="D121" i="1"/>
  <c r="E121" i="1"/>
  <c r="F121" i="1"/>
  <c r="G121" i="1"/>
  <c r="H121" i="1"/>
  <c r="D122" i="1"/>
  <c r="E122" i="1"/>
  <c r="F122" i="1"/>
  <c r="G122" i="1"/>
  <c r="H122" i="1"/>
  <c r="D123" i="1"/>
  <c r="E123" i="1"/>
  <c r="F123" i="1"/>
  <c r="G123" i="1"/>
  <c r="H123" i="1"/>
  <c r="D124" i="1"/>
  <c r="E124" i="1"/>
  <c r="F124" i="1"/>
  <c r="G124" i="1"/>
  <c r="H124" i="1"/>
  <c r="D125" i="1"/>
  <c r="E125" i="1"/>
  <c r="F125" i="1"/>
  <c r="G125" i="1"/>
  <c r="H125" i="1"/>
  <c r="D126" i="1"/>
  <c r="E126" i="1"/>
  <c r="F126" i="1"/>
  <c r="G126" i="1"/>
  <c r="H126" i="1"/>
  <c r="D127" i="1"/>
  <c r="E127" i="1"/>
  <c r="F127" i="1"/>
  <c r="G127" i="1"/>
  <c r="H127" i="1"/>
  <c r="D128" i="1"/>
  <c r="E128" i="1"/>
  <c r="F128" i="1"/>
  <c r="G128" i="1"/>
  <c r="H128" i="1"/>
  <c r="D129" i="1"/>
  <c r="E129" i="1"/>
  <c r="F129" i="1"/>
  <c r="G129" i="1"/>
  <c r="H129" i="1"/>
  <c r="D130" i="1"/>
  <c r="E130" i="1"/>
  <c r="F130" i="1"/>
  <c r="G130" i="1"/>
  <c r="H130" i="1"/>
  <c r="D131" i="1"/>
  <c r="E131" i="1"/>
  <c r="F131" i="1"/>
  <c r="G131" i="1"/>
  <c r="H131" i="1"/>
  <c r="D132" i="1"/>
  <c r="E132" i="1"/>
  <c r="F132" i="1"/>
  <c r="G132" i="1"/>
  <c r="H132" i="1"/>
  <c r="D133" i="1"/>
  <c r="E133" i="1"/>
  <c r="F133" i="1"/>
  <c r="G133" i="1"/>
  <c r="H133" i="1"/>
  <c r="D134" i="1"/>
  <c r="E134" i="1"/>
  <c r="F134" i="1"/>
  <c r="G134" i="1"/>
  <c r="H134" i="1"/>
  <c r="D135" i="1"/>
  <c r="E135" i="1"/>
  <c r="F135" i="1"/>
  <c r="G135" i="1"/>
  <c r="H135" i="1"/>
  <c r="D136" i="1"/>
  <c r="E136" i="1"/>
  <c r="F136" i="1"/>
  <c r="G136" i="1"/>
  <c r="H136" i="1"/>
  <c r="D137" i="1"/>
  <c r="E137" i="1"/>
  <c r="F137" i="1"/>
  <c r="G137" i="1"/>
  <c r="H137" i="1"/>
  <c r="D138" i="1"/>
  <c r="E138" i="1"/>
  <c r="F138" i="1"/>
  <c r="G138" i="1"/>
  <c r="H138" i="1"/>
  <c r="D139" i="1"/>
  <c r="E139" i="1"/>
  <c r="F139" i="1"/>
  <c r="G139" i="1"/>
  <c r="H139" i="1"/>
  <c r="D140" i="1"/>
  <c r="E140" i="1"/>
  <c r="F140" i="1"/>
  <c r="G140" i="1"/>
  <c r="H140" i="1"/>
  <c r="D141" i="1"/>
  <c r="E141" i="1"/>
  <c r="F141" i="1"/>
  <c r="G141" i="1"/>
  <c r="H141" i="1"/>
  <c r="D142" i="1"/>
  <c r="E142" i="1"/>
  <c r="F142" i="1"/>
  <c r="G142" i="1"/>
  <c r="H142" i="1"/>
  <c r="D143" i="1"/>
  <c r="E143" i="1"/>
  <c r="F143" i="1"/>
  <c r="G143" i="1"/>
  <c r="H143" i="1"/>
  <c r="D144" i="1"/>
  <c r="E144" i="1"/>
  <c r="F144" i="1"/>
  <c r="G144" i="1"/>
  <c r="H144" i="1"/>
  <c r="D145" i="1"/>
  <c r="E145" i="1"/>
  <c r="F145" i="1"/>
  <c r="G145" i="1"/>
  <c r="H145" i="1"/>
  <c r="D146" i="1"/>
  <c r="E146" i="1"/>
  <c r="F146" i="1"/>
  <c r="G146" i="1"/>
  <c r="H146" i="1"/>
  <c r="D147" i="1"/>
  <c r="E147" i="1"/>
  <c r="F147" i="1"/>
  <c r="G147" i="1"/>
  <c r="H147" i="1"/>
  <c r="D148" i="1"/>
  <c r="E148" i="1"/>
  <c r="F148" i="1"/>
  <c r="G148" i="1"/>
  <c r="H148" i="1"/>
  <c r="D149" i="1"/>
  <c r="E149" i="1"/>
  <c r="F149" i="1"/>
  <c r="G149" i="1"/>
  <c r="H149" i="1"/>
  <c r="D150" i="1"/>
  <c r="E150" i="1"/>
  <c r="F150" i="1"/>
  <c r="G150" i="1"/>
  <c r="H150" i="1"/>
  <c r="D151" i="1"/>
  <c r="E151" i="1"/>
  <c r="F151" i="1"/>
  <c r="G151" i="1"/>
  <c r="H151" i="1"/>
  <c r="D152" i="1"/>
  <c r="E152" i="1"/>
  <c r="F152" i="1"/>
  <c r="G152" i="1"/>
  <c r="H152" i="1"/>
  <c r="D153" i="1"/>
  <c r="E153" i="1"/>
  <c r="F153" i="1"/>
  <c r="G153" i="1"/>
  <c r="H153" i="1"/>
  <c r="D154" i="1"/>
  <c r="E154" i="1"/>
  <c r="F154" i="1"/>
  <c r="G154" i="1"/>
  <c r="H154" i="1"/>
  <c r="D155" i="1"/>
  <c r="E155" i="1"/>
  <c r="F155" i="1"/>
  <c r="G155" i="1"/>
  <c r="H155" i="1"/>
  <c r="D156" i="1"/>
  <c r="E156" i="1"/>
  <c r="F156" i="1"/>
  <c r="G156" i="1"/>
  <c r="H156" i="1"/>
  <c r="D157" i="1"/>
  <c r="E157" i="1"/>
  <c r="F157" i="1"/>
  <c r="G157" i="1"/>
  <c r="H157" i="1"/>
  <c r="D158" i="1"/>
  <c r="E158" i="1"/>
  <c r="F158" i="1"/>
  <c r="G158" i="1"/>
  <c r="H158" i="1"/>
  <c r="D159" i="1"/>
  <c r="E159" i="1"/>
  <c r="F159" i="1"/>
  <c r="G159" i="1"/>
  <c r="H159" i="1"/>
  <c r="D160" i="1"/>
  <c r="E160" i="1"/>
  <c r="F160" i="1"/>
  <c r="G160" i="1"/>
  <c r="H160" i="1"/>
  <c r="D161" i="1"/>
  <c r="E161" i="1"/>
  <c r="F161" i="1"/>
  <c r="G161" i="1"/>
  <c r="H161" i="1"/>
  <c r="D162" i="1"/>
  <c r="E162" i="1"/>
  <c r="F162" i="1"/>
  <c r="G162" i="1"/>
  <c r="H162" i="1"/>
  <c r="D163" i="1"/>
  <c r="E163" i="1"/>
  <c r="F163" i="1"/>
  <c r="G163" i="1"/>
  <c r="H163" i="1"/>
  <c r="D164" i="1"/>
  <c r="E164" i="1"/>
  <c r="F164" i="1"/>
  <c r="G164" i="1"/>
  <c r="H164" i="1"/>
  <c r="D165" i="1"/>
  <c r="E165" i="1"/>
  <c r="F165" i="1"/>
  <c r="G165" i="1"/>
  <c r="H165" i="1"/>
  <c r="D166" i="1"/>
  <c r="E166" i="1"/>
  <c r="F166" i="1"/>
  <c r="G166" i="1"/>
  <c r="H166" i="1"/>
  <c r="D167" i="1"/>
  <c r="E167" i="1"/>
  <c r="F167" i="1"/>
  <c r="G167" i="1"/>
  <c r="H167" i="1"/>
  <c r="D168" i="1"/>
  <c r="E168" i="1"/>
  <c r="F168" i="1"/>
  <c r="G168" i="1"/>
  <c r="H168" i="1"/>
  <c r="D169" i="1"/>
  <c r="E169" i="1"/>
  <c r="F169" i="1"/>
  <c r="G169" i="1"/>
  <c r="H169" i="1"/>
  <c r="D170" i="1"/>
  <c r="E170" i="1"/>
  <c r="F170" i="1"/>
  <c r="G170" i="1"/>
  <c r="H170" i="1"/>
  <c r="D171" i="1"/>
  <c r="E171" i="1"/>
  <c r="F171" i="1"/>
  <c r="G171" i="1"/>
  <c r="H171" i="1"/>
  <c r="D172" i="1"/>
  <c r="E172" i="1"/>
  <c r="F172" i="1"/>
  <c r="G172" i="1"/>
  <c r="H172" i="1"/>
  <c r="D173" i="1"/>
  <c r="E173" i="1"/>
  <c r="F173" i="1"/>
  <c r="G173" i="1"/>
  <c r="H173" i="1"/>
  <c r="D174" i="1"/>
  <c r="E174" i="1"/>
  <c r="F174" i="1"/>
  <c r="G174" i="1"/>
  <c r="H174" i="1"/>
  <c r="D175" i="1"/>
  <c r="E175" i="1"/>
  <c r="F175" i="1"/>
  <c r="G175" i="1"/>
  <c r="H175" i="1"/>
  <c r="D176" i="1"/>
  <c r="E176" i="1"/>
  <c r="F176" i="1"/>
  <c r="G176" i="1"/>
  <c r="H176" i="1"/>
  <c r="D177" i="1"/>
  <c r="E177" i="1"/>
  <c r="F177" i="1"/>
  <c r="G177" i="1"/>
  <c r="H177" i="1"/>
  <c r="D178" i="1"/>
  <c r="E178" i="1"/>
  <c r="F178" i="1"/>
  <c r="G178" i="1"/>
  <c r="H178" i="1"/>
  <c r="D179" i="1"/>
  <c r="E179" i="1"/>
  <c r="F179" i="1"/>
  <c r="G179" i="1"/>
  <c r="H179" i="1"/>
  <c r="D180" i="1"/>
  <c r="E180" i="1"/>
  <c r="F180" i="1"/>
  <c r="G180" i="1"/>
  <c r="H180" i="1"/>
  <c r="D181" i="1"/>
  <c r="E181" i="1"/>
  <c r="F181" i="1"/>
  <c r="G181" i="1"/>
  <c r="H181" i="1"/>
  <c r="D182" i="1"/>
  <c r="E182" i="1"/>
  <c r="F182" i="1"/>
  <c r="G182" i="1"/>
  <c r="H182" i="1"/>
  <c r="D183" i="1"/>
  <c r="E183" i="1"/>
  <c r="F183" i="1"/>
  <c r="G183" i="1"/>
  <c r="H183" i="1"/>
  <c r="D184" i="1"/>
  <c r="E184" i="1"/>
  <c r="F184" i="1"/>
  <c r="G184" i="1"/>
  <c r="H184" i="1"/>
  <c r="D185" i="1"/>
  <c r="E185" i="1"/>
  <c r="F185" i="1"/>
  <c r="G185" i="1"/>
  <c r="H185" i="1"/>
  <c r="D186" i="1"/>
  <c r="E186" i="1"/>
  <c r="F186" i="1"/>
  <c r="G186" i="1"/>
  <c r="H186" i="1"/>
  <c r="D187" i="1"/>
  <c r="E187" i="1"/>
  <c r="F187" i="1"/>
  <c r="G187" i="1"/>
  <c r="H187" i="1"/>
  <c r="D188" i="1"/>
  <c r="E188" i="1"/>
  <c r="F188" i="1"/>
  <c r="G188" i="1"/>
  <c r="H188" i="1"/>
  <c r="D189" i="1"/>
  <c r="E189" i="1"/>
  <c r="F189" i="1"/>
  <c r="G189" i="1"/>
  <c r="H189" i="1"/>
  <c r="D190" i="1"/>
  <c r="E190" i="1"/>
  <c r="F190" i="1"/>
  <c r="G190" i="1"/>
  <c r="H190" i="1"/>
  <c r="D191" i="1"/>
  <c r="E191" i="1"/>
  <c r="F191" i="1"/>
  <c r="G191" i="1"/>
  <c r="H191" i="1"/>
  <c r="D192" i="1"/>
  <c r="E192" i="1"/>
  <c r="F192" i="1"/>
  <c r="G192" i="1"/>
  <c r="H192" i="1"/>
  <c r="D193" i="1"/>
  <c r="E193" i="1"/>
  <c r="F193" i="1"/>
  <c r="G193" i="1"/>
  <c r="H193" i="1"/>
  <c r="D194" i="1"/>
  <c r="E194" i="1"/>
  <c r="F194" i="1"/>
  <c r="G194" i="1"/>
  <c r="H194" i="1"/>
  <c r="D195" i="1"/>
  <c r="E195" i="1"/>
  <c r="F195" i="1"/>
  <c r="G195" i="1"/>
  <c r="H195" i="1"/>
  <c r="D196" i="1"/>
  <c r="E196" i="1"/>
  <c r="F196" i="1"/>
  <c r="G196" i="1"/>
  <c r="H196" i="1"/>
  <c r="D197" i="1"/>
  <c r="E197" i="1"/>
  <c r="F197" i="1"/>
  <c r="G197" i="1"/>
  <c r="H197" i="1"/>
  <c r="D198" i="1"/>
  <c r="E198" i="1"/>
  <c r="F198" i="1"/>
  <c r="G198" i="1"/>
  <c r="H198" i="1"/>
  <c r="D199" i="1"/>
  <c r="E199" i="1"/>
  <c r="F199" i="1"/>
  <c r="G199" i="1"/>
  <c r="H199" i="1"/>
  <c r="D200" i="1"/>
  <c r="E200" i="1"/>
  <c r="F200" i="1"/>
  <c r="G200" i="1"/>
  <c r="H200" i="1"/>
  <c r="D201" i="1"/>
  <c r="E201" i="1"/>
  <c r="F201" i="1"/>
  <c r="G201" i="1"/>
  <c r="H201" i="1"/>
  <c r="D202" i="1"/>
  <c r="E202" i="1"/>
  <c r="F202" i="1"/>
  <c r="G202" i="1"/>
  <c r="H202" i="1"/>
  <c r="D203" i="1"/>
  <c r="E203" i="1"/>
  <c r="F203" i="1"/>
  <c r="G203" i="1"/>
  <c r="H203" i="1"/>
  <c r="D204" i="1"/>
  <c r="E204" i="1"/>
  <c r="F204" i="1"/>
  <c r="G204" i="1"/>
  <c r="H204" i="1"/>
  <c r="D205" i="1"/>
  <c r="E205" i="1"/>
  <c r="F205" i="1"/>
  <c r="G205" i="1"/>
  <c r="H205" i="1"/>
  <c r="D206" i="1"/>
  <c r="E206" i="1"/>
  <c r="F206" i="1"/>
  <c r="G206" i="1"/>
  <c r="H206" i="1"/>
  <c r="D207" i="1"/>
  <c r="E207" i="1"/>
  <c r="F207" i="1"/>
  <c r="G207" i="1"/>
  <c r="H207" i="1"/>
  <c r="D208" i="1"/>
  <c r="E208" i="1"/>
  <c r="F208" i="1"/>
  <c r="G208" i="1"/>
  <c r="H208" i="1"/>
  <c r="D209" i="1"/>
  <c r="E209" i="1"/>
  <c r="F209" i="1"/>
  <c r="G209" i="1"/>
  <c r="H209" i="1"/>
  <c r="D210" i="1"/>
  <c r="E210" i="1"/>
  <c r="F210" i="1"/>
  <c r="G210" i="1"/>
  <c r="H210" i="1"/>
  <c r="D211" i="1"/>
  <c r="E211" i="1"/>
  <c r="F211" i="1"/>
  <c r="G211" i="1"/>
  <c r="H211" i="1"/>
  <c r="D212" i="1"/>
  <c r="E212" i="1"/>
  <c r="F212" i="1"/>
  <c r="G212" i="1"/>
  <c r="H212" i="1"/>
  <c r="D213" i="1"/>
  <c r="E213" i="1"/>
  <c r="F213" i="1"/>
  <c r="G213" i="1"/>
  <c r="H213" i="1"/>
  <c r="D214" i="1"/>
  <c r="E214" i="1"/>
  <c r="F214" i="1"/>
  <c r="G214" i="1"/>
  <c r="H214" i="1"/>
  <c r="D215" i="1"/>
  <c r="E215" i="1"/>
  <c r="F215" i="1"/>
  <c r="G215" i="1"/>
  <c r="H215" i="1"/>
  <c r="D216" i="1"/>
  <c r="E216" i="1"/>
  <c r="F216" i="1"/>
  <c r="G216" i="1"/>
  <c r="H216" i="1"/>
  <c r="D217" i="1"/>
  <c r="E217" i="1"/>
  <c r="F217" i="1"/>
  <c r="G217" i="1"/>
  <c r="H217" i="1"/>
  <c r="D218" i="1"/>
  <c r="E218" i="1"/>
  <c r="F218" i="1"/>
  <c r="G218" i="1"/>
  <c r="H218" i="1"/>
  <c r="D219" i="1"/>
  <c r="E219" i="1"/>
  <c r="F219" i="1"/>
  <c r="G219" i="1"/>
  <c r="H219" i="1"/>
  <c r="D220" i="1"/>
  <c r="E220" i="1"/>
  <c r="F220" i="1"/>
  <c r="G220" i="1"/>
  <c r="H220" i="1"/>
  <c r="D221" i="1"/>
  <c r="E221" i="1"/>
  <c r="F221" i="1"/>
  <c r="G221" i="1"/>
  <c r="H221" i="1"/>
  <c r="D222" i="1"/>
  <c r="E222" i="1"/>
  <c r="F222" i="1"/>
  <c r="G222" i="1"/>
  <c r="H222" i="1"/>
  <c r="D223" i="1"/>
  <c r="E223" i="1"/>
  <c r="F223" i="1"/>
  <c r="G223" i="1"/>
  <c r="H223" i="1"/>
  <c r="D224" i="1"/>
  <c r="E224" i="1"/>
  <c r="F224" i="1"/>
  <c r="G224" i="1"/>
  <c r="H224" i="1"/>
  <c r="D225" i="1"/>
  <c r="E225" i="1"/>
  <c r="F225" i="1"/>
  <c r="G225" i="1"/>
  <c r="H225" i="1"/>
  <c r="D226" i="1"/>
  <c r="E226" i="1"/>
  <c r="F226" i="1"/>
  <c r="G226" i="1"/>
  <c r="H226" i="1"/>
  <c r="D227" i="1"/>
  <c r="E227" i="1"/>
  <c r="F227" i="1"/>
  <c r="G227" i="1"/>
  <c r="H227" i="1"/>
  <c r="D228" i="1"/>
  <c r="E228" i="1"/>
  <c r="F228" i="1"/>
  <c r="G228" i="1"/>
  <c r="H228" i="1"/>
  <c r="D229" i="1"/>
  <c r="E229" i="1"/>
  <c r="F229" i="1"/>
  <c r="G229" i="1"/>
  <c r="H229" i="1"/>
  <c r="D230" i="1"/>
  <c r="E230" i="1"/>
  <c r="F230" i="1"/>
  <c r="G230" i="1"/>
  <c r="H230" i="1"/>
  <c r="D231" i="1"/>
  <c r="E231" i="1"/>
  <c r="F231" i="1"/>
  <c r="G231" i="1"/>
  <c r="H231" i="1"/>
  <c r="D232" i="1"/>
  <c r="E232" i="1"/>
  <c r="F232" i="1"/>
  <c r="G232" i="1"/>
  <c r="H232" i="1"/>
  <c r="D233" i="1"/>
  <c r="E233" i="1"/>
  <c r="F233" i="1"/>
  <c r="G233" i="1"/>
  <c r="H233" i="1"/>
  <c r="D234" i="1"/>
  <c r="E234" i="1"/>
  <c r="F234" i="1"/>
  <c r="G234" i="1"/>
  <c r="H234" i="1"/>
  <c r="D235" i="1"/>
  <c r="E235" i="1"/>
  <c r="F235" i="1"/>
  <c r="G235" i="1"/>
  <c r="H235" i="1"/>
  <c r="D236" i="1"/>
  <c r="E236" i="1"/>
  <c r="F236" i="1"/>
  <c r="G236" i="1"/>
  <c r="H236" i="1"/>
  <c r="D237" i="1"/>
  <c r="E237" i="1"/>
  <c r="F237" i="1"/>
  <c r="G237" i="1"/>
  <c r="H237" i="1"/>
  <c r="D238" i="1"/>
  <c r="E238" i="1"/>
  <c r="F238" i="1"/>
  <c r="G238" i="1"/>
  <c r="H238" i="1"/>
  <c r="D239" i="1"/>
  <c r="E239" i="1"/>
  <c r="F239" i="1"/>
  <c r="G239" i="1"/>
  <c r="H239" i="1"/>
  <c r="D240" i="1"/>
  <c r="E240" i="1"/>
  <c r="F240" i="1"/>
  <c r="G240" i="1"/>
  <c r="H240" i="1"/>
  <c r="D241" i="1"/>
  <c r="E241" i="1"/>
  <c r="F241" i="1"/>
  <c r="G241" i="1"/>
  <c r="H241" i="1"/>
  <c r="D242" i="1"/>
  <c r="E242" i="1"/>
  <c r="F242" i="1"/>
  <c r="G242" i="1"/>
  <c r="H242" i="1"/>
  <c r="D243" i="1"/>
  <c r="E243" i="1"/>
  <c r="F243" i="1"/>
  <c r="G243" i="1"/>
  <c r="H243" i="1"/>
  <c r="D244" i="1"/>
  <c r="E244" i="1"/>
  <c r="F244" i="1"/>
  <c r="G244" i="1"/>
  <c r="H244" i="1"/>
  <c r="D245" i="1"/>
  <c r="E245" i="1"/>
  <c r="F245" i="1"/>
  <c r="G245" i="1"/>
  <c r="H245" i="1"/>
  <c r="D246" i="1"/>
  <c r="E246" i="1"/>
  <c r="F246" i="1"/>
  <c r="G246" i="1"/>
  <c r="H246" i="1"/>
  <c r="D247" i="1"/>
  <c r="E247" i="1"/>
  <c r="F247" i="1"/>
  <c r="G247" i="1"/>
  <c r="H247" i="1"/>
  <c r="D248" i="1"/>
  <c r="E248" i="1"/>
  <c r="F248" i="1"/>
  <c r="G248" i="1"/>
  <c r="H248" i="1"/>
  <c r="D249" i="1"/>
  <c r="E249" i="1"/>
  <c r="F249" i="1"/>
  <c r="G249" i="1"/>
  <c r="H249" i="1"/>
  <c r="D250" i="1"/>
  <c r="E250" i="1"/>
  <c r="F250" i="1"/>
  <c r="G250" i="1"/>
  <c r="H250" i="1"/>
  <c r="D251" i="1"/>
  <c r="E251" i="1"/>
  <c r="F251" i="1"/>
  <c r="G251" i="1"/>
  <c r="H251" i="1"/>
  <c r="D252" i="1"/>
  <c r="E252" i="1"/>
  <c r="F252" i="1"/>
  <c r="G252" i="1"/>
  <c r="H252" i="1"/>
  <c r="D253" i="1"/>
  <c r="E253" i="1"/>
  <c r="F253" i="1"/>
  <c r="G253" i="1"/>
  <c r="H253" i="1"/>
  <c r="D254" i="1"/>
  <c r="E254" i="1"/>
  <c r="F254" i="1"/>
  <c r="G254" i="1"/>
  <c r="H254" i="1"/>
  <c r="D255" i="1"/>
  <c r="E255" i="1"/>
  <c r="F255" i="1"/>
  <c r="G255" i="1"/>
  <c r="H255" i="1"/>
  <c r="D256" i="1"/>
  <c r="E256" i="1"/>
  <c r="F256" i="1"/>
  <c r="G256" i="1"/>
  <c r="H256" i="1"/>
  <c r="D257" i="1"/>
  <c r="E257" i="1"/>
  <c r="F257" i="1"/>
  <c r="G257" i="1"/>
  <c r="H257" i="1"/>
  <c r="D258" i="1"/>
  <c r="E258" i="1"/>
  <c r="F258" i="1"/>
  <c r="G258" i="1"/>
  <c r="H258" i="1"/>
  <c r="D259" i="1"/>
  <c r="E259" i="1"/>
  <c r="F259" i="1"/>
  <c r="G259" i="1"/>
  <c r="H259" i="1"/>
  <c r="D260" i="1"/>
  <c r="E260" i="1"/>
  <c r="F260" i="1"/>
  <c r="G260" i="1"/>
  <c r="H260" i="1"/>
  <c r="D261" i="1"/>
  <c r="E261" i="1"/>
  <c r="F261" i="1"/>
  <c r="G261" i="1"/>
  <c r="H261" i="1"/>
  <c r="D262" i="1"/>
  <c r="E262" i="1"/>
  <c r="F262" i="1"/>
  <c r="G262" i="1"/>
  <c r="H262" i="1"/>
  <c r="D263" i="1"/>
  <c r="E263" i="1"/>
  <c r="F263" i="1"/>
  <c r="G263" i="1"/>
  <c r="H263" i="1"/>
  <c r="D264" i="1"/>
  <c r="E264" i="1"/>
  <c r="F264" i="1"/>
  <c r="G264" i="1"/>
  <c r="H264" i="1"/>
  <c r="D265" i="1"/>
  <c r="E265" i="1"/>
  <c r="F265" i="1"/>
  <c r="G265" i="1"/>
  <c r="H265" i="1"/>
  <c r="D266" i="1"/>
  <c r="E266" i="1"/>
  <c r="F266" i="1"/>
  <c r="G266" i="1"/>
  <c r="H266" i="1"/>
  <c r="D267" i="1"/>
  <c r="E267" i="1"/>
  <c r="F267" i="1"/>
  <c r="G267" i="1"/>
  <c r="H267" i="1"/>
  <c r="D268" i="1"/>
  <c r="E268" i="1"/>
  <c r="F268" i="1"/>
  <c r="G268" i="1"/>
  <c r="H268" i="1"/>
  <c r="D269" i="1"/>
  <c r="E269" i="1"/>
  <c r="F269" i="1"/>
  <c r="G269" i="1"/>
  <c r="H269" i="1"/>
  <c r="D270" i="1"/>
  <c r="E270" i="1"/>
  <c r="F270" i="1"/>
  <c r="G270" i="1"/>
  <c r="H270" i="1"/>
  <c r="D271" i="1"/>
  <c r="E271" i="1"/>
  <c r="F271" i="1"/>
  <c r="G271" i="1"/>
  <c r="H271" i="1"/>
  <c r="D272" i="1"/>
  <c r="E272" i="1"/>
  <c r="F272" i="1"/>
  <c r="G272" i="1"/>
  <c r="H272" i="1"/>
  <c r="D273" i="1"/>
  <c r="E273" i="1"/>
  <c r="F273" i="1"/>
  <c r="G273" i="1"/>
  <c r="H273" i="1"/>
  <c r="D274" i="1"/>
  <c r="E274" i="1"/>
  <c r="F274" i="1"/>
  <c r="G274" i="1"/>
  <c r="H274" i="1"/>
  <c r="D275" i="1"/>
  <c r="E275" i="1"/>
  <c r="F275" i="1"/>
  <c r="G275" i="1"/>
  <c r="H275" i="1"/>
  <c r="D276" i="1"/>
  <c r="E276" i="1"/>
  <c r="F276" i="1"/>
  <c r="G276" i="1"/>
  <c r="H276" i="1"/>
  <c r="D277" i="1"/>
  <c r="E277" i="1"/>
  <c r="F277" i="1"/>
  <c r="G277" i="1"/>
  <c r="H277" i="1"/>
  <c r="D278" i="1"/>
  <c r="E278" i="1"/>
  <c r="F278" i="1"/>
  <c r="G278" i="1"/>
  <c r="H278" i="1"/>
  <c r="D279" i="1"/>
  <c r="E279" i="1"/>
  <c r="F279" i="1"/>
  <c r="G279" i="1"/>
  <c r="H279" i="1"/>
  <c r="D280" i="1"/>
  <c r="E280" i="1"/>
  <c r="F280" i="1"/>
  <c r="G280" i="1"/>
  <c r="H280" i="1"/>
  <c r="D281" i="1"/>
  <c r="E281" i="1"/>
  <c r="F281" i="1"/>
  <c r="G281" i="1"/>
  <c r="H281" i="1"/>
  <c r="D282" i="1"/>
  <c r="E282" i="1"/>
  <c r="F282" i="1"/>
  <c r="G282" i="1"/>
  <c r="H282" i="1"/>
  <c r="D283" i="1"/>
  <c r="E283" i="1"/>
  <c r="F283" i="1"/>
  <c r="G283" i="1"/>
  <c r="H283" i="1"/>
  <c r="D284" i="1"/>
  <c r="E284" i="1"/>
  <c r="F284" i="1"/>
  <c r="G284" i="1"/>
  <c r="H284" i="1"/>
  <c r="D285" i="1"/>
  <c r="E285" i="1"/>
  <c r="F285" i="1"/>
  <c r="G285" i="1"/>
  <c r="H285" i="1"/>
  <c r="D286" i="1"/>
  <c r="E286" i="1"/>
  <c r="F286" i="1"/>
  <c r="G286" i="1"/>
  <c r="H286" i="1"/>
  <c r="D287" i="1"/>
  <c r="E287" i="1"/>
  <c r="F287" i="1"/>
  <c r="G287" i="1"/>
  <c r="H287" i="1"/>
  <c r="D288" i="1"/>
  <c r="E288" i="1"/>
  <c r="F288" i="1"/>
  <c r="G288" i="1"/>
  <c r="H288" i="1"/>
  <c r="D289" i="1"/>
  <c r="E289" i="1"/>
  <c r="F289" i="1"/>
  <c r="G289" i="1"/>
  <c r="H289" i="1"/>
  <c r="D290" i="1"/>
  <c r="E290" i="1"/>
  <c r="F290" i="1"/>
  <c r="G290" i="1"/>
  <c r="H290" i="1"/>
  <c r="D291" i="1"/>
  <c r="E291" i="1"/>
  <c r="F291" i="1"/>
  <c r="G291" i="1"/>
  <c r="H291" i="1"/>
  <c r="D292" i="1"/>
  <c r="E292" i="1"/>
  <c r="F292" i="1"/>
  <c r="G292" i="1"/>
  <c r="H292" i="1"/>
  <c r="D293" i="1"/>
  <c r="E293" i="1"/>
  <c r="F293" i="1"/>
  <c r="G293" i="1"/>
  <c r="H293" i="1"/>
  <c r="D294" i="1"/>
  <c r="E294" i="1"/>
  <c r="F294" i="1"/>
  <c r="G294" i="1"/>
  <c r="H294" i="1"/>
  <c r="D295" i="1"/>
  <c r="E295" i="1"/>
  <c r="F295" i="1"/>
  <c r="G295" i="1"/>
  <c r="H295" i="1"/>
  <c r="D296" i="1"/>
  <c r="E296" i="1"/>
  <c r="F296" i="1"/>
  <c r="G296" i="1"/>
  <c r="H296" i="1"/>
  <c r="D297" i="1"/>
  <c r="E297" i="1"/>
  <c r="F297" i="1"/>
  <c r="G297" i="1"/>
  <c r="H297" i="1"/>
  <c r="D298" i="1"/>
  <c r="E298" i="1"/>
  <c r="F298" i="1"/>
  <c r="G298" i="1"/>
  <c r="H298" i="1"/>
  <c r="D299" i="1"/>
  <c r="E299" i="1"/>
  <c r="F299" i="1"/>
  <c r="G299" i="1"/>
  <c r="H299" i="1"/>
  <c r="D300" i="1"/>
  <c r="E300" i="1"/>
  <c r="F300" i="1"/>
  <c r="G300" i="1"/>
  <c r="H300" i="1"/>
  <c r="D301" i="1"/>
  <c r="E301" i="1"/>
  <c r="F301" i="1"/>
  <c r="G301" i="1"/>
  <c r="H301" i="1"/>
  <c r="D302" i="1"/>
  <c r="E302" i="1"/>
  <c r="F302" i="1"/>
  <c r="G302" i="1"/>
  <c r="H302" i="1"/>
  <c r="D303" i="1"/>
  <c r="E303" i="1"/>
  <c r="F303" i="1"/>
  <c r="G303" i="1"/>
  <c r="H303" i="1"/>
  <c r="D304" i="1"/>
  <c r="E304" i="1"/>
  <c r="F304" i="1"/>
  <c r="G304" i="1"/>
  <c r="H304" i="1"/>
  <c r="D305" i="1"/>
  <c r="E305" i="1"/>
  <c r="F305" i="1"/>
  <c r="G305" i="1"/>
  <c r="H305" i="1"/>
  <c r="D306" i="1"/>
  <c r="E306" i="1"/>
  <c r="F306" i="1"/>
  <c r="G306" i="1"/>
  <c r="H306" i="1"/>
  <c r="D307" i="1"/>
  <c r="E307" i="1"/>
  <c r="F307" i="1"/>
  <c r="G307" i="1"/>
  <c r="H307" i="1"/>
  <c r="D308" i="1"/>
  <c r="E308" i="1"/>
  <c r="F308" i="1"/>
  <c r="G308" i="1"/>
  <c r="H308" i="1"/>
  <c r="D309" i="1"/>
  <c r="E309" i="1"/>
  <c r="F309" i="1"/>
  <c r="G309" i="1"/>
  <c r="H309" i="1"/>
  <c r="D310" i="1"/>
  <c r="E310" i="1"/>
  <c r="F310" i="1"/>
  <c r="G310" i="1"/>
  <c r="H310" i="1"/>
  <c r="D311" i="1"/>
  <c r="E311" i="1"/>
  <c r="F311" i="1"/>
  <c r="G311" i="1"/>
  <c r="H311" i="1"/>
  <c r="D312" i="1"/>
  <c r="E312" i="1"/>
  <c r="F312" i="1"/>
  <c r="G312" i="1"/>
  <c r="H312" i="1"/>
  <c r="D313" i="1"/>
  <c r="E313" i="1"/>
  <c r="F313" i="1"/>
  <c r="G313" i="1"/>
  <c r="H313" i="1"/>
  <c r="D314" i="1"/>
  <c r="E314" i="1"/>
  <c r="F314" i="1"/>
  <c r="G314" i="1"/>
  <c r="H314" i="1"/>
  <c r="D315" i="1"/>
  <c r="E315" i="1"/>
  <c r="F315" i="1"/>
  <c r="G315" i="1"/>
  <c r="H315" i="1"/>
  <c r="D316" i="1"/>
  <c r="E316" i="1"/>
  <c r="F316" i="1"/>
  <c r="G316" i="1"/>
  <c r="H316" i="1"/>
  <c r="D317" i="1"/>
  <c r="E317" i="1"/>
  <c r="F317" i="1"/>
  <c r="G317" i="1"/>
  <c r="H317" i="1"/>
  <c r="D318" i="1"/>
  <c r="E318" i="1"/>
  <c r="F318" i="1"/>
  <c r="G318" i="1"/>
  <c r="H318" i="1"/>
  <c r="D319" i="1"/>
  <c r="E319" i="1"/>
  <c r="F319" i="1"/>
  <c r="G319" i="1"/>
  <c r="H319" i="1"/>
  <c r="D320" i="1"/>
  <c r="E320" i="1"/>
  <c r="F320" i="1"/>
  <c r="G320" i="1"/>
  <c r="H320" i="1"/>
  <c r="D321" i="1"/>
  <c r="E321" i="1"/>
  <c r="F321" i="1"/>
  <c r="G321" i="1"/>
  <c r="H321" i="1"/>
  <c r="D322" i="1"/>
  <c r="E322" i="1"/>
  <c r="F322" i="1"/>
  <c r="G322" i="1"/>
  <c r="H322" i="1"/>
  <c r="D323" i="1"/>
  <c r="E323" i="1"/>
  <c r="F323" i="1"/>
  <c r="G323" i="1"/>
  <c r="H323" i="1"/>
  <c r="D324" i="1"/>
  <c r="E324" i="1"/>
  <c r="F324" i="1"/>
  <c r="G324" i="1"/>
  <c r="H324" i="1"/>
  <c r="D325" i="1"/>
  <c r="E325" i="1"/>
  <c r="F325" i="1"/>
  <c r="G325" i="1"/>
  <c r="H325" i="1"/>
  <c r="D326" i="1"/>
  <c r="E326" i="1"/>
  <c r="F326" i="1"/>
  <c r="G326" i="1"/>
  <c r="H326" i="1"/>
  <c r="D327" i="1"/>
  <c r="E327" i="1"/>
  <c r="F327" i="1"/>
  <c r="G327" i="1"/>
  <c r="H327" i="1"/>
  <c r="D328" i="1"/>
  <c r="E328" i="1"/>
  <c r="F328" i="1"/>
  <c r="G328" i="1"/>
  <c r="H328" i="1"/>
  <c r="D329" i="1"/>
  <c r="E329" i="1"/>
  <c r="F329" i="1"/>
  <c r="G329" i="1"/>
  <c r="H329" i="1"/>
  <c r="D330" i="1"/>
  <c r="E330" i="1"/>
  <c r="F330" i="1"/>
  <c r="G330" i="1"/>
  <c r="H330" i="1"/>
  <c r="D331" i="1"/>
  <c r="E331" i="1"/>
  <c r="F331" i="1"/>
  <c r="G331" i="1"/>
  <c r="H331" i="1"/>
  <c r="D332" i="1"/>
  <c r="E332" i="1"/>
  <c r="F332" i="1"/>
  <c r="G332" i="1"/>
  <c r="H332" i="1"/>
  <c r="D333" i="1"/>
  <c r="E333" i="1"/>
  <c r="F333" i="1"/>
  <c r="G333" i="1"/>
  <c r="H333" i="1"/>
  <c r="D334" i="1"/>
  <c r="E334" i="1"/>
  <c r="F334" i="1"/>
  <c r="G334" i="1"/>
  <c r="H334" i="1"/>
  <c r="D335" i="1"/>
  <c r="E335" i="1"/>
  <c r="F335" i="1"/>
  <c r="G335" i="1"/>
  <c r="H335" i="1"/>
  <c r="D336" i="1"/>
  <c r="E336" i="1"/>
  <c r="F336" i="1"/>
  <c r="G336" i="1"/>
  <c r="H336" i="1"/>
  <c r="D337" i="1"/>
  <c r="E337" i="1"/>
  <c r="F337" i="1"/>
  <c r="G337" i="1"/>
  <c r="H337" i="1"/>
  <c r="D338" i="1"/>
  <c r="E338" i="1"/>
  <c r="F338" i="1"/>
  <c r="G338" i="1"/>
  <c r="H338" i="1"/>
  <c r="D339" i="1"/>
  <c r="E339" i="1"/>
  <c r="F339" i="1"/>
  <c r="G339" i="1"/>
  <c r="H339" i="1"/>
  <c r="D340" i="1"/>
  <c r="E340" i="1"/>
  <c r="F340" i="1"/>
  <c r="G340" i="1"/>
  <c r="H340" i="1"/>
  <c r="D341" i="1"/>
  <c r="E341" i="1"/>
  <c r="F341" i="1"/>
  <c r="G341" i="1"/>
  <c r="H341" i="1"/>
  <c r="D342" i="1"/>
  <c r="E342" i="1"/>
  <c r="F342" i="1"/>
  <c r="G342" i="1"/>
  <c r="H342" i="1"/>
  <c r="D343" i="1"/>
  <c r="E343" i="1"/>
  <c r="F343" i="1"/>
  <c r="G343" i="1"/>
  <c r="H343" i="1"/>
  <c r="D344" i="1"/>
  <c r="E344" i="1"/>
  <c r="F344" i="1"/>
  <c r="G344" i="1"/>
  <c r="H344" i="1"/>
  <c r="D345" i="1"/>
  <c r="E345" i="1"/>
  <c r="F345" i="1"/>
  <c r="G345" i="1"/>
  <c r="H345" i="1"/>
  <c r="D346" i="1"/>
  <c r="E346" i="1"/>
  <c r="F346" i="1"/>
  <c r="G346" i="1"/>
  <c r="H346" i="1"/>
  <c r="D347" i="1"/>
  <c r="E347" i="1"/>
  <c r="F347" i="1"/>
  <c r="G347" i="1"/>
  <c r="H347" i="1"/>
  <c r="D348" i="1"/>
  <c r="E348" i="1"/>
  <c r="F348" i="1"/>
  <c r="G348" i="1"/>
  <c r="H348" i="1"/>
  <c r="D349" i="1"/>
  <c r="E349" i="1"/>
  <c r="F349" i="1"/>
  <c r="G349" i="1"/>
  <c r="H349" i="1"/>
  <c r="D350" i="1"/>
  <c r="E350" i="1"/>
  <c r="F350" i="1"/>
  <c r="G350" i="1"/>
  <c r="H350" i="1"/>
  <c r="D351" i="1"/>
  <c r="E351" i="1"/>
  <c r="F351" i="1"/>
  <c r="G351" i="1"/>
  <c r="H351" i="1"/>
  <c r="D352" i="1"/>
  <c r="E352" i="1"/>
  <c r="F352" i="1"/>
  <c r="G352" i="1"/>
  <c r="H352" i="1"/>
  <c r="D353" i="1"/>
  <c r="E353" i="1"/>
  <c r="F353" i="1"/>
  <c r="G353" i="1"/>
  <c r="H353" i="1"/>
  <c r="D354" i="1"/>
  <c r="E354" i="1"/>
  <c r="F354" i="1"/>
  <c r="G354" i="1"/>
  <c r="H354" i="1"/>
  <c r="D355" i="1"/>
  <c r="E355" i="1"/>
  <c r="F355" i="1"/>
  <c r="G355" i="1"/>
  <c r="H355" i="1"/>
  <c r="D356" i="1"/>
  <c r="E356" i="1"/>
  <c r="F356" i="1"/>
  <c r="G356" i="1"/>
  <c r="H356" i="1"/>
  <c r="D357" i="1"/>
  <c r="E357" i="1"/>
  <c r="F357" i="1"/>
  <c r="G357" i="1"/>
  <c r="H357" i="1"/>
  <c r="D358" i="1"/>
  <c r="E358" i="1"/>
  <c r="F358" i="1"/>
  <c r="G358" i="1"/>
  <c r="H358" i="1"/>
  <c r="D359" i="1"/>
  <c r="E359" i="1"/>
  <c r="F359" i="1"/>
  <c r="G359" i="1"/>
  <c r="H359" i="1"/>
  <c r="D360" i="1"/>
  <c r="E360" i="1"/>
  <c r="F360" i="1"/>
  <c r="G360" i="1"/>
  <c r="H360" i="1"/>
  <c r="D361" i="1"/>
  <c r="E361" i="1"/>
  <c r="F361" i="1"/>
  <c r="G361" i="1"/>
  <c r="H361" i="1"/>
  <c r="D362" i="1"/>
  <c r="E362" i="1"/>
  <c r="F362" i="1"/>
  <c r="G362" i="1"/>
  <c r="H362" i="1"/>
  <c r="D363" i="1"/>
  <c r="E363" i="1"/>
  <c r="F363" i="1"/>
  <c r="G363" i="1"/>
  <c r="H363" i="1"/>
  <c r="D364" i="1"/>
  <c r="E364" i="1"/>
  <c r="F364" i="1"/>
  <c r="G364" i="1"/>
  <c r="H364" i="1"/>
  <c r="D365" i="1"/>
  <c r="E365" i="1"/>
  <c r="F365" i="1"/>
  <c r="G365" i="1"/>
  <c r="H365" i="1"/>
  <c r="D366" i="1"/>
  <c r="E366" i="1"/>
  <c r="F366" i="1"/>
  <c r="G366" i="1"/>
  <c r="H366" i="1"/>
  <c r="D367" i="1"/>
  <c r="E367" i="1"/>
  <c r="F367" i="1"/>
  <c r="G367" i="1"/>
  <c r="H367" i="1"/>
  <c r="D368" i="1"/>
  <c r="E368" i="1"/>
  <c r="F368" i="1"/>
  <c r="G368" i="1"/>
  <c r="H368" i="1"/>
  <c r="D369" i="1"/>
  <c r="E369" i="1"/>
  <c r="F369" i="1"/>
  <c r="G369" i="1"/>
  <c r="H369" i="1"/>
  <c r="D370" i="1"/>
  <c r="E370" i="1"/>
  <c r="F370" i="1"/>
  <c r="G370" i="1"/>
  <c r="H370" i="1"/>
  <c r="D371" i="1"/>
  <c r="E371" i="1"/>
  <c r="F371" i="1"/>
  <c r="G371" i="1"/>
  <c r="H371" i="1"/>
  <c r="D372" i="1"/>
  <c r="E372" i="1"/>
  <c r="F372" i="1"/>
  <c r="G372" i="1"/>
  <c r="H372" i="1"/>
  <c r="D373" i="1"/>
  <c r="E373" i="1"/>
  <c r="F373" i="1"/>
  <c r="G373" i="1"/>
  <c r="H373" i="1"/>
  <c r="D374" i="1"/>
  <c r="E374" i="1"/>
  <c r="F374" i="1"/>
  <c r="G374" i="1"/>
  <c r="H374" i="1"/>
  <c r="D375" i="1"/>
  <c r="E375" i="1"/>
  <c r="F375" i="1"/>
  <c r="G375" i="1"/>
  <c r="H375" i="1"/>
  <c r="D376" i="1"/>
  <c r="E376" i="1"/>
  <c r="F376" i="1"/>
  <c r="G376" i="1"/>
  <c r="H376" i="1"/>
  <c r="D377" i="1"/>
  <c r="E377" i="1"/>
  <c r="F377" i="1"/>
  <c r="G377" i="1"/>
  <c r="H377" i="1"/>
  <c r="D378" i="1"/>
  <c r="E378" i="1"/>
  <c r="F378" i="1"/>
  <c r="G378" i="1"/>
  <c r="H378" i="1"/>
  <c r="D379" i="1"/>
  <c r="E379" i="1"/>
  <c r="F379" i="1"/>
  <c r="G379" i="1"/>
  <c r="H379" i="1"/>
  <c r="D380" i="1"/>
  <c r="E380" i="1"/>
  <c r="F380" i="1"/>
  <c r="G380" i="1"/>
  <c r="H380" i="1"/>
  <c r="D381" i="1"/>
  <c r="E381" i="1"/>
  <c r="F381" i="1"/>
  <c r="G381" i="1"/>
  <c r="H381" i="1"/>
  <c r="D382" i="1"/>
  <c r="E382" i="1"/>
  <c r="F382" i="1"/>
  <c r="G382" i="1"/>
  <c r="H382" i="1"/>
  <c r="D383" i="1"/>
  <c r="E383" i="1"/>
  <c r="F383" i="1"/>
  <c r="G383" i="1"/>
  <c r="H383" i="1"/>
  <c r="D384" i="1"/>
  <c r="E384" i="1"/>
  <c r="F384" i="1"/>
  <c r="G384" i="1"/>
  <c r="H384" i="1"/>
  <c r="D385" i="1"/>
  <c r="E385" i="1"/>
  <c r="F385" i="1"/>
  <c r="G385" i="1"/>
  <c r="H385" i="1"/>
  <c r="D386" i="1"/>
  <c r="E386" i="1"/>
  <c r="F386" i="1"/>
  <c r="G386" i="1"/>
  <c r="H386" i="1"/>
  <c r="D387" i="1"/>
  <c r="E387" i="1"/>
  <c r="F387" i="1"/>
  <c r="G387" i="1"/>
  <c r="H387" i="1"/>
  <c r="D388" i="1"/>
  <c r="E388" i="1"/>
  <c r="F388" i="1"/>
  <c r="G388" i="1"/>
  <c r="H388" i="1"/>
  <c r="D389" i="1"/>
  <c r="E389" i="1"/>
  <c r="F389" i="1"/>
  <c r="G389" i="1"/>
  <c r="H389" i="1"/>
  <c r="D390" i="1"/>
  <c r="E390" i="1"/>
  <c r="F390" i="1"/>
  <c r="G390" i="1"/>
  <c r="H390" i="1"/>
  <c r="D391" i="1"/>
  <c r="E391" i="1"/>
  <c r="F391" i="1"/>
  <c r="G391" i="1"/>
  <c r="H391" i="1"/>
  <c r="D392" i="1"/>
  <c r="E392" i="1"/>
  <c r="F392" i="1"/>
  <c r="G392" i="1"/>
  <c r="H392" i="1"/>
  <c r="D393" i="1"/>
  <c r="E393" i="1"/>
  <c r="F393" i="1"/>
  <c r="G393" i="1"/>
  <c r="H393" i="1"/>
  <c r="D394" i="1"/>
  <c r="E394" i="1"/>
  <c r="F394" i="1"/>
  <c r="G394" i="1"/>
  <c r="H394" i="1"/>
  <c r="D395" i="1"/>
  <c r="E395" i="1"/>
  <c r="F395" i="1"/>
  <c r="G395" i="1"/>
  <c r="H395" i="1"/>
  <c r="D396" i="1"/>
  <c r="E396" i="1"/>
  <c r="F396" i="1"/>
  <c r="G396" i="1"/>
  <c r="H396" i="1"/>
  <c r="D397" i="1"/>
  <c r="E397" i="1"/>
  <c r="F397" i="1"/>
  <c r="G397" i="1"/>
  <c r="H397" i="1"/>
  <c r="D398" i="1"/>
  <c r="E398" i="1"/>
  <c r="F398" i="1"/>
  <c r="G398" i="1"/>
  <c r="H398" i="1"/>
  <c r="D399" i="1"/>
  <c r="E399" i="1"/>
  <c r="F399" i="1"/>
  <c r="G399" i="1"/>
  <c r="H399" i="1"/>
  <c r="D400" i="1"/>
  <c r="E400" i="1"/>
  <c r="F400" i="1"/>
  <c r="G400" i="1"/>
  <c r="H400" i="1"/>
  <c r="D401" i="1"/>
  <c r="E401" i="1"/>
  <c r="F401" i="1"/>
  <c r="G401" i="1"/>
  <c r="H401" i="1"/>
  <c r="D402" i="1"/>
  <c r="E402" i="1"/>
  <c r="F402" i="1"/>
  <c r="G402" i="1"/>
  <c r="H402" i="1"/>
  <c r="D403" i="1"/>
  <c r="E403" i="1"/>
  <c r="F403" i="1"/>
  <c r="G403" i="1"/>
  <c r="H403" i="1"/>
  <c r="D404" i="1"/>
  <c r="E404" i="1"/>
  <c r="F404" i="1"/>
  <c r="G404" i="1"/>
  <c r="H404" i="1"/>
  <c r="D405" i="1"/>
  <c r="E405" i="1"/>
  <c r="F405" i="1"/>
  <c r="G405" i="1"/>
  <c r="H405" i="1"/>
  <c r="D406" i="1"/>
  <c r="E406" i="1"/>
  <c r="F406" i="1"/>
  <c r="G406" i="1"/>
  <c r="H406" i="1"/>
  <c r="D407" i="1"/>
  <c r="E407" i="1"/>
  <c r="F407" i="1"/>
  <c r="G407" i="1"/>
  <c r="H407" i="1"/>
  <c r="D408" i="1"/>
  <c r="E408" i="1"/>
  <c r="F408" i="1"/>
  <c r="G408" i="1"/>
  <c r="H408" i="1"/>
  <c r="D409" i="1"/>
  <c r="E409" i="1"/>
  <c r="F409" i="1"/>
  <c r="G409" i="1"/>
  <c r="H409" i="1"/>
  <c r="D410" i="1"/>
  <c r="E410" i="1"/>
  <c r="F410" i="1"/>
  <c r="G410" i="1"/>
  <c r="H410" i="1"/>
  <c r="D411" i="1"/>
  <c r="E411" i="1"/>
  <c r="F411" i="1"/>
  <c r="G411" i="1"/>
  <c r="H411" i="1"/>
  <c r="D412" i="1"/>
  <c r="E412" i="1"/>
  <c r="F412" i="1"/>
  <c r="G412" i="1"/>
  <c r="H412" i="1"/>
  <c r="D413" i="1"/>
  <c r="E413" i="1"/>
  <c r="F413" i="1"/>
  <c r="G413" i="1"/>
  <c r="H413" i="1"/>
  <c r="D414" i="1"/>
  <c r="E414" i="1"/>
  <c r="F414" i="1"/>
  <c r="G414" i="1"/>
  <c r="H414" i="1"/>
  <c r="D415" i="1"/>
  <c r="E415" i="1"/>
  <c r="F415" i="1"/>
  <c r="G415" i="1"/>
  <c r="H415" i="1"/>
  <c r="D416" i="1"/>
  <c r="E416" i="1"/>
  <c r="F416" i="1"/>
  <c r="G416" i="1"/>
  <c r="H416" i="1"/>
  <c r="D417" i="1"/>
  <c r="E417" i="1"/>
  <c r="F417" i="1"/>
  <c r="G417" i="1"/>
  <c r="H417" i="1"/>
  <c r="D418" i="1"/>
  <c r="E418" i="1"/>
  <c r="F418" i="1"/>
  <c r="G418" i="1"/>
  <c r="H418" i="1"/>
  <c r="D419" i="1"/>
  <c r="E419" i="1"/>
  <c r="F419" i="1"/>
  <c r="G419" i="1"/>
  <c r="H419" i="1"/>
  <c r="D420" i="1"/>
  <c r="E420" i="1"/>
  <c r="F420" i="1"/>
  <c r="G420" i="1"/>
  <c r="H420" i="1"/>
  <c r="D421" i="1"/>
  <c r="E421" i="1"/>
  <c r="F421" i="1"/>
  <c r="G421" i="1"/>
  <c r="H421" i="1"/>
  <c r="D422" i="1"/>
  <c r="E422" i="1"/>
  <c r="F422" i="1"/>
  <c r="G422" i="1"/>
  <c r="H422" i="1"/>
  <c r="D423" i="1"/>
  <c r="E423" i="1"/>
  <c r="F423" i="1"/>
  <c r="G423" i="1"/>
  <c r="H423" i="1"/>
  <c r="D424" i="1"/>
  <c r="E424" i="1"/>
  <c r="F424" i="1"/>
  <c r="G424" i="1"/>
  <c r="H424" i="1"/>
  <c r="D425" i="1"/>
  <c r="E425" i="1"/>
  <c r="F425" i="1"/>
  <c r="G425" i="1"/>
  <c r="H425" i="1"/>
  <c r="D426" i="1"/>
  <c r="E426" i="1"/>
  <c r="F426" i="1"/>
  <c r="G426" i="1"/>
  <c r="H426" i="1"/>
  <c r="D427" i="1"/>
  <c r="E427" i="1"/>
  <c r="F427" i="1"/>
  <c r="G427" i="1"/>
  <c r="H427" i="1"/>
  <c r="D428" i="1"/>
  <c r="E428" i="1"/>
  <c r="F428" i="1"/>
  <c r="G428" i="1"/>
  <c r="H428" i="1"/>
  <c r="D429" i="1"/>
  <c r="E429" i="1"/>
  <c r="F429" i="1"/>
  <c r="G429" i="1"/>
  <c r="H429" i="1"/>
  <c r="D430" i="1"/>
  <c r="E430" i="1"/>
  <c r="F430" i="1"/>
  <c r="G430" i="1"/>
  <c r="H430" i="1"/>
  <c r="D431" i="1"/>
  <c r="E431" i="1"/>
  <c r="F431" i="1"/>
  <c r="G431" i="1"/>
  <c r="H431" i="1"/>
  <c r="D432" i="1"/>
  <c r="E432" i="1"/>
  <c r="F432" i="1"/>
  <c r="G432" i="1"/>
  <c r="H432" i="1"/>
  <c r="D433" i="1"/>
  <c r="E433" i="1"/>
  <c r="F433" i="1"/>
  <c r="G433" i="1"/>
  <c r="H433" i="1"/>
  <c r="D434" i="1"/>
  <c r="E434" i="1"/>
  <c r="F434" i="1"/>
  <c r="G434" i="1"/>
  <c r="H434" i="1"/>
  <c r="D435" i="1"/>
  <c r="E435" i="1"/>
  <c r="F435" i="1"/>
  <c r="G435" i="1"/>
  <c r="H435" i="1"/>
  <c r="D436" i="1"/>
  <c r="E436" i="1"/>
  <c r="F436" i="1"/>
  <c r="G436" i="1"/>
  <c r="H436" i="1"/>
  <c r="D437" i="1"/>
  <c r="E437" i="1"/>
  <c r="F437" i="1"/>
  <c r="G437" i="1"/>
  <c r="H437" i="1"/>
  <c r="D438" i="1"/>
  <c r="E438" i="1"/>
  <c r="F438" i="1"/>
  <c r="G438" i="1"/>
  <c r="H438" i="1"/>
  <c r="D439" i="1"/>
  <c r="E439" i="1"/>
  <c r="F439" i="1"/>
  <c r="G439" i="1"/>
  <c r="H439" i="1"/>
  <c r="D440" i="1"/>
  <c r="E440" i="1"/>
  <c r="F440" i="1"/>
  <c r="G440" i="1"/>
  <c r="H440" i="1"/>
  <c r="D441" i="1"/>
  <c r="E441" i="1"/>
  <c r="F441" i="1"/>
  <c r="G441" i="1"/>
  <c r="H441" i="1"/>
  <c r="D442" i="1"/>
  <c r="E442" i="1"/>
  <c r="F442" i="1"/>
  <c r="G442" i="1"/>
  <c r="H442" i="1"/>
  <c r="D443" i="1"/>
  <c r="E443" i="1"/>
  <c r="F443" i="1"/>
  <c r="G443" i="1"/>
  <c r="H443" i="1"/>
  <c r="D444" i="1"/>
  <c r="E444" i="1"/>
  <c r="F444" i="1"/>
  <c r="G444" i="1"/>
  <c r="H444" i="1"/>
  <c r="D445" i="1"/>
  <c r="E445" i="1"/>
  <c r="F445" i="1"/>
  <c r="G445" i="1"/>
  <c r="H445" i="1"/>
  <c r="D446" i="1"/>
  <c r="E446" i="1"/>
  <c r="F446" i="1"/>
  <c r="G446" i="1"/>
  <c r="H446" i="1"/>
  <c r="D447" i="1"/>
  <c r="E447" i="1"/>
  <c r="F447" i="1"/>
  <c r="G447" i="1"/>
  <c r="H447" i="1"/>
  <c r="D448" i="1"/>
  <c r="E448" i="1"/>
  <c r="F448" i="1"/>
  <c r="G448" i="1"/>
  <c r="H448" i="1"/>
  <c r="D449" i="1"/>
  <c r="E449" i="1"/>
  <c r="F449" i="1"/>
  <c r="G449" i="1"/>
  <c r="H449" i="1"/>
  <c r="D450" i="1"/>
  <c r="E450" i="1"/>
  <c r="F450" i="1"/>
  <c r="G450" i="1"/>
  <c r="H450" i="1"/>
  <c r="D451" i="1"/>
  <c r="E451" i="1"/>
  <c r="F451" i="1"/>
  <c r="G451" i="1"/>
  <c r="H451" i="1"/>
  <c r="D452" i="1"/>
  <c r="E452" i="1"/>
  <c r="F452" i="1"/>
  <c r="G452" i="1"/>
  <c r="H452" i="1"/>
  <c r="D453" i="1"/>
  <c r="E453" i="1"/>
  <c r="F453" i="1"/>
  <c r="G453" i="1"/>
  <c r="H453" i="1"/>
  <c r="D454" i="1"/>
  <c r="E454" i="1"/>
  <c r="F454" i="1"/>
  <c r="G454" i="1"/>
  <c r="H454" i="1"/>
  <c r="D455" i="1"/>
  <c r="E455" i="1"/>
  <c r="F455" i="1"/>
  <c r="G455" i="1"/>
  <c r="H455" i="1"/>
  <c r="D456" i="1"/>
  <c r="E456" i="1"/>
  <c r="F456" i="1"/>
  <c r="G456" i="1"/>
  <c r="H456" i="1"/>
  <c r="D457" i="1"/>
  <c r="E457" i="1"/>
  <c r="F457" i="1"/>
  <c r="G457" i="1"/>
  <c r="H457" i="1"/>
  <c r="D458" i="1"/>
  <c r="E458" i="1"/>
  <c r="F458" i="1"/>
  <c r="G458" i="1"/>
  <c r="H458" i="1"/>
  <c r="D459" i="1"/>
  <c r="E459" i="1"/>
  <c r="F459" i="1"/>
  <c r="G459" i="1"/>
  <c r="H459" i="1"/>
  <c r="D460" i="1"/>
  <c r="E460" i="1"/>
  <c r="F460" i="1"/>
  <c r="G460" i="1"/>
  <c r="H460" i="1"/>
  <c r="D461" i="1"/>
  <c r="E461" i="1"/>
  <c r="F461" i="1"/>
  <c r="G461" i="1"/>
  <c r="H461" i="1"/>
  <c r="D462" i="1"/>
  <c r="E462" i="1"/>
  <c r="F462" i="1"/>
  <c r="G462" i="1"/>
  <c r="H462" i="1"/>
  <c r="D463" i="1"/>
  <c r="E463" i="1"/>
  <c r="F463" i="1"/>
  <c r="G463" i="1"/>
  <c r="H463" i="1"/>
  <c r="D464" i="1"/>
  <c r="E464" i="1"/>
  <c r="F464" i="1"/>
  <c r="G464" i="1"/>
  <c r="H464" i="1"/>
  <c r="D465" i="1"/>
  <c r="E465" i="1"/>
  <c r="F465" i="1"/>
  <c r="G465" i="1"/>
  <c r="H465" i="1"/>
  <c r="D466" i="1"/>
  <c r="E466" i="1"/>
  <c r="F466" i="1"/>
  <c r="G466" i="1"/>
  <c r="H466" i="1"/>
  <c r="D467" i="1"/>
  <c r="E467" i="1"/>
  <c r="F467" i="1"/>
  <c r="G467" i="1"/>
  <c r="H467" i="1"/>
  <c r="D468" i="1"/>
  <c r="E468" i="1"/>
  <c r="F468" i="1"/>
  <c r="G468" i="1"/>
  <c r="H468" i="1"/>
  <c r="D469" i="1"/>
  <c r="E469" i="1"/>
  <c r="F469" i="1"/>
  <c r="G469" i="1"/>
  <c r="H469" i="1"/>
  <c r="D470" i="1"/>
  <c r="E470" i="1"/>
  <c r="F470" i="1"/>
  <c r="G470" i="1"/>
  <c r="H470" i="1"/>
  <c r="D471" i="1"/>
  <c r="E471" i="1"/>
  <c r="F471" i="1"/>
  <c r="G471" i="1"/>
  <c r="H471" i="1"/>
  <c r="D472" i="1"/>
  <c r="E472" i="1"/>
  <c r="F472" i="1"/>
  <c r="G472" i="1"/>
  <c r="H472" i="1"/>
  <c r="D473" i="1"/>
  <c r="E473" i="1"/>
  <c r="F473" i="1"/>
  <c r="G473" i="1"/>
  <c r="H473" i="1"/>
  <c r="D474" i="1"/>
  <c r="E474" i="1"/>
  <c r="F474" i="1"/>
  <c r="G474" i="1"/>
  <c r="H474" i="1"/>
  <c r="D475" i="1"/>
  <c r="E475" i="1"/>
  <c r="F475" i="1"/>
  <c r="G475" i="1"/>
  <c r="H475" i="1"/>
  <c r="D476" i="1"/>
  <c r="E476" i="1"/>
  <c r="F476" i="1"/>
  <c r="G476" i="1"/>
  <c r="H476" i="1"/>
  <c r="D477" i="1"/>
  <c r="E477" i="1"/>
  <c r="F477" i="1"/>
  <c r="G477" i="1"/>
  <c r="H477" i="1"/>
  <c r="D478" i="1"/>
  <c r="E478" i="1"/>
  <c r="F478" i="1"/>
  <c r="G478" i="1"/>
  <c r="H478" i="1"/>
  <c r="D479" i="1"/>
  <c r="E479" i="1"/>
  <c r="F479" i="1"/>
  <c r="G479" i="1"/>
  <c r="H479" i="1"/>
  <c r="D480" i="1"/>
  <c r="E480" i="1"/>
  <c r="F480" i="1"/>
  <c r="G480" i="1"/>
  <c r="H480" i="1"/>
  <c r="D481" i="1"/>
  <c r="E481" i="1"/>
  <c r="F481" i="1"/>
  <c r="G481" i="1"/>
  <c r="H481" i="1"/>
  <c r="D482" i="1"/>
  <c r="E482" i="1"/>
  <c r="F482" i="1"/>
  <c r="G482" i="1"/>
  <c r="H482" i="1"/>
  <c r="D483" i="1"/>
  <c r="E483" i="1"/>
  <c r="F483" i="1"/>
  <c r="G483" i="1"/>
  <c r="H483" i="1"/>
  <c r="D484" i="1"/>
  <c r="E484" i="1"/>
  <c r="F484" i="1"/>
  <c r="G484" i="1"/>
  <c r="H484" i="1"/>
  <c r="D485" i="1"/>
  <c r="E485" i="1"/>
  <c r="F485" i="1"/>
  <c r="G485" i="1"/>
  <c r="H485" i="1"/>
  <c r="D486" i="1"/>
  <c r="E486" i="1"/>
  <c r="F486" i="1"/>
  <c r="G486" i="1"/>
  <c r="H486" i="1"/>
  <c r="D487" i="1"/>
  <c r="E487" i="1"/>
  <c r="F487" i="1"/>
  <c r="G487" i="1"/>
  <c r="H487" i="1"/>
  <c r="D488" i="1"/>
  <c r="E488" i="1"/>
  <c r="F488" i="1"/>
  <c r="G488" i="1"/>
  <c r="H488" i="1"/>
  <c r="D489" i="1"/>
  <c r="E489" i="1"/>
  <c r="F489" i="1"/>
  <c r="G489" i="1"/>
  <c r="H489" i="1"/>
  <c r="D490" i="1"/>
  <c r="E490" i="1"/>
  <c r="F490" i="1"/>
  <c r="G490" i="1"/>
  <c r="H490" i="1"/>
  <c r="D491" i="1"/>
  <c r="E491" i="1"/>
  <c r="F491" i="1"/>
  <c r="G491" i="1"/>
  <c r="H491" i="1"/>
  <c r="D492" i="1"/>
  <c r="E492" i="1"/>
  <c r="F492" i="1"/>
  <c r="G492" i="1"/>
  <c r="H492" i="1"/>
  <c r="D493" i="1"/>
  <c r="E493" i="1"/>
  <c r="F493" i="1"/>
  <c r="G493" i="1"/>
  <c r="H493" i="1"/>
  <c r="D494" i="1"/>
  <c r="E494" i="1"/>
  <c r="F494" i="1"/>
  <c r="G494" i="1"/>
  <c r="H494" i="1"/>
  <c r="D495" i="1"/>
  <c r="E495" i="1"/>
  <c r="F495" i="1"/>
  <c r="G495" i="1"/>
  <c r="H495" i="1"/>
  <c r="D496" i="1"/>
  <c r="E496" i="1"/>
  <c r="F496" i="1"/>
  <c r="G496" i="1"/>
  <c r="H496" i="1"/>
  <c r="D497" i="1"/>
  <c r="E497" i="1"/>
  <c r="F497" i="1"/>
  <c r="G497" i="1"/>
  <c r="H497" i="1"/>
  <c r="D498" i="1"/>
  <c r="E498" i="1"/>
  <c r="F498" i="1"/>
  <c r="G498" i="1"/>
  <c r="H498" i="1"/>
  <c r="D499" i="1"/>
  <c r="E499" i="1"/>
  <c r="F499" i="1"/>
  <c r="G499" i="1"/>
  <c r="H499" i="1"/>
  <c r="D500" i="1"/>
  <c r="E500" i="1"/>
  <c r="F500" i="1"/>
  <c r="G500" i="1"/>
  <c r="H500" i="1"/>
  <c r="D501" i="1"/>
  <c r="E501" i="1"/>
  <c r="F501" i="1"/>
  <c r="G501" i="1"/>
  <c r="H501" i="1"/>
  <c r="D502" i="1"/>
  <c r="E502" i="1"/>
  <c r="F502" i="1"/>
  <c r="G502" i="1"/>
  <c r="H502" i="1"/>
  <c r="D503" i="1"/>
  <c r="E503" i="1"/>
  <c r="F503" i="1"/>
  <c r="G503" i="1"/>
  <c r="H503" i="1"/>
  <c r="D504" i="1"/>
  <c r="E504" i="1"/>
  <c r="F504" i="1"/>
  <c r="G504" i="1"/>
  <c r="H504" i="1"/>
  <c r="D505" i="1"/>
  <c r="E505" i="1"/>
  <c r="F505" i="1"/>
  <c r="G505" i="1"/>
  <c r="H505" i="1"/>
  <c r="D506" i="1"/>
  <c r="E506" i="1"/>
  <c r="F506" i="1"/>
  <c r="G506" i="1"/>
  <c r="H506" i="1"/>
  <c r="D507" i="1"/>
  <c r="E507" i="1"/>
  <c r="F507" i="1"/>
  <c r="G507" i="1"/>
  <c r="H507" i="1"/>
  <c r="D508" i="1"/>
  <c r="E508" i="1"/>
  <c r="F508" i="1"/>
  <c r="G508" i="1"/>
  <c r="H508" i="1"/>
  <c r="D509" i="1"/>
  <c r="E509" i="1"/>
  <c r="F509" i="1"/>
  <c r="G509" i="1"/>
  <c r="H509" i="1"/>
  <c r="D510" i="1"/>
  <c r="E510" i="1"/>
  <c r="F510" i="1"/>
  <c r="G510" i="1"/>
  <c r="H510" i="1"/>
  <c r="D511" i="1"/>
  <c r="E511" i="1"/>
  <c r="F511" i="1"/>
  <c r="G511" i="1"/>
  <c r="H511" i="1"/>
  <c r="D512" i="1"/>
  <c r="E512" i="1"/>
  <c r="F512" i="1"/>
  <c r="G512" i="1"/>
  <c r="H512" i="1"/>
  <c r="D513" i="1"/>
  <c r="E513" i="1"/>
  <c r="F513" i="1"/>
  <c r="G513" i="1"/>
  <c r="H513" i="1"/>
  <c r="D514" i="1"/>
  <c r="E514" i="1"/>
  <c r="F514" i="1"/>
  <c r="G514" i="1"/>
  <c r="H514" i="1"/>
  <c r="D515" i="1"/>
  <c r="E515" i="1"/>
  <c r="F515" i="1"/>
  <c r="G515" i="1"/>
  <c r="H515" i="1"/>
  <c r="D516" i="1"/>
  <c r="E516" i="1"/>
  <c r="F516" i="1"/>
  <c r="G516" i="1"/>
  <c r="H516" i="1"/>
  <c r="D517" i="1"/>
  <c r="E517" i="1"/>
  <c r="F517" i="1"/>
  <c r="G517" i="1"/>
  <c r="H517" i="1"/>
  <c r="D518" i="1"/>
  <c r="E518" i="1"/>
  <c r="F518" i="1"/>
  <c r="G518" i="1"/>
  <c r="H518" i="1"/>
  <c r="D519" i="1"/>
  <c r="E519" i="1"/>
  <c r="F519" i="1"/>
  <c r="G519" i="1"/>
  <c r="H519" i="1"/>
  <c r="D520" i="1"/>
  <c r="E520" i="1"/>
  <c r="F520" i="1"/>
  <c r="G520" i="1"/>
  <c r="H520" i="1"/>
  <c r="D521" i="1"/>
  <c r="E521" i="1"/>
  <c r="F521" i="1"/>
  <c r="G521" i="1"/>
  <c r="H521" i="1"/>
  <c r="D522" i="1"/>
  <c r="E522" i="1"/>
  <c r="F522" i="1"/>
  <c r="G522" i="1"/>
  <c r="H522" i="1"/>
  <c r="D523" i="1"/>
  <c r="E523" i="1"/>
  <c r="F523" i="1"/>
  <c r="G523" i="1"/>
  <c r="H523" i="1"/>
  <c r="D524" i="1"/>
  <c r="E524" i="1"/>
  <c r="F524" i="1"/>
  <c r="G524" i="1"/>
  <c r="H524" i="1"/>
  <c r="D525" i="1"/>
  <c r="E525" i="1"/>
  <c r="F525" i="1"/>
  <c r="G525" i="1"/>
  <c r="H525" i="1"/>
  <c r="D526" i="1"/>
  <c r="E526" i="1"/>
  <c r="F526" i="1"/>
  <c r="G526" i="1"/>
  <c r="H526" i="1"/>
  <c r="D527" i="1"/>
  <c r="E527" i="1"/>
  <c r="F527" i="1"/>
  <c r="G527" i="1"/>
  <c r="H527" i="1"/>
  <c r="D528" i="1"/>
  <c r="E528" i="1"/>
  <c r="F528" i="1"/>
  <c r="G528" i="1"/>
  <c r="H528" i="1"/>
  <c r="D529" i="1"/>
  <c r="E529" i="1"/>
  <c r="F529" i="1"/>
  <c r="G529" i="1"/>
  <c r="H529" i="1"/>
  <c r="D530" i="1"/>
  <c r="E530" i="1"/>
  <c r="F530" i="1"/>
  <c r="G530" i="1"/>
  <c r="H530" i="1"/>
  <c r="D2" i="1"/>
  <c r="E2" i="1"/>
  <c r="F2" i="1"/>
  <c r="G2" i="1"/>
  <c r="H2" i="1"/>
  <c r="C3" i="1"/>
  <c r="I3" i="1" s="1"/>
  <c r="C4" i="1"/>
  <c r="I4" i="1" s="1"/>
  <c r="C5" i="1"/>
  <c r="I5" i="1" s="1"/>
  <c r="C6" i="1"/>
  <c r="I6" i="1" s="1"/>
  <c r="C7" i="1"/>
  <c r="C8" i="1"/>
  <c r="I8" i="1" s="1"/>
  <c r="C9" i="1"/>
  <c r="I9" i="1" s="1"/>
  <c r="C10" i="1"/>
  <c r="I10" i="1" s="1"/>
  <c r="C11" i="1"/>
  <c r="C12" i="1"/>
  <c r="I12" i="1" s="1"/>
  <c r="C13" i="1"/>
  <c r="I13" i="1" s="1"/>
  <c r="C14" i="1"/>
  <c r="I14" i="1" s="1"/>
  <c r="C15" i="1"/>
  <c r="C16" i="1"/>
  <c r="I16" i="1" s="1"/>
  <c r="C17" i="1"/>
  <c r="I17" i="1" s="1"/>
  <c r="C18" i="1"/>
  <c r="I18" i="1" s="1"/>
  <c r="C19" i="1"/>
  <c r="I19" i="1" s="1"/>
  <c r="C20" i="1"/>
  <c r="I20" i="1" s="1"/>
  <c r="C21" i="1"/>
  <c r="I21" i="1" s="1"/>
  <c r="C22" i="1"/>
  <c r="I22" i="1" s="1"/>
  <c r="C23" i="1"/>
  <c r="I23" i="1" s="1"/>
  <c r="C24" i="1"/>
  <c r="I24" i="1" s="1"/>
  <c r="C25" i="1"/>
  <c r="I25" i="1" s="1"/>
  <c r="C26" i="1"/>
  <c r="I26" i="1" s="1"/>
  <c r="C27" i="1"/>
  <c r="C28" i="1"/>
  <c r="I28" i="1" s="1"/>
  <c r="C29" i="1"/>
  <c r="I29" i="1" s="1"/>
  <c r="C30" i="1"/>
  <c r="I30" i="1" s="1"/>
  <c r="C31" i="1"/>
  <c r="C32" i="1"/>
  <c r="I32" i="1" s="1"/>
  <c r="C33" i="1"/>
  <c r="I33" i="1" s="1"/>
  <c r="C34" i="1"/>
  <c r="I34" i="1" s="1"/>
  <c r="C35" i="1"/>
  <c r="C36" i="1"/>
  <c r="I36" i="1" s="1"/>
  <c r="C37" i="1"/>
  <c r="I37" i="1" s="1"/>
  <c r="C38" i="1"/>
  <c r="I38" i="1" s="1"/>
  <c r="C39" i="1"/>
  <c r="I39" i="1" s="1"/>
  <c r="C40" i="1"/>
  <c r="I40" i="1" s="1"/>
  <c r="C41" i="1"/>
  <c r="I41" i="1" s="1"/>
  <c r="C42" i="1"/>
  <c r="I42" i="1" s="1"/>
  <c r="C43" i="1"/>
  <c r="I43" i="1" s="1"/>
  <c r="C44" i="1"/>
  <c r="I44" i="1" s="1"/>
  <c r="C45" i="1"/>
  <c r="I45" i="1" s="1"/>
  <c r="C46" i="1"/>
  <c r="I46" i="1" s="1"/>
  <c r="C47" i="1"/>
  <c r="C48" i="1"/>
  <c r="I48" i="1" s="1"/>
  <c r="C49" i="1"/>
  <c r="I49" i="1" s="1"/>
  <c r="C50" i="1"/>
  <c r="I50" i="1" s="1"/>
  <c r="C51" i="1"/>
  <c r="C52" i="1"/>
  <c r="I52" i="1" s="1"/>
  <c r="C53" i="1"/>
  <c r="I53" i="1" s="1"/>
  <c r="C54" i="1"/>
  <c r="I54" i="1" s="1"/>
  <c r="C55" i="1"/>
  <c r="C56" i="1"/>
  <c r="I56" i="1" s="1"/>
  <c r="C57" i="1"/>
  <c r="I57" i="1" s="1"/>
  <c r="C58" i="1"/>
  <c r="I58" i="1" s="1"/>
  <c r="C59" i="1"/>
  <c r="I59" i="1" s="1"/>
  <c r="C60" i="1"/>
  <c r="I60" i="1" s="1"/>
  <c r="C61" i="1"/>
  <c r="I61" i="1" s="1"/>
  <c r="C62" i="1"/>
  <c r="I62" i="1" s="1"/>
  <c r="C63" i="1"/>
  <c r="I63" i="1" s="1"/>
  <c r="C64" i="1"/>
  <c r="I64" i="1" s="1"/>
  <c r="C65" i="1"/>
  <c r="I65" i="1" s="1"/>
  <c r="C66" i="1"/>
  <c r="I66" i="1" s="1"/>
  <c r="C67" i="1"/>
  <c r="C68" i="1"/>
  <c r="I68" i="1" s="1"/>
  <c r="C69" i="1"/>
  <c r="I69" i="1" s="1"/>
  <c r="C70" i="1"/>
  <c r="I70" i="1" s="1"/>
  <c r="C71" i="1"/>
  <c r="C72" i="1"/>
  <c r="I72" i="1" s="1"/>
  <c r="C73" i="1"/>
  <c r="I73" i="1" s="1"/>
  <c r="C74" i="1"/>
  <c r="I74" i="1" s="1"/>
  <c r="C75" i="1"/>
  <c r="C76" i="1"/>
  <c r="I76" i="1" s="1"/>
  <c r="C77" i="1"/>
  <c r="I77" i="1" s="1"/>
  <c r="C78" i="1"/>
  <c r="I78" i="1" s="1"/>
  <c r="C79" i="1"/>
  <c r="I79" i="1" s="1"/>
  <c r="C80" i="1"/>
  <c r="I80" i="1" s="1"/>
  <c r="C81" i="1"/>
  <c r="I81" i="1" s="1"/>
  <c r="C82" i="1"/>
  <c r="I82" i="1" s="1"/>
  <c r="C83" i="1"/>
  <c r="I83" i="1" s="1"/>
  <c r="C84" i="1"/>
  <c r="I84" i="1" s="1"/>
  <c r="C85" i="1"/>
  <c r="I85" i="1" s="1"/>
  <c r="C86" i="1"/>
  <c r="I86" i="1" s="1"/>
  <c r="C87" i="1"/>
  <c r="C88" i="1"/>
  <c r="I88" i="1" s="1"/>
  <c r="C89" i="1"/>
  <c r="I89" i="1" s="1"/>
  <c r="C90" i="1"/>
  <c r="I90" i="1" s="1"/>
  <c r="C91" i="1"/>
  <c r="C92" i="1"/>
  <c r="I92" i="1" s="1"/>
  <c r="C93" i="1"/>
  <c r="I93" i="1" s="1"/>
  <c r="C94" i="1"/>
  <c r="I94" i="1" s="1"/>
  <c r="C95" i="1"/>
  <c r="C96" i="1"/>
  <c r="I96" i="1" s="1"/>
  <c r="C97" i="1"/>
  <c r="I97" i="1" s="1"/>
  <c r="C98" i="1"/>
  <c r="I98" i="1" s="1"/>
  <c r="C99" i="1"/>
  <c r="I99" i="1" s="1"/>
  <c r="C100" i="1"/>
  <c r="I100" i="1" s="1"/>
  <c r="C101" i="1"/>
  <c r="I101" i="1" s="1"/>
  <c r="C102" i="1"/>
  <c r="I102" i="1" s="1"/>
  <c r="C103" i="1"/>
  <c r="I103" i="1" s="1"/>
  <c r="C104" i="1"/>
  <c r="I104" i="1" s="1"/>
  <c r="C105" i="1"/>
  <c r="I105" i="1" s="1"/>
  <c r="C106" i="1"/>
  <c r="I106" i="1" s="1"/>
  <c r="C107" i="1"/>
  <c r="C108" i="1"/>
  <c r="I108" i="1" s="1"/>
  <c r="C109" i="1"/>
  <c r="I109" i="1" s="1"/>
  <c r="C110" i="1"/>
  <c r="I110" i="1" s="1"/>
  <c r="C111" i="1"/>
  <c r="C112" i="1"/>
  <c r="I112" i="1" s="1"/>
  <c r="C113" i="1"/>
  <c r="I113" i="1" s="1"/>
  <c r="C114" i="1"/>
  <c r="I114" i="1" s="1"/>
  <c r="C115" i="1"/>
  <c r="C116" i="1"/>
  <c r="I116" i="1" s="1"/>
  <c r="C117" i="1"/>
  <c r="I117" i="1" s="1"/>
  <c r="C118" i="1"/>
  <c r="I118" i="1" s="1"/>
  <c r="C119" i="1"/>
  <c r="I119" i="1" s="1"/>
  <c r="C120" i="1"/>
  <c r="I120" i="1" s="1"/>
  <c r="C121" i="1"/>
  <c r="I121" i="1" s="1"/>
  <c r="C122" i="1"/>
  <c r="I122" i="1" s="1"/>
  <c r="C123" i="1"/>
  <c r="I123" i="1" s="1"/>
  <c r="C124" i="1"/>
  <c r="I124" i="1" s="1"/>
  <c r="C125" i="1"/>
  <c r="I125" i="1" s="1"/>
  <c r="C126" i="1"/>
  <c r="I126" i="1" s="1"/>
  <c r="C127" i="1"/>
  <c r="C128" i="1"/>
  <c r="I128" i="1" s="1"/>
  <c r="C129" i="1"/>
  <c r="I129" i="1" s="1"/>
  <c r="C130" i="1"/>
  <c r="I130" i="1" s="1"/>
  <c r="C131" i="1"/>
  <c r="C132" i="1"/>
  <c r="C133" i="1"/>
  <c r="I133" i="1" s="1"/>
  <c r="C134" i="1"/>
  <c r="C135" i="1"/>
  <c r="C136" i="1"/>
  <c r="C137" i="1"/>
  <c r="I137" i="1" s="1"/>
  <c r="C138" i="1"/>
  <c r="I138" i="1" s="1"/>
  <c r="C139" i="1"/>
  <c r="C140" i="1"/>
  <c r="C141" i="1"/>
  <c r="C142" i="1"/>
  <c r="C143" i="1"/>
  <c r="I143" i="1" s="1"/>
  <c r="C144" i="1"/>
  <c r="C145" i="1"/>
  <c r="C146" i="1"/>
  <c r="C147" i="1"/>
  <c r="C148" i="1"/>
  <c r="I148" i="1" s="1"/>
  <c r="C149" i="1"/>
  <c r="C150" i="1"/>
  <c r="C151" i="1"/>
  <c r="C152" i="1"/>
  <c r="C153" i="1"/>
  <c r="I153" i="1" s="1"/>
  <c r="C154" i="1"/>
  <c r="C155" i="1"/>
  <c r="C156" i="1"/>
  <c r="C157" i="1"/>
  <c r="C158" i="1"/>
  <c r="I158" i="1" s="1"/>
  <c r="C159" i="1"/>
  <c r="C160" i="1"/>
  <c r="C161" i="1"/>
  <c r="C162" i="1"/>
  <c r="C163" i="1"/>
  <c r="I163" i="1" s="1"/>
  <c r="C164" i="1"/>
  <c r="C165" i="1"/>
  <c r="C166" i="1"/>
  <c r="C167" i="1"/>
  <c r="C168" i="1"/>
  <c r="I168" i="1" s="1"/>
  <c r="C169" i="1"/>
  <c r="C170" i="1"/>
  <c r="C171" i="1"/>
  <c r="C172" i="1"/>
  <c r="C173" i="1"/>
  <c r="I173" i="1" s="1"/>
  <c r="C174" i="1"/>
  <c r="C175" i="1"/>
  <c r="C176" i="1"/>
  <c r="C177" i="1"/>
  <c r="C178" i="1"/>
  <c r="I178" i="1" s="1"/>
  <c r="C179" i="1"/>
  <c r="C180" i="1"/>
  <c r="C181" i="1"/>
  <c r="C182" i="1"/>
  <c r="C183" i="1"/>
  <c r="I183" i="1" s="1"/>
  <c r="C184" i="1"/>
  <c r="C185" i="1"/>
  <c r="C186" i="1"/>
  <c r="C187" i="1"/>
  <c r="C188" i="1"/>
  <c r="I188" i="1" s="1"/>
  <c r="C189" i="1"/>
  <c r="C190" i="1"/>
  <c r="C191" i="1"/>
  <c r="C192" i="1"/>
  <c r="C193" i="1"/>
  <c r="I193" i="1" s="1"/>
  <c r="C194" i="1"/>
  <c r="C195" i="1"/>
  <c r="C196" i="1"/>
  <c r="C197" i="1"/>
  <c r="C198" i="1"/>
  <c r="I198" i="1" s="1"/>
  <c r="C199" i="1"/>
  <c r="C200" i="1"/>
  <c r="C201" i="1"/>
  <c r="C202" i="1"/>
  <c r="C203" i="1"/>
  <c r="I203" i="1" s="1"/>
  <c r="C204" i="1"/>
  <c r="C205" i="1"/>
  <c r="C206" i="1"/>
  <c r="C207" i="1"/>
  <c r="C208" i="1"/>
  <c r="I208" i="1" s="1"/>
  <c r="C209" i="1"/>
  <c r="C210" i="1"/>
  <c r="C211" i="1"/>
  <c r="C212" i="1"/>
  <c r="C213" i="1"/>
  <c r="I213" i="1" s="1"/>
  <c r="C214" i="1"/>
  <c r="C215" i="1"/>
  <c r="C216" i="1"/>
  <c r="C217" i="1"/>
  <c r="C218" i="1"/>
  <c r="I218" i="1" s="1"/>
  <c r="C219" i="1"/>
  <c r="C220" i="1"/>
  <c r="C221" i="1"/>
  <c r="C222" i="1"/>
  <c r="C223" i="1"/>
  <c r="I223" i="1" s="1"/>
  <c r="C224" i="1"/>
  <c r="C225" i="1"/>
  <c r="C226" i="1"/>
  <c r="C227" i="1"/>
  <c r="C228" i="1"/>
  <c r="I228" i="1" s="1"/>
  <c r="C229" i="1"/>
  <c r="C230" i="1"/>
  <c r="C231" i="1"/>
  <c r="C232" i="1"/>
  <c r="C233" i="1"/>
  <c r="I233" i="1" s="1"/>
  <c r="C234" i="1"/>
  <c r="C235" i="1"/>
  <c r="C236" i="1"/>
  <c r="C237" i="1"/>
  <c r="C238" i="1"/>
  <c r="I238" i="1" s="1"/>
  <c r="C239" i="1"/>
  <c r="C240" i="1"/>
  <c r="C241" i="1"/>
  <c r="C242" i="1"/>
  <c r="C243" i="1"/>
  <c r="I243" i="1" s="1"/>
  <c r="C244" i="1"/>
  <c r="C245" i="1"/>
  <c r="C246" i="1"/>
  <c r="C247" i="1"/>
  <c r="C248" i="1"/>
  <c r="I248" i="1" s="1"/>
  <c r="C249" i="1"/>
  <c r="C250" i="1"/>
  <c r="C251" i="1"/>
  <c r="C252" i="1"/>
  <c r="C253" i="1"/>
  <c r="I253" i="1" s="1"/>
  <c r="C254" i="1"/>
  <c r="C255" i="1"/>
  <c r="C256" i="1"/>
  <c r="C257" i="1"/>
  <c r="C258" i="1"/>
  <c r="I258" i="1" s="1"/>
  <c r="C259" i="1"/>
  <c r="C260" i="1"/>
  <c r="C261" i="1"/>
  <c r="C262" i="1"/>
  <c r="C263" i="1"/>
  <c r="I263" i="1" s="1"/>
  <c r="C264" i="1"/>
  <c r="C265" i="1"/>
  <c r="C266" i="1"/>
  <c r="C267" i="1"/>
  <c r="C268" i="1"/>
  <c r="I268" i="1" s="1"/>
  <c r="C269" i="1"/>
  <c r="C270" i="1"/>
  <c r="C271" i="1"/>
  <c r="C272" i="1"/>
  <c r="C273" i="1"/>
  <c r="I273" i="1" s="1"/>
  <c r="C274" i="1"/>
  <c r="C275" i="1"/>
  <c r="C276" i="1"/>
  <c r="C277" i="1"/>
  <c r="C278" i="1"/>
  <c r="I278" i="1" s="1"/>
  <c r="C279" i="1"/>
  <c r="C280" i="1"/>
  <c r="C281" i="1"/>
  <c r="C282" i="1"/>
  <c r="C283" i="1"/>
  <c r="I283" i="1" s="1"/>
  <c r="C284" i="1"/>
  <c r="C285" i="1"/>
  <c r="C286" i="1"/>
  <c r="C287" i="1"/>
  <c r="C288" i="1"/>
  <c r="I288" i="1" s="1"/>
  <c r="C289" i="1"/>
  <c r="C290" i="1"/>
  <c r="C291" i="1"/>
  <c r="C292" i="1"/>
  <c r="C293" i="1"/>
  <c r="I293" i="1" s="1"/>
  <c r="C294" i="1"/>
  <c r="C295" i="1"/>
  <c r="C296" i="1"/>
  <c r="C297" i="1"/>
  <c r="C298" i="1"/>
  <c r="I298" i="1" s="1"/>
  <c r="C299" i="1"/>
  <c r="C300" i="1"/>
  <c r="C301" i="1"/>
  <c r="C302" i="1"/>
  <c r="C303" i="1"/>
  <c r="I303" i="1" s="1"/>
  <c r="C304" i="1"/>
  <c r="C305" i="1"/>
  <c r="C306" i="1"/>
  <c r="C307" i="1"/>
  <c r="C308" i="1"/>
  <c r="I308" i="1" s="1"/>
  <c r="C309" i="1"/>
  <c r="C310" i="1"/>
  <c r="C311" i="1"/>
  <c r="C312" i="1"/>
  <c r="C313" i="1"/>
  <c r="I313" i="1" s="1"/>
  <c r="C314" i="1"/>
  <c r="C315" i="1"/>
  <c r="C316" i="1"/>
  <c r="C317" i="1"/>
  <c r="C318" i="1"/>
  <c r="I318" i="1" s="1"/>
  <c r="C319" i="1"/>
  <c r="C320" i="1"/>
  <c r="C321" i="1"/>
  <c r="C322" i="1"/>
  <c r="C323" i="1"/>
  <c r="I323" i="1" s="1"/>
  <c r="C324" i="1"/>
  <c r="C325" i="1"/>
  <c r="C326" i="1"/>
  <c r="C327" i="1"/>
  <c r="C328" i="1"/>
  <c r="I328" i="1" s="1"/>
  <c r="C329" i="1"/>
  <c r="C330" i="1"/>
  <c r="C331" i="1"/>
  <c r="C332" i="1"/>
  <c r="C333" i="1"/>
  <c r="I333" i="1" s="1"/>
  <c r="C334" i="1"/>
  <c r="C335" i="1"/>
  <c r="C336" i="1"/>
  <c r="C337" i="1"/>
  <c r="C338" i="1"/>
  <c r="I338" i="1" s="1"/>
  <c r="C339" i="1"/>
  <c r="C340" i="1"/>
  <c r="C341" i="1"/>
  <c r="C342" i="1"/>
  <c r="C343" i="1"/>
  <c r="I343" i="1" s="1"/>
  <c r="C344" i="1"/>
  <c r="C345" i="1"/>
  <c r="C346" i="1"/>
  <c r="C347" i="1"/>
  <c r="C348" i="1"/>
  <c r="I348" i="1" s="1"/>
  <c r="C349" i="1"/>
  <c r="C350" i="1"/>
  <c r="C351" i="1"/>
  <c r="C352" i="1"/>
  <c r="C353" i="1"/>
  <c r="I353" i="1" s="1"/>
  <c r="C354" i="1"/>
  <c r="C355" i="1"/>
  <c r="C356" i="1"/>
  <c r="C357" i="1"/>
  <c r="C358" i="1"/>
  <c r="I358" i="1" s="1"/>
  <c r="C359" i="1"/>
  <c r="C360" i="1"/>
  <c r="C361" i="1"/>
  <c r="C362" i="1"/>
  <c r="C363" i="1"/>
  <c r="I363" i="1" s="1"/>
  <c r="C364" i="1"/>
  <c r="C365" i="1"/>
  <c r="C366" i="1"/>
  <c r="C367" i="1"/>
  <c r="C368" i="1"/>
  <c r="I368" i="1" s="1"/>
  <c r="C369" i="1"/>
  <c r="C370" i="1"/>
  <c r="C371" i="1"/>
  <c r="C372" i="1"/>
  <c r="C373" i="1"/>
  <c r="I373" i="1" s="1"/>
  <c r="C374" i="1"/>
  <c r="C375" i="1"/>
  <c r="C376" i="1"/>
  <c r="C377" i="1"/>
  <c r="C378" i="1"/>
  <c r="I378" i="1" s="1"/>
  <c r="C379" i="1"/>
  <c r="C380" i="1"/>
  <c r="C381" i="1"/>
  <c r="C382" i="1"/>
  <c r="C383" i="1"/>
  <c r="I383" i="1" s="1"/>
  <c r="C384" i="1"/>
  <c r="C385" i="1"/>
  <c r="C386" i="1"/>
  <c r="C387" i="1"/>
  <c r="C388" i="1"/>
  <c r="I388" i="1" s="1"/>
  <c r="C389" i="1"/>
  <c r="C390" i="1"/>
  <c r="C391" i="1"/>
  <c r="C392" i="1"/>
  <c r="C393" i="1"/>
  <c r="I393" i="1" s="1"/>
  <c r="C394" i="1"/>
  <c r="C395" i="1"/>
  <c r="C396" i="1"/>
  <c r="C397" i="1"/>
  <c r="C398" i="1"/>
  <c r="I398" i="1" s="1"/>
  <c r="C399" i="1"/>
  <c r="C400" i="1"/>
  <c r="C401" i="1"/>
  <c r="C402" i="1"/>
  <c r="C403" i="1"/>
  <c r="I403" i="1" s="1"/>
  <c r="C404" i="1"/>
  <c r="C405" i="1"/>
  <c r="C406" i="1"/>
  <c r="C407" i="1"/>
  <c r="C408" i="1"/>
  <c r="I408" i="1" s="1"/>
  <c r="C409" i="1"/>
  <c r="C410" i="1"/>
  <c r="C411" i="1"/>
  <c r="C412" i="1"/>
  <c r="C413" i="1"/>
  <c r="I413" i="1" s="1"/>
  <c r="C414" i="1"/>
  <c r="C415" i="1"/>
  <c r="C416" i="1"/>
  <c r="C417" i="1"/>
  <c r="C418" i="1"/>
  <c r="I418" i="1" s="1"/>
  <c r="C419" i="1"/>
  <c r="C420" i="1"/>
  <c r="C421" i="1"/>
  <c r="C422" i="1"/>
  <c r="C423" i="1"/>
  <c r="I423" i="1" s="1"/>
  <c r="C424" i="1"/>
  <c r="C425" i="1"/>
  <c r="C426" i="1"/>
  <c r="C427" i="1"/>
  <c r="C428" i="1"/>
  <c r="I428" i="1" s="1"/>
  <c r="C429" i="1"/>
  <c r="C430" i="1"/>
  <c r="C431" i="1"/>
  <c r="C432" i="1"/>
  <c r="C433" i="1"/>
  <c r="I433" i="1" s="1"/>
  <c r="C434" i="1"/>
  <c r="C435" i="1"/>
  <c r="C436" i="1"/>
  <c r="C437" i="1"/>
  <c r="C438" i="1"/>
  <c r="I438" i="1" s="1"/>
  <c r="C439" i="1"/>
  <c r="C440" i="1"/>
  <c r="C441" i="1"/>
  <c r="C442" i="1"/>
  <c r="C443" i="1"/>
  <c r="I443" i="1" s="1"/>
  <c r="C444" i="1"/>
  <c r="C445" i="1"/>
  <c r="C446" i="1"/>
  <c r="C447" i="1"/>
  <c r="C448" i="1"/>
  <c r="I448" i="1" s="1"/>
  <c r="C449" i="1"/>
  <c r="C450" i="1"/>
  <c r="C451" i="1"/>
  <c r="C452" i="1"/>
  <c r="C453" i="1"/>
  <c r="I453" i="1" s="1"/>
  <c r="C454" i="1"/>
  <c r="C455" i="1"/>
  <c r="C456" i="1"/>
  <c r="C457" i="1"/>
  <c r="C458" i="1"/>
  <c r="I458" i="1" s="1"/>
  <c r="C459" i="1"/>
  <c r="C460" i="1"/>
  <c r="C461" i="1"/>
  <c r="C462" i="1"/>
  <c r="C463" i="1"/>
  <c r="I463" i="1" s="1"/>
  <c r="C464" i="1"/>
  <c r="C465" i="1"/>
  <c r="C466" i="1"/>
  <c r="C467" i="1"/>
  <c r="C468" i="1"/>
  <c r="I468" i="1" s="1"/>
  <c r="C469" i="1"/>
  <c r="C470" i="1"/>
  <c r="C471" i="1"/>
  <c r="C472" i="1"/>
  <c r="C473" i="1"/>
  <c r="I473" i="1" s="1"/>
  <c r="C474" i="1"/>
  <c r="C475" i="1"/>
  <c r="C476" i="1"/>
  <c r="C477" i="1"/>
  <c r="C478" i="1"/>
  <c r="I478" i="1" s="1"/>
  <c r="C479" i="1"/>
  <c r="C480" i="1"/>
  <c r="C481" i="1"/>
  <c r="C482" i="1"/>
  <c r="C483" i="1"/>
  <c r="I483" i="1" s="1"/>
  <c r="C484" i="1"/>
  <c r="C485" i="1"/>
  <c r="C486" i="1"/>
  <c r="C487" i="1"/>
  <c r="C488" i="1"/>
  <c r="I488" i="1" s="1"/>
  <c r="C489" i="1"/>
  <c r="C490" i="1"/>
  <c r="C491" i="1"/>
  <c r="C492" i="1"/>
  <c r="C493" i="1"/>
  <c r="I493" i="1" s="1"/>
  <c r="C494" i="1"/>
  <c r="C495" i="1"/>
  <c r="C496" i="1"/>
  <c r="C497" i="1"/>
  <c r="C498" i="1"/>
  <c r="I498" i="1" s="1"/>
  <c r="C499" i="1"/>
  <c r="C500" i="1"/>
  <c r="C501" i="1"/>
  <c r="C502" i="1"/>
  <c r="C503" i="1"/>
  <c r="I503" i="1" s="1"/>
  <c r="C504" i="1"/>
  <c r="C505" i="1"/>
  <c r="C506" i="1"/>
  <c r="C507" i="1"/>
  <c r="C508" i="1"/>
  <c r="I508" i="1" s="1"/>
  <c r="C509" i="1"/>
  <c r="C510" i="1"/>
  <c r="C511" i="1"/>
  <c r="C512" i="1"/>
  <c r="C513" i="1"/>
  <c r="I513" i="1" s="1"/>
  <c r="C514" i="1"/>
  <c r="C515" i="1"/>
  <c r="C516" i="1"/>
  <c r="C517" i="1"/>
  <c r="C518" i="1"/>
  <c r="I518" i="1" s="1"/>
  <c r="C519" i="1"/>
  <c r="C520" i="1"/>
  <c r="C521" i="1"/>
  <c r="C522" i="1"/>
  <c r="C523" i="1"/>
  <c r="I523" i="1" s="1"/>
  <c r="C524" i="1"/>
  <c r="C525" i="1"/>
  <c r="C526" i="1"/>
  <c r="C527" i="1"/>
  <c r="C528" i="1"/>
  <c r="I528" i="1" s="1"/>
  <c r="C529" i="1"/>
  <c r="C530" i="1"/>
  <c r="C2" i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B369" i="1" s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B490" i="1" s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A508" i="1"/>
  <c r="B508" i="1" s="1"/>
  <c r="A509" i="1"/>
  <c r="B509" i="1" s="1"/>
  <c r="A510" i="1"/>
  <c r="B510" i="1" s="1"/>
  <c r="A511" i="1"/>
  <c r="B511" i="1" s="1"/>
  <c r="A512" i="1"/>
  <c r="B512" i="1" s="1"/>
  <c r="A513" i="1"/>
  <c r="B513" i="1" s="1"/>
  <c r="A514" i="1"/>
  <c r="B514" i="1" s="1"/>
  <c r="A515" i="1"/>
  <c r="B515" i="1" s="1"/>
  <c r="A516" i="1"/>
  <c r="B516" i="1" s="1"/>
  <c r="A517" i="1"/>
  <c r="B517" i="1" s="1"/>
  <c r="A518" i="1"/>
  <c r="B518" i="1" s="1"/>
  <c r="A519" i="1"/>
  <c r="B519" i="1" s="1"/>
  <c r="A520" i="1"/>
  <c r="B520" i="1" s="1"/>
  <c r="A521" i="1"/>
  <c r="B521" i="1" s="1"/>
  <c r="A522" i="1"/>
  <c r="B522" i="1" s="1"/>
  <c r="A523" i="1"/>
  <c r="B523" i="1" s="1"/>
  <c r="A524" i="1"/>
  <c r="B524" i="1" s="1"/>
  <c r="A525" i="1"/>
  <c r="B525" i="1" s="1"/>
  <c r="A526" i="1"/>
  <c r="B526" i="1" s="1"/>
  <c r="A527" i="1"/>
  <c r="B527" i="1" s="1"/>
  <c r="A528" i="1"/>
  <c r="B528" i="1" s="1"/>
  <c r="A529" i="1"/>
  <c r="B529" i="1" s="1"/>
  <c r="A530" i="1"/>
  <c r="B530" i="1" s="1"/>
  <c r="A2" i="1"/>
  <c r="B2" i="1" s="1"/>
  <c r="Q4" i="1" l="1"/>
  <c r="I519" i="1"/>
  <c r="I499" i="1"/>
  <c r="I479" i="1"/>
  <c r="I459" i="1"/>
  <c r="I439" i="1"/>
  <c r="I419" i="1"/>
  <c r="I399" i="1"/>
  <c r="I379" i="1"/>
  <c r="I359" i="1"/>
  <c r="I339" i="1"/>
  <c r="I319" i="1"/>
  <c r="I299" i="1"/>
  <c r="I279" i="1"/>
  <c r="I259" i="1"/>
  <c r="I239" i="1"/>
  <c r="I219" i="1"/>
  <c r="I199" i="1"/>
  <c r="I179" i="1"/>
  <c r="I159" i="1"/>
  <c r="I139" i="1"/>
  <c r="I517" i="1"/>
  <c r="I497" i="1"/>
  <c r="I477" i="1"/>
  <c r="I457" i="1"/>
  <c r="I437" i="1"/>
  <c r="I417" i="1"/>
  <c r="I397" i="1"/>
  <c r="I377" i="1"/>
  <c r="I357" i="1"/>
  <c r="I337" i="1"/>
  <c r="I317" i="1"/>
  <c r="I297" i="1"/>
  <c r="I277" i="1"/>
  <c r="I257" i="1"/>
  <c r="I237" i="1"/>
  <c r="I217" i="1"/>
  <c r="I197" i="1"/>
  <c r="I177" i="1"/>
  <c r="I157" i="1"/>
  <c r="I521" i="1"/>
  <c r="I501" i="1"/>
  <c r="I481" i="1"/>
  <c r="I461" i="1"/>
  <c r="I441" i="1"/>
  <c r="I421" i="1"/>
  <c r="I401" i="1"/>
  <c r="I381" i="1"/>
  <c r="I361" i="1"/>
  <c r="I341" i="1"/>
  <c r="I321" i="1"/>
  <c r="I301" i="1"/>
  <c r="I281" i="1"/>
  <c r="I261" i="1"/>
  <c r="I241" i="1"/>
  <c r="I221" i="1"/>
  <c r="I201" i="1"/>
  <c r="I181" i="1"/>
  <c r="I161" i="1"/>
  <c r="I141" i="1"/>
  <c r="I520" i="1"/>
  <c r="I500" i="1"/>
  <c r="I480" i="1"/>
  <c r="I460" i="1"/>
  <c r="I440" i="1"/>
  <c r="I420" i="1"/>
  <c r="I400" i="1"/>
  <c r="I380" i="1"/>
  <c r="I360" i="1"/>
  <c r="I340" i="1"/>
  <c r="I320" i="1"/>
  <c r="I300" i="1"/>
  <c r="I280" i="1"/>
  <c r="I260" i="1"/>
  <c r="I240" i="1"/>
  <c r="I220" i="1"/>
  <c r="I200" i="1"/>
  <c r="I180" i="1"/>
  <c r="I160" i="1"/>
  <c r="I140" i="1"/>
  <c r="I516" i="1"/>
  <c r="I496" i="1"/>
  <c r="I476" i="1"/>
  <c r="I456" i="1"/>
  <c r="I436" i="1"/>
  <c r="I416" i="1"/>
  <c r="I396" i="1"/>
  <c r="I376" i="1"/>
  <c r="I356" i="1"/>
  <c r="I336" i="1"/>
  <c r="I316" i="1"/>
  <c r="I296" i="1"/>
  <c r="I276" i="1"/>
  <c r="I256" i="1"/>
  <c r="I236" i="1"/>
  <c r="I216" i="1"/>
  <c r="I196" i="1"/>
  <c r="I176" i="1"/>
  <c r="I156" i="1"/>
  <c r="I136" i="1"/>
  <c r="I515" i="1"/>
  <c r="I495" i="1"/>
  <c r="I475" i="1"/>
  <c r="I455" i="1"/>
  <c r="I435" i="1"/>
  <c r="I415" i="1"/>
  <c r="I395" i="1"/>
  <c r="I375" i="1"/>
  <c r="I355" i="1"/>
  <c r="I335" i="1"/>
  <c r="I315" i="1"/>
  <c r="I295" i="1"/>
  <c r="I275" i="1"/>
  <c r="I255" i="1"/>
  <c r="I235" i="1"/>
  <c r="I215" i="1"/>
  <c r="I195" i="1"/>
  <c r="I175" i="1"/>
  <c r="I155" i="1"/>
  <c r="I135" i="1"/>
  <c r="I115" i="1"/>
  <c r="I95" i="1"/>
  <c r="I75" i="1"/>
  <c r="I55" i="1"/>
  <c r="I35" i="1"/>
  <c r="I15" i="1"/>
  <c r="I514" i="1"/>
  <c r="I494" i="1"/>
  <c r="I474" i="1"/>
  <c r="I454" i="1"/>
  <c r="I434" i="1"/>
  <c r="I414" i="1"/>
  <c r="I394" i="1"/>
  <c r="I374" i="1"/>
  <c r="I354" i="1"/>
  <c r="I334" i="1"/>
  <c r="I314" i="1"/>
  <c r="I294" i="1"/>
  <c r="I274" i="1"/>
  <c r="I254" i="1"/>
  <c r="I234" i="1"/>
  <c r="I214" i="1"/>
  <c r="I194" i="1"/>
  <c r="I174" i="1"/>
  <c r="I154" i="1"/>
  <c r="I134" i="1"/>
  <c r="I512" i="1"/>
  <c r="I492" i="1"/>
  <c r="I472" i="1"/>
  <c r="I452" i="1"/>
  <c r="I432" i="1"/>
  <c r="I412" i="1"/>
  <c r="I392" i="1"/>
  <c r="I372" i="1"/>
  <c r="I352" i="1"/>
  <c r="I332" i="1"/>
  <c r="I312" i="1"/>
  <c r="I292" i="1"/>
  <c r="I272" i="1"/>
  <c r="I252" i="1"/>
  <c r="I232" i="1"/>
  <c r="I212" i="1"/>
  <c r="I192" i="1"/>
  <c r="I172" i="1"/>
  <c r="I152" i="1"/>
  <c r="I132" i="1"/>
  <c r="I2" i="1"/>
  <c r="I511" i="1"/>
  <c r="I491" i="1"/>
  <c r="I471" i="1"/>
  <c r="I451" i="1"/>
  <c r="I431" i="1"/>
  <c r="I411" i="1"/>
  <c r="I391" i="1"/>
  <c r="I371" i="1"/>
  <c r="I351" i="1"/>
  <c r="I331" i="1"/>
  <c r="I311" i="1"/>
  <c r="I291" i="1"/>
  <c r="I271" i="1"/>
  <c r="I251" i="1"/>
  <c r="I231" i="1"/>
  <c r="I211" i="1"/>
  <c r="I191" i="1"/>
  <c r="I171" i="1"/>
  <c r="I151" i="1"/>
  <c r="I131" i="1"/>
  <c r="I111" i="1"/>
  <c r="I91" i="1"/>
  <c r="I71" i="1"/>
  <c r="I51" i="1"/>
  <c r="I31" i="1"/>
  <c r="I11" i="1"/>
  <c r="I530" i="1"/>
  <c r="I510" i="1"/>
  <c r="I490" i="1"/>
  <c r="I470" i="1"/>
  <c r="I450" i="1"/>
  <c r="I430" i="1"/>
  <c r="I410" i="1"/>
  <c r="I390" i="1"/>
  <c r="I370" i="1"/>
  <c r="I350" i="1"/>
  <c r="I330" i="1"/>
  <c r="I310" i="1"/>
  <c r="I290" i="1"/>
  <c r="I270" i="1"/>
  <c r="I250" i="1"/>
  <c r="I230" i="1"/>
  <c r="I210" i="1"/>
  <c r="I190" i="1"/>
  <c r="I170" i="1"/>
  <c r="I150" i="1"/>
  <c r="I529" i="1"/>
  <c r="I509" i="1"/>
  <c r="I489" i="1"/>
  <c r="I469" i="1"/>
  <c r="I449" i="1"/>
  <c r="I429" i="1"/>
  <c r="I409" i="1"/>
  <c r="I389" i="1"/>
  <c r="I369" i="1"/>
  <c r="I349" i="1"/>
  <c r="I329" i="1"/>
  <c r="I309" i="1"/>
  <c r="I289" i="1"/>
  <c r="I269" i="1"/>
  <c r="I249" i="1"/>
  <c r="I229" i="1"/>
  <c r="I209" i="1"/>
  <c r="I189" i="1"/>
  <c r="I169" i="1"/>
  <c r="I149" i="1"/>
  <c r="I527" i="1"/>
  <c r="I507" i="1"/>
  <c r="I487" i="1"/>
  <c r="I467" i="1"/>
  <c r="I447" i="1"/>
  <c r="I427" i="1"/>
  <c r="I407" i="1"/>
  <c r="I387" i="1"/>
  <c r="I367" i="1"/>
  <c r="I347" i="1"/>
  <c r="I327" i="1"/>
  <c r="I307" i="1"/>
  <c r="I287" i="1"/>
  <c r="I267" i="1"/>
  <c r="I247" i="1"/>
  <c r="I227" i="1"/>
  <c r="I207" i="1"/>
  <c r="I187" i="1"/>
  <c r="I167" i="1"/>
  <c r="I147" i="1"/>
  <c r="I127" i="1"/>
  <c r="I107" i="1"/>
  <c r="I87" i="1"/>
  <c r="I67" i="1"/>
  <c r="I47" i="1"/>
  <c r="I27" i="1"/>
  <c r="I7" i="1"/>
  <c r="I526" i="1"/>
  <c r="I506" i="1"/>
  <c r="I486" i="1"/>
  <c r="I466" i="1"/>
  <c r="I446" i="1"/>
  <c r="I426" i="1"/>
  <c r="I406" i="1"/>
  <c r="I386" i="1"/>
  <c r="I366" i="1"/>
  <c r="I346" i="1"/>
  <c r="I326" i="1"/>
  <c r="I306" i="1"/>
  <c r="I286" i="1"/>
  <c r="I266" i="1"/>
  <c r="I246" i="1"/>
  <c r="I226" i="1"/>
  <c r="I206" i="1"/>
  <c r="I186" i="1"/>
  <c r="I166" i="1"/>
  <c r="I146" i="1"/>
  <c r="I525" i="1"/>
  <c r="I505" i="1"/>
  <c r="I485" i="1"/>
  <c r="I465" i="1"/>
  <c r="I445" i="1"/>
  <c r="I425" i="1"/>
  <c r="I405" i="1"/>
  <c r="I385" i="1"/>
  <c r="I365" i="1"/>
  <c r="I345" i="1"/>
  <c r="I325" i="1"/>
  <c r="I305" i="1"/>
  <c r="I285" i="1"/>
  <c r="I265" i="1"/>
  <c r="I245" i="1"/>
  <c r="I225" i="1"/>
  <c r="I205" i="1"/>
  <c r="I185" i="1"/>
  <c r="I165" i="1"/>
  <c r="I145" i="1"/>
  <c r="I524" i="1"/>
  <c r="I504" i="1"/>
  <c r="I484" i="1"/>
  <c r="I464" i="1"/>
  <c r="I444" i="1"/>
  <c r="I424" i="1"/>
  <c r="I404" i="1"/>
  <c r="I384" i="1"/>
  <c r="I364" i="1"/>
  <c r="I344" i="1"/>
  <c r="I324" i="1"/>
  <c r="I304" i="1"/>
  <c r="I284" i="1"/>
  <c r="I264" i="1"/>
  <c r="I244" i="1"/>
  <c r="I224" i="1"/>
  <c r="I204" i="1"/>
  <c r="I184" i="1"/>
  <c r="I164" i="1"/>
  <c r="I144" i="1"/>
  <c r="I522" i="1"/>
  <c r="I502" i="1"/>
  <c r="I482" i="1"/>
  <c r="I462" i="1"/>
  <c r="I442" i="1"/>
  <c r="I422" i="1"/>
  <c r="I402" i="1"/>
  <c r="I382" i="1"/>
  <c r="I362" i="1"/>
  <c r="I342" i="1"/>
  <c r="I322" i="1"/>
  <c r="I302" i="1"/>
  <c r="I282" i="1"/>
  <c r="I262" i="1"/>
  <c r="I242" i="1"/>
  <c r="I222" i="1"/>
  <c r="I202" i="1"/>
  <c r="I182" i="1"/>
  <c r="I162" i="1"/>
  <c r="I142" i="1"/>
  <c r="P4" i="1"/>
  <c r="S4" i="1"/>
  <c r="R4" i="1"/>
  <c r="Q2" i="1"/>
  <c r="P2" i="1"/>
  <c r="S2" i="1"/>
  <c r="R2" i="1"/>
  <c r="P3" i="1"/>
  <c r="S3" i="1"/>
  <c r="R3" i="1"/>
  <c r="Q3" i="1"/>
  <c r="P7" i="1" l="1"/>
  <c r="P6" i="1"/>
  <c r="Q6" i="1"/>
  <c r="R6" i="1"/>
  <c r="S6" i="1"/>
</calcChain>
</file>

<file path=xl/sharedStrings.xml><?xml version="1.0" encoding="utf-8"?>
<sst xmlns="http://schemas.openxmlformats.org/spreadsheetml/2006/main" count="58" uniqueCount="17">
  <si>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</si>
  <si>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</si>
  <si>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</si>
  <si>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</si>
  <si>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</si>
  <si>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</si>
  <si>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</si>
  <si>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</si>
  <si>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</si>
  <si>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</si>
  <si>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</si>
  <si>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</si>
  <si>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</si>
  <si>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</si>
  <si>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</si>
  <si>
    <t>Re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</si>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</sst>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0"/>
  <sheetViews>
    <sheetView workbookViewId="0">
      <selection activeCell="B2" sqref="B2"/>
    </sheetView>
  </sheetViews>
  <sheetFormatPr defaultRowHeight="15" x14ac:dyDescent="0.25"/>
  <cols>
    <col min="4" max="4" width="13.140625" bestFit="1" customWidth="1"/>
    <col min="16" max="16" width="12" bestFit="1" customWidth="1"/>
  </cols>
  <sheetData>
    <row r="1" spans="1:19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9" x14ac:dyDescent="0.25">
      <c r="A2">
        <f>-'R1'!H2</f>
        <v>44</v>
      </c>
      <c r="B2">
        <f>DEGREES(ATAN(-SIN(RADIANS(('R1'!I2)))/(COS(RADIANS(Sheet1!A2))*COS(RADIANS('R1'!I2)))))</f>
        <v>53.317641506405714</v>
      </c>
      <c r="C2">
        <f>AVERAGE('R1'!J2,'R2'!J2,'R3'!J2)</f>
        <v>1.1533333333333333</v>
      </c>
      <c r="D2">
        <f>AVERAGE('R1'!K2,'R2'!K2,'R3'!K2)</f>
        <v>21.61512325</v>
      </c>
      <c r="E2">
        <f>AVERAGE('R1'!L2,'R2'!L2,'R3'!L2)</f>
        <v>2.1649210495866806</v>
      </c>
      <c r="F2">
        <f>AVERAGE('R1'!M2,'R2'!M2,'R3'!M2)</f>
        <v>-2.5470434586047905</v>
      </c>
      <c r="G2">
        <f>AVERAGE('R1'!N2,'R2'!N2,'R3'!N2)</f>
        <v>-2.0822386291213784</v>
      </c>
      <c r="H2">
        <f>AVERAGE('R1'!O2,'R2'!O2,'R3'!O2)</f>
        <v>-1.8010067872858286</v>
      </c>
      <c r="I2">
        <f>10^5*C2*D2*0.003/1.8</f>
        <v>4154.9070247222216</v>
      </c>
      <c r="K2">
        <f>_xlfn.STDEV.S('R1'!L2,'R2'!L2,'R3'!L2)</f>
        <v>5.1603442880961865E-3</v>
      </c>
      <c r="L2">
        <f>_xlfn.STDEV.S('R1'!M2,'R2'!M2,'R3'!M2)</f>
        <v>4.9215242992808805E-3</v>
      </c>
      <c r="M2">
        <f>_xlfn.STDEV.S('R1'!N2,'R2'!N2,'R3'!N2)</f>
        <v>6.7407253341403954E-3</v>
      </c>
      <c r="N2">
        <f>_xlfn.STDEV.S('R1'!O2,'R2'!O2,'R3'!O2)</f>
        <v>4.3809794812638275E-3</v>
      </c>
      <c r="P2">
        <f>MAX(K:K)</f>
        <v>0.10882347554260749</v>
      </c>
      <c r="Q2">
        <f t="shared" ref="Q2:S2" si="0">MAX(L:L)</f>
        <v>4.66182533218467E-2</v>
      </c>
      <c r="R2">
        <f t="shared" si="0"/>
        <v>9.1856509520668192E-2</v>
      </c>
      <c r="S2">
        <f t="shared" si="0"/>
        <v>3.5821097386093785E-2</v>
      </c>
    </row>
    <row r="3" spans="1:19" x14ac:dyDescent="0.25">
      <c r="A3">
        <f>-'R1'!H3</f>
        <v>44</v>
      </c>
      <c r="B3">
        <f>DEGREES(ATAN(-SIN(RADIANS(('R1'!I3)))/(COS(RADIANS(Sheet1!A3))*COS(RADIANS('R1'!I3)))))</f>
        <v>49.394314915379752</v>
      </c>
      <c r="C3">
        <f>AVERAGE('R1'!J3,'R2'!J3,'R3'!J3)</f>
        <v>1.1524999999999999</v>
      </c>
      <c r="D3">
        <f>AVERAGE('R1'!K3,'R2'!K3,'R3'!K3)</f>
        <v>22.17354675</v>
      </c>
      <c r="E3">
        <f>AVERAGE('R1'!L3,'R2'!L3,'R3'!L3)</f>
        <v>2.0342858592885347</v>
      </c>
      <c r="F3">
        <f>AVERAGE('R1'!M3,'R2'!M3,'R3'!M3)</f>
        <v>-2.4737969055511115</v>
      </c>
      <c r="G3">
        <f>AVERAGE('R1'!N3,'R2'!N3,'R3'!N3)</f>
        <v>-1.913271920330101</v>
      </c>
      <c r="H3">
        <f>AVERAGE('R1'!O3,'R2'!O3,'R3'!O3)</f>
        <v>-1.6679071750320518</v>
      </c>
      <c r="I3">
        <f t="shared" ref="I3:I66" si="1">10^5*C3*D3*0.003/1.8</f>
        <v>4259.1687715624994</v>
      </c>
      <c r="K3">
        <f>_xlfn.STDEV.S('R1'!L3,'R2'!L3,'R3'!L3)</f>
        <v>8.6079700735347195E-3</v>
      </c>
      <c r="L3">
        <f>_xlfn.STDEV.S('R1'!M3,'R2'!M3,'R3'!M3)</f>
        <v>6.992918765755171E-3</v>
      </c>
      <c r="M3">
        <f>_xlfn.STDEV.S('R1'!N3,'R2'!N3,'R3'!N3)</f>
        <v>1.2386159501512634E-2</v>
      </c>
      <c r="N3">
        <f>_xlfn.STDEV.S('R1'!O3,'R2'!O3,'R3'!O3)</f>
        <v>6.9928707421598778E-3</v>
      </c>
      <c r="P3">
        <f>MIN(K:K)</f>
        <v>4.130452218629274E-4</v>
      </c>
      <c r="Q3">
        <f t="shared" ref="Q3:S3" si="2">MIN(L:L)</f>
        <v>1.7783693130033092E-4</v>
      </c>
      <c r="R3">
        <f t="shared" si="2"/>
        <v>2.2116473309929813E-4</v>
      </c>
      <c r="S3">
        <f t="shared" si="2"/>
        <v>1.8635737022785088E-4</v>
      </c>
    </row>
    <row r="4" spans="1:19" x14ac:dyDescent="0.25">
      <c r="A4">
        <f>-'R1'!H4</f>
        <v>44</v>
      </c>
      <c r="B4">
        <f>DEGREES(ATAN(-SIN(RADIANS(('R1'!I4)))/(COS(RADIANS(Sheet1!A4))*COS(RADIANS('R1'!I4)))))</f>
        <v>45.285419134418312</v>
      </c>
      <c r="C4">
        <f>AVERAGE('R1'!J4,'R2'!J4,'R3'!J4)</f>
        <v>1.1533333333333333</v>
      </c>
      <c r="D4">
        <f>AVERAGE('R1'!K4,'R2'!K4,'R3'!K4)</f>
        <v>22.775484583333334</v>
      </c>
      <c r="E4">
        <f>AVERAGE('R1'!L4,'R2'!L4,'R3'!L4)</f>
        <v>1.9160011264678831</v>
      </c>
      <c r="F4">
        <f>AVERAGE('R1'!M4,'R2'!M4,'R3'!M4)</f>
        <v>-2.4540467992509698</v>
      </c>
      <c r="G4">
        <f>AVERAGE('R1'!N4,'R2'!N4,'R3'!N4)</f>
        <v>-1.7963567972216756</v>
      </c>
      <c r="H4">
        <f>AVERAGE('R1'!O4,'R2'!O4,'R3'!O4)</f>
        <v>-1.5621413091539562</v>
      </c>
      <c r="I4">
        <f t="shared" si="1"/>
        <v>4377.9542587962969</v>
      </c>
      <c r="K4">
        <f>_xlfn.STDEV.S('R1'!L4,'R2'!L4,'R3'!L4)</f>
        <v>4.2087267003019036E-3</v>
      </c>
      <c r="L4">
        <f>_xlfn.STDEV.S('R1'!M4,'R2'!M4,'R3'!M4)</f>
        <v>3.0591591855137425E-3</v>
      </c>
      <c r="M4">
        <f>_xlfn.STDEV.S('R1'!N4,'R2'!N4,'R3'!N4)</f>
        <v>6.2772735457208347E-3</v>
      </c>
      <c r="N4">
        <f>_xlfn.STDEV.S('R1'!O4,'R2'!O4,'R3'!O4)</f>
        <v>5.1482109593097387E-3</v>
      </c>
      <c r="P4">
        <f>AVERAGE(K:K)</f>
        <v>6.0206102348157467E-3</v>
      </c>
      <c r="Q4">
        <f t="shared" ref="Q4:S4" si="3">AVERAGE(L:L)</f>
        <v>6.885416752984156E-3</v>
      </c>
      <c r="R4">
        <f t="shared" si="3"/>
        <v>6.9598850934336851E-3</v>
      </c>
      <c r="S4">
        <f t="shared" si="3"/>
        <v>4.2664348058022656E-3</v>
      </c>
    </row>
    <row r="5" spans="1:19" x14ac:dyDescent="0.25">
      <c r="A5">
        <f>-'R1'!H5</f>
        <v>44</v>
      </c>
      <c r="B5">
        <f>DEGREES(ATAN(-SIN(RADIANS(('R1'!I5)))/(COS(RADIANS(Sheet1!A5))*COS(RADIANS('R1'!I5)))))</f>
        <v>40.979886989205063</v>
      </c>
      <c r="C5">
        <f>AVERAGE('R1'!J5,'R2'!J5,'R3'!J5)</f>
        <v>1.1533333333333333</v>
      </c>
      <c r="D5">
        <f>AVERAGE('R1'!K5,'R2'!K5,'R3'!K5)</f>
        <v>23.341797333333336</v>
      </c>
      <c r="E5">
        <f>AVERAGE('R1'!L5,'R2'!L5,'R3'!L5)</f>
        <v>1.8091597154466668</v>
      </c>
      <c r="F5">
        <f>AVERAGE('R1'!M5,'R2'!M5,'R3'!M5)</f>
        <v>-2.4958587393824345</v>
      </c>
      <c r="G5">
        <f>AVERAGE('R1'!N5,'R2'!N5,'R3'!N5)</f>
        <v>-1.747746324618527</v>
      </c>
      <c r="H5">
        <f>AVERAGE('R1'!O5,'R2'!O5,'R3'!O5)</f>
        <v>-1.4846209702363184</v>
      </c>
      <c r="I5">
        <f t="shared" si="1"/>
        <v>4486.8121540740749</v>
      </c>
      <c r="K5">
        <f>_xlfn.STDEV.S('R1'!L5,'R2'!L5,'R3'!L5)</f>
        <v>5.5913641636945481E-3</v>
      </c>
      <c r="L5">
        <f>_xlfn.STDEV.S('R1'!M5,'R2'!M5,'R3'!M5)</f>
        <v>4.777877685418039E-3</v>
      </c>
      <c r="M5">
        <f>_xlfn.STDEV.S('R1'!N5,'R2'!N5,'R3'!N5)</f>
        <v>4.2897162316071838E-3</v>
      </c>
      <c r="N5">
        <f>_xlfn.STDEV.S('R1'!O5,'R2'!O5,'R3'!O5)</f>
        <v>4.807917973842054E-3</v>
      </c>
    </row>
    <row r="6" spans="1:19" x14ac:dyDescent="0.25">
      <c r="A6">
        <f>-'R1'!H6</f>
        <v>44</v>
      </c>
      <c r="B6">
        <f>DEGREES(ATAN(-SIN(RADIANS(('R1'!I6)))/(COS(RADIANS(Sheet1!A6))*COS(RADIANS('R1'!I6)))))</f>
        <v>36.470444456761925</v>
      </c>
      <c r="C6">
        <f>AVERAGE('R1'!J6,'R2'!J6,'R3'!J6)</f>
        <v>1.1533333333333333</v>
      </c>
      <c r="D6">
        <f>AVERAGE('R1'!K6,'R2'!K6,'R3'!K6)</f>
        <v>23.707782749999996</v>
      </c>
      <c r="E6">
        <f>AVERAGE('R1'!L6,'R2'!L6,'R3'!L6)</f>
        <v>1.6833533920539729</v>
      </c>
      <c r="F6">
        <f>AVERAGE('R1'!M6,'R2'!M6,'R3'!M6)</f>
        <v>-2.5980676857068254</v>
      </c>
      <c r="G6">
        <f>AVERAGE('R1'!N6,'R2'!N6,'R3'!N6)</f>
        <v>-1.7423359166410697</v>
      </c>
      <c r="H6">
        <f>AVERAGE('R1'!O6,'R2'!O6,'R3'!O6)</f>
        <v>-1.4263326139512513</v>
      </c>
      <c r="I6">
        <f t="shared" si="1"/>
        <v>4557.1626841666666</v>
      </c>
      <c r="K6">
        <f>_xlfn.STDEV.S('R1'!L6,'R2'!L6,'R3'!L6)</f>
        <v>2.0860069224766247E-3</v>
      </c>
      <c r="L6">
        <f>_xlfn.STDEV.S('R1'!M6,'R2'!M6,'R3'!M6)</f>
        <v>3.3160671740452533E-3</v>
      </c>
      <c r="M6">
        <f>_xlfn.STDEV.S('R1'!N6,'R2'!N6,'R3'!N6)</f>
        <v>4.4146765899044788E-3</v>
      </c>
      <c r="N6">
        <f>_xlfn.STDEV.S('R1'!O6,'R2'!O6,'R3'!O6)</f>
        <v>3.6363816419411987E-3</v>
      </c>
      <c r="P6">
        <f>AVERAGE(P2:P4)</f>
        <v>3.8419043666428725E-2</v>
      </c>
      <c r="Q6">
        <f t="shared" ref="Q6:S6" si="4">AVERAGE(Q2:Q4)</f>
        <v>1.7893835668710393E-2</v>
      </c>
      <c r="R6">
        <f t="shared" si="4"/>
        <v>3.3012519782400392E-2</v>
      </c>
      <c r="S6">
        <f t="shared" si="4"/>
        <v>1.3424629854041302E-2</v>
      </c>
    </row>
    <row r="7" spans="1:19" x14ac:dyDescent="0.25">
      <c r="A7">
        <f>-'R1'!H7</f>
        <v>44</v>
      </c>
      <c r="B7">
        <f>DEGREES(ATAN(-SIN(RADIANS(('R1'!I7)))/(COS(RADIANS(Sheet1!A7))*COS(RADIANS('R1'!I7)))))</f>
        <v>31.755051399893443</v>
      </c>
      <c r="C7">
        <f>AVERAGE('R1'!J7,'R2'!J7,'R3'!J7)</f>
        <v>1.1533333333333333</v>
      </c>
      <c r="D7">
        <f>AVERAGE('R1'!K7,'R2'!K7,'R3'!K7)</f>
        <v>23.66966425</v>
      </c>
      <c r="E7">
        <f>AVERAGE('R1'!L7,'R2'!L7,'R3'!L7)</f>
        <v>1.5357200162438633</v>
      </c>
      <c r="F7">
        <f>AVERAGE('R1'!M7,'R2'!M7,'R3'!M7)</f>
        <v>-2.7418786718343902</v>
      </c>
      <c r="G7">
        <f>AVERAGE('R1'!N7,'R2'!N7,'R3'!N7)</f>
        <v>-1.7745277423874379</v>
      </c>
      <c r="H7">
        <f>AVERAGE('R1'!O7,'R2'!O7,'R3'!O7)</f>
        <v>-1.3806459510233076</v>
      </c>
      <c r="I7">
        <f t="shared" si="1"/>
        <v>4549.8354613888887</v>
      </c>
      <c r="K7">
        <f>_xlfn.STDEV.S('R1'!L7,'R2'!L7,'R3'!L7)</f>
        <v>1.1661810210083791E-2</v>
      </c>
      <c r="L7">
        <f>_xlfn.STDEV.S('R1'!M7,'R2'!M7,'R3'!M7)</f>
        <v>1.3991474557092782E-2</v>
      </c>
      <c r="M7">
        <f>_xlfn.STDEV.S('R1'!N7,'R2'!N7,'R3'!N7)</f>
        <v>1.7055516458908595E-2</v>
      </c>
      <c r="N7">
        <f>_xlfn.STDEV.S('R1'!O7,'R2'!O7,'R3'!O7)</f>
        <v>7.5445422955480292E-3</v>
      </c>
      <c r="P7">
        <f>AVERAGE(I:I)</f>
        <v>4394.740807257589</v>
      </c>
    </row>
    <row r="8" spans="1:19" x14ac:dyDescent="0.25">
      <c r="A8">
        <f>-'R1'!H8</f>
        <v>44</v>
      </c>
      <c r="B8">
        <f>DEGREES(ATAN(-SIN(RADIANS(('R1'!I8)))/(COS(RADIANS(Sheet1!A8))*COS(RADIANS('R1'!I8)))))</f>
        <v>26.838414444764965</v>
      </c>
      <c r="C8">
        <f>AVERAGE('R1'!J8,'R2'!J8,'R3'!J8)</f>
        <v>1.1533333333333333</v>
      </c>
      <c r="D8">
        <f>AVERAGE('R1'!K8,'R2'!K8,'R3'!K8)</f>
        <v>23.199178333333332</v>
      </c>
      <c r="E8">
        <f>AVERAGE('R1'!L8,'R2'!L8,'R3'!L8)</f>
        <v>1.3655453168276575</v>
      </c>
      <c r="F8">
        <f>AVERAGE('R1'!M8,'R2'!M8,'R3'!M8)</f>
        <v>-2.9263405431994443</v>
      </c>
      <c r="G8">
        <f>AVERAGE('R1'!N8,'R2'!N8,'R3'!N8)</f>
        <v>-1.838818812810602</v>
      </c>
      <c r="H8">
        <f>AVERAGE('R1'!O8,'R2'!O8,'R3'!O8)</f>
        <v>-1.3406229437434687</v>
      </c>
      <c r="I8">
        <f t="shared" si="1"/>
        <v>4459.3976129629627</v>
      </c>
      <c r="K8">
        <f>_xlfn.STDEV.S('R1'!L8,'R2'!L8,'R3'!L8)</f>
        <v>5.6338566826252849E-3</v>
      </c>
      <c r="L8">
        <f>_xlfn.STDEV.S('R1'!M8,'R2'!M8,'R3'!M8)</f>
        <v>9.8707984057269278E-3</v>
      </c>
      <c r="M8">
        <f>_xlfn.STDEV.S('R1'!N8,'R2'!N8,'R3'!N8)</f>
        <v>1.1067642462291333E-2</v>
      </c>
      <c r="N8">
        <f>_xlfn.STDEV.S('R1'!O8,'R2'!O8,'R3'!O8)</f>
        <v>1.727552911391113E-3</v>
      </c>
    </row>
    <row r="9" spans="1:19" x14ac:dyDescent="0.25">
      <c r="A9">
        <f>-'R1'!H9</f>
        <v>44</v>
      </c>
      <c r="B9">
        <f>DEGREES(ATAN(-SIN(RADIANS(('R1'!I9)))/(COS(RADIANS(Sheet1!A9))*COS(RADIANS('R1'!I9)))))</f>
        <v>21.733362927744114</v>
      </c>
      <c r="C9">
        <f>AVERAGE('R1'!J9,'R2'!J9,'R3'!J9)</f>
        <v>1.1533333333333333</v>
      </c>
      <c r="D9">
        <f>AVERAGE('R1'!K9,'R2'!K9,'R3'!K9)</f>
        <v>22.300784250000003</v>
      </c>
      <c r="E9">
        <f>AVERAGE('R1'!L9,'R2'!L9,'R3'!L9)</f>
        <v>1.1416002361305531</v>
      </c>
      <c r="F9">
        <f>AVERAGE('R1'!M9,'R2'!M9,'R3'!M9)</f>
        <v>-3.180237609961635</v>
      </c>
      <c r="G9">
        <f>AVERAGE('R1'!N9,'R2'!N9,'R3'!N9)</f>
        <v>-1.9474219814783222</v>
      </c>
      <c r="H9">
        <f>AVERAGE('R1'!O9,'R2'!O9,'R3'!O9)</f>
        <v>-1.3181259363870623</v>
      </c>
      <c r="I9">
        <f t="shared" si="1"/>
        <v>4286.7063058333342</v>
      </c>
      <c r="K9">
        <f>_xlfn.STDEV.S('R1'!L9,'R2'!L9,'R3'!L9)</f>
        <v>6.4312401987310017E-3</v>
      </c>
      <c r="L9">
        <f>_xlfn.STDEV.S('R1'!M9,'R2'!M9,'R3'!M9)</f>
        <v>4.1434297889147681E-2</v>
      </c>
      <c r="M9">
        <f>_xlfn.STDEV.S('R1'!N9,'R2'!N9,'R3'!N9)</f>
        <v>3.4522416598369549E-2</v>
      </c>
      <c r="N9">
        <f>_xlfn.STDEV.S('R1'!O9,'R2'!O9,'R3'!O9)</f>
        <v>1.2946653523589924E-2</v>
      </c>
    </row>
    <row r="10" spans="1:19" x14ac:dyDescent="0.25">
      <c r="A10">
        <f>-'R1'!H10</f>
        <v>44</v>
      </c>
      <c r="B10">
        <f>DEGREES(ATAN(-SIN(RADIANS(('R1'!I10)))/(COS(RADIANS(Sheet1!A10))*COS(RADIANS('R1'!I10)))))</f>
        <v>16.461798422084197</v>
      </c>
      <c r="C10">
        <f>AVERAGE('R1'!J10,'R2'!J10,'R3'!J10)</f>
        <v>1.1533333333333333</v>
      </c>
      <c r="D10">
        <f>AVERAGE('R1'!K10,'R2'!K10,'R3'!K10)</f>
        <v>21.714790833333335</v>
      </c>
      <c r="E10">
        <f>AVERAGE('R1'!L10,'R2'!L10,'R3'!L10)</f>
        <v>0.86114177105608036</v>
      </c>
      <c r="F10">
        <f>AVERAGE('R1'!M10,'R2'!M10,'R3'!M10)</f>
        <v>-3.4869405222514085</v>
      </c>
      <c r="G10">
        <f>AVERAGE('R1'!N10,'R2'!N10,'R3'!N10)</f>
        <v>-2.0904318878313712</v>
      </c>
      <c r="H10">
        <f>AVERAGE('R1'!O10,'R2'!O10,'R3'!O10)</f>
        <v>-1.3029398592482733</v>
      </c>
      <c r="I10">
        <f t="shared" si="1"/>
        <v>4174.0653490740742</v>
      </c>
      <c r="K10">
        <f>_xlfn.STDEV.S('R1'!L10,'R2'!L10,'R3'!L10)</f>
        <v>2.3345996001578771E-3</v>
      </c>
      <c r="L10">
        <f>_xlfn.STDEV.S('R1'!M10,'R2'!M10,'R3'!M10)</f>
        <v>3.6973899209029487E-3</v>
      </c>
      <c r="M10">
        <f>_xlfn.STDEV.S('R1'!N10,'R2'!N10,'R3'!N10)</f>
        <v>2.9691264587587188E-3</v>
      </c>
      <c r="N10">
        <f>_xlfn.STDEV.S('R1'!O10,'R2'!O10,'R3'!O10)</f>
        <v>3.0681942800063278E-3</v>
      </c>
    </row>
    <row r="11" spans="1:19" x14ac:dyDescent="0.25">
      <c r="A11">
        <f>-'R1'!H11</f>
        <v>44</v>
      </c>
      <c r="B11">
        <f>DEGREES(ATAN(-SIN(RADIANS(('R1'!I11)))/(COS(RADIANS(Sheet1!A11))*COS(RADIANS('R1'!I11)))))</f>
        <v>11.054892671059431</v>
      </c>
      <c r="C11">
        <f>AVERAGE('R1'!J11,'R2'!J11,'R3'!J11)</f>
        <v>1.1533333333333333</v>
      </c>
      <c r="D11">
        <f>AVERAGE('R1'!K11,'R2'!K11,'R3'!K11)</f>
        <v>21.780998749999998</v>
      </c>
      <c r="E11">
        <f>AVERAGE('R1'!L11,'R2'!L11,'R3'!L11)</f>
        <v>0.50739679518429526</v>
      </c>
      <c r="F11">
        <f>AVERAGE('R1'!M11,'R2'!M11,'R3'!M11)</f>
        <v>-3.8166268033092696</v>
      </c>
      <c r="G11">
        <f>AVERAGE('R1'!N11,'R2'!N11,'R3'!N11)</f>
        <v>-2.2408022576706066</v>
      </c>
      <c r="H11">
        <f>AVERAGE('R1'!O11,'R2'!O11,'R3'!O11)</f>
        <v>-1.2789779268778203</v>
      </c>
      <c r="I11">
        <f t="shared" si="1"/>
        <v>4186.7919819444442</v>
      </c>
      <c r="K11">
        <f>_xlfn.STDEV.S('R1'!L11,'R2'!L11,'R3'!L11)</f>
        <v>6.8148501343674719E-3</v>
      </c>
      <c r="L11">
        <f>_xlfn.STDEV.S('R1'!M11,'R2'!M11,'R3'!M11)</f>
        <v>1.8979972392531606E-2</v>
      </c>
      <c r="M11">
        <f>_xlfn.STDEV.S('R1'!N11,'R2'!N11,'R3'!N11)</f>
        <v>1.5990481629229999E-2</v>
      </c>
      <c r="N11">
        <f>_xlfn.STDEV.S('R1'!O11,'R2'!O11,'R3'!O11)</f>
        <v>9.9560595532505857E-3</v>
      </c>
    </row>
    <row r="12" spans="1:19" x14ac:dyDescent="0.25">
      <c r="A12">
        <f>-'R1'!H12</f>
        <v>44</v>
      </c>
      <c r="B12">
        <f>DEGREES(ATAN(-SIN(RADIANS(('R1'!I12)))/(COS(RADIANS(Sheet1!A12))*COS(RADIANS('R1'!I12)))))</f>
        <v>5.5522607339018597</v>
      </c>
      <c r="C12">
        <f>AVERAGE('R1'!J12,'R2'!J12,'R3'!J12)</f>
        <v>1.1533333333333333</v>
      </c>
      <c r="D12">
        <f>AVERAGE('R1'!K12,'R2'!K12,'R3'!K12)</f>
        <v>22.329606833333333</v>
      </c>
      <c r="E12">
        <f>AVERAGE('R1'!L12,'R2'!L12,'R3'!L12)</f>
        <v>6.4821249297409039E-2</v>
      </c>
      <c r="F12">
        <f>AVERAGE('R1'!M12,'R2'!M12,'R3'!M12)</f>
        <v>-4.2591786484449159</v>
      </c>
      <c r="G12">
        <f>AVERAGE('R1'!N12,'R2'!N12,'R3'!N12)</f>
        <v>-2.4761159766624439</v>
      </c>
      <c r="H12">
        <f>AVERAGE('R1'!O12,'R2'!O12,'R3'!O12)</f>
        <v>-1.284529201865424</v>
      </c>
      <c r="I12">
        <f t="shared" si="1"/>
        <v>4292.2466468518514</v>
      </c>
      <c r="K12">
        <f>_xlfn.STDEV.S('R1'!L12,'R2'!L12,'R3'!L12)</f>
        <v>3.6383536923858539E-3</v>
      </c>
      <c r="L12">
        <f>_xlfn.STDEV.S('R1'!M12,'R2'!M12,'R3'!M12)</f>
        <v>1.4554181249254904E-2</v>
      </c>
      <c r="M12">
        <f>_xlfn.STDEV.S('R1'!N12,'R2'!N12,'R3'!N12)</f>
        <v>1.146576876617383E-2</v>
      </c>
      <c r="N12">
        <f>_xlfn.STDEV.S('R1'!O12,'R2'!O12,'R3'!O12)</f>
        <v>1.1146357415018449E-2</v>
      </c>
    </row>
    <row r="13" spans="1:19" x14ac:dyDescent="0.25">
      <c r="A13">
        <f>-'R1'!H13</f>
        <v>44</v>
      </c>
      <c r="B13">
        <f>DEGREES(ATAN(-SIN(RADIANS(('R1'!I13)))/(COS(RADIANS(Sheet1!A13))*COS(RADIANS('R1'!I13)))))</f>
        <v>0</v>
      </c>
      <c r="C13">
        <f>AVERAGE('R1'!J13,'R2'!J13,'R3'!J13)</f>
        <v>1.1533333333333333</v>
      </c>
      <c r="D13">
        <f>AVERAGE('R1'!K13,'R2'!K13,'R3'!K13)</f>
        <v>22.963628</v>
      </c>
      <c r="E13">
        <f>AVERAGE('R1'!L13,'R2'!L13,'R3'!L13)</f>
        <v>-0.39873710624352593</v>
      </c>
      <c r="F13">
        <f>AVERAGE('R1'!M13,'R2'!M13,'R3'!M13)</f>
        <v>-3.8236335189408059</v>
      </c>
      <c r="G13">
        <f>AVERAGE('R1'!N13,'R2'!N13,'R3'!N13)</f>
        <v>-2.1996514609943518</v>
      </c>
      <c r="H13">
        <f>AVERAGE('R1'!O13,'R2'!O13,'R3'!O13)</f>
        <v>-1.2437795101692093</v>
      </c>
      <c r="I13">
        <f t="shared" si="1"/>
        <v>4414.1196044444441</v>
      </c>
      <c r="K13">
        <f>_xlfn.STDEV.S('R1'!L13,'R2'!L13,'R3'!L13)</f>
        <v>5.789641809967363E-3</v>
      </c>
      <c r="L13">
        <f>_xlfn.STDEV.S('R1'!M13,'R2'!M13,'R3'!M13)</f>
        <v>1.5465136227616685E-2</v>
      </c>
      <c r="M13">
        <f>_xlfn.STDEV.S('R1'!N13,'R2'!N13,'R3'!N13)</f>
        <v>1.0797150308584177E-2</v>
      </c>
      <c r="N13">
        <f>_xlfn.STDEV.S('R1'!O13,'R2'!O13,'R3'!O13)</f>
        <v>2.1608806705584699E-3</v>
      </c>
    </row>
    <row r="14" spans="1:19" x14ac:dyDescent="0.25">
      <c r="A14">
        <f>-'R1'!H14</f>
        <v>44</v>
      </c>
      <c r="B14">
        <f>DEGREES(ATAN(-SIN(RADIANS(('R1'!I14)))/(COS(RADIANS(Sheet1!A14))*COS(RADIANS('R1'!I14)))))</f>
        <v>-5.5522607339018597</v>
      </c>
      <c r="C14">
        <f>AVERAGE('R1'!J14,'R2'!J14,'R3'!J14)</f>
        <v>1.1533333333333333</v>
      </c>
      <c r="D14">
        <f>AVERAGE('R1'!K14,'R2'!K14,'R3'!K14)</f>
        <v>23.492206416666665</v>
      </c>
      <c r="E14">
        <f>AVERAGE('R1'!L14,'R2'!L14,'R3'!L14)</f>
        <v>-0.73623618065910945</v>
      </c>
      <c r="F14">
        <f>AVERAGE('R1'!M14,'R2'!M14,'R3'!M14)</f>
        <v>-3.3658364020968725</v>
      </c>
      <c r="G14">
        <f>AVERAGE('R1'!N14,'R2'!N14,'R3'!N14)</f>
        <v>-1.9206007590178846</v>
      </c>
      <c r="H14">
        <f>AVERAGE('R1'!O14,'R2'!O14,'R3'!O14)</f>
        <v>-1.2026980342604781</v>
      </c>
      <c r="I14">
        <f t="shared" si="1"/>
        <v>4515.7241223148139</v>
      </c>
      <c r="K14">
        <f>_xlfn.STDEV.S('R1'!L14,'R2'!L14,'R3'!L14)</f>
        <v>4.3573729535689209E-3</v>
      </c>
      <c r="L14">
        <f>_xlfn.STDEV.S('R1'!M14,'R2'!M14,'R3'!M14)</f>
        <v>1.3591173917079723E-2</v>
      </c>
      <c r="M14">
        <f>_xlfn.STDEV.S('R1'!N14,'R2'!N14,'R3'!N14)</f>
        <v>1.0131304104103067E-2</v>
      </c>
      <c r="N14">
        <f>_xlfn.STDEV.S('R1'!O14,'R2'!O14,'R3'!O14)</f>
        <v>4.197042095489322E-3</v>
      </c>
    </row>
    <row r="15" spans="1:19" x14ac:dyDescent="0.25">
      <c r="A15">
        <f>-'R1'!H15</f>
        <v>44</v>
      </c>
      <c r="B15">
        <f>DEGREES(ATAN(-SIN(RADIANS(('R1'!I15)))/(COS(RADIANS(Sheet1!A15))*COS(RADIANS('R1'!I15)))))</f>
        <v>-11.054892671059431</v>
      </c>
      <c r="C15">
        <f>AVERAGE('R1'!J15,'R2'!J15,'R3'!J15)</f>
        <v>1.1558333333333335</v>
      </c>
      <c r="D15">
        <f>AVERAGE('R1'!K15,'R2'!K15,'R3'!K15)</f>
        <v>23.515057833333334</v>
      </c>
      <c r="E15">
        <f>AVERAGE('R1'!L15,'R2'!L15,'R3'!L15)</f>
        <v>-1.0092065217767414</v>
      </c>
      <c r="F15">
        <f>AVERAGE('R1'!M15,'R2'!M15,'R3'!M15)</f>
        <v>-3.0415936410373305</v>
      </c>
      <c r="G15">
        <f>AVERAGE('R1'!N15,'R2'!N15,'R3'!N15)</f>
        <v>-1.7436837987928173</v>
      </c>
      <c r="H15">
        <f>AVERAGE('R1'!O15,'R2'!O15,'R3'!O15)</f>
        <v>-1.1990147586376201</v>
      </c>
      <c r="I15">
        <f t="shared" si="1"/>
        <v>4529.9146131712969</v>
      </c>
      <c r="K15">
        <f>_xlfn.STDEV.S('R1'!L15,'R2'!L15,'R3'!L15)</f>
        <v>7.5412297796813191E-4</v>
      </c>
      <c r="L15">
        <f>_xlfn.STDEV.S('R1'!M15,'R2'!M15,'R3'!M15)</f>
        <v>2.0031977337273254E-2</v>
      </c>
      <c r="M15">
        <f>_xlfn.STDEV.S('R1'!N15,'R2'!N15,'R3'!N15)</f>
        <v>1.5088962532842386E-2</v>
      </c>
      <c r="N15">
        <f>_xlfn.STDEV.S('R1'!O15,'R2'!O15,'R3'!O15)</f>
        <v>7.1168061373177351E-3</v>
      </c>
    </row>
    <row r="16" spans="1:19" x14ac:dyDescent="0.25">
      <c r="A16">
        <f>-'R1'!H16</f>
        <v>44</v>
      </c>
      <c r="B16">
        <f>DEGREES(ATAN(-SIN(RADIANS(('R1'!I16)))/(COS(RADIANS(Sheet1!A16))*COS(RADIANS('R1'!I16)))))</f>
        <v>-16.461798422084197</v>
      </c>
      <c r="C16">
        <f>AVERAGE('R1'!J16,'R2'!J16,'R3'!J16)</f>
        <v>1.1566666666666665</v>
      </c>
      <c r="D16">
        <f>AVERAGE('R1'!K16,'R2'!K16,'R3'!K16)</f>
        <v>23.477161250000005</v>
      </c>
      <c r="E16">
        <f>AVERAGE('R1'!L16,'R2'!L16,'R3'!L16)</f>
        <v>-1.2261143242258494</v>
      </c>
      <c r="F16">
        <f>AVERAGE('R1'!M16,'R2'!M16,'R3'!M16)</f>
        <v>-2.796675914951972</v>
      </c>
      <c r="G16">
        <f>AVERAGE('R1'!N16,'R2'!N16,'R3'!N16)</f>
        <v>-1.6269117824705737</v>
      </c>
      <c r="H16">
        <f>AVERAGE('R1'!O16,'R2'!O16,'R3'!O16)</f>
        <v>-1.2060374882523279</v>
      </c>
      <c r="I16">
        <f t="shared" si="1"/>
        <v>4525.874974305556</v>
      </c>
      <c r="K16">
        <f>_xlfn.STDEV.S('R1'!L16,'R2'!L16,'R3'!L16)</f>
        <v>2.5558509527955279E-3</v>
      </c>
      <c r="L16">
        <f>_xlfn.STDEV.S('R1'!M16,'R2'!M16,'R3'!M16)</f>
        <v>7.731037480634949E-3</v>
      </c>
      <c r="M16">
        <f>_xlfn.STDEV.S('R1'!N16,'R2'!N16,'R3'!N16)</f>
        <v>4.0253097977400835E-3</v>
      </c>
      <c r="N16">
        <f>_xlfn.STDEV.S('R1'!O16,'R2'!O16,'R3'!O16)</f>
        <v>3.5479134903540462E-3</v>
      </c>
    </row>
    <row r="17" spans="1:14" x14ac:dyDescent="0.25">
      <c r="A17">
        <f>-'R1'!H17</f>
        <v>44</v>
      </c>
      <c r="B17">
        <f>DEGREES(ATAN(-SIN(RADIANS(('R1'!I17)))/(COS(RADIANS(Sheet1!A17))*COS(RADIANS('R1'!I17)))))</f>
        <v>-21.733362927744114</v>
      </c>
      <c r="C17">
        <f>AVERAGE('R1'!J17,'R2'!J17,'R3'!J17)</f>
        <v>1.1575</v>
      </c>
      <c r="D17">
        <f>AVERAGE('R1'!K17,'R2'!K17,'R3'!K17)</f>
        <v>22.940476499999999</v>
      </c>
      <c r="E17">
        <f>AVERAGE('R1'!L17,'R2'!L17,'R3'!L17)</f>
        <v>-1.4173559323028855</v>
      </c>
      <c r="F17">
        <f>AVERAGE('R1'!M17,'R2'!M17,'R3'!M17)</f>
        <v>-2.6279308643870523</v>
      </c>
      <c r="G17">
        <f>AVERAGE('R1'!N17,'R2'!N17,'R3'!N17)</f>
        <v>-1.5771949193187078</v>
      </c>
      <c r="H17">
        <f>AVERAGE('R1'!O17,'R2'!O17,'R3'!O17)</f>
        <v>-1.2340345828911656</v>
      </c>
      <c r="I17">
        <f t="shared" si="1"/>
        <v>4425.6002581249995</v>
      </c>
      <c r="K17">
        <f>_xlfn.STDEV.S('R1'!L17,'R2'!L17,'R3'!L17)</f>
        <v>3.8142440314002115E-3</v>
      </c>
      <c r="L17">
        <f>_xlfn.STDEV.S('R1'!M17,'R2'!M17,'R3'!M17)</f>
        <v>5.3934804378413101E-3</v>
      </c>
      <c r="M17">
        <f>_xlfn.STDEV.S('R1'!N17,'R2'!N17,'R3'!N17)</f>
        <v>2.6191151801299392E-3</v>
      </c>
      <c r="N17">
        <f>_xlfn.STDEV.S('R1'!O17,'R2'!O17,'R3'!O17)</f>
        <v>3.7204161852251992E-3</v>
      </c>
    </row>
    <row r="18" spans="1:14" x14ac:dyDescent="0.25">
      <c r="A18">
        <f>-'R1'!H18</f>
        <v>44</v>
      </c>
      <c r="B18">
        <f>DEGREES(ATAN(-SIN(RADIANS(('R1'!I18)))/(COS(RADIANS(Sheet1!A18))*COS(RADIANS('R1'!I18)))))</f>
        <v>-26.838414444764965</v>
      </c>
      <c r="C18">
        <f>AVERAGE('R1'!J18,'R2'!J18,'R3'!J18)</f>
        <v>1.1599999999999999</v>
      </c>
      <c r="D18">
        <f>AVERAGE('R1'!K18,'R2'!K18,'R3'!K18)</f>
        <v>22.086347916666664</v>
      </c>
      <c r="E18">
        <f>AVERAGE('R1'!L18,'R2'!L18,'R3'!L18)</f>
        <v>-1.5759446379459237</v>
      </c>
      <c r="F18">
        <f>AVERAGE('R1'!M18,'R2'!M18,'R3'!M18)</f>
        <v>-2.5066719190503712</v>
      </c>
      <c r="G18">
        <f>AVERAGE('R1'!N18,'R2'!N18,'R3'!N18)</f>
        <v>-1.5625975775875094</v>
      </c>
      <c r="H18">
        <f>AVERAGE('R1'!O18,'R2'!O18,'R3'!O18)</f>
        <v>-1.2780016094563846</v>
      </c>
      <c r="I18">
        <f t="shared" si="1"/>
        <v>4270.0272638888882</v>
      </c>
      <c r="K18">
        <f>_xlfn.STDEV.S('R1'!L18,'R2'!L18,'R3'!L18)</f>
        <v>4.0689995109133596E-3</v>
      </c>
      <c r="L18">
        <f>_xlfn.STDEV.S('R1'!M18,'R2'!M18,'R3'!M18)</f>
        <v>1.1808706137338948E-2</v>
      </c>
      <c r="M18">
        <f>_xlfn.STDEV.S('R1'!N18,'R2'!N18,'R3'!N18)</f>
        <v>1.5162099607767213E-2</v>
      </c>
      <c r="N18">
        <f>_xlfn.STDEV.S('R1'!O18,'R2'!O18,'R3'!O18)</f>
        <v>4.4534057235091178E-3</v>
      </c>
    </row>
    <row r="19" spans="1:14" x14ac:dyDescent="0.25">
      <c r="A19">
        <f>-'R1'!H19</f>
        <v>44</v>
      </c>
      <c r="B19">
        <f>DEGREES(ATAN(-SIN(RADIANS(('R1'!I19)))/(COS(RADIANS(Sheet1!A19))*COS(RADIANS('R1'!I19)))))</f>
        <v>-31.755051399893443</v>
      </c>
      <c r="C19">
        <f>AVERAGE('R1'!J19,'R2'!J19,'R3'!J19)</f>
        <v>1.1599999999999999</v>
      </c>
      <c r="D19">
        <f>AVERAGE('R1'!K19,'R2'!K19,'R3'!K19)</f>
        <v>21.820793833333337</v>
      </c>
      <c r="E19">
        <f>AVERAGE('R1'!L19,'R2'!L19,'R3'!L19)</f>
        <v>-1.7201796492126225</v>
      </c>
      <c r="F19">
        <f>AVERAGE('R1'!M19,'R2'!M19,'R3'!M19)</f>
        <v>-2.4368809922235921</v>
      </c>
      <c r="G19">
        <f>AVERAGE('R1'!N19,'R2'!N19,'R3'!N19)</f>
        <v>-1.5838453423531702</v>
      </c>
      <c r="H19">
        <f>AVERAGE('R1'!O19,'R2'!O19,'R3'!O19)</f>
        <v>-1.3446171347221145</v>
      </c>
      <c r="I19">
        <f t="shared" si="1"/>
        <v>4218.6868077777781</v>
      </c>
      <c r="K19">
        <f>_xlfn.STDEV.S('R1'!L19,'R2'!L19,'R3'!L19)</f>
        <v>2.5180242468549499E-3</v>
      </c>
      <c r="L19">
        <f>_xlfn.STDEV.S('R1'!M19,'R2'!M19,'R3'!M19)</f>
        <v>7.0845136042396086E-3</v>
      </c>
      <c r="M19">
        <f>_xlfn.STDEV.S('R1'!N19,'R2'!N19,'R3'!N19)</f>
        <v>5.9563752491667279E-3</v>
      </c>
      <c r="N19">
        <f>_xlfn.STDEV.S('R1'!O19,'R2'!O19,'R3'!O19)</f>
        <v>2.5833645786823606E-3</v>
      </c>
    </row>
    <row r="20" spans="1:14" x14ac:dyDescent="0.25">
      <c r="A20">
        <f>-'R1'!H20</f>
        <v>44</v>
      </c>
      <c r="B20">
        <f>DEGREES(ATAN(-SIN(RADIANS(('R1'!I20)))/(COS(RADIANS(Sheet1!A20))*COS(RADIANS('R1'!I20)))))</f>
        <v>-36.470444456761925</v>
      </c>
      <c r="C20">
        <f>AVERAGE('R1'!J20,'R2'!J20,'R3'!J20)</f>
        <v>1.1599999999999999</v>
      </c>
      <c r="D20">
        <f>AVERAGE('R1'!K20,'R2'!K20,'R3'!K20)</f>
        <v>21.892127833333333</v>
      </c>
      <c r="E20">
        <f>AVERAGE('R1'!L20,'R2'!L20,'R3'!L20)</f>
        <v>-1.8602174209810245</v>
      </c>
      <c r="F20">
        <f>AVERAGE('R1'!M20,'R2'!M20,'R3'!M20)</f>
        <v>-2.425603359076979</v>
      </c>
      <c r="G20">
        <f>AVERAGE('R1'!N20,'R2'!N20,'R3'!N20)</f>
        <v>-1.654653488932359</v>
      </c>
      <c r="H20">
        <f>AVERAGE('R1'!O20,'R2'!O20,'R3'!O20)</f>
        <v>-1.4349614300649443</v>
      </c>
      <c r="I20">
        <f t="shared" si="1"/>
        <v>4232.4780477777776</v>
      </c>
      <c r="K20">
        <f>_xlfn.STDEV.S('R1'!L20,'R2'!L20,'R3'!L20)</f>
        <v>2.2595103013588408E-3</v>
      </c>
      <c r="L20">
        <f>_xlfn.STDEV.S('R1'!M20,'R2'!M20,'R3'!M20)</f>
        <v>8.7249318775337158E-3</v>
      </c>
      <c r="M20">
        <f>_xlfn.STDEV.S('R1'!N20,'R2'!N20,'R3'!N20)</f>
        <v>6.3488652388643289E-3</v>
      </c>
      <c r="N20">
        <f>_xlfn.STDEV.S('R1'!O20,'R2'!O20,'R3'!O20)</f>
        <v>5.1622046618345603E-3</v>
      </c>
    </row>
    <row r="21" spans="1:14" x14ac:dyDescent="0.25">
      <c r="A21">
        <f>-'R1'!H21</f>
        <v>44</v>
      </c>
      <c r="B21">
        <f>DEGREES(ATAN(-SIN(RADIANS(('R1'!I21)))/(COS(RADIANS(Sheet1!A21))*COS(RADIANS('R1'!I21)))))</f>
        <v>-40.979886989205063</v>
      </c>
      <c r="C21">
        <f>AVERAGE('R1'!J21,'R2'!J21,'R3'!J21)</f>
        <v>1.1599999999999999</v>
      </c>
      <c r="D21">
        <f>AVERAGE('R1'!K21,'R2'!K21,'R3'!K21)</f>
        <v>22.373683166666666</v>
      </c>
      <c r="E21">
        <f>AVERAGE('R1'!L21,'R2'!L21,'R3'!L21)</f>
        <v>-2.0251273616475003</v>
      </c>
      <c r="F21">
        <f>AVERAGE('R1'!M21,'R2'!M21,'R3'!M21)</f>
        <v>-2.4924385587121276</v>
      </c>
      <c r="G21">
        <f>AVERAGE('R1'!N21,'R2'!N21,'R3'!N21)</f>
        <v>-1.8023979422121899</v>
      </c>
      <c r="H21">
        <f>AVERAGE('R1'!O21,'R2'!O21,'R3'!O21)</f>
        <v>-1.568462065925843</v>
      </c>
      <c r="I21">
        <f t="shared" si="1"/>
        <v>4325.5787455555546</v>
      </c>
      <c r="K21">
        <f>_xlfn.STDEV.S('R1'!L21,'R2'!L21,'R3'!L21)</f>
        <v>1.2014653190301471E-2</v>
      </c>
      <c r="L21">
        <f>_xlfn.STDEV.S('R1'!M21,'R2'!M21,'R3'!M21)</f>
        <v>1.4731039456813415E-2</v>
      </c>
      <c r="M21">
        <f>_xlfn.STDEV.S('R1'!N21,'R2'!N21,'R3'!N21)</f>
        <v>1.7189727683565539E-2</v>
      </c>
      <c r="N21">
        <f>_xlfn.STDEV.S('R1'!O21,'R2'!O21,'R3'!O21)</f>
        <v>9.5823861760735776E-3</v>
      </c>
    </row>
    <row r="22" spans="1:14" x14ac:dyDescent="0.25">
      <c r="A22">
        <f>-'R1'!H22</f>
        <v>44</v>
      </c>
      <c r="B22">
        <f>DEGREES(ATAN(-SIN(RADIANS(('R1'!I22)))/(COS(RADIANS(Sheet1!A22))*COS(RADIANS('R1'!I22)))))</f>
        <v>-45.285419134418312</v>
      </c>
      <c r="C22">
        <f>AVERAGE('R1'!J22,'R2'!J22,'R3'!J22)</f>
        <v>1.1599999999999999</v>
      </c>
      <c r="D22">
        <f>AVERAGE('R1'!K22,'R2'!K22,'R3'!K22)</f>
        <v>22.9649295</v>
      </c>
      <c r="E22">
        <f>AVERAGE('R1'!L22,'R2'!L22,'R3'!L22)</f>
        <v>-2.2351196641422169</v>
      </c>
      <c r="F22">
        <f>AVERAGE('R1'!M22,'R2'!M22,'R3'!M22)</f>
        <v>-2.6240553758451699</v>
      </c>
      <c r="G22">
        <f>AVERAGE('R1'!N22,'R2'!N22,'R3'!N22)</f>
        <v>-2.0325711110161175</v>
      </c>
      <c r="H22">
        <f>AVERAGE('R1'!O22,'R2'!O22,'R3'!O22)</f>
        <v>-1.7470666857676111</v>
      </c>
      <c r="I22">
        <f t="shared" si="1"/>
        <v>4439.8863699999993</v>
      </c>
      <c r="K22">
        <f>_xlfn.STDEV.S('R1'!L22,'R2'!L22,'R3'!L22)</f>
        <v>4.4456622178567834E-3</v>
      </c>
      <c r="L22">
        <f>_xlfn.STDEV.S('R1'!M22,'R2'!M22,'R3'!M22)</f>
        <v>8.8475857220166529E-3</v>
      </c>
      <c r="M22">
        <f>_xlfn.STDEV.S('R1'!N22,'R2'!N22,'R3'!N22)</f>
        <v>9.0002235093372442E-3</v>
      </c>
      <c r="N22">
        <f>_xlfn.STDEV.S('R1'!O22,'R2'!O22,'R3'!O22)</f>
        <v>5.9643568535411844E-3</v>
      </c>
    </row>
    <row r="23" spans="1:14" x14ac:dyDescent="0.25">
      <c r="A23">
        <f>-'R1'!H23</f>
        <v>44</v>
      </c>
      <c r="B23">
        <f>DEGREES(ATAN(-SIN(RADIANS(('R1'!I23)))/(COS(RADIANS(Sheet1!A23))*COS(RADIANS('R1'!I23)))))</f>
        <v>-49.394314915379752</v>
      </c>
      <c r="C23">
        <f>AVERAGE('R1'!J23,'R2'!J23,'R3'!J23)</f>
        <v>1.1599999999999999</v>
      </c>
      <c r="D23">
        <f>AVERAGE('R1'!K23,'R2'!K23,'R3'!K23)</f>
        <v>23.219069333333334</v>
      </c>
      <c r="E23">
        <f>AVERAGE('R1'!L23,'R2'!L23,'R3'!L23)</f>
        <v>-2.4973946538840206</v>
      </c>
      <c r="F23">
        <f>AVERAGE('R1'!M23,'R2'!M23,'R3'!M23)</f>
        <v>-2.8033965018879168</v>
      </c>
      <c r="G23">
        <f>AVERAGE('R1'!N23,'R2'!N23,'R3'!N23)</f>
        <v>-2.3446622539673805</v>
      </c>
      <c r="H23">
        <f>AVERAGE('R1'!O23,'R2'!O23,'R3'!O23)</f>
        <v>-1.9758413866447118</v>
      </c>
      <c r="I23">
        <f t="shared" si="1"/>
        <v>4489.0200711111102</v>
      </c>
      <c r="K23">
        <f>_xlfn.STDEV.S('R1'!L23,'R2'!L23,'R3'!L23)</f>
        <v>9.3894764720281014E-3</v>
      </c>
      <c r="L23">
        <f>_xlfn.STDEV.S('R1'!M23,'R2'!M23,'R3'!M23)</f>
        <v>8.1189405047945602E-3</v>
      </c>
      <c r="M23">
        <f>_xlfn.STDEV.S('R1'!N23,'R2'!N23,'R3'!N23)</f>
        <v>1.4728696499457086E-2</v>
      </c>
      <c r="N23">
        <f>_xlfn.STDEV.S('R1'!O23,'R2'!O23,'R3'!O23)</f>
        <v>7.4583985385497245E-3</v>
      </c>
    </row>
    <row r="24" spans="1:14" x14ac:dyDescent="0.25">
      <c r="A24">
        <f>-'R1'!H24</f>
        <v>44</v>
      </c>
      <c r="B24">
        <f>DEGREES(ATAN(-SIN(RADIANS(('R1'!I24)))/(COS(RADIANS(Sheet1!A24))*COS(RADIANS('R1'!I24)))))</f>
        <v>-53.317641506405714</v>
      </c>
      <c r="C24">
        <f>AVERAGE('R1'!J24,'R2'!J24,'R3'!J24)</f>
        <v>1.1599999999999999</v>
      </c>
      <c r="D24">
        <f>AVERAGE('R1'!K24,'R2'!K24,'R3'!K24)</f>
        <v>23.25305341666667</v>
      </c>
      <c r="E24">
        <f>AVERAGE('R1'!L24,'R2'!L24,'R3'!L24)</f>
        <v>-2.7997351951953604</v>
      </c>
      <c r="F24">
        <f>AVERAGE('R1'!M24,'R2'!M24,'R3'!M24)</f>
        <v>-3.0492518631077172</v>
      </c>
      <c r="G24">
        <f>AVERAGE('R1'!N24,'R2'!N24,'R3'!N24)</f>
        <v>-2.7496738590480718</v>
      </c>
      <c r="H24">
        <f>AVERAGE('R1'!O24,'R2'!O24,'R3'!O24)</f>
        <v>-2.2635422539297525</v>
      </c>
      <c r="I24">
        <f t="shared" si="1"/>
        <v>4495.5903272222222</v>
      </c>
      <c r="K24">
        <f>_xlfn.STDEV.S('R1'!L24,'R2'!L24,'R3'!L24)</f>
        <v>8.4575038423260144E-3</v>
      </c>
      <c r="L24">
        <f>_xlfn.STDEV.S('R1'!M24,'R2'!M24,'R3'!M24)</f>
        <v>7.0070254755943764E-3</v>
      </c>
      <c r="M24">
        <f>_xlfn.STDEV.S('R1'!N24,'R2'!N24,'R3'!N24)</f>
        <v>9.3578523658356845E-3</v>
      </c>
      <c r="N24">
        <f>_xlfn.STDEV.S('R1'!O24,'R2'!O24,'R3'!O24)</f>
        <v>6.8647610869080489E-3</v>
      </c>
    </row>
    <row r="25" spans="1:14" x14ac:dyDescent="0.25">
      <c r="A25">
        <f>-'R1'!H25</f>
        <v>40</v>
      </c>
      <c r="B25">
        <f>DEGREES(ATAN(-SIN(RADIANS(('R1'!I25)))/(COS(RADIANS(Sheet1!A25))*COS(RADIANS('R1'!I25)))))</f>
        <v>51.576359961556868</v>
      </c>
      <c r="C25">
        <f>AVERAGE('R1'!J25,'R2'!J25,'R3'!J25)</f>
        <v>1.1599999999999999</v>
      </c>
      <c r="D25">
        <f>AVERAGE('R1'!K25,'R2'!K25,'R3'!K25)</f>
        <v>23.178196500000002</v>
      </c>
      <c r="E25">
        <f>AVERAGE('R1'!L25,'R2'!L25,'R3'!L25)</f>
        <v>1.9704010223996848</v>
      </c>
      <c r="F25">
        <f>AVERAGE('R1'!M25,'R2'!M25,'R3'!M25)</f>
        <v>-2.1687198483418455</v>
      </c>
      <c r="G25">
        <f>AVERAGE('R1'!N25,'R2'!N25,'R3'!N25)</f>
        <v>-1.6166101234041192</v>
      </c>
      <c r="H25">
        <f>AVERAGE('R1'!O25,'R2'!O25,'R3'!O25)</f>
        <v>-1.5287791951470628</v>
      </c>
      <c r="I25">
        <f t="shared" si="1"/>
        <v>4481.1179899999997</v>
      </c>
      <c r="K25">
        <f>_xlfn.STDEV.S('R1'!L25,'R2'!L25,'R3'!L25)</f>
        <v>1.5970683443902678E-2</v>
      </c>
      <c r="L25">
        <f>_xlfn.STDEV.S('R1'!M25,'R2'!M25,'R3'!M25)</f>
        <v>1.3786108669307606E-2</v>
      </c>
      <c r="M25">
        <f>_xlfn.STDEV.S('R1'!N25,'R2'!N25,'R3'!N25)</f>
        <v>2.1377386031110553E-2</v>
      </c>
      <c r="N25">
        <f>_xlfn.STDEV.S('R1'!O25,'R2'!O25,'R3'!O25)</f>
        <v>9.7649474366867991E-3</v>
      </c>
    </row>
    <row r="26" spans="1:14" x14ac:dyDescent="0.25">
      <c r="A26">
        <f>-'R1'!H26</f>
        <v>40</v>
      </c>
      <c r="B26">
        <f>DEGREES(ATAN(-SIN(RADIANS(('R1'!I26)))/(COS(RADIANS(Sheet1!A26))*COS(RADIANS('R1'!I26)))))</f>
        <v>47.605913955135343</v>
      </c>
      <c r="C26">
        <f>AVERAGE('R1'!J26,'R2'!J26,'R3'!J26)</f>
        <v>1.1599999999999999</v>
      </c>
      <c r="D26">
        <f>AVERAGE('R1'!K26,'R2'!K26,'R3'!K26)</f>
        <v>22.680410166666672</v>
      </c>
      <c r="E26">
        <f>AVERAGE('R1'!L26,'R2'!L26,'R3'!L26)</f>
        <v>1.8712299314786989</v>
      </c>
      <c r="F26">
        <f>AVERAGE('R1'!M26,'R2'!M26,'R3'!M26)</f>
        <v>-2.1278555942498367</v>
      </c>
      <c r="G26">
        <f>AVERAGE('R1'!N26,'R2'!N26,'R3'!N26)</f>
        <v>-1.5003780426403217</v>
      </c>
      <c r="H26">
        <f>AVERAGE('R1'!O26,'R2'!O26,'R3'!O26)</f>
        <v>-1.4165323806323113</v>
      </c>
      <c r="I26">
        <f t="shared" si="1"/>
        <v>4384.8792988888899</v>
      </c>
      <c r="K26">
        <f>_xlfn.STDEV.S('R1'!L26,'R2'!L26,'R3'!L26)</f>
        <v>1.5375732730774484E-2</v>
      </c>
      <c r="L26">
        <f>_xlfn.STDEV.S('R1'!M26,'R2'!M26,'R3'!M26)</f>
        <v>1.3813723095293559E-2</v>
      </c>
      <c r="M26">
        <f>_xlfn.STDEV.S('R1'!N26,'R2'!N26,'R3'!N26)</f>
        <v>2.0589918090018186E-2</v>
      </c>
      <c r="N26">
        <f>_xlfn.STDEV.S('R1'!O26,'R2'!O26,'R3'!O26)</f>
        <v>8.5614542300139589E-3</v>
      </c>
    </row>
    <row r="27" spans="1:14" x14ac:dyDescent="0.25">
      <c r="A27">
        <f>-'R1'!H27</f>
        <v>40</v>
      </c>
      <c r="B27">
        <f>DEGREES(ATAN(-SIN(RADIANS(('R1'!I27)))/(COS(RADIANS(Sheet1!A27))*COS(RADIANS('R1'!I27)))))</f>
        <v>43.48399800633365</v>
      </c>
      <c r="C27">
        <f>AVERAGE('R1'!J27,'R2'!J27,'R3'!J27)</f>
        <v>1.1599999999999999</v>
      </c>
      <c r="D27">
        <f>AVERAGE('R1'!K27,'R2'!K27,'R3'!K27)</f>
        <v>22.273133000000001</v>
      </c>
      <c r="E27">
        <f>AVERAGE('R1'!L27,'R2'!L27,'R3'!L27)</f>
        <v>1.7688019062829861</v>
      </c>
      <c r="F27">
        <f>AVERAGE('R1'!M27,'R2'!M27,'R3'!M27)</f>
        <v>-2.1050243086613869</v>
      </c>
      <c r="G27">
        <f>AVERAGE('R1'!N27,'R2'!N27,'R3'!N27)</f>
        <v>-1.4035800949118518</v>
      </c>
      <c r="H27">
        <f>AVERAGE('R1'!O27,'R2'!O27,'R3'!O27)</f>
        <v>-1.3097630516921088</v>
      </c>
      <c r="I27">
        <f t="shared" si="1"/>
        <v>4306.1390466666662</v>
      </c>
      <c r="K27">
        <f>_xlfn.STDEV.S('R1'!L27,'R2'!L27,'R3'!L27)</f>
        <v>4.5548526523559035E-3</v>
      </c>
      <c r="L27">
        <f>_xlfn.STDEV.S('R1'!M27,'R2'!M27,'R3'!M27)</f>
        <v>7.5481114697909446E-3</v>
      </c>
      <c r="M27">
        <f>_xlfn.STDEV.S('R1'!N27,'R2'!N27,'R3'!N27)</f>
        <v>8.9261335760782955E-3</v>
      </c>
      <c r="N27">
        <f>_xlfn.STDEV.S('R1'!O27,'R2'!O27,'R3'!O27)</f>
        <v>3.1074867066289576E-3</v>
      </c>
    </row>
    <row r="28" spans="1:14" x14ac:dyDescent="0.25">
      <c r="A28">
        <f>-'R1'!H28</f>
        <v>40</v>
      </c>
      <c r="B28">
        <f>DEGREES(ATAN(-SIN(RADIANS(('R1'!I28)))/(COS(RADIANS(Sheet1!A28))*COS(RADIANS('R1'!I28)))))</f>
        <v>39.204435233296593</v>
      </c>
      <c r="C28">
        <f>AVERAGE('R1'!J28,'R2'!J28,'R3'!J28)</f>
        <v>1.1599999999999999</v>
      </c>
      <c r="D28">
        <f>AVERAGE('R1'!K28,'R2'!K28,'R3'!K28)</f>
        <v>21.989359666666669</v>
      </c>
      <c r="E28">
        <f>AVERAGE('R1'!L28,'R2'!L28,'R3'!L28)</f>
        <v>1.6619671622607413</v>
      </c>
      <c r="F28">
        <f>AVERAGE('R1'!M28,'R2'!M28,'R3'!M28)</f>
        <v>-2.1320999513711656</v>
      </c>
      <c r="G28">
        <f>AVERAGE('R1'!N28,'R2'!N28,'R3'!N28)</f>
        <v>-1.3473943092286369</v>
      </c>
      <c r="H28">
        <f>AVERAGE('R1'!O28,'R2'!O28,'R3'!O28)</f>
        <v>-1.2229102303469412</v>
      </c>
      <c r="I28">
        <f t="shared" si="1"/>
        <v>4251.2762022222223</v>
      </c>
      <c r="K28">
        <f>_xlfn.STDEV.S('R1'!L28,'R2'!L28,'R3'!L28)</f>
        <v>5.795726819192706E-3</v>
      </c>
      <c r="L28">
        <f>_xlfn.STDEV.S('R1'!M28,'R2'!M28,'R3'!M28)</f>
        <v>9.0099286108331674E-3</v>
      </c>
      <c r="M28">
        <f>_xlfn.STDEV.S('R1'!N28,'R2'!N28,'R3'!N28)</f>
        <v>1.0328721481135065E-2</v>
      </c>
      <c r="N28">
        <f>_xlfn.STDEV.S('R1'!O28,'R2'!O28,'R3'!O28)</f>
        <v>4.1185428851350687E-3</v>
      </c>
    </row>
    <row r="29" spans="1:14" x14ac:dyDescent="0.25">
      <c r="A29">
        <f>-'R1'!H29</f>
        <v>40</v>
      </c>
      <c r="B29">
        <f>DEGREES(ATAN(-SIN(RADIANS(('R1'!I29)))/(COS(RADIANS(Sheet1!A29))*COS(RADIANS('R1'!I29)))))</f>
        <v>34.764413107862225</v>
      </c>
      <c r="C29">
        <f>AVERAGE('R1'!J29,'R2'!J29,'R3'!J29)</f>
        <v>1.1599999999999999</v>
      </c>
      <c r="D29">
        <f>AVERAGE('R1'!K29,'R2'!K29,'R3'!K29)</f>
        <v>22.210595916666666</v>
      </c>
      <c r="E29">
        <f>AVERAGE('R1'!L29,'R2'!L29,'R3'!L29)</f>
        <v>1.5404367926639091</v>
      </c>
      <c r="F29">
        <f>AVERAGE('R1'!M29,'R2'!M29,'R3'!M29)</f>
        <v>-2.1958460232972268</v>
      </c>
      <c r="G29">
        <f>AVERAGE('R1'!N29,'R2'!N29,'R3'!N29)</f>
        <v>-1.3185633809975517</v>
      </c>
      <c r="H29">
        <f>AVERAGE('R1'!O29,'R2'!O29,'R3'!O29)</f>
        <v>-1.1466858412024763</v>
      </c>
      <c r="I29">
        <f t="shared" si="1"/>
        <v>4294.0485438888882</v>
      </c>
      <c r="K29">
        <f>_xlfn.STDEV.S('R1'!L29,'R2'!L29,'R3'!L29)</f>
        <v>7.0923274268056419E-3</v>
      </c>
      <c r="L29">
        <f>_xlfn.STDEV.S('R1'!M29,'R2'!M29,'R3'!M29)</f>
        <v>9.403476868860481E-3</v>
      </c>
      <c r="M29">
        <f>_xlfn.STDEV.S('R1'!N29,'R2'!N29,'R3'!N29)</f>
        <v>1.119811503254046E-2</v>
      </c>
      <c r="N29">
        <f>_xlfn.STDEV.S('R1'!O29,'R2'!O29,'R3'!O29)</f>
        <v>4.5080805429906189E-3</v>
      </c>
    </row>
    <row r="30" spans="1:14" x14ac:dyDescent="0.25">
      <c r="A30">
        <f>-'R1'!H30</f>
        <v>40</v>
      </c>
      <c r="B30">
        <f>DEGREES(ATAN(-SIN(RADIANS(('R1'!I30)))/(COS(RADIANS(Sheet1!A30))*COS(RADIANS('R1'!I30)))))</f>
        <v>30.165358572591657</v>
      </c>
      <c r="C30">
        <f>AVERAGE('R1'!J30,'R2'!J30,'R3'!J30)</f>
        <v>1.1599999999999999</v>
      </c>
      <c r="D30">
        <f>AVERAGE('R1'!K30,'R2'!K30,'R3'!K30)</f>
        <v>22.62715291666667</v>
      </c>
      <c r="E30">
        <f>AVERAGE('R1'!L30,'R2'!L30,'R3'!L30)</f>
        <v>1.4108239391572583</v>
      </c>
      <c r="F30">
        <f>AVERAGE('R1'!M30,'R2'!M30,'R3'!M30)</f>
        <v>-2.3068905861618636</v>
      </c>
      <c r="G30">
        <f>AVERAGE('R1'!N30,'R2'!N30,'R3'!N30)</f>
        <v>-1.3349059887810142</v>
      </c>
      <c r="H30">
        <f>AVERAGE('R1'!O30,'R2'!O30,'R3'!O30)</f>
        <v>-1.0902976181074697</v>
      </c>
      <c r="I30">
        <f t="shared" si="1"/>
        <v>4374.5828972222216</v>
      </c>
      <c r="K30">
        <f>_xlfn.STDEV.S('R1'!L30,'R2'!L30,'R3'!L30)</f>
        <v>3.0482010763831142E-3</v>
      </c>
      <c r="L30">
        <f>_xlfn.STDEV.S('R1'!M30,'R2'!M30,'R3'!M30)</f>
        <v>5.3283747044632441E-3</v>
      </c>
      <c r="M30">
        <f>_xlfn.STDEV.S('R1'!N30,'R2'!N30,'R3'!N30)</f>
        <v>5.4923499594534088E-3</v>
      </c>
      <c r="N30">
        <f>_xlfn.STDEV.S('R1'!O30,'R2'!O30,'R3'!O30)</f>
        <v>3.0429310542860097E-3</v>
      </c>
    </row>
    <row r="31" spans="1:14" x14ac:dyDescent="0.25">
      <c r="A31">
        <f>-'R1'!H31</f>
        <v>40</v>
      </c>
      <c r="B31">
        <f>DEGREES(ATAN(-SIN(RADIANS(('R1'!I31)))/(COS(RADIANS(Sheet1!A31))*COS(RADIANS('R1'!I31)))))</f>
        <v>25.413766880049252</v>
      </c>
      <c r="C31">
        <f>AVERAGE('R1'!J31,'R2'!J31,'R3'!J31)</f>
        <v>1.1599999999999999</v>
      </c>
      <c r="D31">
        <f>AVERAGE('R1'!K31,'R2'!K31,'R3'!K31)</f>
        <v>22.993254250000003</v>
      </c>
      <c r="E31">
        <f>AVERAGE('R1'!L31,'R2'!L31,'R3'!L31)</f>
        <v>1.2399627886094273</v>
      </c>
      <c r="F31">
        <f>AVERAGE('R1'!M31,'R2'!M31,'R3'!M31)</f>
        <v>-2.4251424164868429</v>
      </c>
      <c r="G31">
        <f>AVERAGE('R1'!N31,'R2'!N31,'R3'!N31)</f>
        <v>-1.3456409948505199</v>
      </c>
      <c r="H31">
        <f>AVERAGE('R1'!O31,'R2'!O31,'R3'!O31)</f>
        <v>-1.0221340573241522</v>
      </c>
      <c r="I31">
        <f t="shared" si="1"/>
        <v>4445.3624883333341</v>
      </c>
      <c r="K31">
        <f>_xlfn.STDEV.S('R1'!L31,'R2'!L31,'R3'!L31)</f>
        <v>2.1302822332653583E-3</v>
      </c>
      <c r="L31">
        <f>_xlfn.STDEV.S('R1'!M31,'R2'!M31,'R3'!M31)</f>
        <v>5.1656959530945075E-3</v>
      </c>
      <c r="M31">
        <f>_xlfn.STDEV.S('R1'!N31,'R2'!N31,'R3'!N31)</f>
        <v>3.8311923006184778E-3</v>
      </c>
      <c r="N31">
        <f>_xlfn.STDEV.S('R1'!O31,'R2'!O31,'R3'!O31)</f>
        <v>1.3923522121309258E-3</v>
      </c>
    </row>
    <row r="32" spans="1:14" x14ac:dyDescent="0.25">
      <c r="A32">
        <f>-'R1'!H32</f>
        <v>40</v>
      </c>
      <c r="B32">
        <f>DEGREES(ATAN(-SIN(RADIANS(('R1'!I32)))/(COS(RADIANS(Sheet1!A32))*COS(RADIANS('R1'!I32)))))</f>
        <v>20.5218555971705</v>
      </c>
      <c r="C32">
        <f>AVERAGE('R1'!J32,'R2'!J32,'R3'!J32)</f>
        <v>1.1599999999999999</v>
      </c>
      <c r="D32">
        <f>AVERAGE('R1'!K32,'R2'!K32,'R3'!K32)</f>
        <v>23.056947750000003</v>
      </c>
      <c r="E32">
        <f>AVERAGE('R1'!L32,'R2'!L32,'R3'!L32)</f>
        <v>1.0342795816548305</v>
      </c>
      <c r="F32">
        <f>AVERAGE('R1'!M32,'R2'!M32,'R3'!M32)</f>
        <v>-2.5979452772719527</v>
      </c>
      <c r="G32">
        <f>AVERAGE('R1'!N32,'R2'!N32,'R3'!N32)</f>
        <v>-1.3945731471597818</v>
      </c>
      <c r="H32">
        <f>AVERAGE('R1'!O32,'R2'!O32,'R3'!O32)</f>
        <v>-0.97413286446987613</v>
      </c>
      <c r="I32">
        <f t="shared" si="1"/>
        <v>4457.6765649999998</v>
      </c>
      <c r="K32">
        <f>_xlfn.STDEV.S('R1'!L32,'R2'!L32,'R3'!L32)</f>
        <v>4.5000784443766052E-4</v>
      </c>
      <c r="L32">
        <f>_xlfn.STDEV.S('R1'!M32,'R2'!M32,'R3'!M32)</f>
        <v>5.1720817880764143E-3</v>
      </c>
      <c r="M32">
        <f>_xlfn.STDEV.S('R1'!N32,'R2'!N32,'R3'!N32)</f>
        <v>4.6656211832267645E-3</v>
      </c>
      <c r="N32">
        <f>_xlfn.STDEV.S('R1'!O32,'R2'!O32,'R3'!O32)</f>
        <v>1.5422662113621362E-3</v>
      </c>
    </row>
    <row r="33" spans="1:14" x14ac:dyDescent="0.25">
      <c r="A33">
        <f>-'R1'!H33</f>
        <v>40</v>
      </c>
      <c r="B33">
        <f>DEGREES(ATAN(-SIN(RADIANS(('R1'!I33)))/(COS(RADIANS(Sheet1!A33))*COS(RADIANS('R1'!I33)))))</f>
        <v>15.507892018560797</v>
      </c>
      <c r="C33">
        <f>AVERAGE('R1'!J33,'R2'!J33,'R3'!J33)</f>
        <v>1.1599999999999999</v>
      </c>
      <c r="D33">
        <f>AVERAGE('R1'!K33,'R2'!K33,'R3'!K33)</f>
        <v>23.063693083333334</v>
      </c>
      <c r="E33">
        <f>AVERAGE('R1'!L33,'R2'!L33,'R3'!L33)</f>
        <v>0.77901700076074942</v>
      </c>
      <c r="F33">
        <f>AVERAGE('R1'!M33,'R2'!M33,'R3'!M33)</f>
        <v>-2.8067710790781177</v>
      </c>
      <c r="G33">
        <f>AVERAGE('R1'!N33,'R2'!N33,'R3'!N33)</f>
        <v>-1.4643602713491006</v>
      </c>
      <c r="H33">
        <f>AVERAGE('R1'!O33,'R2'!O33,'R3'!O33)</f>
        <v>-0.92776098587355449</v>
      </c>
      <c r="I33">
        <f t="shared" si="1"/>
        <v>4458.9806627777771</v>
      </c>
      <c r="K33">
        <f>_xlfn.STDEV.S('R1'!L33,'R2'!L33,'R3'!L33)</f>
        <v>5.021761845865785E-3</v>
      </c>
      <c r="L33">
        <f>_xlfn.STDEV.S('R1'!M33,'R2'!M33,'R3'!M33)</f>
        <v>1.1581130254147139E-2</v>
      </c>
      <c r="M33">
        <f>_xlfn.STDEV.S('R1'!N33,'R2'!N33,'R3'!N33)</f>
        <v>6.4846124680376033E-3</v>
      </c>
      <c r="N33">
        <f>_xlfn.STDEV.S('R1'!O33,'R2'!O33,'R3'!O33)</f>
        <v>4.2175767057501855E-3</v>
      </c>
    </row>
    <row r="34" spans="1:14" x14ac:dyDescent="0.25">
      <c r="A34">
        <f>-'R1'!H34</f>
        <v>40</v>
      </c>
      <c r="B34">
        <f>DEGREES(ATAN(-SIN(RADIANS(('R1'!I34)))/(COS(RADIANS(Sheet1!A34))*COS(RADIANS('R1'!I34)))))</f>
        <v>10.396047080877794</v>
      </c>
      <c r="C34">
        <f>AVERAGE('R1'!J34,'R2'!J34,'R3'!J34)</f>
        <v>1.1599999999999999</v>
      </c>
      <c r="D34">
        <f>AVERAGE('R1'!K34,'R2'!K34,'R3'!K34)</f>
        <v>22.99210725</v>
      </c>
      <c r="E34">
        <f>AVERAGE('R1'!L34,'R2'!L34,'R3'!L34)</f>
        <v>0.46831969974824023</v>
      </c>
      <c r="F34">
        <f>AVERAGE('R1'!M34,'R2'!M34,'R3'!M34)</f>
        <v>-3.0565057264825697</v>
      </c>
      <c r="G34">
        <f>AVERAGE('R1'!N34,'R2'!N34,'R3'!N34)</f>
        <v>-1.5629991879528706</v>
      </c>
      <c r="H34">
        <f>AVERAGE('R1'!O34,'R2'!O34,'R3'!O34)</f>
        <v>-0.88580707286096327</v>
      </c>
      <c r="I34">
        <f t="shared" si="1"/>
        <v>4445.140734999999</v>
      </c>
      <c r="K34">
        <f>_xlfn.STDEV.S('R1'!L34,'R2'!L34,'R3'!L34)</f>
        <v>1.7413573689633418E-2</v>
      </c>
      <c r="L34">
        <f>_xlfn.STDEV.S('R1'!M34,'R2'!M34,'R3'!M34)</f>
        <v>2.6461071837405876E-2</v>
      </c>
      <c r="M34">
        <f>_xlfn.STDEV.S('R1'!N34,'R2'!N34,'R3'!N34)</f>
        <v>1.7496700993773682E-2</v>
      </c>
      <c r="N34">
        <f>_xlfn.STDEV.S('R1'!O34,'R2'!O34,'R3'!O34)</f>
        <v>4.533100392241367E-3</v>
      </c>
    </row>
    <row r="35" spans="1:14" x14ac:dyDescent="0.25">
      <c r="A35">
        <f>-'R1'!H35</f>
        <v>40</v>
      </c>
      <c r="B35">
        <f>DEGREES(ATAN(-SIN(RADIANS(('R1'!I35)))/(COS(RADIANS(Sheet1!A35))*COS(RADIANS('R1'!I35)))))</f>
        <v>5.2156742986237852</v>
      </c>
      <c r="C35">
        <f>AVERAGE('R1'!J35,'R2'!J35,'R3'!J35)</f>
        <v>1.1599999999999999</v>
      </c>
      <c r="D35">
        <f>AVERAGE('R1'!K35,'R2'!K35,'R3'!K35)</f>
        <v>22.728529416666664</v>
      </c>
      <c r="E35">
        <f>AVERAGE('R1'!L35,'R2'!L35,'R3'!L35)</f>
        <v>8.3991791751422087E-2</v>
      </c>
      <c r="F35">
        <f>AVERAGE('R1'!M35,'R2'!M35,'R3'!M35)</f>
        <v>-3.3546258312058552</v>
      </c>
      <c r="G35">
        <f>AVERAGE('R1'!N35,'R2'!N35,'R3'!N35)</f>
        <v>-1.6876469101357718</v>
      </c>
      <c r="H35">
        <f>AVERAGE('R1'!O35,'R2'!O35,'R3'!O35)</f>
        <v>-0.8415641092267151</v>
      </c>
      <c r="I35">
        <f t="shared" si="1"/>
        <v>4394.1823538888875</v>
      </c>
      <c r="K35">
        <f>_xlfn.STDEV.S('R1'!L35,'R2'!L35,'R3'!L35)</f>
        <v>6.1276708171270778E-3</v>
      </c>
      <c r="L35">
        <f>_xlfn.STDEV.S('R1'!M35,'R2'!M35,'R3'!M35)</f>
        <v>1.3796416237095802E-2</v>
      </c>
      <c r="M35">
        <f>_xlfn.STDEV.S('R1'!N35,'R2'!N35,'R3'!N35)</f>
        <v>1.0045475478762098E-2</v>
      </c>
      <c r="N35">
        <f>_xlfn.STDEV.S('R1'!O35,'R2'!O35,'R3'!O35)</f>
        <v>1.1008297088461777E-3</v>
      </c>
    </row>
    <row r="36" spans="1:14" x14ac:dyDescent="0.25">
      <c r="A36">
        <f>-'R1'!H36</f>
        <v>40</v>
      </c>
      <c r="B36">
        <f>DEGREES(ATAN(-SIN(RADIANS(('R1'!I36)))/(COS(RADIANS(Sheet1!A36))*COS(RADIANS('R1'!I36)))))</f>
        <v>0</v>
      </c>
      <c r="C36">
        <f>AVERAGE('R1'!J36,'R2'!J36,'R3'!J36)</f>
        <v>1.1599999999999999</v>
      </c>
      <c r="D36">
        <f>AVERAGE('R1'!K36,'R2'!K36,'R3'!K36)</f>
        <v>22.411178416666669</v>
      </c>
      <c r="E36">
        <f>AVERAGE('R1'!L36,'R2'!L36,'R3'!L36)</f>
        <v>-0.32573140738118356</v>
      </c>
      <c r="F36">
        <f>AVERAGE('R1'!M36,'R2'!M36,'R3'!M36)</f>
        <v>-3.1147762188670245</v>
      </c>
      <c r="G36">
        <f>AVERAGE('R1'!N36,'R2'!N36,'R3'!N36)</f>
        <v>-1.5513916919918873</v>
      </c>
      <c r="H36">
        <f>AVERAGE('R1'!O36,'R2'!O36,'R3'!O36)</f>
        <v>-0.84226062385162381</v>
      </c>
      <c r="I36">
        <f t="shared" si="1"/>
        <v>4332.8278272222224</v>
      </c>
      <c r="K36">
        <f>_xlfn.STDEV.S('R1'!L36,'R2'!L36,'R3'!L36)</f>
        <v>3.6160512656805179E-3</v>
      </c>
      <c r="L36">
        <f>_xlfn.STDEV.S('R1'!M36,'R2'!M36,'R3'!M36)</f>
        <v>9.9886138266998339E-3</v>
      </c>
      <c r="M36">
        <f>_xlfn.STDEV.S('R1'!N36,'R2'!N36,'R3'!N36)</f>
        <v>8.9704049029466094E-3</v>
      </c>
      <c r="N36">
        <f>_xlfn.STDEV.S('R1'!O36,'R2'!O36,'R3'!O36)</f>
        <v>1.1916514250354727E-3</v>
      </c>
    </row>
    <row r="37" spans="1:14" x14ac:dyDescent="0.25">
      <c r="A37">
        <f>-'R1'!H37</f>
        <v>40</v>
      </c>
      <c r="B37">
        <f>DEGREES(ATAN(-SIN(RADIANS(('R1'!I37)))/(COS(RADIANS(Sheet1!A37))*COS(RADIANS('R1'!I37)))))</f>
        <v>-5.2156742986237852</v>
      </c>
      <c r="C37">
        <f>AVERAGE('R1'!J37,'R2'!J37,'R3'!J37)</f>
        <v>1.1599999999999999</v>
      </c>
      <c r="D37">
        <f>AVERAGE('R1'!K37,'R2'!K37,'R3'!K37)</f>
        <v>22.135050833333334</v>
      </c>
      <c r="E37">
        <f>AVERAGE('R1'!L37,'R2'!L37,'R3'!L37)</f>
        <v>-0.64644729745304252</v>
      </c>
      <c r="F37">
        <f>AVERAGE('R1'!M37,'R2'!M37,'R3'!M37)</f>
        <v>-2.8001740825008015</v>
      </c>
      <c r="G37">
        <f>AVERAGE('R1'!N37,'R2'!N37,'R3'!N37)</f>
        <v>-1.3912454361692994</v>
      </c>
      <c r="H37">
        <f>AVERAGE('R1'!O37,'R2'!O37,'R3'!O37)</f>
        <v>-0.85636075142373291</v>
      </c>
      <c r="I37">
        <f t="shared" si="1"/>
        <v>4279.4431611111104</v>
      </c>
      <c r="K37">
        <f>_xlfn.STDEV.S('R1'!L37,'R2'!L37,'R3'!L37)</f>
        <v>4.789015516766461E-3</v>
      </c>
      <c r="L37">
        <f>_xlfn.STDEV.S('R1'!M37,'R2'!M37,'R3'!M37)</f>
        <v>8.5508817345801135E-3</v>
      </c>
      <c r="M37">
        <f>_xlfn.STDEV.S('R1'!N37,'R2'!N37,'R3'!N37)</f>
        <v>8.6380721266219596E-3</v>
      </c>
      <c r="N37">
        <f>_xlfn.STDEV.S('R1'!O37,'R2'!O37,'R3'!O37)</f>
        <v>4.8626226504756703E-3</v>
      </c>
    </row>
    <row r="38" spans="1:14" x14ac:dyDescent="0.25">
      <c r="A38">
        <f>-'R1'!H38</f>
        <v>40</v>
      </c>
      <c r="B38">
        <f>DEGREES(ATAN(-SIN(RADIANS(('R1'!I38)))/(COS(RADIANS(Sheet1!A38))*COS(RADIANS('R1'!I38)))))</f>
        <v>-10.396047080877794</v>
      </c>
      <c r="C38">
        <f>AVERAGE('R1'!J38,'R2'!J38,'R3'!J38)</f>
        <v>1.1599999999999999</v>
      </c>
      <c r="D38">
        <f>AVERAGE('R1'!K38,'R2'!K38,'R3'!K38)</f>
        <v>22.279666666666667</v>
      </c>
      <c r="E38">
        <f>AVERAGE('R1'!L38,'R2'!L38,'R3'!L38)</f>
        <v>-0.89727054273112117</v>
      </c>
      <c r="F38">
        <f>AVERAGE('R1'!M38,'R2'!M38,'R3'!M38)</f>
        <v>-2.5677222714115016</v>
      </c>
      <c r="G38">
        <f>AVERAGE('R1'!N38,'R2'!N38,'R3'!N38)</f>
        <v>-1.2854536608967067</v>
      </c>
      <c r="H38">
        <f>AVERAGE('R1'!O38,'R2'!O38,'R3'!O38)</f>
        <v>-0.88381503026505259</v>
      </c>
      <c r="I38">
        <f t="shared" si="1"/>
        <v>4307.402222222222</v>
      </c>
      <c r="K38">
        <f>_xlfn.STDEV.S('R1'!L38,'R2'!L38,'R3'!L38)</f>
        <v>6.4898795784874676E-3</v>
      </c>
      <c r="L38">
        <f>_xlfn.STDEV.S('R1'!M38,'R2'!M38,'R3'!M38)</f>
        <v>8.96404872963707E-3</v>
      </c>
      <c r="M38">
        <f>_xlfn.STDEV.S('R1'!N38,'R2'!N38,'R3'!N38)</f>
        <v>6.970938945255834E-3</v>
      </c>
      <c r="N38">
        <f>_xlfn.STDEV.S('R1'!O38,'R2'!O38,'R3'!O38)</f>
        <v>9.8734432568105719E-3</v>
      </c>
    </row>
    <row r="39" spans="1:14" x14ac:dyDescent="0.25">
      <c r="A39">
        <f>-'R1'!H39</f>
        <v>40</v>
      </c>
      <c r="B39">
        <f>DEGREES(ATAN(-SIN(RADIANS(('R1'!I39)))/(COS(RADIANS(Sheet1!A39))*COS(RADIANS('R1'!I39)))))</f>
        <v>-15.507892018560797</v>
      </c>
      <c r="C39">
        <f>AVERAGE('R1'!J39,'R2'!J39,'R3'!J39)</f>
        <v>1.1599999999999999</v>
      </c>
      <c r="D39">
        <f>AVERAGE('R1'!K39,'R2'!K39,'R3'!K39)</f>
        <v>22.705347499999998</v>
      </c>
      <c r="E39">
        <f>AVERAGE('R1'!L39,'R2'!L39,'R3'!L39)</f>
        <v>-1.1033420771006155</v>
      </c>
      <c r="F39">
        <f>AVERAGE('R1'!M39,'R2'!M39,'R3'!M39)</f>
        <v>-2.3772284543945443</v>
      </c>
      <c r="G39">
        <f>AVERAGE('R1'!N39,'R2'!N39,'R3'!N39)</f>
        <v>-1.2076208710708569</v>
      </c>
      <c r="H39">
        <f>AVERAGE('R1'!O39,'R2'!O39,'R3'!O39)</f>
        <v>-0.91359762511231501</v>
      </c>
      <c r="I39">
        <f t="shared" si="1"/>
        <v>4389.7005166666659</v>
      </c>
      <c r="K39">
        <f>_xlfn.STDEV.S('R1'!L39,'R2'!L39,'R3'!L39)</f>
        <v>5.1861946510374044E-3</v>
      </c>
      <c r="L39">
        <f>_xlfn.STDEV.S('R1'!M39,'R2'!M39,'R3'!M39)</f>
        <v>3.3588541247412569E-3</v>
      </c>
      <c r="M39">
        <f>_xlfn.STDEV.S('R1'!N39,'R2'!N39,'R3'!N39)</f>
        <v>3.6543190887331056E-3</v>
      </c>
      <c r="N39">
        <f>_xlfn.STDEV.S('R1'!O39,'R2'!O39,'R3'!O39)</f>
        <v>7.736018289910997E-3</v>
      </c>
    </row>
    <row r="40" spans="1:14" x14ac:dyDescent="0.25">
      <c r="A40">
        <f>-'R1'!H40</f>
        <v>40</v>
      </c>
      <c r="B40">
        <f>DEGREES(ATAN(-SIN(RADIANS(('R1'!I40)))/(COS(RADIANS(Sheet1!A40))*COS(RADIANS('R1'!I40)))))</f>
        <v>-20.5218555971705</v>
      </c>
      <c r="C40">
        <f>AVERAGE('R1'!J40,'R2'!J40,'R3'!J40)</f>
        <v>1.1599999999999999</v>
      </c>
      <c r="D40">
        <f>AVERAGE('R1'!K40,'R2'!K40,'R3'!K40)</f>
        <v>22.853637000000003</v>
      </c>
      <c r="E40">
        <f>AVERAGE('R1'!L40,'R2'!L40,'R3'!L40)</f>
        <v>-1.3037924987264498</v>
      </c>
      <c r="F40">
        <f>AVERAGE('R1'!M40,'R2'!M40,'R3'!M40)</f>
        <v>-2.2563736540604693</v>
      </c>
      <c r="G40">
        <f>AVERAGE('R1'!N40,'R2'!N40,'R3'!N40)</f>
        <v>-1.2039971185120717</v>
      </c>
      <c r="H40">
        <f>AVERAGE('R1'!O40,'R2'!O40,'R3'!O40)</f>
        <v>-0.96859201907976888</v>
      </c>
      <c r="I40">
        <f t="shared" si="1"/>
        <v>4418.3698199999999</v>
      </c>
      <c r="K40">
        <f>_xlfn.STDEV.S('R1'!L40,'R2'!L40,'R3'!L40)</f>
        <v>2.7340556242908165E-3</v>
      </c>
      <c r="L40">
        <f>_xlfn.STDEV.S('R1'!M40,'R2'!M40,'R3'!M40)</f>
        <v>7.1645011380690096E-3</v>
      </c>
      <c r="M40">
        <f>_xlfn.STDEV.S('R1'!N40,'R2'!N40,'R3'!N40)</f>
        <v>6.8616194130697809E-3</v>
      </c>
      <c r="N40">
        <f>_xlfn.STDEV.S('R1'!O40,'R2'!O40,'R3'!O40)</f>
        <v>3.0988570965052816E-3</v>
      </c>
    </row>
    <row r="41" spans="1:14" x14ac:dyDescent="0.25">
      <c r="A41">
        <f>-'R1'!H41</f>
        <v>40</v>
      </c>
      <c r="B41">
        <f>DEGREES(ATAN(-SIN(RADIANS(('R1'!I41)))/(COS(RADIANS(Sheet1!A41))*COS(RADIANS('R1'!I41)))))</f>
        <v>-25.413766880049252</v>
      </c>
      <c r="C41">
        <f>AVERAGE('R1'!J41,'R2'!J41,'R3'!J41)</f>
        <v>1.1599999999999999</v>
      </c>
      <c r="D41">
        <f>AVERAGE('R1'!K41,'R2'!K41,'R3'!K41)</f>
        <v>22.905605833333329</v>
      </c>
      <c r="E41">
        <f>AVERAGE('R1'!L41,'R2'!L41,'R3'!L41)</f>
        <v>-1.4589751632005488</v>
      </c>
      <c r="F41">
        <f>AVERAGE('R1'!M41,'R2'!M41,'R3'!M41)</f>
        <v>-2.1698590398161226</v>
      </c>
      <c r="G41">
        <f>AVERAGE('R1'!N41,'R2'!N41,'R3'!N41)</f>
        <v>-1.2087611456877771</v>
      </c>
      <c r="H41">
        <f>AVERAGE('R1'!O41,'R2'!O41,'R3'!O41)</f>
        <v>-1.0290771864445378</v>
      </c>
      <c r="I41">
        <f t="shared" si="1"/>
        <v>4428.4171277777768</v>
      </c>
      <c r="K41">
        <f>_xlfn.STDEV.S('R1'!L41,'R2'!L41,'R3'!L41)</f>
        <v>1.8120537731696137E-3</v>
      </c>
      <c r="L41">
        <f>_xlfn.STDEV.S('R1'!M41,'R2'!M41,'R3'!M41)</f>
        <v>1.361544860741784E-3</v>
      </c>
      <c r="M41">
        <f>_xlfn.STDEV.S('R1'!N41,'R2'!N41,'R3'!N41)</f>
        <v>2.7496385044980249E-3</v>
      </c>
      <c r="N41">
        <f>_xlfn.STDEV.S('R1'!O41,'R2'!O41,'R3'!O41)</f>
        <v>3.0598255528012366E-3</v>
      </c>
    </row>
    <row r="42" spans="1:14" x14ac:dyDescent="0.25">
      <c r="A42">
        <f>-'R1'!H42</f>
        <v>40</v>
      </c>
      <c r="B42">
        <f>DEGREES(ATAN(-SIN(RADIANS(('R1'!I42)))/(COS(RADIANS(Sheet1!A42))*COS(RADIANS('R1'!I42)))))</f>
        <v>-30.165358572591657</v>
      </c>
      <c r="C42">
        <f>AVERAGE('R1'!J42,'R2'!J42,'R3'!J42)</f>
        <v>1.1599999999999999</v>
      </c>
      <c r="D42">
        <f>AVERAGE('R1'!K42,'R2'!K42,'R3'!K42)</f>
        <v>22.92926258333333</v>
      </c>
      <c r="E42">
        <f>AVERAGE('R1'!L42,'R2'!L42,'R3'!L42)</f>
        <v>-1.6037777623510152</v>
      </c>
      <c r="F42">
        <f>AVERAGE('R1'!M42,'R2'!M42,'R3'!M42)</f>
        <v>-2.135776052900979</v>
      </c>
      <c r="G42">
        <f>AVERAGE('R1'!N42,'R2'!N42,'R3'!N42)</f>
        <v>-1.2571326236153686</v>
      </c>
      <c r="H42">
        <f>AVERAGE('R1'!O42,'R2'!O42,'R3'!O42)</f>
        <v>-1.1104979966294573</v>
      </c>
      <c r="I42">
        <f t="shared" si="1"/>
        <v>4432.9907661111101</v>
      </c>
      <c r="K42">
        <f>_xlfn.STDEV.S('R1'!L42,'R2'!L42,'R3'!L42)</f>
        <v>5.5388063094454531E-3</v>
      </c>
      <c r="L42">
        <f>_xlfn.STDEV.S('R1'!M42,'R2'!M42,'R3'!M42)</f>
        <v>6.8740994416419668E-3</v>
      </c>
      <c r="M42">
        <f>_xlfn.STDEV.S('R1'!N42,'R2'!N42,'R3'!N42)</f>
        <v>5.5146245215677318E-3</v>
      </c>
      <c r="N42">
        <f>_xlfn.STDEV.S('R1'!O42,'R2'!O42,'R3'!O42)</f>
        <v>1.2045943351189226E-3</v>
      </c>
    </row>
    <row r="43" spans="1:14" x14ac:dyDescent="0.25">
      <c r="A43">
        <f>-'R1'!H43</f>
        <v>40</v>
      </c>
      <c r="B43">
        <f>DEGREES(ATAN(-SIN(RADIANS(('R1'!I43)))/(COS(RADIANS(Sheet1!A43))*COS(RADIANS('R1'!I43)))))</f>
        <v>-34.764413107862225</v>
      </c>
      <c r="C43">
        <f>AVERAGE('R1'!J43,'R2'!J43,'R3'!J43)</f>
        <v>1.1599999999999999</v>
      </c>
      <c r="D43">
        <f>AVERAGE('R1'!K43,'R2'!K43,'R3'!K43)</f>
        <v>22.945300166666669</v>
      </c>
      <c r="E43">
        <f>AVERAGE('R1'!L43,'R2'!L43,'R3'!L43)</f>
        <v>-1.7555799456184003</v>
      </c>
      <c r="F43">
        <f>AVERAGE('R1'!M43,'R2'!M43,'R3'!M43)</f>
        <v>-2.163251465450363</v>
      </c>
      <c r="G43">
        <f>AVERAGE('R1'!N43,'R2'!N43,'R3'!N43)</f>
        <v>-1.3636575437658307</v>
      </c>
      <c r="H43">
        <f>AVERAGE('R1'!O43,'R2'!O43,'R3'!O43)</f>
        <v>-1.2244968543605621</v>
      </c>
      <c r="I43">
        <f t="shared" si="1"/>
        <v>4436.091365555556</v>
      </c>
      <c r="K43">
        <f>_xlfn.STDEV.S('R1'!L43,'R2'!L43,'R3'!L43)</f>
        <v>5.8174057026267245E-3</v>
      </c>
      <c r="L43">
        <f>_xlfn.STDEV.S('R1'!M43,'R2'!M43,'R3'!M43)</f>
        <v>3.0207330003699127E-3</v>
      </c>
      <c r="M43">
        <f>_xlfn.STDEV.S('R1'!N43,'R2'!N43,'R3'!N43)</f>
        <v>3.1288646978821109E-3</v>
      </c>
      <c r="N43">
        <f>_xlfn.STDEV.S('R1'!O43,'R2'!O43,'R3'!O43)</f>
        <v>2.6979712382343528E-3</v>
      </c>
    </row>
    <row r="44" spans="1:14" x14ac:dyDescent="0.25">
      <c r="A44">
        <f>-'R1'!H44</f>
        <v>40</v>
      </c>
      <c r="B44">
        <f>DEGREES(ATAN(-SIN(RADIANS(('R1'!I44)))/(COS(RADIANS(Sheet1!A44))*COS(RADIANS('R1'!I44)))))</f>
        <v>-39.204435233296593</v>
      </c>
      <c r="C44">
        <f>AVERAGE('R1'!J44,'R2'!J44,'R3'!J44)</f>
        <v>1.1599999999999999</v>
      </c>
      <c r="D44">
        <f>AVERAGE('R1'!K44,'R2'!K44,'R3'!K44)</f>
        <v>22.900989749999997</v>
      </c>
      <c r="E44">
        <f>AVERAGE('R1'!L44,'R2'!L44,'R3'!L44)</f>
        <v>-1.9447201400809171</v>
      </c>
      <c r="F44">
        <f>AVERAGE('R1'!M44,'R2'!M44,'R3'!M44)</f>
        <v>-2.2605487852621771</v>
      </c>
      <c r="G44">
        <f>AVERAGE('R1'!N44,'R2'!N44,'R3'!N44)</f>
        <v>-1.5424089315262037</v>
      </c>
      <c r="H44">
        <f>AVERAGE('R1'!O44,'R2'!O44,'R3'!O44)</f>
        <v>-1.3729392214167226</v>
      </c>
      <c r="I44">
        <f t="shared" si="1"/>
        <v>4427.5246849999985</v>
      </c>
      <c r="K44">
        <f>_xlfn.STDEV.S('R1'!L44,'R2'!L44,'R3'!L44)</f>
        <v>1.375230822614671E-2</v>
      </c>
      <c r="L44">
        <f>_xlfn.STDEV.S('R1'!M44,'R2'!M44,'R3'!M44)</f>
        <v>1.4065231704015966E-2</v>
      </c>
      <c r="M44">
        <f>_xlfn.STDEV.S('R1'!N44,'R2'!N44,'R3'!N44)</f>
        <v>1.9317028864355556E-2</v>
      </c>
      <c r="N44">
        <f>_xlfn.STDEV.S('R1'!O44,'R2'!O44,'R3'!O44)</f>
        <v>9.0073943717325824E-3</v>
      </c>
    </row>
    <row r="45" spans="1:14" x14ac:dyDescent="0.25">
      <c r="A45">
        <f>-'R1'!H45</f>
        <v>40</v>
      </c>
      <c r="B45">
        <f>DEGREES(ATAN(-SIN(RADIANS(('R1'!I45)))/(COS(RADIANS(Sheet1!A45))*COS(RADIANS('R1'!I45)))))</f>
        <v>-43.48399800633365</v>
      </c>
      <c r="C45">
        <f>AVERAGE('R1'!J45,'R2'!J45,'R3'!J45)</f>
        <v>1.1599999999999999</v>
      </c>
      <c r="D45">
        <f>AVERAGE('R1'!K45,'R2'!K45,'R3'!K45)</f>
        <v>22.599488833333329</v>
      </c>
      <c r="E45">
        <f>AVERAGE('R1'!L45,'R2'!L45,'R3'!L45)</f>
        <v>-2.1679753096502394</v>
      </c>
      <c r="F45">
        <f>AVERAGE('R1'!M45,'R2'!M45,'R3'!M45)</f>
        <v>-2.4032670117726727</v>
      </c>
      <c r="G45">
        <f>AVERAGE('R1'!N45,'R2'!N45,'R3'!N45)</f>
        <v>-1.7854763591073954</v>
      </c>
      <c r="H45">
        <f>AVERAGE('R1'!O45,'R2'!O45,'R3'!O45)</f>
        <v>-1.5571589924550606</v>
      </c>
      <c r="I45">
        <f t="shared" si="1"/>
        <v>4369.2345077777763</v>
      </c>
      <c r="K45">
        <f>_xlfn.STDEV.S('R1'!L45,'R2'!L45,'R3'!L45)</f>
        <v>1.5643710505005275E-2</v>
      </c>
      <c r="L45">
        <f>_xlfn.STDEV.S('R1'!M45,'R2'!M45,'R3'!M45)</f>
        <v>1.5568938621070293E-2</v>
      </c>
      <c r="M45">
        <f>_xlfn.STDEV.S('R1'!N45,'R2'!N45,'R3'!N45)</f>
        <v>2.1445181574126903E-2</v>
      </c>
      <c r="N45">
        <f>_xlfn.STDEV.S('R1'!O45,'R2'!O45,'R3'!O45)</f>
        <v>1.0960745344936452E-2</v>
      </c>
    </row>
    <row r="46" spans="1:14" x14ac:dyDescent="0.25">
      <c r="A46">
        <f>-'R1'!H46</f>
        <v>40</v>
      </c>
      <c r="B46">
        <f>DEGREES(ATAN(-SIN(RADIANS(('R1'!I46)))/(COS(RADIANS(Sheet1!A46))*COS(RADIANS('R1'!I46)))))</f>
        <v>-47.605913955135343</v>
      </c>
      <c r="C46">
        <f>AVERAGE('R1'!J46,'R2'!J46,'R3'!J46)</f>
        <v>1.1599999999999999</v>
      </c>
      <c r="D46">
        <f>AVERAGE('R1'!K46,'R2'!K46,'R3'!K46)</f>
        <v>22.286997499999998</v>
      </c>
      <c r="E46">
        <f>AVERAGE('R1'!L46,'R2'!L46,'R3'!L46)</f>
        <v>-2.4222792352045506</v>
      </c>
      <c r="F46">
        <f>AVERAGE('R1'!M46,'R2'!M46,'R3'!M46)</f>
        <v>-2.5684643287145779</v>
      </c>
      <c r="G46">
        <f>AVERAGE('R1'!N46,'R2'!N46,'R3'!N46)</f>
        <v>-2.0798055253948324</v>
      </c>
      <c r="H46">
        <f>AVERAGE('R1'!O46,'R2'!O46,'R3'!O46)</f>
        <v>-1.7779063081404536</v>
      </c>
      <c r="I46">
        <f t="shared" si="1"/>
        <v>4308.8195166666655</v>
      </c>
      <c r="K46">
        <f>_xlfn.STDEV.S('R1'!L46,'R2'!L46,'R3'!L46)</f>
        <v>7.4958138695893316E-3</v>
      </c>
      <c r="L46">
        <f>_xlfn.STDEV.S('R1'!M46,'R2'!M46,'R3'!M46)</f>
        <v>7.1078554427132512E-3</v>
      </c>
      <c r="M46">
        <f>_xlfn.STDEV.S('R1'!N46,'R2'!N46,'R3'!N46)</f>
        <v>1.4515273512516268E-2</v>
      </c>
      <c r="N46">
        <f>_xlfn.STDEV.S('R1'!O46,'R2'!O46,'R3'!O46)</f>
        <v>7.1061333920605886E-3</v>
      </c>
    </row>
    <row r="47" spans="1:14" x14ac:dyDescent="0.25">
      <c r="A47">
        <f>-'R1'!H47</f>
        <v>40</v>
      </c>
      <c r="B47">
        <f>DEGREES(ATAN(-SIN(RADIANS(('R1'!I47)))/(COS(RADIANS(Sheet1!A47))*COS(RADIANS('R1'!I47)))))</f>
        <v>-51.576359961556868</v>
      </c>
      <c r="C47">
        <f>AVERAGE('R1'!J47,'R2'!J47,'R3'!J47)</f>
        <v>1.1599999999999999</v>
      </c>
      <c r="D47">
        <f>AVERAGE('R1'!K47,'R2'!K47,'R3'!K47)</f>
        <v>22.395063083333337</v>
      </c>
      <c r="E47">
        <f>AVERAGE('R1'!L47,'R2'!L47,'R3'!L47)</f>
        <v>-2.7187251218005968</v>
      </c>
      <c r="F47">
        <f>AVERAGE('R1'!M47,'R2'!M47,'R3'!M47)</f>
        <v>-2.7915477086207154</v>
      </c>
      <c r="G47">
        <f>AVERAGE('R1'!N47,'R2'!N47,'R3'!N47)</f>
        <v>-2.4560388175952883</v>
      </c>
      <c r="H47">
        <f>AVERAGE('R1'!O47,'R2'!O47,'R3'!O47)</f>
        <v>-2.0575379020539715</v>
      </c>
      <c r="I47">
        <f t="shared" si="1"/>
        <v>4329.7121961111106</v>
      </c>
      <c r="K47">
        <f>_xlfn.STDEV.S('R1'!L47,'R2'!L47,'R3'!L47)</f>
        <v>1.8043608760253804E-2</v>
      </c>
      <c r="L47">
        <f>_xlfn.STDEV.S('R1'!M47,'R2'!M47,'R3'!M47)</f>
        <v>1.8666448132673454E-2</v>
      </c>
      <c r="M47">
        <f>_xlfn.STDEV.S('R1'!N47,'R2'!N47,'R3'!N47)</f>
        <v>2.5606616829141046E-2</v>
      </c>
      <c r="N47">
        <f>_xlfn.STDEV.S('R1'!O47,'R2'!O47,'R3'!O47)</f>
        <v>1.4430914890391222E-2</v>
      </c>
    </row>
    <row r="48" spans="1:14" x14ac:dyDescent="0.25">
      <c r="A48">
        <f>-'R1'!H48</f>
        <v>36</v>
      </c>
      <c r="B48">
        <f>DEGREES(ATAN(-SIN(RADIANS(('R1'!I48)))/(COS(RADIANS(Sheet1!A48))*COS(RADIANS('R1'!I48)))))</f>
        <v>50.045016920059574</v>
      </c>
      <c r="C48">
        <f>AVERAGE('R1'!J48,'R2'!J48,'R3'!J48)</f>
        <v>1.1599999999999999</v>
      </c>
      <c r="D48">
        <f>AVERAGE('R1'!K48,'R2'!K48,'R3'!K48)</f>
        <v>22.653321166666668</v>
      </c>
      <c r="E48">
        <f>AVERAGE('R1'!L48,'R2'!L48,'R3'!L48)</f>
        <v>1.8751394819024612</v>
      </c>
      <c r="F48">
        <f>AVERAGE('R1'!M48,'R2'!M48,'R3'!M48)</f>
        <v>-1.9745088500941887</v>
      </c>
      <c r="G48">
        <f>AVERAGE('R1'!N48,'R2'!N48,'R3'!N48)</f>
        <v>-1.3866935343865527</v>
      </c>
      <c r="H48">
        <f>AVERAGE('R1'!O48,'R2'!O48,'R3'!O48)</f>
        <v>-1.3598834061611427</v>
      </c>
      <c r="I48">
        <f t="shared" si="1"/>
        <v>4379.6420922222223</v>
      </c>
      <c r="K48">
        <f>_xlfn.STDEV.S('R1'!L48,'R2'!L48,'R3'!L48)</f>
        <v>8.5485747274407983E-3</v>
      </c>
      <c r="L48">
        <f>_xlfn.STDEV.S('R1'!M48,'R2'!M48,'R3'!M48)</f>
        <v>1.1245960916046117E-2</v>
      </c>
      <c r="M48">
        <f>_xlfn.STDEV.S('R1'!N48,'R2'!N48,'R3'!N48)</f>
        <v>1.4856991926944977E-2</v>
      </c>
      <c r="N48">
        <f>_xlfn.STDEV.S('R1'!O48,'R2'!O48,'R3'!O48)</f>
        <v>3.3101127250834942E-3</v>
      </c>
    </row>
    <row r="49" spans="1:14" x14ac:dyDescent="0.25">
      <c r="A49">
        <f>-'R1'!H49</f>
        <v>36</v>
      </c>
      <c r="B49">
        <f>DEGREES(ATAN(-SIN(RADIANS(('R1'!I49)))/(COS(RADIANS(Sheet1!A49))*COS(RADIANS('R1'!I49)))))</f>
        <v>46.045688589723383</v>
      </c>
      <c r="C49">
        <f>AVERAGE('R1'!J49,'R2'!J49,'R3'!J49)</f>
        <v>1.1599999999999999</v>
      </c>
      <c r="D49">
        <f>AVERAGE('R1'!K49,'R2'!K49,'R3'!K49)</f>
        <v>22.732756500000004</v>
      </c>
      <c r="E49">
        <f>AVERAGE('R1'!L49,'R2'!L49,'R3'!L49)</f>
        <v>1.7659534501970311</v>
      </c>
      <c r="F49">
        <f>AVERAGE('R1'!M49,'R2'!M49,'R3'!M49)</f>
        <v>-1.9072606311120825</v>
      </c>
      <c r="G49">
        <f>AVERAGE('R1'!N49,'R2'!N49,'R3'!N49)</f>
        <v>-1.2452276033872252</v>
      </c>
      <c r="H49">
        <f>AVERAGE('R1'!O49,'R2'!O49,'R3'!O49)</f>
        <v>-1.2365770605708959</v>
      </c>
      <c r="I49">
        <f t="shared" si="1"/>
        <v>4394.9995900000004</v>
      </c>
      <c r="K49">
        <f>_xlfn.STDEV.S('R1'!L49,'R2'!L49,'R3'!L49)</f>
        <v>5.6629003439430548E-3</v>
      </c>
      <c r="L49">
        <f>_xlfn.STDEV.S('R1'!M49,'R2'!M49,'R3'!M49)</f>
        <v>7.4125043712668943E-3</v>
      </c>
      <c r="M49">
        <f>_xlfn.STDEV.S('R1'!N49,'R2'!N49,'R3'!N49)</f>
        <v>8.1944576742826163E-3</v>
      </c>
      <c r="N49">
        <f>_xlfn.STDEV.S('R1'!O49,'R2'!O49,'R3'!O49)</f>
        <v>5.0253846744542025E-3</v>
      </c>
    </row>
    <row r="50" spans="1:14" x14ac:dyDescent="0.25">
      <c r="A50">
        <f>-'R1'!H50</f>
        <v>36</v>
      </c>
      <c r="B50">
        <f>DEGREES(ATAN(-SIN(RADIANS(('R1'!I50)))/(COS(RADIANS(Sheet1!A50))*COS(RADIANS('R1'!I50)))))</f>
        <v>41.925613925819086</v>
      </c>
      <c r="C50">
        <f>AVERAGE('R1'!J50,'R2'!J50,'R3'!J50)</f>
        <v>1.1599999999999999</v>
      </c>
      <c r="D50">
        <f>AVERAGE('R1'!K50,'R2'!K50,'R3'!K50)</f>
        <v>22.7864805</v>
      </c>
      <c r="E50">
        <f>AVERAGE('R1'!L50,'R2'!L50,'R3'!L50)</f>
        <v>1.6653619867669407</v>
      </c>
      <c r="F50">
        <f>AVERAGE('R1'!M50,'R2'!M50,'R3'!M50)</f>
        <v>-1.8562799755279293</v>
      </c>
      <c r="G50">
        <f>AVERAGE('R1'!N50,'R2'!N50,'R3'!N50)</f>
        <v>-1.1310677713078225</v>
      </c>
      <c r="H50">
        <f>AVERAGE('R1'!O50,'R2'!O50,'R3'!O50)</f>
        <v>-1.1278545074989363</v>
      </c>
      <c r="I50">
        <f t="shared" si="1"/>
        <v>4405.3862299999992</v>
      </c>
      <c r="K50">
        <f>_xlfn.STDEV.S('R1'!L50,'R2'!L50,'R3'!L50)</f>
        <v>5.220039633134642E-3</v>
      </c>
      <c r="L50">
        <f>_xlfn.STDEV.S('R1'!M50,'R2'!M50,'R3'!M50)</f>
        <v>3.7807722820494241E-3</v>
      </c>
      <c r="M50">
        <f>_xlfn.STDEV.S('R1'!N50,'R2'!N50,'R3'!N50)</f>
        <v>7.8000587077339265E-3</v>
      </c>
      <c r="N50">
        <f>_xlfn.STDEV.S('R1'!O50,'R2'!O50,'R3'!O50)</f>
        <v>1.1520090733780331E-3</v>
      </c>
    </row>
    <row r="51" spans="1:14" x14ac:dyDescent="0.25">
      <c r="A51">
        <f>-'R1'!H51</f>
        <v>36</v>
      </c>
      <c r="B51">
        <f>DEGREES(ATAN(-SIN(RADIANS(('R1'!I51)))/(COS(RADIANS(Sheet1!A51))*COS(RADIANS('R1'!I51)))))</f>
        <v>37.681815805789164</v>
      </c>
      <c r="C51">
        <f>AVERAGE('R1'!J51,'R2'!J51,'R3'!J51)</f>
        <v>1.1599999999999999</v>
      </c>
      <c r="D51">
        <f>AVERAGE('R1'!K51,'R2'!K51,'R3'!K51)</f>
        <v>22.849166583333332</v>
      </c>
      <c r="E51">
        <f>AVERAGE('R1'!L51,'R2'!L51,'R3'!L51)</f>
        <v>1.5586794375479573</v>
      </c>
      <c r="F51">
        <f>AVERAGE('R1'!M51,'R2'!M51,'R3'!M51)</f>
        <v>-1.8722399968966748</v>
      </c>
      <c r="G51">
        <f>AVERAGE('R1'!N51,'R2'!N51,'R3'!N51)</f>
        <v>-1.0692244716337214</v>
      </c>
      <c r="H51">
        <f>AVERAGE('R1'!O51,'R2'!O51,'R3'!O51)</f>
        <v>-1.0346884537369467</v>
      </c>
      <c r="I51">
        <f t="shared" si="1"/>
        <v>4417.5055394444435</v>
      </c>
      <c r="K51">
        <f>_xlfn.STDEV.S('R1'!L51,'R2'!L51,'R3'!L51)</f>
        <v>7.3429406277520553E-3</v>
      </c>
      <c r="L51">
        <f>_xlfn.STDEV.S('R1'!M51,'R2'!M51,'R3'!M51)</f>
        <v>8.4639814612032516E-3</v>
      </c>
      <c r="M51">
        <f>_xlfn.STDEV.S('R1'!N51,'R2'!N51,'R3'!N51)</f>
        <v>1.2463881731872756E-2</v>
      </c>
      <c r="N51">
        <f>_xlfn.STDEV.S('R1'!O51,'R2'!O51,'R3'!O51)</f>
        <v>2.4904317611240587E-3</v>
      </c>
    </row>
    <row r="52" spans="1:14" x14ac:dyDescent="0.25">
      <c r="A52">
        <f>-'R1'!H52</f>
        <v>36</v>
      </c>
      <c r="B52">
        <f>DEGREES(ATAN(-SIN(RADIANS(('R1'!I52)))/(COS(RADIANS(Sheet1!A52))*COS(RADIANS('R1'!I52)))))</f>
        <v>33.314077817276932</v>
      </c>
      <c r="C52">
        <f>AVERAGE('R1'!J52,'R2'!J52,'R3'!J52)</f>
        <v>1.1599999999999999</v>
      </c>
      <c r="D52">
        <f>AVERAGE('R1'!K52,'R2'!K52,'R3'!K52)</f>
        <v>22.986223499999998</v>
      </c>
      <c r="E52">
        <f>AVERAGE('R1'!L52,'R2'!L52,'R3'!L52)</f>
        <v>1.4439463031629465</v>
      </c>
      <c r="F52">
        <f>AVERAGE('R1'!M52,'R2'!M52,'R3'!M52)</f>
        <v>-1.9186476179602074</v>
      </c>
      <c r="G52">
        <f>AVERAGE('R1'!N52,'R2'!N52,'R3'!N52)</f>
        <v>-1.0325900783289128</v>
      </c>
      <c r="H52">
        <f>AVERAGE('R1'!O52,'R2'!O52,'R3'!O52)</f>
        <v>-0.94719875439762136</v>
      </c>
      <c r="I52">
        <f t="shared" si="1"/>
        <v>4444.0032099999989</v>
      </c>
      <c r="K52">
        <f>_xlfn.STDEV.S('R1'!L52,'R2'!L52,'R3'!L52)</f>
        <v>2.8184768947723073E-3</v>
      </c>
      <c r="L52">
        <f>_xlfn.STDEV.S('R1'!M52,'R2'!M52,'R3'!M52)</f>
        <v>9.1927359266407993E-3</v>
      </c>
      <c r="M52">
        <f>_xlfn.STDEV.S('R1'!N52,'R2'!N52,'R3'!N52)</f>
        <v>1.0239497517640986E-2</v>
      </c>
      <c r="N52">
        <f>_xlfn.STDEV.S('R1'!O52,'R2'!O52,'R3'!O52)</f>
        <v>2.4631851096788837E-3</v>
      </c>
    </row>
    <row r="53" spans="1:14" x14ac:dyDescent="0.25">
      <c r="A53">
        <f>-'R1'!H53</f>
        <v>36</v>
      </c>
      <c r="B53">
        <f>DEGREES(ATAN(-SIN(RADIANS(('R1'!I53)))/(COS(RADIANS(Sheet1!A53))*COS(RADIANS('R1'!I53)))))</f>
        <v>28.825436554649738</v>
      </c>
      <c r="C53">
        <f>AVERAGE('R1'!J53,'R2'!J53,'R3'!J53)</f>
        <v>1.1599999999999999</v>
      </c>
      <c r="D53">
        <f>AVERAGE('R1'!K53,'R2'!K53,'R3'!K53)</f>
        <v>22.992921416666665</v>
      </c>
      <c r="E53">
        <f>AVERAGE('R1'!L53,'R2'!L53,'R3'!L53)</f>
        <v>1.3158089566630307</v>
      </c>
      <c r="F53">
        <f>AVERAGE('R1'!M53,'R2'!M53,'R3'!M53)</f>
        <v>-1.9842823463035153</v>
      </c>
      <c r="G53">
        <f>AVERAGE('R1'!N53,'R2'!N53,'R3'!N53)</f>
        <v>-1.0172723548241829</v>
      </c>
      <c r="H53">
        <f>AVERAGE('R1'!O53,'R2'!O53,'R3'!O53)</f>
        <v>-0.86649328034241069</v>
      </c>
      <c r="I53">
        <f t="shared" si="1"/>
        <v>4445.2981405555538</v>
      </c>
      <c r="K53">
        <f>_xlfn.STDEV.S('R1'!L53,'R2'!L53,'R3'!L53)</f>
        <v>6.8826494312514966E-3</v>
      </c>
      <c r="L53">
        <f>_xlfn.STDEV.S('R1'!M53,'R2'!M53,'R3'!M53)</f>
        <v>7.397335754507497E-3</v>
      </c>
      <c r="M53">
        <f>_xlfn.STDEV.S('R1'!N53,'R2'!N53,'R3'!N53)</f>
        <v>8.8983776895123039E-3</v>
      </c>
      <c r="N53">
        <f>_xlfn.STDEV.S('R1'!O53,'R2'!O53,'R3'!O53)</f>
        <v>2.9097078652589852E-3</v>
      </c>
    </row>
    <row r="54" spans="1:14" x14ac:dyDescent="0.25">
      <c r="A54">
        <f>-'R1'!H54</f>
        <v>36</v>
      </c>
      <c r="B54">
        <f>DEGREES(ATAN(-SIN(RADIANS(('R1'!I54)))/(COS(RADIANS(Sheet1!A54))*COS(RADIANS('R1'!I54)))))</f>
        <v>24.22259689172926</v>
      </c>
      <c r="C54">
        <f>AVERAGE('R1'!J54,'R2'!J54,'R3'!J54)</f>
        <v>1.1599999999999999</v>
      </c>
      <c r="D54">
        <f>AVERAGE('R1'!K54,'R2'!K54,'R3'!K54)</f>
        <v>22.592626750000004</v>
      </c>
      <c r="E54">
        <f>AVERAGE('R1'!L54,'R2'!L54,'R3'!L54)</f>
        <v>1.1566327400392773</v>
      </c>
      <c r="F54">
        <f>AVERAGE('R1'!M54,'R2'!M54,'R3'!M54)</f>
        <v>-2.0739362310948493</v>
      </c>
      <c r="G54">
        <f>AVERAGE('R1'!N54,'R2'!N54,'R3'!N54)</f>
        <v>-1.0128684629134461</v>
      </c>
      <c r="H54">
        <f>AVERAGE('R1'!O54,'R2'!O54,'R3'!O54)</f>
        <v>-0.78636130662712123</v>
      </c>
      <c r="I54">
        <f t="shared" si="1"/>
        <v>4367.9078383333335</v>
      </c>
      <c r="K54">
        <f>_xlfn.STDEV.S('R1'!L54,'R2'!L54,'R3'!L54)</f>
        <v>5.933458835580576E-3</v>
      </c>
      <c r="L54">
        <f>_xlfn.STDEV.S('R1'!M54,'R2'!M54,'R3'!M54)</f>
        <v>1.1932409098750247E-2</v>
      </c>
      <c r="M54">
        <f>_xlfn.STDEV.S('R1'!N54,'R2'!N54,'R3'!N54)</f>
        <v>1.0791706156839234E-2</v>
      </c>
      <c r="N54">
        <f>_xlfn.STDEV.S('R1'!O54,'R2'!O54,'R3'!O54)</f>
        <v>3.6725117243707381E-3</v>
      </c>
    </row>
    <row r="55" spans="1:14" x14ac:dyDescent="0.25">
      <c r="A55">
        <f>-'R1'!H55</f>
        <v>36</v>
      </c>
      <c r="B55">
        <f>DEGREES(ATAN(-SIN(RADIANS(('R1'!I55)))/(COS(RADIANS(Sheet1!A55))*COS(RADIANS('R1'!I55)))))</f>
        <v>19.516199251096932</v>
      </c>
      <c r="C55">
        <f>AVERAGE('R1'!J55,'R2'!J55,'R3'!J55)</f>
        <v>1.1599999999999999</v>
      </c>
      <c r="D55">
        <f>AVERAGE('R1'!K55,'R2'!K55,'R3'!K55)</f>
        <v>22.377009749999999</v>
      </c>
      <c r="E55">
        <f>AVERAGE('R1'!L55,'R2'!L55,'R3'!L55)</f>
        <v>0.96072052496714766</v>
      </c>
      <c r="F55">
        <f>AVERAGE('R1'!M55,'R2'!M55,'R3'!M55)</f>
        <v>-2.1994790126249133</v>
      </c>
      <c r="G55">
        <f>AVERAGE('R1'!N55,'R2'!N55,'R3'!N55)</f>
        <v>-1.0289860496490879</v>
      </c>
      <c r="H55">
        <f>AVERAGE('R1'!O55,'R2'!O55,'R3'!O55)</f>
        <v>-0.7193038415914853</v>
      </c>
      <c r="I55">
        <f t="shared" si="1"/>
        <v>4326.221884999999</v>
      </c>
      <c r="K55">
        <f>_xlfn.STDEV.S('R1'!L55,'R2'!L55,'R3'!L55)</f>
        <v>1.633678063979739E-3</v>
      </c>
      <c r="L55">
        <f>_xlfn.STDEV.S('R1'!M55,'R2'!M55,'R3'!M55)</f>
        <v>1.0995829284209184E-2</v>
      </c>
      <c r="M55">
        <f>_xlfn.STDEV.S('R1'!N55,'R2'!N55,'R3'!N55)</f>
        <v>9.2288623220636058E-3</v>
      </c>
      <c r="N55">
        <f>_xlfn.STDEV.S('R1'!O55,'R2'!O55,'R3'!O55)</f>
        <v>2.2791725673595581E-3</v>
      </c>
    </row>
    <row r="56" spans="1:14" x14ac:dyDescent="0.25">
      <c r="A56">
        <f>-'R1'!H56</f>
        <v>36</v>
      </c>
      <c r="B56">
        <f>DEGREES(ATAN(-SIN(RADIANS(('R1'!I56)))/(COS(RADIANS(Sheet1!A56))*COS(RADIANS('R1'!I56)))))</f>
        <v>14.720865361542916</v>
      </c>
      <c r="C56">
        <f>AVERAGE('R1'!J56,'R2'!J56,'R3'!J56)</f>
        <v>1.1599999999999999</v>
      </c>
      <c r="D56">
        <f>AVERAGE('R1'!K56,'R2'!K56,'R3'!K56)</f>
        <v>22.469643666666666</v>
      </c>
      <c r="E56">
        <f>AVERAGE('R1'!L56,'R2'!L56,'R3'!L56)</f>
        <v>0.72678663419089951</v>
      </c>
      <c r="F56">
        <f>AVERAGE('R1'!M56,'R2'!M56,'R3'!M56)</f>
        <v>-2.3519439508892312</v>
      </c>
      <c r="G56">
        <f>AVERAGE('R1'!N56,'R2'!N56,'R3'!N56)</f>
        <v>-1.0585733933943935</v>
      </c>
      <c r="H56">
        <f>AVERAGE('R1'!O56,'R2'!O56,'R3'!O56)</f>
        <v>-0.65413161095883898</v>
      </c>
      <c r="I56">
        <f t="shared" si="1"/>
        <v>4344.1311088888888</v>
      </c>
      <c r="K56">
        <f>_xlfn.STDEV.S('R1'!L56,'R2'!L56,'R3'!L56)</f>
        <v>5.0518809120906243E-3</v>
      </c>
      <c r="L56">
        <f>_xlfn.STDEV.S('R1'!M56,'R2'!M56,'R3'!M56)</f>
        <v>8.3733152576320104E-3</v>
      </c>
      <c r="M56">
        <f>_xlfn.STDEV.S('R1'!N56,'R2'!N56,'R3'!N56)</f>
        <v>5.6103291310299576E-3</v>
      </c>
      <c r="N56">
        <f>_xlfn.STDEV.S('R1'!O56,'R2'!O56,'R3'!O56)</f>
        <v>4.4893689481394095E-3</v>
      </c>
    </row>
    <row r="57" spans="1:14" x14ac:dyDescent="0.25">
      <c r="A57">
        <f>-'R1'!H57</f>
        <v>36</v>
      </c>
      <c r="B57">
        <f>DEGREES(ATAN(-SIN(RADIANS(('R1'!I57)))/(COS(RADIANS(Sheet1!A57))*COS(RADIANS('R1'!I57)))))</f>
        <v>9.8549609037615156</v>
      </c>
      <c r="C57">
        <f>AVERAGE('R1'!J57,'R2'!J57,'R3'!J57)</f>
        <v>1.1599999999999999</v>
      </c>
      <c r="D57">
        <f>AVERAGE('R1'!K57,'R2'!K57,'R3'!K57)</f>
        <v>22.461490416666663</v>
      </c>
      <c r="E57">
        <f>AVERAGE('R1'!L57,'R2'!L57,'R3'!L57)</f>
        <v>0.43464441398070397</v>
      </c>
      <c r="F57">
        <f>AVERAGE('R1'!M57,'R2'!M57,'R3'!M57)</f>
        <v>-2.5407967738991388</v>
      </c>
      <c r="G57">
        <f>AVERAGE('R1'!N57,'R2'!N57,'R3'!N57)</f>
        <v>-1.1124271700948511</v>
      </c>
      <c r="H57">
        <f>AVERAGE('R1'!O57,'R2'!O57,'R3'!O57)</f>
        <v>-0.58941646585253449</v>
      </c>
      <c r="I57">
        <f t="shared" si="1"/>
        <v>4342.554813888888</v>
      </c>
      <c r="K57">
        <f>_xlfn.STDEV.S('R1'!L57,'R2'!L57,'R3'!L57)</f>
        <v>8.8640022677858865E-3</v>
      </c>
      <c r="L57">
        <f>_xlfn.STDEV.S('R1'!M57,'R2'!M57,'R3'!M57)</f>
        <v>5.2908164378352544E-3</v>
      </c>
      <c r="M57">
        <f>_xlfn.STDEV.S('R1'!N57,'R2'!N57,'R3'!N57)</f>
        <v>5.6290784670766023E-3</v>
      </c>
      <c r="N57">
        <f>_xlfn.STDEV.S('R1'!O57,'R2'!O57,'R3'!O57)</f>
        <v>5.6792893624800344E-3</v>
      </c>
    </row>
    <row r="58" spans="1:14" x14ac:dyDescent="0.25">
      <c r="A58">
        <f>-'R1'!H58</f>
        <v>36</v>
      </c>
      <c r="B58">
        <f>DEGREES(ATAN(-SIN(RADIANS(('R1'!I58)))/(COS(RADIANS(Sheet1!A58))*COS(RADIANS('R1'!I58)))))</f>
        <v>4.940042441862353</v>
      </c>
      <c r="C58">
        <f>AVERAGE('R1'!J58,'R2'!J58,'R3'!J58)</f>
        <v>1.1599999999999999</v>
      </c>
      <c r="D58">
        <f>AVERAGE('R1'!K58,'R2'!K58,'R3'!K58)</f>
        <v>22.548408833333337</v>
      </c>
      <c r="E58">
        <f>AVERAGE('R1'!L58,'R2'!L58,'R3'!L58)</f>
        <v>9.5875576573232354E-2</v>
      </c>
      <c r="F58">
        <f>AVERAGE('R1'!M58,'R2'!M58,'R3'!M58)</f>
        <v>-2.7497776415458852</v>
      </c>
      <c r="G58">
        <f>AVERAGE('R1'!N58,'R2'!N58,'R3'!N58)</f>
        <v>-1.1773775941593543</v>
      </c>
      <c r="H58">
        <f>AVERAGE('R1'!O58,'R2'!O58,'R3'!O58)</f>
        <v>-0.52482145298124394</v>
      </c>
      <c r="I58">
        <f t="shared" si="1"/>
        <v>4359.3590411111109</v>
      </c>
      <c r="K58">
        <f>_xlfn.STDEV.S('R1'!L58,'R2'!L58,'R3'!L58)</f>
        <v>8.187280343799782E-3</v>
      </c>
      <c r="L58">
        <f>_xlfn.STDEV.S('R1'!M58,'R2'!M58,'R3'!M58)</f>
        <v>1.0559223934263002E-2</v>
      </c>
      <c r="M58">
        <f>_xlfn.STDEV.S('R1'!N58,'R2'!N58,'R3'!N58)</f>
        <v>6.772296957911015E-3</v>
      </c>
      <c r="N58">
        <f>_xlfn.STDEV.S('R1'!O58,'R2'!O58,'R3'!O58)</f>
        <v>1.6672780411783792E-3</v>
      </c>
    </row>
    <row r="59" spans="1:14" x14ac:dyDescent="0.25">
      <c r="A59">
        <f>-'R1'!H59</f>
        <v>36</v>
      </c>
      <c r="B59">
        <f>DEGREES(ATAN(-SIN(RADIANS(('R1'!I59)))/(COS(RADIANS(Sheet1!A59))*COS(RADIANS('R1'!I59)))))</f>
        <v>0</v>
      </c>
      <c r="C59">
        <f>AVERAGE('R1'!J59,'R2'!J59,'R3'!J59)</f>
        <v>1.1599999999999999</v>
      </c>
      <c r="D59">
        <f>AVERAGE('R1'!K59,'R2'!K59,'R3'!K59)</f>
        <v>22.626262416666666</v>
      </c>
      <c r="E59">
        <f>AVERAGE('R1'!L59,'R2'!L59,'R3'!L59)</f>
        <v>-0.27050161165723102</v>
      </c>
      <c r="F59">
        <f>AVERAGE('R1'!M59,'R2'!M59,'R3'!M59)</f>
        <v>-2.6174164070168477</v>
      </c>
      <c r="G59">
        <f>AVERAGE('R1'!N59,'R2'!N59,'R3'!N59)</f>
        <v>-1.1135683494865141</v>
      </c>
      <c r="H59">
        <f>AVERAGE('R1'!O59,'R2'!O59,'R3'!O59)</f>
        <v>-0.54423010746472567</v>
      </c>
      <c r="I59">
        <f t="shared" si="1"/>
        <v>4374.410733888888</v>
      </c>
      <c r="K59">
        <f>_xlfn.STDEV.S('R1'!L59,'R2'!L59,'R3'!L59)</f>
        <v>7.7063666722965484E-3</v>
      </c>
      <c r="L59">
        <f>_xlfn.STDEV.S('R1'!M59,'R2'!M59,'R3'!M59)</f>
        <v>1.3940192097665503E-2</v>
      </c>
      <c r="M59">
        <f>_xlfn.STDEV.S('R1'!N59,'R2'!N59,'R3'!N59)</f>
        <v>1.0567927730319482E-2</v>
      </c>
      <c r="N59">
        <f>_xlfn.STDEV.S('R1'!O59,'R2'!O59,'R3'!O59)</f>
        <v>3.4064441511235089E-3</v>
      </c>
    </row>
    <row r="60" spans="1:14" x14ac:dyDescent="0.25">
      <c r="A60">
        <f>-'R1'!H60</f>
        <v>36</v>
      </c>
      <c r="B60">
        <f>DEGREES(ATAN(-SIN(RADIANS(('R1'!I60)))/(COS(RADIANS(Sheet1!A60))*COS(RADIANS('R1'!I60)))))</f>
        <v>-4.940042441862353</v>
      </c>
      <c r="C60">
        <f>AVERAGE('R1'!J60,'R2'!J60,'R3'!J60)</f>
        <v>1.1599999999999999</v>
      </c>
      <c r="D60">
        <f>AVERAGE('R1'!K60,'R2'!K60,'R3'!K60)</f>
        <v>22.793350416666669</v>
      </c>
      <c r="E60">
        <f>AVERAGE('R1'!L60,'R2'!L60,'R3'!L60)</f>
        <v>-0.56843550990879732</v>
      </c>
      <c r="F60">
        <f>AVERAGE('R1'!M60,'R2'!M60,'R3'!M60)</f>
        <v>-2.3917211625616215</v>
      </c>
      <c r="G60">
        <f>AVERAGE('R1'!N60,'R2'!N60,'R3'!N60)</f>
        <v>-1.0208974373468356</v>
      </c>
      <c r="H60">
        <f>AVERAGE('R1'!O60,'R2'!O60,'R3'!O60)</f>
        <v>-0.58584239934443294</v>
      </c>
      <c r="I60">
        <f t="shared" si="1"/>
        <v>4406.7144138888889</v>
      </c>
      <c r="K60">
        <f>_xlfn.STDEV.S('R1'!L60,'R2'!L60,'R3'!L60)</f>
        <v>3.4325075690237621E-3</v>
      </c>
      <c r="L60">
        <f>_xlfn.STDEV.S('R1'!M60,'R2'!M60,'R3'!M60)</f>
        <v>1.457436682040982E-2</v>
      </c>
      <c r="M60">
        <f>_xlfn.STDEV.S('R1'!N60,'R2'!N60,'R3'!N60)</f>
        <v>1.0839921189393727E-2</v>
      </c>
      <c r="N60">
        <f>_xlfn.STDEV.S('R1'!O60,'R2'!O60,'R3'!O60)</f>
        <v>5.2925051803500633E-3</v>
      </c>
    </row>
    <row r="61" spans="1:14" x14ac:dyDescent="0.25">
      <c r="A61">
        <f>-'R1'!H61</f>
        <v>36</v>
      </c>
      <c r="B61">
        <f>DEGREES(ATAN(-SIN(RADIANS(('R1'!I61)))/(COS(RADIANS(Sheet1!A61))*COS(RADIANS('R1'!I61)))))</f>
        <v>-9.8549609037615156</v>
      </c>
      <c r="C61">
        <f>AVERAGE('R1'!J61,'R2'!J61,'R3'!J61)</f>
        <v>1.1599999999999999</v>
      </c>
      <c r="D61">
        <f>AVERAGE('R1'!K61,'R2'!K61,'R3'!K61)</f>
        <v>23.22095775</v>
      </c>
      <c r="E61">
        <f>AVERAGE('R1'!L61,'R2'!L61,'R3'!L61)</f>
        <v>-0.81855163366680994</v>
      </c>
      <c r="F61">
        <f>AVERAGE('R1'!M61,'R2'!M61,'R3'!M61)</f>
        <v>-2.2034888367473195</v>
      </c>
      <c r="G61">
        <f>AVERAGE('R1'!N61,'R2'!N61,'R3'!N61)</f>
        <v>-0.95155534827529198</v>
      </c>
      <c r="H61">
        <f>AVERAGE('R1'!O61,'R2'!O61,'R3'!O61)</f>
        <v>-0.63766348197045741</v>
      </c>
      <c r="I61">
        <f t="shared" si="1"/>
        <v>4489.3851649999988</v>
      </c>
      <c r="K61">
        <f>_xlfn.STDEV.S('R1'!L61,'R2'!L61,'R3'!L61)</f>
        <v>3.8376394676904605E-3</v>
      </c>
      <c r="L61">
        <f>_xlfn.STDEV.S('R1'!M61,'R2'!M61,'R3'!M61)</f>
        <v>1.1994037492966934E-2</v>
      </c>
      <c r="M61">
        <f>_xlfn.STDEV.S('R1'!N61,'R2'!N61,'R3'!N61)</f>
        <v>8.6938721230985783E-3</v>
      </c>
      <c r="N61">
        <f>_xlfn.STDEV.S('R1'!O61,'R2'!O61,'R3'!O61)</f>
        <v>4.9468933229341466E-4</v>
      </c>
    </row>
    <row r="62" spans="1:14" x14ac:dyDescent="0.25">
      <c r="A62">
        <f>-'R1'!H62</f>
        <v>36</v>
      </c>
      <c r="B62">
        <f>DEGREES(ATAN(-SIN(RADIANS(('R1'!I62)))/(COS(RADIANS(Sheet1!A62))*COS(RADIANS('R1'!I62)))))</f>
        <v>-14.720865361542916</v>
      </c>
      <c r="C62">
        <f>AVERAGE('R1'!J62,'R2'!J62,'R3'!J62)</f>
        <v>1.1599999999999999</v>
      </c>
      <c r="D62">
        <f>AVERAGE('R1'!K62,'R2'!K62,'R3'!K62)</f>
        <v>23.221728416666668</v>
      </c>
      <c r="E62">
        <f>AVERAGE('R1'!L62,'R2'!L62,'R3'!L62)</f>
        <v>-1.0183071428544803</v>
      </c>
      <c r="F62">
        <f>AVERAGE('R1'!M62,'R2'!M62,'R3'!M62)</f>
        <v>-2.065164903387346</v>
      </c>
      <c r="G62">
        <f>AVERAGE('R1'!N62,'R2'!N62,'R3'!N62)</f>
        <v>-0.91448295322892637</v>
      </c>
      <c r="H62">
        <f>AVERAGE('R1'!O62,'R2'!O62,'R3'!O62)</f>
        <v>-0.68775420625832273</v>
      </c>
      <c r="I62">
        <f t="shared" si="1"/>
        <v>4489.5341605555559</v>
      </c>
      <c r="K62">
        <f>_xlfn.STDEV.S('R1'!L62,'R2'!L62,'R3'!L62)</f>
        <v>5.0886201450853468E-3</v>
      </c>
      <c r="L62">
        <f>_xlfn.STDEV.S('R1'!M62,'R2'!M62,'R3'!M62)</f>
        <v>2.1854246564435857E-3</v>
      </c>
      <c r="M62">
        <f>_xlfn.STDEV.S('R1'!N62,'R2'!N62,'R3'!N62)</f>
        <v>3.9214268881204483E-3</v>
      </c>
      <c r="N62">
        <f>_xlfn.STDEV.S('R1'!O62,'R2'!O62,'R3'!O62)</f>
        <v>4.2730038919459512E-3</v>
      </c>
    </row>
    <row r="63" spans="1:14" x14ac:dyDescent="0.25">
      <c r="A63">
        <f>-'R1'!H63</f>
        <v>36</v>
      </c>
      <c r="B63">
        <f>DEGREES(ATAN(-SIN(RADIANS(('R1'!I63)))/(COS(RADIANS(Sheet1!A63))*COS(RADIANS('R1'!I63)))))</f>
        <v>-19.516199251096932</v>
      </c>
      <c r="C63">
        <f>AVERAGE('R1'!J63,'R2'!J63,'R3'!J63)</f>
        <v>1.1599999999999999</v>
      </c>
      <c r="D63">
        <f>AVERAGE('R1'!K63,'R2'!K63,'R3'!K63)</f>
        <v>22.805687833333337</v>
      </c>
      <c r="E63">
        <f>AVERAGE('R1'!L63,'R2'!L63,'R3'!L63)</f>
        <v>-1.2222770370564675</v>
      </c>
      <c r="F63">
        <f>AVERAGE('R1'!M63,'R2'!M63,'R3'!M63)</f>
        <v>-1.9813377322444723</v>
      </c>
      <c r="G63">
        <f>AVERAGE('R1'!N63,'R2'!N63,'R3'!N63)</f>
        <v>-0.94453861317169541</v>
      </c>
      <c r="H63">
        <f>AVERAGE('R1'!O63,'R2'!O63,'R3'!O63)</f>
        <v>-0.75185432861801715</v>
      </c>
      <c r="I63">
        <f t="shared" si="1"/>
        <v>4409.099647777778</v>
      </c>
      <c r="K63">
        <f>_xlfn.STDEV.S('R1'!L63,'R2'!L63,'R3'!L63)</f>
        <v>6.9366873126019682E-3</v>
      </c>
      <c r="L63">
        <f>_xlfn.STDEV.S('R1'!M63,'R2'!M63,'R3'!M63)</f>
        <v>9.2586752497963876E-3</v>
      </c>
      <c r="M63">
        <f>_xlfn.STDEV.S('R1'!N63,'R2'!N63,'R3'!N63)</f>
        <v>8.1292826794215466E-3</v>
      </c>
      <c r="N63">
        <f>_xlfn.STDEV.S('R1'!O63,'R2'!O63,'R3'!O63)</f>
        <v>7.4799821677300074E-3</v>
      </c>
    </row>
    <row r="64" spans="1:14" x14ac:dyDescent="0.25">
      <c r="A64">
        <f>-'R1'!H64</f>
        <v>36</v>
      </c>
      <c r="B64">
        <f>DEGREES(ATAN(-SIN(RADIANS(('R1'!I64)))/(COS(RADIANS(Sheet1!A64))*COS(RADIANS('R1'!I64)))))</f>
        <v>-24.22259689172926</v>
      </c>
      <c r="C64">
        <f>AVERAGE('R1'!J64,'R2'!J64,'R3'!J64)</f>
        <v>1.1599999999999999</v>
      </c>
      <c r="D64">
        <f>AVERAGE('R1'!K64,'R2'!K64,'R3'!K64)</f>
        <v>22.521475666666664</v>
      </c>
      <c r="E64">
        <f>AVERAGE('R1'!L64,'R2'!L64,'R3'!L64)</f>
        <v>-1.3800742468332203</v>
      </c>
      <c r="F64">
        <f>AVERAGE('R1'!M64,'R2'!M64,'R3'!M64)</f>
        <v>-1.9287833474641838</v>
      </c>
      <c r="G64">
        <f>AVERAGE('R1'!N64,'R2'!N64,'R3'!N64)</f>
        <v>-0.9737434751981614</v>
      </c>
      <c r="H64">
        <f>AVERAGE('R1'!O64,'R2'!O64,'R3'!O64)</f>
        <v>-0.82760003290107242</v>
      </c>
      <c r="I64">
        <f t="shared" si="1"/>
        <v>4354.1519622222213</v>
      </c>
      <c r="K64">
        <f>_xlfn.STDEV.S('R1'!L64,'R2'!L64,'R3'!L64)</f>
        <v>5.2521075750696696E-3</v>
      </c>
      <c r="L64">
        <f>_xlfn.STDEV.S('R1'!M64,'R2'!M64,'R3'!M64)</f>
        <v>8.8629809531456868E-3</v>
      </c>
      <c r="M64">
        <f>_xlfn.STDEV.S('R1'!N64,'R2'!N64,'R3'!N64)</f>
        <v>1.0199297319003705E-2</v>
      </c>
      <c r="N64">
        <f>_xlfn.STDEV.S('R1'!O64,'R2'!O64,'R3'!O64)</f>
        <v>2.128347343193478E-3</v>
      </c>
    </row>
    <row r="65" spans="1:14" x14ac:dyDescent="0.25">
      <c r="A65">
        <f>-'R1'!H65</f>
        <v>36</v>
      </c>
      <c r="B65">
        <f>DEGREES(ATAN(-SIN(RADIANS(('R1'!I65)))/(COS(RADIANS(Sheet1!A65))*COS(RADIANS('R1'!I65)))))</f>
        <v>-28.825436554649738</v>
      </c>
      <c r="C65">
        <f>AVERAGE('R1'!J65,'R2'!J65,'R3'!J65)</f>
        <v>1.1599999999999999</v>
      </c>
      <c r="D65">
        <f>AVERAGE('R1'!K65,'R2'!K65,'R3'!K65)</f>
        <v>22.198954499999999</v>
      </c>
      <c r="E65">
        <f>AVERAGE('R1'!L65,'R2'!L65,'R3'!L65)</f>
        <v>-1.5330999515569748</v>
      </c>
      <c r="F65">
        <f>AVERAGE('R1'!M65,'R2'!M65,'R3'!M65)</f>
        <v>-1.9287173486051472</v>
      </c>
      <c r="G65">
        <f>AVERAGE('R1'!N65,'R2'!N65,'R3'!N65)</f>
        <v>-1.0497397577152383</v>
      </c>
      <c r="H65">
        <f>AVERAGE('R1'!O65,'R2'!O65,'R3'!O65)</f>
        <v>-0.93097988714814328</v>
      </c>
      <c r="I65">
        <f t="shared" si="1"/>
        <v>4291.7978699999994</v>
      </c>
      <c r="K65">
        <f>_xlfn.STDEV.S('R1'!L65,'R2'!L65,'R3'!L65)</f>
        <v>5.2692071851767166E-3</v>
      </c>
      <c r="L65">
        <f>_xlfn.STDEV.S('R1'!M65,'R2'!M65,'R3'!M65)</f>
        <v>7.6518784080980137E-3</v>
      </c>
      <c r="M65">
        <f>_xlfn.STDEV.S('R1'!N65,'R2'!N65,'R3'!N65)</f>
        <v>7.3191454311351866E-3</v>
      </c>
      <c r="N65">
        <f>_xlfn.STDEV.S('R1'!O65,'R2'!O65,'R3'!O65)</f>
        <v>6.0723324062993975E-3</v>
      </c>
    </row>
    <row r="66" spans="1:14" x14ac:dyDescent="0.25">
      <c r="A66">
        <f>-'R1'!H66</f>
        <v>36</v>
      </c>
      <c r="B66">
        <f>DEGREES(ATAN(-SIN(RADIANS(('R1'!I66)))/(COS(RADIANS(Sheet1!A66))*COS(RADIANS('R1'!I66)))))</f>
        <v>-33.314077817276932</v>
      </c>
      <c r="C66">
        <f>AVERAGE('R1'!J66,'R2'!J66,'R3'!J66)</f>
        <v>1.1599999999999999</v>
      </c>
      <c r="D66">
        <f>AVERAGE('R1'!K66,'R2'!K66,'R3'!K66)</f>
        <v>22.174221500000002</v>
      </c>
      <c r="E66">
        <f>AVERAGE('R1'!L66,'R2'!L66,'R3'!L66)</f>
        <v>-1.7046329520282688</v>
      </c>
      <c r="F66">
        <f>AVERAGE('R1'!M66,'R2'!M66,'R3'!M66)</f>
        <v>-1.9751298001169213</v>
      </c>
      <c r="G66">
        <f>AVERAGE('R1'!N66,'R2'!N66,'R3'!N66)</f>
        <v>-1.1757046300396581</v>
      </c>
      <c r="H66">
        <f>AVERAGE('R1'!O66,'R2'!O66,'R3'!O66)</f>
        <v>-1.0570142199886057</v>
      </c>
      <c r="I66">
        <f t="shared" si="1"/>
        <v>4287.0161566666666</v>
      </c>
      <c r="K66">
        <f>_xlfn.STDEV.S('R1'!L66,'R2'!L66,'R3'!L66)</f>
        <v>5.5942396382410789E-3</v>
      </c>
      <c r="L66">
        <f>_xlfn.STDEV.S('R1'!M66,'R2'!M66,'R3'!M66)</f>
        <v>9.6673322022816019E-3</v>
      </c>
      <c r="M66">
        <f>_xlfn.STDEV.S('R1'!N66,'R2'!N66,'R3'!N66)</f>
        <v>9.4975439030142925E-3</v>
      </c>
      <c r="N66">
        <f>_xlfn.STDEV.S('R1'!O66,'R2'!O66,'R3'!O66)</f>
        <v>4.4050311087072812E-3</v>
      </c>
    </row>
    <row r="67" spans="1:14" x14ac:dyDescent="0.25">
      <c r="A67">
        <f>-'R1'!H67</f>
        <v>36</v>
      </c>
      <c r="B67">
        <f>DEGREES(ATAN(-SIN(RADIANS(('R1'!I67)))/(COS(RADIANS(Sheet1!A67))*COS(RADIANS('R1'!I67)))))</f>
        <v>-37.681815805789164</v>
      </c>
      <c r="C67">
        <f>AVERAGE('R1'!J67,'R2'!J67,'R3'!J67)</f>
        <v>1.1599999999999999</v>
      </c>
      <c r="D67">
        <f>AVERAGE('R1'!K67,'R2'!K67,'R3'!K67)</f>
        <v>22.337362333333335</v>
      </c>
      <c r="E67">
        <f>AVERAGE('R1'!L67,'R2'!L67,'R3'!L67)</f>
        <v>-1.9098031090464065</v>
      </c>
      <c r="F67">
        <f>AVERAGE('R1'!M67,'R2'!M67,'R3'!M67)</f>
        <v>-2.0755318153052129</v>
      </c>
      <c r="G67">
        <f>AVERAGE('R1'!N67,'R2'!N67,'R3'!N67)</f>
        <v>-1.3674704103441921</v>
      </c>
      <c r="H67">
        <f>AVERAGE('R1'!O67,'R2'!O67,'R3'!O67)</f>
        <v>-1.2167945362711226</v>
      </c>
      <c r="I67">
        <f t="shared" ref="I67:I130" si="5">10^5*C67*D67*0.003/1.8</f>
        <v>4318.5567177777775</v>
      </c>
      <c r="K67">
        <f>_xlfn.STDEV.S('R1'!L67,'R2'!L67,'R3'!L67)</f>
        <v>2.1348566018476239E-3</v>
      </c>
      <c r="L67">
        <f>_xlfn.STDEV.S('R1'!M67,'R2'!M67,'R3'!M67)</f>
        <v>3.7471824072038665E-3</v>
      </c>
      <c r="M67">
        <f>_xlfn.STDEV.S('R1'!N67,'R2'!N67,'R3'!N67)</f>
        <v>3.8436636029652361E-3</v>
      </c>
      <c r="N67">
        <f>_xlfn.STDEV.S('R1'!O67,'R2'!O67,'R3'!O67)</f>
        <v>3.3630588765948041E-3</v>
      </c>
    </row>
    <row r="68" spans="1:14" x14ac:dyDescent="0.25">
      <c r="A68">
        <f>-'R1'!H68</f>
        <v>36</v>
      </c>
      <c r="B68">
        <f>DEGREES(ATAN(-SIN(RADIANS(('R1'!I68)))/(COS(RADIANS(Sheet1!A68))*COS(RADIANS('R1'!I68)))))</f>
        <v>-41.925613925819086</v>
      </c>
      <c r="C68">
        <f>AVERAGE('R1'!J68,'R2'!J68,'R3'!J68)</f>
        <v>1.1599999999999999</v>
      </c>
      <c r="D68">
        <f>AVERAGE('R1'!K68,'R2'!K68,'R3'!K68)</f>
        <v>22.43742825</v>
      </c>
      <c r="E68">
        <f>AVERAGE('R1'!L68,'R2'!L68,'R3'!L68)</f>
        <v>-2.1357487079830548</v>
      </c>
      <c r="F68">
        <f>AVERAGE('R1'!M68,'R2'!M68,'R3'!M68)</f>
        <v>-2.2119134223905754</v>
      </c>
      <c r="G68">
        <f>AVERAGE('R1'!N68,'R2'!N68,'R3'!N68)</f>
        <v>-1.6046231125804578</v>
      </c>
      <c r="H68">
        <f>AVERAGE('R1'!O68,'R2'!O68,'R3'!O68)</f>
        <v>-1.4009026305540873</v>
      </c>
      <c r="I68">
        <f t="shared" si="5"/>
        <v>4337.9027949999991</v>
      </c>
      <c r="K68">
        <f>_xlfn.STDEV.S('R1'!L68,'R2'!L68,'R3'!L68)</f>
        <v>9.6638731788863657E-3</v>
      </c>
      <c r="L68">
        <f>_xlfn.STDEV.S('R1'!M68,'R2'!M68,'R3'!M68)</f>
        <v>8.3475278325124726E-3</v>
      </c>
      <c r="M68">
        <f>_xlfn.STDEV.S('R1'!N68,'R2'!N68,'R3'!N68)</f>
        <v>1.1810102450161375E-2</v>
      </c>
      <c r="N68">
        <f>_xlfn.STDEV.S('R1'!O68,'R2'!O68,'R3'!O68)</f>
        <v>6.3583965914868288E-3</v>
      </c>
    </row>
    <row r="69" spans="1:14" x14ac:dyDescent="0.25">
      <c r="A69">
        <f>-'R1'!H69</f>
        <v>36</v>
      </c>
      <c r="B69">
        <f>DEGREES(ATAN(-SIN(RADIANS(('R1'!I69)))/(COS(RADIANS(Sheet1!A69))*COS(RADIANS('R1'!I69)))))</f>
        <v>-46.045688589723383</v>
      </c>
      <c r="C69">
        <f>AVERAGE('R1'!J69,'R2'!J69,'R3'!J69)</f>
        <v>1.1599999999999999</v>
      </c>
      <c r="D69">
        <f>AVERAGE('R1'!K69,'R2'!K69,'R3'!K69)</f>
        <v>22.875412999999998</v>
      </c>
      <c r="E69">
        <f>AVERAGE('R1'!L69,'R2'!L69,'R3'!L69)</f>
        <v>-2.4015102479560464</v>
      </c>
      <c r="F69">
        <f>AVERAGE('R1'!M69,'R2'!M69,'R3'!M69)</f>
        <v>-2.3984535750956488</v>
      </c>
      <c r="G69">
        <f>AVERAGE('R1'!N69,'R2'!N69,'R3'!N69)</f>
        <v>-1.9151766220857969</v>
      </c>
      <c r="H69">
        <f>AVERAGE('R1'!O69,'R2'!O69,'R3'!O69)</f>
        <v>-1.6320888770729924</v>
      </c>
      <c r="I69">
        <f t="shared" si="5"/>
        <v>4422.5798466666656</v>
      </c>
      <c r="K69">
        <f>_xlfn.STDEV.S('R1'!L69,'R2'!L69,'R3'!L69)</f>
        <v>9.7217753911251707E-3</v>
      </c>
      <c r="L69">
        <f>_xlfn.STDEV.S('R1'!M69,'R2'!M69,'R3'!M69)</f>
        <v>9.1493811045151741E-3</v>
      </c>
      <c r="M69">
        <f>_xlfn.STDEV.S('R1'!N69,'R2'!N69,'R3'!N69)</f>
        <v>1.3305784400629975E-2</v>
      </c>
      <c r="N69">
        <f>_xlfn.STDEV.S('R1'!O69,'R2'!O69,'R3'!O69)</f>
        <v>5.8116391402042748E-3</v>
      </c>
    </row>
    <row r="70" spans="1:14" x14ac:dyDescent="0.25">
      <c r="A70">
        <f>-'R1'!H70</f>
        <v>36</v>
      </c>
      <c r="B70">
        <f>DEGREES(ATAN(-SIN(RADIANS(('R1'!I70)))/(COS(RADIANS(Sheet1!A70))*COS(RADIANS('R1'!I70)))))</f>
        <v>-50.045016920059574</v>
      </c>
      <c r="C70">
        <f>AVERAGE('R1'!J70,'R2'!J70,'R3'!J70)</f>
        <v>1.1599999999999999</v>
      </c>
      <c r="D70">
        <f>AVERAGE('R1'!K70,'R2'!K70,'R3'!K70)</f>
        <v>23.395518499999998</v>
      </c>
      <c r="E70">
        <f>AVERAGE('R1'!L70,'R2'!L70,'R3'!L70)</f>
        <v>-2.7115725011417955</v>
      </c>
      <c r="F70">
        <f>AVERAGE('R1'!M70,'R2'!M70,'R3'!M70)</f>
        <v>-2.6431407003615792</v>
      </c>
      <c r="G70">
        <f>AVERAGE('R1'!N70,'R2'!N70,'R3'!N70)</f>
        <v>-2.3090381694449227</v>
      </c>
      <c r="H70">
        <f>AVERAGE('R1'!O70,'R2'!O70,'R3'!O70)</f>
        <v>-1.9269589173846802</v>
      </c>
      <c r="I70">
        <f t="shared" si="5"/>
        <v>4523.1335766666652</v>
      </c>
      <c r="K70">
        <f>_xlfn.STDEV.S('R1'!L70,'R2'!L70,'R3'!L70)</f>
        <v>1.2100894541178764E-2</v>
      </c>
      <c r="L70">
        <f>_xlfn.STDEV.S('R1'!M70,'R2'!M70,'R3'!M70)</f>
        <v>7.6801073452861055E-3</v>
      </c>
      <c r="M70">
        <f>_xlfn.STDEV.S('R1'!N70,'R2'!N70,'R3'!N70)</f>
        <v>1.5693790691596859E-2</v>
      </c>
      <c r="N70">
        <f>_xlfn.STDEV.S('R1'!O70,'R2'!O70,'R3'!O70)</f>
        <v>6.5490754764614785E-3</v>
      </c>
    </row>
    <row r="71" spans="1:14" x14ac:dyDescent="0.25">
      <c r="A71">
        <f>-'R1'!H71</f>
        <v>32</v>
      </c>
      <c r="B71">
        <f>DEGREES(ATAN(-SIN(RADIANS(('R1'!I71)))/(COS(RADIANS(Sheet1!A71))*COS(RADIANS('R1'!I71)))))</f>
        <v>48.711059881009497</v>
      </c>
      <c r="C71">
        <f>AVERAGE('R1'!J71,'R2'!J71,'R3'!J71)</f>
        <v>1.1599999999999999</v>
      </c>
      <c r="D71">
        <f>AVERAGE('R1'!K71,'R2'!K71,'R3'!K71)</f>
        <v>23.23363625</v>
      </c>
      <c r="E71">
        <f>AVERAGE('R1'!L71,'R2'!L71,'R3'!L71)</f>
        <v>1.8416107057279818</v>
      </c>
      <c r="F71">
        <f>AVERAGE('R1'!M71,'R2'!M71,'R3'!M71)</f>
        <v>-1.8213321268149116</v>
      </c>
      <c r="G71">
        <f>AVERAGE('R1'!N71,'R2'!N71,'R3'!N71)</f>
        <v>-1.2405564992497151</v>
      </c>
      <c r="H71">
        <f>AVERAGE('R1'!O71,'R2'!O71,'R3'!O71)</f>
        <v>-1.2435612080908081</v>
      </c>
      <c r="I71">
        <f t="shared" si="5"/>
        <v>4491.8363416666662</v>
      </c>
      <c r="K71">
        <f>_xlfn.STDEV.S('R1'!L71,'R2'!L71,'R3'!L71)</f>
        <v>5.1637600233127206E-3</v>
      </c>
      <c r="L71">
        <f>_xlfn.STDEV.S('R1'!M71,'R2'!M71,'R3'!M71)</f>
        <v>3.3218337804716107E-3</v>
      </c>
      <c r="M71">
        <f>_xlfn.STDEV.S('R1'!N71,'R2'!N71,'R3'!N71)</f>
        <v>5.3039340089128416E-3</v>
      </c>
      <c r="N71">
        <f>_xlfn.STDEV.S('R1'!O71,'R2'!O71,'R3'!O71)</f>
        <v>2.5745678513577337E-3</v>
      </c>
    </row>
    <row r="72" spans="1:14" x14ac:dyDescent="0.25">
      <c r="A72">
        <f>-'R1'!H72</f>
        <v>32</v>
      </c>
      <c r="B72">
        <f>DEGREES(ATAN(-SIN(RADIANS(('R1'!I72)))/(COS(RADIANS(Sheet1!A72))*COS(RADIANS('R1'!I72)))))</f>
        <v>44.69611169166604</v>
      </c>
      <c r="C72">
        <f>AVERAGE('R1'!J72,'R2'!J72,'R3'!J72)</f>
        <v>1.1599999999999999</v>
      </c>
      <c r="D72">
        <f>AVERAGE('R1'!K72,'R2'!K72,'R3'!K72)</f>
        <v>22.850690166666666</v>
      </c>
      <c r="E72">
        <f>AVERAGE('R1'!L72,'R2'!L72,'R3'!L72)</f>
        <v>1.7147838273001368</v>
      </c>
      <c r="F72">
        <f>AVERAGE('R1'!M72,'R2'!M72,'R3'!M72)</f>
        <v>-1.740117086962444</v>
      </c>
      <c r="G72">
        <f>AVERAGE('R1'!N72,'R2'!N72,'R3'!N72)</f>
        <v>-1.0790732532688276</v>
      </c>
      <c r="H72">
        <f>AVERAGE('R1'!O72,'R2'!O72,'R3'!O72)</f>
        <v>-1.1107112282678546</v>
      </c>
      <c r="I72">
        <f t="shared" si="5"/>
        <v>4417.800098888888</v>
      </c>
      <c r="K72">
        <f>_xlfn.STDEV.S('R1'!L72,'R2'!L72,'R3'!L72)</f>
        <v>3.7747057627406768E-3</v>
      </c>
      <c r="L72">
        <f>_xlfn.STDEV.S('R1'!M72,'R2'!M72,'R3'!M72)</f>
        <v>4.5681430134785501E-3</v>
      </c>
      <c r="M72">
        <f>_xlfn.STDEV.S('R1'!N72,'R2'!N72,'R3'!N72)</f>
        <v>7.0549937710496754E-3</v>
      </c>
      <c r="N72">
        <f>_xlfn.STDEV.S('R1'!O72,'R2'!O72,'R3'!O72)</f>
        <v>1.9809691121655533E-3</v>
      </c>
    </row>
    <row r="73" spans="1:14" x14ac:dyDescent="0.25">
      <c r="A73">
        <f>-'R1'!H73</f>
        <v>32</v>
      </c>
      <c r="B73">
        <f>DEGREES(ATAN(-SIN(RADIANS(('R1'!I73)))/(COS(RADIANS(Sheet1!A73))*COS(RADIANS('R1'!I73)))))</f>
        <v>40.587432696870117</v>
      </c>
      <c r="C73">
        <f>AVERAGE('R1'!J73,'R2'!J73,'R3'!J73)</f>
        <v>1.1599999999999999</v>
      </c>
      <c r="D73">
        <f>AVERAGE('R1'!K73,'R2'!K73,'R3'!K73)</f>
        <v>22.233366</v>
      </c>
      <c r="E73">
        <f>AVERAGE('R1'!L73,'R2'!L73,'R3'!L73)</f>
        <v>1.5976203043502111</v>
      </c>
      <c r="F73">
        <f>AVERAGE('R1'!M73,'R2'!M73,'R3'!M73)</f>
        <v>-1.6840399323486992</v>
      </c>
      <c r="G73">
        <f>AVERAGE('R1'!N73,'R2'!N73,'R3'!N73)</f>
        <v>-0.95447606405144347</v>
      </c>
      <c r="H73">
        <f>AVERAGE('R1'!O73,'R2'!O73,'R3'!O73)</f>
        <v>-0.99260137199330334</v>
      </c>
      <c r="I73">
        <f t="shared" si="5"/>
        <v>4298.4507599999997</v>
      </c>
      <c r="K73">
        <f>_xlfn.STDEV.S('R1'!L73,'R2'!L73,'R3'!L73)</f>
        <v>1.5266989549128675E-3</v>
      </c>
      <c r="L73">
        <f>_xlfn.STDEV.S('R1'!M73,'R2'!M73,'R3'!M73)</f>
        <v>2.2136979580277775E-3</v>
      </c>
      <c r="M73">
        <f>_xlfn.STDEV.S('R1'!N73,'R2'!N73,'R3'!N73)</f>
        <v>4.4120047570791075E-3</v>
      </c>
      <c r="N73">
        <f>_xlfn.STDEV.S('R1'!O73,'R2'!O73,'R3'!O73)</f>
        <v>1.0922287004042322E-3</v>
      </c>
    </row>
    <row r="74" spans="1:14" x14ac:dyDescent="0.25">
      <c r="A74">
        <f>-'R1'!H74</f>
        <v>32</v>
      </c>
      <c r="B74">
        <f>DEGREES(ATAN(-SIN(RADIANS(('R1'!I74)))/(COS(RADIANS(Sheet1!A74))*COS(RADIANS('R1'!I74)))))</f>
        <v>36.383993076218225</v>
      </c>
      <c r="C74">
        <f>AVERAGE('R1'!J74,'R2'!J74,'R3'!J74)</f>
        <v>1.1599999999999999</v>
      </c>
      <c r="D74">
        <f>AVERAGE('R1'!K74,'R2'!K74,'R3'!K74)</f>
        <v>21.984996249999998</v>
      </c>
      <c r="E74">
        <f>AVERAGE('R1'!L74,'R2'!L74,'R3'!L74)</f>
        <v>1.493682621420829</v>
      </c>
      <c r="F74">
        <f>AVERAGE('R1'!M74,'R2'!M74,'R3'!M74)</f>
        <v>-1.682373026450894</v>
      </c>
      <c r="G74">
        <f>AVERAGE('R1'!N74,'R2'!N74,'R3'!N74)</f>
        <v>-0.88402768397316189</v>
      </c>
      <c r="H74">
        <f>AVERAGE('R1'!O74,'R2'!O74,'R3'!O74)</f>
        <v>-0.88902538257636243</v>
      </c>
      <c r="I74">
        <f t="shared" si="5"/>
        <v>4250.4326083333326</v>
      </c>
      <c r="K74">
        <f>_xlfn.STDEV.S('R1'!L74,'R2'!L74,'R3'!L74)</f>
        <v>5.3865623262799979E-3</v>
      </c>
      <c r="L74">
        <f>_xlfn.STDEV.S('R1'!M74,'R2'!M74,'R3'!M74)</f>
        <v>3.5803157047928271E-3</v>
      </c>
      <c r="M74">
        <f>_xlfn.STDEV.S('R1'!N74,'R2'!N74,'R3'!N74)</f>
        <v>6.5961757148215606E-3</v>
      </c>
      <c r="N74">
        <f>_xlfn.STDEV.S('R1'!O74,'R2'!O74,'R3'!O74)</f>
        <v>1.8584577460981446E-3</v>
      </c>
    </row>
    <row r="75" spans="1:14" x14ac:dyDescent="0.25">
      <c r="A75">
        <f>-'R1'!H75</f>
        <v>32</v>
      </c>
      <c r="B75">
        <f>DEGREES(ATAN(-SIN(RADIANS(('R1'!I75)))/(COS(RADIANS(Sheet1!A75))*COS(RADIANS('R1'!I75)))))</f>
        <v>32.086900972819144</v>
      </c>
      <c r="C75">
        <f>AVERAGE('R1'!J75,'R2'!J75,'R3'!J75)</f>
        <v>1.1599999999999999</v>
      </c>
      <c r="D75">
        <f>AVERAGE('R1'!K75,'R2'!K75,'R3'!K75)</f>
        <v>22.248772833333334</v>
      </c>
      <c r="E75">
        <f>AVERAGE('R1'!L75,'R2'!L75,'R3'!L75)</f>
        <v>1.3811339146380679</v>
      </c>
      <c r="F75">
        <f>AVERAGE('R1'!M75,'R2'!M75,'R3'!M75)</f>
        <v>-1.7072225460897039</v>
      </c>
      <c r="G75">
        <f>AVERAGE('R1'!N75,'R2'!N75,'R3'!N75)</f>
        <v>-0.83449948360419424</v>
      </c>
      <c r="H75">
        <f>AVERAGE('R1'!O75,'R2'!O75,'R3'!O75)</f>
        <v>-0.78525954408736942</v>
      </c>
      <c r="I75">
        <f t="shared" si="5"/>
        <v>4301.4294144444439</v>
      </c>
      <c r="K75">
        <f>_xlfn.STDEV.S('R1'!L75,'R2'!L75,'R3'!L75)</f>
        <v>7.1223613701059552E-3</v>
      </c>
      <c r="L75">
        <f>_xlfn.STDEV.S('R1'!M75,'R2'!M75,'R3'!M75)</f>
        <v>4.0064802269492543E-3</v>
      </c>
      <c r="M75">
        <f>_xlfn.STDEV.S('R1'!N75,'R2'!N75,'R3'!N75)</f>
        <v>3.9177953983528437E-3</v>
      </c>
      <c r="N75">
        <f>_xlfn.STDEV.S('R1'!O75,'R2'!O75,'R3'!O75)</f>
        <v>3.6605252960686093E-3</v>
      </c>
    </row>
    <row r="76" spans="1:14" x14ac:dyDescent="0.25">
      <c r="A76">
        <f>-'R1'!H76</f>
        <v>32</v>
      </c>
      <c r="B76">
        <f>DEGREES(ATAN(-SIN(RADIANS(('R1'!I76)))/(COS(RADIANS(Sheet1!A76))*COS(RADIANS('R1'!I76)))))</f>
        <v>27.699654729206667</v>
      </c>
      <c r="C76">
        <f>AVERAGE('R1'!J76,'R2'!J76,'R3'!J76)</f>
        <v>1.1599999999999999</v>
      </c>
      <c r="D76">
        <f>AVERAGE('R1'!K76,'R2'!K76,'R3'!K76)</f>
        <v>22.382871583333337</v>
      </c>
      <c r="E76">
        <f>AVERAGE('R1'!L76,'R2'!L76,'R3'!L76)</f>
        <v>1.2502867365221197</v>
      </c>
      <c r="F76">
        <f>AVERAGE('R1'!M76,'R2'!M76,'R3'!M76)</f>
        <v>-1.749501198921763</v>
      </c>
      <c r="G76">
        <f>AVERAGE('R1'!N76,'R2'!N76,'R3'!N76)</f>
        <v>-0.79984963876462079</v>
      </c>
      <c r="H76">
        <f>AVERAGE('R1'!O76,'R2'!O76,'R3'!O76)</f>
        <v>-0.68627578355432384</v>
      </c>
      <c r="I76">
        <f t="shared" si="5"/>
        <v>4327.3551727777785</v>
      </c>
      <c r="K76">
        <f>_xlfn.STDEV.S('R1'!L76,'R2'!L76,'R3'!L76)</f>
        <v>3.7336888826697136E-3</v>
      </c>
      <c r="L76">
        <f>_xlfn.STDEV.S('R1'!M76,'R2'!M76,'R3'!M76)</f>
        <v>3.4447641862236054E-3</v>
      </c>
      <c r="M76">
        <f>_xlfn.STDEV.S('R1'!N76,'R2'!N76,'R3'!N76)</f>
        <v>4.197890279038571E-3</v>
      </c>
      <c r="N76">
        <f>_xlfn.STDEV.S('R1'!O76,'R2'!O76,'R3'!O76)</f>
        <v>2.5959677058515233E-3</v>
      </c>
    </row>
    <row r="77" spans="1:14" x14ac:dyDescent="0.25">
      <c r="A77">
        <f>-'R1'!H77</f>
        <v>32</v>
      </c>
      <c r="B77">
        <f>DEGREES(ATAN(-SIN(RADIANS(('R1'!I77)))/(COS(RADIANS(Sheet1!A77))*COS(RADIANS('R1'!I77)))))</f>
        <v>23.228324501561271</v>
      </c>
      <c r="C77">
        <f>AVERAGE('R1'!J77,'R2'!J77,'R3'!J77)</f>
        <v>1.1599999999999999</v>
      </c>
      <c r="D77">
        <f>AVERAGE('R1'!K77,'R2'!K77,'R3'!K77)</f>
        <v>22.801117416666671</v>
      </c>
      <c r="E77">
        <f>AVERAGE('R1'!L77,'R2'!L77,'R3'!L77)</f>
        <v>1.0924042239486731</v>
      </c>
      <c r="F77">
        <f>AVERAGE('R1'!M77,'R2'!M77,'R3'!M77)</f>
        <v>-1.8085623906717527</v>
      </c>
      <c r="G77">
        <f>AVERAGE('R1'!N77,'R2'!N77,'R3'!N77)</f>
        <v>-0.77278242049235468</v>
      </c>
      <c r="H77">
        <f>AVERAGE('R1'!O77,'R2'!O77,'R3'!O77)</f>
        <v>-0.59094770779109018</v>
      </c>
      <c r="I77">
        <f t="shared" si="5"/>
        <v>4408.2160338888889</v>
      </c>
      <c r="K77">
        <f>_xlfn.STDEV.S('R1'!L77,'R2'!L77,'R3'!L77)</f>
        <v>1.8835723122128094E-3</v>
      </c>
      <c r="L77">
        <f>_xlfn.STDEV.S('R1'!M77,'R2'!M77,'R3'!M77)</f>
        <v>4.069612321848378E-3</v>
      </c>
      <c r="M77">
        <f>_xlfn.STDEV.S('R1'!N77,'R2'!N77,'R3'!N77)</f>
        <v>4.3913224261119075E-3</v>
      </c>
      <c r="N77">
        <f>_xlfn.STDEV.S('R1'!O77,'R2'!O77,'R3'!O77)</f>
        <v>2.8285659048679483E-3</v>
      </c>
    </row>
    <row r="78" spans="1:14" x14ac:dyDescent="0.25">
      <c r="A78">
        <f>-'R1'!H78</f>
        <v>32</v>
      </c>
      <c r="B78">
        <f>DEGREES(ATAN(-SIN(RADIANS(('R1'!I78)))/(COS(RADIANS(Sheet1!A78))*COS(RADIANS('R1'!I78)))))</f>
        <v>18.681627509923402</v>
      </c>
      <c r="C78">
        <f>AVERAGE('R1'!J78,'R2'!J78,'R3'!J78)</f>
        <v>1.1599999999999999</v>
      </c>
      <c r="D78">
        <f>AVERAGE('R1'!K78,'R2'!K78,'R3'!K78)</f>
        <v>23.349019583333334</v>
      </c>
      <c r="E78">
        <f>AVERAGE('R1'!L78,'R2'!L78,'R3'!L78)</f>
        <v>0.8962374688934106</v>
      </c>
      <c r="F78">
        <f>AVERAGE('R1'!M78,'R2'!M78,'R3'!M78)</f>
        <v>-1.8940667804786875</v>
      </c>
      <c r="G78">
        <f>AVERAGE('R1'!N78,'R2'!N78,'R3'!N78)</f>
        <v>-0.75499582940777887</v>
      </c>
      <c r="H78">
        <f>AVERAGE('R1'!O78,'R2'!O78,'R3'!O78)</f>
        <v>-0.50864536520326498</v>
      </c>
      <c r="I78">
        <f t="shared" si="5"/>
        <v>4514.1437861111108</v>
      </c>
      <c r="K78">
        <f>_xlfn.STDEV.S('R1'!L78,'R2'!L78,'R3'!L78)</f>
        <v>3.2168742879358425E-3</v>
      </c>
      <c r="L78">
        <f>_xlfn.STDEV.S('R1'!M78,'R2'!M78,'R3'!M78)</f>
        <v>2.6171186468590475E-3</v>
      </c>
      <c r="M78">
        <f>_xlfn.STDEV.S('R1'!N78,'R2'!N78,'R3'!N78)</f>
        <v>5.766179515654423E-4</v>
      </c>
      <c r="N78">
        <f>_xlfn.STDEV.S('R1'!O78,'R2'!O78,'R3'!O78)</f>
        <v>4.9512992615760969E-3</v>
      </c>
    </row>
    <row r="79" spans="1:14" x14ac:dyDescent="0.25">
      <c r="A79">
        <f>-'R1'!H79</f>
        <v>32</v>
      </c>
      <c r="B79">
        <f>DEGREES(ATAN(-SIN(RADIANS(('R1'!I79)))/(COS(RADIANS(Sheet1!A79))*COS(RADIANS('R1'!I79)))))</f>
        <v>14.070864136056453</v>
      </c>
      <c r="C79">
        <f>AVERAGE('R1'!J79,'R2'!J79,'R3'!J79)</f>
        <v>1.1599999999999999</v>
      </c>
      <c r="D79">
        <f>AVERAGE('R1'!K79,'R2'!K79,'R3'!K79)</f>
        <v>23.480982749999999</v>
      </c>
      <c r="E79">
        <f>AVERAGE('R1'!L79,'R2'!L79,'R3'!L79)</f>
        <v>0.67558185695374151</v>
      </c>
      <c r="F79">
        <f>AVERAGE('R1'!M79,'R2'!M79,'R3'!M79)</f>
        <v>-2.007001181608528</v>
      </c>
      <c r="G79">
        <f>AVERAGE('R1'!N79,'R2'!N79,'R3'!N79)</f>
        <v>-0.75797745348463208</v>
      </c>
      <c r="H79">
        <f>AVERAGE('R1'!O79,'R2'!O79,'R3'!O79)</f>
        <v>-0.43340115145782526</v>
      </c>
      <c r="I79">
        <f t="shared" si="5"/>
        <v>4539.6566649999995</v>
      </c>
      <c r="K79">
        <f>_xlfn.STDEV.S('R1'!L79,'R2'!L79,'R3'!L79)</f>
        <v>3.2110884284862048E-3</v>
      </c>
      <c r="L79">
        <f>_xlfn.STDEV.S('R1'!M79,'R2'!M79,'R3'!M79)</f>
        <v>4.7809234641958747E-3</v>
      </c>
      <c r="M79">
        <f>_xlfn.STDEV.S('R1'!N79,'R2'!N79,'R3'!N79)</f>
        <v>2.9580599494774579E-3</v>
      </c>
      <c r="N79">
        <f>_xlfn.STDEV.S('R1'!O79,'R2'!O79,'R3'!O79)</f>
        <v>3.7412489681447896E-3</v>
      </c>
    </row>
    <row r="80" spans="1:14" x14ac:dyDescent="0.25">
      <c r="A80">
        <f>-'R1'!H80</f>
        <v>32</v>
      </c>
      <c r="B80">
        <f>DEGREES(ATAN(-SIN(RADIANS(('R1'!I80)))/(COS(RADIANS(Sheet1!A80))*COS(RADIANS('R1'!I80)))))</f>
        <v>9.4096915772201388</v>
      </c>
      <c r="C80">
        <f>AVERAGE('R1'!J80,'R2'!J80,'R3'!J80)</f>
        <v>1.1599999999999999</v>
      </c>
      <c r="D80">
        <f>AVERAGE('R1'!K80,'R2'!K80,'R3'!K80)</f>
        <v>23.043312166666666</v>
      </c>
      <c r="E80">
        <f>AVERAGE('R1'!L80,'R2'!L80,'R3'!L80)</f>
        <v>0.41862199812288603</v>
      </c>
      <c r="F80">
        <f>AVERAGE('R1'!M80,'R2'!M80,'R3'!M80)</f>
        <v>-2.1462864822538337</v>
      </c>
      <c r="G80">
        <f>AVERAGE('R1'!N80,'R2'!N80,'R3'!N80)</f>
        <v>-0.7836165115026108</v>
      </c>
      <c r="H80">
        <f>AVERAGE('R1'!O80,'R2'!O80,'R3'!O80)</f>
        <v>-0.36028422724244286</v>
      </c>
      <c r="I80">
        <f t="shared" si="5"/>
        <v>4455.0403522222214</v>
      </c>
      <c r="K80">
        <f>_xlfn.STDEV.S('R1'!L80,'R2'!L80,'R3'!L80)</f>
        <v>7.826920462541789E-3</v>
      </c>
      <c r="L80">
        <f>_xlfn.STDEV.S('R1'!M80,'R2'!M80,'R3'!M80)</f>
        <v>7.9085067492918135E-3</v>
      </c>
      <c r="M80">
        <f>_xlfn.STDEV.S('R1'!N80,'R2'!N80,'R3'!N80)</f>
        <v>5.2953986749760245E-3</v>
      </c>
      <c r="N80">
        <f>_xlfn.STDEV.S('R1'!O80,'R2'!O80,'R3'!O80)</f>
        <v>3.2178171520331794E-3</v>
      </c>
    </row>
    <row r="81" spans="1:14" x14ac:dyDescent="0.25">
      <c r="A81">
        <f>-'R1'!H81</f>
        <v>32</v>
      </c>
      <c r="B81">
        <f>DEGREES(ATAN(-SIN(RADIANS(('R1'!I81)))/(COS(RADIANS(Sheet1!A81))*COS(RADIANS('R1'!I81)))))</f>
        <v>4.7137278648813155</v>
      </c>
      <c r="C81">
        <f>AVERAGE('R1'!J81,'R2'!J81,'R3'!J81)</f>
        <v>1.1599999999999999</v>
      </c>
      <c r="D81">
        <f>AVERAGE('R1'!K81,'R2'!K81,'R3'!K81)</f>
        <v>22.668169333333335</v>
      </c>
      <c r="E81">
        <f>AVERAGE('R1'!L81,'R2'!L81,'R3'!L81)</f>
        <v>0.10669513979678857</v>
      </c>
      <c r="F81">
        <f>AVERAGE('R1'!M81,'R2'!M81,'R3'!M81)</f>
        <v>-2.3242458434932911</v>
      </c>
      <c r="G81">
        <f>AVERAGE('R1'!N81,'R2'!N81,'R3'!N81)</f>
        <v>-0.83390631260388892</v>
      </c>
      <c r="H81">
        <f>AVERAGE('R1'!O81,'R2'!O81,'R3'!O81)</f>
        <v>-0.28755544900942476</v>
      </c>
      <c r="I81">
        <f t="shared" si="5"/>
        <v>4382.5127377777771</v>
      </c>
      <c r="K81">
        <f>_xlfn.STDEV.S('R1'!L81,'R2'!L81,'R3'!L81)</f>
        <v>2.7083830861177605E-3</v>
      </c>
      <c r="L81">
        <f>_xlfn.STDEV.S('R1'!M81,'R2'!M81,'R3'!M81)</f>
        <v>4.366514278528329E-3</v>
      </c>
      <c r="M81">
        <f>_xlfn.STDEV.S('R1'!N81,'R2'!N81,'R3'!N81)</f>
        <v>3.2268390769514166E-3</v>
      </c>
      <c r="N81">
        <f>_xlfn.STDEV.S('R1'!O81,'R2'!O81,'R3'!O81)</f>
        <v>7.6290427486765096E-3</v>
      </c>
    </row>
    <row r="82" spans="1:14" x14ac:dyDescent="0.25">
      <c r="A82">
        <f>-'R1'!H82</f>
        <v>32</v>
      </c>
      <c r="B82">
        <f>DEGREES(ATAN(-SIN(RADIANS(('R1'!I82)))/(COS(RADIANS(Sheet1!A82))*COS(RADIANS('R1'!I82)))))</f>
        <v>0</v>
      </c>
      <c r="C82">
        <f>AVERAGE('R1'!J82,'R2'!J82,'R3'!J82)</f>
        <v>1.1624999999999999</v>
      </c>
      <c r="D82">
        <f>AVERAGE('R1'!K82,'R2'!K82,'R3'!K82)</f>
        <v>21.914038000000001</v>
      </c>
      <c r="E82">
        <f>AVERAGE('R1'!L82,'R2'!L82,'R3'!L82)</f>
        <v>-0.21882793464010375</v>
      </c>
      <c r="F82">
        <f>AVERAGE('R1'!M82,'R2'!M82,'R3'!M82)</f>
        <v>-2.2348726259938405</v>
      </c>
      <c r="G82">
        <f>AVERAGE('R1'!N82,'R2'!N82,'R3'!N82)</f>
        <v>-0.7906886594831356</v>
      </c>
      <c r="H82">
        <f>AVERAGE('R1'!O82,'R2'!O82,'R3'!O82)</f>
        <v>-0.29379926261091899</v>
      </c>
      <c r="I82">
        <f t="shared" si="5"/>
        <v>4245.8448625000001</v>
      </c>
      <c r="K82">
        <f>_xlfn.STDEV.S('R1'!L82,'R2'!L82,'R3'!L82)</f>
        <v>7.3889248894668108E-3</v>
      </c>
      <c r="L82">
        <f>_xlfn.STDEV.S('R1'!M82,'R2'!M82,'R3'!M82)</f>
        <v>1.3255011049999913E-2</v>
      </c>
      <c r="M82">
        <f>_xlfn.STDEV.S('R1'!N82,'R2'!N82,'R3'!N82)</f>
        <v>8.0121721006922251E-3</v>
      </c>
      <c r="N82">
        <f>_xlfn.STDEV.S('R1'!O82,'R2'!O82,'R3'!O82)</f>
        <v>1.1530615237636003E-3</v>
      </c>
    </row>
    <row r="83" spans="1:14" x14ac:dyDescent="0.25">
      <c r="A83">
        <f>-'R1'!H83</f>
        <v>32</v>
      </c>
      <c r="B83">
        <f>DEGREES(ATAN(-SIN(RADIANS(('R1'!I83)))/(COS(RADIANS(Sheet1!A83))*COS(RADIANS('R1'!I83)))))</f>
        <v>-4.7137278648813155</v>
      </c>
      <c r="C83">
        <f>AVERAGE('R1'!J83,'R2'!J83,'R3'!J83)</f>
        <v>1.1633333333333331</v>
      </c>
      <c r="D83">
        <f>AVERAGE('R1'!K83,'R2'!K83,'R3'!K83)</f>
        <v>22.033708416666666</v>
      </c>
      <c r="E83">
        <f>AVERAGE('R1'!L83,'R2'!L83,'R3'!L83)</f>
        <v>-0.50385017497238171</v>
      </c>
      <c r="F83">
        <f>AVERAGE('R1'!M83,'R2'!M83,'R3'!M83)</f>
        <v>-2.0608364761047517</v>
      </c>
      <c r="G83">
        <f>AVERAGE('R1'!N83,'R2'!N83,'R3'!N83)</f>
        <v>-0.73529848758995131</v>
      </c>
      <c r="H83">
        <f>AVERAGE('R1'!O83,'R2'!O83,'R3'!O83)</f>
        <v>-0.35274465351661161</v>
      </c>
      <c r="I83">
        <f t="shared" si="5"/>
        <v>4272.0912430092585</v>
      </c>
      <c r="K83">
        <f>_xlfn.STDEV.S('R1'!L83,'R2'!L83,'R3'!L83)</f>
        <v>4.9771286035230891E-3</v>
      </c>
      <c r="L83">
        <f>_xlfn.STDEV.S('R1'!M83,'R2'!M83,'R3'!M83)</f>
        <v>6.6613588325573E-3</v>
      </c>
      <c r="M83">
        <f>_xlfn.STDEV.S('R1'!N83,'R2'!N83,'R3'!N83)</f>
        <v>5.3607849801830202E-3</v>
      </c>
      <c r="N83">
        <f>_xlfn.STDEV.S('R1'!O83,'R2'!O83,'R3'!O83)</f>
        <v>9.6974781897497038E-4</v>
      </c>
    </row>
    <row r="84" spans="1:14" x14ac:dyDescent="0.25">
      <c r="A84">
        <f>-'R1'!H84</f>
        <v>32</v>
      </c>
      <c r="B84">
        <f>DEGREES(ATAN(-SIN(RADIANS(('R1'!I84)))/(COS(RADIANS(Sheet1!A84))*COS(RADIANS('R1'!I84)))))</f>
        <v>-9.4096915772201388</v>
      </c>
      <c r="C84">
        <f>AVERAGE('R1'!J84,'R2'!J84,'R3'!J84)</f>
        <v>1.1633333333333331</v>
      </c>
      <c r="D84">
        <f>AVERAGE('R1'!K84,'R2'!K84,'R3'!K84)</f>
        <v>22.231717583333332</v>
      </c>
      <c r="E84">
        <f>AVERAGE('R1'!L84,'R2'!L84,'R3'!L84)</f>
        <v>-0.74201377189581308</v>
      </c>
      <c r="F84">
        <f>AVERAGE('R1'!M84,'R2'!M84,'R3'!M84)</f>
        <v>-1.9191654036507921</v>
      </c>
      <c r="G84">
        <f>AVERAGE('R1'!N84,'R2'!N84,'R3'!N84)</f>
        <v>-0.70075671982012155</v>
      </c>
      <c r="H84">
        <f>AVERAGE('R1'!O84,'R2'!O84,'R3'!O84)</f>
        <v>-0.41768420179782062</v>
      </c>
      <c r="I84">
        <f t="shared" si="5"/>
        <v>4310.4830203240726</v>
      </c>
      <c r="K84">
        <f>_xlfn.STDEV.S('R1'!L84,'R2'!L84,'R3'!L84)</f>
        <v>1.8037184844020004E-3</v>
      </c>
      <c r="L84">
        <f>_xlfn.STDEV.S('R1'!M84,'R2'!M84,'R3'!M84)</f>
        <v>1.5752828435912252E-3</v>
      </c>
      <c r="M84">
        <f>_xlfn.STDEV.S('R1'!N84,'R2'!N84,'R3'!N84)</f>
        <v>4.334135171336728E-4</v>
      </c>
      <c r="N84">
        <f>_xlfn.STDEV.S('R1'!O84,'R2'!O84,'R3'!O84)</f>
        <v>2.7480103845158779E-3</v>
      </c>
    </row>
    <row r="85" spans="1:14" x14ac:dyDescent="0.25">
      <c r="A85">
        <f>-'R1'!H85</f>
        <v>32</v>
      </c>
      <c r="B85">
        <f>DEGREES(ATAN(-SIN(RADIANS(('R1'!I85)))/(COS(RADIANS(Sheet1!A85))*COS(RADIANS('R1'!I85)))))</f>
        <v>-14.070864136056453</v>
      </c>
      <c r="C85">
        <f>AVERAGE('R1'!J85,'R2'!J85,'R3'!J85)</f>
        <v>1.1633333333333331</v>
      </c>
      <c r="D85">
        <f>AVERAGE('R1'!K85,'R2'!K85,'R3'!K85)</f>
        <v>22.421531666666667</v>
      </c>
      <c r="E85">
        <f>AVERAGE('R1'!L85,'R2'!L85,'R3'!L85)</f>
        <v>-0.94450088757417838</v>
      </c>
      <c r="F85">
        <f>AVERAGE('R1'!M85,'R2'!M85,'R3'!M85)</f>
        <v>-1.8144608024163726</v>
      </c>
      <c r="G85">
        <f>AVERAGE('R1'!N85,'R2'!N85,'R3'!N85)</f>
        <v>-0.69344380705179842</v>
      </c>
      <c r="H85">
        <f>AVERAGE('R1'!O85,'R2'!O85,'R3'!O85)</f>
        <v>-0.48231162936846955</v>
      </c>
      <c r="I85">
        <f t="shared" si="5"/>
        <v>4347.2858620370362</v>
      </c>
      <c r="K85">
        <f>_xlfn.STDEV.S('R1'!L85,'R2'!L85,'R3'!L85)</f>
        <v>2.3980965902844378E-3</v>
      </c>
      <c r="L85">
        <f>_xlfn.STDEV.S('R1'!M85,'R2'!M85,'R3'!M85)</f>
        <v>4.8361040197063086E-3</v>
      </c>
      <c r="M85">
        <f>_xlfn.STDEV.S('R1'!N85,'R2'!N85,'R3'!N85)</f>
        <v>4.2592291974182031E-3</v>
      </c>
      <c r="N85">
        <f>_xlfn.STDEV.S('R1'!O85,'R2'!O85,'R3'!O85)</f>
        <v>5.045813299081066E-3</v>
      </c>
    </row>
    <row r="86" spans="1:14" x14ac:dyDescent="0.25">
      <c r="A86">
        <f>-'R1'!H86</f>
        <v>32</v>
      </c>
      <c r="B86">
        <f>DEGREES(ATAN(-SIN(RADIANS(('R1'!I86)))/(COS(RADIANS(Sheet1!A86))*COS(RADIANS('R1'!I86)))))</f>
        <v>-18.681627509923402</v>
      </c>
      <c r="C86">
        <f>AVERAGE('R1'!J86,'R2'!J86,'R3'!J86)</f>
        <v>1.1633333333333331</v>
      </c>
      <c r="D86">
        <f>AVERAGE('R1'!K86,'R2'!K86,'R3'!K86)</f>
        <v>23.011253333333332</v>
      </c>
      <c r="E86">
        <f>AVERAGE('R1'!L86,'R2'!L86,'R3'!L86)</f>
        <v>-1.1535941900480651</v>
      </c>
      <c r="F86">
        <f>AVERAGE('R1'!M86,'R2'!M86,'R3'!M86)</f>
        <v>-1.7487127940129168</v>
      </c>
      <c r="G86">
        <f>AVERAGE('R1'!N86,'R2'!N86,'R3'!N86)</f>
        <v>-0.73765596094936603</v>
      </c>
      <c r="H86">
        <f>AVERAGE('R1'!O86,'R2'!O86,'R3'!O86)</f>
        <v>-0.55614735828719597</v>
      </c>
      <c r="I86">
        <f t="shared" si="5"/>
        <v>4461.6263407407396</v>
      </c>
      <c r="K86">
        <f>_xlfn.STDEV.S('R1'!L86,'R2'!L86,'R3'!L86)</f>
        <v>2.407629084533468E-3</v>
      </c>
      <c r="L86">
        <f>_xlfn.STDEV.S('R1'!M86,'R2'!M86,'R3'!M86)</f>
        <v>1.9655845471350168E-3</v>
      </c>
      <c r="M86">
        <f>_xlfn.STDEV.S('R1'!N86,'R2'!N86,'R3'!N86)</f>
        <v>1.3699973217908947E-3</v>
      </c>
      <c r="N86">
        <f>_xlfn.STDEV.S('R1'!O86,'R2'!O86,'R3'!O86)</f>
        <v>3.7783159221892217E-3</v>
      </c>
    </row>
    <row r="87" spans="1:14" x14ac:dyDescent="0.25">
      <c r="A87">
        <f>-'R1'!H87</f>
        <v>32</v>
      </c>
      <c r="B87">
        <f>DEGREES(ATAN(-SIN(RADIANS(('R1'!I87)))/(COS(RADIANS(Sheet1!A87))*COS(RADIANS('R1'!I87)))))</f>
        <v>-23.228324501561271</v>
      </c>
      <c r="C87">
        <f>AVERAGE('R1'!J87,'R2'!J87,'R3'!J87)</f>
        <v>1.1633333333333331</v>
      </c>
      <c r="D87">
        <f>AVERAGE('R1'!K87,'R2'!K87,'R3'!K87)</f>
        <v>23.475816499999997</v>
      </c>
      <c r="E87">
        <f>AVERAGE('R1'!L87,'R2'!L87,'R3'!L87)</f>
        <v>-1.3339272699631133</v>
      </c>
      <c r="F87">
        <f>AVERAGE('R1'!M87,'R2'!M87,'R3'!M87)</f>
        <v>-1.7286166040908162</v>
      </c>
      <c r="G87">
        <f>AVERAGE('R1'!N87,'R2'!N87,'R3'!N87)</f>
        <v>-0.80196560013039431</v>
      </c>
      <c r="H87">
        <f>AVERAGE('R1'!O87,'R2'!O87,'R3'!O87)</f>
        <v>-0.65558619361625603</v>
      </c>
      <c r="I87">
        <f t="shared" si="5"/>
        <v>4551.6999769444437</v>
      </c>
      <c r="K87">
        <f>_xlfn.STDEV.S('R1'!L87,'R2'!L87,'R3'!L87)</f>
        <v>1.4832648121110685E-3</v>
      </c>
      <c r="L87">
        <f>_xlfn.STDEV.S('R1'!M87,'R2'!M87,'R3'!M87)</f>
        <v>4.6546788208726283E-3</v>
      </c>
      <c r="M87">
        <f>_xlfn.STDEV.S('R1'!N87,'R2'!N87,'R3'!N87)</f>
        <v>3.3842038748359273E-3</v>
      </c>
      <c r="N87">
        <f>_xlfn.STDEV.S('R1'!O87,'R2'!O87,'R3'!O87)</f>
        <v>3.4958139428123984E-3</v>
      </c>
    </row>
    <row r="88" spans="1:14" x14ac:dyDescent="0.25">
      <c r="A88">
        <f>-'R1'!H88</f>
        <v>32</v>
      </c>
      <c r="B88">
        <f>DEGREES(ATAN(-SIN(RADIANS(('R1'!I88)))/(COS(RADIANS(Sheet1!A88))*COS(RADIANS('R1'!I88)))))</f>
        <v>-27.699654729206667</v>
      </c>
      <c r="C88">
        <f>AVERAGE('R1'!J88,'R2'!J88,'R3'!J88)</f>
        <v>1.1633333333333331</v>
      </c>
      <c r="D88">
        <f>AVERAGE('R1'!K88,'R2'!K88,'R3'!K88)</f>
        <v>23.370909833333332</v>
      </c>
      <c r="E88">
        <f>AVERAGE('R1'!L88,'R2'!L88,'R3'!L88)</f>
        <v>-1.4975102876222646</v>
      </c>
      <c r="F88">
        <f>AVERAGE('R1'!M88,'R2'!M88,'R3'!M88)</f>
        <v>-1.7583939281752947</v>
      </c>
      <c r="G88">
        <f>AVERAGE('R1'!N88,'R2'!N88,'R3'!N88)</f>
        <v>-0.90233690760579277</v>
      </c>
      <c r="H88">
        <f>AVERAGE('R1'!O88,'R2'!O88,'R3'!O88)</f>
        <v>-0.77827384783503517</v>
      </c>
      <c r="I88">
        <f t="shared" si="5"/>
        <v>4531.359739907406</v>
      </c>
      <c r="K88">
        <f>_xlfn.STDEV.S('R1'!L88,'R2'!L88,'R3'!L88)</f>
        <v>1.2649827155617275E-3</v>
      </c>
      <c r="L88">
        <f>_xlfn.STDEV.S('R1'!M88,'R2'!M88,'R3'!M88)</f>
        <v>4.646974536302655E-3</v>
      </c>
      <c r="M88">
        <f>_xlfn.STDEV.S('R1'!N88,'R2'!N88,'R3'!N88)</f>
        <v>3.3281381393727581E-3</v>
      </c>
      <c r="N88">
        <f>_xlfn.STDEV.S('R1'!O88,'R2'!O88,'R3'!O88)</f>
        <v>1.944973447585987E-3</v>
      </c>
    </row>
    <row r="89" spans="1:14" x14ac:dyDescent="0.25">
      <c r="A89">
        <f>-'R1'!H89</f>
        <v>32</v>
      </c>
      <c r="B89">
        <f>DEGREES(ATAN(-SIN(RADIANS(('R1'!I89)))/(COS(RADIANS(Sheet1!A89))*COS(RADIANS('R1'!I89)))))</f>
        <v>-32.086900972819144</v>
      </c>
      <c r="C89">
        <f>AVERAGE('R1'!J89,'R2'!J89,'R3'!J89)</f>
        <v>1.1633333333333331</v>
      </c>
      <c r="D89">
        <f>AVERAGE('R1'!K89,'R2'!K89,'R3'!K89)</f>
        <v>22.982239583333335</v>
      </c>
      <c r="E89">
        <f>AVERAGE('R1'!L89,'R2'!L89,'R3'!L89)</f>
        <v>-1.678206672904569</v>
      </c>
      <c r="F89">
        <f>AVERAGE('R1'!M89,'R2'!M89,'R3'!M89)</f>
        <v>-1.8297231368010587</v>
      </c>
      <c r="G89">
        <f>AVERAGE('R1'!N89,'R2'!N89,'R3'!N89)</f>
        <v>-1.0479566052669527</v>
      </c>
      <c r="H89">
        <f>AVERAGE('R1'!O89,'R2'!O89,'R3'!O89)</f>
        <v>-0.91992380866029311</v>
      </c>
      <c r="I89">
        <f t="shared" si="5"/>
        <v>4456.0008969907403</v>
      </c>
      <c r="K89">
        <f>_xlfn.STDEV.S('R1'!L89,'R2'!L89,'R3'!L89)</f>
        <v>4.356910300634554E-3</v>
      </c>
      <c r="L89">
        <f>_xlfn.STDEV.S('R1'!M89,'R2'!M89,'R3'!M89)</f>
        <v>1.1721801286794244E-3</v>
      </c>
      <c r="M89">
        <f>_xlfn.STDEV.S('R1'!N89,'R2'!N89,'R3'!N89)</f>
        <v>4.0086167810269909E-3</v>
      </c>
      <c r="N89">
        <f>_xlfn.STDEV.S('R1'!O89,'R2'!O89,'R3'!O89)</f>
        <v>7.9602224791317574E-4</v>
      </c>
    </row>
    <row r="90" spans="1:14" x14ac:dyDescent="0.25">
      <c r="A90">
        <f>-'R1'!H90</f>
        <v>32</v>
      </c>
      <c r="B90">
        <f>DEGREES(ATAN(-SIN(RADIANS(('R1'!I90)))/(COS(RADIANS(Sheet1!A90))*COS(RADIANS('R1'!I90)))))</f>
        <v>-36.383993076218225</v>
      </c>
      <c r="C90">
        <f>AVERAGE('R1'!J90,'R2'!J90,'R3'!J90)</f>
        <v>1.1633333333333331</v>
      </c>
      <c r="D90">
        <f>AVERAGE('R1'!K90,'R2'!K90,'R3'!K90)</f>
        <v>22.348817916666665</v>
      </c>
      <c r="E90">
        <f>AVERAGE('R1'!L90,'R2'!L90,'R3'!L90)</f>
        <v>-1.8746044991268829</v>
      </c>
      <c r="F90">
        <f>AVERAGE('R1'!M90,'R2'!M90,'R3'!M90)</f>
        <v>-1.9296250304150409</v>
      </c>
      <c r="G90">
        <f>AVERAGE('R1'!N90,'R2'!N90,'R3'!N90)</f>
        <v>-1.2343409700163717</v>
      </c>
      <c r="H90">
        <f>AVERAGE('R1'!O90,'R2'!O90,'R3'!O90)</f>
        <v>-1.0830504092869211</v>
      </c>
      <c r="I90">
        <f t="shared" si="5"/>
        <v>4333.1874738425922</v>
      </c>
      <c r="K90">
        <f>_xlfn.STDEV.S('R1'!L90,'R2'!L90,'R3'!L90)</f>
        <v>6.5807111449409043E-3</v>
      </c>
      <c r="L90">
        <f>_xlfn.STDEV.S('R1'!M90,'R2'!M90,'R3'!M90)</f>
        <v>5.9917891791430259E-3</v>
      </c>
      <c r="M90">
        <f>_xlfn.STDEV.S('R1'!N90,'R2'!N90,'R3'!N90)</f>
        <v>1.0197123247861204E-2</v>
      </c>
      <c r="N90">
        <f>_xlfn.STDEV.S('R1'!O90,'R2'!O90,'R3'!O90)</f>
        <v>4.9771277925970475E-3</v>
      </c>
    </row>
    <row r="91" spans="1:14" x14ac:dyDescent="0.25">
      <c r="A91">
        <f>-'R1'!H91</f>
        <v>32</v>
      </c>
      <c r="B91">
        <f>DEGREES(ATAN(-SIN(RADIANS(('R1'!I91)))/(COS(RADIANS(Sheet1!A91))*COS(RADIANS('R1'!I91)))))</f>
        <v>-40.587432696870117</v>
      </c>
      <c r="C91">
        <f>AVERAGE('R1'!J91,'R2'!J91,'R3'!J91)</f>
        <v>1.1633333333333331</v>
      </c>
      <c r="D91">
        <f>AVERAGE('R1'!K91,'R2'!K91,'R3'!K91)</f>
        <v>21.869087750000002</v>
      </c>
      <c r="E91">
        <f>AVERAGE('R1'!L91,'R2'!L91,'R3'!L91)</f>
        <v>-2.1028118176945294</v>
      </c>
      <c r="F91">
        <f>AVERAGE('R1'!M91,'R2'!M91,'R3'!M91)</f>
        <v>-2.0789559979068319</v>
      </c>
      <c r="G91">
        <f>AVERAGE('R1'!N91,'R2'!N91,'R3'!N91)</f>
        <v>-1.4819941219087502</v>
      </c>
      <c r="H91">
        <f>AVERAGE('R1'!O91,'R2'!O91,'R3'!O91)</f>
        <v>-1.2819426353599559</v>
      </c>
      <c r="I91">
        <f t="shared" si="5"/>
        <v>4240.1731248611113</v>
      </c>
      <c r="K91">
        <f>_xlfn.STDEV.S('R1'!L91,'R2'!L91,'R3'!L91)</f>
        <v>9.1005635590838095E-3</v>
      </c>
      <c r="L91">
        <f>_xlfn.STDEV.S('R1'!M91,'R2'!M91,'R3'!M91)</f>
        <v>4.257241613790692E-3</v>
      </c>
      <c r="M91">
        <f>_xlfn.STDEV.S('R1'!N91,'R2'!N91,'R3'!N91)</f>
        <v>5.7890660006035075E-3</v>
      </c>
      <c r="N91">
        <f>_xlfn.STDEV.S('R1'!O91,'R2'!O91,'R3'!O91)</f>
        <v>6.1834399583077619E-3</v>
      </c>
    </row>
    <row r="92" spans="1:14" x14ac:dyDescent="0.25">
      <c r="A92">
        <f>-'R1'!H92</f>
        <v>32</v>
      </c>
      <c r="B92">
        <f>DEGREES(ATAN(-SIN(RADIANS(('R1'!I92)))/(COS(RADIANS(Sheet1!A92))*COS(RADIANS('R1'!I92)))))</f>
        <v>-44.69611169166604</v>
      </c>
      <c r="C92">
        <f>AVERAGE('R1'!J92,'R2'!J92,'R3'!J92)</f>
        <v>1.1633333333333331</v>
      </c>
      <c r="D92">
        <f>AVERAGE('R1'!K92,'R2'!K92,'R3'!K92)</f>
        <v>21.998722333333333</v>
      </c>
      <c r="E92">
        <f>AVERAGE('R1'!L92,'R2'!L92,'R3'!L92)</f>
        <v>-2.3737950815463571</v>
      </c>
      <c r="F92">
        <f>AVERAGE('R1'!M92,'R2'!M92,'R3'!M92)</f>
        <v>-2.2630808241213702</v>
      </c>
      <c r="G92">
        <f>AVERAGE('R1'!N92,'R2'!N92,'R3'!N92)</f>
        <v>-1.7938717341017456</v>
      </c>
      <c r="H92">
        <f>AVERAGE('R1'!O92,'R2'!O92,'R3'!O92)</f>
        <v>-1.5158861019512448</v>
      </c>
      <c r="I92">
        <f t="shared" si="5"/>
        <v>4265.3078301851847</v>
      </c>
      <c r="K92">
        <f>_xlfn.STDEV.S('R1'!L92,'R2'!L92,'R3'!L92)</f>
        <v>1.7075323969584554E-3</v>
      </c>
      <c r="L92">
        <f>_xlfn.STDEV.S('R1'!M92,'R2'!M92,'R3'!M92)</f>
        <v>1.9481363312702669E-3</v>
      </c>
      <c r="M92">
        <f>_xlfn.STDEV.S('R1'!N92,'R2'!N92,'R3'!N92)</f>
        <v>5.0813535919935829E-3</v>
      </c>
      <c r="N92">
        <f>_xlfn.STDEV.S('R1'!O92,'R2'!O92,'R3'!O92)</f>
        <v>1.3564571326662854E-3</v>
      </c>
    </row>
    <row r="93" spans="1:14" x14ac:dyDescent="0.25">
      <c r="A93">
        <f>-'R1'!H93</f>
        <v>32</v>
      </c>
      <c r="B93">
        <f>DEGREES(ATAN(-SIN(RADIANS(('R1'!I93)))/(COS(RADIANS(Sheet1!A93))*COS(RADIANS('R1'!I93)))))</f>
        <v>-48.711059881009497</v>
      </c>
      <c r="C93">
        <f>AVERAGE('R1'!J93,'R2'!J93,'R3'!J93)</f>
        <v>1.1633333333333331</v>
      </c>
      <c r="D93">
        <f>AVERAGE('R1'!K93,'R2'!K93,'R3'!K93)</f>
        <v>22.172332333333333</v>
      </c>
      <c r="E93">
        <f>AVERAGE('R1'!L93,'R2'!L93,'R3'!L93)</f>
        <v>-2.7286136610972047</v>
      </c>
      <c r="F93">
        <f>AVERAGE('R1'!M93,'R2'!M93,'R3'!M93)</f>
        <v>-2.5479054909931347</v>
      </c>
      <c r="G93">
        <f>AVERAGE('R1'!N93,'R2'!N93,'R3'!N93)</f>
        <v>-2.2446551638994805</v>
      </c>
      <c r="H93">
        <f>AVERAGE('R1'!O93,'R2'!O93,'R3'!O93)</f>
        <v>-1.8341439744889481</v>
      </c>
      <c r="I93">
        <f t="shared" si="5"/>
        <v>4298.9688801851844</v>
      </c>
      <c r="K93">
        <f>_xlfn.STDEV.S('R1'!L93,'R2'!L93,'R3'!L93)</f>
        <v>1.0836928830267116E-2</v>
      </c>
      <c r="L93">
        <f>_xlfn.STDEV.S('R1'!M93,'R2'!M93,'R3'!M93)</f>
        <v>7.8642921367670336E-3</v>
      </c>
      <c r="M93">
        <f>_xlfn.STDEV.S('R1'!N93,'R2'!N93,'R3'!N93)</f>
        <v>1.3997526477506163E-2</v>
      </c>
      <c r="N93">
        <f>_xlfn.STDEV.S('R1'!O93,'R2'!O93,'R3'!O93)</f>
        <v>7.2139898892777787E-3</v>
      </c>
    </row>
    <row r="94" spans="1:14" x14ac:dyDescent="0.25">
      <c r="A94">
        <f>-'R1'!H94</f>
        <v>28</v>
      </c>
      <c r="B94">
        <f>DEGREES(ATAN(-SIN(RADIANS(('R1'!I94)))/(COS(RADIANS(Sheet1!A94))*COS(RADIANS('R1'!I94)))))</f>
        <v>47.562731505879128</v>
      </c>
      <c r="C94">
        <f>AVERAGE('R1'!J94,'R2'!J94,'R3'!J94)</f>
        <v>1.1633333333333331</v>
      </c>
      <c r="D94">
        <f>AVERAGE('R1'!K94,'R2'!K94,'R3'!K94)</f>
        <v>22.85781025</v>
      </c>
      <c r="E94">
        <f>AVERAGE('R1'!L94,'R2'!L94,'R3'!L94)</f>
        <v>1.8234716944524267</v>
      </c>
      <c r="F94">
        <f>AVERAGE('R1'!M94,'R2'!M94,'R3'!M94)</f>
        <v>-1.6911004830012786</v>
      </c>
      <c r="G94">
        <f>AVERAGE('R1'!N94,'R2'!N94,'R3'!N94)</f>
        <v>-1.1345438763491009</v>
      </c>
      <c r="H94">
        <f>AVERAGE('R1'!O94,'R2'!O94,'R3'!O94)</f>
        <v>-1.1602878479541012</v>
      </c>
      <c r="I94">
        <f t="shared" si="5"/>
        <v>4431.8754318055553</v>
      </c>
      <c r="K94">
        <f>_xlfn.STDEV.S('R1'!L94,'R2'!L94,'R3'!L94)</f>
        <v>7.6038432616650818E-3</v>
      </c>
      <c r="L94">
        <f>_xlfn.STDEV.S('R1'!M94,'R2'!M94,'R3'!M94)</f>
        <v>5.6563156531781464E-3</v>
      </c>
      <c r="M94">
        <f>_xlfn.STDEV.S('R1'!N94,'R2'!N94,'R3'!N94)</f>
        <v>5.8710702333317358E-3</v>
      </c>
      <c r="N94">
        <f>_xlfn.STDEV.S('R1'!O94,'R2'!O94,'R3'!O94)</f>
        <v>4.245386880684425E-3</v>
      </c>
    </row>
    <row r="95" spans="1:14" x14ac:dyDescent="0.25">
      <c r="A95">
        <f>-'R1'!H95</f>
        <v>28</v>
      </c>
      <c r="B95">
        <f>DEGREES(ATAN(-SIN(RADIANS(('R1'!I95)))/(COS(RADIANS(Sheet1!A95))*COS(RADIANS('R1'!I95)))))</f>
        <v>43.541410263843531</v>
      </c>
      <c r="C95">
        <f>AVERAGE('R1'!J95,'R2'!J95,'R3'!J95)</f>
        <v>1.1633333333333331</v>
      </c>
      <c r="D95">
        <f>AVERAGE('R1'!K95,'R2'!K95,'R3'!K95)</f>
        <v>23.257532583333333</v>
      </c>
      <c r="E95">
        <f>AVERAGE('R1'!L95,'R2'!L95,'R3'!L95)</f>
        <v>1.6896362858117691</v>
      </c>
      <c r="F95">
        <f>AVERAGE('R1'!M95,'R2'!M95,'R3'!M95)</f>
        <v>-1.6116176114748333</v>
      </c>
      <c r="G95">
        <f>AVERAGE('R1'!N95,'R2'!N95,'R3'!N95)</f>
        <v>-0.97137183483926259</v>
      </c>
      <c r="H95">
        <f>AVERAGE('R1'!O95,'R2'!O95,'R3'!O95)</f>
        <v>-1.0201359723929722</v>
      </c>
      <c r="I95">
        <f t="shared" si="5"/>
        <v>4509.377150879629</v>
      </c>
      <c r="K95">
        <f>_xlfn.STDEV.S('R1'!L95,'R2'!L95,'R3'!L95)</f>
        <v>4.5822585294312433E-3</v>
      </c>
      <c r="L95">
        <f>_xlfn.STDEV.S('R1'!M95,'R2'!M95,'R3'!M95)</f>
        <v>4.2161026927932995E-3</v>
      </c>
      <c r="M95">
        <f>_xlfn.STDEV.S('R1'!N95,'R2'!N95,'R3'!N95)</f>
        <v>3.4820768090605765E-3</v>
      </c>
      <c r="N95">
        <f>_xlfn.STDEV.S('R1'!O95,'R2'!O95,'R3'!O95)</f>
        <v>3.2392759378706555E-3</v>
      </c>
    </row>
    <row r="96" spans="1:14" x14ac:dyDescent="0.25">
      <c r="A96">
        <f>-'R1'!H96</f>
        <v>28</v>
      </c>
      <c r="B96">
        <f>DEGREES(ATAN(-SIN(RADIANS(('R1'!I96)))/(COS(RADIANS(Sheet1!A96))*COS(RADIANS('R1'!I96)))))</f>
        <v>39.449608335498439</v>
      </c>
      <c r="C96">
        <f>AVERAGE('R1'!J96,'R2'!J96,'R3'!J96)</f>
        <v>1.1633333333333331</v>
      </c>
      <c r="D96">
        <f>AVERAGE('R1'!K96,'R2'!K96,'R3'!K96)</f>
        <v>23.268803916666666</v>
      </c>
      <c r="E96">
        <f>AVERAGE('R1'!L96,'R2'!L96,'R3'!L96)</f>
        <v>1.5750537716412831</v>
      </c>
      <c r="F96">
        <f>AVERAGE('R1'!M96,'R2'!M96,'R3'!M96)</f>
        <v>-1.5468550410316901</v>
      </c>
      <c r="G96">
        <f>AVERAGE('R1'!N96,'R2'!N96,'R3'!N96)</f>
        <v>-0.84449461252849434</v>
      </c>
      <c r="H96">
        <f>AVERAGE('R1'!O96,'R2'!O96,'R3'!O96)</f>
        <v>-0.89050358852830602</v>
      </c>
      <c r="I96">
        <f t="shared" si="5"/>
        <v>4511.5625371759252</v>
      </c>
      <c r="K96">
        <f>_xlfn.STDEV.S('R1'!L96,'R2'!L96,'R3'!L96)</f>
        <v>1.7606514511042935E-3</v>
      </c>
      <c r="L96">
        <f>_xlfn.STDEV.S('R1'!M96,'R2'!M96,'R3'!M96)</f>
        <v>6.2675640433957648E-4</v>
      </c>
      <c r="M96">
        <f>_xlfn.STDEV.S('R1'!N96,'R2'!N96,'R3'!N96)</f>
        <v>1.954934638131432E-3</v>
      </c>
      <c r="N96">
        <f>_xlfn.STDEV.S('R1'!O96,'R2'!O96,'R3'!O96)</f>
        <v>2.05232097048071E-3</v>
      </c>
    </row>
    <row r="97" spans="1:14" x14ac:dyDescent="0.25">
      <c r="A97">
        <f>-'R1'!H97</f>
        <v>28</v>
      </c>
      <c r="B97">
        <f>DEGREES(ATAN(-SIN(RADIANS(('R1'!I97)))/(COS(RADIANS(Sheet1!A97))*COS(RADIANS('R1'!I97)))))</f>
        <v>35.287360012327973</v>
      </c>
      <c r="C97">
        <f>AVERAGE('R1'!J97,'R2'!J97,'R3'!J97)</f>
        <v>1.1633333333333331</v>
      </c>
      <c r="D97">
        <f>AVERAGE('R1'!K97,'R2'!K97,'R3'!K97)</f>
        <v>23.276791000000003</v>
      </c>
      <c r="E97">
        <f>AVERAGE('R1'!L97,'R2'!L97,'R3'!L97)</f>
        <v>1.457949803674204</v>
      </c>
      <c r="F97">
        <f>AVERAGE('R1'!M97,'R2'!M97,'R3'!M97)</f>
        <v>-1.5254094863044119</v>
      </c>
      <c r="G97">
        <f>AVERAGE('R1'!N97,'R2'!N97,'R3'!N97)</f>
        <v>-0.75270959377515234</v>
      </c>
      <c r="H97">
        <f>AVERAGE('R1'!O97,'R2'!O97,'R3'!O97)</f>
        <v>-0.77201248186273796</v>
      </c>
      <c r="I97">
        <f t="shared" si="5"/>
        <v>4513.1111438888884</v>
      </c>
      <c r="K97">
        <f>_xlfn.STDEV.S('R1'!L97,'R2'!L97,'R3'!L97)</f>
        <v>6.5961181186733296E-3</v>
      </c>
      <c r="L97">
        <f>_xlfn.STDEV.S('R1'!M97,'R2'!M97,'R3'!M97)</f>
        <v>1.4380028816797059E-3</v>
      </c>
      <c r="M97">
        <f>_xlfn.STDEV.S('R1'!N97,'R2'!N97,'R3'!N97)</f>
        <v>3.0229483181035744E-3</v>
      </c>
      <c r="N97">
        <f>_xlfn.STDEV.S('R1'!O97,'R2'!O97,'R3'!O97)</f>
        <v>1.7324315250446716E-3</v>
      </c>
    </row>
    <row r="98" spans="1:14" x14ac:dyDescent="0.25">
      <c r="A98">
        <f>-'R1'!H98</f>
        <v>28</v>
      </c>
      <c r="B98">
        <f>DEGREES(ATAN(-SIN(RADIANS(('R1'!I98)))/(COS(RADIANS(Sheet1!A98))*COS(RADIANS('R1'!I98)))))</f>
        <v>31.056274317680661</v>
      </c>
      <c r="C98">
        <f>AVERAGE('R1'!J98,'R2'!J98,'R3'!J98)</f>
        <v>1.1633333333333331</v>
      </c>
      <c r="D98">
        <f>AVERAGE('R1'!K98,'R2'!K98,'R3'!K98)</f>
        <v>22.709434166666668</v>
      </c>
      <c r="E98">
        <f>AVERAGE('R1'!L98,'R2'!L98,'R3'!L98)</f>
        <v>1.3412790427235173</v>
      </c>
      <c r="F98">
        <f>AVERAGE('R1'!M98,'R2'!M98,'R3'!M98)</f>
        <v>-1.5372297941671971</v>
      </c>
      <c r="G98">
        <f>AVERAGE('R1'!N98,'R2'!N98,'R3'!N98)</f>
        <v>-0.69353887168370631</v>
      </c>
      <c r="H98">
        <f>AVERAGE('R1'!O98,'R2'!O98,'R3'!O98)</f>
        <v>-0.65063164564546383</v>
      </c>
      <c r="I98">
        <f t="shared" si="5"/>
        <v>4403.10695787037</v>
      </c>
      <c r="K98">
        <f>_xlfn.STDEV.S('R1'!L98,'R2'!L98,'R3'!L98)</f>
        <v>6.2476573306647909E-3</v>
      </c>
      <c r="L98">
        <f>_xlfn.STDEV.S('R1'!M98,'R2'!M98,'R3'!M98)</f>
        <v>2.3798489440176808E-3</v>
      </c>
      <c r="M98">
        <f>_xlfn.STDEV.S('R1'!N98,'R2'!N98,'R3'!N98)</f>
        <v>3.6781266148200749E-3</v>
      </c>
      <c r="N98">
        <f>_xlfn.STDEV.S('R1'!O98,'R2'!O98,'R3'!O98)</f>
        <v>8.3303822366428612E-4</v>
      </c>
    </row>
    <row r="99" spans="1:14" x14ac:dyDescent="0.25">
      <c r="A99">
        <f>-'R1'!H99</f>
        <v>28</v>
      </c>
      <c r="B99">
        <f>DEGREES(ATAN(-SIN(RADIANS(('R1'!I99)))/(COS(RADIANS(Sheet1!A99))*COS(RADIANS('R1'!I99)))))</f>
        <v>26.759647654377044</v>
      </c>
      <c r="C99">
        <f>AVERAGE('R1'!J99,'R2'!J99,'R3'!J99)</f>
        <v>1.1633333333333331</v>
      </c>
      <c r="D99">
        <f>AVERAGE('R1'!K99,'R2'!K99,'R3'!K99)</f>
        <v>22.028884000000001</v>
      </c>
      <c r="E99">
        <f>AVERAGE('R1'!L99,'R2'!L99,'R3'!L99)</f>
        <v>1.2010046430856365</v>
      </c>
      <c r="F99">
        <f>AVERAGE('R1'!M99,'R2'!M99,'R3'!M99)</f>
        <v>-1.5645913599314849</v>
      </c>
      <c r="G99">
        <f>AVERAGE('R1'!N99,'R2'!N99,'R3'!N99)</f>
        <v>-0.64243120989319247</v>
      </c>
      <c r="H99">
        <f>AVERAGE('R1'!O99,'R2'!O99,'R3'!O99)</f>
        <v>-0.52803385448991247</v>
      </c>
      <c r="I99">
        <f t="shared" si="5"/>
        <v>4271.1558422222224</v>
      </c>
      <c r="K99">
        <f>_xlfn.STDEV.S('R1'!L99,'R2'!L99,'R3'!L99)</f>
        <v>5.0503698676129206E-3</v>
      </c>
      <c r="L99">
        <f>_xlfn.STDEV.S('R1'!M99,'R2'!M99,'R3'!M99)</f>
        <v>4.237466888661303E-3</v>
      </c>
      <c r="M99">
        <f>_xlfn.STDEV.S('R1'!N99,'R2'!N99,'R3'!N99)</f>
        <v>6.1958583583698931E-3</v>
      </c>
      <c r="N99">
        <f>_xlfn.STDEV.S('R1'!O99,'R2'!O99,'R3'!O99)</f>
        <v>3.2083504095138989E-3</v>
      </c>
    </row>
    <row r="100" spans="1:14" x14ac:dyDescent="0.25">
      <c r="A100">
        <f>-'R1'!H100</f>
        <v>28</v>
      </c>
      <c r="B100">
        <f>DEGREES(ATAN(-SIN(RADIANS(('R1'!I100)))/(COS(RADIANS(Sheet1!A100))*COS(RADIANS('R1'!I100)))))</f>
        <v>22.402523646885253</v>
      </c>
      <c r="C100">
        <f>AVERAGE('R1'!J100,'R2'!J100,'R3'!J100)</f>
        <v>1.1633333333333331</v>
      </c>
      <c r="D100">
        <f>AVERAGE('R1'!K100,'R2'!K100,'R3'!K100)</f>
        <v>21.775575083333333</v>
      </c>
      <c r="E100">
        <f>AVERAGE('R1'!L100,'R2'!L100,'R3'!L100)</f>
        <v>1.042067377991778</v>
      </c>
      <c r="F100">
        <f>AVERAGE('R1'!M100,'R2'!M100,'R3'!M100)</f>
        <v>-1.602389925822445</v>
      </c>
      <c r="G100">
        <f>AVERAGE('R1'!N100,'R2'!N100,'R3'!N100)</f>
        <v>-0.599367232301519</v>
      </c>
      <c r="H100">
        <f>AVERAGE('R1'!O100,'R2'!O100,'R3'!O100)</f>
        <v>-0.41931197603260911</v>
      </c>
      <c r="I100">
        <f t="shared" si="5"/>
        <v>4222.0420578240737</v>
      </c>
      <c r="K100">
        <f>_xlfn.STDEV.S('R1'!L100,'R2'!L100,'R3'!L100)</f>
        <v>1.4267669623050378E-3</v>
      </c>
      <c r="L100">
        <f>_xlfn.STDEV.S('R1'!M100,'R2'!M100,'R3'!M100)</f>
        <v>6.8492419086302421E-3</v>
      </c>
      <c r="M100">
        <f>_xlfn.STDEV.S('R1'!N100,'R2'!N100,'R3'!N100)</f>
        <v>4.1131897952836217E-3</v>
      </c>
      <c r="N100">
        <f>_xlfn.STDEV.S('R1'!O100,'R2'!O100,'R3'!O100)</f>
        <v>3.5961134112265721E-3</v>
      </c>
    </row>
    <row r="101" spans="1:14" x14ac:dyDescent="0.25">
      <c r="A101">
        <f>-'R1'!H101</f>
        <v>28</v>
      </c>
      <c r="B101">
        <f>DEGREES(ATAN(-SIN(RADIANS(('R1'!I101)))/(COS(RADIANS(Sheet1!A101))*COS(RADIANS('R1'!I101)))))</f>
        <v>17.991683837765329</v>
      </c>
      <c r="C101">
        <f>AVERAGE('R1'!J101,'R2'!J101,'R3'!J101)</f>
        <v>1.1633333333333331</v>
      </c>
      <c r="D101">
        <f>AVERAGE('R1'!K101,'R2'!K101,'R3'!K101)</f>
        <v>21.683782166666671</v>
      </c>
      <c r="E101">
        <f>AVERAGE('R1'!L101,'R2'!L101,'R3'!L101)</f>
        <v>0.84953208491821586</v>
      </c>
      <c r="F101">
        <f>AVERAGE('R1'!M101,'R2'!M101,'R3'!M101)</f>
        <v>-1.661187357266418</v>
      </c>
      <c r="G101">
        <f>AVERAGE('R1'!N101,'R2'!N101,'R3'!N101)</f>
        <v>-0.56284247514822983</v>
      </c>
      <c r="H101">
        <f>AVERAGE('R1'!O101,'R2'!O101,'R3'!O101)</f>
        <v>-0.31998102976119991</v>
      </c>
      <c r="I101">
        <f t="shared" si="5"/>
        <v>4204.2444312037042</v>
      </c>
      <c r="K101">
        <f>_xlfn.STDEV.S('R1'!L101,'R2'!L101,'R3'!L101)</f>
        <v>3.5808756484530203E-3</v>
      </c>
      <c r="L101">
        <f>_xlfn.STDEV.S('R1'!M101,'R2'!M101,'R3'!M101)</f>
        <v>1.0363739864874388E-3</v>
      </c>
      <c r="M101">
        <f>_xlfn.STDEV.S('R1'!N101,'R2'!N101,'R3'!N101)</f>
        <v>4.8899069339154548E-4</v>
      </c>
      <c r="N101">
        <f>_xlfn.STDEV.S('R1'!O101,'R2'!O101,'R3'!O101)</f>
        <v>4.1823947941833231E-3</v>
      </c>
    </row>
    <row r="102" spans="1:14" x14ac:dyDescent="0.25">
      <c r="A102">
        <f>-'R1'!H102</f>
        <v>28</v>
      </c>
      <c r="B102">
        <f>DEGREES(ATAN(-SIN(RADIANS(('R1'!I102)))/(COS(RADIANS(Sheet1!A102))*COS(RADIANS('R1'!I102)))))</f>
        <v>13.535556072482301</v>
      </c>
      <c r="C102">
        <f>AVERAGE('R1'!J102,'R2'!J102,'R3'!J102)</f>
        <v>1.1633333333333331</v>
      </c>
      <c r="D102">
        <f>AVERAGE('R1'!K102,'R2'!K102,'R3'!K102)</f>
        <v>22.146959583333331</v>
      </c>
      <c r="E102">
        <f>AVERAGE('R1'!L102,'R2'!L102,'R3'!L102)</f>
        <v>0.63973696141560932</v>
      </c>
      <c r="F102">
        <f>AVERAGE('R1'!M102,'R2'!M102,'R3'!M102)</f>
        <v>-1.7427602811322618</v>
      </c>
      <c r="G102">
        <f>AVERAGE('R1'!N102,'R2'!N102,'R3'!N102)</f>
        <v>-0.5476821922579671</v>
      </c>
      <c r="H102">
        <f>AVERAGE('R1'!O102,'R2'!O102,'R3'!O102)</f>
        <v>-0.2346638701166982</v>
      </c>
      <c r="I102">
        <f t="shared" si="5"/>
        <v>4294.0493858796281</v>
      </c>
      <c r="K102">
        <f>_xlfn.STDEV.S('R1'!L102,'R2'!L102,'R3'!L102)</f>
        <v>2.7013562483096808E-3</v>
      </c>
      <c r="L102">
        <f>_xlfn.STDEV.S('R1'!M102,'R2'!M102,'R3'!M102)</f>
        <v>8.7166291662614352E-3</v>
      </c>
      <c r="M102">
        <f>_xlfn.STDEV.S('R1'!N102,'R2'!N102,'R3'!N102)</f>
        <v>5.9065579408304246E-3</v>
      </c>
      <c r="N102">
        <f>_xlfn.STDEV.S('R1'!O102,'R2'!O102,'R3'!O102)</f>
        <v>5.4139687961375681E-3</v>
      </c>
    </row>
    <row r="103" spans="1:14" x14ac:dyDescent="0.25">
      <c r="A103">
        <f>-'R1'!H103</f>
        <v>28</v>
      </c>
      <c r="B103">
        <f>DEGREES(ATAN(-SIN(RADIANS(('R1'!I103)))/(COS(RADIANS(Sheet1!A103))*COS(RADIANS('R1'!I103)))))</f>
        <v>9.0440332369115684</v>
      </c>
      <c r="C103">
        <f>AVERAGE('R1'!J103,'R2'!J103,'R3'!J103)</f>
        <v>1.1633333333333331</v>
      </c>
      <c r="D103">
        <f>AVERAGE('R1'!K103,'R2'!K103,'R3'!K103)</f>
        <v>22.796052833333334</v>
      </c>
      <c r="E103">
        <f>AVERAGE('R1'!L103,'R2'!L103,'R3'!L103)</f>
        <v>0.39770721498821421</v>
      </c>
      <c r="F103">
        <f>AVERAGE('R1'!M103,'R2'!M103,'R3'!M103)</f>
        <v>-1.8444173842265392</v>
      </c>
      <c r="G103">
        <f>AVERAGE('R1'!N103,'R2'!N103,'R3'!N103)</f>
        <v>-0.54725729328198214</v>
      </c>
      <c r="H103">
        <f>AVERAGE('R1'!O103,'R2'!O103,'R3'!O103)</f>
        <v>-0.15800132020038651</v>
      </c>
      <c r="I103">
        <f t="shared" si="5"/>
        <v>4419.9013549074061</v>
      </c>
      <c r="K103">
        <f>_xlfn.STDEV.S('R1'!L103,'R2'!L103,'R3'!L103)</f>
        <v>2.6551136317332648E-3</v>
      </c>
      <c r="L103">
        <f>_xlfn.STDEV.S('R1'!M103,'R2'!M103,'R3'!M103)</f>
        <v>6.4230655763350165E-3</v>
      </c>
      <c r="M103">
        <f>_xlfn.STDEV.S('R1'!N103,'R2'!N103,'R3'!N103)</f>
        <v>4.6809477661572197E-3</v>
      </c>
      <c r="N103">
        <f>_xlfn.STDEV.S('R1'!O103,'R2'!O103,'R3'!O103)</f>
        <v>4.3952711824957764E-3</v>
      </c>
    </row>
    <row r="104" spans="1:14" x14ac:dyDescent="0.25">
      <c r="A104">
        <f>-'R1'!H104</f>
        <v>28</v>
      </c>
      <c r="B104">
        <f>DEGREES(ATAN(-SIN(RADIANS(('R1'!I104)))/(COS(RADIANS(Sheet1!A104))*COS(RADIANS('R1'!I104)))))</f>
        <v>4.5282031595057557</v>
      </c>
      <c r="C104">
        <f>AVERAGE('R1'!J104,'R2'!J104,'R3'!J104)</f>
        <v>1.1633333333333331</v>
      </c>
      <c r="D104">
        <f>AVERAGE('R1'!K104,'R2'!K104,'R3'!K104)</f>
        <v>23.366098583333329</v>
      </c>
      <c r="E104">
        <f>AVERAGE('R1'!L104,'R2'!L104,'R3'!L104)</f>
        <v>0.12053758374321322</v>
      </c>
      <c r="F104">
        <f>AVERAGE('R1'!M104,'R2'!M104,'R3'!M104)</f>
        <v>-1.9750108538411946</v>
      </c>
      <c r="G104">
        <f>AVERAGE('R1'!N104,'R2'!N104,'R3'!N104)</f>
        <v>-0.57063980871173159</v>
      </c>
      <c r="H104">
        <f>AVERAGE('R1'!O104,'R2'!O104,'R3'!O104)</f>
        <v>-8.4690999425438784E-2</v>
      </c>
      <c r="I104">
        <f t="shared" si="5"/>
        <v>4530.4268919907399</v>
      </c>
      <c r="K104">
        <f>_xlfn.STDEV.S('R1'!L104,'R2'!L104,'R3'!L104)</f>
        <v>6.6055081232729027E-3</v>
      </c>
      <c r="L104">
        <f>_xlfn.STDEV.S('R1'!M104,'R2'!M104,'R3'!M104)</f>
        <v>9.7677617088740235E-3</v>
      </c>
      <c r="M104">
        <f>_xlfn.STDEV.S('R1'!N104,'R2'!N104,'R3'!N104)</f>
        <v>3.9363145487740997E-3</v>
      </c>
      <c r="N104">
        <f>_xlfn.STDEV.S('R1'!O104,'R2'!O104,'R3'!O104)</f>
        <v>3.4767812369603103E-3</v>
      </c>
    </row>
    <row r="105" spans="1:14" x14ac:dyDescent="0.25">
      <c r="A105">
        <f>-'R1'!H105</f>
        <v>28</v>
      </c>
      <c r="B105">
        <f>DEGREES(ATAN(-SIN(RADIANS(('R1'!I105)))/(COS(RADIANS(Sheet1!A105))*COS(RADIANS('R1'!I105)))))</f>
        <v>0</v>
      </c>
      <c r="C105">
        <f>AVERAGE('R1'!J105,'R2'!J105,'R3'!J105)</f>
        <v>1.1633333333333331</v>
      </c>
      <c r="D105">
        <f>AVERAGE('R1'!K105,'R2'!K105,'R3'!K105)</f>
        <v>23.557514749999996</v>
      </c>
      <c r="E105">
        <f>AVERAGE('R1'!L105,'R2'!L105,'R3'!L105)</f>
        <v>-0.18345437458553823</v>
      </c>
      <c r="F105">
        <f>AVERAGE('R1'!M105,'R2'!M105,'R3'!M105)</f>
        <v>-1.9315266629843322</v>
      </c>
      <c r="G105">
        <f>AVERAGE('R1'!N105,'R2'!N105,'R3'!N105)</f>
        <v>-0.55144198083264928</v>
      </c>
      <c r="H105">
        <f>AVERAGE('R1'!O105,'R2'!O105,'R3'!O105)</f>
        <v>-9.211135677380948E-2</v>
      </c>
      <c r="I105">
        <f t="shared" si="5"/>
        <v>4567.5403598611092</v>
      </c>
      <c r="K105">
        <f>_xlfn.STDEV.S('R1'!L105,'R2'!L105,'R3'!L105)</f>
        <v>1.9368925075586771E-3</v>
      </c>
      <c r="L105">
        <f>_xlfn.STDEV.S('R1'!M105,'R2'!M105,'R3'!M105)</f>
        <v>3.3798007793489002E-3</v>
      </c>
      <c r="M105">
        <f>_xlfn.STDEV.S('R1'!N105,'R2'!N105,'R3'!N105)</f>
        <v>4.120725302615813E-3</v>
      </c>
      <c r="N105">
        <f>_xlfn.STDEV.S('R1'!O105,'R2'!O105,'R3'!O105)</f>
        <v>1.3395365824607284E-3</v>
      </c>
    </row>
    <row r="106" spans="1:14" x14ac:dyDescent="0.25">
      <c r="A106">
        <f>-'R1'!H106</f>
        <v>28</v>
      </c>
      <c r="B106">
        <f>DEGREES(ATAN(-SIN(RADIANS(('R1'!I106)))/(COS(RADIANS(Sheet1!A106))*COS(RADIANS('R1'!I106)))))</f>
        <v>-4.5282031595057557</v>
      </c>
      <c r="C106">
        <f>AVERAGE('R1'!J106,'R2'!J106,'R3'!J106)</f>
        <v>1.1633333333333331</v>
      </c>
      <c r="D106">
        <f>AVERAGE('R1'!K106,'R2'!K106,'R3'!K106)</f>
        <v>23.538399333333331</v>
      </c>
      <c r="E106">
        <f>AVERAGE('R1'!L106,'R2'!L106,'R3'!L106)</f>
        <v>-0.45951179163480355</v>
      </c>
      <c r="F106">
        <f>AVERAGE('R1'!M106,'R2'!M106,'R3'!M106)</f>
        <v>-1.786410905079</v>
      </c>
      <c r="G106">
        <f>AVERAGE('R1'!N106,'R2'!N106,'R3'!N106)</f>
        <v>-0.51544054598890365</v>
      </c>
      <c r="H106">
        <f>AVERAGE('R1'!O106,'R2'!O106,'R3'!O106)</f>
        <v>-0.16111265097698282</v>
      </c>
      <c r="I106">
        <f t="shared" si="5"/>
        <v>4563.8340929629612</v>
      </c>
      <c r="K106">
        <f>_xlfn.STDEV.S('R1'!L106,'R2'!L106,'R3'!L106)</f>
        <v>5.7942505327088925E-3</v>
      </c>
      <c r="L106">
        <f>_xlfn.STDEV.S('R1'!M106,'R2'!M106,'R3'!M106)</f>
        <v>4.9391246681059018E-3</v>
      </c>
      <c r="M106">
        <f>_xlfn.STDEV.S('R1'!N106,'R2'!N106,'R3'!N106)</f>
        <v>2.8858433175809137E-3</v>
      </c>
      <c r="N106">
        <f>_xlfn.STDEV.S('R1'!O106,'R2'!O106,'R3'!O106)</f>
        <v>5.2233675357981867E-3</v>
      </c>
    </row>
    <row r="107" spans="1:14" x14ac:dyDescent="0.25">
      <c r="A107">
        <f>-'R1'!H107</f>
        <v>28</v>
      </c>
      <c r="B107">
        <f>DEGREES(ATAN(-SIN(RADIANS(('R1'!I107)))/(COS(RADIANS(Sheet1!A107))*COS(RADIANS('R1'!I107)))))</f>
        <v>-9.0440332369115684</v>
      </c>
      <c r="C107">
        <f>AVERAGE('R1'!J107,'R2'!J107,'R3'!J107)</f>
        <v>1.1633333333333331</v>
      </c>
      <c r="D107">
        <f>AVERAGE('R1'!K107,'R2'!K107,'R3'!K107)</f>
        <v>22.718033166666668</v>
      </c>
      <c r="E107">
        <f>AVERAGE('R1'!L107,'R2'!L107,'R3'!L107)</f>
        <v>-0.69042944420935448</v>
      </c>
      <c r="F107">
        <f>AVERAGE('R1'!M107,'R2'!M107,'R3'!M107)</f>
        <v>-1.6761558530592933</v>
      </c>
      <c r="G107">
        <f>AVERAGE('R1'!N107,'R2'!N107,'R3'!N107)</f>
        <v>-0.508037570419694</v>
      </c>
      <c r="H107">
        <f>AVERAGE('R1'!O107,'R2'!O107,'R3'!O107)</f>
        <v>-0.22509652996664306</v>
      </c>
      <c r="I107">
        <f t="shared" si="5"/>
        <v>4404.7742084259253</v>
      </c>
      <c r="K107">
        <f>_xlfn.STDEV.S('R1'!L107,'R2'!L107,'R3'!L107)</f>
        <v>1.5671188930004786E-3</v>
      </c>
      <c r="L107">
        <f>_xlfn.STDEV.S('R1'!M107,'R2'!M107,'R3'!M107)</f>
        <v>3.1630096767465013E-3</v>
      </c>
      <c r="M107">
        <f>_xlfn.STDEV.S('R1'!N107,'R2'!N107,'R3'!N107)</f>
        <v>2.6818904891213894E-3</v>
      </c>
      <c r="N107">
        <f>_xlfn.STDEV.S('R1'!O107,'R2'!O107,'R3'!O107)</f>
        <v>2.3773595370154611E-3</v>
      </c>
    </row>
    <row r="108" spans="1:14" x14ac:dyDescent="0.25">
      <c r="A108">
        <f>-'R1'!H108</f>
        <v>28</v>
      </c>
      <c r="B108">
        <f>DEGREES(ATAN(-SIN(RADIANS(('R1'!I108)))/(COS(RADIANS(Sheet1!A108))*COS(RADIANS('R1'!I108)))))</f>
        <v>-13.535556072482301</v>
      </c>
      <c r="C108">
        <f>AVERAGE('R1'!J108,'R2'!J108,'R3'!J108)</f>
        <v>1.1633333333333331</v>
      </c>
      <c r="D108">
        <f>AVERAGE('R1'!K108,'R2'!K108,'R3'!K108)</f>
        <v>21.964299916666665</v>
      </c>
      <c r="E108">
        <f>AVERAGE('R1'!L108,'R2'!L108,'R3'!L108)</f>
        <v>-0.89584846685851582</v>
      </c>
      <c r="F108">
        <f>AVERAGE('R1'!M108,'R2'!M108,'R3'!M108)</f>
        <v>-1.5994816011485142</v>
      </c>
      <c r="G108">
        <f>AVERAGE('R1'!N108,'R2'!N108,'R3'!N108)</f>
        <v>-0.5278173546157422</v>
      </c>
      <c r="H108">
        <f>AVERAGE('R1'!O108,'R2'!O108,'R3'!O108)</f>
        <v>-0.29386419632668831</v>
      </c>
      <c r="I108">
        <f t="shared" si="5"/>
        <v>4258.6337060648139</v>
      </c>
      <c r="K108">
        <f>_xlfn.STDEV.S('R1'!L108,'R2'!L108,'R3'!L108)</f>
        <v>1.2064986877108168E-3</v>
      </c>
      <c r="L108">
        <f>_xlfn.STDEV.S('R1'!M108,'R2'!M108,'R3'!M108)</f>
        <v>2.6571266180257188E-3</v>
      </c>
      <c r="M108">
        <f>_xlfn.STDEV.S('R1'!N108,'R2'!N108,'R3'!N108)</f>
        <v>2.7648169930421106E-3</v>
      </c>
      <c r="N108">
        <f>_xlfn.STDEV.S('R1'!O108,'R2'!O108,'R3'!O108)</f>
        <v>3.3446822061268117E-3</v>
      </c>
    </row>
    <row r="109" spans="1:14" x14ac:dyDescent="0.25">
      <c r="A109">
        <f>-'R1'!H109</f>
        <v>28</v>
      </c>
      <c r="B109">
        <f>DEGREES(ATAN(-SIN(RADIANS(('R1'!I109)))/(COS(RADIANS(Sheet1!A109))*COS(RADIANS('R1'!I109)))))</f>
        <v>-17.991683837765329</v>
      </c>
      <c r="C109">
        <f>AVERAGE('R1'!J109,'R2'!J109,'R3'!J109)</f>
        <v>1.1633333333333331</v>
      </c>
      <c r="D109">
        <f>AVERAGE('R1'!K109,'R2'!K109,'R3'!K109)</f>
        <v>21.618722416666667</v>
      </c>
      <c r="E109">
        <f>AVERAGE('R1'!L109,'R2'!L109,'R3'!L109)</f>
        <v>-1.1047409563390267</v>
      </c>
      <c r="F109">
        <f>AVERAGE('R1'!M109,'R2'!M109,'R3'!M109)</f>
        <v>-1.5550479706528655</v>
      </c>
      <c r="G109">
        <f>AVERAGE('R1'!N109,'R2'!N109,'R3'!N109)</f>
        <v>-0.58631174803889696</v>
      </c>
      <c r="H109">
        <f>AVERAGE('R1'!O109,'R2'!O109,'R3'!O109)</f>
        <v>-0.3735554065434874</v>
      </c>
      <c r="I109">
        <f t="shared" si="5"/>
        <v>4191.6300685648139</v>
      </c>
      <c r="K109">
        <f>_xlfn.STDEV.S('R1'!L109,'R2'!L109,'R3'!L109)</f>
        <v>2.482884376032802E-3</v>
      </c>
      <c r="L109">
        <f>_xlfn.STDEV.S('R1'!M109,'R2'!M109,'R3'!M109)</f>
        <v>2.8749158623638531E-3</v>
      </c>
      <c r="M109">
        <f>_xlfn.STDEV.S('R1'!N109,'R2'!N109,'R3'!N109)</f>
        <v>2.915635732666815E-3</v>
      </c>
      <c r="N109">
        <f>_xlfn.STDEV.S('R1'!O109,'R2'!O109,'R3'!O109)</f>
        <v>2.7017159975798151E-3</v>
      </c>
    </row>
    <row r="110" spans="1:14" x14ac:dyDescent="0.25">
      <c r="A110">
        <f>-'R1'!H110</f>
        <v>28</v>
      </c>
      <c r="B110">
        <f>DEGREES(ATAN(-SIN(RADIANS(('R1'!I110)))/(COS(RADIANS(Sheet1!A110))*COS(RADIANS('R1'!I110)))))</f>
        <v>-22.402523646885253</v>
      </c>
      <c r="C110">
        <f>AVERAGE('R1'!J110,'R2'!J110,'R3'!J110)</f>
        <v>1.1633333333333331</v>
      </c>
      <c r="D110">
        <f>AVERAGE('R1'!K110,'R2'!K110,'R3'!K110)</f>
        <v>21.772834</v>
      </c>
      <c r="E110">
        <f>AVERAGE('R1'!L110,'R2'!L110,'R3'!L110)</f>
        <v>-1.3034088072933596</v>
      </c>
      <c r="F110">
        <f>AVERAGE('R1'!M110,'R2'!M110,'R3'!M110)</f>
        <v>-1.5642026460195815</v>
      </c>
      <c r="G110">
        <f>AVERAGE('R1'!N110,'R2'!N110,'R3'!N110)</f>
        <v>-0.68420409625902845</v>
      </c>
      <c r="H110">
        <f>AVERAGE('R1'!O110,'R2'!O110,'R3'!O110)</f>
        <v>-0.48292780329107149</v>
      </c>
      <c r="I110">
        <f t="shared" si="5"/>
        <v>4221.510592222221</v>
      </c>
      <c r="K110">
        <f>_xlfn.STDEV.S('R1'!L110,'R2'!L110,'R3'!L110)</f>
        <v>6.4455806793541712E-3</v>
      </c>
      <c r="L110">
        <f>_xlfn.STDEV.S('R1'!M110,'R2'!M110,'R3'!M110)</f>
        <v>4.8100820912450794E-3</v>
      </c>
      <c r="M110">
        <f>_xlfn.STDEV.S('R1'!N110,'R2'!N110,'R3'!N110)</f>
        <v>5.1948395683998816E-3</v>
      </c>
      <c r="N110">
        <f>_xlfn.STDEV.S('R1'!O110,'R2'!O110,'R3'!O110)</f>
        <v>8.5790733151723617E-3</v>
      </c>
    </row>
    <row r="111" spans="1:14" x14ac:dyDescent="0.25">
      <c r="A111">
        <f>-'R1'!H111</f>
        <v>28</v>
      </c>
      <c r="B111">
        <f>DEGREES(ATAN(-SIN(RADIANS(('R1'!I111)))/(COS(RADIANS(Sheet1!A111))*COS(RADIANS('R1'!I111)))))</f>
        <v>-26.759647654377044</v>
      </c>
      <c r="C111">
        <f>AVERAGE('R1'!J111,'R2'!J111,'R3'!J111)</f>
        <v>1.1633333333333331</v>
      </c>
      <c r="D111">
        <f>AVERAGE('R1'!K111,'R2'!K111,'R3'!K111)</f>
        <v>22.371060583333332</v>
      </c>
      <c r="E111">
        <f>AVERAGE('R1'!L111,'R2'!L111,'R3'!L111)</f>
        <v>-1.4860251690518114</v>
      </c>
      <c r="F111">
        <f>AVERAGE('R1'!M111,'R2'!M111,'R3'!M111)</f>
        <v>-1.618460608730097</v>
      </c>
      <c r="G111">
        <f>AVERAGE('R1'!N111,'R2'!N111,'R3'!N111)</f>
        <v>-0.8068669919016348</v>
      </c>
      <c r="H111">
        <f>AVERAGE('R1'!O111,'R2'!O111,'R3'!O111)</f>
        <v>-0.62161599994779237</v>
      </c>
      <c r="I111">
        <f t="shared" si="5"/>
        <v>4337.500079768517</v>
      </c>
      <c r="K111">
        <f>_xlfn.STDEV.S('R1'!L111,'R2'!L111,'R3'!L111)</f>
        <v>1.3052079667839132E-3</v>
      </c>
      <c r="L111">
        <f>_xlfn.STDEV.S('R1'!M111,'R2'!M111,'R3'!M111)</f>
        <v>2.8905870588500616E-3</v>
      </c>
      <c r="M111">
        <f>_xlfn.STDEV.S('R1'!N111,'R2'!N111,'R3'!N111)</f>
        <v>1.3255015875364708E-3</v>
      </c>
      <c r="N111">
        <f>_xlfn.STDEV.S('R1'!O111,'R2'!O111,'R3'!O111)</f>
        <v>7.7053305723858321E-3</v>
      </c>
    </row>
    <row r="112" spans="1:14" x14ac:dyDescent="0.25">
      <c r="A112">
        <f>-'R1'!H112</f>
        <v>28</v>
      </c>
      <c r="B112">
        <f>DEGREES(ATAN(-SIN(RADIANS(('R1'!I112)))/(COS(RADIANS(Sheet1!A112))*COS(RADIANS('R1'!I112)))))</f>
        <v>-31.056274317680661</v>
      </c>
      <c r="C112">
        <f>AVERAGE('R1'!J112,'R2'!J112,'R3'!J112)</f>
        <v>1.1633333333333331</v>
      </c>
      <c r="D112">
        <f>AVERAGE('R1'!K112,'R2'!K112,'R3'!K112)</f>
        <v>22.94181275</v>
      </c>
      <c r="E112">
        <f>AVERAGE('R1'!L112,'R2'!L112,'R3'!L112)</f>
        <v>-1.663606961342267</v>
      </c>
      <c r="F112">
        <f>AVERAGE('R1'!M112,'R2'!M112,'R3'!M112)</f>
        <v>-1.7004242311407973</v>
      </c>
      <c r="G112">
        <f>AVERAGE('R1'!N112,'R2'!N112,'R3'!N112)</f>
        <v>-0.95843625085245121</v>
      </c>
      <c r="H112">
        <f>AVERAGE('R1'!O112,'R2'!O112,'R3'!O112)</f>
        <v>-0.78380678528223979</v>
      </c>
      <c r="I112">
        <f t="shared" si="5"/>
        <v>4448.1625831944439</v>
      </c>
      <c r="K112">
        <f>_xlfn.STDEV.S('R1'!L112,'R2'!L112,'R3'!L112)</f>
        <v>3.9352156476181255E-3</v>
      </c>
      <c r="L112">
        <f>_xlfn.STDEV.S('R1'!M112,'R2'!M112,'R3'!M112)</f>
        <v>5.0475900797580569E-4</v>
      </c>
      <c r="M112">
        <f>_xlfn.STDEV.S('R1'!N112,'R2'!N112,'R3'!N112)</f>
        <v>1.8161262098853703E-3</v>
      </c>
      <c r="N112">
        <f>_xlfn.STDEV.S('R1'!O112,'R2'!O112,'R3'!O112)</f>
        <v>2.9319818927086255E-3</v>
      </c>
    </row>
    <row r="113" spans="1:14" x14ac:dyDescent="0.25">
      <c r="A113">
        <f>-'R1'!H113</f>
        <v>28</v>
      </c>
      <c r="B113">
        <f>DEGREES(ATAN(-SIN(RADIANS(('R1'!I113)))/(COS(RADIANS(Sheet1!A113))*COS(RADIANS('R1'!I113)))))</f>
        <v>-35.287360012327973</v>
      </c>
      <c r="C113">
        <f>AVERAGE('R1'!J113,'R2'!J113,'R3'!J113)</f>
        <v>1.1633333333333331</v>
      </c>
      <c r="D113">
        <f>AVERAGE('R1'!K113,'R2'!K113,'R3'!K113)</f>
        <v>23.465403083333332</v>
      </c>
      <c r="E113">
        <f>AVERAGE('R1'!L113,'R2'!L113,'R3'!L113)</f>
        <v>-1.8606291398636674</v>
      </c>
      <c r="F113">
        <f>AVERAGE('R1'!M113,'R2'!M113,'R3'!M113)</f>
        <v>-1.80197757860737</v>
      </c>
      <c r="G113">
        <f>AVERAGE('R1'!N113,'R2'!N113,'R3'!N113)</f>
        <v>-1.1438645382635657</v>
      </c>
      <c r="H113">
        <f>AVERAGE('R1'!O113,'R2'!O113,'R3'!O113)</f>
        <v>-0.95993044795235249</v>
      </c>
      <c r="I113">
        <f t="shared" si="5"/>
        <v>4549.6809311574061</v>
      </c>
      <c r="K113">
        <f>_xlfn.STDEV.S('R1'!L113,'R2'!L113,'R3'!L113)</f>
        <v>8.0149375998082063E-3</v>
      </c>
      <c r="L113">
        <f>_xlfn.STDEV.S('R1'!M113,'R2'!M113,'R3'!M113)</f>
        <v>9.7058554097423158E-3</v>
      </c>
      <c r="M113">
        <f>_xlfn.STDEV.S('R1'!N113,'R2'!N113,'R3'!N113)</f>
        <v>1.1775895595246492E-2</v>
      </c>
      <c r="N113">
        <f>_xlfn.STDEV.S('R1'!O113,'R2'!O113,'R3'!O113)</f>
        <v>1.8663113227570427E-3</v>
      </c>
    </row>
    <row r="114" spans="1:14" x14ac:dyDescent="0.25">
      <c r="A114">
        <f>-'R1'!H114</f>
        <v>28</v>
      </c>
      <c r="B114">
        <f>DEGREES(ATAN(-SIN(RADIANS(('R1'!I114)))/(COS(RADIANS(Sheet1!A114))*COS(RADIANS('R1'!I114)))))</f>
        <v>-39.449608335498439</v>
      </c>
      <c r="C114">
        <f>AVERAGE('R1'!J114,'R2'!J114,'R3'!J114)</f>
        <v>1.1633333333333331</v>
      </c>
      <c r="D114">
        <f>AVERAGE('R1'!K114,'R2'!K114,'R3'!K114)</f>
        <v>23.44339175</v>
      </c>
      <c r="E114">
        <f>AVERAGE('R1'!L114,'R2'!L114,'R3'!L114)</f>
        <v>-2.1027152367127377</v>
      </c>
      <c r="F114">
        <f>AVERAGE('R1'!M114,'R2'!M114,'R3'!M114)</f>
        <v>-1.955139553449686</v>
      </c>
      <c r="G114">
        <f>AVERAGE('R1'!N114,'R2'!N114,'R3'!N114)</f>
        <v>-1.4055270483876743</v>
      </c>
      <c r="H114">
        <f>AVERAGE('R1'!O114,'R2'!O114,'R3'!O114)</f>
        <v>-1.1710265298794595</v>
      </c>
      <c r="I114">
        <f t="shared" si="5"/>
        <v>4545.4131781944434</v>
      </c>
      <c r="K114">
        <f>_xlfn.STDEV.S('R1'!L114,'R2'!L114,'R3'!L114)</f>
        <v>2.8546298552940075E-3</v>
      </c>
      <c r="L114">
        <f>_xlfn.STDEV.S('R1'!M114,'R2'!M114,'R3'!M114)</f>
        <v>5.7141679296411748E-3</v>
      </c>
      <c r="M114">
        <f>_xlfn.STDEV.S('R1'!N114,'R2'!N114,'R3'!N114)</f>
        <v>5.17180285869986E-3</v>
      </c>
      <c r="N114">
        <f>_xlfn.STDEV.S('R1'!O114,'R2'!O114,'R3'!O114)</f>
        <v>5.1905142992310074E-3</v>
      </c>
    </row>
    <row r="115" spans="1:14" x14ac:dyDescent="0.25">
      <c r="A115">
        <f>-'R1'!H115</f>
        <v>28</v>
      </c>
      <c r="B115">
        <f>DEGREES(ATAN(-SIN(RADIANS(('R1'!I115)))/(COS(RADIANS(Sheet1!A115))*COS(RADIANS('R1'!I115)))))</f>
        <v>-43.541410263843531</v>
      </c>
      <c r="C115">
        <f>AVERAGE('R1'!J115,'R2'!J115,'R3'!J115)</f>
        <v>1.1633333333333331</v>
      </c>
      <c r="D115">
        <f>AVERAGE('R1'!K115,'R2'!K115,'R3'!K115)</f>
        <v>23.390492083333331</v>
      </c>
      <c r="E115">
        <f>AVERAGE('R1'!L115,'R2'!L115,'R3'!L115)</f>
        <v>-2.413066479510265</v>
      </c>
      <c r="F115">
        <f>AVERAGE('R1'!M115,'R2'!M115,'R3'!M115)</f>
        <v>-2.1700552733291256</v>
      </c>
      <c r="G115">
        <f>AVERAGE('R1'!N115,'R2'!N115,'R3'!N115)</f>
        <v>-1.7598993315540277</v>
      </c>
      <c r="H115">
        <f>AVERAGE('R1'!O115,'R2'!O115,'R3'!O115)</f>
        <v>-1.4361534011998016</v>
      </c>
      <c r="I115">
        <f t="shared" si="5"/>
        <v>4535.1565206018513</v>
      </c>
      <c r="K115">
        <f>_xlfn.STDEV.S('R1'!L115,'R2'!L115,'R3'!L115)</f>
        <v>1.3469143582924297E-2</v>
      </c>
      <c r="L115">
        <f>_xlfn.STDEV.S('R1'!M115,'R2'!M115,'R3'!M115)</f>
        <v>9.2676625773557824E-3</v>
      </c>
      <c r="M115">
        <f>_xlfn.STDEV.S('R1'!N115,'R2'!N115,'R3'!N115)</f>
        <v>1.5348717688486972E-2</v>
      </c>
      <c r="N115">
        <f>_xlfn.STDEV.S('R1'!O115,'R2'!O115,'R3'!O115)</f>
        <v>6.7975037643383295E-3</v>
      </c>
    </row>
    <row r="116" spans="1:14" x14ac:dyDescent="0.25">
      <c r="A116">
        <f>-'R1'!H116</f>
        <v>28</v>
      </c>
      <c r="B116">
        <f>DEGREES(ATAN(-SIN(RADIANS(('R1'!I116)))/(COS(RADIANS(Sheet1!A116))*COS(RADIANS('R1'!I116)))))</f>
        <v>-47.562731505879128</v>
      </c>
      <c r="C116">
        <f>AVERAGE('R1'!J116,'R2'!J116,'R3'!J116)</f>
        <v>1.1633333333333331</v>
      </c>
      <c r="D116">
        <f>AVERAGE('R1'!K116,'R2'!K116,'R3'!K116)</f>
        <v>22.595514166666664</v>
      </c>
      <c r="E116">
        <f>AVERAGE('R1'!L116,'R2'!L116,'R3'!L116)</f>
        <v>-2.7841860375425704</v>
      </c>
      <c r="F116">
        <f>AVERAGE('R1'!M116,'R2'!M116,'R3'!M116)</f>
        <v>-2.4382863709083105</v>
      </c>
      <c r="G116">
        <f>AVERAGE('R1'!N116,'R2'!N116,'R3'!N116)</f>
        <v>-2.2126645956106876</v>
      </c>
      <c r="H116">
        <f>AVERAGE('R1'!O116,'R2'!O116,'R3'!O116)</f>
        <v>-1.7575157127438745</v>
      </c>
      <c r="I116">
        <f t="shared" si="5"/>
        <v>4381.0191356481473</v>
      </c>
      <c r="K116">
        <f>_xlfn.STDEV.S('R1'!L116,'R2'!L116,'R3'!L116)</f>
        <v>7.9762201470952587E-3</v>
      </c>
      <c r="L116">
        <f>_xlfn.STDEV.S('R1'!M116,'R2'!M116,'R3'!M116)</f>
        <v>6.2578158967478382E-3</v>
      </c>
      <c r="M116">
        <f>_xlfn.STDEV.S('R1'!N116,'R2'!N116,'R3'!N116)</f>
        <v>8.5725033493691694E-3</v>
      </c>
      <c r="N116">
        <f>_xlfn.STDEV.S('R1'!O116,'R2'!O116,'R3'!O116)</f>
        <v>6.5892710706767135E-3</v>
      </c>
    </row>
    <row r="117" spans="1:14" x14ac:dyDescent="0.25">
      <c r="A117">
        <f>-'R1'!H117</f>
        <v>24</v>
      </c>
      <c r="B117">
        <f>DEGREES(ATAN(-SIN(RADIANS(('R1'!I117)))/(COS(RADIANS(Sheet1!A117))*COS(RADIANS('R1'!I117)))))</f>
        <v>46.589384435425394</v>
      </c>
      <c r="C117">
        <f>AVERAGE('R1'!J117,'R2'!J117,'R3'!J117)</f>
        <v>1.1633333333333331</v>
      </c>
      <c r="D117">
        <f>AVERAGE('R1'!K117,'R2'!K117,'R3'!K117)</f>
        <v>21.919016416666665</v>
      </c>
      <c r="E117">
        <f>AVERAGE('R1'!L117,'R2'!L117,'R3'!L117)</f>
        <v>1.8742115162443327</v>
      </c>
      <c r="F117">
        <f>AVERAGE('R1'!M117,'R2'!M117,'R3'!M117)</f>
        <v>-1.5887195012275761</v>
      </c>
      <c r="G117">
        <f>AVERAGE('R1'!N117,'R2'!N117,'R3'!N117)</f>
        <v>-1.1096422480310812</v>
      </c>
      <c r="H117">
        <f>AVERAGE('R1'!O117,'R2'!O117,'R3'!O117)</f>
        <v>-1.1064403544397139</v>
      </c>
      <c r="I117">
        <f t="shared" si="5"/>
        <v>4249.8537385648142</v>
      </c>
      <c r="K117">
        <f>_xlfn.STDEV.S('R1'!L117,'R2'!L117,'R3'!L117)</f>
        <v>3.7232314503536259E-3</v>
      </c>
      <c r="L117">
        <f>_xlfn.STDEV.S('R1'!M117,'R2'!M117,'R3'!M117)</f>
        <v>2.0658594657450139E-3</v>
      </c>
      <c r="M117">
        <f>_xlfn.STDEV.S('R1'!N117,'R2'!N117,'R3'!N117)</f>
        <v>2.8832307377585319E-3</v>
      </c>
      <c r="N117">
        <f>_xlfn.STDEV.S('R1'!O117,'R2'!O117,'R3'!O117)</f>
        <v>3.8062851976447768E-3</v>
      </c>
    </row>
    <row r="118" spans="1:14" x14ac:dyDescent="0.25">
      <c r="A118">
        <f>-'R1'!H118</f>
        <v>24</v>
      </c>
      <c r="B118">
        <f>DEGREES(ATAN(-SIN(RADIANS(('R1'!I118)))/(COS(RADIANS(Sheet1!A118))*COS(RADIANS('R1'!I118)))))</f>
        <v>42.567751063132313</v>
      </c>
      <c r="C118">
        <f>AVERAGE('R1'!J118,'R2'!J118,'R3'!J118)</f>
        <v>1.1633333333333331</v>
      </c>
      <c r="D118">
        <f>AVERAGE('R1'!K118,'R2'!K118,'R3'!K118)</f>
        <v>21.687520833333334</v>
      </c>
      <c r="E118">
        <f>AVERAGE('R1'!L118,'R2'!L118,'R3'!L118)</f>
        <v>1.7414427328333764</v>
      </c>
      <c r="F118">
        <f>AVERAGE('R1'!M118,'R2'!M118,'R3'!M118)</f>
        <v>-1.5016172156924956</v>
      </c>
      <c r="G118">
        <f>AVERAGE('R1'!N118,'R2'!N118,'R3'!N118)</f>
        <v>-0.94222530042484343</v>
      </c>
      <c r="H118">
        <f>AVERAGE('R1'!O118,'R2'!O118,'R3'!O118)</f>
        <v>-0.94848694566773251</v>
      </c>
      <c r="I118">
        <f t="shared" si="5"/>
        <v>4204.9693171296294</v>
      </c>
      <c r="K118">
        <f>_xlfn.STDEV.S('R1'!L118,'R2'!L118,'R3'!L118)</f>
        <v>2.6348798550133563E-3</v>
      </c>
      <c r="L118">
        <f>_xlfn.STDEV.S('R1'!M118,'R2'!M118,'R3'!M118)</f>
        <v>3.5550177656459088E-3</v>
      </c>
      <c r="M118">
        <f>_xlfn.STDEV.S('R1'!N118,'R2'!N118,'R3'!N118)</f>
        <v>5.295167527392966E-3</v>
      </c>
      <c r="N118">
        <f>_xlfn.STDEV.S('R1'!O118,'R2'!O118,'R3'!O118)</f>
        <v>1.7887672649027344E-3</v>
      </c>
    </row>
    <row r="119" spans="1:14" x14ac:dyDescent="0.25">
      <c r="A119">
        <f>-'R1'!H119</f>
        <v>24</v>
      </c>
      <c r="B119">
        <f>DEGREES(ATAN(-SIN(RADIANS(('R1'!I119)))/(COS(RADIANS(Sheet1!A119))*COS(RADIANS('R1'!I119)))))</f>
        <v>38.495223358359183</v>
      </c>
      <c r="C119">
        <f>AVERAGE('R1'!J119,'R2'!J119,'R3'!J119)</f>
        <v>1.1633333333333331</v>
      </c>
      <c r="D119">
        <f>AVERAGE('R1'!K119,'R2'!K119,'R3'!K119)</f>
        <v>22.109553000000002</v>
      </c>
      <c r="E119">
        <f>AVERAGE('R1'!L119,'R2'!L119,'R3'!L119)</f>
        <v>1.6216792804967073</v>
      </c>
      <c r="F119">
        <f>AVERAGE('R1'!M119,'R2'!M119,'R3'!M119)</f>
        <v>-1.4233258037204213</v>
      </c>
      <c r="G119">
        <f>AVERAGE('R1'!N119,'R2'!N119,'R3'!N119)</f>
        <v>-0.80222491524861006</v>
      </c>
      <c r="H119">
        <f>AVERAGE('R1'!O119,'R2'!O119,'R3'!O119)</f>
        <v>-0.80106983550474675</v>
      </c>
      <c r="I119">
        <f t="shared" si="5"/>
        <v>4286.7966649999998</v>
      </c>
      <c r="K119">
        <f>_xlfn.STDEV.S('R1'!L119,'R2'!L119,'R3'!L119)</f>
        <v>5.2744755542697601E-3</v>
      </c>
      <c r="L119">
        <f>_xlfn.STDEV.S('R1'!M119,'R2'!M119,'R3'!M119)</f>
        <v>8.1712924013200641E-3</v>
      </c>
      <c r="M119">
        <f>_xlfn.STDEV.S('R1'!N119,'R2'!N119,'R3'!N119)</f>
        <v>7.3718790685295956E-3</v>
      </c>
      <c r="N119">
        <f>_xlfn.STDEV.S('R1'!O119,'R2'!O119,'R3'!O119)</f>
        <v>4.5076582998241597E-3</v>
      </c>
    </row>
    <row r="120" spans="1:14" x14ac:dyDescent="0.25">
      <c r="A120">
        <f>-'R1'!H120</f>
        <v>24</v>
      </c>
      <c r="B120">
        <f>DEGREES(ATAN(-SIN(RADIANS(('R1'!I120)))/(COS(RADIANS(Sheet1!A120))*COS(RADIANS('R1'!I120)))))</f>
        <v>34.372309890771753</v>
      </c>
      <c r="C120">
        <f>AVERAGE('R1'!J120,'R2'!J120,'R3'!J120)</f>
        <v>1.1633333333333331</v>
      </c>
      <c r="D120">
        <f>AVERAGE('R1'!K120,'R2'!K120,'R3'!K120)</f>
        <v>22.737261583333336</v>
      </c>
      <c r="E120">
        <f>AVERAGE('R1'!L120,'R2'!L120,'R3'!L120)</f>
        <v>1.4987120167813117</v>
      </c>
      <c r="F120">
        <f>AVERAGE('R1'!M120,'R2'!M120,'R3'!M120)</f>
        <v>-1.3650842571219897</v>
      </c>
      <c r="G120">
        <f>AVERAGE('R1'!N120,'R2'!N120,'R3'!N120)</f>
        <v>-0.68409145470554744</v>
      </c>
      <c r="H120">
        <f>AVERAGE('R1'!O120,'R2'!O120,'R3'!O120)</f>
        <v>-0.6618423016499283</v>
      </c>
      <c r="I120">
        <f t="shared" si="5"/>
        <v>4408.5023847685179</v>
      </c>
      <c r="K120">
        <f>_xlfn.STDEV.S('R1'!L120,'R2'!L120,'R3'!L120)</f>
        <v>2.6407610250522729E-3</v>
      </c>
      <c r="L120">
        <f>_xlfn.STDEV.S('R1'!M120,'R2'!M120,'R3'!M120)</f>
        <v>3.4617871128251104E-3</v>
      </c>
      <c r="M120">
        <f>_xlfn.STDEV.S('R1'!N120,'R2'!N120,'R3'!N120)</f>
        <v>2.9519477562846091E-3</v>
      </c>
      <c r="N120">
        <f>_xlfn.STDEV.S('R1'!O120,'R2'!O120,'R3'!O120)</f>
        <v>2.7877372088462391E-3</v>
      </c>
    </row>
    <row r="121" spans="1:14" x14ac:dyDescent="0.25">
      <c r="A121">
        <f>-'R1'!H121</f>
        <v>24</v>
      </c>
      <c r="B121">
        <f>DEGREES(ATAN(-SIN(RADIANS(('R1'!I121)))/(COS(RADIANS(Sheet1!A121))*COS(RADIANS('R1'!I121)))))</f>
        <v>30.200622081370245</v>
      </c>
      <c r="C121">
        <f>AVERAGE('R1'!J121,'R2'!J121,'R3'!J121)</f>
        <v>1.1633333333333331</v>
      </c>
      <c r="D121">
        <f>AVERAGE('R1'!K121,'R2'!K121,'R3'!K121)</f>
        <v>23.28038433333333</v>
      </c>
      <c r="E121">
        <f>AVERAGE('R1'!L121,'R2'!L121,'R3'!L121)</f>
        <v>1.3501796117518172</v>
      </c>
      <c r="F121">
        <f>AVERAGE('R1'!M121,'R2'!M121,'R3'!M121)</f>
        <v>-1.361894159632514</v>
      </c>
      <c r="G121">
        <f>AVERAGE('R1'!N121,'R2'!N121,'R3'!N121)</f>
        <v>-0.59635623780606528</v>
      </c>
      <c r="H121">
        <f>AVERAGE('R1'!O121,'R2'!O121,'R3'!O121)</f>
        <v>-0.52229998694783231</v>
      </c>
      <c r="I121">
        <f t="shared" si="5"/>
        <v>4513.8078512962948</v>
      </c>
      <c r="K121">
        <f>_xlfn.STDEV.S('R1'!L121,'R2'!L121,'R3'!L121)</f>
        <v>4.9168542231825168E-3</v>
      </c>
      <c r="L121">
        <f>_xlfn.STDEV.S('R1'!M121,'R2'!M121,'R3'!M121)</f>
        <v>6.0401086284992541E-3</v>
      </c>
      <c r="M121">
        <f>_xlfn.STDEV.S('R1'!N121,'R2'!N121,'R3'!N121)</f>
        <v>5.8972794144381731E-3</v>
      </c>
      <c r="N121">
        <f>_xlfn.STDEV.S('R1'!O121,'R2'!O121,'R3'!O121)</f>
        <v>1.2975499112968499E-3</v>
      </c>
    </row>
    <row r="122" spans="1:14" x14ac:dyDescent="0.25">
      <c r="A122">
        <f>-'R1'!H122</f>
        <v>24</v>
      </c>
      <c r="B122">
        <f>DEGREES(ATAN(-SIN(RADIANS(('R1'!I122)))/(COS(RADIANS(Sheet1!A122))*COS(RADIANS('R1'!I122)))))</f>
        <v>25.982912809070061</v>
      </c>
      <c r="C122">
        <f>AVERAGE('R1'!J122,'R2'!J122,'R3'!J122)</f>
        <v>1.1633333333333331</v>
      </c>
      <c r="D122">
        <f>AVERAGE('R1'!K122,'R2'!K122,'R3'!K122)</f>
        <v>23.301043750000002</v>
      </c>
      <c r="E122">
        <f>AVERAGE('R1'!L122,'R2'!L122,'R3'!L122)</f>
        <v>1.1733674275746599</v>
      </c>
      <c r="F122">
        <f>AVERAGE('R1'!M122,'R2'!M122,'R3'!M122)</f>
        <v>-1.3969776887492673</v>
      </c>
      <c r="G122">
        <f>AVERAGE('R1'!N122,'R2'!N122,'R3'!N122)</f>
        <v>-0.52752160188417374</v>
      </c>
      <c r="H122">
        <f>AVERAGE('R1'!O122,'R2'!O122,'R3'!O122)</f>
        <v>-0.38146739726095391</v>
      </c>
      <c r="I122">
        <f t="shared" si="5"/>
        <v>4517.8134826388887</v>
      </c>
      <c r="K122">
        <f>_xlfn.STDEV.S('R1'!L122,'R2'!L122,'R3'!L122)</f>
        <v>6.2682185534300595E-3</v>
      </c>
      <c r="L122">
        <f>_xlfn.STDEV.S('R1'!M122,'R2'!M122,'R3'!M122)</f>
        <v>2.6095464219556713E-3</v>
      </c>
      <c r="M122">
        <f>_xlfn.STDEV.S('R1'!N122,'R2'!N122,'R3'!N122)</f>
        <v>3.4830580855704763E-3</v>
      </c>
      <c r="N122">
        <f>_xlfn.STDEV.S('R1'!O122,'R2'!O122,'R3'!O122)</f>
        <v>4.606987718132621E-3</v>
      </c>
    </row>
    <row r="123" spans="1:14" x14ac:dyDescent="0.25">
      <c r="A123">
        <f>-'R1'!H123</f>
        <v>24</v>
      </c>
      <c r="B123">
        <f>DEGREES(ATAN(-SIN(RADIANS(('R1'!I123)))/(COS(RADIANS(Sheet1!A123))*COS(RADIANS('R1'!I123)))))</f>
        <v>21.723080079379415</v>
      </c>
      <c r="C123">
        <f>AVERAGE('R1'!J123,'R2'!J123,'R3'!J123)</f>
        <v>1.1633333333333331</v>
      </c>
      <c r="D123">
        <f>AVERAGE('R1'!K123,'R2'!K123,'R3'!K123)</f>
        <v>23.377525500000001</v>
      </c>
      <c r="E123">
        <f>AVERAGE('R1'!L123,'R2'!L123,'R3'!L123)</f>
        <v>0.9912429165919866</v>
      </c>
      <c r="F123">
        <f>AVERAGE('R1'!M123,'R2'!M123,'R3'!M123)</f>
        <v>-1.4221513152267493</v>
      </c>
      <c r="G123">
        <f>AVERAGE('R1'!N123,'R2'!N123,'R3'!N123)</f>
        <v>-0.46142373058515301</v>
      </c>
      <c r="H123">
        <f>AVERAGE('R1'!O123,'R2'!O123,'R3'!O123)</f>
        <v>-0.25670036667728141</v>
      </c>
      <c r="I123">
        <f t="shared" si="5"/>
        <v>4532.6424441666659</v>
      </c>
      <c r="K123">
        <f>_xlfn.STDEV.S('R1'!L123,'R2'!L123,'R3'!L123)</f>
        <v>5.7122768289158124E-3</v>
      </c>
      <c r="L123">
        <f>_xlfn.STDEV.S('R1'!M123,'R2'!M123,'R3'!M123)</f>
        <v>4.5657914490980136E-3</v>
      </c>
      <c r="M123">
        <f>_xlfn.STDEV.S('R1'!N123,'R2'!N123,'R3'!N123)</f>
        <v>1.6427874151682597E-3</v>
      </c>
      <c r="N123">
        <f>_xlfn.STDEV.S('R1'!O123,'R2'!O123,'R3'!O123)</f>
        <v>1.2320180144078366E-3</v>
      </c>
    </row>
    <row r="124" spans="1:14" x14ac:dyDescent="0.25">
      <c r="A124">
        <f>-'R1'!H124</f>
        <v>24</v>
      </c>
      <c r="B124">
        <f>DEGREES(ATAN(-SIN(RADIANS(('R1'!I124)))/(COS(RADIANS(Sheet1!A124))*COS(RADIANS('R1'!I124)))))</f>
        <v>17.426129149372727</v>
      </c>
      <c r="C124">
        <f>AVERAGE('R1'!J124,'R2'!J124,'R3'!J124)</f>
        <v>1.1633333333333331</v>
      </c>
      <c r="D124">
        <f>AVERAGE('R1'!K124,'R2'!K124,'R3'!K124)</f>
        <v>23.042842916666661</v>
      </c>
      <c r="E124">
        <f>AVERAGE('R1'!L124,'R2'!L124,'R3'!L124)</f>
        <v>0.81032585857885575</v>
      </c>
      <c r="F124">
        <f>AVERAGE('R1'!M124,'R2'!M124,'R3'!M124)</f>
        <v>-1.4606179267146586</v>
      </c>
      <c r="G124">
        <f>AVERAGE('R1'!N124,'R2'!N124,'R3'!N124)</f>
        <v>-0.41749464708915585</v>
      </c>
      <c r="H124">
        <f>AVERAGE('R1'!O124,'R2'!O124,'R3'!O124)</f>
        <v>-0.14691127581846711</v>
      </c>
      <c r="I124">
        <f t="shared" si="5"/>
        <v>4467.7512099537016</v>
      </c>
      <c r="K124">
        <f>_xlfn.STDEV.S('R1'!L124,'R2'!L124,'R3'!L124)</f>
        <v>6.0146240967184437E-3</v>
      </c>
      <c r="L124">
        <f>_xlfn.STDEV.S('R1'!M124,'R2'!M124,'R3'!M124)</f>
        <v>4.0603832279923783E-3</v>
      </c>
      <c r="M124">
        <f>_xlfn.STDEV.S('R1'!N124,'R2'!N124,'R3'!N124)</f>
        <v>1.0143927989931872E-3</v>
      </c>
      <c r="N124">
        <f>_xlfn.STDEV.S('R1'!O124,'R2'!O124,'R3'!O124)</f>
        <v>3.6344420008615273E-3</v>
      </c>
    </row>
    <row r="125" spans="1:14" x14ac:dyDescent="0.25">
      <c r="A125">
        <f>-'R1'!H125</f>
        <v>24</v>
      </c>
      <c r="B125">
        <f>DEGREES(ATAN(-SIN(RADIANS(('R1'!I125)))/(COS(RADIANS(Sheet1!A125))*COS(RADIANS('R1'!I125)))))</f>
        <v>13.09808863151425</v>
      </c>
      <c r="C125">
        <f>AVERAGE('R1'!J125,'R2'!J125,'R3'!J125)</f>
        <v>1.1633333333333331</v>
      </c>
      <c r="D125">
        <f>AVERAGE('R1'!K125,'R2'!K125,'R3'!K125)</f>
        <v>22.389037166666668</v>
      </c>
      <c r="E125">
        <f>AVERAGE('R1'!L125,'R2'!L125,'R3'!L125)</f>
        <v>0.60210300032951902</v>
      </c>
      <c r="F125">
        <f>AVERAGE('R1'!M125,'R2'!M125,'R3'!M125)</f>
        <v>-1.5222099953217887</v>
      </c>
      <c r="G125">
        <f>AVERAGE('R1'!N125,'R2'!N125,'R3'!N125)</f>
        <v>-0.38786629843655601</v>
      </c>
      <c r="H125">
        <f>AVERAGE('R1'!O125,'R2'!O125,'R3'!O125)</f>
        <v>-5.4006354169723776E-2</v>
      </c>
      <c r="I125">
        <f t="shared" si="5"/>
        <v>4340.9855395370359</v>
      </c>
      <c r="K125">
        <f>_xlfn.STDEV.S('R1'!L125,'R2'!L125,'R3'!L125)</f>
        <v>6.423453728615472E-4</v>
      </c>
      <c r="L125">
        <f>_xlfn.STDEV.S('R1'!M125,'R2'!M125,'R3'!M125)</f>
        <v>2.9771613271467011E-3</v>
      </c>
      <c r="M125">
        <f>_xlfn.STDEV.S('R1'!N125,'R2'!N125,'R3'!N125)</f>
        <v>1.2038846532965968E-3</v>
      </c>
      <c r="N125">
        <f>_xlfn.STDEV.S('R1'!O125,'R2'!O125,'R3'!O125)</f>
        <v>5.0337513782425644E-3</v>
      </c>
    </row>
    <row r="126" spans="1:14" x14ac:dyDescent="0.25">
      <c r="A126">
        <f>-'R1'!H126</f>
        <v>24</v>
      </c>
      <c r="B126">
        <f>DEGREES(ATAN(-SIN(RADIANS(('R1'!I126)))/(COS(RADIANS(Sheet1!A126))*COS(RADIANS('R1'!I126)))))</f>
        <v>8.7458791850141893</v>
      </c>
      <c r="C126">
        <f>AVERAGE('R1'!J126,'R2'!J126,'R3'!J126)</f>
        <v>1.1633333333333331</v>
      </c>
      <c r="D126">
        <f>AVERAGE('R1'!K126,'R2'!K126,'R3'!K126)</f>
        <v>22.136725416666668</v>
      </c>
      <c r="E126">
        <f>AVERAGE('R1'!L126,'R2'!L126,'R3'!L126)</f>
        <v>0.37518352997467935</v>
      </c>
      <c r="F126">
        <f>AVERAGE('R1'!M126,'R2'!M126,'R3'!M126)</f>
        <v>-1.6024158916892957</v>
      </c>
      <c r="G126">
        <f>AVERAGE('R1'!N126,'R2'!N126,'R3'!N126)</f>
        <v>-0.37555137407193256</v>
      </c>
      <c r="H126">
        <f>AVERAGE('R1'!O126,'R2'!O126,'R3'!O126)</f>
        <v>1.9980982778398517E-2</v>
      </c>
      <c r="I126">
        <f t="shared" si="5"/>
        <v>4292.0650946759251</v>
      </c>
      <c r="K126">
        <f>_xlfn.STDEV.S('R1'!L126,'R2'!L126,'R3'!L126)</f>
        <v>2.8968588338903417E-3</v>
      </c>
      <c r="L126">
        <f>_xlfn.STDEV.S('R1'!M126,'R2'!M126,'R3'!M126)</f>
        <v>2.542163114639763E-3</v>
      </c>
      <c r="M126">
        <f>_xlfn.STDEV.S('R1'!N126,'R2'!N126,'R3'!N126)</f>
        <v>1.3643502964766684E-3</v>
      </c>
      <c r="N126">
        <f>_xlfn.STDEV.S('R1'!O126,'R2'!O126,'R3'!O126)</f>
        <v>1.5642673409370124E-3</v>
      </c>
    </row>
    <row r="127" spans="1:14" x14ac:dyDescent="0.25">
      <c r="A127">
        <f>-'R1'!H127</f>
        <v>24</v>
      </c>
      <c r="B127">
        <f>DEGREES(ATAN(-SIN(RADIANS(('R1'!I127)))/(COS(RADIANS(Sheet1!A127))*COS(RADIANS('R1'!I127)))))</f>
        <v>4.3771372039965373</v>
      </c>
      <c r="C127">
        <f>AVERAGE('R1'!J127,'R2'!J127,'R3'!J127)</f>
        <v>1.1633333333333331</v>
      </c>
      <c r="D127">
        <f>AVERAGE('R1'!K127,'R2'!K127,'R3'!K127)</f>
        <v>21.854160416666662</v>
      </c>
      <c r="E127">
        <f>AVERAGE('R1'!L127,'R2'!L127,'R3'!L127)</f>
        <v>0.12114532088337615</v>
      </c>
      <c r="F127">
        <f>AVERAGE('R1'!M127,'R2'!M127,'R3'!M127)</f>
        <v>-1.695223277947058</v>
      </c>
      <c r="G127">
        <f>AVERAGE('R1'!N127,'R2'!N127,'R3'!N127)</f>
        <v>-0.37894372567946671</v>
      </c>
      <c r="H127">
        <f>AVERAGE('R1'!O127,'R2'!O127,'R3'!O127)</f>
        <v>0.10029429826110914</v>
      </c>
      <c r="I127">
        <f t="shared" si="5"/>
        <v>4237.2788807870356</v>
      </c>
      <c r="K127">
        <f>_xlfn.STDEV.S('R1'!L127,'R2'!L127,'R3'!L127)</f>
        <v>5.7110135010392917E-3</v>
      </c>
      <c r="L127">
        <f>_xlfn.STDEV.S('R1'!M127,'R2'!M127,'R3'!M127)</f>
        <v>2.652606750727083E-3</v>
      </c>
      <c r="M127">
        <f>_xlfn.STDEV.S('R1'!N127,'R2'!N127,'R3'!N127)</f>
        <v>4.0349719034647761E-3</v>
      </c>
      <c r="N127">
        <f>_xlfn.STDEV.S('R1'!O127,'R2'!O127,'R3'!O127)</f>
        <v>1.8130553260339965E-3</v>
      </c>
    </row>
    <row r="128" spans="1:14" x14ac:dyDescent="0.25">
      <c r="A128">
        <f>-'R1'!H128</f>
        <v>24</v>
      </c>
      <c r="B128">
        <f>DEGREES(ATAN(-SIN(RADIANS(('R1'!I128)))/(COS(RADIANS(Sheet1!A128))*COS(RADIANS('R1'!I128)))))</f>
        <v>0</v>
      </c>
      <c r="C128">
        <f>AVERAGE('R1'!J128,'R2'!J128,'R3'!J128)</f>
        <v>1.1633333333333331</v>
      </c>
      <c r="D128">
        <f>AVERAGE('R1'!K128,'R2'!K128,'R3'!K128)</f>
        <v>22.226415250000002</v>
      </c>
      <c r="E128">
        <f>AVERAGE('R1'!L128,'R2'!L128,'R3'!L128)</f>
        <v>-0.15648424019437293</v>
      </c>
      <c r="F128">
        <f>AVERAGE('R1'!M128,'R2'!M128,'R3'!M128)</f>
        <v>-1.6667108436479225</v>
      </c>
      <c r="G128">
        <f>AVERAGE('R1'!N128,'R2'!N128,'R3'!N128)</f>
        <v>-0.36311991960909235</v>
      </c>
      <c r="H128">
        <f>AVERAGE('R1'!O128,'R2'!O128,'R3'!O128)</f>
        <v>9.265977276357619E-2</v>
      </c>
      <c r="I128">
        <f t="shared" si="5"/>
        <v>4309.4549568055554</v>
      </c>
      <c r="K128">
        <f>_xlfn.STDEV.S('R1'!L128,'R2'!L128,'R3'!L128)</f>
        <v>5.615973245346708E-3</v>
      </c>
      <c r="L128">
        <f>_xlfn.STDEV.S('R1'!M128,'R2'!M128,'R3'!M128)</f>
        <v>7.2314236500648627E-4</v>
      </c>
      <c r="M128">
        <f>_xlfn.STDEV.S('R1'!N128,'R2'!N128,'R3'!N128)</f>
        <v>1.4467973812048668E-3</v>
      </c>
      <c r="N128">
        <f>_xlfn.STDEV.S('R1'!O128,'R2'!O128,'R3'!O128)</f>
        <v>7.3963519989113293E-3</v>
      </c>
    </row>
    <row r="129" spans="1:14" x14ac:dyDescent="0.25">
      <c r="A129">
        <f>-'R1'!H129</f>
        <v>24</v>
      </c>
      <c r="B129">
        <f>DEGREES(ATAN(-SIN(RADIANS(('R1'!I129)))/(COS(RADIANS(Sheet1!A129))*COS(RADIANS('R1'!I129)))))</f>
        <v>-4.3771372039965373</v>
      </c>
      <c r="C129">
        <f>AVERAGE('R1'!J129,'R2'!J129,'R3'!J129)</f>
        <v>1.1633333333333331</v>
      </c>
      <c r="D129">
        <f>AVERAGE('R1'!K129,'R2'!K129,'R3'!K129)</f>
        <v>22.844935416666669</v>
      </c>
      <c r="E129">
        <f>AVERAGE('R1'!L129,'R2'!L129,'R3'!L129)</f>
        <v>-0.41348328074863544</v>
      </c>
      <c r="F129">
        <f>AVERAGE('R1'!M129,'R2'!M129,'R3'!M129)</f>
        <v>-1.5597123140194917</v>
      </c>
      <c r="G129">
        <f>AVERAGE('R1'!N129,'R2'!N129,'R3'!N129)</f>
        <v>-0.35398693863047542</v>
      </c>
      <c r="H129">
        <f>AVERAGE('R1'!O129,'R2'!O129,'R3'!O129)</f>
        <v>1.5635910588822622E-2</v>
      </c>
      <c r="I129">
        <f t="shared" si="5"/>
        <v>4429.379144675926</v>
      </c>
      <c r="K129">
        <f>_xlfn.STDEV.S('R1'!L129,'R2'!L129,'R3'!L129)</f>
        <v>2.5788491671792785E-3</v>
      </c>
      <c r="L129">
        <f>_xlfn.STDEV.S('R1'!M129,'R2'!M129,'R3'!M129)</f>
        <v>2.99376347933983E-3</v>
      </c>
      <c r="M129">
        <f>_xlfn.STDEV.S('R1'!N129,'R2'!N129,'R3'!N129)</f>
        <v>1.0094702322332087E-3</v>
      </c>
      <c r="N129">
        <f>_xlfn.STDEV.S('R1'!O129,'R2'!O129,'R3'!O129)</f>
        <v>4.9162716690105022E-3</v>
      </c>
    </row>
    <row r="130" spans="1:14" x14ac:dyDescent="0.25">
      <c r="A130">
        <f>-'R1'!H130</f>
        <v>24</v>
      </c>
      <c r="B130">
        <f>DEGREES(ATAN(-SIN(RADIANS(('R1'!I130)))/(COS(RADIANS(Sheet1!A130))*COS(RADIANS('R1'!I130)))))</f>
        <v>-8.7458791850141893</v>
      </c>
      <c r="C130">
        <f>AVERAGE('R1'!J130,'R2'!J130,'R3'!J130)</f>
        <v>1.1633333333333331</v>
      </c>
      <c r="D130">
        <f>AVERAGE('R1'!K130,'R2'!K130,'R3'!K130)</f>
        <v>23.016557333333335</v>
      </c>
      <c r="E130">
        <f>AVERAGE('R1'!L130,'R2'!L130,'R3'!L130)</f>
        <v>-0.64121893519977002</v>
      </c>
      <c r="F130">
        <f>AVERAGE('R1'!M130,'R2'!M130,'R3'!M130)</f>
        <v>-1.4674391278583865</v>
      </c>
      <c r="G130">
        <f>AVERAGE('R1'!N130,'R2'!N130,'R3'!N130)</f>
        <v>-0.36069784196863236</v>
      </c>
      <c r="H130">
        <f>AVERAGE('R1'!O130,'R2'!O130,'R3'!O130)</f>
        <v>-4.8006619085907427E-2</v>
      </c>
      <c r="I130">
        <f t="shared" si="5"/>
        <v>4462.6547274074064</v>
      </c>
      <c r="K130">
        <f>_xlfn.STDEV.S('R1'!L130,'R2'!L130,'R3'!L130)</f>
        <v>2.6399024398265749E-3</v>
      </c>
      <c r="L130">
        <f>_xlfn.STDEV.S('R1'!M130,'R2'!M130,'R3'!M130)</f>
        <v>1.064789807404327E-3</v>
      </c>
      <c r="M130">
        <f>_xlfn.STDEV.S('R1'!N130,'R2'!N130,'R3'!N130)</f>
        <v>7.8612765336330906E-4</v>
      </c>
      <c r="N130">
        <f>_xlfn.STDEV.S('R1'!O130,'R2'!O130,'R3'!O130)</f>
        <v>4.5522714050109121E-3</v>
      </c>
    </row>
    <row r="131" spans="1:14" x14ac:dyDescent="0.25">
      <c r="A131">
        <f>-'R1'!H131</f>
        <v>24</v>
      </c>
      <c r="B131">
        <f>DEGREES(ATAN(-SIN(RADIANS(('R1'!I131)))/(COS(RADIANS(Sheet1!A131))*COS(RADIANS('R1'!I131)))))</f>
        <v>-13.09808863151425</v>
      </c>
      <c r="C131">
        <f>AVERAGE('R1'!J131,'R2'!J131,'R3'!J131)</f>
        <v>1.1633333333333331</v>
      </c>
      <c r="D131">
        <f>AVERAGE('R1'!K131,'R2'!K131,'R3'!K131)</f>
        <v>23.095433749999998</v>
      </c>
      <c r="E131">
        <f>AVERAGE('R1'!L131,'R2'!L131,'R3'!L131)</f>
        <v>-0.85726560031637877</v>
      </c>
      <c r="F131">
        <f>AVERAGE('R1'!M131,'R2'!M131,'R3'!M131)</f>
        <v>-1.3968434678097559</v>
      </c>
      <c r="G131">
        <f>AVERAGE('R1'!N131,'R2'!N131,'R3'!N131)</f>
        <v>-0.3957758520081785</v>
      </c>
      <c r="H131">
        <f>AVERAGE('R1'!O131,'R2'!O131,'R3'!O131)</f>
        <v>-0.10443457288731646</v>
      </c>
      <c r="I131">
        <f t="shared" ref="I131:I194" si="6">10^5*C131*D131*0.003/1.8</f>
        <v>4477.9479881944435</v>
      </c>
      <c r="K131">
        <f>_xlfn.STDEV.S('R1'!L131,'R2'!L131,'R3'!L131)</f>
        <v>3.3263068662123135E-3</v>
      </c>
      <c r="L131">
        <f>_xlfn.STDEV.S('R1'!M131,'R2'!M131,'R3'!M131)</f>
        <v>3.3515825593033659E-3</v>
      </c>
      <c r="M131">
        <f>_xlfn.STDEV.S('R1'!N131,'R2'!N131,'R3'!N131)</f>
        <v>2.0165005872162167E-3</v>
      </c>
      <c r="N131">
        <f>_xlfn.STDEV.S('R1'!O131,'R2'!O131,'R3'!O131)</f>
        <v>2.9180144200272712E-3</v>
      </c>
    </row>
    <row r="132" spans="1:14" x14ac:dyDescent="0.25">
      <c r="A132">
        <f>-'R1'!H132</f>
        <v>24</v>
      </c>
      <c r="B132">
        <f>DEGREES(ATAN(-SIN(RADIANS(('R1'!I132)))/(COS(RADIANS(Sheet1!A132))*COS(RADIANS('R1'!I132)))))</f>
        <v>-17.426129149372727</v>
      </c>
      <c r="C132">
        <f>AVERAGE('R1'!J132,'R2'!J132,'R3'!J132)</f>
        <v>1.1633333333333331</v>
      </c>
      <c r="D132">
        <f>AVERAGE('R1'!K132,'R2'!K132,'R3'!K132)</f>
        <v>23.147317833333336</v>
      </c>
      <c r="E132">
        <f>AVERAGE('R1'!L132,'R2'!L132,'R3'!L132)</f>
        <v>-1.0779374501288208</v>
      </c>
      <c r="F132">
        <f>AVERAGE('R1'!M132,'R2'!M132,'R3'!M132)</f>
        <v>-1.3713933273576522</v>
      </c>
      <c r="G132">
        <f>AVERAGE('R1'!N132,'R2'!N132,'R3'!N132)</f>
        <v>-0.47337554479521476</v>
      </c>
      <c r="H132">
        <f>AVERAGE('R1'!O132,'R2'!O132,'R3'!O132)</f>
        <v>-0.19228964428437853</v>
      </c>
      <c r="I132">
        <f t="shared" si="6"/>
        <v>4488.007735462963</v>
      </c>
      <c r="K132">
        <f>_xlfn.STDEV.S('R1'!L132,'R2'!L132,'R3'!L132)</f>
        <v>1.7556996612735495E-3</v>
      </c>
      <c r="L132">
        <f>_xlfn.STDEV.S('R1'!M132,'R2'!M132,'R3'!M132)</f>
        <v>4.7756071294370629E-3</v>
      </c>
      <c r="M132">
        <f>_xlfn.STDEV.S('R1'!N132,'R2'!N132,'R3'!N132)</f>
        <v>2.7786363649864834E-3</v>
      </c>
      <c r="N132">
        <f>_xlfn.STDEV.S('R1'!O132,'R2'!O132,'R3'!O132)</f>
        <v>7.7741749283160135E-3</v>
      </c>
    </row>
    <row r="133" spans="1:14" x14ac:dyDescent="0.25">
      <c r="A133">
        <f>-'R1'!H133</f>
        <v>24</v>
      </c>
      <c r="B133">
        <f>DEGREES(ATAN(-SIN(RADIANS(('R1'!I133)))/(COS(RADIANS(Sheet1!A133))*COS(RADIANS('R1'!I133)))))</f>
        <v>-21.723080079379415</v>
      </c>
      <c r="C133">
        <f>AVERAGE('R1'!J133,'R2'!J133,'R3'!J133)</f>
        <v>1.1633333333333331</v>
      </c>
      <c r="D133">
        <f>AVERAGE('R1'!K133,'R2'!K133,'R3'!K133)</f>
        <v>22.755815333333334</v>
      </c>
      <c r="E133">
        <f>AVERAGE('R1'!L133,'R2'!L133,'R3'!L133)</f>
        <v>-1.2892127004542817</v>
      </c>
      <c r="F133">
        <f>AVERAGE('R1'!M133,'R2'!M133,'R3'!M133)</f>
        <v>-1.4014521216834162</v>
      </c>
      <c r="G133">
        <f>AVERAGE('R1'!N133,'R2'!N133,'R3'!N133)</f>
        <v>-0.59191155608800139</v>
      </c>
      <c r="H133">
        <f>AVERAGE('R1'!O133,'R2'!O133,'R3'!O133)</f>
        <v>-0.3132933657636407</v>
      </c>
      <c r="I133">
        <f t="shared" si="6"/>
        <v>4412.0997507407401</v>
      </c>
      <c r="K133">
        <f>_xlfn.STDEV.S('R1'!L133,'R2'!L133,'R3'!L133)</f>
        <v>5.1920286147501124E-3</v>
      </c>
      <c r="L133">
        <f>_xlfn.STDEV.S('R1'!M133,'R2'!M133,'R3'!M133)</f>
        <v>4.3885612357067493E-3</v>
      </c>
      <c r="M133">
        <f>_xlfn.STDEV.S('R1'!N133,'R2'!N133,'R3'!N133)</f>
        <v>1.6050207910843358E-3</v>
      </c>
      <c r="N133">
        <f>_xlfn.STDEV.S('R1'!O133,'R2'!O133,'R3'!O133)</f>
        <v>3.7137309120403067E-3</v>
      </c>
    </row>
    <row r="134" spans="1:14" x14ac:dyDescent="0.25">
      <c r="A134">
        <f>-'R1'!H134</f>
        <v>24</v>
      </c>
      <c r="B134">
        <f>DEGREES(ATAN(-SIN(RADIANS(('R1'!I134)))/(COS(RADIANS(Sheet1!A134))*COS(RADIANS('R1'!I134)))))</f>
        <v>-25.982912809070061</v>
      </c>
      <c r="C134">
        <f>AVERAGE('R1'!J134,'R2'!J134,'R3'!J134)</f>
        <v>1.1633333333333331</v>
      </c>
      <c r="D134">
        <f>AVERAGE('R1'!K134,'R2'!K134,'R3'!K134)</f>
        <v>22.740205916666667</v>
      </c>
      <c r="E134">
        <f>AVERAGE('R1'!L134,'R2'!L134,'R3'!L134)</f>
        <v>-1.4813405992956177</v>
      </c>
      <c r="F134">
        <f>AVERAGE('R1'!M134,'R2'!M134,'R3'!M134)</f>
        <v>-1.472404248551942</v>
      </c>
      <c r="G134">
        <f>AVERAGE('R1'!N134,'R2'!N134,'R3'!N134)</f>
        <v>-0.73495877570065427</v>
      </c>
      <c r="H134">
        <f>AVERAGE('R1'!O134,'R2'!O134,'R3'!O134)</f>
        <v>-0.46512056211027075</v>
      </c>
      <c r="I134">
        <f t="shared" si="6"/>
        <v>4409.0732582870369</v>
      </c>
      <c r="K134">
        <f>_xlfn.STDEV.S('R1'!L134,'R2'!L134,'R3'!L134)</f>
        <v>6.3275249243895321E-3</v>
      </c>
      <c r="L134">
        <f>_xlfn.STDEV.S('R1'!M134,'R2'!M134,'R3'!M134)</f>
        <v>2.4689720314073015E-3</v>
      </c>
      <c r="M134">
        <f>_xlfn.STDEV.S('R1'!N134,'R2'!N134,'R3'!N134)</f>
        <v>4.3997027681717373E-3</v>
      </c>
      <c r="N134">
        <f>_xlfn.STDEV.S('R1'!O134,'R2'!O134,'R3'!O134)</f>
        <v>3.3772316253792589E-3</v>
      </c>
    </row>
    <row r="135" spans="1:14" x14ac:dyDescent="0.25">
      <c r="A135">
        <f>-'R1'!H135</f>
        <v>24</v>
      </c>
      <c r="B135">
        <f>DEGREES(ATAN(-SIN(RADIANS(('R1'!I135)))/(COS(RADIANS(Sheet1!A135))*COS(RADIANS('R1'!I135)))))</f>
        <v>-30.200622081370245</v>
      </c>
      <c r="C135">
        <f>AVERAGE('R1'!J135,'R2'!J135,'R3'!J135)</f>
        <v>1.1633333333333331</v>
      </c>
      <c r="D135">
        <f>AVERAGE('R1'!K135,'R2'!K135,'R3'!K135)</f>
        <v>22.365066583333331</v>
      </c>
      <c r="E135">
        <f>AVERAGE('R1'!L135,'R2'!L135,'R3'!L135)</f>
        <v>-1.6817819371940235</v>
      </c>
      <c r="F135">
        <f>AVERAGE('R1'!M135,'R2'!M135,'R3'!M135)</f>
        <v>-1.5659101821157471</v>
      </c>
      <c r="G135">
        <f>AVERAGE('R1'!N135,'R2'!N135,'R3'!N135)</f>
        <v>-0.90353089448995261</v>
      </c>
      <c r="H135">
        <f>AVERAGE('R1'!O135,'R2'!O135,'R3'!O135)</f>
        <v>-0.64234319987305821</v>
      </c>
      <c r="I135">
        <f t="shared" si="6"/>
        <v>4336.3379097685174</v>
      </c>
      <c r="K135">
        <f>_xlfn.STDEV.S('R1'!L135,'R2'!L135,'R3'!L135)</f>
        <v>6.0918331564028079E-3</v>
      </c>
      <c r="L135">
        <f>_xlfn.STDEV.S('R1'!M135,'R2'!M135,'R3'!M135)</f>
        <v>5.6117534339264596E-3</v>
      </c>
      <c r="M135">
        <f>_xlfn.STDEV.S('R1'!N135,'R2'!N135,'R3'!N135)</f>
        <v>4.4119103984811186E-3</v>
      </c>
      <c r="N135">
        <f>_xlfn.STDEV.S('R1'!O135,'R2'!O135,'R3'!O135)</f>
        <v>5.4396965622966484E-3</v>
      </c>
    </row>
    <row r="136" spans="1:14" x14ac:dyDescent="0.25">
      <c r="A136">
        <f>-'R1'!H136</f>
        <v>24</v>
      </c>
      <c r="B136">
        <f>DEGREES(ATAN(-SIN(RADIANS(('R1'!I136)))/(COS(RADIANS(Sheet1!A136))*COS(RADIANS('R1'!I136)))))</f>
        <v>-34.372309890771753</v>
      </c>
      <c r="C136">
        <f>AVERAGE('R1'!J136,'R2'!J136,'R3'!J136)</f>
        <v>1.1633333333333331</v>
      </c>
      <c r="D136">
        <f>AVERAGE('R1'!K136,'R2'!K136,'R3'!K136)</f>
        <v>22.100383333333337</v>
      </c>
      <c r="E136">
        <f>AVERAGE('R1'!L136,'R2'!L136,'R3'!L136)</f>
        <v>-1.9118952457650813</v>
      </c>
      <c r="F136">
        <f>AVERAGE('R1'!M136,'R2'!M136,'R3'!M136)</f>
        <v>-1.6913496372917969</v>
      </c>
      <c r="G136">
        <f>AVERAGE('R1'!N136,'R2'!N136,'R3'!N136)</f>
        <v>-1.1265834849052503</v>
      </c>
      <c r="H136">
        <f>AVERAGE('R1'!O136,'R2'!O136,'R3'!O136)</f>
        <v>-0.84279523944781343</v>
      </c>
      <c r="I136">
        <f t="shared" si="6"/>
        <v>4285.0187685185183</v>
      </c>
      <c r="K136">
        <f>_xlfn.STDEV.S('R1'!L136,'R2'!L136,'R3'!L136)</f>
        <v>1.0164457200365603E-2</v>
      </c>
      <c r="L136">
        <f>_xlfn.STDEV.S('R1'!M136,'R2'!M136,'R3'!M136)</f>
        <v>7.9003760855959147E-3</v>
      </c>
      <c r="M136">
        <f>_xlfn.STDEV.S('R1'!N136,'R2'!N136,'R3'!N136)</f>
        <v>1.202218287133998E-2</v>
      </c>
      <c r="N136">
        <f>_xlfn.STDEV.S('R1'!O136,'R2'!O136,'R3'!O136)</f>
        <v>5.4456425854289212E-3</v>
      </c>
    </row>
    <row r="137" spans="1:14" x14ac:dyDescent="0.25">
      <c r="A137">
        <f>-'R1'!H137</f>
        <v>24</v>
      </c>
      <c r="B137">
        <f>DEGREES(ATAN(-SIN(RADIANS(('R1'!I137)))/(COS(RADIANS(Sheet1!A137))*COS(RADIANS('R1'!I137)))))</f>
        <v>-38.495223358359183</v>
      </c>
      <c r="C137">
        <f>AVERAGE('R1'!J137,'R2'!J137,'R3'!J137)</f>
        <v>1.1633333333333331</v>
      </c>
      <c r="D137">
        <f>AVERAGE('R1'!K137,'R2'!K137,'R3'!K137)</f>
        <v>22.287550999999997</v>
      </c>
      <c r="E137">
        <f>AVERAGE('R1'!L137,'R2'!L137,'R3'!L137)</f>
        <v>-2.1862023719419206</v>
      </c>
      <c r="F137">
        <f>AVERAGE('R1'!M137,'R2'!M137,'R3'!M137)</f>
        <v>-1.8664743287053145</v>
      </c>
      <c r="G137">
        <f>AVERAGE('R1'!N137,'R2'!N137,'R3'!N137)</f>
        <v>-1.4210417856599704</v>
      </c>
      <c r="H137">
        <f>AVERAGE('R1'!O137,'R2'!O137,'R3'!O137)</f>
        <v>-1.082513818881911</v>
      </c>
      <c r="I137">
        <f t="shared" si="6"/>
        <v>4321.3084994444425</v>
      </c>
      <c r="K137">
        <f>_xlfn.STDEV.S('R1'!L137,'R2'!L137,'R3'!L137)</f>
        <v>1.3587321129885154E-2</v>
      </c>
      <c r="L137">
        <f>_xlfn.STDEV.S('R1'!M137,'R2'!M137,'R3'!M137)</f>
        <v>6.4564249109671911E-3</v>
      </c>
      <c r="M137">
        <f>_xlfn.STDEV.S('R1'!N137,'R2'!N137,'R3'!N137)</f>
        <v>1.4148784450955618E-2</v>
      </c>
      <c r="N137">
        <f>_xlfn.STDEV.S('R1'!O137,'R2'!O137,'R3'!O137)</f>
        <v>2.7455232927664345E-3</v>
      </c>
    </row>
    <row r="138" spans="1:14" x14ac:dyDescent="0.25">
      <c r="A138">
        <f>-'R1'!H138</f>
        <v>24</v>
      </c>
      <c r="B138">
        <f>DEGREES(ATAN(-SIN(RADIANS(('R1'!I138)))/(COS(RADIANS(Sheet1!A138))*COS(RADIANS('R1'!I138)))))</f>
        <v>-42.567751063132313</v>
      </c>
      <c r="C138">
        <f>AVERAGE('R1'!J138,'R2'!J138,'R3'!J138)</f>
        <v>1.1633333333333331</v>
      </c>
      <c r="D138">
        <f>AVERAGE('R1'!K138,'R2'!K138,'R3'!K138)</f>
        <v>22.641057499999999</v>
      </c>
      <c r="E138">
        <f>AVERAGE('R1'!L138,'R2'!L138,'R3'!L138)</f>
        <v>-2.5192784308305889</v>
      </c>
      <c r="F138">
        <f>AVERAGE('R1'!M138,'R2'!M138,'R3'!M138)</f>
        <v>-2.0699835131037312</v>
      </c>
      <c r="G138">
        <f>AVERAGE('R1'!N138,'R2'!N138,'R3'!N138)</f>
        <v>-1.7890360123345419</v>
      </c>
      <c r="H138">
        <f>AVERAGE('R1'!O138,'R2'!O138,'R3'!O138)</f>
        <v>-1.3644124553805685</v>
      </c>
      <c r="I138">
        <f t="shared" si="6"/>
        <v>4389.8494819444431</v>
      </c>
      <c r="K138">
        <f>_xlfn.STDEV.S('R1'!L138,'R2'!L138,'R3'!L138)</f>
        <v>3.9616586858704436E-3</v>
      </c>
      <c r="L138">
        <f>_xlfn.STDEV.S('R1'!M138,'R2'!M138,'R3'!M138)</f>
        <v>7.5558336312330117E-4</v>
      </c>
      <c r="M138">
        <f>_xlfn.STDEV.S('R1'!N138,'R2'!N138,'R3'!N138)</f>
        <v>2.8102225484406542E-3</v>
      </c>
      <c r="N138">
        <f>_xlfn.STDEV.S('R1'!O138,'R2'!O138,'R3'!O138)</f>
        <v>8.3723902282080605E-3</v>
      </c>
    </row>
    <row r="139" spans="1:14" x14ac:dyDescent="0.25">
      <c r="A139">
        <f>-'R1'!H139</f>
        <v>24</v>
      </c>
      <c r="B139">
        <f>DEGREES(ATAN(-SIN(RADIANS(('R1'!I139)))/(COS(RADIANS(Sheet1!A139))*COS(RADIANS('R1'!I139)))))</f>
        <v>-46.589384435425394</v>
      </c>
      <c r="C139">
        <f>AVERAGE('R1'!J139,'R2'!J139,'R3'!J139)</f>
        <v>1.1633333333333331</v>
      </c>
      <c r="D139">
        <f>AVERAGE('R1'!K139,'R2'!K139,'R3'!K139)</f>
        <v>22.739758083333331</v>
      </c>
      <c r="E139">
        <f>AVERAGE('R1'!L139,'R2'!L139,'R3'!L139)</f>
        <v>-2.9444741172583959</v>
      </c>
      <c r="F139">
        <f>AVERAGE('R1'!M139,'R2'!M139,'R3'!M139)</f>
        <v>-2.3398384433822943</v>
      </c>
      <c r="G139">
        <f>AVERAGE('R1'!N139,'R2'!N139,'R3'!N139)</f>
        <v>-2.2804696714458408</v>
      </c>
      <c r="H139">
        <f>AVERAGE('R1'!O139,'R2'!O139,'R3'!O139)</f>
        <v>-1.7212147117612246</v>
      </c>
      <c r="I139">
        <f t="shared" si="6"/>
        <v>4408.9864283796287</v>
      </c>
      <c r="K139">
        <f>_xlfn.STDEV.S('R1'!L139,'R2'!L139,'R3'!L139)</f>
        <v>7.9531500067298068E-3</v>
      </c>
      <c r="L139">
        <f>_xlfn.STDEV.S('R1'!M139,'R2'!M139,'R3'!M139)</f>
        <v>9.9490021172944591E-3</v>
      </c>
      <c r="M139">
        <f>_xlfn.STDEV.S('R1'!N139,'R2'!N139,'R3'!N139)</f>
        <v>1.1625216481719233E-2</v>
      </c>
      <c r="N139">
        <f>_xlfn.STDEV.S('R1'!O139,'R2'!O139,'R3'!O139)</f>
        <v>9.4433137872288603E-3</v>
      </c>
    </row>
    <row r="140" spans="1:14" x14ac:dyDescent="0.25">
      <c r="A140">
        <f>-'R1'!H140</f>
        <v>20</v>
      </c>
      <c r="B140">
        <f>DEGREES(ATAN(-SIN(RADIANS(('R1'!I140)))/(COS(RADIANS(Sheet1!A140))*COS(RADIANS('R1'!I140)))))</f>
        <v>45.781668962964282</v>
      </c>
      <c r="C140">
        <f>AVERAGE('R1'!J140,'R2'!J140,'R3'!J140)</f>
        <v>1.1633333333333331</v>
      </c>
      <c r="D140">
        <f>AVERAGE('R1'!K140,'R2'!K140,'R3'!K140)</f>
        <v>22.939888833333331</v>
      </c>
      <c r="E140">
        <f>AVERAGE('R1'!L140,'R2'!L140,'R3'!L140)</f>
        <v>1.9866677700726683</v>
      </c>
      <c r="F140">
        <f>AVERAGE('R1'!M140,'R2'!M140,'R3'!M140)</f>
        <v>-1.4679216031404652</v>
      </c>
      <c r="G140">
        <f>AVERAGE('R1'!N140,'R2'!N140,'R3'!N140)</f>
        <v>-1.1315334505003651</v>
      </c>
      <c r="H140">
        <f>AVERAGE('R1'!O140,'R2'!O140,'R3'!O140)</f>
        <v>-1.0655874712466844</v>
      </c>
      <c r="I140">
        <f t="shared" si="6"/>
        <v>4447.7895571296285</v>
      </c>
      <c r="K140">
        <f>_xlfn.STDEV.S('R1'!L140,'R2'!L140,'R3'!L140)</f>
        <v>4.5675935921799179E-3</v>
      </c>
      <c r="L140">
        <f>_xlfn.STDEV.S('R1'!M140,'R2'!M140,'R3'!M140)</f>
        <v>1.1753930675320022E-3</v>
      </c>
      <c r="M140">
        <f>_xlfn.STDEV.S('R1'!N140,'R2'!N140,'R3'!N140)</f>
        <v>3.5250718702053681E-3</v>
      </c>
      <c r="N140">
        <f>_xlfn.STDEV.S('R1'!O140,'R2'!O140,'R3'!O140)</f>
        <v>4.5004979286989363E-3</v>
      </c>
    </row>
    <row r="141" spans="1:14" x14ac:dyDescent="0.25">
      <c r="A141">
        <f>-'R1'!H141</f>
        <v>20</v>
      </c>
      <c r="B141">
        <f>DEGREES(ATAN(-SIN(RADIANS(('R1'!I141)))/(COS(RADIANS(Sheet1!A141))*COS(RADIANS('R1'!I141)))))</f>
        <v>41.763297417742614</v>
      </c>
      <c r="C141">
        <f>AVERAGE('R1'!J141,'R2'!J141,'R3'!J141)</f>
        <v>1.1633333333333331</v>
      </c>
      <c r="D141">
        <f>AVERAGE('R1'!K141,'R2'!K141,'R3'!K141)</f>
        <v>22.725110666666666</v>
      </c>
      <c r="E141">
        <f>AVERAGE('R1'!L141,'R2'!L141,'R3'!L141)</f>
        <v>1.8309990376563139</v>
      </c>
      <c r="F141">
        <f>AVERAGE('R1'!M141,'R2'!M141,'R3'!M141)</f>
        <v>-1.3826429771359745</v>
      </c>
      <c r="G141">
        <f>AVERAGE('R1'!N141,'R2'!N141,'R3'!N141)</f>
        <v>-0.94846017864637611</v>
      </c>
      <c r="H141">
        <f>AVERAGE('R1'!O141,'R2'!O141,'R3'!O141)</f>
        <v>-0.88877792871453887</v>
      </c>
      <c r="I141">
        <f t="shared" si="6"/>
        <v>4406.1464570370363</v>
      </c>
      <c r="K141">
        <f>_xlfn.STDEV.S('R1'!L141,'R2'!L141,'R3'!L141)</f>
        <v>6.8585925482924732E-3</v>
      </c>
      <c r="L141">
        <f>_xlfn.STDEV.S('R1'!M141,'R2'!M141,'R3'!M141)</f>
        <v>2.0630424053097235E-3</v>
      </c>
      <c r="M141">
        <f>_xlfn.STDEV.S('R1'!N141,'R2'!N141,'R3'!N141)</f>
        <v>4.2302784329407888E-3</v>
      </c>
      <c r="N141">
        <f>_xlfn.STDEV.S('R1'!O141,'R2'!O141,'R3'!O141)</f>
        <v>2.8949482461607598E-3</v>
      </c>
    </row>
    <row r="142" spans="1:14" x14ac:dyDescent="0.25">
      <c r="A142">
        <f>-'R1'!H142</f>
        <v>20</v>
      </c>
      <c r="B142">
        <f>DEGREES(ATAN(-SIN(RADIANS(('R1'!I142)))/(COS(RADIANS(Sheet1!A142))*COS(RADIANS('R1'!I142)))))</f>
        <v>37.710134449764993</v>
      </c>
      <c r="C142">
        <f>AVERAGE('R1'!J142,'R2'!J142,'R3'!J142)</f>
        <v>1.1633333333333331</v>
      </c>
      <c r="D142">
        <f>AVERAGE('R1'!K142,'R2'!K142,'R3'!K142)</f>
        <v>22.859098166666666</v>
      </c>
      <c r="E142">
        <f>AVERAGE('R1'!L142,'R2'!L142,'R3'!L142)</f>
        <v>1.6881922990551581</v>
      </c>
      <c r="F142">
        <f>AVERAGE('R1'!M142,'R2'!M142,'R3'!M142)</f>
        <v>-1.3022225853661864</v>
      </c>
      <c r="G142">
        <f>AVERAGE('R1'!N142,'R2'!N142,'R3'!N142)</f>
        <v>-0.79113179233066155</v>
      </c>
      <c r="H142">
        <f>AVERAGE('R1'!O142,'R2'!O142,'R3'!O142)</f>
        <v>-0.72029377149382656</v>
      </c>
      <c r="I142">
        <f t="shared" si="6"/>
        <v>4432.1251445370362</v>
      </c>
      <c r="K142">
        <f>_xlfn.STDEV.S('R1'!L142,'R2'!L142,'R3'!L142)</f>
        <v>7.8945576536757264E-3</v>
      </c>
      <c r="L142">
        <f>_xlfn.STDEV.S('R1'!M142,'R2'!M142,'R3'!M142)</f>
        <v>1.0442617959072623E-3</v>
      </c>
      <c r="M142">
        <f>_xlfn.STDEV.S('R1'!N142,'R2'!N142,'R3'!N142)</f>
        <v>3.317485838222378E-3</v>
      </c>
      <c r="N142">
        <f>_xlfn.STDEV.S('R1'!O142,'R2'!O142,'R3'!O142)</f>
        <v>1.4446583716487683E-3</v>
      </c>
    </row>
    <row r="143" spans="1:14" x14ac:dyDescent="0.25">
      <c r="A143">
        <f>-'R1'!H143</f>
        <v>20</v>
      </c>
      <c r="B143">
        <f>DEGREES(ATAN(-SIN(RADIANS(('R1'!I143)))/(COS(RADIANS(Sheet1!A143))*COS(RADIANS('R1'!I143)))))</f>
        <v>33.622796746730245</v>
      </c>
      <c r="C143">
        <f>AVERAGE('R1'!J143,'R2'!J143,'R3'!J143)</f>
        <v>1.1633333333333331</v>
      </c>
      <c r="D143">
        <f>AVERAGE('R1'!K143,'R2'!K143,'R3'!K143)</f>
        <v>22.946450499999997</v>
      </c>
      <c r="E143">
        <f>AVERAGE('R1'!L143,'R2'!L143,'R3'!L143)</f>
        <v>1.5491498308575107</v>
      </c>
      <c r="F143">
        <f>AVERAGE('R1'!M143,'R2'!M143,'R3'!M143)</f>
        <v>-1.22745257420858</v>
      </c>
      <c r="G143">
        <f>AVERAGE('R1'!N143,'R2'!N143,'R3'!N143)</f>
        <v>-0.65078152621557128</v>
      </c>
      <c r="H143">
        <f>AVERAGE('R1'!O143,'R2'!O143,'R3'!O143)</f>
        <v>-0.55871703576463627</v>
      </c>
      <c r="I143">
        <f t="shared" si="6"/>
        <v>4449.0617913888873</v>
      </c>
      <c r="K143">
        <f>_xlfn.STDEV.S('R1'!L143,'R2'!L143,'R3'!L143)</f>
        <v>4.3075356773595724E-3</v>
      </c>
      <c r="L143">
        <f>_xlfn.STDEV.S('R1'!M143,'R2'!M143,'R3'!M143)</f>
        <v>4.0203433578440443E-3</v>
      </c>
      <c r="M143">
        <f>_xlfn.STDEV.S('R1'!N143,'R2'!N143,'R3'!N143)</f>
        <v>3.2036601899467668E-3</v>
      </c>
      <c r="N143">
        <f>_xlfn.STDEV.S('R1'!O143,'R2'!O143,'R3'!O143)</f>
        <v>2.3535603507111626E-3</v>
      </c>
    </row>
    <row r="144" spans="1:14" x14ac:dyDescent="0.25">
      <c r="A144">
        <f>-'R1'!H144</f>
        <v>20</v>
      </c>
      <c r="B144">
        <f>DEGREES(ATAN(-SIN(RADIANS(('R1'!I144)))/(COS(RADIANS(Sheet1!A144))*COS(RADIANS('R1'!I144)))))</f>
        <v>29.502629281345779</v>
      </c>
      <c r="C144">
        <f>AVERAGE('R1'!J144,'R2'!J144,'R3'!J144)</f>
        <v>1.1633333333333331</v>
      </c>
      <c r="D144">
        <f>AVERAGE('R1'!K144,'R2'!K144,'R3'!K144)</f>
        <v>22.658902000000001</v>
      </c>
      <c r="E144">
        <f>AVERAGE('R1'!L144,'R2'!L144,'R3'!L144)</f>
        <v>1.3993488236488556</v>
      </c>
      <c r="F144">
        <f>AVERAGE('R1'!M144,'R2'!M144,'R3'!M144)</f>
        <v>-1.1927186178398317</v>
      </c>
      <c r="G144">
        <f>AVERAGE('R1'!N144,'R2'!N144,'R3'!N144)</f>
        <v>-0.54035566034906379</v>
      </c>
      <c r="H144">
        <f>AVERAGE('R1'!O144,'R2'!O144,'R3'!O144)</f>
        <v>-0.40748335702152993</v>
      </c>
      <c r="I144">
        <f t="shared" si="6"/>
        <v>4393.3093322222212</v>
      </c>
      <c r="K144">
        <f>_xlfn.STDEV.S('R1'!L144,'R2'!L144,'R3'!L144)</f>
        <v>4.7635753979560908E-3</v>
      </c>
      <c r="L144">
        <f>_xlfn.STDEV.S('R1'!M144,'R2'!M144,'R3'!M144)</f>
        <v>5.5623401219976948E-3</v>
      </c>
      <c r="M144">
        <f>_xlfn.STDEV.S('R1'!N144,'R2'!N144,'R3'!N144)</f>
        <v>4.8210433097319715E-3</v>
      </c>
      <c r="N144">
        <f>_xlfn.STDEV.S('R1'!O144,'R2'!O144,'R3'!O144)</f>
        <v>3.9536213547391157E-3</v>
      </c>
    </row>
    <row r="145" spans="1:14" x14ac:dyDescent="0.25">
      <c r="A145">
        <f>-'R1'!H145</f>
        <v>20</v>
      </c>
      <c r="B145">
        <f>DEGREES(ATAN(-SIN(RADIANS(('R1'!I145)))/(COS(RADIANS(Sheet1!A145))*COS(RADIANS('R1'!I145)))))</f>
        <v>25.351709771061881</v>
      </c>
      <c r="C145">
        <f>AVERAGE('R1'!J145,'R2'!J145,'R3'!J145)</f>
        <v>1.1633333333333331</v>
      </c>
      <c r="D145">
        <f>AVERAGE('R1'!K145,'R2'!K145,'R3'!K145)</f>
        <v>22.636787166666664</v>
      </c>
      <c r="E145">
        <f>AVERAGE('R1'!L145,'R2'!L145,'R3'!L145)</f>
        <v>1.2167129543033737</v>
      </c>
      <c r="F145">
        <f>AVERAGE('R1'!M145,'R2'!M145,'R3'!M145)</f>
        <v>-1.1975904552871837</v>
      </c>
      <c r="G145">
        <f>AVERAGE('R1'!N145,'R2'!N145,'R3'!N145)</f>
        <v>-0.45176644587030235</v>
      </c>
      <c r="H145">
        <f>AVERAGE('R1'!O145,'R2'!O145,'R3'!O145)</f>
        <v>-0.24492130959224126</v>
      </c>
      <c r="I145">
        <f t="shared" si="6"/>
        <v>4389.0215117592579</v>
      </c>
      <c r="K145">
        <f>_xlfn.STDEV.S('R1'!L145,'R2'!L145,'R3'!L145)</f>
        <v>1.3157580921701775E-3</v>
      </c>
      <c r="L145">
        <f>_xlfn.STDEV.S('R1'!M145,'R2'!M145,'R3'!M145)</f>
        <v>6.1252732040042394E-3</v>
      </c>
      <c r="M145">
        <f>_xlfn.STDEV.S('R1'!N145,'R2'!N145,'R3'!N145)</f>
        <v>3.2558677496194073E-3</v>
      </c>
      <c r="N145">
        <f>_xlfn.STDEV.S('R1'!O145,'R2'!O145,'R3'!O145)</f>
        <v>5.7784098099508746E-3</v>
      </c>
    </row>
    <row r="146" spans="1:14" x14ac:dyDescent="0.25">
      <c r="A146">
        <f>-'R1'!H146</f>
        <v>20</v>
      </c>
      <c r="B146">
        <f>DEGREES(ATAN(-SIN(RADIANS(('R1'!I146)))/(COS(RADIANS(Sheet1!A146))*COS(RADIANS('R1'!I146)))))</f>
        <v>21.172832185162978</v>
      </c>
      <c r="C146">
        <f>AVERAGE('R1'!J146,'R2'!J146,'R3'!J146)</f>
        <v>1.1633333333333331</v>
      </c>
      <c r="D146">
        <f>AVERAGE('R1'!K146,'R2'!K146,'R3'!K146)</f>
        <v>22.477322666666669</v>
      </c>
      <c r="E146">
        <f>AVERAGE('R1'!L146,'R2'!L146,'R3'!L146)</f>
        <v>0.99762580060967654</v>
      </c>
      <c r="F146">
        <f>AVERAGE('R1'!M146,'R2'!M146,'R3'!M146)</f>
        <v>-1.2400280756437514</v>
      </c>
      <c r="G146">
        <f>AVERAGE('R1'!N146,'R2'!N146,'R3'!N146)</f>
        <v>-0.37234916025422038</v>
      </c>
      <c r="H146">
        <f>AVERAGE('R1'!O146,'R2'!O146,'R3'!O146)</f>
        <v>-0.10415714150881321</v>
      </c>
      <c r="I146">
        <f t="shared" si="6"/>
        <v>4358.103117037037</v>
      </c>
      <c r="K146">
        <f>_xlfn.STDEV.S('R1'!L146,'R2'!L146,'R3'!L146)</f>
        <v>1.2881464505084224E-3</v>
      </c>
      <c r="L146">
        <f>_xlfn.STDEV.S('R1'!M146,'R2'!M146,'R3'!M146)</f>
        <v>8.6252333548889511E-3</v>
      </c>
      <c r="M146">
        <f>_xlfn.STDEV.S('R1'!N146,'R2'!N146,'R3'!N146)</f>
        <v>6.0297133987717855E-3</v>
      </c>
      <c r="N146">
        <f>_xlfn.STDEV.S('R1'!O146,'R2'!O146,'R3'!O146)</f>
        <v>3.918535451275869E-3</v>
      </c>
    </row>
    <row r="147" spans="1:14" x14ac:dyDescent="0.25">
      <c r="A147">
        <f>-'R1'!H147</f>
        <v>20</v>
      </c>
      <c r="B147">
        <f>DEGREES(ATAN(-SIN(RADIANS(('R1'!I147)))/(COS(RADIANS(Sheet1!A147))*COS(RADIANS('R1'!I147)))))</f>
        <v>16.969467099429082</v>
      </c>
      <c r="C147">
        <f>AVERAGE('R1'!J147,'R2'!J147,'R3'!J147)</f>
        <v>1.1633333333333331</v>
      </c>
      <c r="D147">
        <f>AVERAGE('R1'!K147,'R2'!K147,'R3'!K147)</f>
        <v>22.287635583333337</v>
      </c>
      <c r="E147">
        <f>AVERAGE('R1'!L147,'R2'!L147,'R3'!L147)</f>
        <v>0.79664328526707529</v>
      </c>
      <c r="F147">
        <f>AVERAGE('R1'!M147,'R2'!M147,'R3'!M147)</f>
        <v>-1.259866054065313</v>
      </c>
      <c r="G147">
        <f>AVERAGE('R1'!N147,'R2'!N147,'R3'!N147)</f>
        <v>-0.30928517925787768</v>
      </c>
      <c r="H147">
        <f>AVERAGE('R1'!O147,'R2'!O147,'R3'!O147)</f>
        <v>2.2242036337331881E-2</v>
      </c>
      <c r="I147">
        <f t="shared" si="6"/>
        <v>4321.3248992129629</v>
      </c>
      <c r="K147">
        <f>_xlfn.STDEV.S('R1'!L147,'R2'!L147,'R3'!L147)</f>
        <v>2.1653857686023638E-3</v>
      </c>
      <c r="L147">
        <f>_xlfn.STDEV.S('R1'!M147,'R2'!M147,'R3'!M147)</f>
        <v>7.93775741206856E-3</v>
      </c>
      <c r="M147">
        <f>_xlfn.STDEV.S('R1'!N147,'R2'!N147,'R3'!N147)</f>
        <v>5.6752842709185177E-3</v>
      </c>
      <c r="N147">
        <f>_xlfn.STDEV.S('R1'!O147,'R2'!O147,'R3'!O147)</f>
        <v>1.8097470807575378E-3</v>
      </c>
    </row>
    <row r="148" spans="1:14" x14ac:dyDescent="0.25">
      <c r="A148">
        <f>-'R1'!H148</f>
        <v>20</v>
      </c>
      <c r="B148">
        <f>DEGREES(ATAN(-SIN(RADIANS(('R1'!I148)))/(COS(RADIANS(Sheet1!A148))*COS(RADIANS('R1'!I148)))))</f>
        <v>12.745697846757086</v>
      </c>
      <c r="C148">
        <f>AVERAGE('R1'!J148,'R2'!J148,'R3'!J148)</f>
        <v>1.1633333333333331</v>
      </c>
      <c r="D148">
        <f>AVERAGE('R1'!K148,'R2'!K148,'R3'!K148)</f>
        <v>22.509211750000002</v>
      </c>
      <c r="E148">
        <f>AVERAGE('R1'!L148,'R2'!L148,'R3'!L148)</f>
        <v>0.59398416910767582</v>
      </c>
      <c r="F148">
        <f>AVERAGE('R1'!M148,'R2'!M148,'R3'!M148)</f>
        <v>-1.2979413797102</v>
      </c>
      <c r="G148">
        <f>AVERAGE('R1'!N148,'R2'!N148,'R3'!N148)</f>
        <v>-0.26358372129414209</v>
      </c>
      <c r="H148">
        <f>AVERAGE('R1'!O148,'R2'!O148,'R3'!O148)</f>
        <v>0.1106463614783695</v>
      </c>
      <c r="I148">
        <f t="shared" si="6"/>
        <v>4364.2860559722221</v>
      </c>
      <c r="K148">
        <f>_xlfn.STDEV.S('R1'!L148,'R2'!L148,'R3'!L148)</f>
        <v>4.5482287684568594E-3</v>
      </c>
      <c r="L148">
        <f>_xlfn.STDEV.S('R1'!M148,'R2'!M148,'R3'!M148)</f>
        <v>3.9483571242235997E-3</v>
      </c>
      <c r="M148">
        <f>_xlfn.STDEV.S('R1'!N148,'R2'!N148,'R3'!N148)</f>
        <v>2.2153967283093565E-3</v>
      </c>
      <c r="N148">
        <f>_xlfn.STDEV.S('R1'!O148,'R2'!O148,'R3'!O148)</f>
        <v>7.9317374750407111E-4</v>
      </c>
    </row>
    <row r="149" spans="1:14" x14ac:dyDescent="0.25">
      <c r="A149">
        <f>-'R1'!H149</f>
        <v>20</v>
      </c>
      <c r="B149">
        <f>DEGREES(ATAN(-SIN(RADIANS(('R1'!I149)))/(COS(RADIANS(Sheet1!A149))*COS(RADIANS('R1'!I149)))))</f>
        <v>8.5061328568771426</v>
      </c>
      <c r="C149">
        <f>AVERAGE('R1'!J149,'R2'!J149,'R3'!J149)</f>
        <v>1.1633333333333331</v>
      </c>
      <c r="D149">
        <f>AVERAGE('R1'!K149,'R2'!K149,'R3'!K149)</f>
        <v>22.658595583333334</v>
      </c>
      <c r="E149">
        <f>AVERAGE('R1'!L149,'R2'!L149,'R3'!L149)</f>
        <v>0.37201572774763697</v>
      </c>
      <c r="F149">
        <f>AVERAGE('R1'!M149,'R2'!M149,'R3'!M149)</f>
        <v>-1.360143544968752</v>
      </c>
      <c r="G149">
        <f>AVERAGE('R1'!N149,'R2'!N149,'R3'!N149)</f>
        <v>-0.23950427767015778</v>
      </c>
      <c r="H149">
        <f>AVERAGE('R1'!O149,'R2'!O149,'R3'!O149)</f>
        <v>0.18845006102241299</v>
      </c>
      <c r="I149">
        <f t="shared" si="6"/>
        <v>4393.2499214351847</v>
      </c>
      <c r="K149">
        <f>_xlfn.STDEV.S('R1'!L149,'R2'!L149,'R3'!L149)</f>
        <v>2.8681462797948629E-3</v>
      </c>
      <c r="L149">
        <f>_xlfn.STDEV.S('R1'!M149,'R2'!M149,'R3'!M149)</f>
        <v>3.2921521408979921E-3</v>
      </c>
      <c r="M149">
        <f>_xlfn.STDEV.S('R1'!N149,'R2'!N149,'R3'!N149)</f>
        <v>2.8569936008293905E-3</v>
      </c>
      <c r="N149">
        <f>_xlfn.STDEV.S('R1'!O149,'R2'!O149,'R3'!O149)</f>
        <v>2.0145638148288277E-3</v>
      </c>
    </row>
    <row r="150" spans="1:14" x14ac:dyDescent="0.25">
      <c r="A150">
        <f>-'R1'!H150</f>
        <v>20</v>
      </c>
      <c r="B150">
        <f>DEGREES(ATAN(-SIN(RADIANS(('R1'!I150)))/(COS(RADIANS(Sheet1!A150))*COS(RADIANS('R1'!I150)))))</f>
        <v>4.2557962016512016</v>
      </c>
      <c r="C150">
        <f>AVERAGE('R1'!J150,'R2'!J150,'R3'!J150)</f>
        <v>1.1633333333333331</v>
      </c>
      <c r="D150">
        <f>AVERAGE('R1'!K150,'R2'!K150,'R3'!K150)</f>
        <v>22.773499166666667</v>
      </c>
      <c r="E150">
        <f>AVERAGE('R1'!L150,'R2'!L150,'R3'!L150)</f>
        <v>0.12890778938484018</v>
      </c>
      <c r="F150">
        <f>AVERAGE('R1'!M150,'R2'!M150,'R3'!M150)</f>
        <v>-1.4458927478240422</v>
      </c>
      <c r="G150">
        <f>AVERAGE('R1'!N150,'R2'!N150,'R3'!N150)</f>
        <v>-0.239792126566826</v>
      </c>
      <c r="H150">
        <f>AVERAGE('R1'!O150,'R2'!O150,'R3'!O150)</f>
        <v>0.26799966007394788</v>
      </c>
      <c r="I150">
        <f t="shared" si="6"/>
        <v>4415.5284495370361</v>
      </c>
      <c r="K150">
        <f>_xlfn.STDEV.S('R1'!L150,'R2'!L150,'R3'!L150)</f>
        <v>4.3753232597067799E-3</v>
      </c>
      <c r="L150">
        <f>_xlfn.STDEV.S('R1'!M150,'R2'!M150,'R3'!M150)</f>
        <v>4.0474976310022812E-4</v>
      </c>
      <c r="M150">
        <f>_xlfn.STDEV.S('R1'!N150,'R2'!N150,'R3'!N150)</f>
        <v>1.925117786456332E-3</v>
      </c>
      <c r="N150">
        <f>_xlfn.STDEV.S('R1'!O150,'R2'!O150,'R3'!O150)</f>
        <v>4.1257138470231353E-3</v>
      </c>
    </row>
    <row r="151" spans="1:14" x14ac:dyDescent="0.25">
      <c r="A151">
        <f>-'R1'!H151</f>
        <v>20</v>
      </c>
      <c r="B151">
        <f>DEGREES(ATAN(-SIN(RADIANS(('R1'!I151)))/(COS(RADIANS(Sheet1!A151))*COS(RADIANS('R1'!I151)))))</f>
        <v>0</v>
      </c>
      <c r="C151">
        <f>AVERAGE('R1'!J151,'R2'!J151,'R3'!J151)</f>
        <v>1.1633333333333331</v>
      </c>
      <c r="D151">
        <f>AVERAGE('R1'!K151,'R2'!K151,'R3'!K151)</f>
        <v>22.877577916666667</v>
      </c>
      <c r="E151">
        <f>AVERAGE('R1'!L151,'R2'!L151,'R3'!L151)</f>
        <v>-0.14400234343305621</v>
      </c>
      <c r="F151">
        <f>AVERAGE('R1'!M151,'R2'!M151,'R3'!M151)</f>
        <v>-1.4310344259094174</v>
      </c>
      <c r="G151">
        <f>AVERAGE('R1'!N151,'R2'!N151,'R3'!N151)</f>
        <v>-0.22790346973972939</v>
      </c>
      <c r="H151">
        <f>AVERAGE('R1'!O151,'R2'!O151,'R3'!O151)</f>
        <v>0.26369025232444471</v>
      </c>
      <c r="I151">
        <f t="shared" si="6"/>
        <v>4435.708162731481</v>
      </c>
      <c r="K151">
        <f>_xlfn.STDEV.S('R1'!L151,'R2'!L151,'R3'!L151)</f>
        <v>4.6552330418605063E-3</v>
      </c>
      <c r="L151">
        <f>_xlfn.STDEV.S('R1'!M151,'R2'!M151,'R3'!M151)</f>
        <v>1.0399307145664751E-3</v>
      </c>
      <c r="M151">
        <f>_xlfn.STDEV.S('R1'!N151,'R2'!N151,'R3'!N151)</f>
        <v>2.5351628602410334E-3</v>
      </c>
      <c r="N151">
        <f>_xlfn.STDEV.S('R1'!O151,'R2'!O151,'R3'!O151)</f>
        <v>4.6332000068581387E-3</v>
      </c>
    </row>
    <row r="152" spans="1:14" x14ac:dyDescent="0.25">
      <c r="A152">
        <f>-'R1'!H152</f>
        <v>20</v>
      </c>
      <c r="B152">
        <f>DEGREES(ATAN(-SIN(RADIANS(('R1'!I152)))/(COS(RADIANS(Sheet1!A152))*COS(RADIANS('R1'!I152)))))</f>
        <v>-4.2557962016512016</v>
      </c>
      <c r="C152">
        <f>AVERAGE('R1'!J152,'R2'!J152,'R3'!J152)</f>
        <v>1.1633333333333331</v>
      </c>
      <c r="D152">
        <f>AVERAGE('R1'!K152,'R2'!K152,'R3'!K152)</f>
        <v>22.946378666666664</v>
      </c>
      <c r="E152">
        <f>AVERAGE('R1'!L152,'R2'!L152,'R3'!L152)</f>
        <v>-0.39006812487867298</v>
      </c>
      <c r="F152">
        <f>AVERAGE('R1'!M152,'R2'!M152,'R3'!M152)</f>
        <v>-1.3328397800219121</v>
      </c>
      <c r="G152">
        <f>AVERAGE('R1'!N152,'R2'!N152,'R3'!N152)</f>
        <v>-0.22521732364626676</v>
      </c>
      <c r="H152">
        <f>AVERAGE('R1'!O152,'R2'!O152,'R3'!O152)</f>
        <v>0.19661618654731908</v>
      </c>
      <c r="I152">
        <f t="shared" si="6"/>
        <v>4449.0478637037022</v>
      </c>
      <c r="K152">
        <f>_xlfn.STDEV.S('R1'!L152,'R2'!L152,'R3'!L152)</f>
        <v>4.0542598253648799E-3</v>
      </c>
      <c r="L152">
        <f>_xlfn.STDEV.S('R1'!M152,'R2'!M152,'R3'!M152)</f>
        <v>3.6863487329401898E-3</v>
      </c>
      <c r="M152">
        <f>_xlfn.STDEV.S('R1'!N152,'R2'!N152,'R3'!N152)</f>
        <v>2.2116473309929813E-4</v>
      </c>
      <c r="N152">
        <f>_xlfn.STDEV.S('R1'!O152,'R2'!O152,'R3'!O152)</f>
        <v>4.9307985235707346E-3</v>
      </c>
    </row>
    <row r="153" spans="1:14" x14ac:dyDescent="0.25">
      <c r="A153">
        <f>-'R1'!H153</f>
        <v>20</v>
      </c>
      <c r="B153">
        <f>DEGREES(ATAN(-SIN(RADIANS(('R1'!I153)))/(COS(RADIANS(Sheet1!A153))*COS(RADIANS('R1'!I153)))))</f>
        <v>-8.5061328568771426</v>
      </c>
      <c r="C153">
        <f>AVERAGE('R1'!J153,'R2'!J153,'R3'!J153)</f>
        <v>1.1633333333333331</v>
      </c>
      <c r="D153">
        <f>AVERAGE('R1'!K153,'R2'!K153,'R3'!K153)</f>
        <v>22.987894249999997</v>
      </c>
      <c r="E153">
        <f>AVERAGE('R1'!L153,'R2'!L153,'R3'!L153)</f>
        <v>-0.62036064112143163</v>
      </c>
      <c r="F153">
        <f>AVERAGE('R1'!M153,'R2'!M153,'R3'!M153)</f>
        <v>-1.2513694349136182</v>
      </c>
      <c r="G153">
        <f>AVERAGE('R1'!N153,'R2'!N153,'R3'!N153)</f>
        <v>-0.24538725130199771</v>
      </c>
      <c r="H153">
        <f>AVERAGE('R1'!O153,'R2'!O153,'R3'!O153)</f>
        <v>0.13550978822194401</v>
      </c>
      <c r="I153">
        <f t="shared" si="6"/>
        <v>4457.0972740277766</v>
      </c>
      <c r="K153">
        <f>_xlfn.STDEV.S('R1'!L153,'R2'!L153,'R3'!L153)</f>
        <v>2.3035966058258081E-3</v>
      </c>
      <c r="L153">
        <f>_xlfn.STDEV.S('R1'!M153,'R2'!M153,'R3'!M153)</f>
        <v>6.6921230188529508E-3</v>
      </c>
      <c r="M153">
        <f>_xlfn.STDEV.S('R1'!N153,'R2'!N153,'R3'!N153)</f>
        <v>6.7260245564638001E-3</v>
      </c>
      <c r="N153">
        <f>_xlfn.STDEV.S('R1'!O153,'R2'!O153,'R3'!O153)</f>
        <v>8.9318901456470721E-3</v>
      </c>
    </row>
    <row r="154" spans="1:14" x14ac:dyDescent="0.25">
      <c r="A154">
        <f>-'R1'!H154</f>
        <v>20</v>
      </c>
      <c r="B154">
        <f>DEGREES(ATAN(-SIN(RADIANS(('R1'!I154)))/(COS(RADIANS(Sheet1!A154))*COS(RADIANS('R1'!I154)))))</f>
        <v>-12.745697846757086</v>
      </c>
      <c r="C154">
        <f>AVERAGE('R1'!J154,'R2'!J154,'R3'!J154)</f>
        <v>1.1633333333333331</v>
      </c>
      <c r="D154">
        <f>AVERAGE('R1'!K154,'R2'!K154,'R3'!K154)</f>
        <v>22.886468249999997</v>
      </c>
      <c r="E154">
        <f>AVERAGE('R1'!L154,'R2'!L154,'R3'!L154)</f>
        <v>-0.85803075427361419</v>
      </c>
      <c r="F154">
        <f>AVERAGE('R1'!M154,'R2'!M154,'R3'!M154)</f>
        <v>-1.1813894944171486</v>
      </c>
      <c r="G154">
        <f>AVERAGE('R1'!N154,'R2'!N154,'R3'!N154)</f>
        <v>-0.29894234644791112</v>
      </c>
      <c r="H154">
        <f>AVERAGE('R1'!O154,'R2'!O154,'R3'!O154)</f>
        <v>9.142710941127663E-2</v>
      </c>
      <c r="I154">
        <f t="shared" si="6"/>
        <v>4437.4318995833319</v>
      </c>
      <c r="K154">
        <f>_xlfn.STDEV.S('R1'!L154,'R2'!L154,'R3'!L154)</f>
        <v>4.8217972610854398E-3</v>
      </c>
      <c r="L154">
        <f>_xlfn.STDEV.S('R1'!M154,'R2'!M154,'R3'!M154)</f>
        <v>8.9480099981109759E-4</v>
      </c>
      <c r="M154">
        <f>_xlfn.STDEV.S('R1'!N154,'R2'!N154,'R3'!N154)</f>
        <v>3.5474374968289877E-3</v>
      </c>
      <c r="N154">
        <f>_xlfn.STDEV.S('R1'!O154,'R2'!O154,'R3'!O154)</f>
        <v>5.8502889876233645E-3</v>
      </c>
    </row>
    <row r="155" spans="1:14" x14ac:dyDescent="0.25">
      <c r="A155">
        <f>-'R1'!H155</f>
        <v>20</v>
      </c>
      <c r="B155">
        <f>DEGREES(ATAN(-SIN(RADIANS(('R1'!I155)))/(COS(RADIANS(Sheet1!A155))*COS(RADIANS('R1'!I155)))))</f>
        <v>-16.969467099429082</v>
      </c>
      <c r="C155">
        <f>AVERAGE('R1'!J155,'R2'!J155,'R3'!J155)</f>
        <v>1.1633333333333331</v>
      </c>
      <c r="D155">
        <f>AVERAGE('R1'!K155,'R2'!K155,'R3'!K155)</f>
        <v>22.503449416666665</v>
      </c>
      <c r="E155">
        <f>AVERAGE('R1'!L155,'R2'!L155,'R3'!L155)</f>
        <v>-1.0883688717268503</v>
      </c>
      <c r="F155">
        <f>AVERAGE('R1'!M155,'R2'!M155,'R3'!M155)</f>
        <v>-1.1589652527280119</v>
      </c>
      <c r="G155">
        <f>AVERAGE('R1'!N155,'R2'!N155,'R3'!N155)</f>
        <v>-0.38991505912500452</v>
      </c>
      <c r="H155">
        <f>AVERAGE('R1'!O155,'R2'!O155,'R3'!O155)</f>
        <v>1.1712957123135631E-2</v>
      </c>
      <c r="I155">
        <f t="shared" si="6"/>
        <v>4363.168803564814</v>
      </c>
      <c r="K155">
        <f>_xlfn.STDEV.S('R1'!L155,'R2'!L155,'R3'!L155)</f>
        <v>7.6776658136379402E-3</v>
      </c>
      <c r="L155">
        <f>_xlfn.STDEV.S('R1'!M155,'R2'!M155,'R3'!M155)</f>
        <v>3.91284347000391E-3</v>
      </c>
      <c r="M155">
        <f>_xlfn.STDEV.S('R1'!N155,'R2'!N155,'R3'!N155)</f>
        <v>6.9515722028150482E-3</v>
      </c>
      <c r="N155">
        <f>_xlfn.STDEV.S('R1'!O155,'R2'!O155,'R3'!O155)</f>
        <v>4.084052420459997E-3</v>
      </c>
    </row>
    <row r="156" spans="1:14" x14ac:dyDescent="0.25">
      <c r="A156">
        <f>-'R1'!H156</f>
        <v>20</v>
      </c>
      <c r="B156">
        <f>DEGREES(ATAN(-SIN(RADIANS(('R1'!I156)))/(COS(RADIANS(Sheet1!A156))*COS(RADIANS('R1'!I156)))))</f>
        <v>-21.172832185162978</v>
      </c>
      <c r="C156">
        <f>AVERAGE('R1'!J156,'R2'!J156,'R3'!J156)</f>
        <v>1.1633333333333331</v>
      </c>
      <c r="D156">
        <f>AVERAGE('R1'!K156,'R2'!K156,'R3'!K156)</f>
        <v>22.236952833333334</v>
      </c>
      <c r="E156">
        <f>AVERAGE('R1'!L156,'R2'!L156,'R3'!L156)</f>
        <v>-1.2961047072301548</v>
      </c>
      <c r="F156">
        <f>AVERAGE('R1'!M156,'R2'!M156,'R3'!M156)</f>
        <v>-1.2047269653748194</v>
      </c>
      <c r="G156">
        <f>AVERAGE('R1'!N156,'R2'!N156,'R3'!N156)</f>
        <v>-0.51163379696264843</v>
      </c>
      <c r="H156">
        <f>AVERAGE('R1'!O156,'R2'!O156,'R3'!O156)</f>
        <v>-0.13809596673185068</v>
      </c>
      <c r="I156">
        <f t="shared" si="6"/>
        <v>4311.4980771296296</v>
      </c>
      <c r="K156">
        <f>_xlfn.STDEV.S('R1'!L156,'R2'!L156,'R3'!L156)</f>
        <v>2.3160403203491028E-3</v>
      </c>
      <c r="L156">
        <f>_xlfn.STDEV.S('R1'!M156,'R2'!M156,'R3'!M156)</f>
        <v>3.2375878685787333E-3</v>
      </c>
      <c r="M156">
        <f>_xlfn.STDEV.S('R1'!N156,'R2'!N156,'R3'!N156)</f>
        <v>4.3304299172228769E-3</v>
      </c>
      <c r="N156">
        <f>_xlfn.STDEV.S('R1'!O156,'R2'!O156,'R3'!O156)</f>
        <v>3.8204780612814417E-3</v>
      </c>
    </row>
    <row r="157" spans="1:14" x14ac:dyDescent="0.25">
      <c r="A157">
        <f>-'R1'!H157</f>
        <v>20</v>
      </c>
      <c r="B157">
        <f>DEGREES(ATAN(-SIN(RADIANS(('R1'!I157)))/(COS(RADIANS(Sheet1!A157))*COS(RADIANS('R1'!I157)))))</f>
        <v>-25.351709771061881</v>
      </c>
      <c r="C157">
        <f>AVERAGE('R1'!J157,'R2'!J157,'R3'!J157)</f>
        <v>1.1633333333333331</v>
      </c>
      <c r="D157">
        <f>AVERAGE('R1'!K157,'R2'!K157,'R3'!K157)</f>
        <v>22.305016166666665</v>
      </c>
      <c r="E157">
        <f>AVERAGE('R1'!L157,'R2'!L157,'R3'!L157)</f>
        <v>-1.4974797831988136</v>
      </c>
      <c r="F157">
        <f>AVERAGE('R1'!M157,'R2'!M157,'R3'!M157)</f>
        <v>-1.2835365073185911</v>
      </c>
      <c r="G157">
        <f>AVERAGE('R1'!N157,'R2'!N157,'R3'!N157)</f>
        <v>-0.65867058370477494</v>
      </c>
      <c r="H157">
        <f>AVERAGE('R1'!O157,'R2'!O157,'R3'!O157)</f>
        <v>-0.31110126579721897</v>
      </c>
      <c r="I157">
        <f t="shared" si="6"/>
        <v>4324.6948012037028</v>
      </c>
      <c r="K157">
        <f>_xlfn.STDEV.S('R1'!L157,'R2'!L157,'R3'!L157)</f>
        <v>1.4700113338780734E-3</v>
      </c>
      <c r="L157">
        <f>_xlfn.STDEV.S('R1'!M157,'R2'!M157,'R3'!M157)</f>
        <v>1.8592695238871097E-3</v>
      </c>
      <c r="M157">
        <f>_xlfn.STDEV.S('R1'!N157,'R2'!N157,'R3'!N157)</f>
        <v>2.2640977740251513E-3</v>
      </c>
      <c r="N157">
        <f>_xlfn.STDEV.S('R1'!O157,'R2'!O157,'R3'!O157)</f>
        <v>6.1375822938793774E-3</v>
      </c>
    </row>
    <row r="158" spans="1:14" x14ac:dyDescent="0.25">
      <c r="A158">
        <f>-'R1'!H158</f>
        <v>20</v>
      </c>
      <c r="B158">
        <f>DEGREES(ATAN(-SIN(RADIANS(('R1'!I158)))/(COS(RADIANS(Sheet1!A158))*COS(RADIANS('R1'!I158)))))</f>
        <v>-29.502629281345779</v>
      </c>
      <c r="C158">
        <f>AVERAGE('R1'!J158,'R2'!J158,'R3'!J158)</f>
        <v>1.1633333333333331</v>
      </c>
      <c r="D158">
        <f>AVERAGE('R1'!K158,'R2'!K158,'R3'!K158)</f>
        <v>22.631463666666665</v>
      </c>
      <c r="E158">
        <f>AVERAGE('R1'!L158,'R2'!L158,'R3'!L158)</f>
        <v>-1.7124942230481501</v>
      </c>
      <c r="F158">
        <f>AVERAGE('R1'!M158,'R2'!M158,'R3'!M158)</f>
        <v>-1.3932813519390661</v>
      </c>
      <c r="G158">
        <f>AVERAGE('R1'!N158,'R2'!N158,'R3'!N158)</f>
        <v>-0.85089876643491758</v>
      </c>
      <c r="H158">
        <f>AVERAGE('R1'!O158,'R2'!O158,'R3'!O158)</f>
        <v>-0.50605196790991691</v>
      </c>
      <c r="I158">
        <f t="shared" si="6"/>
        <v>4387.9893442592584</v>
      </c>
      <c r="K158">
        <f>_xlfn.STDEV.S('R1'!L158,'R2'!L158,'R3'!L158)</f>
        <v>3.6436120850395918E-3</v>
      </c>
      <c r="L158">
        <f>_xlfn.STDEV.S('R1'!M158,'R2'!M158,'R3'!M158)</f>
        <v>2.6910011517290922E-4</v>
      </c>
      <c r="M158">
        <f>_xlfn.STDEV.S('R1'!N158,'R2'!N158,'R3'!N158)</f>
        <v>5.5673269912876284E-3</v>
      </c>
      <c r="N158">
        <f>_xlfn.STDEV.S('R1'!O158,'R2'!O158,'R3'!O158)</f>
        <v>5.4867332916722321E-3</v>
      </c>
    </row>
    <row r="159" spans="1:14" x14ac:dyDescent="0.25">
      <c r="A159">
        <f>-'R1'!H159</f>
        <v>20</v>
      </c>
      <c r="B159">
        <f>DEGREES(ATAN(-SIN(RADIANS(('R1'!I159)))/(COS(RADIANS(Sheet1!A159))*COS(RADIANS('R1'!I159)))))</f>
        <v>-33.622796746730245</v>
      </c>
      <c r="C159">
        <f>AVERAGE('R1'!J159,'R2'!J159,'R3'!J159)</f>
        <v>1.1633333333333331</v>
      </c>
      <c r="D159">
        <f>AVERAGE('R1'!K159,'R2'!K159,'R3'!K159)</f>
        <v>22.727431499999998</v>
      </c>
      <c r="E159">
        <f>AVERAGE('R1'!L159,'R2'!L159,'R3'!L159)</f>
        <v>-1.9615657885130482</v>
      </c>
      <c r="F159">
        <f>AVERAGE('R1'!M159,'R2'!M159,'R3'!M159)</f>
        <v>-1.5323110265616535</v>
      </c>
      <c r="G159">
        <f>AVERAGE('R1'!N159,'R2'!N159,'R3'!N159)</f>
        <v>-1.0944686196667091</v>
      </c>
      <c r="H159">
        <f>AVERAGE('R1'!O159,'R2'!O159,'R3'!O159)</f>
        <v>-0.72659792904265696</v>
      </c>
      <c r="I159">
        <f t="shared" si="6"/>
        <v>4406.5964408333321</v>
      </c>
      <c r="K159">
        <f>_xlfn.STDEV.S('R1'!L159,'R2'!L159,'R3'!L159)</f>
        <v>1.2696681069150465E-3</v>
      </c>
      <c r="L159">
        <f>_xlfn.STDEV.S('R1'!M159,'R2'!M159,'R3'!M159)</f>
        <v>1.6060118512184482E-3</v>
      </c>
      <c r="M159">
        <f>_xlfn.STDEV.S('R1'!N159,'R2'!N159,'R3'!N159)</f>
        <v>2.9989919170502169E-3</v>
      </c>
      <c r="N159">
        <f>_xlfn.STDEV.S('R1'!O159,'R2'!O159,'R3'!O159)</f>
        <v>1.8635737022785088E-4</v>
      </c>
    </row>
    <row r="160" spans="1:14" x14ac:dyDescent="0.25">
      <c r="A160">
        <f>-'R1'!H160</f>
        <v>20</v>
      </c>
      <c r="B160">
        <f>DEGREES(ATAN(-SIN(RADIANS(('R1'!I160)))/(COS(RADIANS(Sheet1!A160))*COS(RADIANS('R1'!I160)))))</f>
        <v>-37.710134449764993</v>
      </c>
      <c r="C160">
        <f>AVERAGE('R1'!J160,'R2'!J160,'R3'!J160)</f>
        <v>1.1633333333333331</v>
      </c>
      <c r="D160">
        <f>AVERAGE('R1'!K160,'R2'!K160,'R3'!K160)</f>
        <v>22.816839833333333</v>
      </c>
      <c r="E160">
        <f>AVERAGE('R1'!L160,'R2'!L160,'R3'!L160)</f>
        <v>-2.2752154746174829</v>
      </c>
      <c r="F160">
        <f>AVERAGE('R1'!M160,'R2'!M160,'R3'!M160)</f>
        <v>-1.6982448431202279</v>
      </c>
      <c r="G160">
        <f>AVERAGE('R1'!N160,'R2'!N160,'R3'!N160)</f>
        <v>-1.4120648781760134</v>
      </c>
      <c r="H160">
        <f>AVERAGE('R1'!O160,'R2'!O160,'R3'!O160)</f>
        <v>-0.98850575609833191</v>
      </c>
      <c r="I160">
        <f t="shared" si="6"/>
        <v>4423.9317232407393</v>
      </c>
      <c r="K160">
        <f>_xlfn.STDEV.S('R1'!L160,'R2'!L160,'R3'!L160)</f>
        <v>6.6641501510366873E-3</v>
      </c>
      <c r="L160">
        <f>_xlfn.STDEV.S('R1'!M160,'R2'!M160,'R3'!M160)</f>
        <v>6.5997052998679603E-3</v>
      </c>
      <c r="M160">
        <f>_xlfn.STDEV.S('R1'!N160,'R2'!N160,'R3'!N160)</f>
        <v>5.8934490782874575E-3</v>
      </c>
      <c r="N160">
        <f>_xlfn.STDEV.S('R1'!O160,'R2'!O160,'R3'!O160)</f>
        <v>1.4769521281441152E-3</v>
      </c>
    </row>
    <row r="161" spans="1:14" x14ac:dyDescent="0.25">
      <c r="A161">
        <f>-'R1'!H161</f>
        <v>20</v>
      </c>
      <c r="B161">
        <f>DEGREES(ATAN(-SIN(RADIANS(('R1'!I161)))/(COS(RADIANS(Sheet1!A161))*COS(RADIANS('R1'!I161)))))</f>
        <v>-41.763297417742614</v>
      </c>
      <c r="C161">
        <f>AVERAGE('R1'!J161,'R2'!J161,'R3'!J161)</f>
        <v>1.1633333333333331</v>
      </c>
      <c r="D161">
        <f>AVERAGE('R1'!K161,'R2'!K161,'R3'!K161)</f>
        <v>22.833338666666666</v>
      </c>
      <c r="E161">
        <f>AVERAGE('R1'!L161,'R2'!L161,'R3'!L161)</f>
        <v>-2.6600712354938034</v>
      </c>
      <c r="F161">
        <f>AVERAGE('R1'!M161,'R2'!M161,'R3'!M161)</f>
        <v>-1.9009229715955236</v>
      </c>
      <c r="G161">
        <f>AVERAGE('R1'!N161,'R2'!N161,'R3'!N161)</f>
        <v>-1.8168368329773257</v>
      </c>
      <c r="H161">
        <f>AVERAGE('R1'!O161,'R2'!O161,'R3'!O161)</f>
        <v>-1.2964527476229029</v>
      </c>
      <c r="I161">
        <f t="shared" si="6"/>
        <v>4427.1306637037023</v>
      </c>
      <c r="K161">
        <f>_xlfn.STDEV.S('R1'!L161,'R2'!L161,'R3'!L161)</f>
        <v>3.3581082161733285E-2</v>
      </c>
      <c r="L161">
        <f>_xlfn.STDEV.S('R1'!M161,'R2'!M161,'R3'!M161)</f>
        <v>2.2370304347808501E-2</v>
      </c>
      <c r="M161">
        <f>_xlfn.STDEV.S('R1'!N161,'R2'!N161,'R3'!N161)</f>
        <v>3.9264811410217149E-2</v>
      </c>
      <c r="N161">
        <f>_xlfn.STDEV.S('R1'!O161,'R2'!O161,'R3'!O161)</f>
        <v>1.052992647915699E-2</v>
      </c>
    </row>
    <row r="162" spans="1:14" x14ac:dyDescent="0.25">
      <c r="A162">
        <f>-'R1'!H162</f>
        <v>20</v>
      </c>
      <c r="B162">
        <f>DEGREES(ATAN(-SIN(RADIANS(('R1'!I162)))/(COS(RADIANS(Sheet1!A162))*COS(RADIANS('R1'!I162)))))</f>
        <v>-45.781668962964282</v>
      </c>
      <c r="C162">
        <f>AVERAGE('R1'!J162,'R2'!J162,'R3'!J162)</f>
        <v>1.1633333333333331</v>
      </c>
      <c r="D162">
        <f>AVERAGE('R1'!K162,'R2'!K162,'R3'!K162)</f>
        <v>23.19958766666667</v>
      </c>
      <c r="E162">
        <f>AVERAGE('R1'!L162,'R2'!L162,'R3'!L162)</f>
        <v>-3.1973338845526498</v>
      </c>
      <c r="F162">
        <f>AVERAGE('R1'!M162,'R2'!M162,'R3'!M162)</f>
        <v>-2.2030189410596033</v>
      </c>
      <c r="G162">
        <f>AVERAGE('R1'!N162,'R2'!N162,'R3'!N162)</f>
        <v>-2.4120482660196605</v>
      </c>
      <c r="H162">
        <f>AVERAGE('R1'!O162,'R2'!O162,'R3'!O162)</f>
        <v>-1.7080452516682119</v>
      </c>
      <c r="I162">
        <f t="shared" si="6"/>
        <v>4498.14227537037</v>
      </c>
      <c r="K162">
        <f>_xlfn.STDEV.S('R1'!L162,'R2'!L162,'R3'!L162)</f>
        <v>2.741570900419061E-2</v>
      </c>
      <c r="L162">
        <f>_xlfn.STDEV.S('R1'!M162,'R2'!M162,'R3'!M162)</f>
        <v>1.2153298602414389E-2</v>
      </c>
      <c r="M162">
        <f>_xlfn.STDEV.S('R1'!N162,'R2'!N162,'R3'!N162)</f>
        <v>2.4232378609687136E-2</v>
      </c>
      <c r="N162">
        <f>_xlfn.STDEV.S('R1'!O162,'R2'!O162,'R3'!O162)</f>
        <v>6.3041569659839898E-3</v>
      </c>
    </row>
    <row r="163" spans="1:14" x14ac:dyDescent="0.25">
      <c r="A163">
        <f>-'R1'!H163</f>
        <v>16</v>
      </c>
      <c r="B163">
        <f>DEGREES(ATAN(-SIN(RADIANS(('R1'!I163)))/(COS(RADIANS(Sheet1!A163))*COS(RADIANS('R1'!I163)))))</f>
        <v>45.131634150601585</v>
      </c>
      <c r="C163">
        <f>AVERAGE('R1'!J163,'R2'!J163,'R3'!J163)</f>
        <v>1.1633333333333331</v>
      </c>
      <c r="D163">
        <f>AVERAGE('R1'!K163,'R2'!K163,'R3'!K163)</f>
        <v>22.783284416666664</v>
      </c>
      <c r="E163">
        <f>AVERAGE('R1'!L163,'R2'!L163,'R3'!L163)</f>
        <v>2.1402191488925211</v>
      </c>
      <c r="F163">
        <f>AVERAGE('R1'!M163,'R2'!M163,'R3'!M163)</f>
        <v>-1.3179767273321503</v>
      </c>
      <c r="G163">
        <f>AVERAGE('R1'!N163,'R2'!N163,'R3'!N163)</f>
        <v>-1.1821012963759774</v>
      </c>
      <c r="H163">
        <f>AVERAGE('R1'!O163,'R2'!O163,'R3'!O163)</f>
        <v>-1.0333237223451972</v>
      </c>
      <c r="I163">
        <f t="shared" si="6"/>
        <v>4417.4257007870356</v>
      </c>
      <c r="K163">
        <f>_xlfn.STDEV.S('R1'!L163,'R2'!L163,'R3'!L163)</f>
        <v>5.9826346024097598E-3</v>
      </c>
      <c r="L163">
        <f>_xlfn.STDEV.S('R1'!M163,'R2'!M163,'R3'!M163)</f>
        <v>4.9124601585068123E-3</v>
      </c>
      <c r="M163">
        <f>_xlfn.STDEV.S('R1'!N163,'R2'!N163,'R3'!N163)</f>
        <v>5.1045084900534455E-3</v>
      </c>
      <c r="N163">
        <f>_xlfn.STDEV.S('R1'!O163,'R2'!O163,'R3'!O163)</f>
        <v>2.0538886319075331E-3</v>
      </c>
    </row>
    <row r="164" spans="1:14" x14ac:dyDescent="0.25">
      <c r="A164">
        <f>-'R1'!H164</f>
        <v>16</v>
      </c>
      <c r="B164">
        <f>DEGREES(ATAN(-SIN(RADIANS(('R1'!I164)))/(COS(RADIANS(Sheet1!A164))*COS(RADIANS('R1'!I164)))))</f>
        <v>41.118191358294368</v>
      </c>
      <c r="C164">
        <f>AVERAGE('R1'!J164,'R2'!J164,'R3'!J164)</f>
        <v>1.1633333333333331</v>
      </c>
      <c r="D164">
        <f>AVERAGE('R1'!K164,'R2'!K164,'R3'!K164)</f>
        <v>22.47886325</v>
      </c>
      <c r="E164">
        <f>AVERAGE('R1'!L164,'R2'!L164,'R3'!L164)</f>
        <v>1.9467761150599923</v>
      </c>
      <c r="F164">
        <f>AVERAGE('R1'!M164,'R2'!M164,'R3'!M164)</f>
        <v>-1.2182322512939219</v>
      </c>
      <c r="G164">
        <f>AVERAGE('R1'!N164,'R2'!N164,'R3'!N164)</f>
        <v>-0.96148400184496907</v>
      </c>
      <c r="H164">
        <f>AVERAGE('R1'!O164,'R2'!O164,'R3'!O164)</f>
        <v>-0.8315606991333544</v>
      </c>
      <c r="I164">
        <f t="shared" si="6"/>
        <v>4358.4018190277766</v>
      </c>
      <c r="K164">
        <f>_xlfn.STDEV.S('R1'!L164,'R2'!L164,'R3'!L164)</f>
        <v>5.8060034656324125E-3</v>
      </c>
      <c r="L164">
        <f>_xlfn.STDEV.S('R1'!M164,'R2'!M164,'R3'!M164)</f>
        <v>2.0797752464323362E-3</v>
      </c>
      <c r="M164">
        <f>_xlfn.STDEV.S('R1'!N164,'R2'!N164,'R3'!N164)</f>
        <v>3.1320203657071821E-3</v>
      </c>
      <c r="N164">
        <f>_xlfn.STDEV.S('R1'!O164,'R2'!O164,'R3'!O164)</f>
        <v>2.4921620487888402E-3</v>
      </c>
    </row>
    <row r="165" spans="1:14" x14ac:dyDescent="0.25">
      <c r="A165">
        <f>-'R1'!H165</f>
        <v>16</v>
      </c>
      <c r="B165">
        <f>DEGREES(ATAN(-SIN(RADIANS(('R1'!I165)))/(COS(RADIANS(Sheet1!A165))*COS(RADIANS('R1'!I165)))))</f>
        <v>37.082782431142171</v>
      </c>
      <c r="C165">
        <f>AVERAGE('R1'!J165,'R2'!J165,'R3'!J165)</f>
        <v>1.1633333333333331</v>
      </c>
      <c r="D165">
        <f>AVERAGE('R1'!K165,'R2'!K165,'R3'!K165)</f>
        <v>22.219338916666668</v>
      </c>
      <c r="E165">
        <f>AVERAGE('R1'!L165,'R2'!L165,'R3'!L165)</f>
        <v>1.7739904683264871</v>
      </c>
      <c r="F165">
        <f>AVERAGE('R1'!M165,'R2'!M165,'R3'!M165)</f>
        <v>-1.1351661547380447</v>
      </c>
      <c r="G165">
        <f>AVERAGE('R1'!N165,'R2'!N165,'R3'!N165)</f>
        <v>-0.77929019573455249</v>
      </c>
      <c r="H165">
        <f>AVERAGE('R1'!O165,'R2'!O165,'R3'!O165)</f>
        <v>-0.64532312113259949</v>
      </c>
      <c r="I165">
        <f t="shared" si="6"/>
        <v>4308.0829343981477</v>
      </c>
      <c r="K165">
        <f>_xlfn.STDEV.S('R1'!L165,'R2'!L165,'R3'!L165)</f>
        <v>1.9566363311948947E-3</v>
      </c>
      <c r="L165">
        <f>_xlfn.STDEV.S('R1'!M165,'R2'!M165,'R3'!M165)</f>
        <v>3.2492689611368841E-3</v>
      </c>
      <c r="M165">
        <f>_xlfn.STDEV.S('R1'!N165,'R2'!N165,'R3'!N165)</f>
        <v>2.8147461017816993E-3</v>
      </c>
      <c r="N165">
        <f>_xlfn.STDEV.S('R1'!O165,'R2'!O165,'R3'!O165)</f>
        <v>2.184921194199589E-3</v>
      </c>
    </row>
    <row r="166" spans="1:14" x14ac:dyDescent="0.25">
      <c r="A166">
        <f>-'R1'!H166</f>
        <v>16</v>
      </c>
      <c r="B166">
        <f>DEGREES(ATAN(-SIN(RADIANS(('R1'!I166)))/(COS(RADIANS(Sheet1!A166))*COS(RADIANS('R1'!I166)))))</f>
        <v>33.025931133441695</v>
      </c>
      <c r="C166">
        <f>AVERAGE('R1'!J166,'R2'!J166,'R3'!J166)</f>
        <v>1.1633333333333331</v>
      </c>
      <c r="D166">
        <f>AVERAGE('R1'!K166,'R2'!K166,'R3'!K166)</f>
        <v>22.413285666666667</v>
      </c>
      <c r="E166">
        <f>AVERAGE('R1'!L166,'R2'!L166,'R3'!L166)</f>
        <v>1.610178668052668</v>
      </c>
      <c r="F166">
        <f>AVERAGE('R1'!M166,'R2'!M166,'R3'!M166)</f>
        <v>-1.0700578021436071</v>
      </c>
      <c r="G166">
        <f>AVERAGE('R1'!N166,'R2'!N166,'R3'!N166)</f>
        <v>-0.62746694309394924</v>
      </c>
      <c r="H166">
        <f>AVERAGE('R1'!O166,'R2'!O166,'R3'!O166)</f>
        <v>-0.4661396047370075</v>
      </c>
      <c r="I166">
        <f t="shared" si="6"/>
        <v>4345.6870542592587</v>
      </c>
      <c r="K166">
        <f>_xlfn.STDEV.S('R1'!L166,'R2'!L166,'R3'!L166)</f>
        <v>1.9312208461251144E-3</v>
      </c>
      <c r="L166">
        <f>_xlfn.STDEV.S('R1'!M166,'R2'!M166,'R3'!M166)</f>
        <v>5.8659497200353825E-3</v>
      </c>
      <c r="M166">
        <f>_xlfn.STDEV.S('R1'!N166,'R2'!N166,'R3'!N166)</f>
        <v>2.0594511696424701E-3</v>
      </c>
      <c r="N166">
        <f>_xlfn.STDEV.S('R1'!O166,'R2'!O166,'R3'!O166)</f>
        <v>4.7278586907786137E-3</v>
      </c>
    </row>
    <row r="167" spans="1:14" x14ac:dyDescent="0.25">
      <c r="A167">
        <f>-'R1'!H167</f>
        <v>16</v>
      </c>
      <c r="B167">
        <f>DEGREES(ATAN(-SIN(RADIANS(('R1'!I167)))/(COS(RADIANS(Sheet1!A167))*COS(RADIANS('R1'!I167)))))</f>
        <v>28.948605633454871</v>
      </c>
      <c r="C167">
        <f>AVERAGE('R1'!J167,'R2'!J167,'R3'!J167)</f>
        <v>1.1633333333333331</v>
      </c>
      <c r="D167">
        <f>AVERAGE('R1'!K167,'R2'!K167,'R3'!K167)</f>
        <v>22.598671916666671</v>
      </c>
      <c r="E167">
        <f>AVERAGE('R1'!L167,'R2'!L167,'R3'!L167)</f>
        <v>1.4377777024361962</v>
      </c>
      <c r="F167">
        <f>AVERAGE('R1'!M167,'R2'!M167,'R3'!M167)</f>
        <v>-1.0245860915432994</v>
      </c>
      <c r="G167">
        <f>AVERAGE('R1'!N167,'R2'!N167,'R3'!N167)</f>
        <v>-0.49596078112126474</v>
      </c>
      <c r="H167">
        <f>AVERAGE('R1'!O167,'R2'!O167,'R3'!O167)</f>
        <v>-0.2973363126658794</v>
      </c>
      <c r="I167">
        <f t="shared" si="6"/>
        <v>4381.6313882870372</v>
      </c>
      <c r="K167">
        <f>_xlfn.STDEV.S('R1'!L167,'R2'!L167,'R3'!L167)</f>
        <v>1.6230324355359759E-3</v>
      </c>
      <c r="L167">
        <f>_xlfn.STDEV.S('R1'!M167,'R2'!M167,'R3'!M167)</f>
        <v>2.353007515026873E-3</v>
      </c>
      <c r="M167">
        <f>_xlfn.STDEV.S('R1'!N167,'R2'!N167,'R3'!N167)</f>
        <v>3.7171992750620378E-3</v>
      </c>
      <c r="N167">
        <f>_xlfn.STDEV.S('R1'!O167,'R2'!O167,'R3'!O167)</f>
        <v>8.2096738756168774E-4</v>
      </c>
    </row>
    <row r="168" spans="1:14" x14ac:dyDescent="0.25">
      <c r="A168">
        <f>-'R1'!H168</f>
        <v>16</v>
      </c>
      <c r="B168">
        <f>DEGREES(ATAN(-SIN(RADIANS(('R1'!I168)))/(COS(RADIANS(Sheet1!A168))*COS(RADIANS('R1'!I168)))))</f>
        <v>24.852211192112133</v>
      </c>
      <c r="C168">
        <f>AVERAGE('R1'!J168,'R2'!J168,'R3'!J168)</f>
        <v>1.1633333333333331</v>
      </c>
      <c r="D168">
        <f>AVERAGE('R1'!K168,'R2'!K168,'R3'!K168)</f>
        <v>22.717369333333334</v>
      </c>
      <c r="E168">
        <f>AVERAGE('R1'!L168,'R2'!L168,'R3'!L168)</f>
        <v>1.2656191040628217</v>
      </c>
      <c r="F168">
        <f>AVERAGE('R1'!M168,'R2'!M168,'R3'!M168)</f>
        <v>-0.99035632949780616</v>
      </c>
      <c r="G168">
        <f>AVERAGE('R1'!N168,'R2'!N168,'R3'!N168)</f>
        <v>-0.38616737010356955</v>
      </c>
      <c r="H168">
        <f>AVERAGE('R1'!O168,'R2'!O168,'R3'!O168)</f>
        <v>-0.12891472599450746</v>
      </c>
      <c r="I168">
        <f t="shared" si="6"/>
        <v>4404.6454985185183</v>
      </c>
      <c r="K168">
        <f>_xlfn.STDEV.S('R1'!L168,'R2'!L168,'R3'!L168)</f>
        <v>6.8629098481434959E-3</v>
      </c>
      <c r="L168">
        <f>_xlfn.STDEV.S('R1'!M168,'R2'!M168,'R3'!M168)</f>
        <v>4.6792719834893998E-3</v>
      </c>
      <c r="M168">
        <f>_xlfn.STDEV.S('R1'!N168,'R2'!N168,'R3'!N168)</f>
        <v>8.597749783410579E-4</v>
      </c>
      <c r="N168">
        <f>_xlfn.STDEV.S('R1'!O168,'R2'!O168,'R3'!O168)</f>
        <v>3.9131915097966007E-3</v>
      </c>
    </row>
    <row r="169" spans="1:14" x14ac:dyDescent="0.25">
      <c r="A169">
        <f>-'R1'!H169</f>
        <v>16</v>
      </c>
      <c r="B169">
        <f>DEGREES(ATAN(-SIN(RADIANS(('R1'!I169)))/(COS(RADIANS(Sheet1!A169))*COS(RADIANS('R1'!I169)))))</f>
        <v>20.738571475352053</v>
      </c>
      <c r="C169">
        <f>AVERAGE('R1'!J169,'R2'!J169,'R3'!J169)</f>
        <v>1.1633333333333331</v>
      </c>
      <c r="D169">
        <f>AVERAGE('R1'!K169,'R2'!K169,'R3'!K169)</f>
        <v>22.810965083333333</v>
      </c>
      <c r="E169">
        <f>AVERAGE('R1'!L169,'R2'!L169,'R3'!L169)</f>
        <v>1.0512338941664163</v>
      </c>
      <c r="F169">
        <f>AVERAGE('R1'!M169,'R2'!M169,'R3'!M169)</f>
        <v>-0.99835145777335921</v>
      </c>
      <c r="G169">
        <f>AVERAGE('R1'!N169,'R2'!N169,'R3'!N169)</f>
        <v>-0.29093264296236548</v>
      </c>
      <c r="H169">
        <f>AVERAGE('R1'!O169,'R2'!O169,'R3'!O169)</f>
        <v>1.9616385234253471E-2</v>
      </c>
      <c r="I169">
        <f t="shared" si="6"/>
        <v>4422.79267449074</v>
      </c>
      <c r="K169">
        <f>_xlfn.STDEV.S('R1'!L169,'R2'!L169,'R3'!L169)</f>
        <v>5.8682916064983727E-3</v>
      </c>
      <c r="L169">
        <f>_xlfn.STDEV.S('R1'!M169,'R2'!M169,'R3'!M169)</f>
        <v>4.4625459127344662E-3</v>
      </c>
      <c r="M169">
        <f>_xlfn.STDEV.S('R1'!N169,'R2'!N169,'R3'!N169)</f>
        <v>3.7445573237808623E-3</v>
      </c>
      <c r="N169">
        <f>_xlfn.STDEV.S('R1'!O169,'R2'!O169,'R3'!O169)</f>
        <v>3.3723624781502272E-3</v>
      </c>
    </row>
    <row r="170" spans="1:14" x14ac:dyDescent="0.25">
      <c r="A170">
        <f>-'R1'!H170</f>
        <v>16</v>
      </c>
      <c r="B170">
        <f>DEGREES(ATAN(-SIN(RADIANS(('R1'!I170)))/(COS(RADIANS(Sheet1!A170))*COS(RADIANS('R1'!I170)))))</f>
        <v>16.609898016932938</v>
      </c>
      <c r="C170">
        <f>AVERAGE('R1'!J170,'R2'!J170,'R3'!J170)</f>
        <v>1.1633333333333331</v>
      </c>
      <c r="D170">
        <f>AVERAGE('R1'!K170,'R2'!K170,'R3'!K170)</f>
        <v>22.872427500000001</v>
      </c>
      <c r="E170">
        <f>AVERAGE('R1'!L170,'R2'!L170,'R3'!L170)</f>
        <v>0.8341846840967978</v>
      </c>
      <c r="F170">
        <f>AVERAGE('R1'!M170,'R2'!M170,'R3'!M170)</f>
        <v>-1.0305872528536659</v>
      </c>
      <c r="G170">
        <f>AVERAGE('R1'!N170,'R2'!N170,'R3'!N170)</f>
        <v>-0.22440246527372129</v>
      </c>
      <c r="H170">
        <f>AVERAGE('R1'!O170,'R2'!O170,'R3'!O170)</f>
        <v>0.15475948516259952</v>
      </c>
      <c r="I170">
        <f t="shared" si="6"/>
        <v>4434.7095541666658</v>
      </c>
      <c r="K170">
        <f>_xlfn.STDEV.S('R1'!L170,'R2'!L170,'R3'!L170)</f>
        <v>4.3927880154349249E-3</v>
      </c>
      <c r="L170">
        <f>_xlfn.STDEV.S('R1'!M170,'R2'!M170,'R3'!M170)</f>
        <v>5.0323188135514008E-3</v>
      </c>
      <c r="M170">
        <f>_xlfn.STDEV.S('R1'!N170,'R2'!N170,'R3'!N170)</f>
        <v>5.328421679628219E-3</v>
      </c>
      <c r="N170">
        <f>_xlfn.STDEV.S('R1'!O170,'R2'!O170,'R3'!O170)</f>
        <v>5.1289716208268244E-3</v>
      </c>
    </row>
    <row r="171" spans="1:14" x14ac:dyDescent="0.25">
      <c r="A171">
        <f>-'R1'!H171</f>
        <v>16</v>
      </c>
      <c r="B171">
        <f>DEGREES(ATAN(-SIN(RADIANS(('R1'!I171)))/(COS(RADIANS(Sheet1!A171))*COS(RADIANS('R1'!I171)))))</f>
        <v>12.468747879350856</v>
      </c>
      <c r="C171">
        <f>AVERAGE('R1'!J171,'R2'!J171,'R3'!J171)</f>
        <v>1.1633333333333331</v>
      </c>
      <c r="D171">
        <f>AVERAGE('R1'!K171,'R2'!K171,'R3'!K171)</f>
        <v>22.925234750000001</v>
      </c>
      <c r="E171">
        <f>AVERAGE('R1'!L171,'R2'!L171,'R3'!L171)</f>
        <v>0.60981075888572833</v>
      </c>
      <c r="F171">
        <f>AVERAGE('R1'!M171,'R2'!M171,'R3'!M171)</f>
        <v>-1.0746282492468893</v>
      </c>
      <c r="G171">
        <f>AVERAGE('R1'!N171,'R2'!N171,'R3'!N171)</f>
        <v>-0.17527540241783482</v>
      </c>
      <c r="H171">
        <f>AVERAGE('R1'!O171,'R2'!O171,'R3'!O171)</f>
        <v>0.27193490699146033</v>
      </c>
      <c r="I171">
        <f t="shared" si="6"/>
        <v>4444.948293194444</v>
      </c>
      <c r="K171">
        <f>_xlfn.STDEV.S('R1'!L171,'R2'!L171,'R3'!L171)</f>
        <v>9.0766138524682183E-3</v>
      </c>
      <c r="L171">
        <f>_xlfn.STDEV.S('R1'!M171,'R2'!M171,'R3'!M171)</f>
        <v>7.4998005791872034E-3</v>
      </c>
      <c r="M171">
        <f>_xlfn.STDEV.S('R1'!N171,'R2'!N171,'R3'!N171)</f>
        <v>2.2395089248115258E-3</v>
      </c>
      <c r="N171">
        <f>_xlfn.STDEV.S('R1'!O171,'R2'!O171,'R3'!O171)</f>
        <v>4.2782877365108345E-3</v>
      </c>
    </row>
    <row r="172" spans="1:14" x14ac:dyDescent="0.25">
      <c r="A172">
        <f>-'R1'!H172</f>
        <v>16</v>
      </c>
      <c r="B172">
        <f>DEGREES(ATAN(-SIN(RADIANS(('R1'!I172)))/(COS(RADIANS(Sheet1!A172))*COS(RADIANS('R1'!I172)))))</f>
        <v>8.3179701536192301</v>
      </c>
      <c r="C172">
        <f>AVERAGE('R1'!J172,'R2'!J172,'R3'!J172)</f>
        <v>1.1633333333333331</v>
      </c>
      <c r="D172">
        <f>AVERAGE('R1'!K172,'R2'!K172,'R3'!K172)</f>
        <v>22.862151166666667</v>
      </c>
      <c r="E172">
        <f>AVERAGE('R1'!L172,'R2'!L172,'R3'!L172)</f>
        <v>0.38109319079613241</v>
      </c>
      <c r="F172">
        <f>AVERAGE('R1'!M172,'R2'!M172,'R3'!M172)</f>
        <v>-1.1293836243534408</v>
      </c>
      <c r="G172">
        <f>AVERAGE('R1'!N172,'R2'!N172,'R3'!N172)</f>
        <v>-0.14619815466787126</v>
      </c>
      <c r="H172">
        <f>AVERAGE('R1'!O172,'R2'!O172,'R3'!O172)</f>
        <v>0.36600568776625325</v>
      </c>
      <c r="I172">
        <f t="shared" si="6"/>
        <v>4432.7170873148143</v>
      </c>
      <c r="K172">
        <f>_xlfn.STDEV.S('R1'!L172,'R2'!L172,'R3'!L172)</f>
        <v>2.6671837050130506E-3</v>
      </c>
      <c r="L172">
        <f>_xlfn.STDEV.S('R1'!M172,'R2'!M172,'R3'!M172)</f>
        <v>4.1105372910963866E-3</v>
      </c>
      <c r="M172">
        <f>_xlfn.STDEV.S('R1'!N172,'R2'!N172,'R3'!N172)</f>
        <v>1.9453060145300054E-3</v>
      </c>
      <c r="N172">
        <f>_xlfn.STDEV.S('R1'!O172,'R2'!O172,'R3'!O172)</f>
        <v>3.3233735830345544E-3</v>
      </c>
    </row>
    <row r="173" spans="1:14" x14ac:dyDescent="0.25">
      <c r="A173">
        <f>-'R1'!H173</f>
        <v>16</v>
      </c>
      <c r="B173">
        <f>DEGREES(ATAN(-SIN(RADIANS(('R1'!I173)))/(COS(RADIANS(Sheet1!A173))*COS(RADIANS('R1'!I173)))))</f>
        <v>4.1606425592731879</v>
      </c>
      <c r="C173">
        <f>AVERAGE('R1'!J173,'R2'!J173,'R3'!J173)</f>
        <v>1.1633333333333331</v>
      </c>
      <c r="D173">
        <f>AVERAGE('R1'!K173,'R2'!K173,'R3'!K173)</f>
        <v>22.515995416666669</v>
      </c>
      <c r="E173">
        <f>AVERAGE('R1'!L173,'R2'!L173,'R3'!L173)</f>
        <v>0.13049101131155394</v>
      </c>
      <c r="F173">
        <f>AVERAGE('R1'!M173,'R2'!M173,'R3'!M173)</f>
        <v>-1.2011654564036134</v>
      </c>
      <c r="G173">
        <f>AVERAGE('R1'!N173,'R2'!N173,'R3'!N173)</f>
        <v>-0.1337085463786245</v>
      </c>
      <c r="H173">
        <f>AVERAGE('R1'!O173,'R2'!O173,'R3'!O173)</f>
        <v>0.45446821761321415</v>
      </c>
      <c r="I173">
        <f t="shared" si="6"/>
        <v>4365.6013335648149</v>
      </c>
      <c r="K173">
        <f>_xlfn.STDEV.S('R1'!L173,'R2'!L173,'R3'!L173)</f>
        <v>3.0036111300284695E-3</v>
      </c>
      <c r="L173">
        <f>_xlfn.STDEV.S('R1'!M173,'R2'!M173,'R3'!M173)</f>
        <v>5.2615803991878062E-3</v>
      </c>
      <c r="M173">
        <f>_xlfn.STDEV.S('R1'!N173,'R2'!N173,'R3'!N173)</f>
        <v>3.0431912992553455E-3</v>
      </c>
      <c r="N173">
        <f>_xlfn.STDEV.S('R1'!O173,'R2'!O173,'R3'!O173)</f>
        <v>2.4676231677164054E-3</v>
      </c>
    </row>
    <row r="174" spans="1:14" x14ac:dyDescent="0.25">
      <c r="A174">
        <f>-'R1'!H174</f>
        <v>16</v>
      </c>
      <c r="B174">
        <f>DEGREES(ATAN(-SIN(RADIANS(('R1'!I174)))/(COS(RADIANS(Sheet1!A174))*COS(RADIANS('R1'!I174)))))</f>
        <v>0</v>
      </c>
      <c r="C174">
        <f>AVERAGE('R1'!J174,'R2'!J174,'R3'!J174)</f>
        <v>1.1633333333333331</v>
      </c>
      <c r="D174">
        <f>AVERAGE('R1'!K174,'R2'!K174,'R3'!K174)</f>
        <v>22.489025999999996</v>
      </c>
      <c r="E174">
        <f>AVERAGE('R1'!L174,'R2'!L174,'R3'!L174)</f>
        <v>-0.13609724046800098</v>
      </c>
      <c r="F174">
        <f>AVERAGE('R1'!M174,'R2'!M174,'R3'!M174)</f>
        <v>-1.1902010168176362</v>
      </c>
      <c r="G174">
        <f>AVERAGE('R1'!N174,'R2'!N174,'R3'!N174)</f>
        <v>-0.12809715373294334</v>
      </c>
      <c r="H174">
        <f>AVERAGE('R1'!O174,'R2'!O174,'R3'!O174)</f>
        <v>0.45873131035889986</v>
      </c>
      <c r="I174">
        <f t="shared" si="6"/>
        <v>4360.3722633333318</v>
      </c>
      <c r="K174">
        <f>_xlfn.STDEV.S('R1'!L174,'R2'!L174,'R3'!L174)</f>
        <v>5.1585873906168263E-3</v>
      </c>
      <c r="L174">
        <f>_xlfn.STDEV.S('R1'!M174,'R2'!M174,'R3'!M174)</f>
        <v>2.7974928746867002E-3</v>
      </c>
      <c r="M174">
        <f>_xlfn.STDEV.S('R1'!N174,'R2'!N174,'R3'!N174)</f>
        <v>2.6526517623914809E-3</v>
      </c>
      <c r="N174">
        <f>_xlfn.STDEV.S('R1'!O174,'R2'!O174,'R3'!O174)</f>
        <v>1.4935884106390893E-3</v>
      </c>
    </row>
    <row r="175" spans="1:14" x14ac:dyDescent="0.25">
      <c r="A175">
        <f>-'R1'!H175</f>
        <v>16</v>
      </c>
      <c r="B175">
        <f>DEGREES(ATAN(-SIN(RADIANS(('R1'!I175)))/(COS(RADIANS(Sheet1!A175))*COS(RADIANS('R1'!I175)))))</f>
        <v>-4.1606425592731879</v>
      </c>
      <c r="C175">
        <f>AVERAGE('R1'!J175,'R2'!J175,'R3'!J175)</f>
        <v>1.1633333333333331</v>
      </c>
      <c r="D175">
        <f>AVERAGE('R1'!K175,'R2'!K175,'R3'!K175)</f>
        <v>22.425555500000002</v>
      </c>
      <c r="E175">
        <f>AVERAGE('R1'!L175,'R2'!L175,'R3'!L175)</f>
        <v>-0.38708404927632589</v>
      </c>
      <c r="F175">
        <f>AVERAGE('R1'!M175,'R2'!M175,'R3'!M175)</f>
        <v>-1.1050475020303239</v>
      </c>
      <c r="G175">
        <f>AVERAGE('R1'!N175,'R2'!N175,'R3'!N175)</f>
        <v>-0.13365033200460405</v>
      </c>
      <c r="H175">
        <f>AVERAGE('R1'!O175,'R2'!O175,'R3'!O175)</f>
        <v>0.38919235707353339</v>
      </c>
      <c r="I175">
        <f t="shared" si="6"/>
        <v>4348.0660386111113</v>
      </c>
      <c r="K175">
        <f>_xlfn.STDEV.S('R1'!L175,'R2'!L175,'R3'!L175)</f>
        <v>6.3987614717225909E-3</v>
      </c>
      <c r="L175">
        <f>_xlfn.STDEV.S('R1'!M175,'R2'!M175,'R3'!M175)</f>
        <v>8.0139545320518091E-3</v>
      </c>
      <c r="M175">
        <f>_xlfn.STDEV.S('R1'!N175,'R2'!N175,'R3'!N175)</f>
        <v>2.440133605095156E-3</v>
      </c>
      <c r="N175">
        <f>_xlfn.STDEV.S('R1'!O175,'R2'!O175,'R3'!O175)</f>
        <v>4.2872329984098498E-3</v>
      </c>
    </row>
    <row r="176" spans="1:14" x14ac:dyDescent="0.25">
      <c r="A176">
        <f>-'R1'!H176</f>
        <v>16</v>
      </c>
      <c r="B176">
        <f>DEGREES(ATAN(-SIN(RADIANS(('R1'!I176)))/(COS(RADIANS(Sheet1!A176))*COS(RADIANS('R1'!I176)))))</f>
        <v>-8.3179701536192301</v>
      </c>
      <c r="C176">
        <f>AVERAGE('R1'!J176,'R2'!J176,'R3'!J176)</f>
        <v>1.1633333333333331</v>
      </c>
      <c r="D176">
        <f>AVERAGE('R1'!K176,'R2'!K176,'R3'!K176)</f>
        <v>22.589954500000001</v>
      </c>
      <c r="E176">
        <f>AVERAGE('R1'!L176,'R2'!L176,'R3'!L176)</f>
        <v>-0.63082177532038852</v>
      </c>
      <c r="F176">
        <f>AVERAGE('R1'!M176,'R2'!M176,'R3'!M176)</f>
        <v>-1.0117404306932298</v>
      </c>
      <c r="G176">
        <f>AVERAGE('R1'!N176,'R2'!N176,'R3'!N176)</f>
        <v>-0.16048268197618501</v>
      </c>
      <c r="H176">
        <f>AVERAGE('R1'!O176,'R2'!O176,'R3'!O176)</f>
        <v>0.34020851664815005</v>
      </c>
      <c r="I176">
        <f t="shared" si="6"/>
        <v>4379.9411780555556</v>
      </c>
      <c r="K176">
        <f>_xlfn.STDEV.S('R1'!L176,'R2'!L176,'R3'!L176)</f>
        <v>4.1174083433313871E-3</v>
      </c>
      <c r="L176">
        <f>_xlfn.STDEV.S('R1'!M176,'R2'!M176,'R3'!M176)</f>
        <v>3.2834665152759509E-3</v>
      </c>
      <c r="M176">
        <f>_xlfn.STDEV.S('R1'!N176,'R2'!N176,'R3'!N176)</f>
        <v>4.0328204503513789E-3</v>
      </c>
      <c r="N176">
        <f>_xlfn.STDEV.S('R1'!O176,'R2'!O176,'R3'!O176)</f>
        <v>1.2293153626928529E-3</v>
      </c>
    </row>
    <row r="177" spans="1:14" x14ac:dyDescent="0.25">
      <c r="A177">
        <f>-'R1'!H177</f>
        <v>16</v>
      </c>
      <c r="B177">
        <f>DEGREES(ATAN(-SIN(RADIANS(('R1'!I177)))/(COS(RADIANS(Sheet1!A177))*COS(RADIANS('R1'!I177)))))</f>
        <v>-12.468747879350856</v>
      </c>
      <c r="C177">
        <f>AVERAGE('R1'!J177,'R2'!J177,'R3'!J177)</f>
        <v>1.1633333333333331</v>
      </c>
      <c r="D177">
        <f>AVERAGE('R1'!K177,'R2'!K177,'R3'!K177)</f>
        <v>22.695396416666668</v>
      </c>
      <c r="E177">
        <f>AVERAGE('R1'!L177,'R2'!L177,'R3'!L177)</f>
        <v>-0.87003700549178509</v>
      </c>
      <c r="F177">
        <f>AVERAGE('R1'!M177,'R2'!M177,'R3'!M177)</f>
        <v>-0.95234743104079078</v>
      </c>
      <c r="G177">
        <f>AVERAGE('R1'!N177,'R2'!N177,'R3'!N177)</f>
        <v>-0.21482848460809087</v>
      </c>
      <c r="H177">
        <f>AVERAGE('R1'!O177,'R2'!O177,'R3'!O177)</f>
        <v>0.26377895751208275</v>
      </c>
      <c r="I177">
        <f t="shared" si="6"/>
        <v>4400.3851941203702</v>
      </c>
      <c r="K177">
        <f>_xlfn.STDEV.S('R1'!L177,'R2'!L177,'R3'!L177)</f>
        <v>2.7473771732606693E-3</v>
      </c>
      <c r="L177">
        <f>_xlfn.STDEV.S('R1'!M177,'R2'!M177,'R3'!M177)</f>
        <v>5.1188157916504861E-3</v>
      </c>
      <c r="M177">
        <f>_xlfn.STDEV.S('R1'!N177,'R2'!N177,'R3'!N177)</f>
        <v>5.8497603103306404E-3</v>
      </c>
      <c r="N177">
        <f>_xlfn.STDEV.S('R1'!O177,'R2'!O177,'R3'!O177)</f>
        <v>4.4929485102230011E-3</v>
      </c>
    </row>
    <row r="178" spans="1:14" x14ac:dyDescent="0.25">
      <c r="A178">
        <f>-'R1'!H178</f>
        <v>16</v>
      </c>
      <c r="B178">
        <f>DEGREES(ATAN(-SIN(RADIANS(('R1'!I178)))/(COS(RADIANS(Sheet1!A178))*COS(RADIANS('R1'!I178)))))</f>
        <v>-16.609898016932938</v>
      </c>
      <c r="C178">
        <f>AVERAGE('R1'!J178,'R2'!J178,'R3'!J178)</f>
        <v>1.1633333333333331</v>
      </c>
      <c r="D178">
        <f>AVERAGE('R1'!K178,'R2'!K178,'R3'!K178)</f>
        <v>22.787809916666664</v>
      </c>
      <c r="E178">
        <f>AVERAGE('R1'!L178,'R2'!L178,'R3'!L178)</f>
        <v>-1.1010462486993917</v>
      </c>
      <c r="F178">
        <f>AVERAGE('R1'!M178,'R2'!M178,'R3'!M178)</f>
        <v>-0.93971895673419681</v>
      </c>
      <c r="G178">
        <f>AVERAGE('R1'!N178,'R2'!N178,'R3'!N178)</f>
        <v>-0.31073159838833386</v>
      </c>
      <c r="H178">
        <f>AVERAGE('R1'!O178,'R2'!O178,'R3'!O178)</f>
        <v>0.16271543615545705</v>
      </c>
      <c r="I178">
        <f t="shared" si="6"/>
        <v>4418.303144953702</v>
      </c>
      <c r="K178">
        <f>_xlfn.STDEV.S('R1'!L178,'R2'!L178,'R3'!L178)</f>
        <v>4.1019943229993437E-3</v>
      </c>
      <c r="L178">
        <f>_xlfn.STDEV.S('R1'!M178,'R2'!M178,'R3'!M178)</f>
        <v>7.2753523265458577E-3</v>
      </c>
      <c r="M178">
        <f>_xlfn.STDEV.S('R1'!N178,'R2'!N178,'R3'!N178)</f>
        <v>6.4374854248608069E-3</v>
      </c>
      <c r="N178">
        <f>_xlfn.STDEV.S('R1'!O178,'R2'!O178,'R3'!O178)</f>
        <v>6.9434661989253126E-3</v>
      </c>
    </row>
    <row r="179" spans="1:14" x14ac:dyDescent="0.25">
      <c r="A179">
        <f>-'R1'!H179</f>
        <v>16</v>
      </c>
      <c r="B179">
        <f>DEGREES(ATAN(-SIN(RADIANS(('R1'!I179)))/(COS(RADIANS(Sheet1!A179))*COS(RADIANS('R1'!I179)))))</f>
        <v>-20.738571475352053</v>
      </c>
      <c r="C179">
        <f>AVERAGE('R1'!J179,'R2'!J179,'R3'!J179)</f>
        <v>1.1633333333333331</v>
      </c>
      <c r="D179">
        <f>AVERAGE('R1'!K179,'R2'!K179,'R3'!K179)</f>
        <v>22.630726249999999</v>
      </c>
      <c r="E179">
        <f>AVERAGE('R1'!L179,'R2'!L179,'R3'!L179)</f>
        <v>-1.3043010706841558</v>
      </c>
      <c r="F179">
        <f>AVERAGE('R1'!M179,'R2'!M179,'R3'!M179)</f>
        <v>-0.9861165525668355</v>
      </c>
      <c r="G179">
        <f>AVERAGE('R1'!N179,'R2'!N179,'R3'!N179)</f>
        <v>-0.43149394363677368</v>
      </c>
      <c r="H179">
        <f>AVERAGE('R1'!O179,'R2'!O179,'R3'!O179)</f>
        <v>5.1156495482703084E-3</v>
      </c>
      <c r="I179">
        <f t="shared" si="6"/>
        <v>4387.8463673611104</v>
      </c>
      <c r="K179">
        <f>_xlfn.STDEV.S('R1'!L179,'R2'!L179,'R3'!L179)</f>
        <v>1.9917556042981458E-3</v>
      </c>
      <c r="L179">
        <f>_xlfn.STDEV.S('R1'!M179,'R2'!M179,'R3'!M179)</f>
        <v>3.4401523580299674E-3</v>
      </c>
      <c r="M179">
        <f>_xlfn.STDEV.S('R1'!N179,'R2'!N179,'R3'!N179)</f>
        <v>2.6897730054399188E-3</v>
      </c>
      <c r="N179">
        <f>_xlfn.STDEV.S('R1'!O179,'R2'!O179,'R3'!O179)</f>
        <v>4.2928640798643759E-3</v>
      </c>
    </row>
    <row r="180" spans="1:14" x14ac:dyDescent="0.25">
      <c r="A180">
        <f>-'R1'!H180</f>
        <v>16</v>
      </c>
      <c r="B180">
        <f>DEGREES(ATAN(-SIN(RADIANS(('R1'!I180)))/(COS(RADIANS(Sheet1!A180))*COS(RADIANS('R1'!I180)))))</f>
        <v>-24.852211192112133</v>
      </c>
      <c r="C180">
        <f>AVERAGE('R1'!J180,'R2'!J180,'R3'!J180)</f>
        <v>1.1633333333333331</v>
      </c>
      <c r="D180">
        <f>AVERAGE('R1'!K180,'R2'!K180,'R3'!K180)</f>
        <v>22.764453583333335</v>
      </c>
      <c r="E180">
        <f>AVERAGE('R1'!L180,'R2'!L180,'R3'!L180)</f>
        <v>-1.5254210223347389</v>
      </c>
      <c r="F180">
        <f>AVERAGE('R1'!M180,'R2'!M180,'R3'!M180)</f>
        <v>-1.0610079889964774</v>
      </c>
      <c r="G180">
        <f>AVERAGE('R1'!N180,'R2'!N180,'R3'!N180)</f>
        <v>-0.59022396362330942</v>
      </c>
      <c r="H180">
        <f>AVERAGE('R1'!O180,'R2'!O180,'R3'!O180)</f>
        <v>-0.18886390036613329</v>
      </c>
      <c r="I180">
        <f t="shared" si="6"/>
        <v>4413.7746114351849</v>
      </c>
      <c r="K180">
        <f>_xlfn.STDEV.S('R1'!L180,'R2'!L180,'R3'!L180)</f>
        <v>1.6343843587460355E-3</v>
      </c>
      <c r="L180">
        <f>_xlfn.STDEV.S('R1'!M180,'R2'!M180,'R3'!M180)</f>
        <v>5.7573719746981519E-3</v>
      </c>
      <c r="M180">
        <f>_xlfn.STDEV.S('R1'!N180,'R2'!N180,'R3'!N180)</f>
        <v>2.7354127137335675E-3</v>
      </c>
      <c r="N180">
        <f>_xlfn.STDEV.S('R1'!O180,'R2'!O180,'R3'!O180)</f>
        <v>9.9283435202498129E-3</v>
      </c>
    </row>
    <row r="181" spans="1:14" x14ac:dyDescent="0.25">
      <c r="A181">
        <f>-'R1'!H181</f>
        <v>16</v>
      </c>
      <c r="B181">
        <f>DEGREES(ATAN(-SIN(RADIANS(('R1'!I181)))/(COS(RADIANS(Sheet1!A181))*COS(RADIANS('R1'!I181)))))</f>
        <v>-28.948605633454871</v>
      </c>
      <c r="C181">
        <f>AVERAGE('R1'!J181,'R2'!J181,'R3'!J181)</f>
        <v>1.1633333333333331</v>
      </c>
      <c r="D181">
        <f>AVERAGE('R1'!K181,'R2'!K181,'R3'!K181)</f>
        <v>22.897231250000001</v>
      </c>
      <c r="E181">
        <f>AVERAGE('R1'!L181,'R2'!L181,'R3'!L181)</f>
        <v>-1.7631266642083254</v>
      </c>
      <c r="F181">
        <f>AVERAGE('R1'!M181,'R2'!M181,'R3'!M181)</f>
        <v>-1.1495440507725767</v>
      </c>
      <c r="G181">
        <f>AVERAGE('R1'!N181,'R2'!N181,'R3'!N181)</f>
        <v>-0.78121570925358819</v>
      </c>
      <c r="H181">
        <f>AVERAGE('R1'!O181,'R2'!O181,'R3'!O181)</f>
        <v>-0.40249475799012124</v>
      </c>
      <c r="I181">
        <f t="shared" si="6"/>
        <v>4439.5187256944437</v>
      </c>
      <c r="K181">
        <f>_xlfn.STDEV.S('R1'!L181,'R2'!L181,'R3'!L181)</f>
        <v>4.4211682006311866E-3</v>
      </c>
      <c r="L181">
        <f>_xlfn.STDEV.S('R1'!M181,'R2'!M181,'R3'!M181)</f>
        <v>3.6807768742490149E-3</v>
      </c>
      <c r="M181">
        <f>_xlfn.STDEV.S('R1'!N181,'R2'!N181,'R3'!N181)</f>
        <v>7.8417963026004723E-3</v>
      </c>
      <c r="N181">
        <f>_xlfn.STDEV.S('R1'!O181,'R2'!O181,'R3'!O181)</f>
        <v>7.945532601302454E-3</v>
      </c>
    </row>
    <row r="182" spans="1:14" x14ac:dyDescent="0.25">
      <c r="A182">
        <f>-'R1'!H182</f>
        <v>16</v>
      </c>
      <c r="B182">
        <f>DEGREES(ATAN(-SIN(RADIANS(('R1'!I182)))/(COS(RADIANS(Sheet1!A182))*COS(RADIANS('R1'!I182)))))</f>
        <v>-33.025931133441695</v>
      </c>
      <c r="C182">
        <f>AVERAGE('R1'!J182,'R2'!J182,'R3'!J182)</f>
        <v>1.1633333333333331</v>
      </c>
      <c r="D182">
        <f>AVERAGE('R1'!K182,'R2'!K182,'R3'!K182)</f>
        <v>22.723196999999999</v>
      </c>
      <c r="E182">
        <f>AVERAGE('R1'!L182,'R2'!L182,'R3'!L182)</f>
        <v>-2.0529556656345935</v>
      </c>
      <c r="F182">
        <f>AVERAGE('R1'!M182,'R2'!M182,'R3'!M182)</f>
        <v>-1.2844580369518397</v>
      </c>
      <c r="G182">
        <f>AVERAGE('R1'!N182,'R2'!N182,'R3'!N182)</f>
        <v>-1.0555086452043396</v>
      </c>
      <c r="H182">
        <f>AVERAGE('R1'!O182,'R2'!O182,'R3'!O182)</f>
        <v>-0.63683553221354883</v>
      </c>
      <c r="I182">
        <f t="shared" si="6"/>
        <v>4405.7754183333318</v>
      </c>
      <c r="K182">
        <f>_xlfn.STDEV.S('R1'!L182,'R2'!L182,'R3'!L182)</f>
        <v>4.3665368402435326E-3</v>
      </c>
      <c r="L182">
        <f>_xlfn.STDEV.S('R1'!M182,'R2'!M182,'R3'!M182)</f>
        <v>4.3690369617243275E-3</v>
      </c>
      <c r="M182">
        <f>_xlfn.STDEV.S('R1'!N182,'R2'!N182,'R3'!N182)</f>
        <v>5.5422245550035103E-3</v>
      </c>
      <c r="N182">
        <f>_xlfn.STDEV.S('R1'!O182,'R2'!O182,'R3'!O182)</f>
        <v>5.741882581413311E-3</v>
      </c>
    </row>
    <row r="183" spans="1:14" x14ac:dyDescent="0.25">
      <c r="A183">
        <f>-'R1'!H183</f>
        <v>16</v>
      </c>
      <c r="B183">
        <f>DEGREES(ATAN(-SIN(RADIANS(('R1'!I183)))/(COS(RADIANS(Sheet1!A183))*COS(RADIANS('R1'!I183)))))</f>
        <v>-37.082782431142171</v>
      </c>
      <c r="C183">
        <f>AVERAGE('R1'!J183,'R2'!J183,'R3'!J183)</f>
        <v>1.1633333333333331</v>
      </c>
      <c r="D183">
        <f>AVERAGE('R1'!K183,'R2'!K183,'R3'!K183)</f>
        <v>22.89338008333333</v>
      </c>
      <c r="E183">
        <f>AVERAGE('R1'!L183,'R2'!L183,'R3'!L183)</f>
        <v>-2.4129354897414732</v>
      </c>
      <c r="F183">
        <f>AVERAGE('R1'!M183,'R2'!M183,'R3'!M183)</f>
        <v>-1.4512042234595111</v>
      </c>
      <c r="G183">
        <f>AVERAGE('R1'!N183,'R2'!N183,'R3'!N183)</f>
        <v>-1.408011034334282</v>
      </c>
      <c r="H183">
        <f>AVERAGE('R1'!O183,'R2'!O183,'R3'!O183)</f>
        <v>-0.90813797703132704</v>
      </c>
      <c r="I183">
        <f t="shared" si="6"/>
        <v>4438.7720272685174</v>
      </c>
      <c r="K183">
        <f>_xlfn.STDEV.S('R1'!L183,'R2'!L183,'R3'!L183)</f>
        <v>3.4500885902630255E-3</v>
      </c>
      <c r="L183">
        <f>_xlfn.STDEV.S('R1'!M183,'R2'!M183,'R3'!M183)</f>
        <v>8.3847145468930306E-3</v>
      </c>
      <c r="M183">
        <f>_xlfn.STDEV.S('R1'!N183,'R2'!N183,'R3'!N183)</f>
        <v>4.1040504587559045E-3</v>
      </c>
      <c r="N183">
        <f>_xlfn.STDEV.S('R1'!O183,'R2'!O183,'R3'!O183)</f>
        <v>8.3371612768083604E-4</v>
      </c>
    </row>
    <row r="184" spans="1:14" x14ac:dyDescent="0.25">
      <c r="A184">
        <f>-'R1'!H184</f>
        <v>16</v>
      </c>
      <c r="B184">
        <f>DEGREES(ATAN(-SIN(RADIANS(('R1'!I184)))/(COS(RADIANS(Sheet1!A184))*COS(RADIANS('R1'!I184)))))</f>
        <v>-41.118191358294368</v>
      </c>
      <c r="C184">
        <f>AVERAGE('R1'!J184,'R2'!J184,'R3'!J184)</f>
        <v>1.1633333333333331</v>
      </c>
      <c r="D184">
        <f>AVERAGE('R1'!K184,'R2'!K184,'R3'!K184)</f>
        <v>22.6859255</v>
      </c>
      <c r="E184">
        <f>AVERAGE('R1'!L184,'R2'!L184,'R3'!L184)</f>
        <v>-2.9155275138987355</v>
      </c>
      <c r="F184">
        <f>AVERAGE('R1'!M184,'R2'!M184,'R3'!M184)</f>
        <v>-1.6834198812674923</v>
      </c>
      <c r="G184">
        <f>AVERAGE('R1'!N184,'R2'!N184,'R3'!N184)</f>
        <v>-1.9210766654081681</v>
      </c>
      <c r="H184">
        <f>AVERAGE('R1'!O184,'R2'!O184,'R3'!O184)</f>
        <v>-1.2569961303114365</v>
      </c>
      <c r="I184">
        <f t="shared" si="6"/>
        <v>4398.5488886111107</v>
      </c>
      <c r="K184">
        <f>_xlfn.STDEV.S('R1'!L184,'R2'!L184,'R3'!L184)</f>
        <v>1.1806020324493093E-2</v>
      </c>
      <c r="L184">
        <f>_xlfn.STDEV.S('R1'!M184,'R2'!M184,'R3'!M184)</f>
        <v>1.2139330543873334E-2</v>
      </c>
      <c r="M184">
        <f>_xlfn.STDEV.S('R1'!N184,'R2'!N184,'R3'!N184)</f>
        <v>1.4597833178586015E-2</v>
      </c>
      <c r="N184">
        <f>_xlfn.STDEV.S('R1'!O184,'R2'!O184,'R3'!O184)</f>
        <v>4.0368994076894205E-3</v>
      </c>
    </row>
    <row r="185" spans="1:14" x14ac:dyDescent="0.25">
      <c r="A185">
        <f>-'R1'!H185</f>
        <v>16</v>
      </c>
      <c r="B185">
        <f>DEGREES(ATAN(-SIN(RADIANS(('R1'!I185)))/(COS(RADIANS(Sheet1!A185))*COS(RADIANS('R1'!I185)))))</f>
        <v>-45.131634150601585</v>
      </c>
      <c r="C185">
        <f>AVERAGE('R1'!J185,'R2'!J185,'R3'!J185)</f>
        <v>1.1633333333333331</v>
      </c>
      <c r="D185">
        <f>AVERAGE('R1'!K185,'R2'!K185,'R3'!K185)</f>
        <v>22.472908166666667</v>
      </c>
      <c r="E185">
        <f>AVERAGE('R1'!L185,'R2'!L185,'R3'!L185)</f>
        <v>-3.6241328619537776</v>
      </c>
      <c r="F185">
        <f>AVERAGE('R1'!M185,'R2'!M185,'R3'!M185)</f>
        <v>-2.0242045459273399</v>
      </c>
      <c r="G185">
        <f>AVERAGE('R1'!N185,'R2'!N185,'R3'!N185)</f>
        <v>-2.674247345507121</v>
      </c>
      <c r="H185">
        <f>AVERAGE('R1'!O185,'R2'!O185,'R3'!O185)</f>
        <v>-1.7478905485454863</v>
      </c>
      <c r="I185">
        <f t="shared" si="6"/>
        <v>4357.2471945370362</v>
      </c>
      <c r="K185">
        <f>_xlfn.STDEV.S('R1'!L185,'R2'!L185,'R3'!L185)</f>
        <v>1.4445680717285272E-2</v>
      </c>
      <c r="L185">
        <f>_xlfn.STDEV.S('R1'!M185,'R2'!M185,'R3'!M185)</f>
        <v>8.6285665508706779E-3</v>
      </c>
      <c r="M185">
        <f>_xlfn.STDEV.S('R1'!N185,'R2'!N185,'R3'!N185)</f>
        <v>1.6341997405106456E-2</v>
      </c>
      <c r="N185">
        <f>_xlfn.STDEV.S('R1'!O185,'R2'!O185,'R3'!O185)</f>
        <v>2.6819829279365005E-3</v>
      </c>
    </row>
    <row r="186" spans="1:14" x14ac:dyDescent="0.25">
      <c r="A186">
        <f>-'R1'!H186</f>
        <v>12</v>
      </c>
      <c r="B186">
        <f>DEGREES(ATAN(-SIN(RADIANS(('R1'!I186)))/(COS(RADIANS(Sheet1!A186))*COS(RADIANS('R1'!I186)))))</f>
        <v>44.632773428056808</v>
      </c>
      <c r="C186">
        <f>AVERAGE('R1'!J186,'R2'!J186,'R3'!J186)</f>
        <v>1.1633333333333331</v>
      </c>
      <c r="D186">
        <f>AVERAGE('R1'!K186,'R2'!K186,'R3'!K186)</f>
        <v>22.656682</v>
      </c>
      <c r="E186">
        <f>AVERAGE('R1'!L186,'R2'!L186,'R3'!L186)</f>
        <v>2.3406145127254137</v>
      </c>
      <c r="F186">
        <f>AVERAGE('R1'!M186,'R2'!M186,'R3'!M186)</f>
        <v>-1.1209860386479082</v>
      </c>
      <c r="G186">
        <f>AVERAGE('R1'!N186,'R2'!N186,'R3'!N186)</f>
        <v>-1.2557059631136944</v>
      </c>
      <c r="H186">
        <f>AVERAGE('R1'!O186,'R2'!O186,'R3'!O186)</f>
        <v>-1.0152876550641008</v>
      </c>
      <c r="I186">
        <f t="shared" si="6"/>
        <v>4392.8788988888882</v>
      </c>
      <c r="K186">
        <f>_xlfn.STDEV.S('R1'!L186,'R2'!L186,'R3'!L186)</f>
        <v>5.8974438669036179E-3</v>
      </c>
      <c r="L186">
        <f>_xlfn.STDEV.S('R1'!M186,'R2'!M186,'R3'!M186)</f>
        <v>1.8718993207469997E-3</v>
      </c>
      <c r="M186">
        <f>_xlfn.STDEV.S('R1'!N186,'R2'!N186,'R3'!N186)</f>
        <v>5.7259469161145046E-3</v>
      </c>
      <c r="N186">
        <f>_xlfn.STDEV.S('R1'!O186,'R2'!O186,'R3'!O186)</f>
        <v>2.608341898335417E-3</v>
      </c>
    </row>
    <row r="187" spans="1:14" x14ac:dyDescent="0.25">
      <c r="A187">
        <f>-'R1'!H187</f>
        <v>12</v>
      </c>
      <c r="B187">
        <f>DEGREES(ATAN(-SIN(RADIANS(('R1'!I187)))/(COS(RADIANS(Sheet1!A187))*COS(RADIANS('R1'!I187)))))</f>
        <v>40.624498244732152</v>
      </c>
      <c r="C187">
        <f>AVERAGE('R1'!J187,'R2'!J187,'R3'!J187)</f>
        <v>1.1633333333333331</v>
      </c>
      <c r="D187">
        <f>AVERAGE('R1'!K187,'R2'!K187,'R3'!K187)</f>
        <v>22.278203416666667</v>
      </c>
      <c r="E187">
        <f>AVERAGE('R1'!L187,'R2'!L187,'R3'!L187)</f>
        <v>2.105772940884755</v>
      </c>
      <c r="F187">
        <f>AVERAGE('R1'!M187,'R2'!M187,'R3'!M187)</f>
        <v>-1.0067443603368398</v>
      </c>
      <c r="G187">
        <f>AVERAGE('R1'!N187,'R2'!N187,'R3'!N187)</f>
        <v>-0.99132699324811091</v>
      </c>
      <c r="H187">
        <f>AVERAGE('R1'!O187,'R2'!O187,'R3'!O187)</f>
        <v>-0.79035350425003958</v>
      </c>
      <c r="I187">
        <f t="shared" si="6"/>
        <v>4319.4961068981474</v>
      </c>
      <c r="K187">
        <f>_xlfn.STDEV.S('R1'!L187,'R2'!L187,'R3'!L187)</f>
        <v>2.1228559180009434E-3</v>
      </c>
      <c r="L187">
        <f>_xlfn.STDEV.S('R1'!M187,'R2'!M187,'R3'!M187)</f>
        <v>2.6807069966920285E-3</v>
      </c>
      <c r="M187">
        <f>_xlfn.STDEV.S('R1'!N187,'R2'!N187,'R3'!N187)</f>
        <v>4.9225910042841325E-3</v>
      </c>
      <c r="N187">
        <f>_xlfn.STDEV.S('R1'!O187,'R2'!O187,'R3'!O187)</f>
        <v>1.8432351313152735E-3</v>
      </c>
    </row>
    <row r="188" spans="1:14" x14ac:dyDescent="0.25">
      <c r="A188">
        <f>-'R1'!H188</f>
        <v>12</v>
      </c>
      <c r="B188">
        <f>DEGREES(ATAN(-SIN(RADIANS(('R1'!I188)))/(COS(RADIANS(Sheet1!A188))*COS(RADIANS('R1'!I188)))))</f>
        <v>36.604002006988381</v>
      </c>
      <c r="C188">
        <f>AVERAGE('R1'!J188,'R2'!J188,'R3'!J188)</f>
        <v>1.1633333333333331</v>
      </c>
      <c r="D188">
        <f>AVERAGE('R1'!K188,'R2'!K188,'R3'!K188)</f>
        <v>22.461357833333334</v>
      </c>
      <c r="E188">
        <f>AVERAGE('R1'!L188,'R2'!L188,'R3'!L188)</f>
        <v>1.8965764543065673</v>
      </c>
      <c r="F188">
        <f>AVERAGE('R1'!M188,'R2'!M188,'R3'!M188)</f>
        <v>-0.92341063296718806</v>
      </c>
      <c r="G188">
        <f>AVERAGE('R1'!N188,'R2'!N188,'R3'!N188)</f>
        <v>-0.77923117480237813</v>
      </c>
      <c r="H188">
        <f>AVERAGE('R1'!O188,'R2'!O188,'R3'!O188)</f>
        <v>-0.59115171051722037</v>
      </c>
      <c r="I188">
        <f t="shared" si="6"/>
        <v>4355.0077132407405</v>
      </c>
      <c r="K188">
        <f>_xlfn.STDEV.S('R1'!L188,'R2'!L188,'R3'!L188)</f>
        <v>8.9384849678913556E-3</v>
      </c>
      <c r="L188">
        <f>_xlfn.STDEV.S('R1'!M188,'R2'!M188,'R3'!M188)</f>
        <v>5.3218853173320809E-4</v>
      </c>
      <c r="M188">
        <f>_xlfn.STDEV.S('R1'!N188,'R2'!N188,'R3'!N188)</f>
        <v>6.2133646673421302E-3</v>
      </c>
      <c r="N188">
        <f>_xlfn.STDEV.S('R1'!O188,'R2'!O188,'R3'!O188)</f>
        <v>3.5540878872723724E-3</v>
      </c>
    </row>
    <row r="189" spans="1:14" x14ac:dyDescent="0.25">
      <c r="A189">
        <f>-'R1'!H189</f>
        <v>12</v>
      </c>
      <c r="B189">
        <f>DEGREES(ATAN(-SIN(RADIANS(('R1'!I189)))/(COS(RADIANS(Sheet1!A189))*COS(RADIANS('R1'!I189)))))</f>
        <v>32.571632726288172</v>
      </c>
      <c r="C189">
        <f>AVERAGE('R1'!J189,'R2'!J189,'R3'!J189)</f>
        <v>1.1633333333333331</v>
      </c>
      <c r="D189">
        <f>AVERAGE('R1'!K189,'R2'!K189,'R3'!K189)</f>
        <v>22.622552083333336</v>
      </c>
      <c r="E189">
        <f>AVERAGE('R1'!L189,'R2'!L189,'R3'!L189)</f>
        <v>1.7002142658162931</v>
      </c>
      <c r="F189">
        <f>AVERAGE('R1'!M189,'R2'!M189,'R3'!M189)</f>
        <v>-0.85799988514913084</v>
      </c>
      <c r="G189">
        <f>AVERAGE('R1'!N189,'R2'!N189,'R3'!N189)</f>
        <v>-0.60228800140804151</v>
      </c>
      <c r="H189">
        <f>AVERAGE('R1'!O189,'R2'!O189,'R3'!O189)</f>
        <v>-0.40326459055769748</v>
      </c>
      <c r="I189">
        <f t="shared" si="6"/>
        <v>4386.2614872685181</v>
      </c>
      <c r="K189">
        <f>_xlfn.STDEV.S('R1'!L189,'R2'!L189,'R3'!L189)</f>
        <v>3.0563034650951497E-3</v>
      </c>
      <c r="L189">
        <f>_xlfn.STDEV.S('R1'!M189,'R2'!M189,'R3'!M189)</f>
        <v>3.7944658741831711E-3</v>
      </c>
      <c r="M189">
        <f>_xlfn.STDEV.S('R1'!N189,'R2'!N189,'R3'!N189)</f>
        <v>4.6314728229607206E-3</v>
      </c>
      <c r="N189">
        <f>_xlfn.STDEV.S('R1'!O189,'R2'!O189,'R3'!O189)</f>
        <v>5.0880600994938647E-3</v>
      </c>
    </row>
    <row r="190" spans="1:14" x14ac:dyDescent="0.25">
      <c r="A190">
        <f>-'R1'!H190</f>
        <v>12</v>
      </c>
      <c r="B190">
        <f>DEGREES(ATAN(-SIN(RADIANS(('R1'!I190)))/(COS(RADIANS(Sheet1!A190))*COS(RADIANS('R1'!I190)))))</f>
        <v>28.527978326363606</v>
      </c>
      <c r="C190">
        <f>AVERAGE('R1'!J190,'R2'!J190,'R3'!J190)</f>
        <v>1.1633333333333331</v>
      </c>
      <c r="D190">
        <f>AVERAGE('R1'!K190,'R2'!K190,'R3'!K190)</f>
        <v>22.889843416666668</v>
      </c>
      <c r="E190">
        <f>AVERAGE('R1'!L190,'R2'!L190,'R3'!L190)</f>
        <v>1.5173392173540818</v>
      </c>
      <c r="F190">
        <f>AVERAGE('R1'!M190,'R2'!M190,'R3'!M190)</f>
        <v>-0.80427500417198761</v>
      </c>
      <c r="G190">
        <f>AVERAGE('R1'!N190,'R2'!N190,'R3'!N190)</f>
        <v>-0.45776496548637963</v>
      </c>
      <c r="H190">
        <f>AVERAGE('R1'!O190,'R2'!O190,'R3'!O190)</f>
        <v>-0.22874687947677327</v>
      </c>
      <c r="I190">
        <f t="shared" si="6"/>
        <v>4438.086306898148</v>
      </c>
      <c r="K190">
        <f>_xlfn.STDEV.S('R1'!L190,'R2'!L190,'R3'!L190)</f>
        <v>7.1290337268530165E-4</v>
      </c>
      <c r="L190">
        <f>_xlfn.STDEV.S('R1'!M190,'R2'!M190,'R3'!M190)</f>
        <v>2.3495684109567775E-3</v>
      </c>
      <c r="M190">
        <f>_xlfn.STDEV.S('R1'!N190,'R2'!N190,'R3'!N190)</f>
        <v>7.0462194978953955E-4</v>
      </c>
      <c r="N190">
        <f>_xlfn.STDEV.S('R1'!O190,'R2'!O190,'R3'!O190)</f>
        <v>3.7530942125163602E-3</v>
      </c>
    </row>
    <row r="191" spans="1:14" x14ac:dyDescent="0.25">
      <c r="A191">
        <f>-'R1'!H191</f>
        <v>12</v>
      </c>
      <c r="B191">
        <f>DEGREES(ATAN(-SIN(RADIANS(('R1'!I191)))/(COS(RADIANS(Sheet1!A191))*COS(RADIANS('R1'!I191)))))</f>
        <v>24.473858605038014</v>
      </c>
      <c r="C191">
        <f>AVERAGE('R1'!J191,'R2'!J191,'R3'!J191)</f>
        <v>1.1633333333333331</v>
      </c>
      <c r="D191">
        <f>AVERAGE('R1'!K191,'R2'!K191,'R3'!K191)</f>
        <v>23.230082833333331</v>
      </c>
      <c r="E191">
        <f>AVERAGE('R1'!L191,'R2'!L191,'R3'!L191)</f>
        <v>1.3287335216262224</v>
      </c>
      <c r="F191">
        <f>AVERAGE('R1'!M191,'R2'!M191,'R3'!M191)</f>
        <v>-0.76961970928360246</v>
      </c>
      <c r="G191">
        <f>AVERAGE('R1'!N191,'R2'!N191,'R3'!N191)</f>
        <v>-0.33698787062864533</v>
      </c>
      <c r="H191">
        <f>AVERAGE('R1'!O191,'R2'!O191,'R3'!O191)</f>
        <v>-5.7717794521115473E-2</v>
      </c>
      <c r="I191">
        <f t="shared" si="6"/>
        <v>4504.0549493518502</v>
      </c>
      <c r="K191">
        <f>_xlfn.STDEV.S('R1'!L191,'R2'!L191,'R3'!L191)</f>
        <v>3.5192653184355038E-3</v>
      </c>
      <c r="L191">
        <f>_xlfn.STDEV.S('R1'!M191,'R2'!M191,'R3'!M191)</f>
        <v>2.5197675764838745E-3</v>
      </c>
      <c r="M191">
        <f>_xlfn.STDEV.S('R1'!N191,'R2'!N191,'R3'!N191)</f>
        <v>1.0789037413236231E-3</v>
      </c>
      <c r="N191">
        <f>_xlfn.STDEV.S('R1'!O191,'R2'!O191,'R3'!O191)</f>
        <v>4.1537511678317492E-3</v>
      </c>
    </row>
    <row r="192" spans="1:14" x14ac:dyDescent="0.25">
      <c r="A192">
        <f>-'R1'!H192</f>
        <v>12</v>
      </c>
      <c r="B192">
        <f>DEGREES(ATAN(-SIN(RADIANS(('R1'!I192)))/(COS(RADIANS(Sheet1!A192))*COS(RADIANS('R1'!I192)))))</f>
        <v>20.410311753659691</v>
      </c>
      <c r="C192">
        <f>AVERAGE('R1'!J192,'R2'!J192,'R3'!J192)</f>
        <v>1.1633333333333331</v>
      </c>
      <c r="D192">
        <f>AVERAGE('R1'!K192,'R2'!K192,'R3'!K192)</f>
        <v>23.132966499999998</v>
      </c>
      <c r="E192">
        <f>AVERAGE('R1'!L192,'R2'!L192,'R3'!L192)</f>
        <v>1.1260265480704712</v>
      </c>
      <c r="F192">
        <f>AVERAGE('R1'!M192,'R2'!M192,'R3'!M192)</f>
        <v>-0.75862282893966215</v>
      </c>
      <c r="G192">
        <f>AVERAGE('R1'!N192,'R2'!N192,'R3'!N192)</f>
        <v>-0.23884583407917051</v>
      </c>
      <c r="H192">
        <f>AVERAGE('R1'!O192,'R2'!O192,'R3'!O192)</f>
        <v>9.4765144327913178E-2</v>
      </c>
      <c r="I192">
        <f t="shared" si="6"/>
        <v>4485.2251713888872</v>
      </c>
      <c r="K192">
        <f>_xlfn.STDEV.S('R1'!L192,'R2'!L192,'R3'!L192)</f>
        <v>4.8327361576709837E-3</v>
      </c>
      <c r="L192">
        <f>_xlfn.STDEV.S('R1'!M192,'R2'!M192,'R3'!M192)</f>
        <v>5.0567931663825696E-3</v>
      </c>
      <c r="M192">
        <f>_xlfn.STDEV.S('R1'!N192,'R2'!N192,'R3'!N192)</f>
        <v>1.6294273858318698E-3</v>
      </c>
      <c r="N192">
        <f>_xlfn.STDEV.S('R1'!O192,'R2'!O192,'R3'!O192)</f>
        <v>1.8751520693824247E-3</v>
      </c>
    </row>
    <row r="193" spans="1:14" x14ac:dyDescent="0.25">
      <c r="A193">
        <f>-'R1'!H193</f>
        <v>12</v>
      </c>
      <c r="B193">
        <f>DEGREES(ATAN(-SIN(RADIANS(('R1'!I193)))/(COS(RADIANS(Sheet1!A193))*COS(RADIANS('R1'!I193)))))</f>
        <v>16.338575476506957</v>
      </c>
      <c r="C193">
        <f>AVERAGE('R1'!J193,'R2'!J193,'R3'!J193)</f>
        <v>1.1633333333333331</v>
      </c>
      <c r="D193">
        <f>AVERAGE('R1'!K193,'R2'!K193,'R3'!K193)</f>
        <v>22.768528666666665</v>
      </c>
      <c r="E193">
        <f>AVERAGE('R1'!L193,'R2'!L193,'R3'!L193)</f>
        <v>0.90780601647985559</v>
      </c>
      <c r="F193">
        <f>AVERAGE('R1'!M193,'R2'!M193,'R3'!M193)</f>
        <v>-0.78003796694070571</v>
      </c>
      <c r="G193">
        <f>AVERAGE('R1'!N193,'R2'!N193,'R3'!N193)</f>
        <v>-0.16368580583765072</v>
      </c>
      <c r="H193">
        <f>AVERAGE('R1'!O193,'R2'!O193,'R3'!O193)</f>
        <v>0.24733227688773349</v>
      </c>
      <c r="I193">
        <f t="shared" si="6"/>
        <v>4414.5647248148134</v>
      </c>
      <c r="K193">
        <f>_xlfn.STDEV.S('R1'!L193,'R2'!L193,'R3'!L193)</f>
        <v>6.1618080019986273E-3</v>
      </c>
      <c r="L193">
        <f>_xlfn.STDEV.S('R1'!M193,'R2'!M193,'R3'!M193)</f>
        <v>5.4413445917227271E-3</v>
      </c>
      <c r="M193">
        <f>_xlfn.STDEV.S('R1'!N193,'R2'!N193,'R3'!N193)</f>
        <v>2.8225586494452001E-3</v>
      </c>
      <c r="N193">
        <f>_xlfn.STDEV.S('R1'!O193,'R2'!O193,'R3'!O193)</f>
        <v>8.4153278961730403E-4</v>
      </c>
    </row>
    <row r="194" spans="1:14" x14ac:dyDescent="0.25">
      <c r="A194">
        <f>-'R1'!H194</f>
        <v>12</v>
      </c>
      <c r="B194">
        <f>DEGREES(ATAN(-SIN(RADIANS(('R1'!I194)))/(COS(RADIANS(Sheet1!A194))*COS(RADIANS('R1'!I194)))))</f>
        <v>12.260062948059348</v>
      </c>
      <c r="C194">
        <f>AVERAGE('R1'!J194,'R2'!J194,'R3'!J194)</f>
        <v>1.1633333333333331</v>
      </c>
      <c r="D194">
        <f>AVERAGE('R1'!K194,'R2'!K194,'R3'!K194)</f>
        <v>22.450473916666667</v>
      </c>
      <c r="E194">
        <f>AVERAGE('R1'!L194,'R2'!L194,'R3'!L194)</f>
        <v>0.67212905679219093</v>
      </c>
      <c r="F194">
        <f>AVERAGE('R1'!M194,'R2'!M194,'R3'!M194)</f>
        <v>-0.82113106723597307</v>
      </c>
      <c r="G194">
        <f>AVERAGE('R1'!N194,'R2'!N194,'R3'!N194)</f>
        <v>-0.11349176306215837</v>
      </c>
      <c r="H194">
        <f>AVERAGE('R1'!O194,'R2'!O194,'R3'!O194)</f>
        <v>0.40556154995816557</v>
      </c>
      <c r="I194">
        <f t="shared" si="6"/>
        <v>4352.8974427314806</v>
      </c>
      <c r="K194">
        <f>_xlfn.STDEV.S('R1'!L194,'R2'!L194,'R3'!L194)</f>
        <v>4.1029683322536597E-3</v>
      </c>
      <c r="L194">
        <f>_xlfn.STDEV.S('R1'!M194,'R2'!M194,'R3'!M194)</f>
        <v>6.5784120749414528E-3</v>
      </c>
      <c r="M194">
        <f>_xlfn.STDEV.S('R1'!N194,'R2'!N194,'R3'!N194)</f>
        <v>2.5204583348697263E-3</v>
      </c>
      <c r="N194">
        <f>_xlfn.STDEV.S('R1'!O194,'R2'!O194,'R3'!O194)</f>
        <v>3.8868053209820865E-3</v>
      </c>
    </row>
    <row r="195" spans="1:14" x14ac:dyDescent="0.25">
      <c r="A195">
        <f>-'R1'!H195</f>
        <v>12</v>
      </c>
      <c r="B195">
        <f>DEGREES(ATAN(-SIN(RADIANS(('R1'!I195)))/(COS(RADIANS(Sheet1!A195))*COS(RADIANS('R1'!I195)))))</f>
        <v>8.1763340518815415</v>
      </c>
      <c r="C195">
        <f>AVERAGE('R1'!J195,'R2'!J195,'R3'!J195)</f>
        <v>1.1633333333333331</v>
      </c>
      <c r="D195">
        <f>AVERAGE('R1'!K195,'R2'!K195,'R3'!K195)</f>
        <v>22.267310416666664</v>
      </c>
      <c r="E195">
        <f>AVERAGE('R1'!L195,'R2'!L195,'R3'!L195)</f>
        <v>0.4238831279590099</v>
      </c>
      <c r="F195">
        <f>AVERAGE('R1'!M195,'R2'!M195,'R3'!M195)</f>
        <v>-0.87352823016945902</v>
      </c>
      <c r="G195">
        <f>AVERAGE('R1'!N195,'R2'!N195,'R3'!N195)</f>
        <v>-7.8819254059365795E-2</v>
      </c>
      <c r="H195">
        <f>AVERAGE('R1'!O195,'R2'!O195,'R3'!O195)</f>
        <v>0.53309952064297683</v>
      </c>
      <c r="I195">
        <f t="shared" ref="I195:I258" si="7">10^5*C195*D195*0.003/1.8</f>
        <v>4317.38407523148</v>
      </c>
      <c r="K195">
        <f>_xlfn.STDEV.S('R1'!L195,'R2'!L195,'R3'!L195)</f>
        <v>3.9519482384013753E-3</v>
      </c>
      <c r="L195">
        <f>_xlfn.STDEV.S('R1'!M195,'R2'!M195,'R3'!M195)</f>
        <v>3.1304489560570622E-3</v>
      </c>
      <c r="M195">
        <f>_xlfn.STDEV.S('R1'!N195,'R2'!N195,'R3'!N195)</f>
        <v>2.2026923537323728E-3</v>
      </c>
      <c r="N195">
        <f>_xlfn.STDEV.S('R1'!O195,'R2'!O195,'R3'!O195)</f>
        <v>1.9799166742104795E-3</v>
      </c>
    </row>
    <row r="196" spans="1:14" x14ac:dyDescent="0.25">
      <c r="A196">
        <f>-'R1'!H196</f>
        <v>12</v>
      </c>
      <c r="B196">
        <f>DEGREES(ATAN(-SIN(RADIANS(('R1'!I196)))/(COS(RADIANS(Sheet1!A196))*COS(RADIANS('R1'!I196)))))</f>
        <v>4.0890625478299265</v>
      </c>
      <c r="C196">
        <f>AVERAGE('R1'!J196,'R2'!J196,'R3'!J196)</f>
        <v>1.1633333333333331</v>
      </c>
      <c r="D196">
        <f>AVERAGE('R1'!K196,'R2'!K196,'R3'!K196)</f>
        <v>22.106540333333331</v>
      </c>
      <c r="E196">
        <f>AVERAGE('R1'!L196,'R2'!L196,'R3'!L196)</f>
        <v>0.16252733424322949</v>
      </c>
      <c r="F196">
        <f>AVERAGE('R1'!M196,'R2'!M196,'R3'!M196)</f>
        <v>-0.92988778449350351</v>
      </c>
      <c r="G196">
        <f>AVERAGE('R1'!N196,'R2'!N196,'R3'!N196)</f>
        <v>-6.3219316524757554E-2</v>
      </c>
      <c r="H196">
        <f>AVERAGE('R1'!O196,'R2'!O196,'R3'!O196)</f>
        <v>0.64571593379028902</v>
      </c>
      <c r="I196">
        <f t="shared" si="7"/>
        <v>4286.2125424074065</v>
      </c>
      <c r="K196">
        <f>_xlfn.STDEV.S('R1'!L196,'R2'!L196,'R3'!L196)</f>
        <v>2.3819577509208438E-3</v>
      </c>
      <c r="L196">
        <f>_xlfn.STDEV.S('R1'!M196,'R2'!M196,'R3'!M196)</f>
        <v>4.7439394088499565E-3</v>
      </c>
      <c r="M196">
        <f>_xlfn.STDEV.S('R1'!N196,'R2'!N196,'R3'!N196)</f>
        <v>3.1536870962259539E-3</v>
      </c>
      <c r="N196">
        <f>_xlfn.STDEV.S('R1'!O196,'R2'!O196,'R3'!O196)</f>
        <v>2.5581960304348571E-4</v>
      </c>
    </row>
    <row r="197" spans="1:14" x14ac:dyDescent="0.25">
      <c r="A197">
        <f>-'R1'!H197</f>
        <v>12</v>
      </c>
      <c r="B197">
        <f>DEGREES(ATAN(-SIN(RADIANS(('R1'!I197)))/(COS(RADIANS(Sheet1!A197))*COS(RADIANS('R1'!I197)))))</f>
        <v>0</v>
      </c>
      <c r="C197">
        <f>AVERAGE('R1'!J197,'R2'!J197,'R3'!J197)</f>
        <v>1.1633333333333331</v>
      </c>
      <c r="D197">
        <f>AVERAGE('R1'!K197,'R2'!K197,'R3'!K197)</f>
        <v>22.309981083333337</v>
      </c>
      <c r="E197">
        <f>AVERAGE('R1'!L197,'R2'!L197,'R3'!L197)</f>
        <v>-0.12963582435630913</v>
      </c>
      <c r="F197">
        <f>AVERAGE('R1'!M197,'R2'!M197,'R3'!M197)</f>
        <v>-0.93113494568776745</v>
      </c>
      <c r="G197">
        <f>AVERAGE('R1'!N197,'R2'!N197,'R3'!N197)</f>
        <v>-5.9236927306461129E-2</v>
      </c>
      <c r="H197">
        <f>AVERAGE('R1'!O197,'R2'!O197,'R3'!O197)</f>
        <v>0.66218069174175298</v>
      </c>
      <c r="I197">
        <f t="shared" si="7"/>
        <v>4325.6574433796295</v>
      </c>
      <c r="K197">
        <f>_xlfn.STDEV.S('R1'!L197,'R2'!L197,'R3'!L197)</f>
        <v>3.0217933127019525E-3</v>
      </c>
      <c r="L197">
        <f>_xlfn.STDEV.S('R1'!M197,'R2'!M197,'R3'!M197)</f>
        <v>4.4990982228144275E-3</v>
      </c>
      <c r="M197">
        <f>_xlfn.STDEV.S('R1'!N197,'R2'!N197,'R3'!N197)</f>
        <v>4.4346581649074472E-3</v>
      </c>
      <c r="N197">
        <f>_xlfn.STDEV.S('R1'!O197,'R2'!O197,'R3'!O197)</f>
        <v>2.5274881748094119E-4</v>
      </c>
    </row>
    <row r="198" spans="1:14" x14ac:dyDescent="0.25">
      <c r="A198">
        <f>-'R1'!H198</f>
        <v>12</v>
      </c>
      <c r="B198">
        <f>DEGREES(ATAN(-SIN(RADIANS(('R1'!I198)))/(COS(RADIANS(Sheet1!A198))*COS(RADIANS('R1'!I198)))))</f>
        <v>-4.0890625478299265</v>
      </c>
      <c r="C198">
        <f>AVERAGE('R1'!J198,'R2'!J198,'R3'!J198)</f>
        <v>1.1633333333333331</v>
      </c>
      <c r="D198">
        <f>AVERAGE('R1'!K198,'R2'!K198,'R3'!K198)</f>
        <v>22.494159583333332</v>
      </c>
      <c r="E198">
        <f>AVERAGE('R1'!L198,'R2'!L198,'R3'!L198)</f>
        <v>-0.39968179221445704</v>
      </c>
      <c r="F198">
        <f>AVERAGE('R1'!M198,'R2'!M198,'R3'!M198)</f>
        <v>-0.84979343536448682</v>
      </c>
      <c r="G198">
        <f>AVERAGE('R1'!N198,'R2'!N198,'R3'!N198)</f>
        <v>-6.5720712743486495E-2</v>
      </c>
      <c r="H198">
        <f>AVERAGE('R1'!O198,'R2'!O198,'R3'!O198)</f>
        <v>0.57488552967572126</v>
      </c>
      <c r="I198">
        <f t="shared" si="7"/>
        <v>4361.3676081018502</v>
      </c>
      <c r="K198">
        <f>_xlfn.STDEV.S('R1'!L198,'R2'!L198,'R3'!L198)</f>
        <v>3.9904636871844271E-3</v>
      </c>
      <c r="L198">
        <f>_xlfn.STDEV.S('R1'!M198,'R2'!M198,'R3'!M198)</f>
        <v>4.9042970809290492E-3</v>
      </c>
      <c r="M198">
        <f>_xlfn.STDEV.S('R1'!N198,'R2'!N198,'R3'!N198)</f>
        <v>4.1919380905646028E-3</v>
      </c>
      <c r="N198">
        <f>_xlfn.STDEV.S('R1'!O198,'R2'!O198,'R3'!O198)</f>
        <v>6.0125109367798026E-3</v>
      </c>
    </row>
    <row r="199" spans="1:14" x14ac:dyDescent="0.25">
      <c r="A199">
        <f>-'R1'!H199</f>
        <v>12</v>
      </c>
      <c r="B199">
        <f>DEGREES(ATAN(-SIN(RADIANS(('R1'!I199)))/(COS(RADIANS(Sheet1!A199))*COS(RADIANS('R1'!I199)))))</f>
        <v>-8.1763340518815415</v>
      </c>
      <c r="C199">
        <f>AVERAGE('R1'!J199,'R2'!J199,'R3'!J199)</f>
        <v>1.1633333333333331</v>
      </c>
      <c r="D199">
        <f>AVERAGE('R1'!K199,'R2'!K199,'R3'!K199)</f>
        <v>23.109527416666666</v>
      </c>
      <c r="E199">
        <f>AVERAGE('R1'!L199,'R2'!L199,'R3'!L199)</f>
        <v>-0.66795543033123173</v>
      </c>
      <c r="F199">
        <f>AVERAGE('R1'!M199,'R2'!M199,'R3'!M199)</f>
        <v>-0.74983930097639317</v>
      </c>
      <c r="G199">
        <f>AVERAGE('R1'!N199,'R2'!N199,'R3'!N199)</f>
        <v>-9.1142310166011445E-2</v>
      </c>
      <c r="H199">
        <f>AVERAGE('R1'!O199,'R2'!O199,'R3'!O199)</f>
        <v>0.50136086834204296</v>
      </c>
      <c r="I199">
        <f t="shared" si="7"/>
        <v>4480.6805935648135</v>
      </c>
      <c r="K199">
        <f>_xlfn.STDEV.S('R1'!L199,'R2'!L199,'R3'!L199)</f>
        <v>2.4756985821113536E-3</v>
      </c>
      <c r="L199">
        <f>_xlfn.STDEV.S('R1'!M199,'R2'!M199,'R3'!M199)</f>
        <v>2.9701068843475897E-3</v>
      </c>
      <c r="M199">
        <f>_xlfn.STDEV.S('R1'!N199,'R2'!N199,'R3'!N199)</f>
        <v>2.945827414247182E-3</v>
      </c>
      <c r="N199">
        <f>_xlfn.STDEV.S('R1'!O199,'R2'!O199,'R3'!O199)</f>
        <v>3.3771690858597206E-3</v>
      </c>
    </row>
    <row r="200" spans="1:14" x14ac:dyDescent="0.25">
      <c r="A200">
        <f>-'R1'!H200</f>
        <v>12</v>
      </c>
      <c r="B200">
        <f>DEGREES(ATAN(-SIN(RADIANS(('R1'!I200)))/(COS(RADIANS(Sheet1!A200))*COS(RADIANS('R1'!I200)))))</f>
        <v>-12.260062948059348</v>
      </c>
      <c r="C200">
        <f>AVERAGE('R1'!J200,'R2'!J200,'R3'!J200)</f>
        <v>1.1633333333333331</v>
      </c>
      <c r="D200">
        <f>AVERAGE('R1'!K200,'R2'!K200,'R3'!K200)</f>
        <v>23.627239916666667</v>
      </c>
      <c r="E200">
        <f>AVERAGE('R1'!L200,'R2'!L200,'R3'!L200)</f>
        <v>-0.89571468827542089</v>
      </c>
      <c r="F200">
        <f>AVERAGE('R1'!M200,'R2'!M200,'R3'!M200)</f>
        <v>-0.71477361995313604</v>
      </c>
      <c r="G200">
        <f>AVERAGE('R1'!N200,'R2'!N200,'R3'!N200)</f>
        <v>-0.14874837839508814</v>
      </c>
      <c r="H200">
        <f>AVERAGE('R1'!O200,'R2'!O200,'R3'!O200)</f>
        <v>0.38684366676304266</v>
      </c>
      <c r="I200">
        <f t="shared" si="7"/>
        <v>4581.0592949537031</v>
      </c>
      <c r="K200">
        <f>_xlfn.STDEV.S('R1'!L200,'R2'!L200,'R3'!L200)</f>
        <v>1.6072420158366246E-3</v>
      </c>
      <c r="L200">
        <f>_xlfn.STDEV.S('R1'!M200,'R2'!M200,'R3'!M200)</f>
        <v>4.6947359893188554E-3</v>
      </c>
      <c r="M200">
        <f>_xlfn.STDEV.S('R1'!N200,'R2'!N200,'R3'!N200)</f>
        <v>4.162613184560942E-3</v>
      </c>
      <c r="N200">
        <f>_xlfn.STDEV.S('R1'!O200,'R2'!O200,'R3'!O200)</f>
        <v>2.7379161777246388E-3</v>
      </c>
    </row>
    <row r="201" spans="1:14" x14ac:dyDescent="0.25">
      <c r="A201">
        <f>-'R1'!H201</f>
        <v>12</v>
      </c>
      <c r="B201">
        <f>DEGREES(ATAN(-SIN(RADIANS(('R1'!I201)))/(COS(RADIANS(Sheet1!A201))*COS(RADIANS('R1'!I201)))))</f>
        <v>-16.338575476506957</v>
      </c>
      <c r="C201">
        <f>AVERAGE('R1'!J201,'R2'!J201,'R3'!J201)</f>
        <v>1.1633333333333331</v>
      </c>
      <c r="D201">
        <f>AVERAGE('R1'!K201,'R2'!K201,'R3'!K201)</f>
        <v>23.350122166666665</v>
      </c>
      <c r="E201">
        <f>AVERAGE('R1'!L201,'R2'!L201,'R3'!L201)</f>
        <v>-1.1269760588973996</v>
      </c>
      <c r="F201">
        <f>AVERAGE('R1'!M201,'R2'!M201,'R3'!M201)</f>
        <v>-0.69845091994956476</v>
      </c>
      <c r="G201">
        <f>AVERAGE('R1'!N201,'R2'!N201,'R3'!N201)</f>
        <v>-0.23671094336929513</v>
      </c>
      <c r="H201">
        <f>AVERAGE('R1'!O201,'R2'!O201,'R3'!O201)</f>
        <v>0.2528699847503646</v>
      </c>
      <c r="I201">
        <f t="shared" si="7"/>
        <v>4527.3292423148132</v>
      </c>
      <c r="K201">
        <f>_xlfn.STDEV.S('R1'!L201,'R2'!L201,'R3'!L201)</f>
        <v>3.6612229972319472E-3</v>
      </c>
      <c r="L201">
        <f>_xlfn.STDEV.S('R1'!M201,'R2'!M201,'R3'!M201)</f>
        <v>5.7851142949124617E-3</v>
      </c>
      <c r="M201">
        <f>_xlfn.STDEV.S('R1'!N201,'R2'!N201,'R3'!N201)</f>
        <v>3.9705962786384299E-3</v>
      </c>
      <c r="N201">
        <f>_xlfn.STDEV.S('R1'!O201,'R2'!O201,'R3'!O201)</f>
        <v>2.0595213138492243E-3</v>
      </c>
    </row>
    <row r="202" spans="1:14" x14ac:dyDescent="0.25">
      <c r="A202">
        <f>-'R1'!H202</f>
        <v>12</v>
      </c>
      <c r="B202">
        <f>DEGREES(ATAN(-SIN(RADIANS(('R1'!I202)))/(COS(RADIANS(Sheet1!A202))*COS(RADIANS('R1'!I202)))))</f>
        <v>-20.410311753659691</v>
      </c>
      <c r="C202">
        <f>AVERAGE('R1'!J202,'R2'!J202,'R3'!J202)</f>
        <v>1.1633333333333331</v>
      </c>
      <c r="D202">
        <f>AVERAGE('R1'!K202,'R2'!K202,'R3'!K202)</f>
        <v>22.946985083333331</v>
      </c>
      <c r="E202">
        <f>AVERAGE('R1'!L202,'R2'!L202,'R3'!L202)</f>
        <v>-1.3503737162137905</v>
      </c>
      <c r="F202">
        <f>AVERAGE('R1'!M202,'R2'!M202,'R3'!M202)</f>
        <v>-0.7367830397067765</v>
      </c>
      <c r="G202">
        <f>AVERAGE('R1'!N202,'R2'!N202,'R3'!N202)</f>
        <v>-0.36298934095488328</v>
      </c>
      <c r="H202">
        <f>AVERAGE('R1'!O202,'R2'!O202,'R3'!O202)</f>
        <v>7.9897622215462441E-2</v>
      </c>
      <c r="I202">
        <f t="shared" si="7"/>
        <v>4449.1654411574063</v>
      </c>
      <c r="K202">
        <f>_xlfn.STDEV.S('R1'!L202,'R2'!L202,'R3'!L202)</f>
        <v>3.7895876034698514E-3</v>
      </c>
      <c r="L202">
        <f>_xlfn.STDEV.S('R1'!M202,'R2'!M202,'R3'!M202)</f>
        <v>4.9655829825200606E-3</v>
      </c>
      <c r="M202">
        <f>_xlfn.STDEV.S('R1'!N202,'R2'!N202,'R3'!N202)</f>
        <v>2.2090651532710179E-3</v>
      </c>
      <c r="N202">
        <f>_xlfn.STDEV.S('R1'!O202,'R2'!O202,'R3'!O202)</f>
        <v>5.3078731675318955E-4</v>
      </c>
    </row>
    <row r="203" spans="1:14" x14ac:dyDescent="0.25">
      <c r="A203">
        <f>-'R1'!H203</f>
        <v>12</v>
      </c>
      <c r="B203">
        <f>DEGREES(ATAN(-SIN(RADIANS(('R1'!I203)))/(COS(RADIANS(Sheet1!A203))*COS(RADIANS('R1'!I203)))))</f>
        <v>-24.473858605038014</v>
      </c>
      <c r="C203">
        <f>AVERAGE('R1'!J203,'R2'!J203,'R3'!J203)</f>
        <v>1.1633333333333331</v>
      </c>
      <c r="D203">
        <f>AVERAGE('R1'!K203,'R2'!K203,'R3'!K203)</f>
        <v>22.342832083333331</v>
      </c>
      <c r="E203">
        <f>AVERAGE('R1'!L203,'R2'!L203,'R3'!L203)</f>
        <v>-1.5834572296137057</v>
      </c>
      <c r="F203">
        <f>AVERAGE('R1'!M203,'R2'!M203,'R3'!M203)</f>
        <v>-0.79823754531434166</v>
      </c>
      <c r="G203">
        <f>AVERAGE('R1'!N203,'R2'!N203,'R3'!N203)</f>
        <v>-0.52539538304718414</v>
      </c>
      <c r="H203">
        <f>AVERAGE('R1'!O203,'R2'!O203,'R3'!O203)</f>
        <v>-0.11234814613327997</v>
      </c>
      <c r="I203">
        <f t="shared" si="7"/>
        <v>4332.0268872685174</v>
      </c>
      <c r="K203">
        <f>_xlfn.STDEV.S('R1'!L203,'R2'!L203,'R3'!L203)</f>
        <v>3.7049514814868358E-3</v>
      </c>
      <c r="L203">
        <f>_xlfn.STDEV.S('R1'!M203,'R2'!M203,'R3'!M203)</f>
        <v>2.540585440405049E-3</v>
      </c>
      <c r="M203">
        <f>_xlfn.STDEV.S('R1'!N203,'R2'!N203,'R3'!N203)</f>
        <v>2.5285771861162181E-3</v>
      </c>
      <c r="N203">
        <f>_xlfn.STDEV.S('R1'!O203,'R2'!O203,'R3'!O203)</f>
        <v>6.9039781251398723E-3</v>
      </c>
    </row>
    <row r="204" spans="1:14" x14ac:dyDescent="0.25">
      <c r="A204">
        <f>-'R1'!H204</f>
        <v>12</v>
      </c>
      <c r="B204">
        <f>DEGREES(ATAN(-SIN(RADIANS(('R1'!I204)))/(COS(RADIANS(Sheet1!A204))*COS(RADIANS('R1'!I204)))))</f>
        <v>-28.527978326363606</v>
      </c>
      <c r="C204">
        <f>AVERAGE('R1'!J204,'R2'!J204,'R3'!J204)</f>
        <v>1.1633333333333331</v>
      </c>
      <c r="D204">
        <f>AVERAGE('R1'!K204,'R2'!K204,'R3'!K204)</f>
        <v>21.862522083333332</v>
      </c>
      <c r="E204">
        <f>AVERAGE('R1'!L204,'R2'!L204,'R3'!L204)</f>
        <v>-1.8542652379108031</v>
      </c>
      <c r="F204">
        <f>AVERAGE('R1'!M204,'R2'!M204,'R3'!M204)</f>
        <v>-0.86707848388847619</v>
      </c>
      <c r="G204">
        <f>AVERAGE('R1'!N204,'R2'!N204,'R3'!N204)</f>
        <v>-0.7343816157451597</v>
      </c>
      <c r="H204">
        <f>AVERAGE('R1'!O204,'R2'!O204,'R3'!O204)</f>
        <v>-0.32169126226161004</v>
      </c>
      <c r="I204">
        <f t="shared" si="7"/>
        <v>4238.9001150462955</v>
      </c>
      <c r="K204">
        <f>_xlfn.STDEV.S('R1'!L204,'R2'!L204,'R3'!L204)</f>
        <v>3.4441036123625062E-3</v>
      </c>
      <c r="L204">
        <f>_xlfn.STDEV.S('R1'!M204,'R2'!M204,'R3'!M204)</f>
        <v>7.3536223036633451E-3</v>
      </c>
      <c r="M204">
        <f>_xlfn.STDEV.S('R1'!N204,'R2'!N204,'R3'!N204)</f>
        <v>5.5406304222813067E-3</v>
      </c>
      <c r="N204">
        <f>_xlfn.STDEV.S('R1'!O204,'R2'!O204,'R3'!O204)</f>
        <v>2.8101077308195794E-3</v>
      </c>
    </row>
    <row r="205" spans="1:14" x14ac:dyDescent="0.25">
      <c r="A205">
        <f>-'R1'!H205</f>
        <v>12</v>
      </c>
      <c r="B205">
        <f>DEGREES(ATAN(-SIN(RADIANS(('R1'!I205)))/(COS(RADIANS(Sheet1!A205))*COS(RADIANS('R1'!I205)))))</f>
        <v>-32.571632726288172</v>
      </c>
      <c r="C205">
        <f>AVERAGE('R1'!J205,'R2'!J205,'R3'!J205)</f>
        <v>1.1633333333333331</v>
      </c>
      <c r="D205">
        <f>AVERAGE('R1'!K205,'R2'!K205,'R3'!K205)</f>
        <v>21.889084</v>
      </c>
      <c r="E205">
        <f>AVERAGE('R1'!L205,'R2'!L205,'R3'!L205)</f>
        <v>-2.190125387319052</v>
      </c>
      <c r="F205">
        <f>AVERAGE('R1'!M205,'R2'!M205,'R3'!M205)</f>
        <v>-0.97968247471138958</v>
      </c>
      <c r="G205">
        <f>AVERAGE('R1'!N205,'R2'!N205,'R3'!N205)</f>
        <v>-1.0300041084361726</v>
      </c>
      <c r="H205">
        <f>AVERAGE('R1'!O205,'R2'!O205,'R3'!O205)</f>
        <v>-0.56750361529926052</v>
      </c>
      <c r="I205">
        <f t="shared" si="7"/>
        <v>4244.0501755555551</v>
      </c>
      <c r="K205">
        <f>_xlfn.STDEV.S('R1'!L205,'R2'!L205,'R3'!L205)</f>
        <v>2.5823125395931274E-3</v>
      </c>
      <c r="L205">
        <f>_xlfn.STDEV.S('R1'!M205,'R2'!M205,'R3'!M205)</f>
        <v>8.7118370263714016E-3</v>
      </c>
      <c r="M205">
        <f>_xlfn.STDEV.S('R1'!N205,'R2'!N205,'R3'!N205)</f>
        <v>8.4357589163142378E-3</v>
      </c>
      <c r="N205">
        <f>_xlfn.STDEV.S('R1'!O205,'R2'!O205,'R3'!O205)</f>
        <v>5.3130195138941499E-3</v>
      </c>
    </row>
    <row r="206" spans="1:14" x14ac:dyDescent="0.25">
      <c r="A206">
        <f>-'R1'!H206</f>
        <v>12</v>
      </c>
      <c r="B206">
        <f>DEGREES(ATAN(-SIN(RADIANS(('R1'!I206)))/(COS(RADIANS(Sheet1!A206))*COS(RADIANS('R1'!I206)))))</f>
        <v>-36.604002006988381</v>
      </c>
      <c r="C206">
        <f>AVERAGE('R1'!J206,'R2'!J206,'R3'!J206)</f>
        <v>1.1633333333333331</v>
      </c>
      <c r="D206">
        <f>AVERAGE('R1'!K206,'R2'!K206,'R3'!K206)</f>
        <v>22.076255</v>
      </c>
      <c r="E206">
        <f>AVERAGE('R1'!L206,'R2'!L206,'R3'!L206)</f>
        <v>-2.6328458828354129</v>
      </c>
      <c r="F206">
        <f>AVERAGE('R1'!M206,'R2'!M206,'R3'!M206)</f>
        <v>-1.1278174347434342</v>
      </c>
      <c r="G206">
        <f>AVERAGE('R1'!N206,'R2'!N206,'R3'!N206)</f>
        <v>-1.4411909632302908</v>
      </c>
      <c r="H206">
        <f>AVERAGE('R1'!O206,'R2'!O206,'R3'!O206)</f>
        <v>-0.85593402268579599</v>
      </c>
      <c r="I206">
        <f t="shared" si="7"/>
        <v>4280.3405527777768</v>
      </c>
      <c r="K206">
        <f>_xlfn.STDEV.S('R1'!L206,'R2'!L206,'R3'!L206)</f>
        <v>1.2905111364185899E-2</v>
      </c>
      <c r="L206">
        <f>_xlfn.STDEV.S('R1'!M206,'R2'!M206,'R3'!M206)</f>
        <v>6.5120616775058331E-3</v>
      </c>
      <c r="M206">
        <f>_xlfn.STDEV.S('R1'!N206,'R2'!N206,'R3'!N206)</f>
        <v>1.0426459156548126E-2</v>
      </c>
      <c r="N206">
        <f>_xlfn.STDEV.S('R1'!O206,'R2'!O206,'R3'!O206)</f>
        <v>7.7876360589224283E-3</v>
      </c>
    </row>
    <row r="207" spans="1:14" x14ac:dyDescent="0.25">
      <c r="A207">
        <f>-'R1'!H207</f>
        <v>12</v>
      </c>
      <c r="B207">
        <f>DEGREES(ATAN(-SIN(RADIANS(('R1'!I207)))/(COS(RADIANS(Sheet1!A207))*COS(RADIANS('R1'!I207)))))</f>
        <v>-40.624498244732152</v>
      </c>
      <c r="C207">
        <f>AVERAGE('R1'!J207,'R2'!J207,'R3'!J207)</f>
        <v>1.1633333333333331</v>
      </c>
      <c r="D207">
        <f>AVERAGE('R1'!K207,'R2'!K207,'R3'!K207)</f>
        <v>22.667094000000002</v>
      </c>
      <c r="E207">
        <f>AVERAGE('R1'!L207,'R2'!L207,'R3'!L207)</f>
        <v>-3.2824857343674139</v>
      </c>
      <c r="F207">
        <f>AVERAGE('R1'!M207,'R2'!M207,'R3'!M207)</f>
        <v>-1.3513458500870703</v>
      </c>
      <c r="G207">
        <f>AVERAGE('R1'!N207,'R2'!N207,'R3'!N207)</f>
        <v>-2.0683140974775696</v>
      </c>
      <c r="H207">
        <f>AVERAGE('R1'!O207,'R2'!O207,'R3'!O207)</f>
        <v>-1.2485493296572858</v>
      </c>
      <c r="I207">
        <f t="shared" si="7"/>
        <v>4394.8976699999994</v>
      </c>
      <c r="K207">
        <f>_xlfn.STDEV.S('R1'!L207,'R2'!L207,'R3'!L207)</f>
        <v>2.4046980273939676E-2</v>
      </c>
      <c r="L207">
        <f>_xlfn.STDEV.S('R1'!M207,'R2'!M207,'R3'!M207)</f>
        <v>1.5183257305086415E-3</v>
      </c>
      <c r="M207">
        <f>_xlfn.STDEV.S('R1'!N207,'R2'!N207,'R3'!N207)</f>
        <v>1.8196539861822077E-2</v>
      </c>
      <c r="N207">
        <f>_xlfn.STDEV.S('R1'!O207,'R2'!O207,'R3'!O207)</f>
        <v>5.6479901952956723E-3</v>
      </c>
    </row>
    <row r="208" spans="1:14" x14ac:dyDescent="0.25">
      <c r="A208">
        <f>-'R1'!H208</f>
        <v>12</v>
      </c>
      <c r="B208">
        <f>DEGREES(ATAN(-SIN(RADIANS(('R1'!I208)))/(COS(RADIANS(Sheet1!A208))*COS(RADIANS('R1'!I208)))))</f>
        <v>-44.632773428056808</v>
      </c>
      <c r="C208">
        <f>AVERAGE('R1'!J208,'R2'!J208,'R3'!J208)</f>
        <v>1.1633333333333331</v>
      </c>
      <c r="D208">
        <f>AVERAGE('R1'!K208,'R2'!K208,'R3'!K208)</f>
        <v>23.239544333333331</v>
      </c>
      <c r="E208">
        <f>AVERAGE('R1'!L208,'R2'!L208,'R3'!L208)</f>
        <v>-4.2288960594645664</v>
      </c>
      <c r="F208">
        <f>AVERAGE('R1'!M208,'R2'!M208,'R3'!M208)</f>
        <v>-1.6915593239677478</v>
      </c>
      <c r="G208">
        <f>AVERAGE('R1'!N208,'R2'!N208,'R3'!N208)</f>
        <v>-3.0210521592158375</v>
      </c>
      <c r="H208">
        <f>AVERAGE('R1'!O208,'R2'!O208,'R3'!O208)</f>
        <v>-1.8179009642465171</v>
      </c>
      <c r="I208">
        <f t="shared" si="7"/>
        <v>4505.8894290740727</v>
      </c>
      <c r="K208">
        <f>_xlfn.STDEV.S('R1'!L208,'R2'!L208,'R3'!L208)</f>
        <v>1.1895035840953977E-2</v>
      </c>
      <c r="L208">
        <f>_xlfn.STDEV.S('R1'!M208,'R2'!M208,'R3'!M208)</f>
        <v>1.1124136569872654E-2</v>
      </c>
      <c r="M208">
        <f>_xlfn.STDEV.S('R1'!N208,'R2'!N208,'R3'!N208)</f>
        <v>1.1782474429820894E-2</v>
      </c>
      <c r="N208">
        <f>_xlfn.STDEV.S('R1'!O208,'R2'!O208,'R3'!O208)</f>
        <v>6.3391123581604284E-3</v>
      </c>
    </row>
    <row r="209" spans="1:14" x14ac:dyDescent="0.25">
      <c r="A209">
        <f>-'R1'!H209</f>
        <v>8</v>
      </c>
      <c r="B209">
        <f>DEGREES(ATAN(-SIN(RADIANS(('R1'!I209)))/(COS(RADIANS(Sheet1!A209))*COS(RADIANS('R1'!I209)))))</f>
        <v>44.280037446618948</v>
      </c>
      <c r="C209">
        <f>AVERAGE('R1'!J209,'R2'!J209,'R3'!J209)</f>
        <v>1.1633333333333331</v>
      </c>
      <c r="D209">
        <f>AVERAGE('R1'!K209,'R2'!K209,'R3'!K209)</f>
        <v>23.847787166666667</v>
      </c>
      <c r="E209">
        <f>AVERAGE('R1'!L209,'R2'!L209,'R3'!L209)</f>
        <v>2.607485792350273</v>
      </c>
      <c r="F209">
        <f>AVERAGE('R1'!M209,'R2'!M209,'R3'!M209)</f>
        <v>-0.85513424121828774</v>
      </c>
      <c r="G209">
        <f>AVERAGE('R1'!N209,'R2'!N209,'R3'!N209)</f>
        <v>-1.3612388796059089</v>
      </c>
      <c r="H209">
        <f>AVERAGE('R1'!O209,'R2'!O209,'R3'!O209)</f>
        <v>-1.0114121722622773</v>
      </c>
      <c r="I209">
        <f t="shared" si="7"/>
        <v>4623.8209562037027</v>
      </c>
      <c r="K209">
        <f>_xlfn.STDEV.S('R1'!L209,'R2'!L209,'R3'!L209)</f>
        <v>4.1955448525451064E-3</v>
      </c>
      <c r="L209">
        <f>_xlfn.STDEV.S('R1'!M209,'R2'!M209,'R3'!M209)</f>
        <v>2.6248362393817997E-3</v>
      </c>
      <c r="M209">
        <f>_xlfn.STDEV.S('R1'!N209,'R2'!N209,'R3'!N209)</f>
        <v>8.3627461388798788E-4</v>
      </c>
      <c r="N209">
        <f>_xlfn.STDEV.S('R1'!O209,'R2'!O209,'R3'!O209)</f>
        <v>2.3624832435026476E-3</v>
      </c>
    </row>
    <row r="210" spans="1:14" x14ac:dyDescent="0.25">
      <c r="A210">
        <f>-'R1'!H210</f>
        <v>8</v>
      </c>
      <c r="B210">
        <f>DEGREES(ATAN(-SIN(RADIANS(('R1'!I210)))/(COS(RADIANS(Sheet1!A210))*COS(RADIANS('R1'!I210)))))</f>
        <v>40.276138588852518</v>
      </c>
      <c r="C210">
        <f>AVERAGE('R1'!J210,'R2'!J210,'R3'!J210)</f>
        <v>1.1633333333333331</v>
      </c>
      <c r="D210">
        <f>AVERAGE('R1'!K210,'R2'!K210,'R3'!K210)</f>
        <v>23.488569416666667</v>
      </c>
      <c r="E210">
        <f>AVERAGE('R1'!L210,'R2'!L210,'R3'!L210)</f>
        <v>2.2996514274785098</v>
      </c>
      <c r="F210">
        <f>AVERAGE('R1'!M210,'R2'!M210,'R3'!M210)</f>
        <v>-0.76079862688044997</v>
      </c>
      <c r="G210">
        <f>AVERAGE('R1'!N210,'R2'!N210,'R3'!N210)</f>
        <v>-1.0468629114272499</v>
      </c>
      <c r="H210">
        <f>AVERAGE('R1'!O210,'R2'!O210,'R3'!O210)</f>
        <v>-0.76507008775841667</v>
      </c>
      <c r="I210">
        <f t="shared" si="7"/>
        <v>4554.1726257870359</v>
      </c>
      <c r="K210">
        <f>_xlfn.STDEV.S('R1'!L210,'R2'!L210,'R3'!L210)</f>
        <v>3.6288669794825017E-3</v>
      </c>
      <c r="L210">
        <f>_xlfn.STDEV.S('R1'!M210,'R2'!M210,'R3'!M210)</f>
        <v>4.1187563960512121E-3</v>
      </c>
      <c r="M210">
        <f>_xlfn.STDEV.S('R1'!N210,'R2'!N210,'R3'!N210)</f>
        <v>3.6857114503956565E-3</v>
      </c>
      <c r="N210">
        <f>_xlfn.STDEV.S('R1'!O210,'R2'!O210,'R3'!O210)</f>
        <v>1.5042943420286181E-3</v>
      </c>
    </row>
    <row r="211" spans="1:14" x14ac:dyDescent="0.25">
      <c r="A211">
        <f>-'R1'!H211</f>
        <v>8</v>
      </c>
      <c r="B211">
        <f>DEGREES(ATAN(-SIN(RADIANS(('R1'!I211)))/(COS(RADIANS(Sheet1!A211))*COS(RADIANS('R1'!I211)))))</f>
        <v>36.2668517150396</v>
      </c>
      <c r="C211">
        <f>AVERAGE('R1'!J211,'R2'!J211,'R3'!J211)</f>
        <v>1.1633333333333331</v>
      </c>
      <c r="D211">
        <f>AVERAGE('R1'!K211,'R2'!K211,'R3'!K211)</f>
        <v>22.741703083333334</v>
      </c>
      <c r="E211">
        <f>AVERAGE('R1'!L211,'R2'!L211,'R3'!L211)</f>
        <v>2.0411490642545034</v>
      </c>
      <c r="F211">
        <f>AVERAGE('R1'!M211,'R2'!M211,'R3'!M211)</f>
        <v>-0.68161020731879363</v>
      </c>
      <c r="G211">
        <f>AVERAGE('R1'!N211,'R2'!N211,'R3'!N211)</f>
        <v>-0.79813478751011857</v>
      </c>
      <c r="H211">
        <f>AVERAGE('R1'!O211,'R2'!O211,'R3'!O211)</f>
        <v>-0.54462776745865904</v>
      </c>
      <c r="I211">
        <f t="shared" si="7"/>
        <v>4409.3635422685174</v>
      </c>
      <c r="K211">
        <f>_xlfn.STDEV.S('R1'!L211,'R2'!L211,'R3'!L211)</f>
        <v>1.291940118196231E-2</v>
      </c>
      <c r="L211">
        <f>_xlfn.STDEV.S('R1'!M211,'R2'!M211,'R3'!M211)</f>
        <v>2.4040423430582527E-3</v>
      </c>
      <c r="M211">
        <f>_xlfn.STDEV.S('R1'!N211,'R2'!N211,'R3'!N211)</f>
        <v>5.4754892738433977E-3</v>
      </c>
      <c r="N211">
        <f>_xlfn.STDEV.S('R1'!O211,'R2'!O211,'R3'!O211)</f>
        <v>4.3817229748071874E-3</v>
      </c>
    </row>
    <row r="212" spans="1:14" x14ac:dyDescent="0.25">
      <c r="A212">
        <f>-'R1'!H212</f>
        <v>8</v>
      </c>
      <c r="B212">
        <f>DEGREES(ATAN(-SIN(RADIANS(('R1'!I212)))/(COS(RADIANS(Sheet1!A212))*COS(RADIANS('R1'!I212)))))</f>
        <v>32.252347723135095</v>
      </c>
      <c r="C212">
        <f>AVERAGE('R1'!J212,'R2'!J212,'R3'!J212)</f>
        <v>1.1633333333333331</v>
      </c>
      <c r="D212">
        <f>AVERAGE('R1'!K212,'R2'!K212,'R3'!K212)</f>
        <v>22.018798833333335</v>
      </c>
      <c r="E212">
        <f>AVERAGE('R1'!L212,'R2'!L212,'R3'!L212)</f>
        <v>1.8182524448711028</v>
      </c>
      <c r="F212">
        <f>AVERAGE('R1'!M212,'R2'!M212,'R3'!M212)</f>
        <v>-0.62001818857011159</v>
      </c>
      <c r="G212">
        <f>AVERAGE('R1'!N212,'R2'!N212,'R3'!N212)</f>
        <v>-0.60009254001565748</v>
      </c>
      <c r="H212">
        <f>AVERAGE('R1'!O212,'R2'!O212,'R3'!O212)</f>
        <v>-0.34523011221861699</v>
      </c>
      <c r="I212">
        <f t="shared" si="7"/>
        <v>4269.2004404629624</v>
      </c>
      <c r="K212">
        <f>_xlfn.STDEV.S('R1'!L212,'R2'!L212,'R3'!L212)</f>
        <v>7.9923708472347567E-3</v>
      </c>
      <c r="L212">
        <f>_xlfn.STDEV.S('R1'!M212,'R2'!M212,'R3'!M212)</f>
        <v>2.01126005528143E-3</v>
      </c>
      <c r="M212">
        <f>_xlfn.STDEV.S('R1'!N212,'R2'!N212,'R3'!N212)</f>
        <v>1.1261797207626381E-3</v>
      </c>
      <c r="N212">
        <f>_xlfn.STDEV.S('R1'!O212,'R2'!O212,'R3'!O212)</f>
        <v>3.1598334043705634E-3</v>
      </c>
    </row>
    <row r="213" spans="1:14" x14ac:dyDescent="0.25">
      <c r="A213">
        <f>-'R1'!H213</f>
        <v>8</v>
      </c>
      <c r="B213">
        <f>DEGREES(ATAN(-SIN(RADIANS(('R1'!I213)))/(COS(RADIANS(Sheet1!A213))*COS(RADIANS('R1'!I213)))))</f>
        <v>28.23290083045832</v>
      </c>
      <c r="C213">
        <f>AVERAGE('R1'!J213,'R2'!J213,'R3'!J213)</f>
        <v>1.1633333333333331</v>
      </c>
      <c r="D213">
        <f>AVERAGE('R1'!K213,'R2'!K213,'R3'!K213)</f>
        <v>21.410686249999998</v>
      </c>
      <c r="E213">
        <f>AVERAGE('R1'!L213,'R2'!L213,'R3'!L213)</f>
        <v>1.6088379679674325</v>
      </c>
      <c r="F213">
        <f>AVERAGE('R1'!M213,'R2'!M213,'R3'!M213)</f>
        <v>-0.57968395918107818</v>
      </c>
      <c r="G213">
        <f>AVERAGE('R1'!N213,'R2'!N213,'R3'!N213)</f>
        <v>-0.44270165155086499</v>
      </c>
      <c r="H213">
        <f>AVERAGE('R1'!O213,'R2'!O213,'R3'!O213)</f>
        <v>-0.16413432090131216</v>
      </c>
      <c r="I213">
        <f t="shared" si="7"/>
        <v>4151.2941673611094</v>
      </c>
      <c r="K213">
        <f>_xlfn.STDEV.S('R1'!L213,'R2'!L213,'R3'!L213)</f>
        <v>8.9677353540567762E-3</v>
      </c>
      <c r="L213">
        <f>_xlfn.STDEV.S('R1'!M213,'R2'!M213,'R3'!M213)</f>
        <v>5.1110062474638398E-3</v>
      </c>
      <c r="M213">
        <f>_xlfn.STDEV.S('R1'!N213,'R2'!N213,'R3'!N213)</f>
        <v>3.8567476468686335E-3</v>
      </c>
      <c r="N213">
        <f>_xlfn.STDEV.S('R1'!O213,'R2'!O213,'R3'!O213)</f>
        <v>1.0888025358248999E-3</v>
      </c>
    </row>
    <row r="214" spans="1:14" x14ac:dyDescent="0.25">
      <c r="A214">
        <f>-'R1'!H214</f>
        <v>8</v>
      </c>
      <c r="B214">
        <f>DEGREES(ATAN(-SIN(RADIANS(('R1'!I214)))/(COS(RADIANS(Sheet1!A214))*COS(RADIANS('R1'!I214)))))</f>
        <v>24.208883875277589</v>
      </c>
      <c r="C214">
        <f>AVERAGE('R1'!J214,'R2'!J214,'R3'!J214)</f>
        <v>1.1633333333333331</v>
      </c>
      <c r="D214">
        <f>AVERAGE('R1'!K214,'R2'!K214,'R3'!K214)</f>
        <v>21.671635999999996</v>
      </c>
      <c r="E214">
        <f>AVERAGE('R1'!L214,'R2'!L214,'R3'!L214)</f>
        <v>1.4118490411148041</v>
      </c>
      <c r="F214">
        <f>AVERAGE('R1'!M214,'R2'!M214,'R3'!M214)</f>
        <v>-0.53335909094757283</v>
      </c>
      <c r="G214">
        <f>AVERAGE('R1'!N214,'R2'!N214,'R3'!N214)</f>
        <v>-0.30902472008633852</v>
      </c>
      <c r="H214">
        <f>AVERAGE('R1'!O214,'R2'!O214,'R3'!O214)</f>
        <v>3.0157185274643935E-3</v>
      </c>
      <c r="I214">
        <f t="shared" si="7"/>
        <v>4201.8894244444427</v>
      </c>
      <c r="K214">
        <f>_xlfn.STDEV.S('R1'!L214,'R2'!L214,'R3'!L214)</f>
        <v>4.7260802866862257E-3</v>
      </c>
      <c r="L214">
        <f>_xlfn.STDEV.S('R1'!M214,'R2'!M214,'R3'!M214)</f>
        <v>2.1403297345972809E-3</v>
      </c>
      <c r="M214">
        <f>_xlfn.STDEV.S('R1'!N214,'R2'!N214,'R3'!N214)</f>
        <v>1.9975171725013607E-3</v>
      </c>
      <c r="N214">
        <f>_xlfn.STDEV.S('R1'!O214,'R2'!O214,'R3'!O214)</f>
        <v>2.6777613082273883E-3</v>
      </c>
    </row>
    <row r="215" spans="1:14" x14ac:dyDescent="0.25">
      <c r="A215">
        <f>-'R1'!H215</f>
        <v>8</v>
      </c>
      <c r="B215">
        <f>DEGREES(ATAN(-SIN(RADIANS(('R1'!I215)))/(COS(RADIANS(Sheet1!A215))*COS(RADIANS('R1'!I215)))))</f>
        <v>20.180761513231211</v>
      </c>
      <c r="C215">
        <f>AVERAGE('R1'!J215,'R2'!J215,'R3'!J215)</f>
        <v>1.1633333333333331</v>
      </c>
      <c r="D215">
        <f>AVERAGE('R1'!K215,'R2'!K215,'R3'!K215)</f>
        <v>22.116769083333335</v>
      </c>
      <c r="E215">
        <f>AVERAGE('R1'!L215,'R2'!L215,'R3'!L215)</f>
        <v>1.2147037293506135</v>
      </c>
      <c r="F215">
        <f>AVERAGE('R1'!M215,'R2'!M215,'R3'!M215)</f>
        <v>-0.51783169270089058</v>
      </c>
      <c r="G215">
        <f>AVERAGE('R1'!N215,'R2'!N215,'R3'!N215)</f>
        <v>-0.20617240167972864</v>
      </c>
      <c r="H215">
        <f>AVERAGE('R1'!O215,'R2'!O215,'R3'!O215)</f>
        <v>0.15984876512404397</v>
      </c>
      <c r="I215">
        <f t="shared" si="7"/>
        <v>4288.1957833796287</v>
      </c>
      <c r="K215">
        <f>_xlfn.STDEV.S('R1'!L215,'R2'!L215,'R3'!L215)</f>
        <v>4.5387550477830607E-3</v>
      </c>
      <c r="L215">
        <f>_xlfn.STDEV.S('R1'!M215,'R2'!M215,'R3'!M215)</f>
        <v>4.6103714058615096E-3</v>
      </c>
      <c r="M215">
        <f>_xlfn.STDEV.S('R1'!N215,'R2'!N215,'R3'!N215)</f>
        <v>2.1993676319474356E-3</v>
      </c>
      <c r="N215">
        <f>_xlfn.STDEV.S('R1'!O215,'R2'!O215,'R3'!O215)</f>
        <v>4.7450656601070627E-4</v>
      </c>
    </row>
    <row r="216" spans="1:14" x14ac:dyDescent="0.25">
      <c r="A216">
        <f>-'R1'!H216</f>
        <v>8</v>
      </c>
      <c r="B216">
        <f>DEGREES(ATAN(-SIN(RADIANS(('R1'!I216)))/(COS(RADIANS(Sheet1!A216))*COS(RADIANS('R1'!I216)))))</f>
        <v>16.149081403494897</v>
      </c>
      <c r="C216">
        <f>AVERAGE('R1'!J216,'R2'!J216,'R3'!J216)</f>
        <v>1.1633333333333331</v>
      </c>
      <c r="D216">
        <f>AVERAGE('R1'!K216,'R2'!K216,'R3'!K216)</f>
        <v>22.738730749999998</v>
      </c>
      <c r="E216">
        <f>AVERAGE('R1'!L216,'R2'!L216,'R3'!L216)</f>
        <v>0.99898441209178834</v>
      </c>
      <c r="F216">
        <f>AVERAGE('R1'!M216,'R2'!M216,'R3'!M216)</f>
        <v>-0.52590036685794483</v>
      </c>
      <c r="G216">
        <f>AVERAGE('R1'!N216,'R2'!N216,'R3'!N216)</f>
        <v>-0.12966551566515064</v>
      </c>
      <c r="H216">
        <f>AVERAGE('R1'!O216,'R2'!O216,'R3'!O216)</f>
        <v>0.32395384147226197</v>
      </c>
      <c r="I216">
        <f t="shared" si="7"/>
        <v>4408.7872398611107</v>
      </c>
      <c r="K216">
        <f>_xlfn.STDEV.S('R1'!L216,'R2'!L216,'R3'!L216)</f>
        <v>5.5549620657194525E-3</v>
      </c>
      <c r="L216">
        <f>_xlfn.STDEV.S('R1'!M216,'R2'!M216,'R3'!M216)</f>
        <v>5.9494108135038229E-3</v>
      </c>
      <c r="M216">
        <f>_xlfn.STDEV.S('R1'!N216,'R2'!N216,'R3'!N216)</f>
        <v>2.902230253440666E-3</v>
      </c>
      <c r="N216">
        <f>_xlfn.STDEV.S('R1'!O216,'R2'!O216,'R3'!O216)</f>
        <v>2.7816429847501239E-3</v>
      </c>
    </row>
    <row r="217" spans="1:14" x14ac:dyDescent="0.25">
      <c r="A217">
        <f>-'R1'!H217</f>
        <v>8</v>
      </c>
      <c r="B217">
        <f>DEGREES(ATAN(-SIN(RADIANS(('R1'!I217)))/(COS(RADIANS(Sheet1!A217))*COS(RADIANS('R1'!I217)))))</f>
        <v>12.114463536188838</v>
      </c>
      <c r="C217">
        <f>AVERAGE('R1'!J217,'R2'!J217,'R3'!J217)</f>
        <v>1.1633333333333331</v>
      </c>
      <c r="D217">
        <f>AVERAGE('R1'!K217,'R2'!K217,'R3'!K217)</f>
        <v>23.266734583333331</v>
      </c>
      <c r="E217">
        <f>AVERAGE('R1'!L217,'R2'!L217,'R3'!L217)</f>
        <v>0.76254461766429316</v>
      </c>
      <c r="F217">
        <f>AVERAGE('R1'!M217,'R2'!M217,'R3'!M217)</f>
        <v>-0.55319123357643873</v>
      </c>
      <c r="G217">
        <f>AVERAGE('R1'!N217,'R2'!N217,'R3'!N217)</f>
        <v>-7.6320199123975876E-2</v>
      </c>
      <c r="H217">
        <f>AVERAGE('R1'!O217,'R2'!O217,'R3'!O217)</f>
        <v>0.50207973186257249</v>
      </c>
      <c r="I217">
        <f t="shared" si="7"/>
        <v>4511.1613164351838</v>
      </c>
      <c r="K217">
        <f>_xlfn.STDEV.S('R1'!L217,'R2'!L217,'R3'!L217)</f>
        <v>1.7929195225698624E-3</v>
      </c>
      <c r="L217">
        <f>_xlfn.STDEV.S('R1'!M217,'R2'!M217,'R3'!M217)</f>
        <v>5.3396848768785306E-3</v>
      </c>
      <c r="M217">
        <f>_xlfn.STDEV.S('R1'!N217,'R2'!N217,'R3'!N217)</f>
        <v>3.5246931245787759E-3</v>
      </c>
      <c r="N217">
        <f>_xlfn.STDEV.S('R1'!O217,'R2'!O217,'R3'!O217)</f>
        <v>3.2543467979839662E-3</v>
      </c>
    </row>
    <row r="218" spans="1:14" x14ac:dyDescent="0.25">
      <c r="A218">
        <f>-'R1'!H218</f>
        <v>8</v>
      </c>
      <c r="B218">
        <f>DEGREES(ATAN(-SIN(RADIANS(('R1'!I218)))/(COS(RADIANS(Sheet1!A218))*COS(RADIANS('R1'!I218)))))</f>
        <v>8.0775879081011936</v>
      </c>
      <c r="C218">
        <f>AVERAGE('R1'!J218,'R2'!J218,'R3'!J218)</f>
        <v>1.1633333333333331</v>
      </c>
      <c r="D218">
        <f>AVERAGE('R1'!K218,'R2'!K218,'R3'!K218)</f>
        <v>23.617248916666668</v>
      </c>
      <c r="E218">
        <f>AVERAGE('R1'!L218,'R2'!L218,'R3'!L218)</f>
        <v>0.49233880003696434</v>
      </c>
      <c r="F218">
        <f>AVERAGE('R1'!M218,'R2'!M218,'R3'!M218)</f>
        <v>-0.59331303512639033</v>
      </c>
      <c r="G218">
        <f>AVERAGE('R1'!N218,'R2'!N218,'R3'!N218)</f>
        <v>-3.7899818971544298E-2</v>
      </c>
      <c r="H218">
        <f>AVERAGE('R1'!O218,'R2'!O218,'R3'!O218)</f>
        <v>0.67058733995350683</v>
      </c>
      <c r="I218">
        <f t="shared" si="7"/>
        <v>4579.1221510648147</v>
      </c>
      <c r="K218">
        <f>_xlfn.STDEV.S('R1'!L218,'R2'!L218,'R3'!L218)</f>
        <v>2.8693441164194043E-3</v>
      </c>
      <c r="L218">
        <f>_xlfn.STDEV.S('R1'!M218,'R2'!M218,'R3'!M218)</f>
        <v>8.5626515180143026E-3</v>
      </c>
      <c r="M218">
        <f>_xlfn.STDEV.S('R1'!N218,'R2'!N218,'R3'!N218)</f>
        <v>2.6955166971073846E-3</v>
      </c>
      <c r="N218">
        <f>_xlfn.STDEV.S('R1'!O218,'R2'!O218,'R3'!O218)</f>
        <v>5.1313058257854722E-3</v>
      </c>
    </row>
    <row r="219" spans="1:14" x14ac:dyDescent="0.25">
      <c r="A219">
        <f>-'R1'!H219</f>
        <v>8</v>
      </c>
      <c r="B219">
        <f>DEGREES(ATAN(-SIN(RADIANS(('R1'!I219)))/(COS(RADIANS(Sheet1!A219))*COS(RADIANS('R1'!I219)))))</f>
        <v>4.0391808057079874</v>
      </c>
      <c r="C219">
        <f>AVERAGE('R1'!J219,'R2'!J219,'R3'!J219)</f>
        <v>1.1633333333333331</v>
      </c>
      <c r="D219">
        <f>AVERAGE('R1'!K219,'R2'!K219,'R3'!K219)</f>
        <v>23.610106500000001</v>
      </c>
      <c r="E219">
        <f>AVERAGE('R1'!L219,'R2'!L219,'R3'!L219)</f>
        <v>0.20692852384154733</v>
      </c>
      <c r="F219">
        <f>AVERAGE('R1'!M219,'R2'!M219,'R3'!M219)</f>
        <v>-0.63988378195394768</v>
      </c>
      <c r="G219">
        <f>AVERAGE('R1'!N219,'R2'!N219,'R3'!N219)</f>
        <v>-2.0879878746570657E-2</v>
      </c>
      <c r="H219">
        <f>AVERAGE('R1'!O219,'R2'!O219,'R3'!O219)</f>
        <v>0.81902624851089811</v>
      </c>
      <c r="I219">
        <f t="shared" si="7"/>
        <v>4577.7373158333321</v>
      </c>
      <c r="K219">
        <f>_xlfn.STDEV.S('R1'!L219,'R2'!L219,'R3'!L219)</f>
        <v>3.5907778941870958E-3</v>
      </c>
      <c r="L219">
        <f>_xlfn.STDEV.S('R1'!M219,'R2'!M219,'R3'!M219)</f>
        <v>7.2424133241889158E-3</v>
      </c>
      <c r="M219">
        <f>_xlfn.STDEV.S('R1'!N219,'R2'!N219,'R3'!N219)</f>
        <v>6.1905779719363119E-3</v>
      </c>
      <c r="N219">
        <f>_xlfn.STDEV.S('R1'!O219,'R2'!O219,'R3'!O219)</f>
        <v>6.6444410285280619E-3</v>
      </c>
    </row>
    <row r="220" spans="1:14" x14ac:dyDescent="0.25">
      <c r="A220">
        <f>-'R1'!H220</f>
        <v>8</v>
      </c>
      <c r="B220">
        <f>DEGREES(ATAN(-SIN(RADIANS(('R1'!I220)))/(COS(RADIANS(Sheet1!A220))*COS(RADIANS('R1'!I220)))))</f>
        <v>0</v>
      </c>
      <c r="C220">
        <f>AVERAGE('R1'!J220,'R2'!J220,'R3'!J220)</f>
        <v>1.1633333333333331</v>
      </c>
      <c r="D220">
        <f>AVERAGE('R1'!K220,'R2'!K220,'R3'!K220)</f>
        <v>23.199051083333334</v>
      </c>
      <c r="E220">
        <f>AVERAGE('R1'!L220,'R2'!L220,'R3'!L220)</f>
        <v>-0.11378734356599823</v>
      </c>
      <c r="F220">
        <f>AVERAGE('R1'!M220,'R2'!M220,'R3'!M220)</f>
        <v>-0.65165372568846525</v>
      </c>
      <c r="G220">
        <f>AVERAGE('R1'!N220,'R2'!N220,'R3'!N220)</f>
        <v>-2.0055823716793614E-2</v>
      </c>
      <c r="H220">
        <f>AVERAGE('R1'!O220,'R2'!O220,'R3'!O220)</f>
        <v>0.87443134833795921</v>
      </c>
      <c r="I220">
        <f t="shared" si="7"/>
        <v>4498.0382378240738</v>
      </c>
      <c r="K220">
        <f>_xlfn.STDEV.S('R1'!L220,'R2'!L220,'R3'!L220)</f>
        <v>2.4243945645646831E-3</v>
      </c>
      <c r="L220">
        <f>_xlfn.STDEV.S('R1'!M220,'R2'!M220,'R3'!M220)</f>
        <v>6.400104189955339E-3</v>
      </c>
      <c r="M220">
        <f>_xlfn.STDEV.S('R1'!N220,'R2'!N220,'R3'!N220)</f>
        <v>1.7891412314042052E-3</v>
      </c>
      <c r="N220">
        <f>_xlfn.STDEV.S('R1'!O220,'R2'!O220,'R3'!O220)</f>
        <v>3.7029825305019606E-3</v>
      </c>
    </row>
    <row r="221" spans="1:14" x14ac:dyDescent="0.25">
      <c r="A221">
        <f>-'R1'!H221</f>
        <v>8</v>
      </c>
      <c r="B221">
        <f>DEGREES(ATAN(-SIN(RADIANS(('R1'!I221)))/(COS(RADIANS(Sheet1!A221))*COS(RADIANS('R1'!I221)))))</f>
        <v>-4.0391808057079874</v>
      </c>
      <c r="C221">
        <f>AVERAGE('R1'!J221,'R2'!J221,'R3'!J221)</f>
        <v>1.1633333333333331</v>
      </c>
      <c r="D221">
        <f>AVERAGE('R1'!K221,'R2'!K221,'R3'!K221)</f>
        <v>22.334318333333332</v>
      </c>
      <c r="E221">
        <f>AVERAGE('R1'!L221,'R2'!L221,'R3'!L221)</f>
        <v>-0.4263401063470737</v>
      </c>
      <c r="F221">
        <f>AVERAGE('R1'!M221,'R2'!M221,'R3'!M221)</f>
        <v>-0.57069033889438592</v>
      </c>
      <c r="G221">
        <f>AVERAGE('R1'!N221,'R2'!N221,'R3'!N221)</f>
        <v>-2.2431032092289926E-2</v>
      </c>
      <c r="H221">
        <f>AVERAGE('R1'!O221,'R2'!O221,'R3'!O221)</f>
        <v>0.74376937460789494</v>
      </c>
      <c r="I221">
        <f t="shared" si="7"/>
        <v>4330.3761657407395</v>
      </c>
      <c r="K221">
        <f>_xlfn.STDEV.S('R1'!L221,'R2'!L221,'R3'!L221)</f>
        <v>3.6387525706299967E-3</v>
      </c>
      <c r="L221">
        <f>_xlfn.STDEV.S('R1'!M221,'R2'!M221,'R3'!M221)</f>
        <v>6.2149326954789325E-3</v>
      </c>
      <c r="M221">
        <f>_xlfn.STDEV.S('R1'!N221,'R2'!N221,'R3'!N221)</f>
        <v>2.6465630530558676E-3</v>
      </c>
      <c r="N221">
        <f>_xlfn.STDEV.S('R1'!O221,'R2'!O221,'R3'!O221)</f>
        <v>1.5932933735541448E-3</v>
      </c>
    </row>
    <row r="222" spans="1:14" x14ac:dyDescent="0.25">
      <c r="A222">
        <f>-'R1'!H222</f>
        <v>8</v>
      </c>
      <c r="B222">
        <f>DEGREES(ATAN(-SIN(RADIANS(('R1'!I222)))/(COS(RADIANS(Sheet1!A222))*COS(RADIANS('R1'!I222)))))</f>
        <v>-8.0775879081011936</v>
      </c>
      <c r="C222">
        <f>AVERAGE('R1'!J222,'R2'!J222,'R3'!J222)</f>
        <v>1.1633333333333331</v>
      </c>
      <c r="D222">
        <f>AVERAGE('R1'!K222,'R2'!K222,'R3'!K222)</f>
        <v>21.701651999999996</v>
      </c>
      <c r="E222">
        <f>AVERAGE('R1'!L222,'R2'!L222,'R3'!L222)</f>
        <v>-0.69877677051129006</v>
      </c>
      <c r="F222">
        <f>AVERAGE('R1'!M222,'R2'!M222,'R3'!M222)</f>
        <v>-0.49852452382869</v>
      </c>
      <c r="G222">
        <f>AVERAGE('R1'!N222,'R2'!N222,'R3'!N222)</f>
        <v>-4.6727477356827085E-2</v>
      </c>
      <c r="H222">
        <f>AVERAGE('R1'!O222,'R2'!O222,'R3'!O222)</f>
        <v>0.62367903772540512</v>
      </c>
      <c r="I222">
        <f t="shared" si="7"/>
        <v>4207.7091933333313</v>
      </c>
      <c r="K222">
        <f>_xlfn.STDEV.S('R1'!L222,'R2'!L222,'R3'!L222)</f>
        <v>4.1178933824353283E-3</v>
      </c>
      <c r="L222">
        <f>_xlfn.STDEV.S('R1'!M222,'R2'!M222,'R3'!M222)</f>
        <v>1.1615760199231405E-3</v>
      </c>
      <c r="M222">
        <f>_xlfn.STDEV.S('R1'!N222,'R2'!N222,'R3'!N222)</f>
        <v>2.7964009380747595E-3</v>
      </c>
      <c r="N222">
        <f>_xlfn.STDEV.S('R1'!O222,'R2'!O222,'R3'!O222)</f>
        <v>4.1744434616726358E-3</v>
      </c>
    </row>
    <row r="223" spans="1:14" x14ac:dyDescent="0.25">
      <c r="A223">
        <f>-'R1'!H223</f>
        <v>8</v>
      </c>
      <c r="B223">
        <f>DEGREES(ATAN(-SIN(RADIANS(('R1'!I223)))/(COS(RADIANS(Sheet1!A223))*COS(RADIANS('R1'!I223)))))</f>
        <v>-12.114463536188838</v>
      </c>
      <c r="C223">
        <f>AVERAGE('R1'!J223,'R2'!J223,'R3'!J223)</f>
        <v>1.1633333333333331</v>
      </c>
      <c r="D223">
        <f>AVERAGE('R1'!K223,'R2'!K223,'R3'!K223)</f>
        <v>21.56582525</v>
      </c>
      <c r="E223">
        <f>AVERAGE('R1'!L223,'R2'!L223,'R3'!L223)</f>
        <v>-0.9400423955986813</v>
      </c>
      <c r="F223">
        <f>AVERAGE('R1'!M223,'R2'!M223,'R3'!M223)</f>
        <v>-0.47061328178777601</v>
      </c>
      <c r="G223">
        <f>AVERAGE('R1'!N223,'R2'!N223,'R3'!N223)</f>
        <v>-0.10235631311670933</v>
      </c>
      <c r="H223">
        <f>AVERAGE('R1'!O223,'R2'!O223,'R3'!O223)</f>
        <v>0.47105242123475261</v>
      </c>
      <c r="I223">
        <f t="shared" si="7"/>
        <v>4181.3738956944435</v>
      </c>
      <c r="K223">
        <f>_xlfn.STDEV.S('R1'!L223,'R2'!L223,'R3'!L223)</f>
        <v>3.1932337928998406E-3</v>
      </c>
      <c r="L223">
        <f>_xlfn.STDEV.S('R1'!M223,'R2'!M223,'R3'!M223)</f>
        <v>8.5064962190582096E-3</v>
      </c>
      <c r="M223">
        <f>_xlfn.STDEV.S('R1'!N223,'R2'!N223,'R3'!N223)</f>
        <v>6.5187687798547254E-3</v>
      </c>
      <c r="N223">
        <f>_xlfn.STDEV.S('R1'!O223,'R2'!O223,'R3'!O223)</f>
        <v>8.619127815831136E-4</v>
      </c>
    </row>
    <row r="224" spans="1:14" x14ac:dyDescent="0.25">
      <c r="A224">
        <f>-'R1'!H224</f>
        <v>8</v>
      </c>
      <c r="B224">
        <f>DEGREES(ATAN(-SIN(RADIANS(('R1'!I224)))/(COS(RADIANS(Sheet1!A224))*COS(RADIANS('R1'!I224)))))</f>
        <v>-16.149081403494897</v>
      </c>
      <c r="C224">
        <f>AVERAGE('R1'!J224,'R2'!J224,'R3'!J224)</f>
        <v>1.1633333333333331</v>
      </c>
      <c r="D224">
        <f>AVERAGE('R1'!K224,'R2'!K224,'R3'!K224)</f>
        <v>22.071803166666665</v>
      </c>
      <c r="E224">
        <f>AVERAGE('R1'!L224,'R2'!L224,'R3'!L224)</f>
        <v>-1.1752522873578748</v>
      </c>
      <c r="F224">
        <f>AVERAGE('R1'!M224,'R2'!M224,'R3'!M224)</f>
        <v>-0.45983107003082341</v>
      </c>
      <c r="G224">
        <f>AVERAGE('R1'!N224,'R2'!N224,'R3'!N224)</f>
        <v>-0.19489230908394875</v>
      </c>
      <c r="H224">
        <f>AVERAGE('R1'!O224,'R2'!O224,'R3'!O224)</f>
        <v>0.31749558926448923</v>
      </c>
      <c r="I224">
        <f t="shared" si="7"/>
        <v>4279.4773917592584</v>
      </c>
      <c r="K224">
        <f>_xlfn.STDEV.S('R1'!L224,'R2'!L224,'R3'!L224)</f>
        <v>3.5371314507696757E-3</v>
      </c>
      <c r="L224">
        <f>_xlfn.STDEV.S('R1'!M224,'R2'!M224,'R3'!M224)</f>
        <v>1.2471917993324964E-3</v>
      </c>
      <c r="M224">
        <f>_xlfn.STDEV.S('R1'!N224,'R2'!N224,'R3'!N224)</f>
        <v>2.0897708637279944E-3</v>
      </c>
      <c r="N224">
        <f>_xlfn.STDEV.S('R1'!O224,'R2'!O224,'R3'!O224)</f>
        <v>4.2858451609600924E-3</v>
      </c>
    </row>
    <row r="225" spans="1:14" x14ac:dyDescent="0.25">
      <c r="A225">
        <f>-'R1'!H225</f>
        <v>8</v>
      </c>
      <c r="B225">
        <f>DEGREES(ATAN(-SIN(RADIANS(('R1'!I225)))/(COS(RADIANS(Sheet1!A225))*COS(RADIANS('R1'!I225)))))</f>
        <v>-20.180761513231211</v>
      </c>
      <c r="C225">
        <f>AVERAGE('R1'!J225,'R2'!J225,'R3'!J225)</f>
        <v>1.1633333333333331</v>
      </c>
      <c r="D225">
        <f>AVERAGE('R1'!K225,'R2'!K225,'R3'!K225)</f>
        <v>22.702630916666664</v>
      </c>
      <c r="E225">
        <f>AVERAGE('R1'!L225,'R2'!L225,'R3'!L225)</f>
        <v>-1.4135339559942157</v>
      </c>
      <c r="F225">
        <f>AVERAGE('R1'!M225,'R2'!M225,'R3'!M225)</f>
        <v>-0.47818313560294884</v>
      </c>
      <c r="G225">
        <f>AVERAGE('R1'!N225,'R2'!N225,'R3'!N225)</f>
        <v>-0.32084923955445932</v>
      </c>
      <c r="H225">
        <f>AVERAGE('R1'!O225,'R2'!O225,'R3'!O225)</f>
        <v>0.1396112440178294</v>
      </c>
      <c r="I225">
        <f t="shared" si="7"/>
        <v>4401.7878832870356</v>
      </c>
      <c r="K225">
        <f>_xlfn.STDEV.S('R1'!L225,'R2'!L225,'R3'!L225)</f>
        <v>1.3277894633853874E-3</v>
      </c>
      <c r="L225">
        <f>_xlfn.STDEV.S('R1'!M225,'R2'!M225,'R3'!M225)</f>
        <v>1.7553998303316979E-3</v>
      </c>
      <c r="M225">
        <f>_xlfn.STDEV.S('R1'!N225,'R2'!N225,'R3'!N225)</f>
        <v>9.1001558936984776E-4</v>
      </c>
      <c r="N225">
        <f>_xlfn.STDEV.S('R1'!O225,'R2'!O225,'R3'!O225)</f>
        <v>3.4134594608045462E-3</v>
      </c>
    </row>
    <row r="226" spans="1:14" x14ac:dyDescent="0.25">
      <c r="A226">
        <f>-'R1'!H226</f>
        <v>8</v>
      </c>
      <c r="B226">
        <f>DEGREES(ATAN(-SIN(RADIANS(('R1'!I226)))/(COS(RADIANS(Sheet1!A226))*COS(RADIANS('R1'!I226)))))</f>
        <v>-24.208883875277589</v>
      </c>
      <c r="C226">
        <f>AVERAGE('R1'!J226,'R2'!J226,'R3'!J226)</f>
        <v>1.1633333333333331</v>
      </c>
      <c r="D226">
        <f>AVERAGE('R1'!K226,'R2'!K226,'R3'!K226)</f>
        <v>23.274851666666667</v>
      </c>
      <c r="E226">
        <f>AVERAGE('R1'!L226,'R2'!L226,'R3'!L226)</f>
        <v>-1.6723795934971626</v>
      </c>
      <c r="F226">
        <f>AVERAGE('R1'!M226,'R2'!M226,'R3'!M226)</f>
        <v>-0.52348556086234066</v>
      </c>
      <c r="G226">
        <f>AVERAGE('R1'!N226,'R2'!N226,'R3'!N226)</f>
        <v>-0.49345515515264332</v>
      </c>
      <c r="H226">
        <f>AVERAGE('R1'!O226,'R2'!O226,'R3'!O226)</f>
        <v>-4.8790513566044726E-2</v>
      </c>
      <c r="I226">
        <f t="shared" si="7"/>
        <v>4512.7351287037027</v>
      </c>
      <c r="K226">
        <f>_xlfn.STDEV.S('R1'!L226,'R2'!L226,'R3'!L226)</f>
        <v>1.6772697114261852E-3</v>
      </c>
      <c r="L226">
        <f>_xlfn.STDEV.S('R1'!M226,'R2'!M226,'R3'!M226)</f>
        <v>8.0612535260741781E-3</v>
      </c>
      <c r="M226">
        <f>_xlfn.STDEV.S('R1'!N226,'R2'!N226,'R3'!N226)</f>
        <v>3.0742643587024937E-3</v>
      </c>
      <c r="N226">
        <f>_xlfn.STDEV.S('R1'!O226,'R2'!O226,'R3'!O226)</f>
        <v>1.7362404558352803E-3</v>
      </c>
    </row>
    <row r="227" spans="1:14" x14ac:dyDescent="0.25">
      <c r="A227">
        <f>-'R1'!H227</f>
        <v>8</v>
      </c>
      <c r="B227">
        <f>DEGREES(ATAN(-SIN(RADIANS(('R1'!I227)))/(COS(RADIANS(Sheet1!A227))*COS(RADIANS('R1'!I227)))))</f>
        <v>-28.23290083045832</v>
      </c>
      <c r="C227">
        <f>AVERAGE('R1'!J227,'R2'!J227,'R3'!J227)</f>
        <v>1.1633333333333331</v>
      </c>
      <c r="D227">
        <f>AVERAGE('R1'!K227,'R2'!K227,'R3'!K227)</f>
        <v>23.511675833333332</v>
      </c>
      <c r="E227">
        <f>AVERAGE('R1'!L227,'R2'!L227,'R3'!L227)</f>
        <v>-1.9851762447535075</v>
      </c>
      <c r="F227">
        <f>AVERAGE('R1'!M227,'R2'!M227,'R3'!M227)</f>
        <v>-0.58044835364816028</v>
      </c>
      <c r="G227">
        <f>AVERAGE('R1'!N227,'R2'!N227,'R3'!N227)</f>
        <v>-0.73712725529726963</v>
      </c>
      <c r="H227">
        <f>AVERAGE('R1'!O227,'R2'!O227,'R3'!O227)</f>
        <v>-0.25130087118138444</v>
      </c>
      <c r="I227">
        <f t="shared" si="7"/>
        <v>4558.6527032407403</v>
      </c>
      <c r="K227">
        <f>_xlfn.STDEV.S('R1'!L227,'R2'!L227,'R3'!L227)</f>
        <v>5.1281470593693684E-3</v>
      </c>
      <c r="L227">
        <f>_xlfn.STDEV.S('R1'!M227,'R2'!M227,'R3'!M227)</f>
        <v>5.8361735815462782E-3</v>
      </c>
      <c r="M227">
        <f>_xlfn.STDEV.S('R1'!N227,'R2'!N227,'R3'!N227)</f>
        <v>2.6522039593139344E-3</v>
      </c>
      <c r="N227">
        <f>_xlfn.STDEV.S('R1'!O227,'R2'!O227,'R3'!O227)</f>
        <v>8.3302590062681817E-4</v>
      </c>
    </row>
    <row r="228" spans="1:14" x14ac:dyDescent="0.25">
      <c r="A228">
        <f>-'R1'!H228</f>
        <v>8</v>
      </c>
      <c r="B228">
        <f>DEGREES(ATAN(-SIN(RADIANS(('R1'!I228)))/(COS(RADIANS(Sheet1!A228))*COS(RADIANS('R1'!I228)))))</f>
        <v>-32.252347723135095</v>
      </c>
      <c r="C228">
        <f>AVERAGE('R1'!J228,'R2'!J228,'R3'!J228)</f>
        <v>1.1633333333333331</v>
      </c>
      <c r="D228">
        <f>AVERAGE('R1'!K228,'R2'!K228,'R3'!K228)</f>
        <v>23.46575283333333</v>
      </c>
      <c r="E228">
        <f>AVERAGE('R1'!L228,'R2'!L228,'R3'!L228)</f>
        <v>-2.3788919123457464</v>
      </c>
      <c r="F228">
        <f>AVERAGE('R1'!M228,'R2'!M228,'R3'!M228)</f>
        <v>-0.66976329145083435</v>
      </c>
      <c r="G228">
        <f>AVERAGE('R1'!N228,'R2'!N228,'R3'!N228)</f>
        <v>-1.0741989948859365</v>
      </c>
      <c r="H228">
        <f>AVERAGE('R1'!O228,'R2'!O228,'R3'!O228)</f>
        <v>-0.49505362930579594</v>
      </c>
      <c r="I228">
        <f t="shared" si="7"/>
        <v>4549.7487437962945</v>
      </c>
      <c r="K228">
        <f>_xlfn.STDEV.S('R1'!L228,'R2'!L228,'R3'!L228)</f>
        <v>1.2507641318129802E-2</v>
      </c>
      <c r="L228">
        <f>_xlfn.STDEV.S('R1'!M228,'R2'!M228,'R3'!M228)</f>
        <v>7.2892401067825075E-4</v>
      </c>
      <c r="M228">
        <f>_xlfn.STDEV.S('R1'!N228,'R2'!N228,'R3'!N228)</f>
        <v>7.4605751658252803E-3</v>
      </c>
      <c r="N228">
        <f>_xlfn.STDEV.S('R1'!O228,'R2'!O228,'R3'!O228)</f>
        <v>4.2050847907971157E-3</v>
      </c>
    </row>
    <row r="229" spans="1:14" x14ac:dyDescent="0.25">
      <c r="A229">
        <f>-'R1'!H229</f>
        <v>8</v>
      </c>
      <c r="B229">
        <f>DEGREES(ATAN(-SIN(RADIANS(('R1'!I229)))/(COS(RADIANS(Sheet1!A229))*COS(RADIANS('R1'!I229)))))</f>
        <v>-36.2668517150396</v>
      </c>
      <c r="C229">
        <f>AVERAGE('R1'!J229,'R2'!J229,'R3'!J229)</f>
        <v>1.1633333333333331</v>
      </c>
      <c r="D229">
        <f>AVERAGE('R1'!K229,'R2'!K229,'R3'!K229)</f>
        <v>23.066123000000001</v>
      </c>
      <c r="E229">
        <f>AVERAGE('R1'!L229,'R2'!L229,'R3'!L229)</f>
        <v>-2.9375571282371342</v>
      </c>
      <c r="F229">
        <f>AVERAGE('R1'!M229,'R2'!M229,'R3'!M229)</f>
        <v>-0.78947289280372235</v>
      </c>
      <c r="G229">
        <f>AVERAGE('R1'!N229,'R2'!N229,'R3'!N229)</f>
        <v>-1.5721184850318177</v>
      </c>
      <c r="H229">
        <f>AVERAGE('R1'!O229,'R2'!O229,'R3'!O229)</f>
        <v>-0.80917898474994043</v>
      </c>
      <c r="I229">
        <f t="shared" si="7"/>
        <v>4472.2649594444438</v>
      </c>
      <c r="K229">
        <f>_xlfn.STDEV.S('R1'!L229,'R2'!L229,'R3'!L229)</f>
        <v>1.3140111700204585E-2</v>
      </c>
      <c r="L229">
        <f>_xlfn.STDEV.S('R1'!M229,'R2'!M229,'R3'!M229)</f>
        <v>1.0708011419037862E-2</v>
      </c>
      <c r="M229">
        <f>_xlfn.STDEV.S('R1'!N229,'R2'!N229,'R3'!N229)</f>
        <v>5.4536645556569306E-3</v>
      </c>
      <c r="N229">
        <f>_xlfn.STDEV.S('R1'!O229,'R2'!O229,'R3'!O229)</f>
        <v>4.3894642180717803E-3</v>
      </c>
    </row>
    <row r="230" spans="1:14" x14ac:dyDescent="0.25">
      <c r="A230">
        <f>-'R1'!H230</f>
        <v>8</v>
      </c>
      <c r="B230">
        <f>DEGREES(ATAN(-SIN(RADIANS(('R1'!I230)))/(COS(RADIANS(Sheet1!A230))*COS(RADIANS('R1'!I230)))))</f>
        <v>-40.276138588852518</v>
      </c>
      <c r="C230">
        <f>AVERAGE('R1'!J230,'R2'!J230,'R3'!J230)</f>
        <v>1.1633333333333331</v>
      </c>
      <c r="D230">
        <f>AVERAGE('R1'!K230,'R2'!K230,'R3'!K230)</f>
        <v>22.402362499999999</v>
      </c>
      <c r="E230">
        <f>AVERAGE('R1'!L230,'R2'!L230,'R3'!L230)</f>
        <v>-3.7999187037486419</v>
      </c>
      <c r="F230">
        <f>AVERAGE('R1'!M230,'R2'!M230,'R3'!M230)</f>
        <v>-0.96103463751721652</v>
      </c>
      <c r="G230">
        <f>AVERAGE('R1'!N230,'R2'!N230,'R3'!N230)</f>
        <v>-2.3560982205177656</v>
      </c>
      <c r="H230">
        <f>AVERAGE('R1'!O230,'R2'!O230,'R3'!O230)</f>
        <v>-1.2553996985371798</v>
      </c>
      <c r="I230">
        <f t="shared" si="7"/>
        <v>4343.5691736111103</v>
      </c>
      <c r="K230">
        <f>_xlfn.STDEV.S('R1'!L230,'R2'!L230,'R3'!L230)</f>
        <v>1.8483900966582738E-2</v>
      </c>
      <c r="L230">
        <f>_xlfn.STDEV.S('R1'!M230,'R2'!M230,'R3'!M230)</f>
        <v>1.3631407963021569E-2</v>
      </c>
      <c r="M230">
        <f>_xlfn.STDEV.S('R1'!N230,'R2'!N230,'R3'!N230)</f>
        <v>1.3998891236876507E-2</v>
      </c>
      <c r="N230">
        <f>_xlfn.STDEV.S('R1'!O230,'R2'!O230,'R3'!O230)</f>
        <v>7.5571670538763392E-3</v>
      </c>
    </row>
    <row r="231" spans="1:14" x14ac:dyDescent="0.25">
      <c r="A231">
        <f>-'R1'!H231</f>
        <v>8</v>
      </c>
      <c r="B231">
        <f>DEGREES(ATAN(-SIN(RADIANS(('R1'!I231)))/(COS(RADIANS(Sheet1!A231))*COS(RADIANS('R1'!I231)))))</f>
        <v>-44.280037446618948</v>
      </c>
      <c r="C231">
        <f>AVERAGE('R1'!J231,'R2'!J231,'R3'!J231)</f>
        <v>1.1633333333333331</v>
      </c>
      <c r="D231">
        <f>AVERAGE('R1'!K231,'R2'!K231,'R3'!K231)</f>
        <v>21.974756416666665</v>
      </c>
      <c r="E231">
        <f>AVERAGE('R1'!L231,'R2'!L231,'R3'!L231)</f>
        <v>-5.2734643690490044</v>
      </c>
      <c r="F231">
        <f>AVERAGE('R1'!M231,'R2'!M231,'R3'!M231)</f>
        <v>-1.2839145427807928</v>
      </c>
      <c r="G231">
        <f>AVERAGE('R1'!N231,'R2'!N231,'R3'!N231)</f>
        <v>-3.7476200675008111</v>
      </c>
      <c r="H231">
        <f>AVERAGE('R1'!O231,'R2'!O231,'R3'!O231)</f>
        <v>-2.0024075230869944</v>
      </c>
      <c r="I231">
        <f t="shared" si="7"/>
        <v>4260.6611052314811</v>
      </c>
      <c r="K231">
        <f>_xlfn.STDEV.S('R1'!L231,'R2'!L231,'R3'!L231)</f>
        <v>0.10882347554260749</v>
      </c>
      <c r="L231">
        <f>_xlfn.STDEV.S('R1'!M231,'R2'!M231,'R3'!M231)</f>
        <v>1.7064016377359884E-2</v>
      </c>
      <c r="M231">
        <f>_xlfn.STDEV.S('R1'!N231,'R2'!N231,'R3'!N231)</f>
        <v>9.1856509520668192E-2</v>
      </c>
      <c r="N231">
        <f>_xlfn.STDEV.S('R1'!O231,'R2'!O231,'R3'!O231)</f>
        <v>3.5821097386093785E-2</v>
      </c>
    </row>
    <row r="232" spans="1:14" x14ac:dyDescent="0.25">
      <c r="A232">
        <f>-'R1'!H232</f>
        <v>4</v>
      </c>
      <c r="B232">
        <f>DEGREES(ATAN(-SIN(RADIANS(('R1'!I232)))/(COS(RADIANS(Sheet1!A232))*COS(RADIANS('R1'!I232)))))</f>
        <v>44.069830293849904</v>
      </c>
      <c r="C232">
        <f>AVERAGE('R1'!J232,'R2'!J232,'R3'!J232)</f>
        <v>1.1633333333333331</v>
      </c>
      <c r="D232">
        <f>AVERAGE('R1'!K232,'R2'!K232,'R3'!K232)</f>
        <v>21.906170666666668</v>
      </c>
      <c r="E232">
        <f>AVERAGE('R1'!L232,'R2'!L232,'R3'!L232)</f>
        <v>2.9649956531461448</v>
      </c>
      <c r="F232">
        <f>AVERAGE('R1'!M232,'R2'!M232,'R3'!M232)</f>
        <v>-0.52447214761288719</v>
      </c>
      <c r="G232">
        <f>AVERAGE('R1'!N232,'R2'!N232,'R3'!N232)</f>
        <v>-1.5443298768898461</v>
      </c>
      <c r="H232">
        <f>AVERAGE('R1'!O232,'R2'!O232,'R3'!O232)</f>
        <v>-1.0177771548267154</v>
      </c>
      <c r="I232">
        <f t="shared" si="7"/>
        <v>4247.3630903703697</v>
      </c>
      <c r="K232">
        <f>_xlfn.STDEV.S('R1'!L232,'R2'!L232,'R3'!L232)</f>
        <v>3.865120004757265E-3</v>
      </c>
      <c r="L232">
        <f>_xlfn.STDEV.S('R1'!M232,'R2'!M232,'R3'!M232)</f>
        <v>9.0350993926591426E-3</v>
      </c>
      <c r="M232">
        <f>_xlfn.STDEV.S('R1'!N232,'R2'!N232,'R3'!N232)</f>
        <v>6.8979692844119067E-3</v>
      </c>
      <c r="N232">
        <f>_xlfn.STDEV.S('R1'!O232,'R2'!O232,'R3'!O232)</f>
        <v>1.0997072228603796E-3</v>
      </c>
    </row>
    <row r="233" spans="1:14" x14ac:dyDescent="0.25">
      <c r="A233">
        <f>-'R1'!H233</f>
        <v>4</v>
      </c>
      <c r="B233">
        <f>DEGREES(ATAN(-SIN(RADIANS(('R1'!I233)))/(COS(RADIANS(Sheet1!A233))*COS(RADIANS('R1'!I233)))))</f>
        <v>40.068822978998547</v>
      </c>
      <c r="C233">
        <f>AVERAGE('R1'!J233,'R2'!J233,'R3'!J233)</f>
        <v>1.1633333333333331</v>
      </c>
      <c r="D233">
        <f>AVERAGE('R1'!K233,'R2'!K233,'R3'!K233)</f>
        <v>22.322357166666666</v>
      </c>
      <c r="E233">
        <f>AVERAGE('R1'!L233,'R2'!L233,'R3'!L233)</f>
        <v>2.5655971541001885</v>
      </c>
      <c r="F233">
        <f>AVERAGE('R1'!M233,'R2'!M233,'R3'!M233)</f>
        <v>-0.45128864989746026</v>
      </c>
      <c r="G233">
        <f>AVERAGE('R1'!N233,'R2'!N233,'R3'!N233)</f>
        <v>-1.158361893971918</v>
      </c>
      <c r="H233">
        <f>AVERAGE('R1'!O233,'R2'!O233,'R3'!O233)</f>
        <v>-0.73893739741367381</v>
      </c>
      <c r="I233">
        <f t="shared" si="7"/>
        <v>4328.0570284259247</v>
      </c>
      <c r="K233">
        <f>_xlfn.STDEV.S('R1'!L233,'R2'!L233,'R3'!L233)</f>
        <v>6.6182271486314136E-3</v>
      </c>
      <c r="L233">
        <f>_xlfn.STDEV.S('R1'!M233,'R2'!M233,'R3'!M233)</f>
        <v>4.0359288295861466E-3</v>
      </c>
      <c r="M233">
        <f>_xlfn.STDEV.S('R1'!N233,'R2'!N233,'R3'!N233)</f>
        <v>6.8507608122011952E-3</v>
      </c>
      <c r="N233">
        <f>_xlfn.STDEV.S('R1'!O233,'R2'!O233,'R3'!O233)</f>
        <v>1.6293670911000835E-3</v>
      </c>
    </row>
    <row r="234" spans="1:14" x14ac:dyDescent="0.25">
      <c r="A234">
        <f>-'R1'!H234</f>
        <v>4</v>
      </c>
      <c r="B234">
        <f>DEGREES(ATAN(-SIN(RADIANS(('R1'!I234)))/(COS(RADIANS(Sheet1!A234))*COS(RADIANS('R1'!I234)))))</f>
        <v>36.066475262469574</v>
      </c>
      <c r="C234">
        <f>AVERAGE('R1'!J234,'R2'!J234,'R3'!J234)</f>
        <v>1.1633333333333331</v>
      </c>
      <c r="D234">
        <f>AVERAGE('R1'!K234,'R2'!K234,'R3'!K234)</f>
        <v>22.96360675</v>
      </c>
      <c r="E234">
        <f>AVERAGE('R1'!L234,'R2'!L234,'R3'!L234)</f>
        <v>2.246993630677212</v>
      </c>
      <c r="F234">
        <f>AVERAGE('R1'!M234,'R2'!M234,'R3'!M234)</f>
        <v>-0.39509859326088193</v>
      </c>
      <c r="G234">
        <f>AVERAGE('R1'!N234,'R2'!N234,'R3'!N234)</f>
        <v>-0.86781310538545442</v>
      </c>
      <c r="H234">
        <f>AVERAGE('R1'!O234,'R2'!O234,'R3'!O234)</f>
        <v>-0.5058647743609952</v>
      </c>
      <c r="I234">
        <f t="shared" si="7"/>
        <v>4452.3881976388884</v>
      </c>
      <c r="K234">
        <f>_xlfn.STDEV.S('R1'!L234,'R2'!L234,'R3'!L234)</f>
        <v>1.0680712011626925E-2</v>
      </c>
      <c r="L234">
        <f>_xlfn.STDEV.S('R1'!M234,'R2'!M234,'R3'!M234)</f>
        <v>2.020184747328469E-3</v>
      </c>
      <c r="M234">
        <f>_xlfn.STDEV.S('R1'!N234,'R2'!N234,'R3'!N234)</f>
        <v>4.2709183417556822E-3</v>
      </c>
      <c r="N234">
        <f>_xlfn.STDEV.S('R1'!O234,'R2'!O234,'R3'!O234)</f>
        <v>5.5787106501179054E-3</v>
      </c>
    </row>
    <row r="235" spans="1:14" x14ac:dyDescent="0.25">
      <c r="A235">
        <f>-'R1'!H235</f>
        <v>4</v>
      </c>
      <c r="B235">
        <f>DEGREES(ATAN(-SIN(RADIANS(('R1'!I235)))/(COS(RADIANS(Sheet1!A235))*COS(RADIANS('R1'!I235)))))</f>
        <v>32.062832231023428</v>
      </c>
      <c r="C235">
        <f>AVERAGE('R1'!J235,'R2'!J235,'R3'!J235)</f>
        <v>1.1633333333333331</v>
      </c>
      <c r="D235">
        <f>AVERAGE('R1'!K235,'R2'!K235,'R3'!K235)</f>
        <v>23.348528833333333</v>
      </c>
      <c r="E235">
        <f>AVERAGE('R1'!L235,'R2'!L235,'R3'!L235)</f>
        <v>1.9664078106192673</v>
      </c>
      <c r="F235">
        <f>AVERAGE('R1'!M235,'R2'!M235,'R3'!M235)</f>
        <v>-0.34979041715070025</v>
      </c>
      <c r="G235">
        <f>AVERAGE('R1'!N235,'R2'!N235,'R3'!N235)</f>
        <v>-0.63151787310914276</v>
      </c>
      <c r="H235">
        <f>AVERAGE('R1'!O235,'R2'!O235,'R3'!O235)</f>
        <v>-0.29273901696725951</v>
      </c>
      <c r="I235">
        <f t="shared" si="7"/>
        <v>4527.0203126851839</v>
      </c>
      <c r="K235">
        <f>_xlfn.STDEV.S('R1'!L235,'R2'!L235,'R3'!L235)</f>
        <v>2.3155262722785899E-3</v>
      </c>
      <c r="L235">
        <f>_xlfn.STDEV.S('R1'!M235,'R2'!M235,'R3'!M235)</f>
        <v>5.3248644226463792E-3</v>
      </c>
      <c r="M235">
        <f>_xlfn.STDEV.S('R1'!N235,'R2'!N235,'R3'!N235)</f>
        <v>1.6092853072215314E-3</v>
      </c>
      <c r="N235">
        <f>_xlfn.STDEV.S('R1'!O235,'R2'!O235,'R3'!O235)</f>
        <v>4.1620160905976328E-3</v>
      </c>
    </row>
    <row r="236" spans="1:14" x14ac:dyDescent="0.25">
      <c r="A236">
        <f>-'R1'!H236</f>
        <v>4</v>
      </c>
      <c r="B236">
        <f>DEGREES(ATAN(-SIN(RADIANS(('R1'!I236)))/(COS(RADIANS(Sheet1!A236))*COS(RADIANS('R1'!I236)))))</f>
        <v>28.057964295258</v>
      </c>
      <c r="C236">
        <f>AVERAGE('R1'!J236,'R2'!J236,'R3'!J236)</f>
        <v>1.1633333333333331</v>
      </c>
      <c r="D236">
        <f>AVERAGE('R1'!K236,'R2'!K236,'R3'!K236)</f>
        <v>23.370840916666666</v>
      </c>
      <c r="E236">
        <f>AVERAGE('R1'!L236,'R2'!L236,'R3'!L236)</f>
        <v>1.7333196001124784</v>
      </c>
      <c r="F236">
        <f>AVERAGE('R1'!M236,'R2'!M236,'R3'!M236)</f>
        <v>-0.30486533229096974</v>
      </c>
      <c r="G236">
        <f>AVERAGE('R1'!N236,'R2'!N236,'R3'!N236)</f>
        <v>-0.44896881166402497</v>
      </c>
      <c r="H236">
        <f>AVERAGE('R1'!O236,'R2'!O236,'R3'!O236)</f>
        <v>-0.1064927936240526</v>
      </c>
      <c r="I236">
        <f t="shared" si="7"/>
        <v>4531.3463777314801</v>
      </c>
      <c r="K236">
        <f>_xlfn.STDEV.S('R1'!L236,'R2'!L236,'R3'!L236)</f>
        <v>8.4859906986280605E-3</v>
      </c>
      <c r="L236">
        <f>_xlfn.STDEV.S('R1'!M236,'R2'!M236,'R3'!M236)</f>
        <v>8.2707637705444065E-3</v>
      </c>
      <c r="M236">
        <f>_xlfn.STDEV.S('R1'!N236,'R2'!N236,'R3'!N236)</f>
        <v>8.1959726242007377E-4</v>
      </c>
      <c r="N236">
        <f>_xlfn.STDEV.S('R1'!O236,'R2'!O236,'R3'!O236)</f>
        <v>2.9305849083964015E-3</v>
      </c>
    </row>
    <row r="237" spans="1:14" x14ac:dyDescent="0.25">
      <c r="A237">
        <f>-'R1'!H237</f>
        <v>4</v>
      </c>
      <c r="B237">
        <f>DEGREES(ATAN(-SIN(RADIANS(('R1'!I237)))/(COS(RADIANS(Sheet1!A237))*COS(RADIANS('R1'!I237)))))</f>
        <v>24.051965857834489</v>
      </c>
      <c r="C237">
        <f>AVERAGE('R1'!J237,'R2'!J237,'R3'!J237)</f>
        <v>1.1633333333333331</v>
      </c>
      <c r="D237">
        <f>AVERAGE('R1'!K237,'R2'!K237,'R3'!K237)</f>
        <v>23.046760833333334</v>
      </c>
      <c r="E237">
        <f>AVERAGE('R1'!L237,'R2'!L237,'R3'!L237)</f>
        <v>1.516655557132333</v>
      </c>
      <c r="F237">
        <f>AVERAGE('R1'!M237,'R2'!M237,'R3'!M237)</f>
        <v>-0.27444432064420976</v>
      </c>
      <c r="G237">
        <f>AVERAGE('R1'!N237,'R2'!N237,'R3'!N237)</f>
        <v>-0.30342662147422861</v>
      </c>
      <c r="H237">
        <f>AVERAGE('R1'!O237,'R2'!O237,'R3'!O237)</f>
        <v>5.9360953399804219E-2</v>
      </c>
      <c r="I237">
        <f t="shared" si="7"/>
        <v>4468.5108504629625</v>
      </c>
      <c r="K237">
        <f>_xlfn.STDEV.S('R1'!L237,'R2'!L237,'R3'!L237)</f>
        <v>8.005668463423243E-3</v>
      </c>
      <c r="L237">
        <f>_xlfn.STDEV.S('R1'!M237,'R2'!M237,'R3'!M237)</f>
        <v>3.1446290513581845E-3</v>
      </c>
      <c r="M237">
        <f>_xlfn.STDEV.S('R1'!N237,'R2'!N237,'R3'!N237)</f>
        <v>1.789836051380172E-3</v>
      </c>
      <c r="N237">
        <f>_xlfn.STDEV.S('R1'!O237,'R2'!O237,'R3'!O237)</f>
        <v>4.2677920065598823E-3</v>
      </c>
    </row>
    <row r="238" spans="1:14" x14ac:dyDescent="0.25">
      <c r="A238">
        <f>-'R1'!H238</f>
        <v>4</v>
      </c>
      <c r="B238">
        <f>DEGREES(ATAN(-SIN(RADIANS(('R1'!I238)))/(COS(RADIANS(Sheet1!A238))*COS(RADIANS('R1'!I238)))))</f>
        <v>20.044953503068641</v>
      </c>
      <c r="C238">
        <f>AVERAGE('R1'!J238,'R2'!J238,'R3'!J238)</f>
        <v>1.1633333333333331</v>
      </c>
      <c r="D238">
        <f>AVERAGE('R1'!K238,'R2'!K238,'R3'!K238)</f>
        <v>22.645500749999997</v>
      </c>
      <c r="E238">
        <f>AVERAGE('R1'!L238,'R2'!L238,'R3'!L238)</f>
        <v>1.3099362287918248</v>
      </c>
      <c r="F238">
        <f>AVERAGE('R1'!M238,'R2'!M238,'R3'!M238)</f>
        <v>-0.26436947958389839</v>
      </c>
      <c r="G238">
        <f>AVERAGE('R1'!N238,'R2'!N238,'R3'!N238)</f>
        <v>-0.19089769564209388</v>
      </c>
      <c r="H238">
        <f>AVERAGE('R1'!O238,'R2'!O238,'R3'!O238)</f>
        <v>0.21551857688041867</v>
      </c>
      <c r="I238">
        <f t="shared" si="7"/>
        <v>4390.7109787499985</v>
      </c>
      <c r="K238">
        <f>_xlfn.STDEV.S('R1'!L238,'R2'!L238,'R3'!L238)</f>
        <v>2.5161082136694385E-3</v>
      </c>
      <c r="L238">
        <f>_xlfn.STDEV.S('R1'!M238,'R2'!M238,'R3'!M238)</f>
        <v>4.3503862969047555E-3</v>
      </c>
      <c r="M238">
        <f>_xlfn.STDEV.S('R1'!N238,'R2'!N238,'R3'!N238)</f>
        <v>2.1672880283805443E-3</v>
      </c>
      <c r="N238">
        <f>_xlfn.STDEV.S('R1'!O238,'R2'!O238,'R3'!O238)</f>
        <v>3.9764133176629799E-3</v>
      </c>
    </row>
    <row r="239" spans="1:14" x14ac:dyDescent="0.25">
      <c r="A239">
        <f>-'R1'!H239</f>
        <v>4</v>
      </c>
      <c r="B239">
        <f>DEGREES(ATAN(-SIN(RADIANS(('R1'!I239)))/(COS(RADIANS(Sheet1!A239))*COS(RADIANS('R1'!I239)))))</f>
        <v>16.037063740993869</v>
      </c>
      <c r="C239">
        <f>AVERAGE('R1'!J239,'R2'!J239,'R3'!J239)</f>
        <v>1.1633333333333331</v>
      </c>
      <c r="D239">
        <f>AVERAGE('R1'!K239,'R2'!K239,'R3'!K239)</f>
        <v>22.323634083333332</v>
      </c>
      <c r="E239">
        <f>AVERAGE('R1'!L239,'R2'!L239,'R3'!L239)</f>
        <v>1.1051219442352667</v>
      </c>
      <c r="F239">
        <f>AVERAGE('R1'!M239,'R2'!M239,'R3'!M239)</f>
        <v>-0.26296673023544764</v>
      </c>
      <c r="G239">
        <f>AVERAGE('R1'!N239,'R2'!N239,'R3'!N239)</f>
        <v>-0.11057424054549851</v>
      </c>
      <c r="H239">
        <f>AVERAGE('R1'!O239,'R2'!O239,'R3'!O239)</f>
        <v>0.38071309125698805</v>
      </c>
      <c r="I239">
        <f t="shared" si="7"/>
        <v>4328.3046083796289</v>
      </c>
      <c r="K239">
        <f>_xlfn.STDEV.S('R1'!L239,'R2'!L239,'R3'!L239)</f>
        <v>1.5681743227931896E-3</v>
      </c>
      <c r="L239">
        <f>_xlfn.STDEV.S('R1'!M239,'R2'!M239,'R3'!M239)</f>
        <v>6.6988874802684385E-3</v>
      </c>
      <c r="M239">
        <f>_xlfn.STDEV.S('R1'!N239,'R2'!N239,'R3'!N239)</f>
        <v>2.5639304177436082E-3</v>
      </c>
      <c r="N239">
        <f>_xlfn.STDEV.S('R1'!O239,'R2'!O239,'R3'!O239)</f>
        <v>5.9937410870579627E-3</v>
      </c>
    </row>
    <row r="240" spans="1:14" x14ac:dyDescent="0.25">
      <c r="A240">
        <f>-'R1'!H240</f>
        <v>4</v>
      </c>
      <c r="B240">
        <f>DEGREES(ATAN(-SIN(RADIANS(('R1'!I240)))/(COS(RADIANS(Sheet1!A240))*COS(RADIANS('R1'!I240)))))</f>
        <v>12.028450348745874</v>
      </c>
      <c r="C240">
        <f>AVERAGE('R1'!J240,'R2'!J240,'R3'!J240)</f>
        <v>1.1633333333333331</v>
      </c>
      <c r="D240">
        <f>AVERAGE('R1'!K240,'R2'!K240,'R3'!K240)</f>
        <v>22.040009749999999</v>
      </c>
      <c r="E240">
        <f>AVERAGE('R1'!L240,'R2'!L240,'R3'!L240)</f>
        <v>0.8656380197252721</v>
      </c>
      <c r="F240">
        <f>AVERAGE('R1'!M240,'R2'!M240,'R3'!M240)</f>
        <v>-0.27106665213931375</v>
      </c>
      <c r="G240">
        <f>AVERAGE('R1'!N240,'R2'!N240,'R3'!N240)</f>
        <v>-5.5484995879790416E-2</v>
      </c>
      <c r="H240">
        <f>AVERAGE('R1'!O240,'R2'!O240,'R3'!O240)</f>
        <v>0.58140803382979145</v>
      </c>
      <c r="I240">
        <f t="shared" si="7"/>
        <v>4273.3130015277766</v>
      </c>
      <c r="K240">
        <f>_xlfn.STDEV.S('R1'!L240,'R2'!L240,'R3'!L240)</f>
        <v>4.3464216850815415E-3</v>
      </c>
      <c r="L240">
        <f>_xlfn.STDEV.S('R1'!M240,'R2'!M240,'R3'!M240)</f>
        <v>2.6405876031980148E-3</v>
      </c>
      <c r="M240">
        <f>_xlfn.STDEV.S('R1'!N240,'R2'!N240,'R3'!N240)</f>
        <v>7.7290592034837753E-4</v>
      </c>
      <c r="N240">
        <f>_xlfn.STDEV.S('R1'!O240,'R2'!O240,'R3'!O240)</f>
        <v>2.4587268895525788E-3</v>
      </c>
    </row>
    <row r="241" spans="1:14" x14ac:dyDescent="0.25">
      <c r="A241">
        <f>-'R1'!H241</f>
        <v>4</v>
      </c>
      <c r="B241">
        <f>DEGREES(ATAN(-SIN(RADIANS(('R1'!I241)))/(COS(RADIANS(Sheet1!A241))*COS(RADIANS('R1'!I241)))))</f>
        <v>8.0192813611150822</v>
      </c>
      <c r="C241">
        <f>AVERAGE('R1'!J241,'R2'!J241,'R3'!J241)</f>
        <v>1.1633333333333331</v>
      </c>
      <c r="D241">
        <f>AVERAGE('R1'!K241,'R2'!K241,'R3'!K241)</f>
        <v>22.221759166666669</v>
      </c>
      <c r="E241">
        <f>AVERAGE('R1'!L241,'R2'!L241,'R3'!L241)</f>
        <v>0.5855384843892345</v>
      </c>
      <c r="F241">
        <f>AVERAGE('R1'!M241,'R2'!M241,'R3'!M241)</f>
        <v>-0.28642312672703008</v>
      </c>
      <c r="G241">
        <f>AVERAGE('R1'!N241,'R2'!N241,'R3'!N241)</f>
        <v>-1.9321005738962865E-2</v>
      </c>
      <c r="H241">
        <f>AVERAGE('R1'!O241,'R2'!O241,'R3'!O241)</f>
        <v>0.78741730228914741</v>
      </c>
      <c r="I241">
        <f t="shared" si="7"/>
        <v>4308.5521939814807</v>
      </c>
      <c r="K241">
        <f>_xlfn.STDEV.S('R1'!L241,'R2'!L241,'R3'!L241)</f>
        <v>8.485491049054909E-3</v>
      </c>
      <c r="L241">
        <f>_xlfn.STDEV.S('R1'!M241,'R2'!M241,'R3'!M241)</f>
        <v>7.5150843446290493E-3</v>
      </c>
      <c r="M241">
        <f>_xlfn.STDEV.S('R1'!N241,'R2'!N241,'R3'!N241)</f>
        <v>3.228621925513357E-3</v>
      </c>
      <c r="N241">
        <f>_xlfn.STDEV.S('R1'!O241,'R2'!O241,'R3'!O241)</f>
        <v>2.2797109231160136E-3</v>
      </c>
    </row>
    <row r="242" spans="1:14" x14ac:dyDescent="0.25">
      <c r="A242">
        <f>-'R1'!H242</f>
        <v>4</v>
      </c>
      <c r="B242">
        <f>DEGREES(ATAN(-SIN(RADIANS(('R1'!I242)))/(COS(RADIANS(Sheet1!A242))*COS(RADIANS('R1'!I242)))))</f>
        <v>4.0097357700975991</v>
      </c>
      <c r="C242">
        <f>AVERAGE('R1'!J242,'R2'!J242,'R3'!J242)</f>
        <v>1.1633333333333331</v>
      </c>
      <c r="D242">
        <f>AVERAGE('R1'!K242,'R2'!K242,'R3'!K242)</f>
        <v>22.438404416666668</v>
      </c>
      <c r="E242">
        <f>AVERAGE('R1'!L242,'R2'!L242,'R3'!L242)</f>
        <v>0.27123834149719611</v>
      </c>
      <c r="F242">
        <f>AVERAGE('R1'!M242,'R2'!M242,'R3'!M242)</f>
        <v>-0.31472289279705995</v>
      </c>
      <c r="G242">
        <f>AVERAGE('R1'!N242,'R2'!N242,'R3'!N242)</f>
        <v>-7.6501861317317945E-3</v>
      </c>
      <c r="H242">
        <f>AVERAGE('R1'!O242,'R2'!O242,'R3'!O242)</f>
        <v>0.99391000596161005</v>
      </c>
      <c r="I242">
        <f t="shared" si="7"/>
        <v>4350.5573007870362</v>
      </c>
      <c r="K242">
        <f>_xlfn.STDEV.S('R1'!L242,'R2'!L242,'R3'!L242)</f>
        <v>5.8775432751607265E-4</v>
      </c>
      <c r="L242">
        <f>_xlfn.STDEV.S('R1'!M242,'R2'!M242,'R3'!M242)</f>
        <v>1.1729219281494882E-2</v>
      </c>
      <c r="M242">
        <f>_xlfn.STDEV.S('R1'!N242,'R2'!N242,'R3'!N242)</f>
        <v>4.433878867639773E-3</v>
      </c>
      <c r="N242">
        <f>_xlfn.STDEV.S('R1'!O242,'R2'!O242,'R3'!O242)</f>
        <v>5.8231356958751285E-3</v>
      </c>
    </row>
    <row r="243" spans="1:14" x14ac:dyDescent="0.25">
      <c r="A243">
        <f>-'R1'!H243</f>
        <v>4</v>
      </c>
      <c r="B243">
        <f>DEGREES(ATAN(-SIN(RADIANS(('R1'!I243)))/(COS(RADIANS(Sheet1!A243))*COS(RADIANS('R1'!I243)))))</f>
        <v>0</v>
      </c>
      <c r="C243">
        <f>AVERAGE('R1'!J243,'R2'!J243,'R3'!J243)</f>
        <v>1.1633333333333331</v>
      </c>
      <c r="D243">
        <f>AVERAGE('R1'!K243,'R2'!K243,'R3'!K243)</f>
        <v>22.867203749999998</v>
      </c>
      <c r="E243">
        <f>AVERAGE('R1'!L243,'R2'!L243,'R3'!L243)</f>
        <v>-0.1106853222505461</v>
      </c>
      <c r="F243">
        <f>AVERAGE('R1'!M243,'R2'!M243,'R3'!M243)</f>
        <v>-0.31844586401490771</v>
      </c>
      <c r="G243">
        <f>AVERAGE('R1'!N243,'R2'!N243,'R3'!N243)</f>
        <v>-3.0822731265066519E-3</v>
      </c>
      <c r="H243">
        <f>AVERAGE('R1'!O243,'R2'!O243,'R3'!O243)</f>
        <v>1.1014622963543597</v>
      </c>
      <c r="I243">
        <f t="shared" si="7"/>
        <v>4433.696727083332</v>
      </c>
      <c r="K243">
        <f>_xlfn.STDEV.S('R1'!L243,'R2'!L243,'R3'!L243)</f>
        <v>5.0750820030398634E-3</v>
      </c>
      <c r="L243">
        <f>_xlfn.STDEV.S('R1'!M243,'R2'!M243,'R3'!M243)</f>
        <v>6.185924412594526E-3</v>
      </c>
      <c r="M243">
        <f>_xlfn.STDEV.S('R1'!N243,'R2'!N243,'R3'!N243)</f>
        <v>2.7861303360891768E-3</v>
      </c>
      <c r="N243">
        <f>_xlfn.STDEV.S('R1'!O243,'R2'!O243,'R3'!O243)</f>
        <v>8.1841334410982132E-3</v>
      </c>
    </row>
    <row r="244" spans="1:14" x14ac:dyDescent="0.25">
      <c r="A244">
        <f>-'R1'!H244</f>
        <v>4</v>
      </c>
      <c r="B244">
        <f>DEGREES(ATAN(-SIN(RADIANS(('R1'!I244)))/(COS(RADIANS(Sheet1!A244))*COS(RADIANS('R1'!I244)))))</f>
        <v>-4.0097357700975991</v>
      </c>
      <c r="C244">
        <f>AVERAGE('R1'!J244,'R2'!J244,'R3'!J244)</f>
        <v>1.1633333333333331</v>
      </c>
      <c r="D244">
        <f>AVERAGE('R1'!K244,'R2'!K244,'R3'!K244)</f>
        <v>23.206662249999997</v>
      </c>
      <c r="E244">
        <f>AVERAGE('R1'!L244,'R2'!L244,'R3'!L244)</f>
        <v>-0.4569433038347504</v>
      </c>
      <c r="F244">
        <f>AVERAGE('R1'!M244,'R2'!M244,'R3'!M244)</f>
        <v>-0.26761578954698267</v>
      </c>
      <c r="G244">
        <f>AVERAGE('R1'!N244,'R2'!N244,'R3'!N244)</f>
        <v>-6.8236636918527493E-3</v>
      </c>
      <c r="H244">
        <f>AVERAGE('R1'!O244,'R2'!O244,'R3'!O244)</f>
        <v>0.91276047588404785</v>
      </c>
      <c r="I244">
        <f t="shared" si="7"/>
        <v>4499.513958472221</v>
      </c>
      <c r="K244">
        <f>_xlfn.STDEV.S('R1'!L244,'R2'!L244,'R3'!L244)</f>
        <v>7.0039989696558617E-3</v>
      </c>
      <c r="L244">
        <f>_xlfn.STDEV.S('R1'!M244,'R2'!M244,'R3'!M244)</f>
        <v>4.5858554160698598E-3</v>
      </c>
      <c r="M244">
        <f>_xlfn.STDEV.S('R1'!N244,'R2'!N244,'R3'!N244)</f>
        <v>6.1931858059014657E-3</v>
      </c>
      <c r="N244">
        <f>_xlfn.STDEV.S('R1'!O244,'R2'!O244,'R3'!O244)</f>
        <v>1.7262694489963946E-3</v>
      </c>
    </row>
    <row r="245" spans="1:14" x14ac:dyDescent="0.25">
      <c r="A245">
        <f>-'R1'!H245</f>
        <v>4</v>
      </c>
      <c r="B245">
        <f>DEGREES(ATAN(-SIN(RADIANS(('R1'!I245)))/(COS(RADIANS(Sheet1!A245))*COS(RADIANS('R1'!I245)))))</f>
        <v>-8.0192813611150822</v>
      </c>
      <c r="C245">
        <f>AVERAGE('R1'!J245,'R2'!J245,'R3'!J245)</f>
        <v>1.1633333333333331</v>
      </c>
      <c r="D245">
        <f>AVERAGE('R1'!K245,'R2'!K245,'R3'!K245)</f>
        <v>23.203650416666665</v>
      </c>
      <c r="E245">
        <f>AVERAGE('R1'!L245,'R2'!L245,'R3'!L245)</f>
        <v>-0.7533575271319598</v>
      </c>
      <c r="F245">
        <f>AVERAGE('R1'!M245,'R2'!M245,'R3'!M245)</f>
        <v>-0.22735404728826478</v>
      </c>
      <c r="G245">
        <f>AVERAGE('R1'!N245,'R2'!N245,'R3'!N245)</f>
        <v>-2.9112508732973327E-2</v>
      </c>
      <c r="H245">
        <f>AVERAGE('R1'!O245,'R2'!O245,'R3'!O245)</f>
        <v>0.72920247440454544</v>
      </c>
      <c r="I245">
        <f t="shared" si="7"/>
        <v>4498.9299974537025</v>
      </c>
      <c r="K245">
        <f>_xlfn.STDEV.S('R1'!L245,'R2'!L245,'R3'!L245)</f>
        <v>4.0172702469996255E-3</v>
      </c>
      <c r="L245">
        <f>_xlfn.STDEV.S('R1'!M245,'R2'!M245,'R3'!M245)</f>
        <v>4.1818817889284505E-3</v>
      </c>
      <c r="M245">
        <f>_xlfn.STDEV.S('R1'!N245,'R2'!N245,'R3'!N245)</f>
        <v>2.4581724227718802E-3</v>
      </c>
      <c r="N245">
        <f>_xlfn.STDEV.S('R1'!O245,'R2'!O245,'R3'!O245)</f>
        <v>3.4927824493596903E-3</v>
      </c>
    </row>
    <row r="246" spans="1:14" x14ac:dyDescent="0.25">
      <c r="A246">
        <f>-'R1'!H246</f>
        <v>4</v>
      </c>
      <c r="B246">
        <f>DEGREES(ATAN(-SIN(RADIANS(('R1'!I246)))/(COS(RADIANS(Sheet1!A246))*COS(RADIANS('R1'!I246)))))</f>
        <v>-12.028450348745874</v>
      </c>
      <c r="C246">
        <f>AVERAGE('R1'!J246,'R2'!J246,'R3'!J246)</f>
        <v>1.1633333333333331</v>
      </c>
      <c r="D246">
        <f>AVERAGE('R1'!K246,'R2'!K246,'R3'!K246)</f>
        <v>22.748269333333329</v>
      </c>
      <c r="E246">
        <f>AVERAGE('R1'!L246,'R2'!L246,'R3'!L246)</f>
        <v>-1.0025627367359438</v>
      </c>
      <c r="F246">
        <f>AVERAGE('R1'!M246,'R2'!M246,'R3'!M246)</f>
        <v>-0.21030096312875082</v>
      </c>
      <c r="G246">
        <f>AVERAGE('R1'!N246,'R2'!N246,'R3'!N246)</f>
        <v>-7.9683457950915873E-2</v>
      </c>
      <c r="H246">
        <f>AVERAGE('R1'!O246,'R2'!O246,'R3'!O246)</f>
        <v>0.54954535087155099</v>
      </c>
      <c r="I246">
        <f t="shared" si="7"/>
        <v>4410.636665185184</v>
      </c>
      <c r="K246">
        <f>_xlfn.STDEV.S('R1'!L246,'R2'!L246,'R3'!L246)</f>
        <v>3.0763738268825029E-3</v>
      </c>
      <c r="L246">
        <f>_xlfn.STDEV.S('R1'!M246,'R2'!M246,'R3'!M246)</f>
        <v>7.2492822258073217E-3</v>
      </c>
      <c r="M246">
        <f>_xlfn.STDEV.S('R1'!N246,'R2'!N246,'R3'!N246)</f>
        <v>4.8329353666036069E-3</v>
      </c>
      <c r="N246">
        <f>_xlfn.STDEV.S('R1'!O246,'R2'!O246,'R3'!O246)</f>
        <v>6.5737113852961772E-3</v>
      </c>
    </row>
    <row r="247" spans="1:14" x14ac:dyDescent="0.25">
      <c r="A247">
        <f>-'R1'!H247</f>
        <v>4</v>
      </c>
      <c r="B247">
        <f>DEGREES(ATAN(-SIN(RADIANS(('R1'!I247)))/(COS(RADIANS(Sheet1!A247))*COS(RADIANS('R1'!I247)))))</f>
        <v>-16.037063740993869</v>
      </c>
      <c r="C247">
        <f>AVERAGE('R1'!J247,'R2'!J247,'R3'!J247)</f>
        <v>1.1633333333333331</v>
      </c>
      <c r="D247">
        <f>AVERAGE('R1'!K247,'R2'!K247,'R3'!K247)</f>
        <v>22.401049666666665</v>
      </c>
      <c r="E247">
        <f>AVERAGE('R1'!L247,'R2'!L247,'R3'!L247)</f>
        <v>-1.2478699475348272</v>
      </c>
      <c r="F247">
        <f>AVERAGE('R1'!M247,'R2'!M247,'R3'!M247)</f>
        <v>-0.20797692461079112</v>
      </c>
      <c r="G247">
        <f>AVERAGE('R1'!N247,'R2'!N247,'R3'!N247)</f>
        <v>-0.17579113775663879</v>
      </c>
      <c r="H247">
        <f>AVERAGE('R1'!O247,'R2'!O247,'R3'!O247)</f>
        <v>0.38354422806367811</v>
      </c>
      <c r="I247">
        <f t="shared" si="7"/>
        <v>4343.314629814814</v>
      </c>
      <c r="K247">
        <f>_xlfn.STDEV.S('R1'!L247,'R2'!L247,'R3'!L247)</f>
        <v>1.7428835504169778E-3</v>
      </c>
      <c r="L247">
        <f>_xlfn.STDEV.S('R1'!M247,'R2'!M247,'R3'!M247)</f>
        <v>5.4681326998799339E-4</v>
      </c>
      <c r="M247">
        <f>_xlfn.STDEV.S('R1'!N247,'R2'!N247,'R3'!N247)</f>
        <v>1.5438584978464303E-3</v>
      </c>
      <c r="N247">
        <f>_xlfn.STDEV.S('R1'!O247,'R2'!O247,'R3'!O247)</f>
        <v>3.300128704275223E-3</v>
      </c>
    </row>
    <row r="248" spans="1:14" x14ac:dyDescent="0.25">
      <c r="A248">
        <f>-'R1'!H248</f>
        <v>4</v>
      </c>
      <c r="B248">
        <f>DEGREES(ATAN(-SIN(RADIANS(('R1'!I248)))/(COS(RADIANS(Sheet1!A248))*COS(RADIANS('R1'!I248)))))</f>
        <v>-20.044953503068641</v>
      </c>
      <c r="C248">
        <f>AVERAGE('R1'!J248,'R2'!J248,'R3'!J248)</f>
        <v>1.1633333333333331</v>
      </c>
      <c r="D248">
        <f>AVERAGE('R1'!K248,'R2'!K248,'R3'!K248)</f>
        <v>22.269916416666671</v>
      </c>
      <c r="E248">
        <f>AVERAGE('R1'!L248,'R2'!L248,'R3'!L248)</f>
        <v>-1.4996180165415163</v>
      </c>
      <c r="F248">
        <f>AVERAGE('R1'!M248,'R2'!M248,'R3'!M248)</f>
        <v>-0.21726439076069529</v>
      </c>
      <c r="G248">
        <f>AVERAGE('R1'!N248,'R2'!N248,'R3'!N248)</f>
        <v>-0.30948489205727991</v>
      </c>
      <c r="H248">
        <f>AVERAGE('R1'!O248,'R2'!O248,'R3'!O248)</f>
        <v>0.20912809387943834</v>
      </c>
      <c r="I248">
        <f t="shared" si="7"/>
        <v>4317.8893496759265</v>
      </c>
      <c r="K248">
        <f>_xlfn.STDEV.S('R1'!L248,'R2'!L248,'R3'!L248)</f>
        <v>8.0994256426685889E-3</v>
      </c>
      <c r="L248">
        <f>_xlfn.STDEV.S('R1'!M248,'R2'!M248,'R3'!M248)</f>
        <v>1.5035215720720573E-3</v>
      </c>
      <c r="M248">
        <f>_xlfn.STDEV.S('R1'!N248,'R2'!N248,'R3'!N248)</f>
        <v>3.1497558710553049E-3</v>
      </c>
      <c r="N248">
        <f>_xlfn.STDEV.S('R1'!O248,'R2'!O248,'R3'!O248)</f>
        <v>5.0290231015234447E-3</v>
      </c>
    </row>
    <row r="249" spans="1:14" x14ac:dyDescent="0.25">
      <c r="A249">
        <f>-'R1'!H249</f>
        <v>4</v>
      </c>
      <c r="B249">
        <f>DEGREES(ATAN(-SIN(RADIANS(('R1'!I249)))/(COS(RADIANS(Sheet1!A249))*COS(RADIANS('R1'!I249)))))</f>
        <v>-24.051965857834489</v>
      </c>
      <c r="C249">
        <f>AVERAGE('R1'!J249,'R2'!J249,'R3'!J249)</f>
        <v>1.1633333333333331</v>
      </c>
      <c r="D249">
        <f>AVERAGE('R1'!K249,'R2'!K249,'R3'!K249)</f>
        <v>22.567631500000001</v>
      </c>
      <c r="E249">
        <f>AVERAGE('R1'!L249,'R2'!L249,'R3'!L249)</f>
        <v>-1.7939864567050361</v>
      </c>
      <c r="F249">
        <f>AVERAGE('R1'!M249,'R2'!M249,'R3'!M249)</f>
        <v>-0.22811348086518923</v>
      </c>
      <c r="G249">
        <f>AVERAGE('R1'!N249,'R2'!N249,'R3'!N249)</f>
        <v>-0.50109691708467452</v>
      </c>
      <c r="H249">
        <f>AVERAGE('R1'!O249,'R2'!O249,'R3'!O249)</f>
        <v>3.1750675437153868E-2</v>
      </c>
      <c r="I249">
        <f t="shared" si="7"/>
        <v>4375.612996388888</v>
      </c>
      <c r="K249">
        <f>_xlfn.STDEV.S('R1'!L249,'R2'!L249,'R3'!L249)</f>
        <v>7.1526338337076492E-3</v>
      </c>
      <c r="L249">
        <f>_xlfn.STDEV.S('R1'!M249,'R2'!M249,'R3'!M249)</f>
        <v>6.6749537804354003E-3</v>
      </c>
      <c r="M249">
        <f>_xlfn.STDEV.S('R1'!N249,'R2'!N249,'R3'!N249)</f>
        <v>6.1104970740670913E-3</v>
      </c>
      <c r="N249">
        <f>_xlfn.STDEV.S('R1'!O249,'R2'!O249,'R3'!O249)</f>
        <v>9.2541895855733133E-3</v>
      </c>
    </row>
    <row r="250" spans="1:14" x14ac:dyDescent="0.25">
      <c r="A250">
        <f>-'R1'!H250</f>
        <v>4</v>
      </c>
      <c r="B250">
        <f>DEGREES(ATAN(-SIN(RADIANS(('R1'!I250)))/(COS(RADIANS(Sheet1!A250))*COS(RADIANS('R1'!I250)))))</f>
        <v>-28.057964295258</v>
      </c>
      <c r="C250">
        <f>AVERAGE('R1'!J250,'R2'!J250,'R3'!J250)</f>
        <v>1.1633333333333331</v>
      </c>
      <c r="D250">
        <f>AVERAGE('R1'!K250,'R2'!K250,'R3'!K250)</f>
        <v>22.645162999999997</v>
      </c>
      <c r="E250">
        <f>AVERAGE('R1'!L250,'R2'!L250,'R3'!L250)</f>
        <v>-2.1594504439677422</v>
      </c>
      <c r="F250">
        <f>AVERAGE('R1'!M250,'R2'!M250,'R3'!M250)</f>
        <v>-0.24745207745847739</v>
      </c>
      <c r="G250">
        <f>AVERAGE('R1'!N250,'R2'!N250,'R3'!N250)</f>
        <v>-0.77872678841740373</v>
      </c>
      <c r="H250">
        <f>AVERAGE('R1'!O250,'R2'!O250,'R3'!O250)</f>
        <v>-0.16918939389389706</v>
      </c>
      <c r="I250">
        <f t="shared" si="7"/>
        <v>4390.6454927777759</v>
      </c>
      <c r="K250">
        <f>_xlfn.STDEV.S('R1'!L250,'R2'!L250,'R3'!L250)</f>
        <v>8.0199894433643608E-3</v>
      </c>
      <c r="L250">
        <f>_xlfn.STDEV.S('R1'!M250,'R2'!M250,'R3'!M250)</f>
        <v>5.9254540699784034E-3</v>
      </c>
      <c r="M250">
        <f>_xlfn.STDEV.S('R1'!N250,'R2'!N250,'R3'!N250)</f>
        <v>2.213516879321933E-3</v>
      </c>
      <c r="N250">
        <f>_xlfn.STDEV.S('R1'!O250,'R2'!O250,'R3'!O250)</f>
        <v>1.6110308312693984E-3</v>
      </c>
    </row>
    <row r="251" spans="1:14" x14ac:dyDescent="0.25">
      <c r="A251">
        <f>-'R1'!H251</f>
        <v>4</v>
      </c>
      <c r="B251">
        <f>DEGREES(ATAN(-SIN(RADIANS(('R1'!I251)))/(COS(RADIANS(Sheet1!A251))*COS(RADIANS('R1'!I251)))))</f>
        <v>-32.062832231023428</v>
      </c>
      <c r="C251">
        <f>AVERAGE('R1'!J251,'R2'!J251,'R3'!J251)</f>
        <v>1.1633333333333331</v>
      </c>
      <c r="D251">
        <f>AVERAGE('R1'!K251,'R2'!K251,'R3'!K251)</f>
        <v>22.808262833333334</v>
      </c>
      <c r="E251">
        <f>AVERAGE('R1'!L251,'R2'!L251,'R3'!L251)</f>
        <v>-2.6630224419616213</v>
      </c>
      <c r="F251">
        <f>AVERAGE('R1'!M251,'R2'!M251,'R3'!M251)</f>
        <v>-0.26989632028281646</v>
      </c>
      <c r="G251">
        <f>AVERAGE('R1'!N251,'R2'!N251,'R3'!N251)</f>
        <v>-1.1871893388331829</v>
      </c>
      <c r="H251">
        <f>AVERAGE('R1'!O251,'R2'!O251,'R3'!O251)</f>
        <v>-0.42094876247825302</v>
      </c>
      <c r="I251">
        <f t="shared" si="7"/>
        <v>4422.2687382407403</v>
      </c>
      <c r="K251">
        <f>_xlfn.STDEV.S('R1'!L251,'R2'!L251,'R3'!L251)</f>
        <v>1.1439468065389516E-2</v>
      </c>
      <c r="L251">
        <f>_xlfn.STDEV.S('R1'!M251,'R2'!M251,'R3'!M251)</f>
        <v>2.9981021316076136E-3</v>
      </c>
      <c r="M251">
        <f>_xlfn.STDEV.S('R1'!N251,'R2'!N251,'R3'!N251)</f>
        <v>9.8614967614081353E-3</v>
      </c>
      <c r="N251">
        <f>_xlfn.STDEV.S('R1'!O251,'R2'!O251,'R3'!O251)</f>
        <v>1.9954699427539007E-3</v>
      </c>
    </row>
    <row r="252" spans="1:14" x14ac:dyDescent="0.25">
      <c r="A252">
        <f>-'R1'!H252</f>
        <v>4</v>
      </c>
      <c r="B252">
        <f>DEGREES(ATAN(-SIN(RADIANS(('R1'!I252)))/(COS(RADIANS(Sheet1!A252))*COS(RADIANS('R1'!I252)))))</f>
        <v>-36.066475262469574</v>
      </c>
      <c r="C252">
        <f>AVERAGE('R1'!J252,'R2'!J252,'R3'!J252)</f>
        <v>1.1633333333333331</v>
      </c>
      <c r="D252">
        <f>AVERAGE('R1'!K252,'R2'!K252,'R3'!K252)</f>
        <v>22.936202750000003</v>
      </c>
      <c r="E252">
        <f>AVERAGE('R1'!L252,'R2'!L252,'R3'!L252)</f>
        <v>-3.3740314849419604</v>
      </c>
      <c r="F252">
        <f>AVERAGE('R1'!M252,'R2'!M252,'R3'!M252)</f>
        <v>-0.31639214406676447</v>
      </c>
      <c r="G252">
        <f>AVERAGE('R1'!N252,'R2'!N252,'R3'!N252)</f>
        <v>-1.7876649983356263</v>
      </c>
      <c r="H252">
        <f>AVERAGE('R1'!O252,'R2'!O252,'R3'!O252)</f>
        <v>-0.7581720078988522</v>
      </c>
      <c r="I252">
        <f t="shared" si="7"/>
        <v>4447.0748665277779</v>
      </c>
      <c r="K252">
        <f>_xlfn.STDEV.S('R1'!L252,'R2'!L252,'R3'!L252)</f>
        <v>1.899810630980233E-2</v>
      </c>
      <c r="L252">
        <f>_xlfn.STDEV.S('R1'!M252,'R2'!M252,'R3'!M252)</f>
        <v>9.2924249578829332E-3</v>
      </c>
      <c r="M252">
        <f>_xlfn.STDEV.S('R1'!N252,'R2'!N252,'R3'!N252)</f>
        <v>1.66868862911271E-2</v>
      </c>
      <c r="N252">
        <f>_xlfn.STDEV.S('R1'!O252,'R2'!O252,'R3'!O252)</f>
        <v>5.0567329998482107E-3</v>
      </c>
    </row>
    <row r="253" spans="1:14" x14ac:dyDescent="0.25">
      <c r="A253">
        <f>-'R1'!H253</f>
        <v>4</v>
      </c>
      <c r="B253">
        <f>DEGREES(ATAN(-SIN(RADIANS(('R1'!I253)))/(COS(RADIANS(Sheet1!A253))*COS(RADIANS('R1'!I253)))))</f>
        <v>-40.068822978998547</v>
      </c>
      <c r="C253">
        <f>AVERAGE('R1'!J253,'R2'!J253,'R3'!J253)</f>
        <v>1.1633333333333331</v>
      </c>
      <c r="D253">
        <f>AVERAGE('R1'!K253,'R2'!K253,'R3'!K253)</f>
        <v>22.990810749999998</v>
      </c>
      <c r="E253">
        <f>AVERAGE('R1'!L253,'R2'!L253,'R3'!L253)</f>
        <v>-4.5801603459151963</v>
      </c>
      <c r="F253">
        <f>AVERAGE('R1'!M253,'R2'!M253,'R3'!M253)</f>
        <v>-0.39841150834456379</v>
      </c>
      <c r="G253">
        <f>AVERAGE('R1'!N253,'R2'!N253,'R3'!N253)</f>
        <v>-2.8358989699772255</v>
      </c>
      <c r="H253">
        <f>AVERAGE('R1'!O253,'R2'!O253,'R3'!O253)</f>
        <v>-1.3031660367338074</v>
      </c>
      <c r="I253">
        <f t="shared" si="7"/>
        <v>4457.6627509722211</v>
      </c>
      <c r="K253">
        <f>_xlfn.STDEV.S('R1'!L253,'R2'!L253,'R3'!L253)</f>
        <v>6.8413888394420301E-3</v>
      </c>
      <c r="L253">
        <f>_xlfn.STDEV.S('R1'!M253,'R2'!M253,'R3'!M253)</f>
        <v>1.4705486875692673E-2</v>
      </c>
      <c r="M253">
        <f>_xlfn.STDEV.S('R1'!N253,'R2'!N253,'R3'!N253)</f>
        <v>7.1540732007542487E-3</v>
      </c>
      <c r="N253">
        <f>_xlfn.STDEV.S('R1'!O253,'R2'!O253,'R3'!O253)</f>
        <v>5.3531380212124063E-3</v>
      </c>
    </row>
    <row r="254" spans="1:14" x14ac:dyDescent="0.25">
      <c r="A254">
        <f>-'R1'!H254</f>
        <v>4</v>
      </c>
      <c r="B254">
        <f>DEGREES(ATAN(-SIN(RADIANS(('R1'!I254)))/(COS(RADIANS(Sheet1!A254))*COS(RADIANS('R1'!I254)))))</f>
        <v>-44.069830293849904</v>
      </c>
      <c r="C254">
        <f>AVERAGE('R1'!J254,'R2'!J254,'R3'!J254)</f>
        <v>1.1633333333333331</v>
      </c>
      <c r="D254">
        <f>AVERAGE('R1'!K254,'R2'!K254,'R3'!K254)</f>
        <v>22.823557083333338</v>
      </c>
      <c r="E254">
        <f>AVERAGE('R1'!L254,'R2'!L254,'R3'!L254)</f>
        <v>-6.7623264887300722</v>
      </c>
      <c r="F254">
        <f>AVERAGE('R1'!M254,'R2'!M254,'R3'!M254)</f>
        <v>-0.5544928008084079</v>
      </c>
      <c r="G254">
        <f>AVERAGE('R1'!N254,'R2'!N254,'R3'!N254)</f>
        <v>-4.7852467498291231</v>
      </c>
      <c r="H254">
        <f>AVERAGE('R1'!O254,'R2'!O254,'R3'!O254)</f>
        <v>-2.2687854310234954</v>
      </c>
      <c r="I254">
        <f t="shared" si="7"/>
        <v>4425.2341233796305</v>
      </c>
      <c r="K254">
        <f>_xlfn.STDEV.S('R1'!L254,'R2'!L254,'R3'!L254)</f>
        <v>6.3788587802292199E-2</v>
      </c>
      <c r="L254">
        <f>_xlfn.STDEV.S('R1'!M254,'R2'!M254,'R3'!M254)</f>
        <v>7.5517860346910491E-3</v>
      </c>
      <c r="M254">
        <f>_xlfn.STDEV.S('R1'!N254,'R2'!N254,'R3'!N254)</f>
        <v>6.2840198631554503E-2</v>
      </c>
      <c r="N254">
        <f>_xlfn.STDEV.S('R1'!O254,'R2'!O254,'R3'!O254)</f>
        <v>2.8040082537542216E-2</v>
      </c>
    </row>
    <row r="255" spans="1:14" x14ac:dyDescent="0.25">
      <c r="A255">
        <f>-'R1'!H255</f>
        <v>0</v>
      </c>
      <c r="B255">
        <f>DEGREES(ATAN(-SIN(RADIANS(('R1'!I255)))/(COS(RADIANS(Sheet1!A255))*COS(RADIANS('R1'!I255)))))</f>
        <v>44</v>
      </c>
      <c r="C255">
        <f>AVERAGE('R1'!J255,'R2'!J255,'R3'!J255)</f>
        <v>1.1633333333333331</v>
      </c>
      <c r="D255">
        <f>AVERAGE('R1'!K255,'R2'!K255,'R3'!K255)</f>
        <v>22.338575583333334</v>
      </c>
      <c r="E255">
        <f>AVERAGE('R1'!L255,'R2'!L255,'R3'!L255)</f>
        <v>3.4207832613520401</v>
      </c>
      <c r="F255">
        <f>AVERAGE('R1'!M255,'R2'!M255,'R3'!M255)</f>
        <v>-6.9248434080388346E-2</v>
      </c>
      <c r="G255">
        <f>AVERAGE('R1'!N255,'R2'!N255,'R3'!N255)</f>
        <v>-1.7849049579239331</v>
      </c>
      <c r="H255">
        <f>AVERAGE('R1'!O255,'R2'!O255,'R3'!O255)</f>
        <v>-1.029055193865954</v>
      </c>
      <c r="I255">
        <f t="shared" si="7"/>
        <v>4331.2015992129627</v>
      </c>
      <c r="K255">
        <f>_xlfn.STDEV.S('R1'!L255,'R2'!L255,'R3'!L255)</f>
        <v>1.7137921820353487E-2</v>
      </c>
      <c r="L255">
        <f>_xlfn.STDEV.S('R1'!M255,'R2'!M255,'R3'!M255)</f>
        <v>1.3738419027007391E-2</v>
      </c>
      <c r="M255">
        <f>_xlfn.STDEV.S('R1'!N255,'R2'!N255,'R3'!N255)</f>
        <v>5.0604876048505991E-3</v>
      </c>
      <c r="N255">
        <f>_xlfn.STDEV.S('R1'!O255,'R2'!O255,'R3'!O255)</f>
        <v>2.4524768320344577E-3</v>
      </c>
    </row>
    <row r="256" spans="1:14" x14ac:dyDescent="0.25">
      <c r="A256">
        <f>-'R1'!H256</f>
        <v>0</v>
      </c>
      <c r="B256">
        <f>DEGREES(ATAN(-SIN(RADIANS(('R1'!I256)))/(COS(RADIANS(Sheet1!A256))*COS(RADIANS('R1'!I256)))))</f>
        <v>40</v>
      </c>
      <c r="C256">
        <f>AVERAGE('R1'!J256,'R2'!J256,'R3'!J256)</f>
        <v>1.1633333333333331</v>
      </c>
      <c r="D256">
        <f>AVERAGE('R1'!K256,'R2'!K256,'R3'!K256)</f>
        <v>22.057089833333333</v>
      </c>
      <c r="E256">
        <f>AVERAGE('R1'!L256,'R2'!L256,'R3'!L256)</f>
        <v>2.8793688606519239</v>
      </c>
      <c r="F256">
        <f>AVERAGE('R1'!M256,'R2'!M256,'R3'!M256)</f>
        <v>-5.6394563335451918E-2</v>
      </c>
      <c r="G256">
        <f>AVERAGE('R1'!N256,'R2'!N256,'R3'!N256)</f>
        <v>-1.2978596616427065</v>
      </c>
      <c r="H256">
        <f>AVERAGE('R1'!O256,'R2'!O256,'R3'!O256)</f>
        <v>-0.70856243605526148</v>
      </c>
      <c r="I256">
        <f t="shared" si="7"/>
        <v>4276.6246399074062</v>
      </c>
      <c r="K256">
        <f>_xlfn.STDEV.S('R1'!L256,'R2'!L256,'R3'!L256)</f>
        <v>1.4526333538071817E-2</v>
      </c>
      <c r="L256">
        <f>_xlfn.STDEV.S('R1'!M256,'R2'!M256,'R3'!M256)</f>
        <v>4.9345024308445696E-3</v>
      </c>
      <c r="M256">
        <f>_xlfn.STDEV.S('R1'!N256,'R2'!N256,'R3'!N256)</f>
        <v>4.6382437310044109E-3</v>
      </c>
      <c r="N256">
        <f>_xlfn.STDEV.S('R1'!O256,'R2'!O256,'R3'!O256)</f>
        <v>3.1618675686753577E-3</v>
      </c>
    </row>
    <row r="257" spans="1:14" x14ac:dyDescent="0.25">
      <c r="A257">
        <f>-'R1'!H257</f>
        <v>0</v>
      </c>
      <c r="B257">
        <f>DEGREES(ATAN(-SIN(RADIANS(('R1'!I257)))/(COS(RADIANS(Sheet1!A257))*COS(RADIANS('R1'!I257)))))</f>
        <v>36</v>
      </c>
      <c r="C257">
        <f>AVERAGE('R1'!J257,'R2'!J257,'R3'!J257)</f>
        <v>1.1633333333333331</v>
      </c>
      <c r="D257">
        <f>AVERAGE('R1'!K257,'R2'!K257,'R3'!K257)</f>
        <v>22.030064499999998</v>
      </c>
      <c r="E257">
        <f>AVERAGE('R1'!L257,'R2'!L257,'R3'!L257)</f>
        <v>2.4851347946015454</v>
      </c>
      <c r="F257">
        <f>AVERAGE('R1'!M257,'R2'!M257,'R3'!M257)</f>
        <v>-4.6260279930438665E-2</v>
      </c>
      <c r="G257">
        <f>AVERAGE('R1'!N257,'R2'!N257,'R3'!N257)</f>
        <v>-0.95815353203450604</v>
      </c>
      <c r="H257">
        <f>AVERAGE('R1'!O257,'R2'!O257,'R3'!O257)</f>
        <v>-0.45721644499974218</v>
      </c>
      <c r="I257">
        <f t="shared" si="7"/>
        <v>4271.3847280555547</v>
      </c>
      <c r="K257">
        <f>_xlfn.STDEV.S('R1'!L257,'R2'!L257,'R3'!L257)</f>
        <v>2.0612287047197513E-3</v>
      </c>
      <c r="L257">
        <f>_xlfn.STDEV.S('R1'!M257,'R2'!M257,'R3'!M257)</f>
        <v>1.1813820750580374E-3</v>
      </c>
      <c r="M257">
        <f>_xlfn.STDEV.S('R1'!N257,'R2'!N257,'R3'!N257)</f>
        <v>3.4847391633650647E-3</v>
      </c>
      <c r="N257">
        <f>_xlfn.STDEV.S('R1'!O257,'R2'!O257,'R3'!O257)</f>
        <v>6.0540122232080979E-3</v>
      </c>
    </row>
    <row r="258" spans="1:14" x14ac:dyDescent="0.25">
      <c r="A258">
        <f>-'R1'!H258</f>
        <v>0</v>
      </c>
      <c r="B258">
        <f>DEGREES(ATAN(-SIN(RADIANS(('R1'!I258)))/(COS(RADIANS(Sheet1!A258))*COS(RADIANS('R1'!I258)))))</f>
        <v>32</v>
      </c>
      <c r="C258">
        <f>AVERAGE('R1'!J258,'R2'!J258,'R3'!J258)</f>
        <v>1.1633333333333331</v>
      </c>
      <c r="D258">
        <f>AVERAGE('R1'!K258,'R2'!K258,'R3'!K258)</f>
        <v>22.664036416666665</v>
      </c>
      <c r="E258">
        <f>AVERAGE('R1'!L258,'R2'!L258,'R3'!L258)</f>
        <v>2.1557684906918002</v>
      </c>
      <c r="F258">
        <f>AVERAGE('R1'!M258,'R2'!M258,'R3'!M258)</f>
        <v>-2.2295747893490873E-2</v>
      </c>
      <c r="G258">
        <f>AVERAGE('R1'!N258,'R2'!N258,'R3'!N258)</f>
        <v>-0.69154897681715566</v>
      </c>
      <c r="H258">
        <f>AVERAGE('R1'!O258,'R2'!O258,'R3'!O258)</f>
        <v>-0.22963165277483222</v>
      </c>
      <c r="I258">
        <f t="shared" si="7"/>
        <v>4394.3048385648135</v>
      </c>
      <c r="K258">
        <f>_xlfn.STDEV.S('R1'!L258,'R2'!L258,'R3'!L258)</f>
        <v>1.9106386843220007E-2</v>
      </c>
      <c r="L258">
        <f>_xlfn.STDEV.S('R1'!M258,'R2'!M258,'R3'!M258)</f>
        <v>6.7925381519169676E-3</v>
      </c>
      <c r="M258">
        <f>_xlfn.STDEV.S('R1'!N258,'R2'!N258,'R3'!N258)</f>
        <v>9.4692441915016183E-3</v>
      </c>
      <c r="N258">
        <f>_xlfn.STDEV.S('R1'!O258,'R2'!O258,'R3'!O258)</f>
        <v>1.0605643354330071E-3</v>
      </c>
    </row>
    <row r="259" spans="1:14" x14ac:dyDescent="0.25">
      <c r="A259">
        <f>-'R1'!H259</f>
        <v>0</v>
      </c>
      <c r="B259">
        <f>DEGREES(ATAN(-SIN(RADIANS(('R1'!I259)))/(COS(RADIANS(Sheet1!A259))*COS(RADIANS('R1'!I259)))))</f>
        <v>28</v>
      </c>
      <c r="C259">
        <f>AVERAGE('R1'!J259,'R2'!J259,'R3'!J259)</f>
        <v>1.1633333333333331</v>
      </c>
      <c r="D259">
        <f>AVERAGE('R1'!K259,'R2'!K259,'R3'!K259)</f>
        <v>22.863699416666666</v>
      </c>
      <c r="E259">
        <f>AVERAGE('R1'!L259,'R2'!L259,'R3'!L259)</f>
        <v>1.8793809222602003</v>
      </c>
      <c r="F259">
        <f>AVERAGE('R1'!M259,'R2'!M259,'R3'!M259)</f>
        <v>-8.2571088880939742E-3</v>
      </c>
      <c r="G259">
        <f>AVERAGE('R1'!N259,'R2'!N259,'R3'!N259)</f>
        <v>-0.48712352835990758</v>
      </c>
      <c r="H259">
        <f>AVERAGE('R1'!O259,'R2'!O259,'R3'!O259)</f>
        <v>-3.3402143306863141E-2</v>
      </c>
      <c r="I259">
        <f t="shared" ref="I259:I322" si="8">10^5*C259*D259*0.003/1.8</f>
        <v>4433.0172757870359</v>
      </c>
      <c r="K259">
        <f>_xlfn.STDEV.S('R1'!L259,'R2'!L259,'R3'!L259)</f>
        <v>6.0486136698019591E-3</v>
      </c>
      <c r="L259">
        <f>_xlfn.STDEV.S('R1'!M259,'R2'!M259,'R3'!M259)</f>
        <v>3.2321047168370714E-3</v>
      </c>
      <c r="M259">
        <f>_xlfn.STDEV.S('R1'!N259,'R2'!N259,'R3'!N259)</f>
        <v>1.6243084033651654E-3</v>
      </c>
      <c r="N259">
        <f>_xlfn.STDEV.S('R1'!O259,'R2'!O259,'R3'!O259)</f>
        <v>1.9080086080129979E-3</v>
      </c>
    </row>
    <row r="260" spans="1:14" x14ac:dyDescent="0.25">
      <c r="A260">
        <f>-'R1'!H260</f>
        <v>0</v>
      </c>
      <c r="B260">
        <f>DEGREES(ATAN(-SIN(RADIANS(('R1'!I260)))/(COS(RADIANS(Sheet1!A260))*COS(RADIANS('R1'!I260)))))</f>
        <v>24</v>
      </c>
      <c r="C260">
        <f>AVERAGE('R1'!J260,'R2'!J260,'R3'!J260)</f>
        <v>1.1633333333333331</v>
      </c>
      <c r="D260">
        <f>AVERAGE('R1'!K260,'R2'!K260,'R3'!K260)</f>
        <v>22.953965083333333</v>
      </c>
      <c r="E260">
        <f>AVERAGE('R1'!L260,'R2'!L260,'R3'!L260)</f>
        <v>1.6278035216816453</v>
      </c>
      <c r="F260">
        <f>AVERAGE('R1'!M260,'R2'!M260,'R3'!M260)</f>
        <v>-1.3566947553198799E-4</v>
      </c>
      <c r="G260">
        <f>AVERAGE('R1'!N260,'R2'!N260,'R3'!N260)</f>
        <v>-0.32324968101762946</v>
      </c>
      <c r="H260">
        <f>AVERAGE('R1'!O260,'R2'!O260,'R3'!O260)</f>
        <v>0.1390928799864497</v>
      </c>
      <c r="I260">
        <f t="shared" si="8"/>
        <v>4450.5187856018511</v>
      </c>
      <c r="K260">
        <f>_xlfn.STDEV.S('R1'!L260,'R2'!L260,'R3'!L260)</f>
        <v>3.4004072923942926E-3</v>
      </c>
      <c r="L260">
        <f>_xlfn.STDEV.S('R1'!M260,'R2'!M260,'R3'!M260)</f>
        <v>1.3932258318739472E-3</v>
      </c>
      <c r="M260">
        <f>_xlfn.STDEV.S('R1'!N260,'R2'!N260,'R3'!N260)</f>
        <v>4.1740656664090749E-3</v>
      </c>
      <c r="N260">
        <f>_xlfn.STDEV.S('R1'!O260,'R2'!O260,'R3'!O260)</f>
        <v>5.9368439043662041E-3</v>
      </c>
    </row>
    <row r="261" spans="1:14" x14ac:dyDescent="0.25">
      <c r="A261">
        <f>-'R1'!H261</f>
        <v>0</v>
      </c>
      <c r="B261">
        <f>DEGREES(ATAN(-SIN(RADIANS(('R1'!I261)))/(COS(RADIANS(Sheet1!A261))*COS(RADIANS('R1'!I261)))))</f>
        <v>20</v>
      </c>
      <c r="C261">
        <f>AVERAGE('R1'!J261,'R2'!J261,'R3'!J261)</f>
        <v>1.1633333333333331</v>
      </c>
      <c r="D261">
        <f>AVERAGE('R1'!K261,'R2'!K261,'R3'!K261)</f>
        <v>23.081446833333331</v>
      </c>
      <c r="E261">
        <f>AVERAGE('R1'!L261,'R2'!L261,'R3'!L261)</f>
        <v>1.4114048563532602</v>
      </c>
      <c r="F261">
        <f>AVERAGE('R1'!M261,'R2'!M261,'R3'!M261)</f>
        <v>1.6026060509954025E-3</v>
      </c>
      <c r="G261">
        <f>AVERAGE('R1'!N261,'R2'!N261,'R3'!N261)</f>
        <v>-0.20488225403301605</v>
      </c>
      <c r="H261">
        <f>AVERAGE('R1'!O261,'R2'!O261,'R3'!O261)</f>
        <v>0.30076013851472899</v>
      </c>
      <c r="I261">
        <f t="shared" si="8"/>
        <v>4475.2360804629625</v>
      </c>
      <c r="K261">
        <f>_xlfn.STDEV.S('R1'!L261,'R2'!L261,'R3'!L261)</f>
        <v>1.2473592047262793E-3</v>
      </c>
      <c r="L261">
        <f>_xlfn.STDEV.S('R1'!M261,'R2'!M261,'R3'!M261)</f>
        <v>8.653488044804045E-3</v>
      </c>
      <c r="M261">
        <f>_xlfn.STDEV.S('R1'!N261,'R2'!N261,'R3'!N261)</f>
        <v>3.9875099708082942E-3</v>
      </c>
      <c r="N261">
        <f>_xlfn.STDEV.S('R1'!O261,'R2'!O261,'R3'!O261)</f>
        <v>3.9610638661392956E-3</v>
      </c>
    </row>
    <row r="262" spans="1:14" x14ac:dyDescent="0.25">
      <c r="A262">
        <f>-'R1'!H262</f>
        <v>0</v>
      </c>
      <c r="B262">
        <f>DEGREES(ATAN(-SIN(RADIANS(('R1'!I262)))/(COS(RADIANS(Sheet1!A262))*COS(RADIANS('R1'!I262)))))</f>
        <v>16</v>
      </c>
      <c r="C262">
        <f>AVERAGE('R1'!J262,'R2'!J262,'R3'!J262)</f>
        <v>1.1633333333333331</v>
      </c>
      <c r="D262">
        <f>AVERAGE('R1'!K262,'R2'!K262,'R3'!K262)</f>
        <v>22.984911666666665</v>
      </c>
      <c r="E262">
        <f>AVERAGE('R1'!L262,'R2'!L262,'R3'!L262)</f>
        <v>1.1819658504292878</v>
      </c>
      <c r="F262">
        <f>AVERAGE('R1'!M262,'R2'!M262,'R3'!M262)</f>
        <v>7.2996623361780135E-3</v>
      </c>
      <c r="G262">
        <f>AVERAGE('R1'!N262,'R2'!N262,'R3'!N262)</f>
        <v>-0.11341877047798947</v>
      </c>
      <c r="H262">
        <f>AVERAGE('R1'!O262,'R2'!O262,'R3'!O262)</f>
        <v>0.47497481954908299</v>
      </c>
      <c r="I262">
        <f t="shared" si="8"/>
        <v>4456.5189842592581</v>
      </c>
      <c r="K262">
        <f>_xlfn.STDEV.S('R1'!L262,'R2'!L262,'R3'!L262)</f>
        <v>2.0082499247240414E-3</v>
      </c>
      <c r="L262">
        <f>_xlfn.STDEV.S('R1'!M262,'R2'!M262,'R3'!M262)</f>
        <v>8.9061301092582552E-3</v>
      </c>
      <c r="M262">
        <f>_xlfn.STDEV.S('R1'!N262,'R2'!N262,'R3'!N262)</f>
        <v>3.6137205536999764E-3</v>
      </c>
      <c r="N262">
        <f>_xlfn.STDEV.S('R1'!O262,'R2'!O262,'R3'!O262)</f>
        <v>1.4067366321786094E-3</v>
      </c>
    </row>
    <row r="263" spans="1:14" x14ac:dyDescent="0.25">
      <c r="A263">
        <f>-'R1'!H263</f>
        <v>0</v>
      </c>
      <c r="B263">
        <f>DEGREES(ATAN(-SIN(RADIANS(('R1'!I263)))/(COS(RADIANS(Sheet1!A263))*COS(RADIANS('R1'!I263)))))</f>
        <v>12.000000000000002</v>
      </c>
      <c r="C263">
        <f>AVERAGE('R1'!J263,'R2'!J263,'R3'!J263)</f>
        <v>1.1633333333333331</v>
      </c>
      <c r="D263">
        <f>AVERAGE('R1'!K263,'R2'!K263,'R3'!K263)</f>
        <v>22.623540500000001</v>
      </c>
      <c r="E263">
        <f>AVERAGE('R1'!L263,'R2'!L263,'R3'!L263)</f>
        <v>0.93395506822236662</v>
      </c>
      <c r="F263">
        <f>AVERAGE('R1'!M263,'R2'!M263,'R3'!M263)</f>
        <v>2.6490520363725928E-2</v>
      </c>
      <c r="G263">
        <f>AVERAGE('R1'!N263,'R2'!N263,'R3'!N263)</f>
        <v>-5.0730997926899668E-2</v>
      </c>
      <c r="H263">
        <f>AVERAGE('R1'!O263,'R2'!O263,'R3'!O263)</f>
        <v>0.66995956170852278</v>
      </c>
      <c r="I263">
        <f t="shared" si="8"/>
        <v>4386.4531302777768</v>
      </c>
      <c r="K263">
        <f>_xlfn.STDEV.S('R1'!L263,'R2'!L263,'R3'!L263)</f>
        <v>4.9555272713314464E-3</v>
      </c>
      <c r="L263">
        <f>_xlfn.STDEV.S('R1'!M263,'R2'!M263,'R3'!M263)</f>
        <v>6.4360653468323705E-3</v>
      </c>
      <c r="M263">
        <f>_xlfn.STDEV.S('R1'!N263,'R2'!N263,'R3'!N263)</f>
        <v>3.682027985385011E-3</v>
      </c>
      <c r="N263">
        <f>_xlfn.STDEV.S('R1'!O263,'R2'!O263,'R3'!O263)</f>
        <v>6.5546334807155434E-4</v>
      </c>
    </row>
    <row r="264" spans="1:14" x14ac:dyDescent="0.25">
      <c r="A264">
        <f>-'R1'!H264</f>
        <v>0</v>
      </c>
      <c r="B264">
        <f>DEGREES(ATAN(-SIN(RADIANS(('R1'!I264)))/(COS(RADIANS(Sheet1!A264))*COS(RADIANS('R1'!I264)))))</f>
        <v>7.9999999999999982</v>
      </c>
      <c r="C264">
        <f>AVERAGE('R1'!J264,'R2'!J264,'R3'!J264)</f>
        <v>1.1633333333333331</v>
      </c>
      <c r="D264">
        <f>AVERAGE('R1'!K264,'R2'!K264,'R3'!K264)</f>
        <v>22.351463833333337</v>
      </c>
      <c r="E264">
        <f>AVERAGE('R1'!L264,'R2'!L264,'R3'!L264)</f>
        <v>0.63357422699060828</v>
      </c>
      <c r="F264">
        <f>AVERAGE('R1'!M264,'R2'!M264,'R3'!M264)</f>
        <v>4.6931542786719377E-2</v>
      </c>
      <c r="G264">
        <f>AVERAGE('R1'!N264,'R2'!N264,'R3'!N264)</f>
        <v>-1.2591545458391735E-2</v>
      </c>
      <c r="H264">
        <f>AVERAGE('R1'!O264,'R2'!O264,'R3'!O264)</f>
        <v>0.89975955369187088</v>
      </c>
      <c r="I264">
        <f t="shared" si="8"/>
        <v>4333.7004876851852</v>
      </c>
      <c r="K264">
        <f>_xlfn.STDEV.S('R1'!L264,'R2'!L264,'R3'!L264)</f>
        <v>4.8571723974525013E-3</v>
      </c>
      <c r="L264">
        <f>_xlfn.STDEV.S('R1'!M264,'R2'!M264,'R3'!M264)</f>
        <v>4.9181606214552791E-3</v>
      </c>
      <c r="M264">
        <f>_xlfn.STDEV.S('R1'!N264,'R2'!N264,'R3'!N264)</f>
        <v>1.8820287095563007E-3</v>
      </c>
      <c r="N264">
        <f>_xlfn.STDEV.S('R1'!O264,'R2'!O264,'R3'!O264)</f>
        <v>4.7910296718525992E-3</v>
      </c>
    </row>
    <row r="265" spans="1:14" x14ac:dyDescent="0.25">
      <c r="A265">
        <f>-'R1'!H265</f>
        <v>0</v>
      </c>
      <c r="B265">
        <f>DEGREES(ATAN(-SIN(RADIANS(('R1'!I265)))/(COS(RADIANS(Sheet1!A265))*COS(RADIANS('R1'!I265)))))</f>
        <v>4</v>
      </c>
      <c r="C265">
        <f>AVERAGE('R1'!J265,'R2'!J265,'R3'!J265)</f>
        <v>1.1633333333333331</v>
      </c>
      <c r="D265">
        <f>AVERAGE('R1'!K265,'R2'!K265,'R3'!K265)</f>
        <v>22.022994583333332</v>
      </c>
      <c r="E265">
        <f>AVERAGE('R1'!L265,'R2'!L265,'R3'!L265)</f>
        <v>0.29737687857833056</v>
      </c>
      <c r="F265">
        <f>AVERAGE('R1'!M265,'R2'!M265,'R3'!M265)</f>
        <v>6.831877278049954E-2</v>
      </c>
      <c r="G265">
        <f>AVERAGE('R1'!N265,'R2'!N265,'R3'!N265)</f>
        <v>2.5300842556426292E-3</v>
      </c>
      <c r="H265">
        <f>AVERAGE('R1'!O265,'R2'!O265,'R3'!O265)</f>
        <v>1.1276738091677994</v>
      </c>
      <c r="I265">
        <f t="shared" si="8"/>
        <v>4270.0139497685177</v>
      </c>
      <c r="K265">
        <f>_xlfn.STDEV.S('R1'!L265,'R2'!L265,'R3'!L265)</f>
        <v>4.3036801416844626E-3</v>
      </c>
      <c r="L265">
        <f>_xlfn.STDEV.S('R1'!M265,'R2'!M265,'R3'!M265)</f>
        <v>1.042906776811937E-2</v>
      </c>
      <c r="M265">
        <f>_xlfn.STDEV.S('R1'!N265,'R2'!N265,'R3'!N265)</f>
        <v>6.3589139906016015E-3</v>
      </c>
      <c r="N265">
        <f>_xlfn.STDEV.S('R1'!O265,'R2'!O265,'R3'!O265)</f>
        <v>1.2401719748321129E-2</v>
      </c>
    </row>
    <row r="266" spans="1:14" x14ac:dyDescent="0.25">
      <c r="A266">
        <f>-'R1'!H266</f>
        <v>0</v>
      </c>
      <c r="B266">
        <f>DEGREES(ATAN(-SIN(RADIANS(('R1'!I266)))/(COS(RADIANS(Sheet1!A266))*COS(RADIANS('R1'!I266)))))</f>
        <v>0</v>
      </c>
      <c r="C266">
        <f>AVERAGE('R1'!J266,'R2'!J266,'R3'!J266)</f>
        <v>1.1633333333333331</v>
      </c>
      <c r="D266">
        <f>AVERAGE('R1'!K266,'R2'!K266,'R3'!K266)</f>
        <v>22.206356249999999</v>
      </c>
      <c r="E266">
        <f>AVERAGE('R1'!L266,'R2'!L266,'R3'!L266)</f>
        <v>-0.11324540717574173</v>
      </c>
      <c r="F266">
        <f>AVERAGE('R1'!M266,'R2'!M266,'R3'!M266)</f>
        <v>9.3570945869080671E-2</v>
      </c>
      <c r="G266">
        <f>AVERAGE('R1'!N266,'R2'!N266,'R3'!N266)</f>
        <v>-9.8579127087538632E-4</v>
      </c>
      <c r="H266">
        <f>AVERAGE('R1'!O266,'R2'!O266,'R3'!O266)</f>
        <v>1.2406824490297514</v>
      </c>
      <c r="I266">
        <f t="shared" si="8"/>
        <v>4305.5657395833332</v>
      </c>
      <c r="K266">
        <f>_xlfn.STDEV.S('R1'!L266,'R2'!L266,'R3'!L266)</f>
        <v>8.5758711551947794E-3</v>
      </c>
      <c r="L266">
        <f>_xlfn.STDEV.S('R1'!M266,'R2'!M266,'R3'!M266)</f>
        <v>7.470920443205728E-3</v>
      </c>
      <c r="M266">
        <f>_xlfn.STDEV.S('R1'!N266,'R2'!N266,'R3'!N266)</f>
        <v>5.8319155136662953E-3</v>
      </c>
      <c r="N266">
        <f>_xlfn.STDEV.S('R1'!O266,'R2'!O266,'R3'!O266)</f>
        <v>3.9477113304301186E-3</v>
      </c>
    </row>
    <row r="267" spans="1:14" x14ac:dyDescent="0.25">
      <c r="A267">
        <f>-'R1'!H267</f>
        <v>0</v>
      </c>
      <c r="B267">
        <f>DEGREES(ATAN(-SIN(RADIANS(('R1'!I267)))/(COS(RADIANS(Sheet1!A267))*COS(RADIANS('R1'!I267)))))</f>
        <v>-4</v>
      </c>
      <c r="C267">
        <f>AVERAGE('R1'!J267,'R2'!J267,'R3'!J267)</f>
        <v>1.1633333333333331</v>
      </c>
      <c r="D267">
        <f>AVERAGE('R1'!K267,'R2'!K267,'R3'!K267)</f>
        <v>22.836954416666668</v>
      </c>
      <c r="E267">
        <f>AVERAGE('R1'!L267,'R2'!L267,'R3'!L267)</f>
        <v>-0.48244771182848206</v>
      </c>
      <c r="F267">
        <f>AVERAGE('R1'!M267,'R2'!M267,'R3'!M267)</f>
        <v>8.5904655244371672E-2</v>
      </c>
      <c r="G267">
        <f>AVERAGE('R1'!N267,'R2'!N267,'R3'!N267)</f>
        <v>-8.0078116832476513E-3</v>
      </c>
      <c r="H267">
        <f>AVERAGE('R1'!O267,'R2'!O267,'R3'!O267)</f>
        <v>1.0119032631414364</v>
      </c>
      <c r="I267">
        <f t="shared" si="8"/>
        <v>4427.8317174537033</v>
      </c>
      <c r="K267">
        <f>_xlfn.STDEV.S('R1'!L267,'R2'!L267,'R3'!L267)</f>
        <v>1.330909040087914E-3</v>
      </c>
      <c r="L267">
        <f>_xlfn.STDEV.S('R1'!M267,'R2'!M267,'R3'!M267)</f>
        <v>7.9917495616584795E-3</v>
      </c>
      <c r="M267">
        <f>_xlfn.STDEV.S('R1'!N267,'R2'!N267,'R3'!N267)</f>
        <v>6.4137078960269209E-4</v>
      </c>
      <c r="N267">
        <f>_xlfn.STDEV.S('R1'!O267,'R2'!O267,'R3'!O267)</f>
        <v>1.4930819383306144E-3</v>
      </c>
    </row>
    <row r="268" spans="1:14" x14ac:dyDescent="0.25">
      <c r="A268">
        <f>-'R1'!H268</f>
        <v>0</v>
      </c>
      <c r="B268">
        <f>DEGREES(ATAN(-SIN(RADIANS(('R1'!I268)))/(COS(RADIANS(Sheet1!A268))*COS(RADIANS('R1'!I268)))))</f>
        <v>-7.9999999999999982</v>
      </c>
      <c r="C268">
        <f>AVERAGE('R1'!J268,'R2'!J268,'R3'!J268)</f>
        <v>1.1633333333333331</v>
      </c>
      <c r="D268">
        <f>AVERAGE('R1'!K268,'R2'!K268,'R3'!K268)</f>
        <v>23.249277916666667</v>
      </c>
      <c r="E268">
        <f>AVERAGE('R1'!L268,'R2'!L268,'R3'!L268)</f>
        <v>-0.78318935399275535</v>
      </c>
      <c r="F268">
        <f>AVERAGE('R1'!M268,'R2'!M268,'R3'!M268)</f>
        <v>8.1980578875554933E-2</v>
      </c>
      <c r="G268">
        <f>AVERAGE('R1'!N268,'R2'!N268,'R3'!N268)</f>
        <v>-2.4363515238256472E-2</v>
      </c>
      <c r="H268">
        <f>AVERAGE('R1'!O268,'R2'!O268,'R3'!O268)</f>
        <v>0.78133978243132596</v>
      </c>
      <c r="I268">
        <f t="shared" si="8"/>
        <v>4507.7766627314813</v>
      </c>
      <c r="K268">
        <f>_xlfn.STDEV.S('R1'!L268,'R2'!L268,'R3'!L268)</f>
        <v>8.0085789960554262E-3</v>
      </c>
      <c r="L268">
        <f>_xlfn.STDEV.S('R1'!M268,'R2'!M268,'R3'!M268)</f>
        <v>6.9832391602373039E-3</v>
      </c>
      <c r="M268">
        <f>_xlfn.STDEV.S('R1'!N268,'R2'!N268,'R3'!N268)</f>
        <v>6.5292249927721077E-3</v>
      </c>
      <c r="N268">
        <f>_xlfn.STDEV.S('R1'!O268,'R2'!O268,'R3'!O268)</f>
        <v>3.2278599114118609E-3</v>
      </c>
    </row>
    <row r="269" spans="1:14" x14ac:dyDescent="0.25">
      <c r="A269">
        <f>-'R1'!H269</f>
        <v>0</v>
      </c>
      <c r="B269">
        <f>DEGREES(ATAN(-SIN(RADIANS(('R1'!I269)))/(COS(RADIANS(Sheet1!A269))*COS(RADIANS('R1'!I269)))))</f>
        <v>-12.000000000000002</v>
      </c>
      <c r="C269">
        <f>AVERAGE('R1'!J269,'R2'!J269,'R3'!J269)</f>
        <v>1.1633333333333331</v>
      </c>
      <c r="D269">
        <f>AVERAGE('R1'!K269,'R2'!K269,'R3'!K269)</f>
        <v>23.270100916666664</v>
      </c>
      <c r="E269">
        <f>AVERAGE('R1'!L269,'R2'!L269,'R3'!L269)</f>
        <v>-1.0527349659216465</v>
      </c>
      <c r="F269">
        <f>AVERAGE('R1'!M269,'R2'!M269,'R3'!M269)</f>
        <v>6.3260191073605379E-2</v>
      </c>
      <c r="G269">
        <f>AVERAGE('R1'!N269,'R2'!N269,'R3'!N269)</f>
        <v>-8.3576039764585983E-2</v>
      </c>
      <c r="H269">
        <f>AVERAGE('R1'!O269,'R2'!O269,'R3'!O269)</f>
        <v>0.59616592434848037</v>
      </c>
      <c r="I269">
        <f t="shared" si="8"/>
        <v>4511.8140110648137</v>
      </c>
      <c r="K269">
        <f>_xlfn.STDEV.S('R1'!L269,'R2'!L269,'R3'!L269)</f>
        <v>2.1833438620466341E-3</v>
      </c>
      <c r="L269">
        <f>_xlfn.STDEV.S('R1'!M269,'R2'!M269,'R3'!M269)</f>
        <v>1.815574385450533E-3</v>
      </c>
      <c r="M269">
        <f>_xlfn.STDEV.S('R1'!N269,'R2'!N269,'R3'!N269)</f>
        <v>2.1393633191923488E-3</v>
      </c>
      <c r="N269">
        <f>_xlfn.STDEV.S('R1'!O269,'R2'!O269,'R3'!O269)</f>
        <v>1.9198333834427419E-3</v>
      </c>
    </row>
    <row r="270" spans="1:14" x14ac:dyDescent="0.25">
      <c r="A270">
        <f>-'R1'!H270</f>
        <v>0</v>
      </c>
      <c r="B270">
        <f>DEGREES(ATAN(-SIN(RADIANS(('R1'!I270)))/(COS(RADIANS(Sheet1!A270))*COS(RADIANS('R1'!I270)))))</f>
        <v>-16</v>
      </c>
      <c r="C270">
        <f>AVERAGE('R1'!J270,'R2'!J270,'R3'!J270)</f>
        <v>1.1633333333333331</v>
      </c>
      <c r="D270">
        <f>AVERAGE('R1'!K270,'R2'!K270,'R3'!K270)</f>
        <v>23.284482999999998</v>
      </c>
      <c r="E270">
        <f>AVERAGE('R1'!L270,'R2'!L270,'R3'!L270)</f>
        <v>-1.301031531369045</v>
      </c>
      <c r="F270">
        <f>AVERAGE('R1'!M270,'R2'!M270,'R3'!M270)</f>
        <v>5.856944297929928E-2</v>
      </c>
      <c r="G270">
        <f>AVERAGE('R1'!N270,'R2'!N270,'R3'!N270)</f>
        <v>-0.17572185226195555</v>
      </c>
      <c r="H270">
        <f>AVERAGE('R1'!O270,'R2'!O270,'R3'!O270)</f>
        <v>0.42288641185039566</v>
      </c>
      <c r="I270">
        <f t="shared" si="8"/>
        <v>4514.6025372222211</v>
      </c>
      <c r="K270">
        <f>_xlfn.STDEV.S('R1'!L270,'R2'!L270,'R3'!L270)</f>
        <v>2.2319140227524212E-3</v>
      </c>
      <c r="L270">
        <f>_xlfn.STDEV.S('R1'!M270,'R2'!M270,'R3'!M270)</f>
        <v>5.8650577832906302E-3</v>
      </c>
      <c r="M270">
        <f>_xlfn.STDEV.S('R1'!N270,'R2'!N270,'R3'!N270)</f>
        <v>1.4660992217088379E-3</v>
      </c>
      <c r="N270">
        <f>_xlfn.STDEV.S('R1'!O270,'R2'!O270,'R3'!O270)</f>
        <v>6.6410364572965412E-3</v>
      </c>
    </row>
    <row r="271" spans="1:14" x14ac:dyDescent="0.25">
      <c r="A271">
        <f>-'R1'!H271</f>
        <v>0</v>
      </c>
      <c r="B271">
        <f>DEGREES(ATAN(-SIN(RADIANS(('R1'!I271)))/(COS(RADIANS(Sheet1!A271))*COS(RADIANS('R1'!I271)))))</f>
        <v>-20</v>
      </c>
      <c r="C271">
        <f>AVERAGE('R1'!J271,'R2'!J271,'R3'!J271)</f>
        <v>1.1633333333333331</v>
      </c>
      <c r="D271">
        <f>AVERAGE('R1'!K271,'R2'!K271,'R3'!K271)</f>
        <v>22.633637250000003</v>
      </c>
      <c r="E271">
        <f>AVERAGE('R1'!L271,'R2'!L271,'R3'!L271)</f>
        <v>-1.5594039000657764</v>
      </c>
      <c r="F271">
        <f>AVERAGE('R1'!M271,'R2'!M271,'R3'!M271)</f>
        <v>6.9896583172114821E-2</v>
      </c>
      <c r="G271">
        <f>AVERAGE('R1'!N271,'R2'!N271,'R3'!N271)</f>
        <v>-0.31275431053983471</v>
      </c>
      <c r="H271">
        <f>AVERAGE('R1'!O271,'R2'!O271,'R3'!O271)</f>
        <v>0.25306996182716124</v>
      </c>
      <c r="I271">
        <f t="shared" si="8"/>
        <v>4388.410777916667</v>
      </c>
      <c r="K271">
        <f>_xlfn.STDEV.S('R1'!L271,'R2'!L271,'R3'!L271)</f>
        <v>8.6072750751856626E-3</v>
      </c>
      <c r="L271">
        <f>_xlfn.STDEV.S('R1'!M271,'R2'!M271,'R3'!M271)</f>
        <v>1.0228797227902811E-2</v>
      </c>
      <c r="M271">
        <f>_xlfn.STDEV.S('R1'!N271,'R2'!N271,'R3'!N271)</f>
        <v>1.8570413023389276E-3</v>
      </c>
      <c r="N271">
        <f>_xlfn.STDEV.S('R1'!O271,'R2'!O271,'R3'!O271)</f>
        <v>5.1762964779266335E-3</v>
      </c>
    </row>
    <row r="272" spans="1:14" x14ac:dyDescent="0.25">
      <c r="A272">
        <f>-'R1'!H272</f>
        <v>0</v>
      </c>
      <c r="B272">
        <f>DEGREES(ATAN(-SIN(RADIANS(('R1'!I272)))/(COS(RADIANS(Sheet1!A272))*COS(RADIANS('R1'!I272)))))</f>
        <v>-24</v>
      </c>
      <c r="C272">
        <f>AVERAGE('R1'!J272,'R2'!J272,'R3'!J272)</f>
        <v>1.1633333333333331</v>
      </c>
      <c r="D272">
        <f>AVERAGE('R1'!K272,'R2'!K272,'R3'!K272)</f>
        <v>22.221821083333335</v>
      </c>
      <c r="E272">
        <f>AVERAGE('R1'!L272,'R2'!L272,'R3'!L272)</f>
        <v>-1.8490539979592082</v>
      </c>
      <c r="F272">
        <f>AVERAGE('R1'!M272,'R2'!M272,'R3'!M272)</f>
        <v>0.10182548668156903</v>
      </c>
      <c r="G272">
        <f>AVERAGE('R1'!N272,'R2'!N272,'R3'!N272)</f>
        <v>-0.50854067186976415</v>
      </c>
      <c r="H272">
        <f>AVERAGE('R1'!O272,'R2'!O272,'R3'!O272)</f>
        <v>7.2757007360819539E-2</v>
      </c>
      <c r="I272">
        <f t="shared" si="8"/>
        <v>4308.5641989351852</v>
      </c>
      <c r="K272">
        <f>_xlfn.STDEV.S('R1'!L272,'R2'!L272,'R3'!L272)</f>
        <v>3.3214785035090505E-3</v>
      </c>
      <c r="L272">
        <f>_xlfn.STDEV.S('R1'!M272,'R2'!M272,'R3'!M272)</f>
        <v>8.0616287693804373E-3</v>
      </c>
      <c r="M272">
        <f>_xlfn.STDEV.S('R1'!N272,'R2'!N272,'R3'!N272)</f>
        <v>6.4107434063539834E-3</v>
      </c>
      <c r="N272">
        <f>_xlfn.STDEV.S('R1'!O272,'R2'!O272,'R3'!O272)</f>
        <v>4.2214788455636303E-3</v>
      </c>
    </row>
    <row r="273" spans="1:14" x14ac:dyDescent="0.25">
      <c r="A273">
        <f>-'R1'!H273</f>
        <v>0</v>
      </c>
      <c r="B273">
        <f>DEGREES(ATAN(-SIN(RADIANS(('R1'!I273)))/(COS(RADIANS(Sheet1!A273))*COS(RADIANS('R1'!I273)))))</f>
        <v>-28</v>
      </c>
      <c r="C273">
        <f>AVERAGE('R1'!J273,'R2'!J273,'R3'!J273)</f>
        <v>1.1633333333333331</v>
      </c>
      <c r="D273">
        <f>AVERAGE('R1'!K273,'R2'!K273,'R3'!K273)</f>
        <v>21.93672041666667</v>
      </c>
      <c r="E273">
        <f>AVERAGE('R1'!L273,'R2'!L273,'R3'!L273)</f>
        <v>-2.2117456007277783</v>
      </c>
      <c r="F273">
        <f>AVERAGE('R1'!M273,'R2'!M273,'R3'!M273)</f>
        <v>0.14854753174683746</v>
      </c>
      <c r="G273">
        <f>AVERAGE('R1'!N273,'R2'!N273,'R3'!N273)</f>
        <v>-0.79138694746404992</v>
      </c>
      <c r="H273">
        <f>AVERAGE('R1'!O273,'R2'!O273,'R3'!O273)</f>
        <v>-0.13098993222709385</v>
      </c>
      <c r="I273">
        <f t="shared" si="8"/>
        <v>4253.2863474537035</v>
      </c>
      <c r="K273">
        <f>_xlfn.STDEV.S('R1'!L273,'R2'!L273,'R3'!L273)</f>
        <v>1.1437019271280225E-2</v>
      </c>
      <c r="L273">
        <f>_xlfn.STDEV.S('R1'!M273,'R2'!M273,'R3'!M273)</f>
        <v>1.0505785217609405E-2</v>
      </c>
      <c r="M273">
        <f>_xlfn.STDEV.S('R1'!N273,'R2'!N273,'R3'!N273)</f>
        <v>7.4482269224639347E-3</v>
      </c>
      <c r="N273">
        <f>_xlfn.STDEV.S('R1'!O273,'R2'!O273,'R3'!O273)</f>
        <v>6.3066721124193951E-3</v>
      </c>
    </row>
    <row r="274" spans="1:14" x14ac:dyDescent="0.25">
      <c r="A274">
        <f>-'R1'!H274</f>
        <v>0</v>
      </c>
      <c r="B274">
        <f>DEGREES(ATAN(-SIN(RADIANS(('R1'!I274)))/(COS(RADIANS(Sheet1!A274))*COS(RADIANS('R1'!I274)))))</f>
        <v>-32</v>
      </c>
      <c r="C274">
        <f>AVERAGE('R1'!J274,'R2'!J274,'R3'!J274)</f>
        <v>1.1633333333333331</v>
      </c>
      <c r="D274">
        <f>AVERAGE('R1'!K274,'R2'!K274,'R3'!K274)</f>
        <v>21.978883416666665</v>
      </c>
      <c r="E274">
        <f>AVERAGE('R1'!L274,'R2'!L274,'R3'!L274)</f>
        <v>-2.6918381433097358</v>
      </c>
      <c r="F274">
        <f>AVERAGE('R1'!M274,'R2'!M274,'R3'!M274)</f>
        <v>0.21058614849480228</v>
      </c>
      <c r="G274">
        <f>AVERAGE('R1'!N274,'R2'!N274,'R3'!N274)</f>
        <v>-1.1926520399438136</v>
      </c>
      <c r="H274">
        <f>AVERAGE('R1'!O274,'R2'!O274,'R3'!O274)</f>
        <v>-0.39764134874817419</v>
      </c>
      <c r="I274">
        <f t="shared" si="8"/>
        <v>4261.4612846759246</v>
      </c>
      <c r="K274">
        <f>_xlfn.STDEV.S('R1'!L274,'R2'!L274,'R3'!L274)</f>
        <v>1.4436878087430837E-2</v>
      </c>
      <c r="L274">
        <f>_xlfn.STDEV.S('R1'!M274,'R2'!M274,'R3'!M274)</f>
        <v>3.5603867018355311E-3</v>
      </c>
      <c r="M274">
        <f>_xlfn.STDEV.S('R1'!N274,'R2'!N274,'R3'!N274)</f>
        <v>1.1002133906848913E-2</v>
      </c>
      <c r="N274">
        <f>_xlfn.STDEV.S('R1'!O274,'R2'!O274,'R3'!O274)</f>
        <v>4.2737301419866393E-3</v>
      </c>
    </row>
    <row r="275" spans="1:14" x14ac:dyDescent="0.25">
      <c r="A275">
        <f>-'R1'!H275</f>
        <v>0</v>
      </c>
      <c r="B275">
        <f>DEGREES(ATAN(-SIN(RADIANS(('R1'!I275)))/(COS(RADIANS(Sheet1!A275))*COS(RADIANS('R1'!I275)))))</f>
        <v>-36</v>
      </c>
      <c r="C275">
        <f>AVERAGE('R1'!J275,'R2'!J275,'R3'!J275)</f>
        <v>1.1633333333333331</v>
      </c>
      <c r="D275">
        <f>AVERAGE('R1'!K275,'R2'!K275,'R3'!K275)</f>
        <v>22.311624083333331</v>
      </c>
      <c r="E275">
        <f>AVERAGE('R1'!L275,'R2'!L275,'R3'!L275)</f>
        <v>-3.4069737866824035</v>
      </c>
      <c r="F275">
        <f>AVERAGE('R1'!M275,'R2'!M275,'R3'!M275)</f>
        <v>0.28775591761422953</v>
      </c>
      <c r="G275">
        <f>AVERAGE('R1'!N275,'R2'!N275,'R3'!N275)</f>
        <v>-1.8060952361476141</v>
      </c>
      <c r="H275">
        <f>AVERAGE('R1'!O275,'R2'!O275,'R3'!O275)</f>
        <v>-0.75034066398264132</v>
      </c>
      <c r="I275">
        <f t="shared" si="8"/>
        <v>4325.9760028240726</v>
      </c>
      <c r="K275">
        <f>_xlfn.STDEV.S('R1'!L275,'R2'!L275,'R3'!L275)</f>
        <v>4.1043875374875936E-2</v>
      </c>
      <c r="L275">
        <f>_xlfn.STDEV.S('R1'!M275,'R2'!M275,'R3'!M275)</f>
        <v>8.0945790013863886E-3</v>
      </c>
      <c r="M275">
        <f>_xlfn.STDEV.S('R1'!N275,'R2'!N275,'R3'!N275)</f>
        <v>3.2154863319918146E-2</v>
      </c>
      <c r="N275">
        <f>_xlfn.STDEV.S('R1'!O275,'R2'!O275,'R3'!O275)</f>
        <v>1.8521973674743431E-3</v>
      </c>
    </row>
    <row r="276" spans="1:14" x14ac:dyDescent="0.25">
      <c r="A276">
        <f>-'R1'!H276</f>
        <v>0</v>
      </c>
      <c r="B276">
        <f>DEGREES(ATAN(-SIN(RADIANS(('R1'!I276)))/(COS(RADIANS(Sheet1!A276))*COS(RADIANS('R1'!I276)))))</f>
        <v>-40</v>
      </c>
      <c r="C276">
        <f>AVERAGE('R1'!J276,'R2'!J276,'R3'!J276)</f>
        <v>1.1633333333333331</v>
      </c>
      <c r="D276">
        <f>AVERAGE('R1'!K276,'R2'!K276,'R3'!K276)</f>
        <v>22.863534250000001</v>
      </c>
      <c r="E276">
        <f>AVERAGE('R1'!L276,'R2'!L276,'R3'!L276)</f>
        <v>-4.5834243027345076</v>
      </c>
      <c r="F276">
        <f>AVERAGE('R1'!M276,'R2'!M276,'R3'!M276)</f>
        <v>0.39416221200312879</v>
      </c>
      <c r="G276">
        <f>AVERAGE('R1'!N276,'R2'!N276,'R3'!N276)</f>
        <v>-2.8420574137484658</v>
      </c>
      <c r="H276">
        <f>AVERAGE('R1'!O276,'R2'!O276,'R3'!O276)</f>
        <v>-1.2931803150625421</v>
      </c>
      <c r="I276">
        <f t="shared" si="8"/>
        <v>4432.985251805555</v>
      </c>
      <c r="K276">
        <f>_xlfn.STDEV.S('R1'!L276,'R2'!L276,'R3'!L276)</f>
        <v>1.9867138376168141E-2</v>
      </c>
      <c r="L276">
        <f>_xlfn.STDEV.S('R1'!M276,'R2'!M276,'R3'!M276)</f>
        <v>1.1187568409199211E-2</v>
      </c>
      <c r="M276">
        <f>_xlfn.STDEV.S('R1'!N276,'R2'!N276,'R3'!N276)</f>
        <v>1.2670713235933929E-2</v>
      </c>
      <c r="N276">
        <f>_xlfn.STDEV.S('R1'!O276,'R2'!O276,'R3'!O276)</f>
        <v>7.6275355438918955E-3</v>
      </c>
    </row>
    <row r="277" spans="1:14" x14ac:dyDescent="0.25">
      <c r="A277">
        <f>-'R1'!H277</f>
        <v>0</v>
      </c>
      <c r="B277">
        <f>DEGREES(ATAN(-SIN(RADIANS(('R1'!I277)))/(COS(RADIANS(Sheet1!A277))*COS(RADIANS('R1'!I277)))))</f>
        <v>-44</v>
      </c>
      <c r="C277">
        <f>AVERAGE('R1'!J277,'R2'!J277,'R3'!J277)</f>
        <v>1.1633333333333331</v>
      </c>
      <c r="D277">
        <f>AVERAGE('R1'!K277,'R2'!K277,'R3'!K277)</f>
        <v>23.345871666666667</v>
      </c>
      <c r="E277">
        <f>AVERAGE('R1'!L277,'R2'!L277,'R3'!L277)</f>
        <v>-6.8105418791616783</v>
      </c>
      <c r="F277">
        <f>AVERAGE('R1'!M277,'R2'!M277,'R3'!M277)</f>
        <v>0.60597629884589299</v>
      </c>
      <c r="G277">
        <f>AVERAGE('R1'!N277,'R2'!N277,'R3'!N277)</f>
        <v>-4.854953575650085</v>
      </c>
      <c r="H277">
        <f>AVERAGE('R1'!O277,'R2'!O277,'R3'!O277)</f>
        <v>-2.2940209097862838</v>
      </c>
      <c r="I277">
        <f t="shared" si="8"/>
        <v>4526.5051175925919</v>
      </c>
      <c r="K277">
        <f>_xlfn.STDEV.S('R1'!L277,'R2'!L277,'R3'!L277)</f>
        <v>6.238381530765668E-2</v>
      </c>
      <c r="L277">
        <f>_xlfn.STDEV.S('R1'!M277,'R2'!M277,'R3'!M277)</f>
        <v>2.0407688852103385E-2</v>
      </c>
      <c r="M277">
        <f>_xlfn.STDEV.S('R1'!N277,'R2'!N277,'R3'!N277)</f>
        <v>5.969100460743277E-2</v>
      </c>
      <c r="N277">
        <f>_xlfn.STDEV.S('R1'!O277,'R2'!O277,'R3'!O277)</f>
        <v>2.2316293429561717E-2</v>
      </c>
    </row>
    <row r="278" spans="1:14" x14ac:dyDescent="0.25">
      <c r="A278">
        <f>-'R1'!H278</f>
        <v>-4</v>
      </c>
      <c r="B278">
        <f>DEGREES(ATAN(-SIN(RADIANS(('R1'!I278)))/(COS(RADIANS(Sheet1!A278))*COS(RADIANS('R1'!I278)))))</f>
        <v>44.069830293849904</v>
      </c>
      <c r="C278">
        <f>AVERAGE('R1'!J278,'R2'!J278,'R3'!J278)</f>
        <v>1.1633333333333331</v>
      </c>
      <c r="D278">
        <f>AVERAGE('R1'!K278,'R2'!K278,'R3'!K278)</f>
        <v>23.45169375</v>
      </c>
      <c r="E278">
        <f>AVERAGE('R1'!L278,'R2'!L278,'R3'!L278)</f>
        <v>3.1459213873235066</v>
      </c>
      <c r="F278">
        <f>AVERAGE('R1'!M278,'R2'!M278,'R3'!M278)</f>
        <v>0.43229120118274594</v>
      </c>
      <c r="G278">
        <f>AVERAGE('R1'!N278,'R2'!N278,'R3'!N278)</f>
        <v>-1.6558423162401246</v>
      </c>
      <c r="H278">
        <f>AVERAGE('R1'!O278,'R2'!O278,'R3'!O278)</f>
        <v>-1.0453197885934635</v>
      </c>
      <c r="I278">
        <f t="shared" si="8"/>
        <v>4547.02284375</v>
      </c>
      <c r="K278">
        <f>_xlfn.STDEV.S('R1'!L278,'R2'!L278,'R3'!L278)</f>
        <v>9.6995543769648612E-3</v>
      </c>
      <c r="L278">
        <f>_xlfn.STDEV.S('R1'!M278,'R2'!M278,'R3'!M278)</f>
        <v>7.457648921205459E-3</v>
      </c>
      <c r="M278">
        <f>_xlfn.STDEV.S('R1'!N278,'R2'!N278,'R3'!N278)</f>
        <v>9.9879907370517707E-3</v>
      </c>
      <c r="N278">
        <f>_xlfn.STDEV.S('R1'!O278,'R2'!O278,'R3'!O278)</f>
        <v>3.5559097761099423E-3</v>
      </c>
    </row>
    <row r="279" spans="1:14" x14ac:dyDescent="0.25">
      <c r="A279">
        <f>-'R1'!H279</f>
        <v>-4</v>
      </c>
      <c r="B279">
        <f>DEGREES(ATAN(-SIN(RADIANS(('R1'!I279)))/(COS(RADIANS(Sheet1!A279))*COS(RADIANS('R1'!I279)))))</f>
        <v>40.068822978998547</v>
      </c>
      <c r="C279">
        <f>AVERAGE('R1'!J279,'R2'!J279,'R3'!J279)</f>
        <v>1.1633333333333331</v>
      </c>
      <c r="D279">
        <f>AVERAGE('R1'!K279,'R2'!K279,'R3'!K279)</f>
        <v>23.29715358333333</v>
      </c>
      <c r="E279">
        <f>AVERAGE('R1'!L279,'R2'!L279,'R3'!L279)</f>
        <v>2.6945974728804836</v>
      </c>
      <c r="F279">
        <f>AVERAGE('R1'!M279,'R2'!M279,'R3'!M279)</f>
        <v>0.37573484849329186</v>
      </c>
      <c r="G279">
        <f>AVERAGE('R1'!N279,'R2'!N279,'R3'!N279)</f>
        <v>-1.2349894960513084</v>
      </c>
      <c r="H279">
        <f>AVERAGE('R1'!O279,'R2'!O279,'R3'!O279)</f>
        <v>-0.75547759756804889</v>
      </c>
      <c r="I279">
        <f t="shared" si="8"/>
        <v>4517.0592225462951</v>
      </c>
      <c r="K279">
        <f>_xlfn.STDEV.S('R1'!L279,'R2'!L279,'R3'!L279)</f>
        <v>1.6737757426173033E-2</v>
      </c>
      <c r="L279">
        <f>_xlfn.STDEV.S('R1'!M279,'R2'!M279,'R3'!M279)</f>
        <v>7.6035485298762643E-3</v>
      </c>
      <c r="M279">
        <f>_xlfn.STDEV.S('R1'!N279,'R2'!N279,'R3'!N279)</f>
        <v>1.3355619408701065E-2</v>
      </c>
      <c r="N279">
        <f>_xlfn.STDEV.S('R1'!O279,'R2'!O279,'R3'!O279)</f>
        <v>5.1410566031722775E-3</v>
      </c>
    </row>
    <row r="280" spans="1:14" x14ac:dyDescent="0.25">
      <c r="A280">
        <f>-'R1'!H280</f>
        <v>-4</v>
      </c>
      <c r="B280">
        <f>DEGREES(ATAN(-SIN(RADIANS(('R1'!I280)))/(COS(RADIANS(Sheet1!A280))*COS(RADIANS('R1'!I280)))))</f>
        <v>36.066475262469574</v>
      </c>
      <c r="C280">
        <f>AVERAGE('R1'!J280,'R2'!J280,'R3'!J280)</f>
        <v>1.1633333333333331</v>
      </c>
      <c r="D280">
        <f>AVERAGE('R1'!K280,'R2'!K280,'R3'!K280)</f>
        <v>22.454475666666667</v>
      </c>
      <c r="E280">
        <f>AVERAGE('R1'!L280,'R2'!L280,'R3'!L280)</f>
        <v>2.3248528304165044</v>
      </c>
      <c r="F280">
        <f>AVERAGE('R1'!M280,'R2'!M280,'R3'!M280)</f>
        <v>0.35002659819061338</v>
      </c>
      <c r="G280">
        <f>AVERAGE('R1'!N280,'R2'!N280,'R3'!N280)</f>
        <v>-0.9154201740227822</v>
      </c>
      <c r="H280">
        <f>AVERAGE('R1'!O280,'R2'!O280,'R3'!O280)</f>
        <v>-0.5079504082536731</v>
      </c>
      <c r="I280">
        <f t="shared" si="8"/>
        <v>4353.6733375925924</v>
      </c>
      <c r="K280">
        <f>_xlfn.STDEV.S('R1'!L280,'R2'!L280,'R3'!L280)</f>
        <v>1.1588380301238497E-2</v>
      </c>
      <c r="L280">
        <f>_xlfn.STDEV.S('R1'!M280,'R2'!M280,'R3'!M280)</f>
        <v>5.9656862841130148E-3</v>
      </c>
      <c r="M280">
        <f>_xlfn.STDEV.S('R1'!N280,'R2'!N280,'R3'!N280)</f>
        <v>1.0033059864014718E-2</v>
      </c>
      <c r="N280">
        <f>_xlfn.STDEV.S('R1'!O280,'R2'!O280,'R3'!O280)</f>
        <v>8.5533023695609726E-3</v>
      </c>
    </row>
    <row r="281" spans="1:14" x14ac:dyDescent="0.25">
      <c r="A281">
        <f>-'R1'!H281</f>
        <v>-4</v>
      </c>
      <c r="B281">
        <f>DEGREES(ATAN(-SIN(RADIANS(('R1'!I281)))/(COS(RADIANS(Sheet1!A281))*COS(RADIANS('R1'!I281)))))</f>
        <v>32.062832231023428</v>
      </c>
      <c r="C281">
        <f>AVERAGE('R1'!J281,'R2'!J281,'R3'!J281)</f>
        <v>1.1633333333333331</v>
      </c>
      <c r="D281">
        <f>AVERAGE('R1'!K281,'R2'!K281,'R3'!K281)</f>
        <v>22.021060583333337</v>
      </c>
      <c r="E281">
        <f>AVERAGE('R1'!L281,'R2'!L281,'R3'!L281)</f>
        <v>2.0244867165165505</v>
      </c>
      <c r="F281">
        <f>AVERAGE('R1'!M281,'R2'!M281,'R3'!M281)</f>
        <v>0.3213626011204096</v>
      </c>
      <c r="G281">
        <f>AVERAGE('R1'!N281,'R2'!N281,'R3'!N281)</f>
        <v>-0.6698805052823924</v>
      </c>
      <c r="H281">
        <f>AVERAGE('R1'!O281,'R2'!O281,'R3'!O281)</f>
        <v>-0.29072106771090217</v>
      </c>
      <c r="I281">
        <f t="shared" si="8"/>
        <v>4269.6389686574075</v>
      </c>
      <c r="K281">
        <f>_xlfn.STDEV.S('R1'!L281,'R2'!L281,'R3'!L281)</f>
        <v>5.9218794539648758E-3</v>
      </c>
      <c r="L281">
        <f>_xlfn.STDEV.S('R1'!M281,'R2'!M281,'R3'!M281)</f>
        <v>6.3030194204416667E-3</v>
      </c>
      <c r="M281">
        <f>_xlfn.STDEV.S('R1'!N281,'R2'!N281,'R3'!N281)</f>
        <v>5.7491601149357325E-3</v>
      </c>
      <c r="N281">
        <f>_xlfn.STDEV.S('R1'!O281,'R2'!O281,'R3'!O281)</f>
        <v>3.2856168895607093E-3</v>
      </c>
    </row>
    <row r="282" spans="1:14" x14ac:dyDescent="0.25">
      <c r="A282">
        <f>-'R1'!H282</f>
        <v>-4</v>
      </c>
      <c r="B282">
        <f>DEGREES(ATAN(-SIN(RADIANS(('R1'!I282)))/(COS(RADIANS(Sheet1!A282))*COS(RADIANS('R1'!I282)))))</f>
        <v>28.057964295258</v>
      </c>
      <c r="C282">
        <f>AVERAGE('R1'!J282,'R2'!J282,'R3'!J282)</f>
        <v>1.1633333333333331</v>
      </c>
      <c r="D282">
        <f>AVERAGE('R1'!K282,'R2'!K282,'R3'!K282)</f>
        <v>21.783384666666667</v>
      </c>
      <c r="E282">
        <f>AVERAGE('R1'!L282,'R2'!L282,'R3'!L282)</f>
        <v>1.7687706936031482</v>
      </c>
      <c r="F282">
        <f>AVERAGE('R1'!M282,'R2'!M282,'R3'!M282)</f>
        <v>0.3071375082593088</v>
      </c>
      <c r="G282">
        <f>AVERAGE('R1'!N282,'R2'!N282,'R3'!N282)</f>
        <v>-0.4781065323977427</v>
      </c>
      <c r="H282">
        <f>AVERAGE('R1'!O282,'R2'!O282,'R3'!O282)</f>
        <v>-0.1013559856626715</v>
      </c>
      <c r="I282">
        <f t="shared" si="8"/>
        <v>4223.5562492592589</v>
      </c>
      <c r="K282">
        <f>_xlfn.STDEV.S('R1'!L282,'R2'!L282,'R3'!L282)</f>
        <v>9.0934194881746554E-3</v>
      </c>
      <c r="L282">
        <f>_xlfn.STDEV.S('R1'!M282,'R2'!M282,'R3'!M282)</f>
        <v>3.2431546632582793E-3</v>
      </c>
      <c r="M282">
        <f>_xlfn.STDEV.S('R1'!N282,'R2'!N282,'R3'!N282)</f>
        <v>4.9159479133377877E-3</v>
      </c>
      <c r="N282">
        <f>_xlfn.STDEV.S('R1'!O282,'R2'!O282,'R3'!O282)</f>
        <v>3.2705919654523793E-3</v>
      </c>
    </row>
    <row r="283" spans="1:14" x14ac:dyDescent="0.25">
      <c r="A283">
        <f>-'R1'!H283</f>
        <v>-4</v>
      </c>
      <c r="B283">
        <f>DEGREES(ATAN(-SIN(RADIANS(('R1'!I283)))/(COS(RADIANS(Sheet1!A283))*COS(RADIANS('R1'!I283)))))</f>
        <v>24.051965857834489</v>
      </c>
      <c r="C283">
        <f>AVERAGE('R1'!J283,'R2'!J283,'R3'!J283)</f>
        <v>1.1633333333333331</v>
      </c>
      <c r="D283">
        <f>AVERAGE('R1'!K283,'R2'!K283,'R3'!K283)</f>
        <v>21.964412916666664</v>
      </c>
      <c r="E283">
        <f>AVERAGE('R1'!L283,'R2'!L283,'R3'!L283)</f>
        <v>1.5459534571008311</v>
      </c>
      <c r="F283">
        <f>AVERAGE('R1'!M283,'R2'!M283,'R3'!M283)</f>
        <v>0.2837321431139011</v>
      </c>
      <c r="G283">
        <f>AVERAGE('R1'!N283,'R2'!N283,'R3'!N283)</f>
        <v>-0.32742680111257078</v>
      </c>
      <c r="H283">
        <f>AVERAGE('R1'!O283,'R2'!O283,'R3'!O283)</f>
        <v>6.2091154390224036E-2</v>
      </c>
      <c r="I283">
        <f t="shared" si="8"/>
        <v>4258.6556155092585</v>
      </c>
      <c r="K283">
        <f>_xlfn.STDEV.S('R1'!L283,'R2'!L283,'R3'!L283)</f>
        <v>4.541813059698461E-3</v>
      </c>
      <c r="L283">
        <f>_xlfn.STDEV.S('R1'!M283,'R2'!M283,'R3'!M283)</f>
        <v>3.2208431126189902E-3</v>
      </c>
      <c r="M283">
        <f>_xlfn.STDEV.S('R1'!N283,'R2'!N283,'R3'!N283)</f>
        <v>4.728286408806728E-3</v>
      </c>
      <c r="N283">
        <f>_xlfn.STDEV.S('R1'!O283,'R2'!O283,'R3'!O283)</f>
        <v>2.0668464337750504E-3</v>
      </c>
    </row>
    <row r="284" spans="1:14" x14ac:dyDescent="0.25">
      <c r="A284">
        <f>-'R1'!H284</f>
        <v>-4</v>
      </c>
      <c r="B284">
        <f>DEGREES(ATAN(-SIN(RADIANS(('R1'!I284)))/(COS(RADIANS(Sheet1!A284))*COS(RADIANS('R1'!I284)))))</f>
        <v>20.044953503068641</v>
      </c>
      <c r="C284">
        <f>AVERAGE('R1'!J284,'R2'!J284,'R3'!J284)</f>
        <v>1.1633333333333331</v>
      </c>
      <c r="D284">
        <f>AVERAGE('R1'!K284,'R2'!K284,'R3'!K284)</f>
        <v>22.529887166666668</v>
      </c>
      <c r="E284">
        <f>AVERAGE('R1'!L284,'R2'!L284,'R3'!L284)</f>
        <v>1.3336202619540103</v>
      </c>
      <c r="F284">
        <f>AVERAGE('R1'!M284,'R2'!M284,'R3'!M284)</f>
        <v>0.27343069284732935</v>
      </c>
      <c r="G284">
        <f>AVERAGE('R1'!N284,'R2'!N284,'R3'!N284)</f>
        <v>-0.20902569626539572</v>
      </c>
      <c r="H284">
        <f>AVERAGE('R1'!O284,'R2'!O284,'R3'!O284)</f>
        <v>0.22623391763673364</v>
      </c>
      <c r="I284">
        <f t="shared" si="8"/>
        <v>4368.2947895370371</v>
      </c>
      <c r="K284">
        <f>_xlfn.STDEV.S('R1'!L284,'R2'!L284,'R3'!L284)</f>
        <v>4.8008002404382457E-3</v>
      </c>
      <c r="L284">
        <f>_xlfn.STDEV.S('R1'!M284,'R2'!M284,'R3'!M284)</f>
        <v>4.9914844991195747E-3</v>
      </c>
      <c r="M284">
        <f>_xlfn.STDEV.S('R1'!N284,'R2'!N284,'R3'!N284)</f>
        <v>1.5891342528372176E-3</v>
      </c>
      <c r="N284">
        <f>_xlfn.STDEV.S('R1'!O284,'R2'!O284,'R3'!O284)</f>
        <v>3.5845404391275822E-3</v>
      </c>
    </row>
    <row r="285" spans="1:14" x14ac:dyDescent="0.25">
      <c r="A285">
        <f>-'R1'!H285</f>
        <v>-4</v>
      </c>
      <c r="B285">
        <f>DEGREES(ATAN(-SIN(RADIANS(('R1'!I285)))/(COS(RADIANS(Sheet1!A285))*COS(RADIANS('R1'!I285)))))</f>
        <v>16.037063740993869</v>
      </c>
      <c r="C285">
        <f>AVERAGE('R1'!J285,'R2'!J285,'R3'!J285)</f>
        <v>1.1633333333333331</v>
      </c>
      <c r="D285">
        <f>AVERAGE('R1'!K285,'R2'!K285,'R3'!K285)</f>
        <v>23.043723749999998</v>
      </c>
      <c r="E285">
        <f>AVERAGE('R1'!L285,'R2'!L285,'R3'!L285)</f>
        <v>1.104694253762297</v>
      </c>
      <c r="F285">
        <f>AVERAGE('R1'!M285,'R2'!M285,'R3'!M285)</f>
        <v>0.28460341291457486</v>
      </c>
      <c r="G285">
        <f>AVERAGE('R1'!N285,'R2'!N285,'R3'!N285)</f>
        <v>-0.12083871604201128</v>
      </c>
      <c r="H285">
        <f>AVERAGE('R1'!O285,'R2'!O285,'R3'!O285)</f>
        <v>0.40177636840131642</v>
      </c>
      <c r="I285">
        <f t="shared" si="8"/>
        <v>4467.9219937499984</v>
      </c>
      <c r="K285">
        <f>_xlfn.STDEV.S('R1'!L285,'R2'!L285,'R3'!L285)</f>
        <v>1.8948685642142388E-3</v>
      </c>
      <c r="L285">
        <f>_xlfn.STDEV.S('R1'!M285,'R2'!M285,'R3'!M285)</f>
        <v>9.873063214839755E-3</v>
      </c>
      <c r="M285">
        <f>_xlfn.STDEV.S('R1'!N285,'R2'!N285,'R3'!N285)</f>
        <v>1.8141552854148877E-3</v>
      </c>
      <c r="N285">
        <f>_xlfn.STDEV.S('R1'!O285,'R2'!O285,'R3'!O285)</f>
        <v>4.8393253810997267E-3</v>
      </c>
    </row>
    <row r="286" spans="1:14" x14ac:dyDescent="0.25">
      <c r="A286">
        <f>-'R1'!H286</f>
        <v>-4</v>
      </c>
      <c r="B286">
        <f>DEGREES(ATAN(-SIN(RADIANS(('R1'!I286)))/(COS(RADIANS(Sheet1!A286))*COS(RADIANS('R1'!I286)))))</f>
        <v>12.028450348745874</v>
      </c>
      <c r="C286">
        <f>AVERAGE('R1'!J286,'R2'!J286,'R3'!J286)</f>
        <v>1.1633333333333331</v>
      </c>
      <c r="D286">
        <f>AVERAGE('R1'!K286,'R2'!K286,'R3'!K286)</f>
        <v>23.499084916666664</v>
      </c>
      <c r="E286">
        <f>AVERAGE('R1'!L286,'R2'!L286,'R3'!L286)</f>
        <v>0.85822583331207503</v>
      </c>
      <c r="F286">
        <f>AVERAGE('R1'!M286,'R2'!M286,'R3'!M286)</f>
        <v>0.31369024104796167</v>
      </c>
      <c r="G286">
        <f>AVERAGE('R1'!N286,'R2'!N286,'R3'!N286)</f>
        <v>-5.86977789987203E-2</v>
      </c>
      <c r="H286">
        <f>AVERAGE('R1'!O286,'R2'!O286,'R3'!O286)</f>
        <v>0.58215446365764645</v>
      </c>
      <c r="I286">
        <f t="shared" si="8"/>
        <v>4556.2114643981477</v>
      </c>
      <c r="K286">
        <f>_xlfn.STDEV.S('R1'!L286,'R2'!L286,'R3'!L286)</f>
        <v>5.3256348623921344E-3</v>
      </c>
      <c r="L286">
        <f>_xlfn.STDEV.S('R1'!M286,'R2'!M286,'R3'!M286)</f>
        <v>5.0825615109699107E-3</v>
      </c>
      <c r="M286">
        <f>_xlfn.STDEV.S('R1'!N286,'R2'!N286,'R3'!N286)</f>
        <v>1.9595357575159546E-3</v>
      </c>
      <c r="N286">
        <f>_xlfn.STDEV.S('R1'!O286,'R2'!O286,'R3'!O286)</f>
        <v>5.1365929192018741E-3</v>
      </c>
    </row>
    <row r="287" spans="1:14" x14ac:dyDescent="0.25">
      <c r="A287">
        <f>-'R1'!H287</f>
        <v>-4</v>
      </c>
      <c r="B287">
        <f>DEGREES(ATAN(-SIN(RADIANS(('R1'!I287)))/(COS(RADIANS(Sheet1!A287))*COS(RADIANS('R1'!I287)))))</f>
        <v>8.0192813611150822</v>
      </c>
      <c r="C287">
        <f>AVERAGE('R1'!J287,'R2'!J287,'R3'!J287)</f>
        <v>1.1633333333333331</v>
      </c>
      <c r="D287">
        <f>AVERAGE('R1'!K287,'R2'!K287,'R3'!K287)</f>
        <v>23.649230500000002</v>
      </c>
      <c r="E287">
        <f>AVERAGE('R1'!L287,'R2'!L287,'R3'!L287)</f>
        <v>0.57700961513193039</v>
      </c>
      <c r="F287">
        <f>AVERAGE('R1'!M287,'R2'!M287,'R3'!M287)</f>
        <v>0.36440602982632037</v>
      </c>
      <c r="G287">
        <f>AVERAGE('R1'!N287,'R2'!N287,'R3'!N287)</f>
        <v>-2.6400268307681215E-2</v>
      </c>
      <c r="H287">
        <f>AVERAGE('R1'!O287,'R2'!O287,'R3'!O287)</f>
        <v>0.7622206727687949</v>
      </c>
      <c r="I287">
        <f t="shared" si="8"/>
        <v>4585.3230247222218</v>
      </c>
      <c r="K287">
        <f>_xlfn.STDEV.S('R1'!L287,'R2'!L287,'R3'!L287)</f>
        <v>4.7202114139400213E-3</v>
      </c>
      <c r="L287">
        <f>_xlfn.STDEV.S('R1'!M287,'R2'!M287,'R3'!M287)</f>
        <v>6.1807424363421503E-3</v>
      </c>
      <c r="M287">
        <f>_xlfn.STDEV.S('R1'!N287,'R2'!N287,'R3'!N287)</f>
        <v>1.4522162215423249E-3</v>
      </c>
      <c r="N287">
        <f>_xlfn.STDEV.S('R1'!O287,'R2'!O287,'R3'!O287)</f>
        <v>3.037163202912585E-3</v>
      </c>
    </row>
    <row r="288" spans="1:14" x14ac:dyDescent="0.25">
      <c r="A288">
        <f>-'R1'!H288</f>
        <v>-4</v>
      </c>
      <c r="B288">
        <f>DEGREES(ATAN(-SIN(RADIANS(('R1'!I288)))/(COS(RADIANS(Sheet1!A288))*COS(RADIANS('R1'!I288)))))</f>
        <v>4.0097357700975991</v>
      </c>
      <c r="C288">
        <f>AVERAGE('R1'!J288,'R2'!J288,'R3'!J288)</f>
        <v>1.1633333333333331</v>
      </c>
      <c r="D288">
        <f>AVERAGE('R1'!K288,'R2'!K288,'R3'!K288)</f>
        <v>23.421151499999997</v>
      </c>
      <c r="E288">
        <f>AVERAGE('R1'!L288,'R2'!L288,'R3'!L288)</f>
        <v>0.25536594298570714</v>
      </c>
      <c r="F288">
        <f>AVERAGE('R1'!M288,'R2'!M288,'R3'!M288)</f>
        <v>0.42221432580660395</v>
      </c>
      <c r="G288">
        <f>AVERAGE('R1'!N288,'R2'!N288,'R3'!N288)</f>
        <v>-7.0261425412031326E-3</v>
      </c>
      <c r="H288">
        <f>AVERAGE('R1'!O288,'R2'!O288,'R3'!O288)</f>
        <v>0.93246783514756915</v>
      </c>
      <c r="I288">
        <f t="shared" si="8"/>
        <v>4541.1010408333314</v>
      </c>
      <c r="K288">
        <f>_xlfn.STDEV.S('R1'!L288,'R2'!L288,'R3'!L288)</f>
        <v>2.5975221324992018E-3</v>
      </c>
      <c r="L288">
        <f>_xlfn.STDEV.S('R1'!M288,'R2'!M288,'R3'!M288)</f>
        <v>1.632765540211334E-3</v>
      </c>
      <c r="M288">
        <f>_xlfn.STDEV.S('R1'!N288,'R2'!N288,'R3'!N288)</f>
        <v>6.5764760848693498E-3</v>
      </c>
      <c r="N288">
        <f>_xlfn.STDEV.S('R1'!O288,'R2'!O288,'R3'!O288)</f>
        <v>4.5071097071081295E-3</v>
      </c>
    </row>
    <row r="289" spans="1:14" x14ac:dyDescent="0.25">
      <c r="A289">
        <f>-'R1'!H289</f>
        <v>-4</v>
      </c>
      <c r="B289">
        <f>DEGREES(ATAN(-SIN(RADIANS(('R1'!I289)))/(COS(RADIANS(Sheet1!A289))*COS(RADIANS('R1'!I289)))))</f>
        <v>0</v>
      </c>
      <c r="C289">
        <f>AVERAGE('R1'!J289,'R2'!J289,'R3'!J289)</f>
        <v>1.1633333333333331</v>
      </c>
      <c r="D289">
        <f>AVERAGE('R1'!K289,'R2'!K289,'R3'!K289)</f>
        <v>22.559543083333335</v>
      </c>
      <c r="E289">
        <f>AVERAGE('R1'!L289,'R2'!L289,'R3'!L289)</f>
        <v>-0.10499658397060703</v>
      </c>
      <c r="F289">
        <f>AVERAGE('R1'!M289,'R2'!M289,'R3'!M289)</f>
        <v>0.45228449940516424</v>
      </c>
      <c r="G289">
        <f>AVERAGE('R1'!N289,'R2'!N289,'R3'!N289)</f>
        <v>-3.0208154030083203E-3</v>
      </c>
      <c r="H289">
        <f>AVERAGE('R1'!O289,'R2'!O289,'R3'!O289)</f>
        <v>1.0032152084349915</v>
      </c>
      <c r="I289">
        <f t="shared" si="8"/>
        <v>4374.0447422685183</v>
      </c>
      <c r="K289">
        <f>_xlfn.STDEV.S('R1'!L289,'R2'!L289,'R3'!L289)</f>
        <v>3.0488200416930135E-3</v>
      </c>
      <c r="L289">
        <f>_xlfn.STDEV.S('R1'!M289,'R2'!M289,'R3'!M289)</f>
        <v>3.7196960052783201E-3</v>
      </c>
      <c r="M289">
        <f>_xlfn.STDEV.S('R1'!N289,'R2'!N289,'R3'!N289)</f>
        <v>5.7300199395556358E-3</v>
      </c>
      <c r="N289">
        <f>_xlfn.STDEV.S('R1'!O289,'R2'!O289,'R3'!O289)</f>
        <v>6.7652065894568411E-3</v>
      </c>
    </row>
    <row r="290" spans="1:14" x14ac:dyDescent="0.25">
      <c r="A290">
        <f>-'R1'!H290</f>
        <v>-4</v>
      </c>
      <c r="B290">
        <f>DEGREES(ATAN(-SIN(RADIANS(('R1'!I290)))/(COS(RADIANS(Sheet1!A290))*COS(RADIANS('R1'!I290)))))</f>
        <v>-4.0097357700975991</v>
      </c>
      <c r="C290">
        <f>AVERAGE('R1'!J290,'R2'!J290,'R3'!J290)</f>
        <v>1.1633333333333331</v>
      </c>
      <c r="D290">
        <f>AVERAGE('R1'!K290,'R2'!K290,'R3'!K290)</f>
        <v>21.827062666666667</v>
      </c>
      <c r="E290">
        <f>AVERAGE('R1'!L290,'R2'!L290,'R3'!L290)</f>
        <v>-0.43067317441567315</v>
      </c>
      <c r="F290">
        <f>AVERAGE('R1'!M290,'R2'!M290,'R3'!M290)</f>
        <v>0.40124616230518423</v>
      </c>
      <c r="G290">
        <f>AVERAGE('R1'!N290,'R2'!N290,'R3'!N290)</f>
        <v>-1.1734232104382377E-2</v>
      </c>
      <c r="H290">
        <f>AVERAGE('R1'!O290,'R2'!O290,'R3'!O290)</f>
        <v>0.83699710407497119</v>
      </c>
      <c r="I290">
        <f t="shared" si="8"/>
        <v>4232.0249281481474</v>
      </c>
      <c r="K290">
        <f>_xlfn.STDEV.S('R1'!L290,'R2'!L290,'R3'!L290)</f>
        <v>9.5524940657874015E-3</v>
      </c>
      <c r="L290">
        <f>_xlfn.STDEV.S('R1'!M290,'R2'!M290,'R3'!M290)</f>
        <v>9.1443044666897153E-3</v>
      </c>
      <c r="M290">
        <f>_xlfn.STDEV.S('R1'!N290,'R2'!N290,'R3'!N290)</f>
        <v>3.5032608545978233E-3</v>
      </c>
      <c r="N290">
        <f>_xlfn.STDEV.S('R1'!O290,'R2'!O290,'R3'!O290)</f>
        <v>4.975545160484777E-3</v>
      </c>
    </row>
    <row r="291" spans="1:14" x14ac:dyDescent="0.25">
      <c r="A291">
        <f>-'R1'!H291</f>
        <v>-4</v>
      </c>
      <c r="B291">
        <f>DEGREES(ATAN(-SIN(RADIANS(('R1'!I291)))/(COS(RADIANS(Sheet1!A291))*COS(RADIANS('R1'!I291)))))</f>
        <v>-8.0192813611150822</v>
      </c>
      <c r="C291">
        <f>AVERAGE('R1'!J291,'R2'!J291,'R3'!J291)</f>
        <v>1.1633333333333331</v>
      </c>
      <c r="D291">
        <f>AVERAGE('R1'!K291,'R2'!K291,'R3'!K291)</f>
        <v>21.54561533333333</v>
      </c>
      <c r="E291">
        <f>AVERAGE('R1'!L291,'R2'!L291,'R3'!L291)</f>
        <v>-0.71550177720836894</v>
      </c>
      <c r="F291">
        <f>AVERAGE('R1'!M291,'R2'!M291,'R3'!M291)</f>
        <v>0.3599379467895864</v>
      </c>
      <c r="G291">
        <f>AVERAGE('R1'!N291,'R2'!N291,'R3'!N291)</f>
        <v>-3.4940861630491635E-2</v>
      </c>
      <c r="H291">
        <f>AVERAGE('R1'!O291,'R2'!O291,'R3'!O291)</f>
        <v>0.66308956732060653</v>
      </c>
      <c r="I291">
        <f t="shared" si="8"/>
        <v>4177.4554174074065</v>
      </c>
      <c r="K291">
        <f>_xlfn.STDEV.S('R1'!L291,'R2'!L291,'R3'!L291)</f>
        <v>3.4667153603085994E-3</v>
      </c>
      <c r="L291">
        <f>_xlfn.STDEV.S('R1'!M291,'R2'!M291,'R3'!M291)</f>
        <v>1.1217799564411525E-3</v>
      </c>
      <c r="M291">
        <f>_xlfn.STDEV.S('R1'!N291,'R2'!N291,'R3'!N291)</f>
        <v>4.6595923730308455E-3</v>
      </c>
      <c r="N291">
        <f>_xlfn.STDEV.S('R1'!O291,'R2'!O291,'R3'!O291)</f>
        <v>2.7180515161818446E-3</v>
      </c>
    </row>
    <row r="292" spans="1:14" x14ac:dyDescent="0.25">
      <c r="A292">
        <f>-'R1'!H292</f>
        <v>-4</v>
      </c>
      <c r="B292">
        <f>DEGREES(ATAN(-SIN(RADIANS(('R1'!I292)))/(COS(RADIANS(Sheet1!A292))*COS(RADIANS('R1'!I292)))))</f>
        <v>-12.028450348745874</v>
      </c>
      <c r="C292">
        <f>AVERAGE('R1'!J292,'R2'!J292,'R3'!J292)</f>
        <v>1.1633333333333331</v>
      </c>
      <c r="D292">
        <f>AVERAGE('R1'!K292,'R2'!K292,'R3'!K292)</f>
        <v>21.743875500000001</v>
      </c>
      <c r="E292">
        <f>AVERAGE('R1'!L292,'R2'!L292,'R3'!L292)</f>
        <v>-0.97892383482511358</v>
      </c>
      <c r="F292">
        <f>AVERAGE('R1'!M292,'R2'!M292,'R3'!M292)</f>
        <v>0.32759186293669518</v>
      </c>
      <c r="G292">
        <f>AVERAGE('R1'!N292,'R2'!N292,'R3'!N292)</f>
        <v>-9.162907824869293E-2</v>
      </c>
      <c r="H292">
        <f>AVERAGE('R1'!O292,'R2'!O292,'R3'!O292)</f>
        <v>0.50497519841208915</v>
      </c>
      <c r="I292">
        <f t="shared" si="8"/>
        <v>4215.8958608333332</v>
      </c>
      <c r="K292">
        <f>_xlfn.STDEV.S('R1'!L292,'R2'!L292,'R3'!L292)</f>
        <v>2.8169788053577418E-3</v>
      </c>
      <c r="L292">
        <f>_xlfn.STDEV.S('R1'!M292,'R2'!M292,'R3'!M292)</f>
        <v>5.1211015603250523E-3</v>
      </c>
      <c r="M292">
        <f>_xlfn.STDEV.S('R1'!N292,'R2'!N292,'R3'!N292)</f>
        <v>5.9301745987601047E-3</v>
      </c>
      <c r="N292">
        <f>_xlfn.STDEV.S('R1'!O292,'R2'!O292,'R3'!O292)</f>
        <v>3.5573969459827878E-3</v>
      </c>
    </row>
    <row r="293" spans="1:14" x14ac:dyDescent="0.25">
      <c r="A293">
        <f>-'R1'!H293</f>
        <v>-4</v>
      </c>
      <c r="B293">
        <f>DEGREES(ATAN(-SIN(RADIANS(('R1'!I293)))/(COS(RADIANS(Sheet1!A293))*COS(RADIANS('R1'!I293)))))</f>
        <v>-16.037063740993869</v>
      </c>
      <c r="C293">
        <f>AVERAGE('R1'!J293,'R2'!J293,'R3'!J293)</f>
        <v>1.1633333333333331</v>
      </c>
      <c r="D293">
        <f>AVERAGE('R1'!K293,'R2'!K293,'R3'!K293)</f>
        <v>22.349707249999998</v>
      </c>
      <c r="E293">
        <f>AVERAGE('R1'!L293,'R2'!L293,'R3'!L293)</f>
        <v>-1.2220851633147645</v>
      </c>
      <c r="F293">
        <f>AVERAGE('R1'!M293,'R2'!M293,'R3'!M293)</f>
        <v>0.32102740084681752</v>
      </c>
      <c r="G293">
        <f>AVERAGE('R1'!N293,'R2'!N293,'R3'!N293)</f>
        <v>-0.18034354656674237</v>
      </c>
      <c r="H293">
        <f>AVERAGE('R1'!O293,'R2'!O293,'R3'!O293)</f>
        <v>0.33727312407594395</v>
      </c>
      <c r="I293">
        <f t="shared" si="8"/>
        <v>4333.3599056944431</v>
      </c>
      <c r="K293">
        <f>_xlfn.STDEV.S('R1'!L293,'R2'!L293,'R3'!L293)</f>
        <v>4.0458394276712863E-3</v>
      </c>
      <c r="L293">
        <f>_xlfn.STDEV.S('R1'!M293,'R2'!M293,'R3'!M293)</f>
        <v>7.5115452039127995E-3</v>
      </c>
      <c r="M293">
        <f>_xlfn.STDEV.S('R1'!N293,'R2'!N293,'R3'!N293)</f>
        <v>3.6220833432042371E-3</v>
      </c>
      <c r="N293">
        <f>_xlfn.STDEV.S('R1'!O293,'R2'!O293,'R3'!O293)</f>
        <v>4.0457239469584676E-3</v>
      </c>
    </row>
    <row r="294" spans="1:14" x14ac:dyDescent="0.25">
      <c r="A294">
        <f>-'R1'!H294</f>
        <v>-4</v>
      </c>
      <c r="B294">
        <f>DEGREES(ATAN(-SIN(RADIANS(('R1'!I294)))/(COS(RADIANS(Sheet1!A294))*COS(RADIANS('R1'!I294)))))</f>
        <v>-20.044953503068641</v>
      </c>
      <c r="C294">
        <f>AVERAGE('R1'!J294,'R2'!J294,'R3'!J294)</f>
        <v>1.1633333333333331</v>
      </c>
      <c r="D294">
        <f>AVERAGE('R1'!K294,'R2'!K294,'R3'!K294)</f>
        <v>22.893289583333331</v>
      </c>
      <c r="E294">
        <f>AVERAGE('R1'!L294,'R2'!L294,'R3'!L294)</f>
        <v>-1.4623989177281793</v>
      </c>
      <c r="F294">
        <f>AVERAGE('R1'!M294,'R2'!M294,'R3'!M294)</f>
        <v>0.34451805279266295</v>
      </c>
      <c r="G294">
        <f>AVERAGE('R1'!N294,'R2'!N294,'R3'!N294)</f>
        <v>-0.3090266754164705</v>
      </c>
      <c r="H294">
        <f>AVERAGE('R1'!O294,'R2'!O294,'R3'!O294)</f>
        <v>0.17340388204681764</v>
      </c>
      <c r="I294">
        <f t="shared" si="8"/>
        <v>4438.7544803240735</v>
      </c>
      <c r="K294">
        <f>_xlfn.STDEV.S('R1'!L294,'R2'!L294,'R3'!L294)</f>
        <v>4.2780198663936704E-3</v>
      </c>
      <c r="L294">
        <f>_xlfn.STDEV.S('R1'!M294,'R2'!M294,'R3'!M294)</f>
        <v>6.4837199790530415E-3</v>
      </c>
      <c r="M294">
        <f>_xlfn.STDEV.S('R1'!N294,'R2'!N294,'R3'!N294)</f>
        <v>2.6952106863309283E-3</v>
      </c>
      <c r="N294">
        <f>_xlfn.STDEV.S('R1'!O294,'R2'!O294,'R3'!O294)</f>
        <v>1.4265412538947569E-3</v>
      </c>
    </row>
    <row r="295" spans="1:14" x14ac:dyDescent="0.25">
      <c r="A295">
        <f>-'R1'!H295</f>
        <v>-4</v>
      </c>
      <c r="B295">
        <f>DEGREES(ATAN(-SIN(RADIANS(('R1'!I295)))/(COS(RADIANS(Sheet1!A295))*COS(RADIANS('R1'!I295)))))</f>
        <v>-24.051965857834489</v>
      </c>
      <c r="C295">
        <f>AVERAGE('R1'!J295,'R2'!J295,'R3'!J295)</f>
        <v>1.1633333333333331</v>
      </c>
      <c r="D295">
        <f>AVERAGE('R1'!K295,'R2'!K295,'R3'!K295)</f>
        <v>23.376794083333333</v>
      </c>
      <c r="E295">
        <f>AVERAGE('R1'!L295,'R2'!L295,'R3'!L295)</f>
        <v>-1.7183613121785435</v>
      </c>
      <c r="F295">
        <f>AVERAGE('R1'!M295,'R2'!M295,'R3'!M295)</f>
        <v>0.41010225949997614</v>
      </c>
      <c r="G295">
        <f>AVERAGE('R1'!N295,'R2'!N295,'R3'!N295)</f>
        <v>-0.49014030148019933</v>
      </c>
      <c r="H295">
        <f>AVERAGE('R1'!O295,'R2'!O295,'R3'!O295)</f>
        <v>-9.0375093354754781E-3</v>
      </c>
      <c r="I295">
        <f t="shared" si="8"/>
        <v>4532.5006306018513</v>
      </c>
      <c r="K295">
        <f>_xlfn.STDEV.S('R1'!L295,'R2'!L295,'R3'!L295)</f>
        <v>1.1706977199710243E-3</v>
      </c>
      <c r="L295">
        <f>_xlfn.STDEV.S('R1'!M295,'R2'!M295,'R3'!M295)</f>
        <v>8.0151270334609791E-3</v>
      </c>
      <c r="M295">
        <f>_xlfn.STDEV.S('R1'!N295,'R2'!N295,'R3'!N295)</f>
        <v>3.3921846909128594E-3</v>
      </c>
      <c r="N295">
        <f>_xlfn.STDEV.S('R1'!O295,'R2'!O295,'R3'!O295)</f>
        <v>2.8786044977842052E-3</v>
      </c>
    </row>
    <row r="296" spans="1:14" x14ac:dyDescent="0.25">
      <c r="A296">
        <f>-'R1'!H296</f>
        <v>-4</v>
      </c>
      <c r="B296">
        <f>DEGREES(ATAN(-SIN(RADIANS(('R1'!I296)))/(COS(RADIANS(Sheet1!A296))*COS(RADIANS('R1'!I296)))))</f>
        <v>-28.057964295258</v>
      </c>
      <c r="C296">
        <f>AVERAGE('R1'!J296,'R2'!J296,'R3'!J296)</f>
        <v>1.1633333333333331</v>
      </c>
      <c r="D296">
        <f>AVERAGE('R1'!K296,'R2'!K296,'R3'!K296)</f>
        <v>23.799818583333334</v>
      </c>
      <c r="E296">
        <f>AVERAGE('R1'!L296,'R2'!L296,'R3'!L296)</f>
        <v>-2.0096767266398179</v>
      </c>
      <c r="F296">
        <f>AVERAGE('R1'!M296,'R2'!M296,'R3'!M296)</f>
        <v>0.51034869443215092</v>
      </c>
      <c r="G296">
        <f>AVERAGE('R1'!N296,'R2'!N296,'R3'!N296)</f>
        <v>-0.73427190572694367</v>
      </c>
      <c r="H296">
        <f>AVERAGE('R1'!O296,'R2'!O296,'R3'!O296)</f>
        <v>-0.21878348454821381</v>
      </c>
      <c r="I296">
        <f t="shared" si="8"/>
        <v>4614.5203808796296</v>
      </c>
      <c r="K296">
        <f>_xlfn.STDEV.S('R1'!L296,'R2'!L296,'R3'!L296)</f>
        <v>1.4759654459401844E-3</v>
      </c>
      <c r="L296">
        <f>_xlfn.STDEV.S('R1'!M296,'R2'!M296,'R3'!M296)</f>
        <v>1.1048405309392461E-3</v>
      </c>
      <c r="M296">
        <f>_xlfn.STDEV.S('R1'!N296,'R2'!N296,'R3'!N296)</f>
        <v>2.8936504869902422E-3</v>
      </c>
      <c r="N296">
        <f>_xlfn.STDEV.S('R1'!O296,'R2'!O296,'R3'!O296)</f>
        <v>1.3918445050983446E-3</v>
      </c>
    </row>
    <row r="297" spans="1:14" x14ac:dyDescent="0.25">
      <c r="A297">
        <f>-'R1'!H297</f>
        <v>-4</v>
      </c>
      <c r="B297">
        <f>DEGREES(ATAN(-SIN(RADIANS(('R1'!I297)))/(COS(RADIANS(Sheet1!A297))*COS(RADIANS('R1'!I297)))))</f>
        <v>-32.062832231023428</v>
      </c>
      <c r="C297">
        <f>AVERAGE('R1'!J297,'R2'!J297,'R3'!J297)</f>
        <v>1.1633333333333331</v>
      </c>
      <c r="D297">
        <f>AVERAGE('R1'!K297,'R2'!K297,'R3'!K297)</f>
        <v>23.821076083333335</v>
      </c>
      <c r="E297">
        <f>AVERAGE('R1'!L297,'R2'!L297,'R3'!L297)</f>
        <v>-2.3990614375539496</v>
      </c>
      <c r="F297">
        <f>AVERAGE('R1'!M297,'R2'!M297,'R3'!M297)</f>
        <v>0.63078672796086088</v>
      </c>
      <c r="G297">
        <f>AVERAGE('R1'!N297,'R2'!N297,'R3'!N297)</f>
        <v>-1.0823736103577737</v>
      </c>
      <c r="H297">
        <f>AVERAGE('R1'!O297,'R2'!O297,'R3'!O297)</f>
        <v>-0.47063004259912461</v>
      </c>
      <c r="I297">
        <f t="shared" si="8"/>
        <v>4618.641973935185</v>
      </c>
      <c r="K297">
        <f>_xlfn.STDEV.S('R1'!L297,'R2'!L297,'R3'!L297)</f>
        <v>6.0159373487197933E-3</v>
      </c>
      <c r="L297">
        <f>_xlfn.STDEV.S('R1'!M297,'R2'!M297,'R3'!M297)</f>
        <v>3.6528675244767448E-3</v>
      </c>
      <c r="M297">
        <f>_xlfn.STDEV.S('R1'!N297,'R2'!N297,'R3'!N297)</f>
        <v>3.3567541262995212E-3</v>
      </c>
      <c r="N297">
        <f>_xlfn.STDEV.S('R1'!O297,'R2'!O297,'R3'!O297)</f>
        <v>1.0329208473983122E-3</v>
      </c>
    </row>
    <row r="298" spans="1:14" x14ac:dyDescent="0.25">
      <c r="A298">
        <f>-'R1'!H298</f>
        <v>-4</v>
      </c>
      <c r="B298">
        <f>DEGREES(ATAN(-SIN(RADIANS(('R1'!I298)))/(COS(RADIANS(Sheet1!A298))*COS(RADIANS('R1'!I298)))))</f>
        <v>-36.066475262469574</v>
      </c>
      <c r="C298">
        <f>AVERAGE('R1'!J298,'R2'!J298,'R3'!J298)</f>
        <v>1.1633333333333331</v>
      </c>
      <c r="D298">
        <f>AVERAGE('R1'!K298,'R2'!K298,'R3'!K298)</f>
        <v>22.839142416666665</v>
      </c>
      <c r="E298">
        <f>AVERAGE('R1'!L298,'R2'!L298,'R3'!L298)</f>
        <v>-2.9549497405972089</v>
      </c>
      <c r="F298">
        <f>AVERAGE('R1'!M298,'R2'!M298,'R3'!M298)</f>
        <v>0.78871111817899997</v>
      </c>
      <c r="G298">
        <f>AVERAGE('R1'!N298,'R2'!N298,'R3'!N298)</f>
        <v>-1.5897791055973778</v>
      </c>
      <c r="H298">
        <f>AVERAGE('R1'!O298,'R2'!O298,'R3'!O298)</f>
        <v>-0.79346495632970704</v>
      </c>
      <c r="I298">
        <f t="shared" si="8"/>
        <v>4428.2559463425914</v>
      </c>
      <c r="K298">
        <f>_xlfn.STDEV.S('R1'!L298,'R2'!L298,'R3'!L298)</f>
        <v>1.2420810311355198E-2</v>
      </c>
      <c r="L298">
        <f>_xlfn.STDEV.S('R1'!M298,'R2'!M298,'R3'!M298)</f>
        <v>9.8115684242722975E-3</v>
      </c>
      <c r="M298">
        <f>_xlfn.STDEV.S('R1'!N298,'R2'!N298,'R3'!N298)</f>
        <v>1.0455687908962208E-2</v>
      </c>
      <c r="N298">
        <f>_xlfn.STDEV.S('R1'!O298,'R2'!O298,'R3'!O298)</f>
        <v>7.537022271188556E-3</v>
      </c>
    </row>
    <row r="299" spans="1:14" x14ac:dyDescent="0.25">
      <c r="A299">
        <f>-'R1'!H299</f>
        <v>-4</v>
      </c>
      <c r="B299">
        <f>DEGREES(ATAN(-SIN(RADIANS(('R1'!I299)))/(COS(RADIANS(Sheet1!A299))*COS(RADIANS('R1'!I299)))))</f>
        <v>-40.068822978998547</v>
      </c>
      <c r="C299">
        <f>AVERAGE('R1'!J299,'R2'!J299,'R3'!J299)</f>
        <v>1.1633333333333331</v>
      </c>
      <c r="D299">
        <f>AVERAGE('R1'!K299,'R2'!K299,'R3'!K299)</f>
        <v>22.088402000000002</v>
      </c>
      <c r="E299">
        <f>AVERAGE('R1'!L299,'R2'!L299,'R3'!L299)</f>
        <v>-3.8185493644114064</v>
      </c>
      <c r="F299">
        <f>AVERAGE('R1'!M299,'R2'!M299,'R3'!M299)</f>
        <v>0.99542042102275907</v>
      </c>
      <c r="G299">
        <f>AVERAGE('R1'!N299,'R2'!N299,'R3'!N299)</f>
        <v>-2.3955099429337623</v>
      </c>
      <c r="H299">
        <f>AVERAGE('R1'!O299,'R2'!O299,'R3'!O299)</f>
        <v>-1.2495098813548919</v>
      </c>
      <c r="I299">
        <f t="shared" si="8"/>
        <v>4282.6957211111103</v>
      </c>
      <c r="K299">
        <f>_xlfn.STDEV.S('R1'!L299,'R2'!L299,'R3'!L299)</f>
        <v>3.4026036743584221E-3</v>
      </c>
      <c r="L299">
        <f>_xlfn.STDEV.S('R1'!M299,'R2'!M299,'R3'!M299)</f>
        <v>1.1716067035225474E-2</v>
      </c>
      <c r="M299">
        <f>_xlfn.STDEV.S('R1'!N299,'R2'!N299,'R3'!N299)</f>
        <v>6.0623426301273766E-3</v>
      </c>
      <c r="N299">
        <f>_xlfn.STDEV.S('R1'!O299,'R2'!O299,'R3'!O299)</f>
        <v>3.2922576900157085E-3</v>
      </c>
    </row>
    <row r="300" spans="1:14" x14ac:dyDescent="0.25">
      <c r="A300">
        <f>-'R1'!H300</f>
        <v>-4</v>
      </c>
      <c r="B300">
        <f>DEGREES(ATAN(-SIN(RADIANS(('R1'!I300)))/(COS(RADIANS(Sheet1!A300))*COS(RADIANS('R1'!I300)))))</f>
        <v>-44.069830293849904</v>
      </c>
      <c r="C300">
        <f>AVERAGE('R1'!J300,'R2'!J300,'R3'!J300)</f>
        <v>1.1633333333333331</v>
      </c>
      <c r="D300">
        <f>AVERAGE('R1'!K300,'R2'!K300,'R3'!K300)</f>
        <v>21.374036999999998</v>
      </c>
      <c r="E300">
        <f>AVERAGE('R1'!L300,'R2'!L300,'R3'!L300)</f>
        <v>-5.2726637347012399</v>
      </c>
      <c r="F300">
        <f>AVERAGE('R1'!M300,'R2'!M300,'R3'!M300)</f>
        <v>1.3566736528632861</v>
      </c>
      <c r="G300">
        <f>AVERAGE('R1'!N300,'R2'!N300,'R3'!N300)</f>
        <v>-3.7999309614323824</v>
      </c>
      <c r="H300">
        <f>AVERAGE('R1'!O300,'R2'!O300,'R3'!O300)</f>
        <v>-2.0014681284842335</v>
      </c>
      <c r="I300">
        <f t="shared" si="8"/>
        <v>4144.1882849999993</v>
      </c>
      <c r="K300">
        <f>_xlfn.STDEV.S('R1'!L300,'R2'!L300,'R3'!L300)</f>
        <v>6.323184607549613E-3</v>
      </c>
      <c r="L300">
        <f>_xlfn.STDEV.S('R1'!M300,'R2'!M300,'R3'!M300)</f>
        <v>1.2179782573782582E-2</v>
      </c>
      <c r="M300">
        <f>_xlfn.STDEV.S('R1'!N300,'R2'!N300,'R3'!N300)</f>
        <v>4.0460401032132902E-3</v>
      </c>
      <c r="N300">
        <f>_xlfn.STDEV.S('R1'!O300,'R2'!O300,'R3'!O300)</f>
        <v>5.1143903755570307E-3</v>
      </c>
    </row>
    <row r="301" spans="1:14" x14ac:dyDescent="0.25">
      <c r="A301">
        <f>-'R1'!H301</f>
        <v>-8</v>
      </c>
      <c r="B301">
        <f>DEGREES(ATAN(-SIN(RADIANS(('R1'!I301)))/(COS(RADIANS(Sheet1!A301))*COS(RADIANS('R1'!I301)))))</f>
        <v>44.280037446618948</v>
      </c>
      <c r="C301">
        <f>AVERAGE('R1'!J301,'R2'!J301,'R3'!J301)</f>
        <v>1.1633333333333331</v>
      </c>
      <c r="D301">
        <f>AVERAGE('R1'!K301,'R2'!K301,'R3'!K301)</f>
        <v>21.825792833333335</v>
      </c>
      <c r="E301">
        <f>AVERAGE('R1'!L301,'R2'!L301,'R3'!L301)</f>
        <v>2.8423058031306461</v>
      </c>
      <c r="F301">
        <f>AVERAGE('R1'!M301,'R2'!M301,'R3'!M301)</f>
        <v>0.82851934864189536</v>
      </c>
      <c r="G301">
        <f>AVERAGE('R1'!N301,'R2'!N301,'R3'!N301)</f>
        <v>-1.5342082086574713</v>
      </c>
      <c r="H301">
        <f>AVERAGE('R1'!O301,'R2'!O301,'R3'!O301)</f>
        <v>-1.0726817566134608</v>
      </c>
      <c r="I301">
        <f t="shared" si="8"/>
        <v>4231.7787215740736</v>
      </c>
      <c r="K301">
        <f>_xlfn.STDEV.S('R1'!L301,'R2'!L301,'R3'!L301)</f>
        <v>5.5744074140361916E-3</v>
      </c>
      <c r="L301">
        <f>_xlfn.STDEV.S('R1'!M301,'R2'!M301,'R3'!M301)</f>
        <v>7.6306690051189518E-3</v>
      </c>
      <c r="M301">
        <f>_xlfn.STDEV.S('R1'!N301,'R2'!N301,'R3'!N301)</f>
        <v>2.1781380972584847E-3</v>
      </c>
      <c r="N301">
        <f>_xlfn.STDEV.S('R1'!O301,'R2'!O301,'R3'!O301)</f>
        <v>2.8763441709786426E-3</v>
      </c>
    </row>
    <row r="302" spans="1:14" x14ac:dyDescent="0.25">
      <c r="A302">
        <f>-'R1'!H302</f>
        <v>-8</v>
      </c>
      <c r="B302">
        <f>DEGREES(ATAN(-SIN(RADIANS(('R1'!I302)))/(COS(RADIANS(Sheet1!A302))*COS(RADIANS('R1'!I302)))))</f>
        <v>40.276138588852518</v>
      </c>
      <c r="C302">
        <f>AVERAGE('R1'!J302,'R2'!J302,'R3'!J302)</f>
        <v>1.1633333333333331</v>
      </c>
      <c r="D302">
        <f>AVERAGE('R1'!K302,'R2'!K302,'R3'!K302)</f>
        <v>22.457635</v>
      </c>
      <c r="E302">
        <f>AVERAGE('R1'!L302,'R2'!L302,'R3'!L302)</f>
        <v>2.4604525993357584</v>
      </c>
      <c r="F302">
        <f>AVERAGE('R1'!M302,'R2'!M302,'R3'!M302)</f>
        <v>0.74417825638328983</v>
      </c>
      <c r="G302">
        <f>AVERAGE('R1'!N302,'R2'!N302,'R3'!N302)</f>
        <v>-1.1640341181858076</v>
      </c>
      <c r="H302">
        <f>AVERAGE('R1'!O302,'R2'!O302,'R3'!O302)</f>
        <v>-0.80440905131193252</v>
      </c>
      <c r="I302">
        <f t="shared" si="8"/>
        <v>4354.285897222222</v>
      </c>
      <c r="K302">
        <f>_xlfn.STDEV.S('R1'!L302,'R2'!L302,'R3'!L302)</f>
        <v>7.1652265938896061E-3</v>
      </c>
      <c r="L302">
        <f>_xlfn.STDEV.S('R1'!M302,'R2'!M302,'R3'!M302)</f>
        <v>7.2307641660873745E-3</v>
      </c>
      <c r="M302">
        <f>_xlfn.STDEV.S('R1'!N302,'R2'!N302,'R3'!N302)</f>
        <v>5.3048025269182009E-3</v>
      </c>
      <c r="N302">
        <f>_xlfn.STDEV.S('R1'!O302,'R2'!O302,'R3'!O302)</f>
        <v>4.1970518624767517E-3</v>
      </c>
    </row>
    <row r="303" spans="1:14" x14ac:dyDescent="0.25">
      <c r="A303">
        <f>-'R1'!H303</f>
        <v>-8</v>
      </c>
      <c r="B303">
        <f>DEGREES(ATAN(-SIN(RADIANS(('R1'!I303)))/(COS(RADIANS(Sheet1!A303))*COS(RADIANS('R1'!I303)))))</f>
        <v>36.2668517150396</v>
      </c>
      <c r="C303">
        <f>AVERAGE('R1'!J303,'R2'!J303,'R3'!J303)</f>
        <v>1.1633333333333331</v>
      </c>
      <c r="D303">
        <f>AVERAGE('R1'!K303,'R2'!K303,'R3'!K303)</f>
        <v>22.985535583333334</v>
      </c>
      <c r="E303">
        <f>AVERAGE('R1'!L303,'R2'!L303,'R3'!L303)</f>
        <v>2.1517618298537644</v>
      </c>
      <c r="F303">
        <f>AVERAGE('R1'!M303,'R2'!M303,'R3'!M303)</f>
        <v>0.68183182531259323</v>
      </c>
      <c r="G303">
        <f>AVERAGE('R1'!N303,'R2'!N303,'R3'!N303)</f>
        <v>-0.88344246899253565</v>
      </c>
      <c r="H303">
        <f>AVERAGE('R1'!O303,'R2'!O303,'R3'!O303)</f>
        <v>-0.57773048162335705</v>
      </c>
      <c r="I303">
        <f t="shared" si="8"/>
        <v>4456.6399547685178</v>
      </c>
      <c r="K303">
        <f>_xlfn.STDEV.S('R1'!L303,'R2'!L303,'R3'!L303)</f>
        <v>1.3720913177995692E-3</v>
      </c>
      <c r="L303">
        <f>_xlfn.STDEV.S('R1'!M303,'R2'!M303,'R3'!M303)</f>
        <v>4.54551819810516E-3</v>
      </c>
      <c r="M303">
        <f>_xlfn.STDEV.S('R1'!N303,'R2'!N303,'R3'!N303)</f>
        <v>3.2391205316179635E-3</v>
      </c>
      <c r="N303">
        <f>_xlfn.STDEV.S('R1'!O303,'R2'!O303,'R3'!O303)</f>
        <v>2.1696159322819319E-3</v>
      </c>
    </row>
    <row r="304" spans="1:14" x14ac:dyDescent="0.25">
      <c r="A304">
        <f>-'R1'!H304</f>
        <v>-8</v>
      </c>
      <c r="B304">
        <f>DEGREES(ATAN(-SIN(RADIANS(('R1'!I304)))/(COS(RADIANS(Sheet1!A304))*COS(RADIANS('R1'!I304)))))</f>
        <v>32.252347723135095</v>
      </c>
      <c r="C304">
        <f>AVERAGE('R1'!J304,'R2'!J304,'R3'!J304)</f>
        <v>1.1633333333333331</v>
      </c>
      <c r="D304">
        <f>AVERAGE('R1'!K304,'R2'!K304,'R3'!K304)</f>
        <v>23.450562416666667</v>
      </c>
      <c r="E304">
        <f>AVERAGE('R1'!L304,'R2'!L304,'R3'!L304)</f>
        <v>1.8884978688804033</v>
      </c>
      <c r="F304">
        <f>AVERAGE('R1'!M304,'R2'!M304,'R3'!M304)</f>
        <v>0.63364193737383034</v>
      </c>
      <c r="G304">
        <f>AVERAGE('R1'!N304,'R2'!N304,'R3'!N304)</f>
        <v>-0.66135167241666448</v>
      </c>
      <c r="H304">
        <f>AVERAGE('R1'!O304,'R2'!O304,'R3'!O304)</f>
        <v>-0.37329551236383929</v>
      </c>
      <c r="I304">
        <f t="shared" si="8"/>
        <v>4546.8034907870369</v>
      </c>
      <c r="K304">
        <f>_xlfn.STDEV.S('R1'!L304,'R2'!L304,'R3'!L304)</f>
        <v>3.8615564297998384E-3</v>
      </c>
      <c r="L304">
        <f>_xlfn.STDEV.S('R1'!M304,'R2'!M304,'R3'!M304)</f>
        <v>6.8362640364092407E-4</v>
      </c>
      <c r="M304">
        <f>_xlfn.STDEV.S('R1'!N304,'R2'!N304,'R3'!N304)</f>
        <v>2.2294464000555108E-3</v>
      </c>
      <c r="N304">
        <f>_xlfn.STDEV.S('R1'!O304,'R2'!O304,'R3'!O304)</f>
        <v>1.0430364498983798E-3</v>
      </c>
    </row>
    <row r="305" spans="1:14" x14ac:dyDescent="0.25">
      <c r="A305">
        <f>-'R1'!H305</f>
        <v>-8</v>
      </c>
      <c r="B305">
        <f>DEGREES(ATAN(-SIN(RADIANS(('R1'!I305)))/(COS(RADIANS(Sheet1!A305))*COS(RADIANS('R1'!I305)))))</f>
        <v>28.23290083045832</v>
      </c>
      <c r="C305">
        <f>AVERAGE('R1'!J305,'R2'!J305,'R3'!J305)</f>
        <v>1.1633333333333331</v>
      </c>
      <c r="D305">
        <f>AVERAGE('R1'!K305,'R2'!K305,'R3'!K305)</f>
        <v>23.902609666666667</v>
      </c>
      <c r="E305">
        <f>AVERAGE('R1'!L305,'R2'!L305,'R3'!L305)</f>
        <v>1.6632765460367331</v>
      </c>
      <c r="F305">
        <f>AVERAGE('R1'!M305,'R2'!M305,'R3'!M305)</f>
        <v>0.58789905606142911</v>
      </c>
      <c r="G305">
        <f>AVERAGE('R1'!N305,'R2'!N305,'R3'!N305)</f>
        <v>-0.48583795176419614</v>
      </c>
      <c r="H305">
        <f>AVERAGE('R1'!O305,'R2'!O305,'R3'!O305)</f>
        <v>-0.18523854322512576</v>
      </c>
      <c r="I305">
        <f t="shared" si="8"/>
        <v>4634.450429814814</v>
      </c>
      <c r="K305">
        <f>_xlfn.STDEV.S('R1'!L305,'R2'!L305,'R3'!L305)</f>
        <v>4.7973919452488686E-3</v>
      </c>
      <c r="L305">
        <f>_xlfn.STDEV.S('R1'!M305,'R2'!M305,'R3'!M305)</f>
        <v>9.4471077146970179E-4</v>
      </c>
      <c r="M305">
        <f>_xlfn.STDEV.S('R1'!N305,'R2'!N305,'R3'!N305)</f>
        <v>6.1051288560610159E-3</v>
      </c>
      <c r="N305">
        <f>_xlfn.STDEV.S('R1'!O305,'R2'!O305,'R3'!O305)</f>
        <v>4.4086465175835962E-3</v>
      </c>
    </row>
    <row r="306" spans="1:14" x14ac:dyDescent="0.25">
      <c r="A306">
        <f>-'R1'!H306</f>
        <v>-8</v>
      </c>
      <c r="B306">
        <f>DEGREES(ATAN(-SIN(RADIANS(('R1'!I306)))/(COS(RADIANS(Sheet1!A306))*COS(RADIANS('R1'!I306)))))</f>
        <v>24.208883875277589</v>
      </c>
      <c r="C306">
        <f>AVERAGE('R1'!J306,'R2'!J306,'R3'!J306)</f>
        <v>1.1633333333333331</v>
      </c>
      <c r="D306">
        <f>AVERAGE('R1'!K306,'R2'!K306,'R3'!K306)</f>
        <v>23.704320749999997</v>
      </c>
      <c r="E306">
        <f>AVERAGE('R1'!L306,'R2'!L306,'R3'!L306)</f>
        <v>1.4620724176832531</v>
      </c>
      <c r="F306">
        <f>AVERAGE('R1'!M306,'R2'!M306,'R3'!M306)</f>
        <v>0.53969988793829848</v>
      </c>
      <c r="G306">
        <f>AVERAGE('R1'!N306,'R2'!N306,'R3'!N306)</f>
        <v>-0.34542447598102499</v>
      </c>
      <c r="H306">
        <f>AVERAGE('R1'!O306,'R2'!O306,'R3'!O306)</f>
        <v>-3.658765997538678E-3</v>
      </c>
      <c r="I306">
        <f t="shared" si="8"/>
        <v>4596.0044120833318</v>
      </c>
      <c r="K306">
        <f>_xlfn.STDEV.S('R1'!L306,'R2'!L306,'R3'!L306)</f>
        <v>8.5826673408406068E-4</v>
      </c>
      <c r="L306">
        <f>_xlfn.STDEV.S('R1'!M306,'R2'!M306,'R3'!M306)</f>
        <v>6.6469911799987525E-3</v>
      </c>
      <c r="M306">
        <f>_xlfn.STDEV.S('R1'!N306,'R2'!N306,'R3'!N306)</f>
        <v>6.9271441979838321E-4</v>
      </c>
      <c r="N306">
        <f>_xlfn.STDEV.S('R1'!O306,'R2'!O306,'R3'!O306)</f>
        <v>2.3987031248138501E-3</v>
      </c>
    </row>
    <row r="307" spans="1:14" x14ac:dyDescent="0.25">
      <c r="A307">
        <f>-'R1'!H307</f>
        <v>-8</v>
      </c>
      <c r="B307">
        <f>DEGREES(ATAN(-SIN(RADIANS(('R1'!I307)))/(COS(RADIANS(Sheet1!A307))*COS(RADIANS('R1'!I307)))))</f>
        <v>20.180761513231211</v>
      </c>
      <c r="C307">
        <f>AVERAGE('R1'!J307,'R2'!J307,'R3'!J307)</f>
        <v>1.1633333333333331</v>
      </c>
      <c r="D307">
        <f>AVERAGE('R1'!K307,'R2'!K307,'R3'!K307)</f>
        <v>22.761450666666672</v>
      </c>
      <c r="E307">
        <f>AVERAGE('R1'!L307,'R2'!L307,'R3'!L307)</f>
        <v>1.2544496730686461</v>
      </c>
      <c r="F307">
        <f>AVERAGE('R1'!M307,'R2'!M307,'R3'!M307)</f>
        <v>0.52652816248922307</v>
      </c>
      <c r="G307">
        <f>AVERAGE('R1'!N307,'R2'!N307,'R3'!N307)</f>
        <v>-0.2354498540985388</v>
      </c>
      <c r="H307">
        <f>AVERAGE('R1'!O307,'R2'!O307,'R3'!O307)</f>
        <v>0.17462892398226429</v>
      </c>
      <c r="I307">
        <f t="shared" si="8"/>
        <v>4413.1923792592597</v>
      </c>
      <c r="K307">
        <f>_xlfn.STDEV.S('R1'!L307,'R2'!L307,'R3'!L307)</f>
        <v>1.7533509061685689E-3</v>
      </c>
      <c r="L307">
        <f>_xlfn.STDEV.S('R1'!M307,'R2'!M307,'R3'!M307)</f>
        <v>6.0578576532356876E-3</v>
      </c>
      <c r="M307">
        <f>_xlfn.STDEV.S('R1'!N307,'R2'!N307,'R3'!N307)</f>
        <v>2.3777265113718708E-3</v>
      </c>
      <c r="N307">
        <f>_xlfn.STDEV.S('R1'!O307,'R2'!O307,'R3'!O307)</f>
        <v>3.0255143210243269E-3</v>
      </c>
    </row>
    <row r="308" spans="1:14" x14ac:dyDescent="0.25">
      <c r="A308">
        <f>-'R1'!H308</f>
        <v>-8</v>
      </c>
      <c r="B308">
        <f>DEGREES(ATAN(-SIN(RADIANS(('R1'!I308)))/(COS(RADIANS(Sheet1!A308))*COS(RADIANS('R1'!I308)))))</f>
        <v>16.149081403494897</v>
      </c>
      <c r="C308">
        <f>AVERAGE('R1'!J308,'R2'!J308,'R3'!J308)</f>
        <v>1.1633333333333331</v>
      </c>
      <c r="D308">
        <f>AVERAGE('R1'!K308,'R2'!K308,'R3'!K308)</f>
        <v>21.966330916666667</v>
      </c>
      <c r="E308">
        <f>AVERAGE('R1'!L308,'R2'!L308,'R3'!L308)</f>
        <v>1.0319501007967826</v>
      </c>
      <c r="F308">
        <f>AVERAGE('R1'!M308,'R2'!M308,'R3'!M308)</f>
        <v>0.5390846937213043</v>
      </c>
      <c r="G308">
        <f>AVERAGE('R1'!N308,'R2'!N308,'R3'!N308)</f>
        <v>-0.14614750267941365</v>
      </c>
      <c r="H308">
        <f>AVERAGE('R1'!O308,'R2'!O308,'R3'!O308)</f>
        <v>0.33540440150002748</v>
      </c>
      <c r="I308">
        <f t="shared" si="8"/>
        <v>4259.0274943981476</v>
      </c>
      <c r="K308">
        <f>_xlfn.STDEV.S('R1'!L308,'R2'!L308,'R3'!L308)</f>
        <v>3.957588915570456E-3</v>
      </c>
      <c r="L308">
        <f>_xlfn.STDEV.S('R1'!M308,'R2'!M308,'R3'!M308)</f>
        <v>6.5390817160431393E-3</v>
      </c>
      <c r="M308">
        <f>_xlfn.STDEV.S('R1'!N308,'R2'!N308,'R3'!N308)</f>
        <v>3.1954864533981328E-3</v>
      </c>
      <c r="N308">
        <f>_xlfn.STDEV.S('R1'!O308,'R2'!O308,'R3'!O308)</f>
        <v>5.2533986897390838E-3</v>
      </c>
    </row>
    <row r="309" spans="1:14" x14ac:dyDescent="0.25">
      <c r="A309">
        <f>-'R1'!H309</f>
        <v>-8</v>
      </c>
      <c r="B309">
        <f>DEGREES(ATAN(-SIN(RADIANS(('R1'!I309)))/(COS(RADIANS(Sheet1!A309))*COS(RADIANS('R1'!I309)))))</f>
        <v>12.114463536188838</v>
      </c>
      <c r="C309">
        <f>AVERAGE('R1'!J309,'R2'!J309,'R3'!J309)</f>
        <v>1.1633333333333331</v>
      </c>
      <c r="D309">
        <f>AVERAGE('R1'!K309,'R2'!K309,'R3'!K309)</f>
        <v>21.280164249999999</v>
      </c>
      <c r="E309">
        <f>AVERAGE('R1'!L309,'R2'!L309,'R3'!L309)</f>
        <v>0.79530754448601071</v>
      </c>
      <c r="F309">
        <f>AVERAGE('R1'!M309,'R2'!M309,'R3'!M309)</f>
        <v>0.57911390155834619</v>
      </c>
      <c r="G309">
        <f>AVERAGE('R1'!N309,'R2'!N309,'R3'!N309)</f>
        <v>-8.4806873869316804E-2</v>
      </c>
      <c r="H309">
        <f>AVERAGE('R1'!O309,'R2'!O309,'R3'!O309)</f>
        <v>0.48487958003972292</v>
      </c>
      <c r="I309">
        <f t="shared" si="8"/>
        <v>4125.9874018055543</v>
      </c>
      <c r="K309">
        <f>_xlfn.STDEV.S('R1'!L309,'R2'!L309,'R3'!L309)</f>
        <v>2.4134603304645243E-3</v>
      </c>
      <c r="L309">
        <f>_xlfn.STDEV.S('R1'!M309,'R2'!M309,'R3'!M309)</f>
        <v>4.3866415386368714E-3</v>
      </c>
      <c r="M309">
        <f>_xlfn.STDEV.S('R1'!N309,'R2'!N309,'R3'!N309)</f>
        <v>2.0598911231855892E-3</v>
      </c>
      <c r="N309">
        <f>_xlfn.STDEV.S('R1'!O309,'R2'!O309,'R3'!O309)</f>
        <v>3.5062374268825611E-3</v>
      </c>
    </row>
    <row r="310" spans="1:14" x14ac:dyDescent="0.25">
      <c r="A310">
        <f>-'R1'!H310</f>
        <v>-8</v>
      </c>
      <c r="B310">
        <f>DEGREES(ATAN(-SIN(RADIANS(('R1'!I310)))/(COS(RADIANS(Sheet1!A310))*COS(RADIANS('R1'!I310)))))</f>
        <v>8.0775879081011936</v>
      </c>
      <c r="C310">
        <f>AVERAGE('R1'!J310,'R2'!J310,'R3'!J310)</f>
        <v>1.1633333333333331</v>
      </c>
      <c r="D310">
        <f>AVERAGE('R1'!K310,'R2'!K310,'R3'!K310)</f>
        <v>21.695897416666668</v>
      </c>
      <c r="E310">
        <f>AVERAGE('R1'!L310,'R2'!L310,'R3'!L310)</f>
        <v>0.5320707651285832</v>
      </c>
      <c r="F310">
        <f>AVERAGE('R1'!M310,'R2'!M310,'R3'!M310)</f>
        <v>0.64968243052036767</v>
      </c>
      <c r="G310">
        <f>AVERAGE('R1'!N310,'R2'!N310,'R3'!N310)</f>
        <v>-5.0968962199400981E-2</v>
      </c>
      <c r="H310">
        <f>AVERAGE('R1'!O310,'R2'!O310,'R3'!O310)</f>
        <v>0.62071353821377684</v>
      </c>
      <c r="I310">
        <f t="shared" si="8"/>
        <v>4206.5934435648142</v>
      </c>
      <c r="K310">
        <f>_xlfn.STDEV.S('R1'!L310,'R2'!L310,'R3'!L310)</f>
        <v>3.6727547385241497E-3</v>
      </c>
      <c r="L310">
        <f>_xlfn.STDEV.S('R1'!M310,'R2'!M310,'R3'!M310)</f>
        <v>8.4420371978414371E-3</v>
      </c>
      <c r="M310">
        <f>_xlfn.STDEV.S('R1'!N310,'R2'!N310,'R3'!N310)</f>
        <v>2.7193162555776422E-3</v>
      </c>
      <c r="N310">
        <f>_xlfn.STDEV.S('R1'!O310,'R2'!O310,'R3'!O310)</f>
        <v>4.3273100090110211E-3</v>
      </c>
    </row>
    <row r="311" spans="1:14" x14ac:dyDescent="0.25">
      <c r="A311">
        <f>-'R1'!H311</f>
        <v>-8</v>
      </c>
      <c r="B311">
        <f>DEGREES(ATAN(-SIN(RADIANS(('R1'!I311)))/(COS(RADIANS(Sheet1!A311))*COS(RADIANS('R1'!I311)))))</f>
        <v>4.0391808057079874</v>
      </c>
      <c r="C311">
        <f>AVERAGE('R1'!J311,'R2'!J311,'R3'!J311)</f>
        <v>1.1633333333333331</v>
      </c>
      <c r="D311">
        <f>AVERAGE('R1'!K311,'R2'!K311,'R3'!K311)</f>
        <v>22.341428500000003</v>
      </c>
      <c r="E311">
        <f>AVERAGE('R1'!L311,'R2'!L311,'R3'!L311)</f>
        <v>0.25177134409238228</v>
      </c>
      <c r="F311">
        <f>AVERAGE('R1'!M311,'R2'!M311,'R3'!M311)</f>
        <v>0.71619093330200012</v>
      </c>
      <c r="G311">
        <f>AVERAGE('R1'!N311,'R2'!N311,'R3'!N311)</f>
        <v>-3.2308467133802754E-2</v>
      </c>
      <c r="H311">
        <f>AVERAGE('R1'!O311,'R2'!O311,'R3'!O311)</f>
        <v>0.74263121419883904</v>
      </c>
      <c r="I311">
        <f t="shared" si="8"/>
        <v>4331.754748055555</v>
      </c>
      <c r="K311">
        <f>_xlfn.STDEV.S('R1'!L311,'R2'!L311,'R3'!L311)</f>
        <v>8.9924944559401903E-3</v>
      </c>
      <c r="L311">
        <f>_xlfn.STDEV.S('R1'!M311,'R2'!M311,'R3'!M311)</f>
        <v>1.2214997139737022E-2</v>
      </c>
      <c r="M311">
        <f>_xlfn.STDEV.S('R1'!N311,'R2'!N311,'R3'!N311)</f>
        <v>2.9112088773650927E-3</v>
      </c>
      <c r="N311">
        <f>_xlfn.STDEV.S('R1'!O311,'R2'!O311,'R3'!O311)</f>
        <v>1.6104658915879989E-3</v>
      </c>
    </row>
    <row r="312" spans="1:14" x14ac:dyDescent="0.25">
      <c r="A312">
        <f>-'R1'!H312</f>
        <v>-8</v>
      </c>
      <c r="B312">
        <f>DEGREES(ATAN(-SIN(RADIANS(('R1'!I312)))/(COS(RADIANS(Sheet1!A312))*COS(RADIANS('R1'!I312)))))</f>
        <v>0</v>
      </c>
      <c r="C312">
        <f>AVERAGE('R1'!J312,'R2'!J312,'R3'!J312)</f>
        <v>1.1633333333333331</v>
      </c>
      <c r="D312">
        <f>AVERAGE('R1'!K312,'R2'!K312,'R3'!K312)</f>
        <v>22.888255416666667</v>
      </c>
      <c r="E312">
        <f>AVERAGE('R1'!L312,'R2'!L312,'R3'!L312)</f>
        <v>-6.2985392791269232E-2</v>
      </c>
      <c r="F312">
        <f>AVERAGE('R1'!M312,'R2'!M312,'R3'!M312)</f>
        <v>0.75745776347226501</v>
      </c>
      <c r="G312">
        <f>AVERAGE('R1'!N312,'R2'!N312,'R3'!N312)</f>
        <v>-2.7768248524922431E-2</v>
      </c>
      <c r="H312">
        <f>AVERAGE('R1'!O312,'R2'!O312,'R3'!O312)</f>
        <v>0.81771695847221293</v>
      </c>
      <c r="I312">
        <f t="shared" si="8"/>
        <v>4437.7784113425914</v>
      </c>
      <c r="K312">
        <f>_xlfn.STDEV.S('R1'!L312,'R2'!L312,'R3'!L312)</f>
        <v>6.3904232347404017E-3</v>
      </c>
      <c r="L312">
        <f>_xlfn.STDEV.S('R1'!M312,'R2'!M312,'R3'!M312)</f>
        <v>9.2369546689569839E-3</v>
      </c>
      <c r="M312">
        <f>_xlfn.STDEV.S('R1'!N312,'R2'!N312,'R3'!N312)</f>
        <v>3.1375268731545169E-3</v>
      </c>
      <c r="N312">
        <f>_xlfn.STDEV.S('R1'!O312,'R2'!O312,'R3'!O312)</f>
        <v>4.1476627422085298E-3</v>
      </c>
    </row>
    <row r="313" spans="1:14" x14ac:dyDescent="0.25">
      <c r="A313">
        <f>-'R1'!H313</f>
        <v>-8</v>
      </c>
      <c r="B313">
        <f>DEGREES(ATAN(-SIN(RADIANS(('R1'!I313)))/(COS(RADIANS(Sheet1!A313))*COS(RADIANS('R1'!I313)))))</f>
        <v>-4.0391808057079874</v>
      </c>
      <c r="C313">
        <f>AVERAGE('R1'!J313,'R2'!J313,'R3'!J313)</f>
        <v>1.1633333333333331</v>
      </c>
      <c r="D313">
        <f>AVERAGE('R1'!K313,'R2'!K313,'R3'!K313)</f>
        <v>23.391324749999999</v>
      </c>
      <c r="E313">
        <f>AVERAGE('R1'!L313,'R2'!L313,'R3'!L313)</f>
        <v>-0.3696084978802035</v>
      </c>
      <c r="F313">
        <f>AVERAGE('R1'!M313,'R2'!M313,'R3'!M313)</f>
        <v>0.68877153223041054</v>
      </c>
      <c r="G313">
        <f>AVERAGE('R1'!N313,'R2'!N313,'R3'!N313)</f>
        <v>-3.7481071631461957E-2</v>
      </c>
      <c r="H313">
        <f>AVERAGE('R1'!O313,'R2'!O313,'R3'!O313)</f>
        <v>0.68225683043427676</v>
      </c>
      <c r="I313">
        <f t="shared" si="8"/>
        <v>4535.3179654166652</v>
      </c>
      <c r="K313">
        <f>_xlfn.STDEV.S('R1'!L313,'R2'!L313,'R3'!L313)</f>
        <v>2.627283419965131E-3</v>
      </c>
      <c r="L313">
        <f>_xlfn.STDEV.S('R1'!M313,'R2'!M313,'R3'!M313)</f>
        <v>4.0424602160264063E-3</v>
      </c>
      <c r="M313">
        <f>_xlfn.STDEV.S('R1'!N313,'R2'!N313,'R3'!N313)</f>
        <v>5.6588181903011346E-3</v>
      </c>
      <c r="N313">
        <f>_xlfn.STDEV.S('R1'!O313,'R2'!O313,'R3'!O313)</f>
        <v>5.8063991127656565E-3</v>
      </c>
    </row>
    <row r="314" spans="1:14" x14ac:dyDescent="0.25">
      <c r="A314">
        <f>-'R1'!H314</f>
        <v>-8</v>
      </c>
      <c r="B314">
        <f>DEGREES(ATAN(-SIN(RADIANS(('R1'!I314)))/(COS(RADIANS(Sheet1!A314))*COS(RADIANS('R1'!I314)))))</f>
        <v>-8.0775879081011936</v>
      </c>
      <c r="C314">
        <f>AVERAGE('R1'!J314,'R2'!J314,'R3'!J314)</f>
        <v>1.1633333333333331</v>
      </c>
      <c r="D314">
        <f>AVERAGE('R1'!K314,'R2'!K314,'R3'!K314)</f>
        <v>23.744853666666668</v>
      </c>
      <c r="E314">
        <f>AVERAGE('R1'!L314,'R2'!L314,'R3'!L314)</f>
        <v>-0.64553419840500748</v>
      </c>
      <c r="F314">
        <f>AVERAGE('R1'!M314,'R2'!M314,'R3'!M314)</f>
        <v>0.63514662506235309</v>
      </c>
      <c r="G314">
        <f>AVERAGE('R1'!N314,'R2'!N314,'R3'!N314)</f>
        <v>-6.5454802463903283E-2</v>
      </c>
      <c r="H314">
        <f>AVERAGE('R1'!O314,'R2'!O314,'R3'!O314)</f>
        <v>0.54853198856706831</v>
      </c>
      <c r="I314">
        <f t="shared" si="8"/>
        <v>4603.8632942592585</v>
      </c>
      <c r="K314">
        <f>_xlfn.STDEV.S('R1'!L314,'R2'!L314,'R3'!L314)</f>
        <v>1.6502655424976815E-3</v>
      </c>
      <c r="L314">
        <f>_xlfn.STDEV.S('R1'!M314,'R2'!M314,'R3'!M314)</f>
        <v>6.30852774197744E-3</v>
      </c>
      <c r="M314">
        <f>_xlfn.STDEV.S('R1'!N314,'R2'!N314,'R3'!N314)</f>
        <v>1.3488428793768485E-3</v>
      </c>
      <c r="N314">
        <f>_xlfn.STDEV.S('R1'!O314,'R2'!O314,'R3'!O314)</f>
        <v>3.0576677542719873E-3</v>
      </c>
    </row>
    <row r="315" spans="1:14" x14ac:dyDescent="0.25">
      <c r="A315">
        <f>-'R1'!H315</f>
        <v>-8</v>
      </c>
      <c r="B315">
        <f>DEGREES(ATAN(-SIN(RADIANS(('R1'!I315)))/(COS(RADIANS(Sheet1!A315))*COS(RADIANS('R1'!I315)))))</f>
        <v>-12.114463536188838</v>
      </c>
      <c r="C315">
        <f>AVERAGE('R1'!J315,'R2'!J315,'R3'!J315)</f>
        <v>1.1633333333333331</v>
      </c>
      <c r="D315">
        <f>AVERAGE('R1'!K315,'R2'!K315,'R3'!K315)</f>
        <v>23.564826333333333</v>
      </c>
      <c r="E315">
        <f>AVERAGE('R1'!L315,'R2'!L315,'R3'!L315)</f>
        <v>-0.90577013485078162</v>
      </c>
      <c r="F315">
        <f>AVERAGE('R1'!M315,'R2'!M315,'R3'!M315)</f>
        <v>0.58273872654748793</v>
      </c>
      <c r="G315">
        <f>AVERAGE('R1'!N315,'R2'!N315,'R3'!N315)</f>
        <v>-0.11729344604742536</v>
      </c>
      <c r="H315">
        <f>AVERAGE('R1'!O315,'R2'!O315,'R3'!O315)</f>
        <v>0.41511226619606728</v>
      </c>
      <c r="I315">
        <f t="shared" si="8"/>
        <v>4568.957994629629</v>
      </c>
      <c r="K315">
        <f>_xlfn.STDEV.S('R1'!L315,'R2'!L315,'R3'!L315)</f>
        <v>2.8666594553702113E-3</v>
      </c>
      <c r="L315">
        <f>_xlfn.STDEV.S('R1'!M315,'R2'!M315,'R3'!M315)</f>
        <v>5.8672695908100359E-3</v>
      </c>
      <c r="M315">
        <f>_xlfn.STDEV.S('R1'!N315,'R2'!N315,'R3'!N315)</f>
        <v>5.29552075755251E-3</v>
      </c>
      <c r="N315">
        <f>_xlfn.STDEV.S('R1'!O315,'R2'!O315,'R3'!O315)</f>
        <v>2.2303627940826009E-3</v>
      </c>
    </row>
    <row r="316" spans="1:14" x14ac:dyDescent="0.25">
      <c r="A316">
        <f>-'R1'!H316</f>
        <v>-8</v>
      </c>
      <c r="B316">
        <f>DEGREES(ATAN(-SIN(RADIANS(('R1'!I316)))/(COS(RADIANS(Sheet1!A316))*COS(RADIANS('R1'!I316)))))</f>
        <v>-16.149081403494897</v>
      </c>
      <c r="C316">
        <f>AVERAGE('R1'!J316,'R2'!J316,'R3'!J316)</f>
        <v>1.1633333333333331</v>
      </c>
      <c r="D316">
        <f>AVERAGE('R1'!K316,'R2'!K316,'R3'!K316)</f>
        <v>22.959809666666668</v>
      </c>
      <c r="E316">
        <f>AVERAGE('R1'!L316,'R2'!L316,'R3'!L316)</f>
        <v>-1.1461495010722074</v>
      </c>
      <c r="F316">
        <f>AVERAGE('R1'!M316,'R2'!M316,'R3'!M316)</f>
        <v>0.57572978462356827</v>
      </c>
      <c r="G316">
        <f>AVERAGE('R1'!N316,'R2'!N316,'R3'!N316)</f>
        <v>-0.20732796078948815</v>
      </c>
      <c r="H316">
        <f>AVERAGE('R1'!O316,'R2'!O316,'R3'!O316)</f>
        <v>0.26875805696414207</v>
      </c>
      <c r="I316">
        <f t="shared" si="8"/>
        <v>4451.6519853703703</v>
      </c>
      <c r="K316">
        <f>_xlfn.STDEV.S('R1'!L316,'R2'!L316,'R3'!L316)</f>
        <v>4.2718700316385092E-3</v>
      </c>
      <c r="L316">
        <f>_xlfn.STDEV.S('R1'!M316,'R2'!M316,'R3'!M316)</f>
        <v>8.884292231704739E-3</v>
      </c>
      <c r="M316">
        <f>_xlfn.STDEV.S('R1'!N316,'R2'!N316,'R3'!N316)</f>
        <v>2.8046884364194167E-3</v>
      </c>
      <c r="N316">
        <f>_xlfn.STDEV.S('R1'!O316,'R2'!O316,'R3'!O316)</f>
        <v>1.419484051701466E-3</v>
      </c>
    </row>
    <row r="317" spans="1:14" x14ac:dyDescent="0.25">
      <c r="A317">
        <f>-'R1'!H317</f>
        <v>-8</v>
      </c>
      <c r="B317">
        <f>DEGREES(ATAN(-SIN(RADIANS(('R1'!I317)))/(COS(RADIANS(Sheet1!A317))*COS(RADIANS('R1'!I317)))))</f>
        <v>-20.180761513231211</v>
      </c>
      <c r="C317">
        <f>AVERAGE('R1'!J317,'R2'!J317,'R3'!J317)</f>
        <v>1.1633333333333331</v>
      </c>
      <c r="D317">
        <f>AVERAGE('R1'!K317,'R2'!K317,'R3'!K317)</f>
        <v>22.093696583333337</v>
      </c>
      <c r="E317">
        <f>AVERAGE('R1'!L317,'R2'!L317,'R3'!L317)</f>
        <v>-1.3815376636758467</v>
      </c>
      <c r="F317">
        <f>AVERAGE('R1'!M317,'R2'!M317,'R3'!M317)</f>
        <v>0.60269508604928934</v>
      </c>
      <c r="G317">
        <f>AVERAGE('R1'!N317,'R2'!N317,'R3'!N317)</f>
        <v>-0.33582846298574204</v>
      </c>
      <c r="H317">
        <f>AVERAGE('R1'!O317,'R2'!O317,'R3'!O317)</f>
        <v>0.11391366676177567</v>
      </c>
      <c r="I317">
        <f t="shared" si="8"/>
        <v>4283.7222819907402</v>
      </c>
      <c r="K317">
        <f>_xlfn.STDEV.S('R1'!L317,'R2'!L317,'R3'!L317)</f>
        <v>5.7132311818721025E-3</v>
      </c>
      <c r="L317">
        <f>_xlfn.STDEV.S('R1'!M317,'R2'!M317,'R3'!M317)</f>
        <v>1.0318565796537628E-2</v>
      </c>
      <c r="M317">
        <f>_xlfn.STDEV.S('R1'!N317,'R2'!N317,'R3'!N317)</f>
        <v>3.8893133578261395E-3</v>
      </c>
      <c r="N317">
        <f>_xlfn.STDEV.S('R1'!O317,'R2'!O317,'R3'!O317)</f>
        <v>2.5305808788902927E-3</v>
      </c>
    </row>
    <row r="318" spans="1:14" x14ac:dyDescent="0.25">
      <c r="A318">
        <f>-'R1'!H318</f>
        <v>-8</v>
      </c>
      <c r="B318">
        <f>DEGREES(ATAN(-SIN(RADIANS(('R1'!I318)))/(COS(RADIANS(Sheet1!A318))*COS(RADIANS('R1'!I318)))))</f>
        <v>-24.208883875277589</v>
      </c>
      <c r="C318">
        <f>AVERAGE('R1'!J318,'R2'!J318,'R3'!J318)</f>
        <v>1.1633333333333331</v>
      </c>
      <c r="D318">
        <f>AVERAGE('R1'!K318,'R2'!K318,'R3'!K318)</f>
        <v>21.459700583333333</v>
      </c>
      <c r="E318">
        <f>AVERAGE('R1'!L318,'R2'!L318,'R3'!L318)</f>
        <v>-1.6084272349953503</v>
      </c>
      <c r="F318">
        <f>AVERAGE('R1'!M318,'R2'!M318,'R3'!M318)</f>
        <v>0.68805668189792824</v>
      </c>
      <c r="G318">
        <f>AVERAGE('R1'!N318,'R2'!N318,'R3'!N318)</f>
        <v>-0.50038689364778888</v>
      </c>
      <c r="H318">
        <f>AVERAGE('R1'!O318,'R2'!O318,'R3'!O318)</f>
        <v>-6.7284069496238039E-2</v>
      </c>
      <c r="I318">
        <f t="shared" si="8"/>
        <v>4160.7975019907399</v>
      </c>
      <c r="K318">
        <f>_xlfn.STDEV.S('R1'!L318,'R2'!L318,'R3'!L318)</f>
        <v>7.4156815328840541E-3</v>
      </c>
      <c r="L318">
        <f>_xlfn.STDEV.S('R1'!M318,'R2'!M318,'R3'!M318)</f>
        <v>2.3302024734230689E-3</v>
      </c>
      <c r="M318">
        <f>_xlfn.STDEV.S('R1'!N318,'R2'!N318,'R3'!N318)</f>
        <v>5.3405678826512603E-3</v>
      </c>
      <c r="N318">
        <f>_xlfn.STDEV.S('R1'!O318,'R2'!O318,'R3'!O318)</f>
        <v>3.9569571983522796E-3</v>
      </c>
    </row>
    <row r="319" spans="1:14" x14ac:dyDescent="0.25">
      <c r="A319">
        <f>-'R1'!H319</f>
        <v>-8</v>
      </c>
      <c r="B319">
        <f>DEGREES(ATAN(-SIN(RADIANS(('R1'!I319)))/(COS(RADIANS(Sheet1!A319))*COS(RADIANS('R1'!I319)))))</f>
        <v>-28.23290083045832</v>
      </c>
      <c r="C319">
        <f>AVERAGE('R1'!J319,'R2'!J319,'R3'!J319)</f>
        <v>1.1633333333333331</v>
      </c>
      <c r="D319">
        <f>AVERAGE('R1'!K319,'R2'!K319,'R3'!K319)</f>
        <v>21.648949083333335</v>
      </c>
      <c r="E319">
        <f>AVERAGE('R1'!L319,'R2'!L319,'R3'!L319)</f>
        <v>-1.8508317983218958</v>
      </c>
      <c r="F319">
        <f>AVERAGE('R1'!M319,'R2'!M319,'R3'!M319)</f>
        <v>0.81345747862356144</v>
      </c>
      <c r="G319">
        <f>AVERAGE('R1'!N319,'R2'!N319,'R3'!N319)</f>
        <v>-0.71454199046028644</v>
      </c>
      <c r="H319">
        <f>AVERAGE('R1'!O319,'R2'!O319,'R3'!O319)</f>
        <v>-0.28259075387430804</v>
      </c>
      <c r="I319">
        <f t="shared" si="8"/>
        <v>4197.4906833796285</v>
      </c>
      <c r="K319">
        <f>_xlfn.STDEV.S('R1'!L319,'R2'!L319,'R3'!L319)</f>
        <v>3.5372483519216197E-3</v>
      </c>
      <c r="L319">
        <f>_xlfn.STDEV.S('R1'!M319,'R2'!M319,'R3'!M319)</f>
        <v>8.8281245645521339E-3</v>
      </c>
      <c r="M319">
        <f>_xlfn.STDEV.S('R1'!N319,'R2'!N319,'R3'!N319)</f>
        <v>3.9266562213372313E-3</v>
      </c>
      <c r="N319">
        <f>_xlfn.STDEV.S('R1'!O319,'R2'!O319,'R3'!O319)</f>
        <v>5.2227315218765654E-4</v>
      </c>
    </row>
    <row r="320" spans="1:14" x14ac:dyDescent="0.25">
      <c r="A320">
        <f>-'R1'!H320</f>
        <v>-8</v>
      </c>
      <c r="B320">
        <f>DEGREES(ATAN(-SIN(RADIANS(('R1'!I320)))/(COS(RADIANS(Sheet1!A320))*COS(RADIANS('R1'!I320)))))</f>
        <v>-32.252347723135095</v>
      </c>
      <c r="C320">
        <f>AVERAGE('R1'!J320,'R2'!J320,'R3'!J320)</f>
        <v>1.1633333333333331</v>
      </c>
      <c r="D320">
        <f>AVERAGE('R1'!K320,'R2'!K320,'R3'!K320)</f>
        <v>22.225501583333337</v>
      </c>
      <c r="E320">
        <f>AVERAGE('R1'!L320,'R2'!L320,'R3'!L320)</f>
        <v>-2.1663751256450503</v>
      </c>
      <c r="F320">
        <f>AVERAGE('R1'!M320,'R2'!M320,'R3'!M320)</f>
        <v>0.96018214928543644</v>
      </c>
      <c r="G320">
        <f>AVERAGE('R1'!N320,'R2'!N320,'R3'!N320)</f>
        <v>-1.0121024258945222</v>
      </c>
      <c r="H320">
        <f>AVERAGE('R1'!O320,'R2'!O320,'R3'!O320)</f>
        <v>-0.52559740759396745</v>
      </c>
      <c r="I320">
        <f t="shared" si="8"/>
        <v>4309.2778069907399</v>
      </c>
      <c r="K320">
        <f>_xlfn.STDEV.S('R1'!L320,'R2'!L320,'R3'!L320)</f>
        <v>1.3506887899004493E-2</v>
      </c>
      <c r="L320">
        <f>_xlfn.STDEV.S('R1'!M320,'R2'!M320,'R3'!M320)</f>
        <v>7.0220361781034779E-3</v>
      </c>
      <c r="M320">
        <f>_xlfn.STDEV.S('R1'!N320,'R2'!N320,'R3'!N320)</f>
        <v>9.6637894516841266E-3</v>
      </c>
      <c r="N320">
        <f>_xlfn.STDEV.S('R1'!O320,'R2'!O320,'R3'!O320)</f>
        <v>5.5257567484686817E-3</v>
      </c>
    </row>
    <row r="321" spans="1:14" x14ac:dyDescent="0.25">
      <c r="A321">
        <f>-'R1'!H321</f>
        <v>-8</v>
      </c>
      <c r="B321">
        <f>DEGREES(ATAN(-SIN(RADIANS(('R1'!I321)))/(COS(RADIANS(Sheet1!A321))*COS(RADIANS('R1'!I321)))))</f>
        <v>-36.2668517150396</v>
      </c>
      <c r="C321">
        <f>AVERAGE('R1'!J321,'R2'!J321,'R3'!J321)</f>
        <v>1.1633333333333331</v>
      </c>
      <c r="D321">
        <f>AVERAGE('R1'!K321,'R2'!K321,'R3'!K321)</f>
        <v>22.715292416666667</v>
      </c>
      <c r="E321">
        <f>AVERAGE('R1'!L321,'R2'!L321,'R3'!L321)</f>
        <v>-2.5967303248767259</v>
      </c>
      <c r="F321">
        <f>AVERAGE('R1'!M321,'R2'!M321,'R3'!M321)</f>
        <v>1.1530091210567386</v>
      </c>
      <c r="G321">
        <f>AVERAGE('R1'!N321,'R2'!N321,'R3'!N321)</f>
        <v>-1.4362420066608363</v>
      </c>
      <c r="H321">
        <f>AVERAGE('R1'!O321,'R2'!O321,'R3'!O321)</f>
        <v>-0.82194356934915158</v>
      </c>
      <c r="I321">
        <f t="shared" si="8"/>
        <v>4404.2428074537029</v>
      </c>
      <c r="K321">
        <f>_xlfn.STDEV.S('R1'!L321,'R2'!L321,'R3'!L321)</f>
        <v>2.3406151135893249E-3</v>
      </c>
      <c r="L321">
        <f>_xlfn.STDEV.S('R1'!M321,'R2'!M321,'R3'!M321)</f>
        <v>6.2656673605673997E-3</v>
      </c>
      <c r="M321">
        <f>_xlfn.STDEV.S('R1'!N321,'R2'!N321,'R3'!N321)</f>
        <v>4.9697032109693841E-3</v>
      </c>
      <c r="N321">
        <f>_xlfn.STDEV.S('R1'!O321,'R2'!O321,'R3'!O321)</f>
        <v>3.6758325265674689E-3</v>
      </c>
    </row>
    <row r="322" spans="1:14" x14ac:dyDescent="0.25">
      <c r="A322">
        <f>-'R1'!H322</f>
        <v>-8</v>
      </c>
      <c r="B322">
        <f>DEGREES(ATAN(-SIN(RADIANS(('R1'!I322)))/(COS(RADIANS(Sheet1!A322))*COS(RADIANS('R1'!I322)))))</f>
        <v>-40.276138588852518</v>
      </c>
      <c r="C322">
        <f>AVERAGE('R1'!J322,'R2'!J322,'R3'!J322)</f>
        <v>1.1633333333333331</v>
      </c>
      <c r="D322">
        <f>AVERAGE('R1'!K322,'R2'!K322,'R3'!K322)</f>
        <v>23.097770749999999</v>
      </c>
      <c r="E322">
        <f>AVERAGE('R1'!L322,'R2'!L322,'R3'!L322)</f>
        <v>-3.2163454988359219</v>
      </c>
      <c r="F322">
        <f>AVERAGE('R1'!M322,'R2'!M322,'R3'!M322)</f>
        <v>1.4048633814194098</v>
      </c>
      <c r="G322">
        <f>AVERAGE('R1'!N322,'R2'!N322,'R3'!N322)</f>
        <v>-2.0530507648726912</v>
      </c>
      <c r="H322">
        <f>AVERAGE('R1'!O322,'R2'!O322,'R3'!O322)</f>
        <v>-1.2184255099771619</v>
      </c>
      <c r="I322">
        <f t="shared" si="8"/>
        <v>4478.4011065277764</v>
      </c>
      <c r="K322">
        <f>_xlfn.STDEV.S('R1'!L322,'R2'!L322,'R3'!L322)</f>
        <v>1.8888952970371662E-2</v>
      </c>
      <c r="L322">
        <f>_xlfn.STDEV.S('R1'!M322,'R2'!M322,'R3'!M322)</f>
        <v>1.5082700417151634E-3</v>
      </c>
      <c r="M322">
        <f>_xlfn.STDEV.S('R1'!N322,'R2'!N322,'R3'!N322)</f>
        <v>2.0054110639162601E-2</v>
      </c>
      <c r="N322">
        <f>_xlfn.STDEV.S('R1'!O322,'R2'!O322,'R3'!O322)</f>
        <v>9.0562418765440141E-3</v>
      </c>
    </row>
    <row r="323" spans="1:14" x14ac:dyDescent="0.25">
      <c r="A323">
        <f>-'R1'!H323</f>
        <v>-8</v>
      </c>
      <c r="B323">
        <f>DEGREES(ATAN(-SIN(RADIANS(('R1'!I323)))/(COS(RADIANS(Sheet1!A323))*COS(RADIANS('R1'!I323)))))</f>
        <v>-44.280037446618948</v>
      </c>
      <c r="C323">
        <f>AVERAGE('R1'!J323,'R2'!J323,'R3'!J323)</f>
        <v>1.1633333333333331</v>
      </c>
      <c r="D323">
        <f>AVERAGE('R1'!K323,'R2'!K323,'R3'!K323)</f>
        <v>23.469730166666665</v>
      </c>
      <c r="E323">
        <f>AVERAGE('R1'!L323,'R2'!L323,'R3'!L323)</f>
        <v>-4.1943681048754744</v>
      </c>
      <c r="F323">
        <f>AVERAGE('R1'!M323,'R2'!M323,'R3'!M323)</f>
        <v>1.7968533447471351</v>
      </c>
      <c r="G323">
        <f>AVERAGE('R1'!N323,'R2'!N323,'R3'!N323)</f>
        <v>-3.0633780534226656</v>
      </c>
      <c r="H323">
        <f>AVERAGE('R1'!O323,'R2'!O323,'R3'!O323)</f>
        <v>-1.8214270559431993</v>
      </c>
      <c r="I323">
        <f t="shared" ref="I323:I386" si="9">10^5*C323*D323*0.003/1.8</f>
        <v>4550.5199045370355</v>
      </c>
      <c r="K323">
        <f>_xlfn.STDEV.S('R1'!L323,'R2'!L323,'R3'!L323)</f>
        <v>1.3806323484497956E-2</v>
      </c>
      <c r="L323">
        <f>_xlfn.STDEV.S('R1'!M323,'R2'!M323,'R3'!M323)</f>
        <v>1.8072226973960097E-2</v>
      </c>
      <c r="M323">
        <f>_xlfn.STDEV.S('R1'!N323,'R2'!N323,'R3'!N323)</f>
        <v>1.6996115844135653E-2</v>
      </c>
      <c r="N323">
        <f>_xlfn.STDEV.S('R1'!O323,'R2'!O323,'R3'!O323)</f>
        <v>6.5653571767728437E-3</v>
      </c>
    </row>
    <row r="324" spans="1:14" x14ac:dyDescent="0.25">
      <c r="A324">
        <f>-'R1'!H324</f>
        <v>-12</v>
      </c>
      <c r="B324">
        <f>DEGREES(ATAN(-SIN(RADIANS(('R1'!I324)))/(COS(RADIANS(Sheet1!A324))*COS(RADIANS('R1'!I324)))))</f>
        <v>44.632773428056808</v>
      </c>
      <c r="C324">
        <f>AVERAGE('R1'!J324,'R2'!J324,'R3'!J324)</f>
        <v>1.1633333333333331</v>
      </c>
      <c r="D324">
        <f>AVERAGE('R1'!K324,'R2'!K324,'R3'!K324)</f>
        <v>23.695162749999998</v>
      </c>
      <c r="E324">
        <f>AVERAGE('R1'!L324,'R2'!L324,'R3'!L324)</f>
        <v>2.5797043905553356</v>
      </c>
      <c r="F324">
        <f>AVERAGE('R1'!M324,'R2'!M324,'R3'!M324)</f>
        <v>1.1451574596679859</v>
      </c>
      <c r="G324">
        <f>AVERAGE('R1'!N324,'R2'!N324,'R3'!N324)</f>
        <v>-1.4404850565697014</v>
      </c>
      <c r="H324">
        <f>AVERAGE('R1'!O324,'R2'!O324,'R3'!O324)</f>
        <v>-1.1054366253287622</v>
      </c>
      <c r="I324">
        <f t="shared" si="9"/>
        <v>4594.2287776388885</v>
      </c>
      <c r="K324">
        <f>_xlfn.STDEV.S('R1'!L324,'R2'!L324,'R3'!L324)</f>
        <v>2.7112521600044159E-3</v>
      </c>
      <c r="L324">
        <f>_xlfn.STDEV.S('R1'!M324,'R2'!M324,'R3'!M324)</f>
        <v>5.3311715380141159E-3</v>
      </c>
      <c r="M324">
        <f>_xlfn.STDEV.S('R1'!N324,'R2'!N324,'R3'!N324)</f>
        <v>5.6050104653011783E-3</v>
      </c>
      <c r="N324">
        <f>_xlfn.STDEV.S('R1'!O324,'R2'!O324,'R3'!O324)</f>
        <v>1.5160307291354541E-3</v>
      </c>
    </row>
    <row r="325" spans="1:14" x14ac:dyDescent="0.25">
      <c r="A325">
        <f>-'R1'!H325</f>
        <v>-12</v>
      </c>
      <c r="B325">
        <f>DEGREES(ATAN(-SIN(RADIANS(('R1'!I325)))/(COS(RADIANS(Sheet1!A325))*COS(RADIANS('R1'!I325)))))</f>
        <v>40.624498244732152</v>
      </c>
      <c r="C325">
        <f>AVERAGE('R1'!J325,'R2'!J325,'R3'!J325)</f>
        <v>1.1633333333333331</v>
      </c>
      <c r="D325">
        <f>AVERAGE('R1'!K325,'R2'!K325,'R3'!K325)</f>
        <v>23.54228225</v>
      </c>
      <c r="E325">
        <f>AVERAGE('R1'!L325,'R2'!L325,'R3'!L325)</f>
        <v>2.2624318456535417</v>
      </c>
      <c r="F325">
        <f>AVERAGE('R1'!M325,'R2'!M325,'R3'!M325)</f>
        <v>1.0445794443976222</v>
      </c>
      <c r="G325">
        <f>AVERAGE('R1'!N325,'R2'!N325,'R3'!N325)</f>
        <v>-1.1141622525075825</v>
      </c>
      <c r="H325">
        <f>AVERAGE('R1'!O325,'R2'!O325,'R3'!O325)</f>
        <v>-0.85984518401829835</v>
      </c>
      <c r="I325">
        <f t="shared" si="9"/>
        <v>4564.586947361111</v>
      </c>
      <c r="K325">
        <f>_xlfn.STDEV.S('R1'!L325,'R2'!L325,'R3'!L325)</f>
        <v>9.8919199969734108E-3</v>
      </c>
      <c r="L325">
        <f>_xlfn.STDEV.S('R1'!M325,'R2'!M325,'R3'!M325)</f>
        <v>5.6007164214304491E-3</v>
      </c>
      <c r="M325">
        <f>_xlfn.STDEV.S('R1'!N325,'R2'!N325,'R3'!N325)</f>
        <v>4.9731115643893275E-3</v>
      </c>
      <c r="N325">
        <f>_xlfn.STDEV.S('R1'!O325,'R2'!O325,'R3'!O325)</f>
        <v>3.0956477988239267E-3</v>
      </c>
    </row>
    <row r="326" spans="1:14" x14ac:dyDescent="0.25">
      <c r="A326">
        <f>-'R1'!H326</f>
        <v>-12</v>
      </c>
      <c r="B326">
        <f>DEGREES(ATAN(-SIN(RADIANS(('R1'!I326)))/(COS(RADIANS(Sheet1!A326))*COS(RADIANS('R1'!I326)))))</f>
        <v>36.604002006988381</v>
      </c>
      <c r="C326">
        <f>AVERAGE('R1'!J326,'R2'!J326,'R3'!J326)</f>
        <v>1.1633333333333331</v>
      </c>
      <c r="D326">
        <f>AVERAGE('R1'!K326,'R2'!K326,'R3'!K326)</f>
        <v>22.742258166666669</v>
      </c>
      <c r="E326">
        <f>AVERAGE('R1'!L326,'R2'!L326,'R3'!L326)</f>
        <v>2.0086926583611486</v>
      </c>
      <c r="F326">
        <f>AVERAGE('R1'!M326,'R2'!M326,'R3'!M326)</f>
        <v>0.96941884840712833</v>
      </c>
      <c r="G326">
        <f>AVERAGE('R1'!N326,'R2'!N326,'R3'!N326)</f>
        <v>-0.87583224289488459</v>
      </c>
      <c r="H326">
        <f>AVERAGE('R1'!O326,'R2'!O326,'R3'!O326)</f>
        <v>-0.64732099238118646</v>
      </c>
      <c r="I326">
        <f t="shared" si="9"/>
        <v>4409.4711667592592</v>
      </c>
      <c r="K326">
        <f>_xlfn.STDEV.S('R1'!L326,'R2'!L326,'R3'!L326)</f>
        <v>8.4805914979267996E-3</v>
      </c>
      <c r="L326">
        <f>_xlfn.STDEV.S('R1'!M326,'R2'!M326,'R3'!M326)</f>
        <v>3.7778670853737071E-3</v>
      </c>
      <c r="M326">
        <f>_xlfn.STDEV.S('R1'!N326,'R2'!N326,'R3'!N326)</f>
        <v>3.9609197902148643E-3</v>
      </c>
      <c r="N326">
        <f>_xlfn.STDEV.S('R1'!O326,'R2'!O326,'R3'!O326)</f>
        <v>5.0065973120147281E-3</v>
      </c>
    </row>
    <row r="327" spans="1:14" x14ac:dyDescent="0.25">
      <c r="A327">
        <f>-'R1'!H327</f>
        <v>-12</v>
      </c>
      <c r="B327">
        <f>DEGREES(ATAN(-SIN(RADIANS(('R1'!I327)))/(COS(RADIANS(Sheet1!A327))*COS(RADIANS('R1'!I327)))))</f>
        <v>32.571632726288172</v>
      </c>
      <c r="C327">
        <f>AVERAGE('R1'!J327,'R2'!J327,'R3'!J327)</f>
        <v>1.1633333333333331</v>
      </c>
      <c r="D327">
        <f>AVERAGE('R1'!K327,'R2'!K327,'R3'!K327)</f>
        <v>21.88158425</v>
      </c>
      <c r="E327">
        <f>AVERAGE('R1'!L327,'R2'!L327,'R3'!L327)</f>
        <v>1.793337100329282</v>
      </c>
      <c r="F327">
        <f>AVERAGE('R1'!M327,'R2'!M327,'R3'!M327)</f>
        <v>0.901614520078589</v>
      </c>
      <c r="G327">
        <f>AVERAGE('R1'!N327,'R2'!N327,'R3'!N327)</f>
        <v>-0.68565019781749637</v>
      </c>
      <c r="H327">
        <f>AVERAGE('R1'!O327,'R2'!O327,'R3'!O327)</f>
        <v>-0.44554189521680865</v>
      </c>
      <c r="I327">
        <f t="shared" si="9"/>
        <v>4242.5960573611101</v>
      </c>
      <c r="K327">
        <f>_xlfn.STDEV.S('R1'!L327,'R2'!L327,'R3'!L327)</f>
        <v>3.6077856788020095E-3</v>
      </c>
      <c r="L327">
        <f>_xlfn.STDEV.S('R1'!M327,'R2'!M327,'R3'!M327)</f>
        <v>6.7967276279789638E-3</v>
      </c>
      <c r="M327">
        <f>_xlfn.STDEV.S('R1'!N327,'R2'!N327,'R3'!N327)</f>
        <v>2.3439653919057188E-3</v>
      </c>
      <c r="N327">
        <f>_xlfn.STDEV.S('R1'!O327,'R2'!O327,'R3'!O327)</f>
        <v>3.6826635046090369E-3</v>
      </c>
    </row>
    <row r="328" spans="1:14" x14ac:dyDescent="0.25">
      <c r="A328">
        <f>-'R1'!H328</f>
        <v>-12</v>
      </c>
      <c r="B328">
        <f>DEGREES(ATAN(-SIN(RADIANS(('R1'!I328)))/(COS(RADIANS(Sheet1!A328))*COS(RADIANS('R1'!I328)))))</f>
        <v>28.527978326363606</v>
      </c>
      <c r="C328">
        <f>AVERAGE('R1'!J328,'R2'!J328,'R3'!J328)</f>
        <v>1.1633333333333331</v>
      </c>
      <c r="D328">
        <f>AVERAGE('R1'!K328,'R2'!K328,'R3'!K328)</f>
        <v>21.570200583333332</v>
      </c>
      <c r="E328">
        <f>AVERAGE('R1'!L328,'R2'!L328,'R3'!L328)</f>
        <v>1.5878995951563544</v>
      </c>
      <c r="F328">
        <f>AVERAGE('R1'!M328,'R2'!M328,'R3'!M328)</f>
        <v>0.8475930123772738</v>
      </c>
      <c r="G328">
        <f>AVERAGE('R1'!N328,'R2'!N328,'R3'!N328)</f>
        <v>-0.52655314809144704</v>
      </c>
      <c r="H328">
        <f>AVERAGE('R1'!O328,'R2'!O328,'R3'!O328)</f>
        <v>-0.25457966693215694</v>
      </c>
      <c r="I328">
        <f t="shared" si="9"/>
        <v>4182.2222242129619</v>
      </c>
      <c r="K328">
        <f>_xlfn.STDEV.S('R1'!L328,'R2'!L328,'R3'!L328)</f>
        <v>2.0152612752829318E-3</v>
      </c>
      <c r="L328">
        <f>_xlfn.STDEV.S('R1'!M328,'R2'!M328,'R3'!M328)</f>
        <v>3.0906907173039381E-3</v>
      </c>
      <c r="M328">
        <f>_xlfn.STDEV.S('R1'!N328,'R2'!N328,'R3'!N328)</f>
        <v>4.5611581451233691E-3</v>
      </c>
      <c r="N328">
        <f>_xlfn.STDEV.S('R1'!O328,'R2'!O328,'R3'!O328)</f>
        <v>1.9542687194343241E-3</v>
      </c>
    </row>
    <row r="329" spans="1:14" x14ac:dyDescent="0.25">
      <c r="A329">
        <f>-'R1'!H329</f>
        <v>-12</v>
      </c>
      <c r="B329">
        <f>DEGREES(ATAN(-SIN(RADIANS(('R1'!I329)))/(COS(RADIANS(Sheet1!A329))*COS(RADIANS('R1'!I329)))))</f>
        <v>24.473858605038014</v>
      </c>
      <c r="C329">
        <f>AVERAGE('R1'!J329,'R2'!J329,'R3'!J329)</f>
        <v>1.1633333333333331</v>
      </c>
      <c r="D329">
        <f>AVERAGE('R1'!K329,'R2'!K329,'R3'!K329)</f>
        <v>21.755737999999997</v>
      </c>
      <c r="E329">
        <f>AVERAGE('R1'!L329,'R2'!L329,'R3'!L329)</f>
        <v>1.3978459877056519</v>
      </c>
      <c r="F329">
        <f>AVERAGE('R1'!M329,'R2'!M329,'R3'!M329)</f>
        <v>0.80559701066287703</v>
      </c>
      <c r="G329">
        <f>AVERAGE('R1'!N329,'R2'!N329,'R3'!N329)</f>
        <v>-0.39663875149016437</v>
      </c>
      <c r="H329">
        <f>AVERAGE('R1'!O329,'R2'!O329,'R3'!O329)</f>
        <v>-7.0889889207342016E-2</v>
      </c>
      <c r="I329">
        <f t="shared" si="9"/>
        <v>4218.1958677777766</v>
      </c>
      <c r="K329">
        <f>_xlfn.STDEV.S('R1'!L329,'R2'!L329,'R3'!L329)</f>
        <v>2.0302631347300696E-3</v>
      </c>
      <c r="L329">
        <f>_xlfn.STDEV.S('R1'!M329,'R2'!M329,'R3'!M329)</f>
        <v>7.8150200617066942E-3</v>
      </c>
      <c r="M329">
        <f>_xlfn.STDEV.S('R1'!N329,'R2'!N329,'R3'!N329)</f>
        <v>2.4682980423017969E-3</v>
      </c>
      <c r="N329">
        <f>_xlfn.STDEV.S('R1'!O329,'R2'!O329,'R3'!O329)</f>
        <v>5.7963250030334187E-3</v>
      </c>
    </row>
    <row r="330" spans="1:14" x14ac:dyDescent="0.25">
      <c r="A330">
        <f>-'R1'!H330</f>
        <v>-12</v>
      </c>
      <c r="B330">
        <f>DEGREES(ATAN(-SIN(RADIANS(('R1'!I330)))/(COS(RADIANS(Sheet1!A330))*COS(RADIANS('R1'!I330)))))</f>
        <v>20.410311753659691</v>
      </c>
      <c r="C330">
        <f>AVERAGE('R1'!J330,'R2'!J330,'R3'!J330)</f>
        <v>1.1633333333333331</v>
      </c>
      <c r="D330">
        <f>AVERAGE('R1'!K330,'R2'!K330,'R3'!K330)</f>
        <v>22.323880166666669</v>
      </c>
      <c r="E330">
        <f>AVERAGE('R1'!L330,'R2'!L330,'R3'!L330)</f>
        <v>1.1942689714041661</v>
      </c>
      <c r="F330">
        <f>AVERAGE('R1'!M330,'R2'!M330,'R3'!M330)</f>
        <v>0.77922269654922938</v>
      </c>
      <c r="G330">
        <f>AVERAGE('R1'!N330,'R2'!N330,'R3'!N330)</f>
        <v>-0.28538467669258077</v>
      </c>
      <c r="H330">
        <f>AVERAGE('R1'!O330,'R2'!O330,'R3'!O330)</f>
        <v>0.10118174821264048</v>
      </c>
      <c r="I330">
        <f t="shared" si="9"/>
        <v>4328.3523212037035</v>
      </c>
      <c r="K330">
        <f>_xlfn.STDEV.S('R1'!L330,'R2'!L330,'R3'!L330)</f>
        <v>3.7483129567379395E-3</v>
      </c>
      <c r="L330">
        <f>_xlfn.STDEV.S('R1'!M330,'R2'!M330,'R3'!M330)</f>
        <v>6.0536640656716481E-3</v>
      </c>
      <c r="M330">
        <f>_xlfn.STDEV.S('R1'!N330,'R2'!N330,'R3'!N330)</f>
        <v>2.8901723156287006E-3</v>
      </c>
      <c r="N330">
        <f>_xlfn.STDEV.S('R1'!O330,'R2'!O330,'R3'!O330)</f>
        <v>4.3655489055280279E-3</v>
      </c>
    </row>
    <row r="331" spans="1:14" x14ac:dyDescent="0.25">
      <c r="A331">
        <f>-'R1'!H331</f>
        <v>-12</v>
      </c>
      <c r="B331">
        <f>DEGREES(ATAN(-SIN(RADIANS(('R1'!I331)))/(COS(RADIANS(Sheet1!A331))*COS(RADIANS('R1'!I331)))))</f>
        <v>16.338575476506957</v>
      </c>
      <c r="C331">
        <f>AVERAGE('R1'!J331,'R2'!J331,'R3'!J331)</f>
        <v>1.1633333333333331</v>
      </c>
      <c r="D331">
        <f>AVERAGE('R1'!K331,'R2'!K331,'R3'!K331)</f>
        <v>22.792974416666667</v>
      </c>
      <c r="E331">
        <f>AVERAGE('R1'!L331,'R2'!L331,'R3'!L331)</f>
        <v>0.98200501388539474</v>
      </c>
      <c r="F331">
        <f>AVERAGE('R1'!M331,'R2'!M331,'R3'!M331)</f>
        <v>0.79484111996645046</v>
      </c>
      <c r="G331">
        <f>AVERAGE('R1'!N331,'R2'!N331,'R3'!N331)</f>
        <v>-0.20464333163646253</v>
      </c>
      <c r="H331">
        <f>AVERAGE('R1'!O331,'R2'!O331,'R3'!O331)</f>
        <v>0.24459186156425025</v>
      </c>
      <c r="I331">
        <f t="shared" si="9"/>
        <v>4419.30448412037</v>
      </c>
      <c r="K331">
        <f>_xlfn.STDEV.S('R1'!L331,'R2'!L331,'R3'!L331)</f>
        <v>2.7056137416483486E-3</v>
      </c>
      <c r="L331">
        <f>_xlfn.STDEV.S('R1'!M331,'R2'!M331,'R3'!M331)</f>
        <v>7.2943412274922622E-3</v>
      </c>
      <c r="M331">
        <f>_xlfn.STDEV.S('R1'!N331,'R2'!N331,'R3'!N331)</f>
        <v>3.8704308066538642E-3</v>
      </c>
      <c r="N331">
        <f>_xlfn.STDEV.S('R1'!O331,'R2'!O331,'R3'!O331)</f>
        <v>4.8485213690398956E-3</v>
      </c>
    </row>
    <row r="332" spans="1:14" x14ac:dyDescent="0.25">
      <c r="A332">
        <f>-'R1'!H332</f>
        <v>-12</v>
      </c>
      <c r="B332">
        <f>DEGREES(ATAN(-SIN(RADIANS(('R1'!I332)))/(COS(RADIANS(Sheet1!A332))*COS(RADIANS('R1'!I332)))))</f>
        <v>12.260062948059348</v>
      </c>
      <c r="C332">
        <f>AVERAGE('R1'!J332,'R2'!J332,'R3'!J332)</f>
        <v>1.1633333333333331</v>
      </c>
      <c r="D332">
        <f>AVERAGE('R1'!K332,'R2'!K332,'R3'!K332)</f>
        <v>23.214249583333338</v>
      </c>
      <c r="E332">
        <f>AVERAGE('R1'!L332,'R2'!L332,'R3'!L332)</f>
        <v>0.75144626931783265</v>
      </c>
      <c r="F332">
        <f>AVERAGE('R1'!M332,'R2'!M332,'R3'!M332)</f>
        <v>0.83906629121004261</v>
      </c>
      <c r="G332">
        <f>AVERAGE('R1'!N332,'R2'!N332,'R3'!N332)</f>
        <v>-0.14280159319086919</v>
      </c>
      <c r="H332">
        <f>AVERAGE('R1'!O332,'R2'!O332,'R3'!O332)</f>
        <v>0.37001581064687006</v>
      </c>
      <c r="I332">
        <f t="shared" si="9"/>
        <v>4500.9850581018518</v>
      </c>
      <c r="K332">
        <f>_xlfn.STDEV.S('R1'!L332,'R2'!L332,'R3'!L332)</f>
        <v>3.8160290499307482E-3</v>
      </c>
      <c r="L332">
        <f>_xlfn.STDEV.S('R1'!M332,'R2'!M332,'R3'!M332)</f>
        <v>5.0722256430025276E-3</v>
      </c>
      <c r="M332">
        <f>_xlfn.STDEV.S('R1'!N332,'R2'!N332,'R3'!N332)</f>
        <v>5.2606319651813706E-3</v>
      </c>
      <c r="N332">
        <f>_xlfn.STDEV.S('R1'!O332,'R2'!O332,'R3'!O332)</f>
        <v>2.1031261875916318E-3</v>
      </c>
    </row>
    <row r="333" spans="1:14" x14ac:dyDescent="0.25">
      <c r="A333">
        <f>-'R1'!H333</f>
        <v>-12</v>
      </c>
      <c r="B333">
        <f>DEGREES(ATAN(-SIN(RADIANS(('R1'!I333)))/(COS(RADIANS(Sheet1!A333))*COS(RADIANS('R1'!I333)))))</f>
        <v>8.1763340518815415</v>
      </c>
      <c r="C333">
        <f>AVERAGE('R1'!J333,'R2'!J333,'R3'!J333)</f>
        <v>1.1633333333333331</v>
      </c>
      <c r="D333">
        <f>AVERAGE('R1'!K333,'R2'!K333,'R3'!K333)</f>
        <v>23.488057333333334</v>
      </c>
      <c r="E333">
        <f>AVERAGE('R1'!L333,'R2'!L333,'R3'!L333)</f>
        <v>0.5047083804035154</v>
      </c>
      <c r="F333">
        <f>AVERAGE('R1'!M333,'R2'!M333,'R3'!M333)</f>
        <v>0.89881638581981749</v>
      </c>
      <c r="G333">
        <f>AVERAGE('R1'!N333,'R2'!N333,'R3'!N333)</f>
        <v>-9.7521006419914749E-2</v>
      </c>
      <c r="H333">
        <f>AVERAGE('R1'!O333,'R2'!O333,'R3'!O333)</f>
        <v>0.46801234089363164</v>
      </c>
      <c r="I333">
        <f t="shared" si="9"/>
        <v>4554.0733385185176</v>
      </c>
      <c r="K333">
        <f>_xlfn.STDEV.S('R1'!L333,'R2'!L333,'R3'!L333)</f>
        <v>6.6286614159292024E-4</v>
      </c>
      <c r="L333">
        <f>_xlfn.STDEV.S('R1'!M333,'R2'!M333,'R3'!M333)</f>
        <v>5.3739418207343539E-3</v>
      </c>
      <c r="M333">
        <f>_xlfn.STDEV.S('R1'!N333,'R2'!N333,'R3'!N333)</f>
        <v>5.518774379823393E-3</v>
      </c>
      <c r="N333">
        <f>_xlfn.STDEV.S('R1'!O333,'R2'!O333,'R3'!O333)</f>
        <v>3.3423328626125686E-3</v>
      </c>
    </row>
    <row r="334" spans="1:14" x14ac:dyDescent="0.25">
      <c r="A334">
        <f>-'R1'!H334</f>
        <v>-12</v>
      </c>
      <c r="B334">
        <f>DEGREES(ATAN(-SIN(RADIANS(('R1'!I334)))/(COS(RADIANS(Sheet1!A334))*COS(RADIANS('R1'!I334)))))</f>
        <v>4.0890625478299265</v>
      </c>
      <c r="C334">
        <f>AVERAGE('R1'!J334,'R2'!J334,'R3'!J334)</f>
        <v>1.1633333333333331</v>
      </c>
      <c r="D334">
        <f>AVERAGE('R1'!K334,'R2'!K334,'R3'!K334)</f>
        <v>23.390164166666668</v>
      </c>
      <c r="E334">
        <f>AVERAGE('R1'!L334,'R2'!L334,'R3'!L334)</f>
        <v>0.25217714753038539</v>
      </c>
      <c r="F334">
        <f>AVERAGE('R1'!M334,'R2'!M334,'R3'!M334)</f>
        <v>0.98137423640647226</v>
      </c>
      <c r="G334">
        <f>AVERAGE('R1'!N334,'R2'!N334,'R3'!N334)</f>
        <v>-8.1644126354684071E-2</v>
      </c>
      <c r="H334">
        <f>AVERAGE('R1'!O334,'R2'!O334,'R3'!O334)</f>
        <v>0.55365989448598685</v>
      </c>
      <c r="I334">
        <f t="shared" si="9"/>
        <v>4535.092941203704</v>
      </c>
      <c r="K334">
        <f>_xlfn.STDEV.S('R1'!L334,'R2'!L334,'R3'!L334)</f>
        <v>3.1528079404439776E-3</v>
      </c>
      <c r="L334">
        <f>_xlfn.STDEV.S('R1'!M334,'R2'!M334,'R3'!M334)</f>
        <v>9.2454042657247569E-3</v>
      </c>
      <c r="M334">
        <f>_xlfn.STDEV.S('R1'!N334,'R2'!N334,'R3'!N334)</f>
        <v>4.4141940264166958E-3</v>
      </c>
      <c r="N334">
        <f>_xlfn.STDEV.S('R1'!O334,'R2'!O334,'R3'!O334)</f>
        <v>1.8813316318621101E-3</v>
      </c>
    </row>
    <row r="335" spans="1:14" x14ac:dyDescent="0.25">
      <c r="A335">
        <f>-'R1'!H335</f>
        <v>-12</v>
      </c>
      <c r="B335">
        <f>DEGREES(ATAN(-SIN(RADIANS(('R1'!I335)))/(COS(RADIANS(Sheet1!A335))*COS(RADIANS('R1'!I335)))))</f>
        <v>0</v>
      </c>
      <c r="C335">
        <f>AVERAGE('R1'!J335,'R2'!J335,'R3'!J335)</f>
        <v>1.1633333333333331</v>
      </c>
      <c r="D335">
        <f>AVERAGE('R1'!K335,'R2'!K335,'R3'!K335)</f>
        <v>23.351310916666666</v>
      </c>
      <c r="E335">
        <f>AVERAGE('R1'!L335,'R2'!L335,'R3'!L335)</f>
        <v>-3.5107908668702309E-2</v>
      </c>
      <c r="F335">
        <f>AVERAGE('R1'!M335,'R2'!M335,'R3'!M335)</f>
        <v>1.0303803276596077</v>
      </c>
      <c r="G335">
        <f>AVERAGE('R1'!N335,'R2'!N335,'R3'!N335)</f>
        <v>-7.6292660096232187E-2</v>
      </c>
      <c r="H335">
        <f>AVERAGE('R1'!O335,'R2'!O335,'R3'!O335)</f>
        <v>0.64341506449868202</v>
      </c>
      <c r="I335">
        <f t="shared" si="9"/>
        <v>4527.559727731481</v>
      </c>
      <c r="K335">
        <f>_xlfn.STDEV.S('R1'!L335,'R2'!L335,'R3'!L335)</f>
        <v>1.3663376189788246E-3</v>
      </c>
      <c r="L335">
        <f>_xlfn.STDEV.S('R1'!M335,'R2'!M335,'R3'!M335)</f>
        <v>6.8946574689509555E-3</v>
      </c>
      <c r="M335">
        <f>_xlfn.STDEV.S('R1'!N335,'R2'!N335,'R3'!N335)</f>
        <v>4.518917432483313E-3</v>
      </c>
      <c r="N335">
        <f>_xlfn.STDEV.S('R1'!O335,'R2'!O335,'R3'!O335)</f>
        <v>4.0192127143936409E-3</v>
      </c>
    </row>
    <row r="336" spans="1:14" x14ac:dyDescent="0.25">
      <c r="A336">
        <f>-'R1'!H336</f>
        <v>-12</v>
      </c>
      <c r="B336">
        <f>DEGREES(ATAN(-SIN(RADIANS(('R1'!I336)))/(COS(RADIANS(Sheet1!A336))*COS(RADIANS('R1'!I336)))))</f>
        <v>-4.0890625478299265</v>
      </c>
      <c r="C336">
        <f>AVERAGE('R1'!J336,'R2'!J336,'R3'!J336)</f>
        <v>1.1633333333333331</v>
      </c>
      <c r="D336">
        <f>AVERAGE('R1'!K336,'R2'!K336,'R3'!K336)</f>
        <v>22.596006083333332</v>
      </c>
      <c r="E336">
        <f>AVERAGE('R1'!L336,'R2'!L336,'R3'!L336)</f>
        <v>-0.31227428267416507</v>
      </c>
      <c r="F336">
        <f>AVERAGE('R1'!M336,'R2'!M336,'R3'!M336)</f>
        <v>0.95428929775398019</v>
      </c>
      <c r="G336">
        <f>AVERAGE('R1'!N336,'R2'!N336,'R3'!N336)</f>
        <v>-8.6838131459045162E-2</v>
      </c>
      <c r="H336">
        <f>AVERAGE('R1'!O336,'R2'!O336,'R3'!O336)</f>
        <v>0.53696914715453992</v>
      </c>
      <c r="I336">
        <f t="shared" si="9"/>
        <v>4381.1145128240732</v>
      </c>
      <c r="K336">
        <f>_xlfn.STDEV.S('R1'!L336,'R2'!L336,'R3'!L336)</f>
        <v>4.1413398388673306E-3</v>
      </c>
      <c r="L336">
        <f>_xlfn.STDEV.S('R1'!M336,'R2'!M336,'R3'!M336)</f>
        <v>6.1992248945576403E-3</v>
      </c>
      <c r="M336">
        <f>_xlfn.STDEV.S('R1'!N336,'R2'!N336,'R3'!N336)</f>
        <v>3.752759844343501E-3</v>
      </c>
      <c r="N336">
        <f>_xlfn.STDEV.S('R1'!O336,'R2'!O336,'R3'!O336)</f>
        <v>3.6489783312737092E-3</v>
      </c>
    </row>
    <row r="337" spans="1:14" x14ac:dyDescent="0.25">
      <c r="A337">
        <f>-'R1'!H337</f>
        <v>-12</v>
      </c>
      <c r="B337">
        <f>DEGREES(ATAN(-SIN(RADIANS(('R1'!I337)))/(COS(RADIANS(Sheet1!A337))*COS(RADIANS('R1'!I337)))))</f>
        <v>-8.1763340518815415</v>
      </c>
      <c r="C337">
        <f>AVERAGE('R1'!J337,'R2'!J337,'R3'!J337)</f>
        <v>1.1633333333333331</v>
      </c>
      <c r="D337">
        <f>AVERAGE('R1'!K337,'R2'!K337,'R3'!K337)</f>
        <v>22.160597249999999</v>
      </c>
      <c r="E337">
        <f>AVERAGE('R1'!L337,'R2'!L337,'R3'!L337)</f>
        <v>-0.57925554705451432</v>
      </c>
      <c r="F337">
        <f>AVERAGE('R1'!M337,'R2'!M337,'R3'!M337)</f>
        <v>0.88708338959357524</v>
      </c>
      <c r="G337">
        <f>AVERAGE('R1'!N337,'R2'!N337,'R3'!N337)</f>
        <v>-0.11764174858837255</v>
      </c>
      <c r="H337">
        <f>AVERAGE('R1'!O337,'R2'!O337,'R3'!O337)</f>
        <v>0.42934761596394999</v>
      </c>
      <c r="I337">
        <f t="shared" si="9"/>
        <v>4296.6935779166652</v>
      </c>
      <c r="K337">
        <f>_xlfn.STDEV.S('R1'!L337,'R2'!L337,'R3'!L337)</f>
        <v>3.0308147597840037E-3</v>
      </c>
      <c r="L337">
        <f>_xlfn.STDEV.S('R1'!M337,'R2'!M337,'R3'!M337)</f>
        <v>7.0787974343008465E-3</v>
      </c>
      <c r="M337">
        <f>_xlfn.STDEV.S('R1'!N337,'R2'!N337,'R3'!N337)</f>
        <v>5.3203668927039221E-3</v>
      </c>
      <c r="N337">
        <f>_xlfn.STDEV.S('R1'!O337,'R2'!O337,'R3'!O337)</f>
        <v>1.2515853652284748E-3</v>
      </c>
    </row>
    <row r="338" spans="1:14" x14ac:dyDescent="0.25">
      <c r="A338">
        <f>-'R1'!H338</f>
        <v>-12</v>
      </c>
      <c r="B338">
        <f>DEGREES(ATAN(-SIN(RADIANS(('R1'!I338)))/(COS(RADIANS(Sheet1!A338))*COS(RADIANS('R1'!I338)))))</f>
        <v>-12.260062948059348</v>
      </c>
      <c r="C338">
        <f>AVERAGE('R1'!J338,'R2'!J338,'R3'!J338)</f>
        <v>1.1633333333333331</v>
      </c>
      <c r="D338">
        <f>AVERAGE('R1'!K338,'R2'!K338,'R3'!K338)</f>
        <v>21.838443333333334</v>
      </c>
      <c r="E338">
        <f>AVERAGE('R1'!L338,'R2'!L338,'R3'!L338)</f>
        <v>-0.82984722038718084</v>
      </c>
      <c r="F338">
        <f>AVERAGE('R1'!M338,'R2'!M338,'R3'!M338)</f>
        <v>0.83469247636286192</v>
      </c>
      <c r="G338">
        <f>AVERAGE('R1'!N338,'R2'!N338,'R3'!N338)</f>
        <v>-0.17195827633184901</v>
      </c>
      <c r="H338">
        <f>AVERAGE('R1'!O338,'R2'!O338,'R3'!O338)</f>
        <v>0.32169881752838175</v>
      </c>
      <c r="I338">
        <f t="shared" si="9"/>
        <v>4234.2315129629624</v>
      </c>
      <c r="K338">
        <f>_xlfn.STDEV.S('R1'!L338,'R2'!L338,'R3'!L338)</f>
        <v>1.3144474913301294E-3</v>
      </c>
      <c r="L338">
        <f>_xlfn.STDEV.S('R1'!M338,'R2'!M338,'R3'!M338)</f>
        <v>9.6360649074334181E-3</v>
      </c>
      <c r="M338">
        <f>_xlfn.STDEV.S('R1'!N338,'R2'!N338,'R3'!N338)</f>
        <v>1.6295663381212283E-3</v>
      </c>
      <c r="N338">
        <f>_xlfn.STDEV.S('R1'!O338,'R2'!O338,'R3'!O338)</f>
        <v>2.2896140976217416E-3</v>
      </c>
    </row>
    <row r="339" spans="1:14" x14ac:dyDescent="0.25">
      <c r="A339">
        <f>-'R1'!H339</f>
        <v>-12</v>
      </c>
      <c r="B339">
        <f>DEGREES(ATAN(-SIN(RADIANS(('R1'!I339)))/(COS(RADIANS(Sheet1!A339))*COS(RADIANS('R1'!I339)))))</f>
        <v>-16.338575476506957</v>
      </c>
      <c r="C339">
        <f>AVERAGE('R1'!J339,'R2'!J339,'R3'!J339)</f>
        <v>1.1633333333333331</v>
      </c>
      <c r="D339">
        <f>AVERAGE('R1'!K339,'R2'!K339,'R3'!K339)</f>
        <v>21.934673666666669</v>
      </c>
      <c r="E339">
        <f>AVERAGE('R1'!L339,'R2'!L339,'R3'!L339)</f>
        <v>-1.0750342993134707</v>
      </c>
      <c r="F339">
        <f>AVERAGE('R1'!M339,'R2'!M339,'R3'!M339)</f>
        <v>0.81518064200599305</v>
      </c>
      <c r="G339">
        <f>AVERAGE('R1'!N339,'R2'!N339,'R3'!N339)</f>
        <v>-0.25685765751375333</v>
      </c>
      <c r="H339">
        <f>AVERAGE('R1'!O339,'R2'!O339,'R3'!O339)</f>
        <v>0.19842213537505282</v>
      </c>
      <c r="I339">
        <f t="shared" si="9"/>
        <v>4252.88950537037</v>
      </c>
      <c r="K339">
        <f>_xlfn.STDEV.S('R1'!L339,'R2'!L339,'R3'!L339)</f>
        <v>4.062295209530894E-3</v>
      </c>
      <c r="L339">
        <f>_xlfn.STDEV.S('R1'!M339,'R2'!M339,'R3'!M339)</f>
        <v>9.6028392977103774E-3</v>
      </c>
      <c r="M339">
        <f>_xlfn.STDEV.S('R1'!N339,'R2'!N339,'R3'!N339)</f>
        <v>3.5280370621813754E-3</v>
      </c>
      <c r="N339">
        <f>_xlfn.STDEV.S('R1'!O339,'R2'!O339,'R3'!O339)</f>
        <v>2.6587547008455341E-3</v>
      </c>
    </row>
    <row r="340" spans="1:14" x14ac:dyDescent="0.25">
      <c r="A340">
        <f>-'R1'!H340</f>
        <v>-12</v>
      </c>
      <c r="B340">
        <f>DEGREES(ATAN(-SIN(RADIANS(('R1'!I340)))/(COS(RADIANS(Sheet1!A340))*COS(RADIANS('R1'!I340)))))</f>
        <v>-20.410311753659691</v>
      </c>
      <c r="C340">
        <f>AVERAGE('R1'!J340,'R2'!J340,'R3'!J340)</f>
        <v>1.1633333333333331</v>
      </c>
      <c r="D340">
        <f>AVERAGE('R1'!K340,'R2'!K340,'R3'!K340)</f>
        <v>22.527383916666668</v>
      </c>
      <c r="E340">
        <f>AVERAGE('R1'!L340,'R2'!L340,'R3'!L340)</f>
        <v>-1.3038377587388241</v>
      </c>
      <c r="F340">
        <f>AVERAGE('R1'!M340,'R2'!M340,'R3'!M340)</f>
        <v>0.85483689711050725</v>
      </c>
      <c r="G340">
        <f>AVERAGE('R1'!N340,'R2'!N340,'R3'!N340)</f>
        <v>-0.37897673468372967</v>
      </c>
      <c r="H340">
        <f>AVERAGE('R1'!O340,'R2'!O340,'R3'!O340)</f>
        <v>4.11697016778928E-2</v>
      </c>
      <c r="I340">
        <f t="shared" si="9"/>
        <v>4367.8094371759253</v>
      </c>
      <c r="K340">
        <f>_xlfn.STDEV.S('R1'!L340,'R2'!L340,'R3'!L340)</f>
        <v>2.4994154207906394E-3</v>
      </c>
      <c r="L340">
        <f>_xlfn.STDEV.S('R1'!M340,'R2'!M340,'R3'!M340)</f>
        <v>1.0121343185920735E-2</v>
      </c>
      <c r="M340">
        <f>_xlfn.STDEV.S('R1'!N340,'R2'!N340,'R3'!N340)</f>
        <v>2.6485660991159379E-3</v>
      </c>
      <c r="N340">
        <f>_xlfn.STDEV.S('R1'!O340,'R2'!O340,'R3'!O340)</f>
        <v>2.8619098308690625E-3</v>
      </c>
    </row>
    <row r="341" spans="1:14" x14ac:dyDescent="0.25">
      <c r="A341">
        <f>-'R1'!H341</f>
        <v>-12</v>
      </c>
      <c r="B341">
        <f>DEGREES(ATAN(-SIN(RADIANS(('R1'!I341)))/(COS(RADIANS(Sheet1!A341))*COS(RADIANS('R1'!I341)))))</f>
        <v>-24.473858605038014</v>
      </c>
      <c r="C341">
        <f>AVERAGE('R1'!J341,'R2'!J341,'R3'!J341)</f>
        <v>1.1633333333333331</v>
      </c>
      <c r="D341">
        <f>AVERAGE('R1'!K341,'R2'!K341,'R3'!K341)</f>
        <v>23.022841416666665</v>
      </c>
      <c r="E341">
        <f>AVERAGE('R1'!L341,'R2'!L341,'R3'!L341)</f>
        <v>-1.5144680376274093</v>
      </c>
      <c r="F341">
        <f>AVERAGE('R1'!M341,'R2'!M341,'R3'!M341)</f>
        <v>0.94904597864505957</v>
      </c>
      <c r="G341">
        <f>AVERAGE('R1'!N341,'R2'!N341,'R3'!N341)</f>
        <v>-0.53521575553744916</v>
      </c>
      <c r="H341">
        <f>AVERAGE('R1'!O341,'R2'!O341,'R3'!O341)</f>
        <v>-0.15291394313282181</v>
      </c>
      <c r="I341">
        <f t="shared" si="9"/>
        <v>4463.8731413425912</v>
      </c>
      <c r="K341">
        <f>_xlfn.STDEV.S('R1'!L341,'R2'!L341,'R3'!L341)</f>
        <v>1.1306035642352141E-3</v>
      </c>
      <c r="L341">
        <f>_xlfn.STDEV.S('R1'!M341,'R2'!M341,'R3'!M341)</f>
        <v>9.1059543914325577E-3</v>
      </c>
      <c r="M341">
        <f>_xlfn.STDEV.S('R1'!N341,'R2'!N341,'R3'!N341)</f>
        <v>4.4900366500845593E-3</v>
      </c>
      <c r="N341">
        <f>_xlfn.STDEV.S('R1'!O341,'R2'!O341,'R3'!O341)</f>
        <v>3.4551108468446638E-3</v>
      </c>
    </row>
    <row r="342" spans="1:14" x14ac:dyDescent="0.25">
      <c r="A342">
        <f>-'R1'!H342</f>
        <v>-12</v>
      </c>
      <c r="B342">
        <f>DEGREES(ATAN(-SIN(RADIANS(('R1'!I342)))/(COS(RADIANS(Sheet1!A342))*COS(RADIANS('R1'!I342)))))</f>
        <v>-28.527978326363606</v>
      </c>
      <c r="C342">
        <f>AVERAGE('R1'!J342,'R2'!J342,'R3'!J342)</f>
        <v>1.1633333333333331</v>
      </c>
      <c r="D342">
        <f>AVERAGE('R1'!K342,'R2'!K342,'R3'!K342)</f>
        <v>23.252247333333333</v>
      </c>
      <c r="E342">
        <f>AVERAGE('R1'!L342,'R2'!L342,'R3'!L342)</f>
        <v>-1.729830408980692</v>
      </c>
      <c r="F342">
        <f>AVERAGE('R1'!M342,'R2'!M342,'R3'!M342)</f>
        <v>1.0739530299172848</v>
      </c>
      <c r="G342">
        <f>AVERAGE('R1'!N342,'R2'!N342,'R3'!N342)</f>
        <v>-0.72287213056508171</v>
      </c>
      <c r="H342">
        <f>AVERAGE('R1'!O342,'R2'!O342,'R3'!O342)</f>
        <v>-0.3661839690243987</v>
      </c>
      <c r="I342">
        <f t="shared" si="9"/>
        <v>4508.3523996296281</v>
      </c>
      <c r="K342">
        <f>_xlfn.STDEV.S('R1'!L342,'R2'!L342,'R3'!L342)</f>
        <v>8.564727797138471E-3</v>
      </c>
      <c r="L342">
        <f>_xlfn.STDEV.S('R1'!M342,'R2'!M342,'R3'!M342)</f>
        <v>8.510154442558239E-3</v>
      </c>
      <c r="M342">
        <f>_xlfn.STDEV.S('R1'!N342,'R2'!N342,'R3'!N342)</f>
        <v>5.3449444793666877E-3</v>
      </c>
      <c r="N342">
        <f>_xlfn.STDEV.S('R1'!O342,'R2'!O342,'R3'!O342)</f>
        <v>8.4479251448827829E-4</v>
      </c>
    </row>
    <row r="343" spans="1:14" x14ac:dyDescent="0.25">
      <c r="A343">
        <f>-'R1'!H343</f>
        <v>-12</v>
      </c>
      <c r="B343">
        <f>DEGREES(ATAN(-SIN(RADIANS(('R1'!I343)))/(COS(RADIANS(Sheet1!A343))*COS(RADIANS('R1'!I343)))))</f>
        <v>-32.571632726288172</v>
      </c>
      <c r="C343">
        <f>AVERAGE('R1'!J343,'R2'!J343,'R3'!J343)</f>
        <v>1.1633333333333331</v>
      </c>
      <c r="D343">
        <f>AVERAGE('R1'!K343,'R2'!K343,'R3'!K343)</f>
        <v>23.211289583333336</v>
      </c>
      <c r="E343">
        <f>AVERAGE('R1'!L343,'R2'!L343,'R3'!L343)</f>
        <v>-1.9951052757169609</v>
      </c>
      <c r="F343">
        <f>AVERAGE('R1'!M343,'R2'!M343,'R3'!M343)</f>
        <v>1.2305292466371129</v>
      </c>
      <c r="G343">
        <f>AVERAGE('R1'!N343,'R2'!N343,'R3'!N343)</f>
        <v>-0.98417667191538005</v>
      </c>
      <c r="H343">
        <f>AVERAGE('R1'!O343,'R2'!O343,'R3'!O343)</f>
        <v>-0.596188902686832</v>
      </c>
      <c r="I343">
        <f t="shared" si="9"/>
        <v>4500.4111469907402</v>
      </c>
      <c r="K343">
        <f>_xlfn.STDEV.S('R1'!L343,'R2'!L343,'R3'!L343)</f>
        <v>5.7736264414864407E-3</v>
      </c>
      <c r="L343">
        <f>_xlfn.STDEV.S('R1'!M343,'R2'!M343,'R3'!M343)</f>
        <v>3.6344485080099594E-3</v>
      </c>
      <c r="M343">
        <f>_xlfn.STDEV.S('R1'!N343,'R2'!N343,'R3'!N343)</f>
        <v>1.0546281033567678E-2</v>
      </c>
      <c r="N343">
        <f>_xlfn.STDEV.S('R1'!O343,'R2'!O343,'R3'!O343)</f>
        <v>5.1487080688859144E-3</v>
      </c>
    </row>
    <row r="344" spans="1:14" x14ac:dyDescent="0.25">
      <c r="A344">
        <f>-'R1'!H344</f>
        <v>-12</v>
      </c>
      <c r="B344">
        <f>DEGREES(ATAN(-SIN(RADIANS(('R1'!I344)))/(COS(RADIANS(Sheet1!A344))*COS(RADIANS('R1'!I344)))))</f>
        <v>-36.604002006988381</v>
      </c>
      <c r="C344">
        <f>AVERAGE('R1'!J344,'R2'!J344,'R3'!J344)</f>
        <v>1.1633333333333331</v>
      </c>
      <c r="D344">
        <f>AVERAGE('R1'!K344,'R2'!K344,'R3'!K344)</f>
        <v>23.176247666666669</v>
      </c>
      <c r="E344">
        <f>AVERAGE('R1'!L344,'R2'!L344,'R3'!L344)</f>
        <v>-2.3328705295279017</v>
      </c>
      <c r="F344">
        <f>AVERAGE('R1'!M344,'R2'!M344,'R3'!M344)</f>
        <v>1.4216872856469649</v>
      </c>
      <c r="G344">
        <f>AVERAGE('R1'!N344,'R2'!N344,'R3'!N344)</f>
        <v>-1.3347552604116519</v>
      </c>
      <c r="H344">
        <f>AVERAGE('R1'!O344,'R2'!O344,'R3'!O344)</f>
        <v>-0.86249758796588882</v>
      </c>
      <c r="I344">
        <f t="shared" si="9"/>
        <v>4493.6169087037033</v>
      </c>
      <c r="K344">
        <f>_xlfn.STDEV.S('R1'!L344,'R2'!L344,'R3'!L344)</f>
        <v>2.0828072734465522E-3</v>
      </c>
      <c r="L344">
        <f>_xlfn.STDEV.S('R1'!M344,'R2'!M344,'R3'!M344)</f>
        <v>2.2745623117310303E-3</v>
      </c>
      <c r="M344">
        <f>_xlfn.STDEV.S('R1'!N344,'R2'!N344,'R3'!N344)</f>
        <v>4.5969624021959393E-3</v>
      </c>
      <c r="N344">
        <f>_xlfn.STDEV.S('R1'!O344,'R2'!O344,'R3'!O344)</f>
        <v>4.2441741641294894E-3</v>
      </c>
    </row>
    <row r="345" spans="1:14" x14ac:dyDescent="0.25">
      <c r="A345">
        <f>-'R1'!H345</f>
        <v>-12</v>
      </c>
      <c r="B345">
        <f>DEGREES(ATAN(-SIN(RADIANS(('R1'!I345)))/(COS(RADIANS(Sheet1!A345))*COS(RADIANS('R1'!I345)))))</f>
        <v>-40.624498244732152</v>
      </c>
      <c r="C345">
        <f>AVERAGE('R1'!J345,'R2'!J345,'R3'!J345)</f>
        <v>1.1633333333333331</v>
      </c>
      <c r="D345">
        <f>AVERAGE('R1'!K345,'R2'!K345,'R3'!K345)</f>
        <v>22.909724666666666</v>
      </c>
      <c r="E345">
        <f>AVERAGE('R1'!L345,'R2'!L345,'R3'!L345)</f>
        <v>-2.8357724229450576</v>
      </c>
      <c r="F345">
        <f>AVERAGE('R1'!M345,'R2'!M345,'R3'!M345)</f>
        <v>1.6917301167657444</v>
      </c>
      <c r="G345">
        <f>AVERAGE('R1'!N345,'R2'!N345,'R3'!N345)</f>
        <v>-1.8650811484842176</v>
      </c>
      <c r="H345">
        <f>AVERAGE('R1'!O345,'R2'!O345,'R3'!O345)</f>
        <v>-1.2195075561110393</v>
      </c>
      <c r="I345">
        <f t="shared" si="9"/>
        <v>4441.94106037037</v>
      </c>
      <c r="K345">
        <f>_xlfn.STDEV.S('R1'!L345,'R2'!L345,'R3'!L345)</f>
        <v>8.6426590447466686E-3</v>
      </c>
      <c r="L345">
        <f>_xlfn.STDEV.S('R1'!M345,'R2'!M345,'R3'!M345)</f>
        <v>3.0458764147527858E-3</v>
      </c>
      <c r="M345">
        <f>_xlfn.STDEV.S('R1'!N345,'R2'!N345,'R3'!N345)</f>
        <v>5.5967191965915104E-3</v>
      </c>
      <c r="N345">
        <f>_xlfn.STDEV.S('R1'!O345,'R2'!O345,'R3'!O345)</f>
        <v>3.2147577112531774E-3</v>
      </c>
    </row>
    <row r="346" spans="1:14" x14ac:dyDescent="0.25">
      <c r="A346">
        <f>-'R1'!H346</f>
        <v>-12</v>
      </c>
      <c r="B346">
        <f>DEGREES(ATAN(-SIN(RADIANS(('R1'!I346)))/(COS(RADIANS(Sheet1!A346))*COS(RADIANS('R1'!I346)))))</f>
        <v>-44.632773428056808</v>
      </c>
      <c r="C346">
        <f>AVERAGE('R1'!J346,'R2'!J346,'R3'!J346)</f>
        <v>1.1633333333333331</v>
      </c>
      <c r="D346">
        <f>AVERAGE('R1'!K346,'R2'!K346,'R3'!K346)</f>
        <v>22.591234083333333</v>
      </c>
      <c r="E346">
        <f>AVERAGE('R1'!L346,'R2'!L346,'R3'!L346)</f>
        <v>-3.5356531097983486</v>
      </c>
      <c r="F346">
        <f>AVERAGE('R1'!M346,'R2'!M346,'R3'!M346)</f>
        <v>2.0574353770367555</v>
      </c>
      <c r="G346">
        <f>AVERAGE('R1'!N346,'R2'!N346,'R3'!N346)</f>
        <v>-2.6321644111694451</v>
      </c>
      <c r="H346">
        <f>AVERAGE('R1'!O346,'R2'!O346,'R3'!O346)</f>
        <v>-1.7062397589351832</v>
      </c>
      <c r="I346">
        <f t="shared" si="9"/>
        <v>4380.1892750462948</v>
      </c>
      <c r="K346">
        <f>_xlfn.STDEV.S('R1'!L346,'R2'!L346,'R3'!L346)</f>
        <v>1.6188437301517707E-2</v>
      </c>
      <c r="L346">
        <f>_xlfn.STDEV.S('R1'!M346,'R2'!M346,'R3'!M346)</f>
        <v>5.9548067926705455E-3</v>
      </c>
      <c r="M346">
        <f>_xlfn.STDEV.S('R1'!N346,'R2'!N346,'R3'!N346)</f>
        <v>1.279959590814965E-2</v>
      </c>
      <c r="N346">
        <f>_xlfn.STDEV.S('R1'!O346,'R2'!O346,'R3'!O346)</f>
        <v>6.5290873658200637E-3</v>
      </c>
    </row>
    <row r="347" spans="1:14" x14ac:dyDescent="0.25">
      <c r="A347">
        <f>-'R1'!H347</f>
        <v>-16</v>
      </c>
      <c r="B347">
        <f>DEGREES(ATAN(-SIN(RADIANS(('R1'!I347)))/(COS(RADIANS(Sheet1!A347))*COS(RADIANS('R1'!I347)))))</f>
        <v>45.131634150601585</v>
      </c>
      <c r="C347">
        <f>AVERAGE('R1'!J347,'R2'!J347,'R3'!J347)</f>
        <v>1.1633333333333331</v>
      </c>
      <c r="D347">
        <f>AVERAGE('R1'!K347,'R2'!K347,'R3'!K347)</f>
        <v>22.080127749999999</v>
      </c>
      <c r="E347">
        <f>AVERAGE('R1'!L347,'R2'!L347,'R3'!L347)</f>
        <v>2.4003283840064964</v>
      </c>
      <c r="F347">
        <f>AVERAGE('R1'!M347,'R2'!M347,'R3'!M347)</f>
        <v>1.398103206562495</v>
      </c>
      <c r="G347">
        <f>AVERAGE('R1'!N347,'R2'!N347,'R3'!N347)</f>
        <v>-1.4036531828804766</v>
      </c>
      <c r="H347">
        <f>AVERAGE('R1'!O347,'R2'!O347,'R3'!O347)</f>
        <v>-1.1483555921940074</v>
      </c>
      <c r="I347">
        <f t="shared" si="9"/>
        <v>4281.091435972221</v>
      </c>
      <c r="K347">
        <f>_xlfn.STDEV.S('R1'!L347,'R2'!L347,'R3'!L347)</f>
        <v>2.6087226868030527E-3</v>
      </c>
      <c r="L347">
        <f>_xlfn.STDEV.S('R1'!M347,'R2'!M347,'R3'!M347)</f>
        <v>1.3124599576320828E-3</v>
      </c>
      <c r="M347">
        <f>_xlfn.STDEV.S('R1'!N347,'R2'!N347,'R3'!N347)</f>
        <v>4.8117590452573392E-3</v>
      </c>
      <c r="N347">
        <f>_xlfn.STDEV.S('R1'!O347,'R2'!O347,'R3'!O347)</f>
        <v>1.9123894227827029E-4</v>
      </c>
    </row>
    <row r="348" spans="1:14" x14ac:dyDescent="0.25">
      <c r="A348">
        <f>-'R1'!H348</f>
        <v>-16</v>
      </c>
      <c r="B348">
        <f>DEGREES(ATAN(-SIN(RADIANS(('R1'!I348)))/(COS(RADIANS(Sheet1!A348))*COS(RADIANS('R1'!I348)))))</f>
        <v>41.118191358294368</v>
      </c>
      <c r="C348">
        <f>AVERAGE('R1'!J348,'R2'!J348,'R3'!J348)</f>
        <v>1.1633333333333331</v>
      </c>
      <c r="D348">
        <f>AVERAGE('R1'!K348,'R2'!K348,'R3'!K348)</f>
        <v>21.983686583333334</v>
      </c>
      <c r="E348">
        <f>AVERAGE('R1'!L348,'R2'!L348,'R3'!L348)</f>
        <v>2.132594614166702</v>
      </c>
      <c r="F348">
        <f>AVERAGE('R1'!M348,'R2'!M348,'R3'!M348)</f>
        <v>1.2842094470367287</v>
      </c>
      <c r="G348">
        <f>AVERAGE('R1'!N348,'R2'!N348,'R3'!N348)</f>
        <v>-1.1142236633163802</v>
      </c>
      <c r="H348">
        <f>AVERAGE('R1'!O348,'R2'!O348,'R3'!O348)</f>
        <v>-0.91769618928856345</v>
      </c>
      <c r="I348">
        <f t="shared" si="9"/>
        <v>4262.392565324074</v>
      </c>
      <c r="K348">
        <f>_xlfn.STDEV.S('R1'!L348,'R2'!L348,'R3'!L348)</f>
        <v>9.2870388274584447E-3</v>
      </c>
      <c r="L348">
        <f>_xlfn.STDEV.S('R1'!M348,'R2'!M348,'R3'!M348)</f>
        <v>6.920854273611117E-3</v>
      </c>
      <c r="M348">
        <f>_xlfn.STDEV.S('R1'!N348,'R2'!N348,'R3'!N348)</f>
        <v>9.2934226441507058E-3</v>
      </c>
      <c r="N348">
        <f>_xlfn.STDEV.S('R1'!O348,'R2'!O348,'R3'!O348)</f>
        <v>2.404848736164943E-3</v>
      </c>
    </row>
    <row r="349" spans="1:14" x14ac:dyDescent="0.25">
      <c r="A349">
        <f>-'R1'!H349</f>
        <v>-16</v>
      </c>
      <c r="B349">
        <f>DEGREES(ATAN(-SIN(RADIANS(('R1'!I349)))/(COS(RADIANS(Sheet1!A349))*COS(RADIANS('R1'!I349)))))</f>
        <v>37.082782431142171</v>
      </c>
      <c r="C349">
        <f>AVERAGE('R1'!J349,'R2'!J349,'R3'!J349)</f>
        <v>1.1633333333333331</v>
      </c>
      <c r="D349">
        <f>AVERAGE('R1'!K349,'R2'!K349,'R3'!K349)</f>
        <v>22.360049333333336</v>
      </c>
      <c r="E349">
        <f>AVERAGE('R1'!L349,'R2'!L349,'R3'!L349)</f>
        <v>1.9121438922483662</v>
      </c>
      <c r="F349">
        <f>AVERAGE('R1'!M349,'R2'!M349,'R3'!M349)</f>
        <v>1.2122582800873198</v>
      </c>
      <c r="G349">
        <f>AVERAGE('R1'!N349,'R2'!N349,'R3'!N349)</f>
        <v>-0.90287254023951935</v>
      </c>
      <c r="H349">
        <f>AVERAGE('R1'!O349,'R2'!O349,'R3'!O349)</f>
        <v>-0.72955236158461345</v>
      </c>
      <c r="I349">
        <f t="shared" si="9"/>
        <v>4335.3651207407411</v>
      </c>
      <c r="K349">
        <f>_xlfn.STDEV.S('R1'!L349,'R2'!L349,'R3'!L349)</f>
        <v>6.2498538007794069E-3</v>
      </c>
      <c r="L349">
        <f>_xlfn.STDEV.S('R1'!M349,'R2'!M349,'R3'!M349)</f>
        <v>4.9084617167953733E-3</v>
      </c>
      <c r="M349">
        <f>_xlfn.STDEV.S('R1'!N349,'R2'!N349,'R3'!N349)</f>
        <v>1.0000057718040585E-2</v>
      </c>
      <c r="N349">
        <f>_xlfn.STDEV.S('R1'!O349,'R2'!O349,'R3'!O349)</f>
        <v>1.1219971923857614E-3</v>
      </c>
    </row>
    <row r="350" spans="1:14" x14ac:dyDescent="0.25">
      <c r="A350">
        <f>-'R1'!H350</f>
        <v>-16</v>
      </c>
      <c r="B350">
        <f>DEGREES(ATAN(-SIN(RADIANS(('R1'!I350)))/(COS(RADIANS(Sheet1!A350))*COS(RADIANS('R1'!I350)))))</f>
        <v>33.025931133441695</v>
      </c>
      <c r="C350">
        <f>AVERAGE('R1'!J350,'R2'!J350,'R3'!J350)</f>
        <v>1.1633333333333331</v>
      </c>
      <c r="D350">
        <f>AVERAGE('R1'!K350,'R2'!K350,'R3'!K350)</f>
        <v>22.872075583333331</v>
      </c>
      <c r="E350">
        <f>AVERAGE('R1'!L350,'R2'!L350,'R3'!L350)</f>
        <v>1.7163485132787148</v>
      </c>
      <c r="F350">
        <f>AVERAGE('R1'!M350,'R2'!M350,'R3'!M350)</f>
        <v>1.1487778316744219</v>
      </c>
      <c r="G350">
        <f>AVERAGE('R1'!N350,'R2'!N350,'R3'!N350)</f>
        <v>-0.7280148787773455</v>
      </c>
      <c r="H350">
        <f>AVERAGE('R1'!O350,'R2'!O350,'R3'!O350)</f>
        <v>-0.54494921234267368</v>
      </c>
      <c r="I350">
        <f t="shared" si="9"/>
        <v>4434.6413214351842</v>
      </c>
      <c r="K350">
        <f>_xlfn.STDEV.S('R1'!L350,'R2'!L350,'R3'!L350)</f>
        <v>4.0555995502533741E-3</v>
      </c>
      <c r="L350">
        <f>_xlfn.STDEV.S('R1'!M350,'R2'!M350,'R3'!M350)</f>
        <v>5.3451367876368215E-3</v>
      </c>
      <c r="M350">
        <f>_xlfn.STDEV.S('R1'!N350,'R2'!N350,'R3'!N350)</f>
        <v>3.2077094777209509E-3</v>
      </c>
      <c r="N350">
        <f>_xlfn.STDEV.S('R1'!O350,'R2'!O350,'R3'!O350)</f>
        <v>4.6992111974737891E-3</v>
      </c>
    </row>
    <row r="351" spans="1:14" x14ac:dyDescent="0.25">
      <c r="A351">
        <f>-'R1'!H351</f>
        <v>-16</v>
      </c>
      <c r="B351">
        <f>DEGREES(ATAN(-SIN(RADIANS(('R1'!I351)))/(COS(RADIANS(Sheet1!A351))*COS(RADIANS('R1'!I351)))))</f>
        <v>28.948605633454871</v>
      </c>
      <c r="C351">
        <f>AVERAGE('R1'!J351,'R2'!J351,'R3'!J351)</f>
        <v>1.1633333333333331</v>
      </c>
      <c r="D351">
        <f>AVERAGE('R1'!K351,'R2'!K351,'R3'!K351)</f>
        <v>23.0319875</v>
      </c>
      <c r="E351">
        <f>AVERAGE('R1'!L351,'R2'!L351,'R3'!L351)</f>
        <v>1.5325594088749366</v>
      </c>
      <c r="F351">
        <f>AVERAGE('R1'!M351,'R2'!M351,'R3'!M351)</f>
        <v>1.0926411592552618</v>
      </c>
      <c r="G351">
        <f>AVERAGE('R1'!N351,'R2'!N351,'R3'!N351)</f>
        <v>-0.58219001882159349</v>
      </c>
      <c r="H351">
        <f>AVERAGE('R1'!O351,'R2'!O351,'R3'!O351)</f>
        <v>-0.36200331971169691</v>
      </c>
      <c r="I351">
        <f t="shared" si="9"/>
        <v>4465.6464652777768</v>
      </c>
      <c r="K351">
        <f>_xlfn.STDEV.S('R1'!L351,'R2'!L351,'R3'!L351)</f>
        <v>2.9117024208813926E-3</v>
      </c>
      <c r="L351">
        <f>_xlfn.STDEV.S('R1'!M351,'R2'!M351,'R3'!M351)</f>
        <v>1.753341002668118E-3</v>
      </c>
      <c r="M351">
        <f>_xlfn.STDEV.S('R1'!N351,'R2'!N351,'R3'!N351)</f>
        <v>2.6191381305784192E-3</v>
      </c>
      <c r="N351">
        <f>_xlfn.STDEV.S('R1'!O351,'R2'!O351,'R3'!O351)</f>
        <v>1.5756354422050104E-3</v>
      </c>
    </row>
    <row r="352" spans="1:14" x14ac:dyDescent="0.25">
      <c r="A352">
        <f>-'R1'!H352</f>
        <v>-16</v>
      </c>
      <c r="B352">
        <f>DEGREES(ATAN(-SIN(RADIANS(('R1'!I352)))/(COS(RADIANS(Sheet1!A352))*COS(RADIANS('R1'!I352)))))</f>
        <v>24.852211192112133</v>
      </c>
      <c r="C352">
        <f>AVERAGE('R1'!J352,'R2'!J352,'R3'!J352)</f>
        <v>1.1633333333333331</v>
      </c>
      <c r="D352">
        <f>AVERAGE('R1'!K352,'R2'!K352,'R3'!K352)</f>
        <v>22.967252250000001</v>
      </c>
      <c r="E352">
        <f>AVERAGE('R1'!L352,'R2'!L352,'R3'!L352)</f>
        <v>1.3673978486083456</v>
      </c>
      <c r="F352">
        <f>AVERAGE('R1'!M352,'R2'!M352,'R3'!M352)</f>
        <v>1.0367297637650683</v>
      </c>
      <c r="G352">
        <f>AVERAGE('R1'!N352,'R2'!N352,'R3'!N352)</f>
        <v>-0.46922206973889802</v>
      </c>
      <c r="H352">
        <f>AVERAGE('R1'!O352,'R2'!O352,'R3'!O352)</f>
        <v>-0.18108117722291728</v>
      </c>
      <c r="I352">
        <f t="shared" si="9"/>
        <v>4453.0950195833329</v>
      </c>
      <c r="K352">
        <f>_xlfn.STDEV.S('R1'!L352,'R2'!L352,'R3'!L352)</f>
        <v>3.5919408211850436E-3</v>
      </c>
      <c r="L352">
        <f>_xlfn.STDEV.S('R1'!M352,'R2'!M352,'R3'!M352)</f>
        <v>3.5868546436891931E-3</v>
      </c>
      <c r="M352">
        <f>_xlfn.STDEV.S('R1'!N352,'R2'!N352,'R3'!N352)</f>
        <v>3.3710278391265894E-3</v>
      </c>
      <c r="N352">
        <f>_xlfn.STDEV.S('R1'!O352,'R2'!O352,'R3'!O352)</f>
        <v>2.5398677488015589E-3</v>
      </c>
    </row>
    <row r="353" spans="1:14" x14ac:dyDescent="0.25">
      <c r="A353">
        <f>-'R1'!H353</f>
        <v>-16</v>
      </c>
      <c r="B353">
        <f>DEGREES(ATAN(-SIN(RADIANS(('R1'!I353)))/(COS(RADIANS(Sheet1!A353))*COS(RADIANS('R1'!I353)))))</f>
        <v>20.738571475352053</v>
      </c>
      <c r="C353">
        <f>AVERAGE('R1'!J353,'R2'!J353,'R3'!J353)</f>
        <v>1.1633333333333331</v>
      </c>
      <c r="D353">
        <f>AVERAGE('R1'!K353,'R2'!K353,'R3'!K353)</f>
        <v>22.952796583333335</v>
      </c>
      <c r="E353">
        <f>AVERAGE('R1'!L353,'R2'!L353,'R3'!L353)</f>
        <v>1.168686154384917</v>
      </c>
      <c r="F353">
        <f>AVERAGE('R1'!M353,'R2'!M353,'R3'!M353)</f>
        <v>1.0215003259791269</v>
      </c>
      <c r="G353">
        <f>AVERAGE('R1'!N353,'R2'!N353,'R3'!N353)</f>
        <v>-0.36916653361187796</v>
      </c>
      <c r="H353">
        <f>AVERAGE('R1'!O353,'R2'!O353,'R3'!O353)</f>
        <v>-9.7123043197623309E-3</v>
      </c>
      <c r="I353">
        <f t="shared" si="9"/>
        <v>4450.2922264351846</v>
      </c>
      <c r="K353">
        <f>_xlfn.STDEV.S('R1'!L353,'R2'!L353,'R3'!L353)</f>
        <v>4.1841216873889746E-3</v>
      </c>
      <c r="L353">
        <f>_xlfn.STDEV.S('R1'!M353,'R2'!M353,'R3'!M353)</f>
        <v>7.2002342923673775E-3</v>
      </c>
      <c r="M353">
        <f>_xlfn.STDEV.S('R1'!N353,'R2'!N353,'R3'!N353)</f>
        <v>3.0449741407405275E-3</v>
      </c>
      <c r="N353">
        <f>_xlfn.STDEV.S('R1'!O353,'R2'!O353,'R3'!O353)</f>
        <v>5.5460022911769779E-3</v>
      </c>
    </row>
    <row r="354" spans="1:14" x14ac:dyDescent="0.25">
      <c r="A354">
        <f>-'R1'!H354</f>
        <v>-16</v>
      </c>
      <c r="B354">
        <f>DEGREES(ATAN(-SIN(RADIANS(('R1'!I354)))/(COS(RADIANS(Sheet1!A354))*COS(RADIANS('R1'!I354)))))</f>
        <v>16.609898016932938</v>
      </c>
      <c r="C354">
        <f>AVERAGE('R1'!J354,'R2'!J354,'R3'!J354)</f>
        <v>1.1633333333333331</v>
      </c>
      <c r="D354">
        <f>AVERAGE('R1'!K354,'R2'!K354,'R3'!K354)</f>
        <v>23.010775416666664</v>
      </c>
      <c r="E354">
        <f>AVERAGE('R1'!L354,'R2'!L354,'R3'!L354)</f>
        <v>0.94909334531009149</v>
      </c>
      <c r="F354">
        <f>AVERAGE('R1'!M354,'R2'!M354,'R3'!M354)</f>
        <v>1.0420137963380607</v>
      </c>
      <c r="G354">
        <f>AVERAGE('R1'!N354,'R2'!N354,'R3'!N354)</f>
        <v>-0.28482390016660003</v>
      </c>
      <c r="H354">
        <f>AVERAGE('R1'!O354,'R2'!O354,'R3'!O354)</f>
        <v>0.13150541781714054</v>
      </c>
      <c r="I354">
        <f t="shared" si="9"/>
        <v>4461.5336780092575</v>
      </c>
      <c r="K354">
        <f>_xlfn.STDEV.S('R1'!L354,'R2'!L354,'R3'!L354)</f>
        <v>5.1458457738582609E-3</v>
      </c>
      <c r="L354">
        <f>_xlfn.STDEV.S('R1'!M354,'R2'!M354,'R3'!M354)</f>
        <v>4.8080549362898685E-3</v>
      </c>
      <c r="M354">
        <f>_xlfn.STDEV.S('R1'!N354,'R2'!N354,'R3'!N354)</f>
        <v>2.4681344691280136E-3</v>
      </c>
      <c r="N354">
        <f>_xlfn.STDEV.S('R1'!O354,'R2'!O354,'R3'!O354)</f>
        <v>7.7458244428033965E-3</v>
      </c>
    </row>
    <row r="355" spans="1:14" x14ac:dyDescent="0.25">
      <c r="A355">
        <f>-'R1'!H355</f>
        <v>-16</v>
      </c>
      <c r="B355">
        <f>DEGREES(ATAN(-SIN(RADIANS(('R1'!I355)))/(COS(RADIANS(Sheet1!A355))*COS(RADIANS('R1'!I355)))))</f>
        <v>12.468747879350856</v>
      </c>
      <c r="C355">
        <f>AVERAGE('R1'!J355,'R2'!J355,'R3'!J355)</f>
        <v>1.1633333333333331</v>
      </c>
      <c r="D355">
        <f>AVERAGE('R1'!K355,'R2'!K355,'R3'!K355)</f>
        <v>22.944999749999997</v>
      </c>
      <c r="E355">
        <f>AVERAGE('R1'!L355,'R2'!L355,'R3'!L355)</f>
        <v>0.70993885769148601</v>
      </c>
      <c r="F355">
        <f>AVERAGE('R1'!M355,'R2'!M355,'R3'!M355)</f>
        <v>1.0865090029566653</v>
      </c>
      <c r="G355">
        <f>AVERAGE('R1'!N355,'R2'!N355,'R3'!N355)</f>
        <v>-0.21631605654376176</v>
      </c>
      <c r="H355">
        <f>AVERAGE('R1'!O355,'R2'!O355,'R3'!O355)</f>
        <v>0.23390194616256155</v>
      </c>
      <c r="I355">
        <f t="shared" si="9"/>
        <v>4448.7805070833319</v>
      </c>
      <c r="K355">
        <f>_xlfn.STDEV.S('R1'!L355,'R2'!L355,'R3'!L355)</f>
        <v>3.087600887594715E-3</v>
      </c>
      <c r="L355">
        <f>_xlfn.STDEV.S('R1'!M355,'R2'!M355,'R3'!M355)</f>
        <v>5.0480097641018564E-3</v>
      </c>
      <c r="M355">
        <f>_xlfn.STDEV.S('R1'!N355,'R2'!N355,'R3'!N355)</f>
        <v>2.2848529233685808E-3</v>
      </c>
      <c r="N355">
        <f>_xlfn.STDEV.S('R1'!O355,'R2'!O355,'R3'!O355)</f>
        <v>2.7121022700825311E-3</v>
      </c>
    </row>
    <row r="356" spans="1:14" x14ac:dyDescent="0.25">
      <c r="A356">
        <f>-'R1'!H356</f>
        <v>-16</v>
      </c>
      <c r="B356">
        <f>DEGREES(ATAN(-SIN(RADIANS(('R1'!I356)))/(COS(RADIANS(Sheet1!A356))*COS(RADIANS('R1'!I356)))))</f>
        <v>8.3179701536192301</v>
      </c>
      <c r="C356">
        <f>AVERAGE('R1'!J356,'R2'!J356,'R3'!J356)</f>
        <v>1.1633333333333331</v>
      </c>
      <c r="D356">
        <f>AVERAGE('R1'!K356,'R2'!K356,'R3'!K356)</f>
        <v>22.449542416666663</v>
      </c>
      <c r="E356">
        <f>AVERAGE('R1'!L356,'R2'!L356,'R3'!L356)</f>
        <v>0.48374761027879404</v>
      </c>
      <c r="F356">
        <f>AVERAGE('R1'!M356,'R2'!M356,'R3'!M356)</f>
        <v>1.1493418532049837</v>
      </c>
      <c r="G356">
        <f>AVERAGE('R1'!N356,'R2'!N356,'R3'!N356)</f>
        <v>-0.17638037040493737</v>
      </c>
      <c r="H356">
        <f>AVERAGE('R1'!O356,'R2'!O356,'R3'!O356)</f>
        <v>0.30625015664355471</v>
      </c>
      <c r="I356">
        <f t="shared" si="9"/>
        <v>4352.7168352314802</v>
      </c>
      <c r="K356">
        <f>_xlfn.STDEV.S('R1'!L356,'R2'!L356,'R3'!L356)</f>
        <v>2.2049781746588098E-3</v>
      </c>
      <c r="L356">
        <f>_xlfn.STDEV.S('R1'!M356,'R2'!M356,'R3'!M356)</f>
        <v>7.8884206791537594E-3</v>
      </c>
      <c r="M356">
        <f>_xlfn.STDEV.S('R1'!N356,'R2'!N356,'R3'!N356)</f>
        <v>4.1615533949748446E-3</v>
      </c>
      <c r="N356">
        <f>_xlfn.STDEV.S('R1'!O356,'R2'!O356,'R3'!O356)</f>
        <v>3.0855249930223745E-3</v>
      </c>
    </row>
    <row r="357" spans="1:14" x14ac:dyDescent="0.25">
      <c r="A357">
        <f>-'R1'!H357</f>
        <v>-16</v>
      </c>
      <c r="B357">
        <f>DEGREES(ATAN(-SIN(RADIANS(('R1'!I357)))/(COS(RADIANS(Sheet1!A357))*COS(RADIANS('R1'!I357)))))</f>
        <v>4.1606425592731879</v>
      </c>
      <c r="C357">
        <f>AVERAGE('R1'!J357,'R2'!J357,'R3'!J357)</f>
        <v>1.1633333333333331</v>
      </c>
      <c r="D357">
        <f>AVERAGE('R1'!K357,'R2'!K357,'R3'!K357)</f>
        <v>22.091633833333333</v>
      </c>
      <c r="E357">
        <f>AVERAGE('R1'!L357,'R2'!L357,'R3'!L357)</f>
        <v>0.25218773437476033</v>
      </c>
      <c r="F357">
        <f>AVERAGE('R1'!M357,'R2'!M357,'R3'!M357)</f>
        <v>1.2102293481904667</v>
      </c>
      <c r="G357">
        <f>AVERAGE('R1'!N357,'R2'!N357,'R3'!N357)</f>
        <v>-0.15689641082830699</v>
      </c>
      <c r="H357">
        <f>AVERAGE('R1'!O357,'R2'!O357,'R3'!O357)</f>
        <v>0.38112739125884526</v>
      </c>
      <c r="I357">
        <f t="shared" si="9"/>
        <v>4283.3223376851847</v>
      </c>
      <c r="K357">
        <f>_xlfn.STDEV.S('R1'!L357,'R2'!L357,'R3'!L357)</f>
        <v>4.7639846024792112E-3</v>
      </c>
      <c r="L357">
        <f>_xlfn.STDEV.S('R1'!M357,'R2'!M357,'R3'!M357)</f>
        <v>8.1533676646552786E-3</v>
      </c>
      <c r="M357">
        <f>_xlfn.STDEV.S('R1'!N357,'R2'!N357,'R3'!N357)</f>
        <v>1.5271727024687763E-3</v>
      </c>
      <c r="N357">
        <f>_xlfn.STDEV.S('R1'!O357,'R2'!O357,'R3'!O357)</f>
        <v>5.8006381327580254E-3</v>
      </c>
    </row>
    <row r="358" spans="1:14" x14ac:dyDescent="0.25">
      <c r="A358">
        <f>-'R1'!H358</f>
        <v>-16</v>
      </c>
      <c r="B358">
        <f>DEGREES(ATAN(-SIN(RADIANS(('R1'!I358)))/(COS(RADIANS(Sheet1!A358))*COS(RADIANS('R1'!I358)))))</f>
        <v>0</v>
      </c>
      <c r="C358">
        <f>AVERAGE('R1'!J358,'R2'!J358,'R3'!J358)</f>
        <v>1.1633333333333331</v>
      </c>
      <c r="D358">
        <f>AVERAGE('R1'!K358,'R2'!K358,'R3'!K358)</f>
        <v>21.776964500000002</v>
      </c>
      <c r="E358">
        <f>AVERAGE('R1'!L358,'R2'!L358,'R3'!L358)</f>
        <v>-1.1266175950273368E-2</v>
      </c>
      <c r="F358">
        <f>AVERAGE('R1'!M358,'R2'!M358,'R3'!M358)</f>
        <v>1.2833403026579981</v>
      </c>
      <c r="G358">
        <f>AVERAGE('R1'!N358,'R2'!N358,'R3'!N358)</f>
        <v>-0.1623318947638526</v>
      </c>
      <c r="H358">
        <f>AVERAGE('R1'!O358,'R2'!O358,'R3'!O358)</f>
        <v>0.47324798443442306</v>
      </c>
      <c r="I358">
        <f t="shared" si="9"/>
        <v>4222.3114502777771</v>
      </c>
      <c r="K358">
        <f>_xlfn.STDEV.S('R1'!L358,'R2'!L358,'R3'!L358)</f>
        <v>3.8796360709250962E-3</v>
      </c>
      <c r="L358">
        <f>_xlfn.STDEV.S('R1'!M358,'R2'!M358,'R3'!M358)</f>
        <v>1.2483782303265332E-2</v>
      </c>
      <c r="M358">
        <f>_xlfn.STDEV.S('R1'!N358,'R2'!N358,'R3'!N358)</f>
        <v>1.4365354587961895E-3</v>
      </c>
      <c r="N358">
        <f>_xlfn.STDEV.S('R1'!O358,'R2'!O358,'R3'!O358)</f>
        <v>6.1161634320909854E-3</v>
      </c>
    </row>
    <row r="359" spans="1:14" x14ac:dyDescent="0.25">
      <c r="A359">
        <f>-'R1'!H359</f>
        <v>-16</v>
      </c>
      <c r="B359">
        <f>DEGREES(ATAN(-SIN(RADIANS(('R1'!I359)))/(COS(RADIANS(Sheet1!A359))*COS(RADIANS('R1'!I359)))))</f>
        <v>-4.1606425592731879</v>
      </c>
      <c r="C359">
        <f>AVERAGE('R1'!J359,'R2'!J359,'R3'!J359)</f>
        <v>1.1633333333333331</v>
      </c>
      <c r="D359">
        <f>AVERAGE('R1'!K359,'R2'!K359,'R3'!K359)</f>
        <v>22.406167416666666</v>
      </c>
      <c r="E359">
        <f>AVERAGE('R1'!L359,'R2'!L359,'R3'!L359)</f>
        <v>-0.27649082244239387</v>
      </c>
      <c r="F359">
        <f>AVERAGE('R1'!M359,'R2'!M359,'R3'!M359)</f>
        <v>1.2028575896104554</v>
      </c>
      <c r="G359">
        <f>AVERAGE('R1'!N359,'R2'!N359,'R3'!N359)</f>
        <v>-0.16616364156102378</v>
      </c>
      <c r="H359">
        <f>AVERAGE('R1'!O359,'R2'!O359,'R3'!O359)</f>
        <v>0.37269812890857829</v>
      </c>
      <c r="I359">
        <f t="shared" si="9"/>
        <v>4344.3069046759247</v>
      </c>
      <c r="K359">
        <f>_xlfn.STDEV.S('R1'!L359,'R2'!L359,'R3'!L359)</f>
        <v>3.2127159739579044E-3</v>
      </c>
      <c r="L359">
        <f>_xlfn.STDEV.S('R1'!M359,'R2'!M359,'R3'!M359)</f>
        <v>8.0081750706871221E-3</v>
      </c>
      <c r="M359">
        <f>_xlfn.STDEV.S('R1'!N359,'R2'!N359,'R3'!N359)</f>
        <v>4.1541958436823101E-3</v>
      </c>
      <c r="N359">
        <f>_xlfn.STDEV.S('R1'!O359,'R2'!O359,'R3'!O359)</f>
        <v>3.0233856127900149E-3</v>
      </c>
    </row>
    <row r="360" spans="1:14" x14ac:dyDescent="0.25">
      <c r="A360">
        <f>-'R1'!H360</f>
        <v>-16</v>
      </c>
      <c r="B360">
        <f>DEGREES(ATAN(-SIN(RADIANS(('R1'!I360)))/(COS(RADIANS(Sheet1!A360))*COS(RADIANS('R1'!I360)))))</f>
        <v>-8.3179701536192301</v>
      </c>
      <c r="C360">
        <f>AVERAGE('R1'!J360,'R2'!J360,'R3'!J360)</f>
        <v>1.1633333333333331</v>
      </c>
      <c r="D360">
        <f>AVERAGE('R1'!K360,'R2'!K360,'R3'!K360)</f>
        <v>22.90512975</v>
      </c>
      <c r="E360">
        <f>AVERAGE('R1'!L360,'R2'!L360,'R3'!L360)</f>
        <v>-0.53413199095496033</v>
      </c>
      <c r="F360">
        <f>AVERAGE('R1'!M360,'R2'!M360,'R3'!M360)</f>
        <v>1.1385167025641636</v>
      </c>
      <c r="G360">
        <f>AVERAGE('R1'!N360,'R2'!N360,'R3'!N360)</f>
        <v>-0.19524951456869569</v>
      </c>
      <c r="H360">
        <f>AVERAGE('R1'!O360,'R2'!O360,'R3'!O360)</f>
        <v>0.27847012671006338</v>
      </c>
      <c r="I360">
        <f t="shared" si="9"/>
        <v>4441.0501570833321</v>
      </c>
      <c r="K360">
        <f>_xlfn.STDEV.S('R1'!L360,'R2'!L360,'R3'!L360)</f>
        <v>3.3781289348988578E-3</v>
      </c>
      <c r="L360">
        <f>_xlfn.STDEV.S('R1'!M360,'R2'!M360,'R3'!M360)</f>
        <v>8.395871873677482E-3</v>
      </c>
      <c r="M360">
        <f>_xlfn.STDEV.S('R1'!N360,'R2'!N360,'R3'!N360)</f>
        <v>3.3912678246547207E-3</v>
      </c>
      <c r="N360">
        <f>_xlfn.STDEV.S('R1'!O360,'R2'!O360,'R3'!O360)</f>
        <v>3.9371369315931793E-3</v>
      </c>
    </row>
    <row r="361" spans="1:14" x14ac:dyDescent="0.25">
      <c r="A361">
        <f>-'R1'!H361</f>
        <v>-16</v>
      </c>
      <c r="B361">
        <f>DEGREES(ATAN(-SIN(RADIANS(('R1'!I361)))/(COS(RADIANS(Sheet1!A361))*COS(RADIANS('R1'!I361)))))</f>
        <v>-12.468747879350856</v>
      </c>
      <c r="C361">
        <f>AVERAGE('R1'!J361,'R2'!J361,'R3'!J361)</f>
        <v>1.1633333333333331</v>
      </c>
      <c r="D361">
        <f>AVERAGE('R1'!K361,'R2'!K361,'R3'!K361)</f>
        <v>23.029372083333332</v>
      </c>
      <c r="E361">
        <f>AVERAGE('R1'!L361,'R2'!L361,'R3'!L361)</f>
        <v>-0.77809280241708079</v>
      </c>
      <c r="F361">
        <f>AVERAGE('R1'!M361,'R2'!M361,'R3'!M361)</f>
        <v>1.0887668574472162</v>
      </c>
      <c r="G361">
        <f>AVERAGE('R1'!N361,'R2'!N361,'R3'!N361)</f>
        <v>-0.24936605008394</v>
      </c>
      <c r="H361">
        <f>AVERAGE('R1'!O361,'R2'!O361,'R3'!O361)</f>
        <v>0.19424558601826106</v>
      </c>
      <c r="I361">
        <f t="shared" si="9"/>
        <v>4465.1393650462951</v>
      </c>
      <c r="K361">
        <f>_xlfn.STDEV.S('R1'!L361,'R2'!L361,'R3'!L361)</f>
        <v>4.0524264334494894E-3</v>
      </c>
      <c r="L361">
        <f>_xlfn.STDEV.S('R1'!M361,'R2'!M361,'R3'!M361)</f>
        <v>7.5936185757148663E-3</v>
      </c>
      <c r="M361">
        <f>_xlfn.STDEV.S('R1'!N361,'R2'!N361,'R3'!N361)</f>
        <v>3.5251632771533137E-3</v>
      </c>
      <c r="N361">
        <f>_xlfn.STDEV.S('R1'!O361,'R2'!O361,'R3'!O361)</f>
        <v>2.8733474957431462E-3</v>
      </c>
    </row>
    <row r="362" spans="1:14" x14ac:dyDescent="0.25">
      <c r="A362">
        <f>-'R1'!H362</f>
        <v>-16</v>
      </c>
      <c r="B362">
        <f>DEGREES(ATAN(-SIN(RADIANS(('R1'!I362)))/(COS(RADIANS(Sheet1!A362))*COS(RADIANS('R1'!I362)))))</f>
        <v>-16.609898016932938</v>
      </c>
      <c r="C362">
        <f>AVERAGE('R1'!J362,'R2'!J362,'R3'!J362)</f>
        <v>1.1633333333333331</v>
      </c>
      <c r="D362">
        <f>AVERAGE('R1'!K362,'R2'!K362,'R3'!K362)</f>
        <v>22.992324333333332</v>
      </c>
      <c r="E362">
        <f>AVERAGE('R1'!L362,'R2'!L362,'R3'!L362)</f>
        <v>-1.0254224574648783</v>
      </c>
      <c r="F362">
        <f>AVERAGE('R1'!M362,'R2'!M362,'R3'!M362)</f>
        <v>1.0683106804637685</v>
      </c>
      <c r="G362">
        <f>AVERAGE('R1'!N362,'R2'!N362,'R3'!N362)</f>
        <v>-0.3374277941271453</v>
      </c>
      <c r="H362">
        <f>AVERAGE('R1'!O362,'R2'!O362,'R3'!O362)</f>
        <v>9.488884720570856E-2</v>
      </c>
      <c r="I362">
        <f t="shared" si="9"/>
        <v>4457.956217962962</v>
      </c>
      <c r="K362">
        <f>_xlfn.STDEV.S('R1'!L362,'R2'!L362,'R3'!L362)</f>
        <v>2.6130758457125745E-3</v>
      </c>
      <c r="L362">
        <f>_xlfn.STDEV.S('R1'!M362,'R2'!M362,'R3'!M362)</f>
        <v>1.1465861561562917E-3</v>
      </c>
      <c r="M362">
        <f>_xlfn.STDEV.S('R1'!N362,'R2'!N362,'R3'!N362)</f>
        <v>6.7153963591273184E-3</v>
      </c>
      <c r="N362">
        <f>_xlfn.STDEV.S('R1'!O362,'R2'!O362,'R3'!O362)</f>
        <v>3.3544738067468132E-3</v>
      </c>
    </row>
    <row r="363" spans="1:14" x14ac:dyDescent="0.25">
      <c r="A363">
        <f>-'R1'!H363</f>
        <v>-16</v>
      </c>
      <c r="B363">
        <f>DEGREES(ATAN(-SIN(RADIANS(('R1'!I363)))/(COS(RADIANS(Sheet1!A363))*COS(RADIANS('R1'!I363)))))</f>
        <v>-20.738571475352053</v>
      </c>
      <c r="C363">
        <f>AVERAGE('R1'!J363,'R2'!J363,'R3'!J363)</f>
        <v>1.1633333333333331</v>
      </c>
      <c r="D363">
        <f>AVERAGE('R1'!K363,'R2'!K363,'R3'!K363)</f>
        <v>22.944586083333334</v>
      </c>
      <c r="E363">
        <f>AVERAGE('R1'!L363,'R2'!L363,'R3'!L363)</f>
        <v>-1.2420668888110304</v>
      </c>
      <c r="F363">
        <f>AVERAGE('R1'!M363,'R2'!M363,'R3'!M363)</f>
        <v>1.1078993655644467</v>
      </c>
      <c r="G363">
        <f>AVERAGE('R1'!N363,'R2'!N363,'R3'!N363)</f>
        <v>-0.44722117386112142</v>
      </c>
      <c r="H363">
        <f>AVERAGE('R1'!O363,'R2'!O363,'R3'!O363)</f>
        <v>-6.5779342930026408E-2</v>
      </c>
      <c r="I363">
        <f t="shared" si="9"/>
        <v>4448.7003017129628</v>
      </c>
      <c r="K363">
        <f>_xlfn.STDEV.S('R1'!L363,'R2'!L363,'R3'!L363)</f>
        <v>2.3655612152688487E-3</v>
      </c>
      <c r="L363">
        <f>_xlfn.STDEV.S('R1'!M363,'R2'!M363,'R3'!M363)</f>
        <v>5.6102368569937063E-3</v>
      </c>
      <c r="M363">
        <f>_xlfn.STDEV.S('R1'!N363,'R2'!N363,'R3'!N363)</f>
        <v>6.7640169488865122E-3</v>
      </c>
      <c r="N363">
        <f>_xlfn.STDEV.S('R1'!O363,'R2'!O363,'R3'!O363)</f>
        <v>8.331514987696664E-3</v>
      </c>
    </row>
    <row r="364" spans="1:14" x14ac:dyDescent="0.25">
      <c r="A364">
        <f>-'R1'!H364</f>
        <v>-16</v>
      </c>
      <c r="B364">
        <f>DEGREES(ATAN(-SIN(RADIANS(('R1'!I364)))/(COS(RADIANS(Sheet1!A364))*COS(RADIANS('R1'!I364)))))</f>
        <v>-24.852211192112133</v>
      </c>
      <c r="C364">
        <f>AVERAGE('R1'!J364,'R2'!J364,'R3'!J364)</f>
        <v>1.1633333333333331</v>
      </c>
      <c r="D364">
        <f>AVERAGE('R1'!K364,'R2'!K364,'R3'!K364)</f>
        <v>23.032243166666671</v>
      </c>
      <c r="E364">
        <f>AVERAGE('R1'!L364,'R2'!L364,'R3'!L364)</f>
        <v>-1.446794907188776</v>
      </c>
      <c r="F364">
        <f>AVERAGE('R1'!M364,'R2'!M364,'R3'!M364)</f>
        <v>1.1929794388884691</v>
      </c>
      <c r="G364">
        <f>AVERAGE('R1'!N364,'R2'!N364,'R3'!N364)</f>
        <v>-0.59223212394567293</v>
      </c>
      <c r="H364">
        <f>AVERAGE('R1'!O364,'R2'!O364,'R3'!O364)</f>
        <v>-0.25253462302201179</v>
      </c>
      <c r="I364">
        <f t="shared" si="9"/>
        <v>4465.6960362037034</v>
      </c>
      <c r="K364">
        <f>_xlfn.STDEV.S('R1'!L364,'R2'!L364,'R3'!L364)</f>
        <v>4.4801279930584059E-3</v>
      </c>
      <c r="L364">
        <f>_xlfn.STDEV.S('R1'!M364,'R2'!M364,'R3'!M364)</f>
        <v>6.2830553154529772E-3</v>
      </c>
      <c r="M364">
        <f>_xlfn.STDEV.S('R1'!N364,'R2'!N364,'R3'!N364)</f>
        <v>3.1108447485901644E-3</v>
      </c>
      <c r="N364">
        <f>_xlfn.STDEV.S('R1'!O364,'R2'!O364,'R3'!O364)</f>
        <v>1.0077494569557715E-2</v>
      </c>
    </row>
    <row r="365" spans="1:14" x14ac:dyDescent="0.25">
      <c r="A365">
        <f>-'R1'!H365</f>
        <v>-16</v>
      </c>
      <c r="B365">
        <f>DEGREES(ATAN(-SIN(RADIANS(('R1'!I365)))/(COS(RADIANS(Sheet1!A365))*COS(RADIANS('R1'!I365)))))</f>
        <v>-28.948605633454871</v>
      </c>
      <c r="C365">
        <f>AVERAGE('R1'!J365,'R2'!J365,'R3'!J365)</f>
        <v>1.1633333333333331</v>
      </c>
      <c r="D365">
        <f>AVERAGE('R1'!K365,'R2'!K365,'R3'!K365)</f>
        <v>23.001963833333335</v>
      </c>
      <c r="E365">
        <f>AVERAGE('R1'!L365,'R2'!L365,'R3'!L365)</f>
        <v>-1.6512435992494048</v>
      </c>
      <c r="F365">
        <f>AVERAGE('R1'!M365,'R2'!M365,'R3'!M365)</f>
        <v>1.3051401588647589</v>
      </c>
      <c r="G365">
        <f>AVERAGE('R1'!N365,'R2'!N365,'R3'!N365)</f>
        <v>-0.76603551682494997</v>
      </c>
      <c r="H365">
        <f>AVERAGE('R1'!O365,'R2'!O365,'R3'!O365)</f>
        <v>-0.45300850170558182</v>
      </c>
      <c r="I365">
        <f t="shared" si="9"/>
        <v>4459.825209907407</v>
      </c>
      <c r="K365">
        <f>_xlfn.STDEV.S('R1'!L365,'R2'!L365,'R3'!L365)</f>
        <v>4.3344762498811838E-3</v>
      </c>
      <c r="L365">
        <f>_xlfn.STDEV.S('R1'!M365,'R2'!M365,'R3'!M365)</f>
        <v>1.2514838086925864E-2</v>
      </c>
      <c r="M365">
        <f>_xlfn.STDEV.S('R1'!N365,'R2'!N365,'R3'!N365)</f>
        <v>6.6206497200534033E-3</v>
      </c>
      <c r="N365">
        <f>_xlfn.STDEV.S('R1'!O365,'R2'!O365,'R3'!O365)</f>
        <v>2.2918821441207317E-3</v>
      </c>
    </row>
    <row r="366" spans="1:14" x14ac:dyDescent="0.25">
      <c r="A366">
        <f>-'R1'!H366</f>
        <v>-16</v>
      </c>
      <c r="B366">
        <f>DEGREES(ATAN(-SIN(RADIANS(('R1'!I366)))/(COS(RADIANS(Sheet1!A366))*COS(RADIANS('R1'!I366)))))</f>
        <v>-33.025931133441695</v>
      </c>
      <c r="C366">
        <f>AVERAGE('R1'!J366,'R2'!J366,'R3'!J366)</f>
        <v>1.1633333333333331</v>
      </c>
      <c r="D366">
        <f>AVERAGE('R1'!K366,'R2'!K366,'R3'!K366)</f>
        <v>22.608450583333333</v>
      </c>
      <c r="E366">
        <f>AVERAGE('R1'!L366,'R2'!L366,'R3'!L366)</f>
        <v>-1.8774690468008097</v>
      </c>
      <c r="F366">
        <f>AVERAGE('R1'!M366,'R2'!M366,'R3'!M366)</f>
        <v>1.4446284156387368</v>
      </c>
      <c r="G366">
        <f>AVERAGE('R1'!N366,'R2'!N366,'R3'!N366)</f>
        <v>-0.98662351449563535</v>
      </c>
      <c r="H366">
        <f>AVERAGE('R1'!O366,'R2'!O366,'R3'!O366)</f>
        <v>-0.67427534304247994</v>
      </c>
      <c r="I366">
        <f t="shared" si="9"/>
        <v>4383.5273631018508</v>
      </c>
      <c r="K366">
        <f>_xlfn.STDEV.S('R1'!L366,'R2'!L366,'R3'!L366)</f>
        <v>5.3769920374507722E-3</v>
      </c>
      <c r="L366">
        <f>_xlfn.STDEV.S('R1'!M366,'R2'!M366,'R3'!M366)</f>
        <v>9.3329880979431679E-3</v>
      </c>
      <c r="M366">
        <f>_xlfn.STDEV.S('R1'!N366,'R2'!N366,'R3'!N366)</f>
        <v>6.1082914499712487E-3</v>
      </c>
      <c r="N366">
        <f>_xlfn.STDEV.S('R1'!O366,'R2'!O366,'R3'!O366)</f>
        <v>2.0570299682893816E-3</v>
      </c>
    </row>
    <row r="367" spans="1:14" x14ac:dyDescent="0.25">
      <c r="A367">
        <f>-'R1'!H367</f>
        <v>-16</v>
      </c>
      <c r="B367">
        <f>DEGREES(ATAN(-SIN(RADIANS(('R1'!I367)))/(COS(RADIANS(Sheet1!A367))*COS(RADIANS('R1'!I367)))))</f>
        <v>-37.082782431142171</v>
      </c>
      <c r="C367">
        <f>AVERAGE('R1'!J367,'R2'!J367,'R3'!J367)</f>
        <v>1.1633333333333331</v>
      </c>
      <c r="D367">
        <f>AVERAGE('R1'!K367,'R2'!K367,'R3'!K367)</f>
        <v>22.221884333333335</v>
      </c>
      <c r="E367">
        <f>AVERAGE('R1'!L367,'R2'!L367,'R3'!L367)</f>
        <v>-2.156376272230851</v>
      </c>
      <c r="F367">
        <f>AVERAGE('R1'!M367,'R2'!M367,'R3'!M367)</f>
        <v>1.6239414664443765</v>
      </c>
      <c r="G367">
        <f>AVERAGE('R1'!N367,'R2'!N367,'R3'!N367)</f>
        <v>-1.2836720303324767</v>
      </c>
      <c r="H367">
        <f>AVERAGE('R1'!O367,'R2'!O367,'R3'!O367)</f>
        <v>-0.92189311317762301</v>
      </c>
      <c r="I367">
        <f t="shared" si="9"/>
        <v>4308.5764624074072</v>
      </c>
      <c r="K367">
        <f>_xlfn.STDEV.S('R1'!L367,'R2'!L367,'R3'!L367)</f>
        <v>4.0830793239657985E-3</v>
      </c>
      <c r="L367">
        <f>_xlfn.STDEV.S('R1'!M367,'R2'!M367,'R3'!M367)</f>
        <v>1.0394407640997675E-2</v>
      </c>
      <c r="M367">
        <f>_xlfn.STDEV.S('R1'!N367,'R2'!N367,'R3'!N367)</f>
        <v>5.567906965566756E-3</v>
      </c>
      <c r="N367">
        <f>_xlfn.STDEV.S('R1'!O367,'R2'!O367,'R3'!O367)</f>
        <v>7.2536455770989229E-3</v>
      </c>
    </row>
    <row r="368" spans="1:14" x14ac:dyDescent="0.25">
      <c r="A368">
        <f>-'R1'!H368</f>
        <v>-16</v>
      </c>
      <c r="B368">
        <f>DEGREES(ATAN(-SIN(RADIANS(('R1'!I368)))/(COS(RADIANS(Sheet1!A368))*COS(RADIANS('R1'!I368)))))</f>
        <v>-41.118191358294368</v>
      </c>
      <c r="C368">
        <f>AVERAGE('R1'!J368,'R2'!J368,'R3'!J368)</f>
        <v>1.1633333333333331</v>
      </c>
      <c r="D368">
        <f>AVERAGE('R1'!K368,'R2'!K368,'R3'!K368)</f>
        <v>22.097466916666665</v>
      </c>
      <c r="E368">
        <f>AVERAGE('R1'!L368,'R2'!L368,'R3'!L368)</f>
        <v>-2.5219271579149063</v>
      </c>
      <c r="F368">
        <f>AVERAGE('R1'!M368,'R2'!M368,'R3'!M368)</f>
        <v>1.8491586473006059</v>
      </c>
      <c r="G368">
        <f>AVERAGE('R1'!N368,'R2'!N368,'R3'!N368)</f>
        <v>-1.6863314851725413</v>
      </c>
      <c r="H368">
        <f>AVERAGE('R1'!O368,'R2'!O368,'R3'!O368)</f>
        <v>-1.2196458185728181</v>
      </c>
      <c r="I368">
        <f t="shared" si="9"/>
        <v>4284.4533077314809</v>
      </c>
      <c r="K368">
        <f>_xlfn.STDEV.S('R1'!L368,'R2'!L368,'R3'!L368)</f>
        <v>9.3742216535649073E-3</v>
      </c>
      <c r="L368">
        <f>_xlfn.STDEV.S('R1'!M368,'R2'!M368,'R3'!M368)</f>
        <v>1.0408314099142292E-2</v>
      </c>
      <c r="M368">
        <f>_xlfn.STDEV.S('R1'!N368,'R2'!N368,'R3'!N368)</f>
        <v>7.4448271840194943E-3</v>
      </c>
      <c r="N368">
        <f>_xlfn.STDEV.S('R1'!O368,'R2'!O368,'R3'!O368)</f>
        <v>7.6524287224361128E-3</v>
      </c>
    </row>
    <row r="369" spans="1:14" x14ac:dyDescent="0.25">
      <c r="A369">
        <f>-'R1'!H369</f>
        <v>-16</v>
      </c>
      <c r="B369">
        <f>DEGREES(ATAN(-SIN(RADIANS(('R1'!I369)))/(COS(RADIANS(Sheet1!A369))*COS(RADIANS('R1'!I369)))))</f>
        <v>-45.131634150601585</v>
      </c>
      <c r="C369">
        <f>AVERAGE('R1'!J369,'R2'!J369,'R3'!J369)</f>
        <v>1.1633333333333331</v>
      </c>
      <c r="D369">
        <f>AVERAGE('R1'!K369,'R2'!K369,'R3'!K369)</f>
        <v>22.449631749999998</v>
      </c>
      <c r="E369">
        <f>AVERAGE('R1'!L369,'R2'!L369,'R3'!L369)</f>
        <v>-3.0403249850049225</v>
      </c>
      <c r="F369">
        <f>AVERAGE('R1'!M369,'R2'!M369,'R3'!M369)</f>
        <v>2.1698363406049146</v>
      </c>
      <c r="G369">
        <f>AVERAGE('R1'!N369,'R2'!N369,'R3'!N369)</f>
        <v>-2.2831227502965965</v>
      </c>
      <c r="H369">
        <f>AVERAGE('R1'!O369,'R2'!O369,'R3'!O369)</f>
        <v>-1.6254887741618109</v>
      </c>
      <c r="I369">
        <f t="shared" si="9"/>
        <v>4352.7341559722208</v>
      </c>
      <c r="K369">
        <f>_xlfn.STDEV.S('R1'!L369,'R2'!L369,'R3'!L369)</f>
        <v>1.8138734389879493E-2</v>
      </c>
      <c r="L369">
        <f>_xlfn.STDEV.S('R1'!M369,'R2'!M369,'R3'!M369)</f>
        <v>1.5481498887974557E-2</v>
      </c>
      <c r="M369">
        <f>_xlfn.STDEV.S('R1'!N369,'R2'!N369,'R3'!N369)</f>
        <v>1.9263439993473665E-2</v>
      </c>
      <c r="N369">
        <f>_xlfn.STDEV.S('R1'!O369,'R2'!O369,'R3'!O369)</f>
        <v>2.862405191103771E-3</v>
      </c>
    </row>
    <row r="370" spans="1:14" x14ac:dyDescent="0.25">
      <c r="A370">
        <f>-'R1'!H370</f>
        <v>-20</v>
      </c>
      <c r="B370">
        <f>DEGREES(ATAN(-SIN(RADIANS(('R1'!I370)))/(COS(RADIANS(Sheet1!A370))*COS(RADIANS('R1'!I370)))))</f>
        <v>45.781668962964282</v>
      </c>
      <c r="C370">
        <f>AVERAGE('R1'!J370,'R2'!J370,'R3'!J370)</f>
        <v>1.1633333333333331</v>
      </c>
      <c r="D370">
        <f>AVERAGE('R1'!K370,'R2'!K370,'R3'!K370)</f>
        <v>22.674690916666666</v>
      </c>
      <c r="E370">
        <f>AVERAGE('R1'!L370,'R2'!L370,'R3'!L370)</f>
        <v>2.2668491226321321</v>
      </c>
      <c r="F370">
        <f>AVERAGE('R1'!M370,'R2'!M370,'R3'!M370)</f>
        <v>1.6042237656714644</v>
      </c>
      <c r="G370">
        <f>AVERAGE('R1'!N370,'R2'!N370,'R3'!N370)</f>
        <v>-1.393494798728651</v>
      </c>
      <c r="H370">
        <f>AVERAGE('R1'!O370,'R2'!O370,'R3'!O370)</f>
        <v>-1.2091007401948024</v>
      </c>
      <c r="I370">
        <f t="shared" si="9"/>
        <v>4396.3706277314805</v>
      </c>
      <c r="K370">
        <f>_xlfn.STDEV.S('R1'!L370,'R2'!L370,'R3'!L370)</f>
        <v>4.3124526282305687E-3</v>
      </c>
      <c r="L370">
        <f>_xlfn.STDEV.S('R1'!M370,'R2'!M370,'R3'!M370)</f>
        <v>4.0074313805843276E-3</v>
      </c>
      <c r="M370">
        <f>_xlfn.STDEV.S('R1'!N370,'R2'!N370,'R3'!N370)</f>
        <v>7.1402510767973344E-3</v>
      </c>
      <c r="N370">
        <f>_xlfn.STDEV.S('R1'!O370,'R2'!O370,'R3'!O370)</f>
        <v>3.4894540416628341E-3</v>
      </c>
    </row>
    <row r="371" spans="1:14" x14ac:dyDescent="0.25">
      <c r="A371">
        <f>-'R1'!H371</f>
        <v>-20</v>
      </c>
      <c r="B371">
        <f>DEGREES(ATAN(-SIN(RADIANS(('R1'!I371)))/(COS(RADIANS(Sheet1!A371))*COS(RADIANS('R1'!I371)))))</f>
        <v>41.763297417742614</v>
      </c>
      <c r="C371">
        <f>AVERAGE('R1'!J371,'R2'!J371,'R3'!J371)</f>
        <v>1.1633333333333331</v>
      </c>
      <c r="D371">
        <f>AVERAGE('R1'!K371,'R2'!K371,'R3'!K371)</f>
        <v>22.655326833333334</v>
      </c>
      <c r="E371">
        <f>AVERAGE('R1'!L371,'R2'!L371,'R3'!L371)</f>
        <v>2.0367015899090983</v>
      </c>
      <c r="F371">
        <f>AVERAGE('R1'!M371,'R2'!M371,'R3'!M371)</f>
        <v>1.4894109045284807</v>
      </c>
      <c r="G371">
        <f>AVERAGE('R1'!N371,'R2'!N371,'R3'!N371)</f>
        <v>-1.1343465843244209</v>
      </c>
      <c r="H371">
        <f>AVERAGE('R1'!O371,'R2'!O371,'R3'!O371)</f>
        <v>-0.99669942881300055</v>
      </c>
      <c r="I371">
        <f t="shared" si="9"/>
        <v>4392.6161471296291</v>
      </c>
      <c r="K371">
        <f>_xlfn.STDEV.S('R1'!L371,'R2'!L371,'R3'!L371)</f>
        <v>1.8798652908536063E-3</v>
      </c>
      <c r="L371">
        <f>_xlfn.STDEV.S('R1'!M371,'R2'!M371,'R3'!M371)</f>
        <v>2.6127793715707082E-3</v>
      </c>
      <c r="M371">
        <f>_xlfn.STDEV.S('R1'!N371,'R2'!N371,'R3'!N371)</f>
        <v>1.622457958026396E-3</v>
      </c>
      <c r="N371">
        <f>_xlfn.STDEV.S('R1'!O371,'R2'!O371,'R3'!O371)</f>
        <v>2.1933074195207426E-3</v>
      </c>
    </row>
    <row r="372" spans="1:14" x14ac:dyDescent="0.25">
      <c r="A372">
        <f>-'R1'!H372</f>
        <v>-20</v>
      </c>
      <c r="B372">
        <f>DEGREES(ATAN(-SIN(RADIANS(('R1'!I372)))/(COS(RADIANS(Sheet1!A372))*COS(RADIANS('R1'!I372)))))</f>
        <v>37.710134449764993</v>
      </c>
      <c r="C372">
        <f>AVERAGE('R1'!J372,'R2'!J372,'R3'!J372)</f>
        <v>1.1633333333333331</v>
      </c>
      <c r="D372">
        <f>AVERAGE('R1'!K372,'R2'!K372,'R3'!K372)</f>
        <v>22.676150583333328</v>
      </c>
      <c r="E372">
        <f>AVERAGE('R1'!L372,'R2'!L372,'R3'!L372)</f>
        <v>1.8416630002718015</v>
      </c>
      <c r="F372">
        <f>AVERAGE('R1'!M372,'R2'!M372,'R3'!M372)</f>
        <v>1.4120168415352923</v>
      </c>
      <c r="G372">
        <f>AVERAGE('R1'!N372,'R2'!N372,'R3'!N372)</f>
        <v>-0.93863610938411879</v>
      </c>
      <c r="H372">
        <f>AVERAGE('R1'!O372,'R2'!O372,'R3'!O372)</f>
        <v>-0.81860917649516429</v>
      </c>
      <c r="I372">
        <f t="shared" si="9"/>
        <v>4396.6536408796283</v>
      </c>
      <c r="K372">
        <f>_xlfn.STDEV.S('R1'!L372,'R2'!L372,'R3'!L372)</f>
        <v>5.84548843913274E-3</v>
      </c>
      <c r="L372">
        <f>_xlfn.STDEV.S('R1'!M372,'R2'!M372,'R3'!M372)</f>
        <v>1.7783693130033092E-4</v>
      </c>
      <c r="M372">
        <f>_xlfn.STDEV.S('R1'!N372,'R2'!N372,'R3'!N372)</f>
        <v>2.0360124046580109E-3</v>
      </c>
      <c r="N372">
        <f>_xlfn.STDEV.S('R1'!O372,'R2'!O372,'R3'!O372)</f>
        <v>2.9396147466930673E-3</v>
      </c>
    </row>
    <row r="373" spans="1:14" x14ac:dyDescent="0.25">
      <c r="A373">
        <f>-'R1'!H373</f>
        <v>-20</v>
      </c>
      <c r="B373">
        <f>DEGREES(ATAN(-SIN(RADIANS(('R1'!I373)))/(COS(RADIANS(Sheet1!A373))*COS(RADIANS('R1'!I373)))))</f>
        <v>33.622796746730245</v>
      </c>
      <c r="C373">
        <f>AVERAGE('R1'!J373,'R2'!J373,'R3'!J373)</f>
        <v>1.1633333333333331</v>
      </c>
      <c r="D373">
        <f>AVERAGE('R1'!K373,'R2'!K373,'R3'!K373)</f>
        <v>22.868892333333331</v>
      </c>
      <c r="E373">
        <f>AVERAGE('R1'!L373,'R2'!L373,'R3'!L373)</f>
        <v>1.6692473493295787</v>
      </c>
      <c r="F373">
        <f>AVERAGE('R1'!M373,'R2'!M373,'R3'!M373)</f>
        <v>1.339272300044881</v>
      </c>
      <c r="G373">
        <f>AVERAGE('R1'!N373,'R2'!N373,'R3'!N373)</f>
        <v>-0.77809782509910119</v>
      </c>
      <c r="H373">
        <f>AVERAGE('R1'!O373,'R2'!O373,'R3'!O373)</f>
        <v>-0.64597304959382262</v>
      </c>
      <c r="I373">
        <f t="shared" si="9"/>
        <v>4434.0241246296291</v>
      </c>
      <c r="K373">
        <f>_xlfn.STDEV.S('R1'!L373,'R2'!L373,'R3'!L373)</f>
        <v>5.4347091404009897E-3</v>
      </c>
      <c r="L373">
        <f>_xlfn.STDEV.S('R1'!M373,'R2'!M373,'R3'!M373)</f>
        <v>1.6096331921334904E-3</v>
      </c>
      <c r="M373">
        <f>_xlfn.STDEV.S('R1'!N373,'R2'!N373,'R3'!N373)</f>
        <v>3.2113550774100943E-3</v>
      </c>
      <c r="N373">
        <f>_xlfn.STDEV.S('R1'!O373,'R2'!O373,'R3'!O373)</f>
        <v>3.7530123902835087E-3</v>
      </c>
    </row>
    <row r="374" spans="1:14" x14ac:dyDescent="0.25">
      <c r="A374">
        <f>-'R1'!H374</f>
        <v>-20</v>
      </c>
      <c r="B374">
        <f>DEGREES(ATAN(-SIN(RADIANS(('R1'!I374)))/(COS(RADIANS(Sheet1!A374))*COS(RADIANS('R1'!I374)))))</f>
        <v>29.502629281345779</v>
      </c>
      <c r="C374">
        <f>AVERAGE('R1'!J374,'R2'!J374,'R3'!J374)</f>
        <v>1.1633333333333331</v>
      </c>
      <c r="D374">
        <f>AVERAGE('R1'!K374,'R2'!K374,'R3'!K374)</f>
        <v>22.861461083333335</v>
      </c>
      <c r="E374">
        <f>AVERAGE('R1'!L374,'R2'!L374,'R3'!L374)</f>
        <v>1.5218140292777409</v>
      </c>
      <c r="F374">
        <f>AVERAGE('R1'!M374,'R2'!M374,'R3'!M374)</f>
        <v>1.2877646109549623</v>
      </c>
      <c r="G374">
        <f>AVERAGE('R1'!N374,'R2'!N374,'R3'!N374)</f>
        <v>-0.65720640173222478</v>
      </c>
      <c r="H374">
        <f>AVERAGE('R1'!O374,'R2'!O374,'R3'!O374)</f>
        <v>-0.48538752880151587</v>
      </c>
      <c r="I374">
        <f t="shared" si="9"/>
        <v>4432.5832878240735</v>
      </c>
      <c r="K374">
        <f>_xlfn.STDEV.S('R1'!L374,'R2'!L374,'R3'!L374)</f>
        <v>3.742687020522118E-3</v>
      </c>
      <c r="L374">
        <f>_xlfn.STDEV.S('R1'!M374,'R2'!M374,'R3'!M374)</f>
        <v>2.7645339543974079E-3</v>
      </c>
      <c r="M374">
        <f>_xlfn.STDEV.S('R1'!N374,'R2'!N374,'R3'!N374)</f>
        <v>1.5851702755988331E-3</v>
      </c>
      <c r="N374">
        <f>_xlfn.STDEV.S('R1'!O374,'R2'!O374,'R3'!O374)</f>
        <v>4.9562807644575307E-3</v>
      </c>
    </row>
    <row r="375" spans="1:14" x14ac:dyDescent="0.25">
      <c r="A375">
        <f>-'R1'!H375</f>
        <v>-20</v>
      </c>
      <c r="B375">
        <f>DEGREES(ATAN(-SIN(RADIANS(('R1'!I375)))/(COS(RADIANS(Sheet1!A375))*COS(RADIANS('R1'!I375)))))</f>
        <v>25.351709771061881</v>
      </c>
      <c r="C375">
        <f>AVERAGE('R1'!J375,'R2'!J375,'R3'!J375)</f>
        <v>1.1633333333333331</v>
      </c>
      <c r="D375">
        <f>AVERAGE('R1'!K375,'R2'!K375,'R3'!K375)</f>
        <v>22.821554583333334</v>
      </c>
      <c r="E375">
        <f>AVERAGE('R1'!L375,'R2'!L375,'R3'!L375)</f>
        <v>1.3561056675481857</v>
      </c>
      <c r="F375">
        <f>AVERAGE('R1'!M375,'R2'!M375,'R3'!M375)</f>
        <v>1.246859130977205</v>
      </c>
      <c r="G375">
        <f>AVERAGE('R1'!N375,'R2'!N375,'R3'!N375)</f>
        <v>-0.55147944494031631</v>
      </c>
      <c r="H375">
        <f>AVERAGE('R1'!O375,'R2'!O375,'R3'!O375)</f>
        <v>-0.31666537510425979</v>
      </c>
      <c r="I375">
        <f t="shared" si="9"/>
        <v>4424.8458608796291</v>
      </c>
      <c r="K375">
        <f>_xlfn.STDEV.S('R1'!L375,'R2'!L375,'R3'!L375)</f>
        <v>5.2489690515452247E-3</v>
      </c>
      <c r="L375">
        <f>_xlfn.STDEV.S('R1'!M375,'R2'!M375,'R3'!M375)</f>
        <v>3.528248628085508E-3</v>
      </c>
      <c r="M375">
        <f>_xlfn.STDEV.S('R1'!N375,'R2'!N375,'R3'!N375)</f>
        <v>3.740954121270667E-3</v>
      </c>
      <c r="N375">
        <f>_xlfn.STDEV.S('R1'!O375,'R2'!O375,'R3'!O375)</f>
        <v>3.6535999222263699E-3</v>
      </c>
    </row>
    <row r="376" spans="1:14" x14ac:dyDescent="0.25">
      <c r="A376">
        <f>-'R1'!H376</f>
        <v>-20</v>
      </c>
      <c r="B376">
        <f>DEGREES(ATAN(-SIN(RADIANS(('R1'!I376)))/(COS(RADIANS(Sheet1!A376))*COS(RADIANS('R1'!I376)))))</f>
        <v>21.172832185162978</v>
      </c>
      <c r="C376">
        <f>AVERAGE('R1'!J376,'R2'!J376,'R3'!J376)</f>
        <v>1.1633333333333331</v>
      </c>
      <c r="D376">
        <f>AVERAGE('R1'!K376,'R2'!K376,'R3'!K376)</f>
        <v>22.818717833333334</v>
      </c>
      <c r="E376">
        <f>AVERAGE('R1'!L376,'R2'!L376,'R3'!L376)</f>
        <v>1.1640463054892305</v>
      </c>
      <c r="F376">
        <f>AVERAGE('R1'!M376,'R2'!M376,'R3'!M376)</f>
        <v>1.2481202199306658</v>
      </c>
      <c r="G376">
        <f>AVERAGE('R1'!N376,'R2'!N376,'R3'!N376)</f>
        <v>-0.46071543287312905</v>
      </c>
      <c r="H376">
        <f>AVERAGE('R1'!O376,'R2'!O376,'R3'!O376)</f>
        <v>-0.16077687040411939</v>
      </c>
      <c r="I376">
        <f t="shared" si="9"/>
        <v>4424.295846574073</v>
      </c>
      <c r="K376">
        <f>_xlfn.STDEV.S('R1'!L376,'R2'!L376,'R3'!L376)</f>
        <v>2.3619731124405611E-3</v>
      </c>
      <c r="L376">
        <f>_xlfn.STDEV.S('R1'!M376,'R2'!M376,'R3'!M376)</f>
        <v>4.9612411219897403E-3</v>
      </c>
      <c r="M376">
        <f>_xlfn.STDEV.S('R1'!N376,'R2'!N376,'R3'!N376)</f>
        <v>2.0381416254543826E-3</v>
      </c>
      <c r="N376">
        <f>_xlfn.STDEV.S('R1'!O376,'R2'!O376,'R3'!O376)</f>
        <v>4.1565554557676659E-3</v>
      </c>
    </row>
    <row r="377" spans="1:14" x14ac:dyDescent="0.25">
      <c r="A377">
        <f>-'R1'!H377</f>
        <v>-20</v>
      </c>
      <c r="B377">
        <f>DEGREES(ATAN(-SIN(RADIANS(('R1'!I377)))/(COS(RADIANS(Sheet1!A377))*COS(RADIANS('R1'!I377)))))</f>
        <v>16.969467099429082</v>
      </c>
      <c r="C377">
        <f>AVERAGE('R1'!J377,'R2'!J377,'R3'!J377)</f>
        <v>1.1633333333333331</v>
      </c>
      <c r="D377">
        <f>AVERAGE('R1'!K377,'R2'!K377,'R3'!K377)</f>
        <v>22.628001583333333</v>
      </c>
      <c r="E377">
        <f>AVERAGE('R1'!L377,'R2'!L377,'R3'!L377)</f>
        <v>0.94654765585990253</v>
      </c>
      <c r="F377">
        <f>AVERAGE('R1'!M377,'R2'!M377,'R3'!M377)</f>
        <v>1.2724985388314292</v>
      </c>
      <c r="G377">
        <f>AVERAGE('R1'!N377,'R2'!N377,'R3'!N377)</f>
        <v>-0.38592051951787304</v>
      </c>
      <c r="H377">
        <f>AVERAGE('R1'!O377,'R2'!O377,'R3'!O377)</f>
        <v>-2.0201314201714254E-2</v>
      </c>
      <c r="I377">
        <f t="shared" si="9"/>
        <v>4387.318084768518</v>
      </c>
      <c r="K377">
        <f>_xlfn.STDEV.S('R1'!L377,'R2'!L377,'R3'!L377)</f>
        <v>9.8186100351472152E-3</v>
      </c>
      <c r="L377">
        <f>_xlfn.STDEV.S('R1'!M377,'R2'!M377,'R3'!M377)</f>
        <v>5.3182568133783702E-3</v>
      </c>
      <c r="M377">
        <f>_xlfn.STDEV.S('R1'!N377,'R2'!N377,'R3'!N377)</f>
        <v>5.6515104518767628E-3</v>
      </c>
      <c r="N377">
        <f>_xlfn.STDEV.S('R1'!O377,'R2'!O377,'R3'!O377)</f>
        <v>1.2969688297490346E-3</v>
      </c>
    </row>
    <row r="378" spans="1:14" x14ac:dyDescent="0.25">
      <c r="A378">
        <f>-'R1'!H378</f>
        <v>-20</v>
      </c>
      <c r="B378">
        <f>DEGREES(ATAN(-SIN(RADIANS(('R1'!I378)))/(COS(RADIANS(Sheet1!A378))*COS(RADIANS('R1'!I378)))))</f>
        <v>12.745697846757086</v>
      </c>
      <c r="C378">
        <f>AVERAGE('R1'!J378,'R2'!J378,'R3'!J378)</f>
        <v>1.1633333333333331</v>
      </c>
      <c r="D378">
        <f>AVERAGE('R1'!K378,'R2'!K378,'R3'!K378)</f>
        <v>22.671913499999999</v>
      </c>
      <c r="E378">
        <f>AVERAGE('R1'!L378,'R2'!L378,'R3'!L378)</f>
        <v>0.71860188505294686</v>
      </c>
      <c r="F378">
        <f>AVERAGE('R1'!M378,'R2'!M378,'R3'!M378)</f>
        <v>1.3150988484759492</v>
      </c>
      <c r="G378">
        <f>AVERAGE('R1'!N378,'R2'!N378,'R3'!N378)</f>
        <v>-0.32305054318163223</v>
      </c>
      <c r="H378">
        <f>AVERAGE('R1'!O378,'R2'!O378,'R3'!O378)</f>
        <v>6.9536303050369133E-2</v>
      </c>
      <c r="I378">
        <f t="shared" si="9"/>
        <v>4395.8321174999992</v>
      </c>
      <c r="K378">
        <f>_xlfn.STDEV.S('R1'!L378,'R2'!L378,'R3'!L378)</f>
        <v>1.6601581509583649E-3</v>
      </c>
      <c r="L378">
        <f>_xlfn.STDEV.S('R1'!M378,'R2'!M378,'R3'!M378)</f>
        <v>6.4570403626932711E-3</v>
      </c>
      <c r="M378">
        <f>_xlfn.STDEV.S('R1'!N378,'R2'!N378,'R3'!N378)</f>
        <v>3.0259476417984123E-3</v>
      </c>
      <c r="N378">
        <f>_xlfn.STDEV.S('R1'!O378,'R2'!O378,'R3'!O378)</f>
        <v>8.3539247324347591E-3</v>
      </c>
    </row>
    <row r="379" spans="1:14" x14ac:dyDescent="0.25">
      <c r="A379">
        <f>-'R1'!H379</f>
        <v>-20</v>
      </c>
      <c r="B379">
        <f>DEGREES(ATAN(-SIN(RADIANS(('R1'!I379)))/(COS(RADIANS(Sheet1!A379))*COS(RADIANS('R1'!I379)))))</f>
        <v>8.5061328568771426</v>
      </c>
      <c r="C379">
        <f>AVERAGE('R1'!J379,'R2'!J379,'R3'!J379)</f>
        <v>1.1633333333333331</v>
      </c>
      <c r="D379">
        <f>AVERAGE('R1'!K379,'R2'!K379,'R3'!K379)</f>
        <v>22.330293666666666</v>
      </c>
      <c r="E379">
        <f>AVERAGE('R1'!L379,'R2'!L379,'R3'!L379)</f>
        <v>0.49715593842038547</v>
      </c>
      <c r="F379">
        <f>AVERAGE('R1'!M379,'R2'!M379,'R3'!M379)</f>
        <v>1.3678796276767839</v>
      </c>
      <c r="G379">
        <f>AVERAGE('R1'!N379,'R2'!N379,'R3'!N379)</f>
        <v>-0.28262669721248962</v>
      </c>
      <c r="H379">
        <f>AVERAGE('R1'!O379,'R2'!O379,'R3'!O379)</f>
        <v>0.13597061180965506</v>
      </c>
      <c r="I379">
        <f t="shared" si="9"/>
        <v>4329.5958275925923</v>
      </c>
      <c r="K379">
        <f>_xlfn.STDEV.S('R1'!L379,'R2'!L379,'R3'!L379)</f>
        <v>5.6220090333076672E-3</v>
      </c>
      <c r="L379">
        <f>_xlfn.STDEV.S('R1'!M379,'R2'!M379,'R3'!M379)</f>
        <v>7.5078907980393851E-3</v>
      </c>
      <c r="M379">
        <f>_xlfn.STDEV.S('R1'!N379,'R2'!N379,'R3'!N379)</f>
        <v>1.4243022429636736E-3</v>
      </c>
      <c r="N379">
        <f>_xlfn.STDEV.S('R1'!O379,'R2'!O379,'R3'!O379)</f>
        <v>5.7369732321205374E-3</v>
      </c>
    </row>
    <row r="380" spans="1:14" x14ac:dyDescent="0.25">
      <c r="A380">
        <f>-'R1'!H380</f>
        <v>-20</v>
      </c>
      <c r="B380">
        <f>DEGREES(ATAN(-SIN(RADIANS(('R1'!I380)))/(COS(RADIANS(Sheet1!A380))*COS(RADIANS('R1'!I380)))))</f>
        <v>4.2557962016512016</v>
      </c>
      <c r="C380">
        <f>AVERAGE('R1'!J380,'R2'!J380,'R3'!J380)</f>
        <v>1.1633333333333331</v>
      </c>
      <c r="D380">
        <f>AVERAGE('R1'!K380,'R2'!K380,'R3'!K380)</f>
        <v>22.337291833333335</v>
      </c>
      <c r="E380">
        <f>AVERAGE('R1'!L380,'R2'!L380,'R3'!L380)</f>
        <v>0.26728151958030644</v>
      </c>
      <c r="F380">
        <f>AVERAGE('R1'!M380,'R2'!M380,'R3'!M380)</f>
        <v>1.4344285548448699</v>
      </c>
      <c r="G380">
        <f>AVERAGE('R1'!N380,'R2'!N380,'R3'!N380)</f>
        <v>-0.26625746305133574</v>
      </c>
      <c r="H380">
        <f>AVERAGE('R1'!O380,'R2'!O380,'R3'!O380)</f>
        <v>0.21009451997180481</v>
      </c>
      <c r="I380">
        <f t="shared" si="9"/>
        <v>4330.9526943518513</v>
      </c>
      <c r="K380">
        <f>_xlfn.STDEV.S('R1'!L380,'R2'!L380,'R3'!L380)</f>
        <v>1.8469477772109489E-3</v>
      </c>
      <c r="L380">
        <f>_xlfn.STDEV.S('R1'!M380,'R2'!M380,'R3'!M380)</f>
        <v>6.3635429399544509E-3</v>
      </c>
      <c r="M380">
        <f>_xlfn.STDEV.S('R1'!N380,'R2'!N380,'R3'!N380)</f>
        <v>4.0037896603623445E-3</v>
      </c>
      <c r="N380">
        <f>_xlfn.STDEV.S('R1'!O380,'R2'!O380,'R3'!O380)</f>
        <v>4.9637057131153269E-3</v>
      </c>
    </row>
    <row r="381" spans="1:14" x14ac:dyDescent="0.25">
      <c r="A381">
        <f>-'R1'!H381</f>
        <v>-20</v>
      </c>
      <c r="B381">
        <f>DEGREES(ATAN(-SIN(RADIANS(('R1'!I381)))/(COS(RADIANS(Sheet1!A381))*COS(RADIANS('R1'!I381)))))</f>
        <v>0</v>
      </c>
      <c r="C381">
        <f>AVERAGE('R1'!J381,'R2'!J381,'R3'!J381)</f>
        <v>1.1633333333333331</v>
      </c>
      <c r="D381">
        <f>AVERAGE('R1'!K381,'R2'!K381,'R3'!K381)</f>
        <v>22.394366583333337</v>
      </c>
      <c r="E381">
        <f>AVERAGE('R1'!L381,'R2'!L381,'R3'!L381)</f>
        <v>2.7911122865376305E-3</v>
      </c>
      <c r="F381">
        <f>AVERAGE('R1'!M381,'R2'!M381,'R3'!M381)</f>
        <v>1.5232756653388451</v>
      </c>
      <c r="G381">
        <f>AVERAGE('R1'!N381,'R2'!N381,'R3'!N381)</f>
        <v>-0.27692533057159008</v>
      </c>
      <c r="H381">
        <f>AVERAGE('R1'!O381,'R2'!O381,'R3'!O381)</f>
        <v>0.2965045372022993</v>
      </c>
      <c r="I381">
        <f t="shared" si="9"/>
        <v>4342.0188542129627</v>
      </c>
      <c r="K381">
        <f>_xlfn.STDEV.S('R1'!L381,'R2'!L381,'R3'!L381)</f>
        <v>1.0837387607046337E-3</v>
      </c>
      <c r="L381">
        <f>_xlfn.STDEV.S('R1'!M381,'R2'!M381,'R3'!M381)</f>
        <v>7.5492065875170065E-3</v>
      </c>
      <c r="M381">
        <f>_xlfn.STDEV.S('R1'!N381,'R2'!N381,'R3'!N381)</f>
        <v>4.1968270168511968E-3</v>
      </c>
      <c r="N381">
        <f>_xlfn.STDEV.S('R1'!O381,'R2'!O381,'R3'!O381)</f>
        <v>4.2073248278488018E-3</v>
      </c>
    </row>
    <row r="382" spans="1:14" x14ac:dyDescent="0.25">
      <c r="A382">
        <f>-'R1'!H382</f>
        <v>-20</v>
      </c>
      <c r="B382">
        <f>DEGREES(ATAN(-SIN(RADIANS(('R1'!I382)))/(COS(RADIANS(Sheet1!A382))*COS(RADIANS('R1'!I382)))))</f>
        <v>-4.2557962016512016</v>
      </c>
      <c r="C382">
        <f>AVERAGE('R1'!J382,'R2'!J382,'R3'!J382)</f>
        <v>1.1633333333333331</v>
      </c>
      <c r="D382">
        <f>AVERAGE('R1'!K382,'R2'!K382,'R3'!K382)</f>
        <v>22.715515416666666</v>
      </c>
      <c r="E382">
        <f>AVERAGE('R1'!L382,'R2'!L382,'R3'!L382)</f>
        <v>-0.26760524438222744</v>
      </c>
      <c r="F382">
        <f>AVERAGE('R1'!M382,'R2'!M382,'R3'!M382)</f>
        <v>1.4381694812049171</v>
      </c>
      <c r="G382">
        <f>AVERAGE('R1'!N382,'R2'!N382,'R3'!N382)</f>
        <v>-0.27789210175931123</v>
      </c>
      <c r="H382">
        <f>AVERAGE('R1'!O382,'R2'!O382,'R3'!O382)</f>
        <v>0.20500387226617511</v>
      </c>
      <c r="I382">
        <f t="shared" si="9"/>
        <v>4404.286044675925</v>
      </c>
      <c r="K382">
        <f>_xlfn.STDEV.S('R1'!L382,'R2'!L382,'R3'!L382)</f>
        <v>2.5429108868651271E-3</v>
      </c>
      <c r="L382">
        <f>_xlfn.STDEV.S('R1'!M382,'R2'!M382,'R3'!M382)</f>
        <v>6.2494220926918474E-3</v>
      </c>
      <c r="M382">
        <f>_xlfn.STDEV.S('R1'!N382,'R2'!N382,'R3'!N382)</f>
        <v>5.8302582366391801E-3</v>
      </c>
      <c r="N382">
        <f>_xlfn.STDEV.S('R1'!O382,'R2'!O382,'R3'!O382)</f>
        <v>3.8318655111284901E-3</v>
      </c>
    </row>
    <row r="383" spans="1:14" x14ac:dyDescent="0.25">
      <c r="A383">
        <f>-'R1'!H383</f>
        <v>-20</v>
      </c>
      <c r="B383">
        <f>DEGREES(ATAN(-SIN(RADIANS(('R1'!I383)))/(COS(RADIANS(Sheet1!A383))*COS(RADIANS('R1'!I383)))))</f>
        <v>-8.5061328568771426</v>
      </c>
      <c r="C383">
        <f>AVERAGE('R1'!J383,'R2'!J383,'R3'!J383)</f>
        <v>1.1633333333333331</v>
      </c>
      <c r="D383">
        <f>AVERAGE('R1'!K383,'R2'!K383,'R3'!K383)</f>
        <v>22.943614583333339</v>
      </c>
      <c r="E383">
        <f>AVERAGE('R1'!L383,'R2'!L383,'R3'!L383)</f>
        <v>-0.51610116487223701</v>
      </c>
      <c r="F383">
        <f>AVERAGE('R1'!M383,'R2'!M383,'R3'!M383)</f>
        <v>1.3699720450456836</v>
      </c>
      <c r="G383">
        <f>AVERAGE('R1'!N383,'R2'!N383,'R3'!N383)</f>
        <v>-0.2981787378477363</v>
      </c>
      <c r="H383">
        <f>AVERAGE('R1'!O383,'R2'!O383,'R3'!O383)</f>
        <v>0.1170751510388925</v>
      </c>
      <c r="I383">
        <f t="shared" si="9"/>
        <v>4448.511938657407</v>
      </c>
      <c r="K383">
        <f>_xlfn.STDEV.S('R1'!L383,'R2'!L383,'R3'!L383)</f>
        <v>2.5975495731730782E-3</v>
      </c>
      <c r="L383">
        <f>_xlfn.STDEV.S('R1'!M383,'R2'!M383,'R3'!M383)</f>
        <v>1.7771431914334042E-3</v>
      </c>
      <c r="M383">
        <f>_xlfn.STDEV.S('R1'!N383,'R2'!N383,'R3'!N383)</f>
        <v>5.8963538794668717E-3</v>
      </c>
      <c r="N383">
        <f>_xlfn.STDEV.S('R1'!O383,'R2'!O383,'R3'!O383)</f>
        <v>2.2128774688803172E-3</v>
      </c>
    </row>
    <row r="384" spans="1:14" x14ac:dyDescent="0.25">
      <c r="A384">
        <f>-'R1'!H384</f>
        <v>-20</v>
      </c>
      <c r="B384">
        <f>DEGREES(ATAN(-SIN(RADIANS(('R1'!I384)))/(COS(RADIANS(Sheet1!A384))*COS(RADIANS('R1'!I384)))))</f>
        <v>-12.745697846757086</v>
      </c>
      <c r="C384">
        <f>AVERAGE('R1'!J384,'R2'!J384,'R3'!J384)</f>
        <v>1.1633333333333331</v>
      </c>
      <c r="D384">
        <f>AVERAGE('R1'!K384,'R2'!K384,'R3'!K384)</f>
        <v>22.937583749999998</v>
      </c>
      <c r="E384">
        <f>AVERAGE('R1'!L384,'R2'!L384,'R3'!L384)</f>
        <v>-0.75953552792692847</v>
      </c>
      <c r="F384">
        <f>AVERAGE('R1'!M384,'R2'!M384,'R3'!M384)</f>
        <v>1.328737539655527</v>
      </c>
      <c r="G384">
        <f>AVERAGE('R1'!N384,'R2'!N384,'R3'!N384)</f>
        <v>-0.35165283725542978</v>
      </c>
      <c r="H384">
        <f>AVERAGE('R1'!O384,'R2'!O384,'R3'!O384)</f>
        <v>3.7200726093174055E-2</v>
      </c>
      <c r="I384">
        <f t="shared" si="9"/>
        <v>4447.3426270833324</v>
      </c>
      <c r="K384">
        <f>_xlfn.STDEV.S('R1'!L384,'R2'!L384,'R3'!L384)</f>
        <v>3.0254186432676447E-3</v>
      </c>
      <c r="L384">
        <f>_xlfn.STDEV.S('R1'!M384,'R2'!M384,'R3'!M384)</f>
        <v>5.4100677788626655E-3</v>
      </c>
      <c r="M384">
        <f>_xlfn.STDEV.S('R1'!N384,'R2'!N384,'R3'!N384)</f>
        <v>5.6120456229826433E-3</v>
      </c>
      <c r="N384">
        <f>_xlfn.STDEV.S('R1'!O384,'R2'!O384,'R3'!O384)</f>
        <v>2.7564882263078124E-3</v>
      </c>
    </row>
    <row r="385" spans="1:14" x14ac:dyDescent="0.25">
      <c r="A385">
        <f>-'R1'!H385</f>
        <v>-20</v>
      </c>
      <c r="B385">
        <f>DEGREES(ATAN(-SIN(RADIANS(('R1'!I385)))/(COS(RADIANS(Sheet1!A385))*COS(RADIANS('R1'!I385)))))</f>
        <v>-16.969467099429082</v>
      </c>
      <c r="C385">
        <f>AVERAGE('R1'!J385,'R2'!J385,'R3'!J385)</f>
        <v>1.1633333333333331</v>
      </c>
      <c r="D385">
        <f>AVERAGE('R1'!K385,'R2'!K385,'R3'!K385)</f>
        <v>22.887396499999998</v>
      </c>
      <c r="E385">
        <f>AVERAGE('R1'!L385,'R2'!L385,'R3'!L385)</f>
        <v>-1.0047572838992294</v>
      </c>
      <c r="F385">
        <f>AVERAGE('R1'!M385,'R2'!M385,'R3'!M385)</f>
        <v>1.3044841017216398</v>
      </c>
      <c r="G385">
        <f>AVERAGE('R1'!N385,'R2'!N385,'R3'!N385)</f>
        <v>-0.43545787806400771</v>
      </c>
      <c r="H385">
        <f>AVERAGE('R1'!O385,'R2'!O385,'R3'!O385)</f>
        <v>-5.1373400062709275E-2</v>
      </c>
      <c r="I385">
        <f t="shared" si="9"/>
        <v>4437.6118769444429</v>
      </c>
      <c r="K385">
        <f>_xlfn.STDEV.S('R1'!L385,'R2'!L385,'R3'!L385)</f>
        <v>5.4746603493066696E-3</v>
      </c>
      <c r="L385">
        <f>_xlfn.STDEV.S('R1'!M385,'R2'!M385,'R3'!M385)</f>
        <v>1.0308469458681045E-3</v>
      </c>
      <c r="M385">
        <f>_xlfn.STDEV.S('R1'!N385,'R2'!N385,'R3'!N385)</f>
        <v>4.0101402197059138E-3</v>
      </c>
      <c r="N385">
        <f>_xlfn.STDEV.S('R1'!O385,'R2'!O385,'R3'!O385)</f>
        <v>6.5676005512169061E-3</v>
      </c>
    </row>
    <row r="386" spans="1:14" x14ac:dyDescent="0.25">
      <c r="A386">
        <f>-'R1'!H386</f>
        <v>-20</v>
      </c>
      <c r="B386">
        <f>DEGREES(ATAN(-SIN(RADIANS(('R1'!I386)))/(COS(RADIANS(Sheet1!A386))*COS(RADIANS('R1'!I386)))))</f>
        <v>-21.172832185162978</v>
      </c>
      <c r="C386">
        <f>AVERAGE('R1'!J386,'R2'!J386,'R3'!J386)</f>
        <v>1.1633333333333331</v>
      </c>
      <c r="D386">
        <f>AVERAGE('R1'!K386,'R2'!K386,'R3'!K386)</f>
        <v>22.949793166666666</v>
      </c>
      <c r="E386">
        <f>AVERAGE('R1'!L386,'R2'!L386,'R3'!L386)</f>
        <v>-1.2079615759652078</v>
      </c>
      <c r="F386">
        <f>AVERAGE('R1'!M386,'R2'!M386,'R3'!M386)</f>
        <v>1.3471424633553568</v>
      </c>
      <c r="G386">
        <f>AVERAGE('R1'!N386,'R2'!N386,'R3'!N386)</f>
        <v>-0.54141192635899749</v>
      </c>
      <c r="H386">
        <f>AVERAGE('R1'!O386,'R2'!O386,'R3'!O386)</f>
        <v>-0.19921027395537746</v>
      </c>
      <c r="I386">
        <f t="shared" si="9"/>
        <v>4449.709897314814</v>
      </c>
      <c r="K386">
        <f>_xlfn.STDEV.S('R1'!L386,'R2'!L386,'R3'!L386)</f>
        <v>4.0757111728618118E-3</v>
      </c>
      <c r="L386">
        <f>_xlfn.STDEV.S('R1'!M386,'R2'!M386,'R3'!M386)</f>
        <v>7.2322091081375274E-3</v>
      </c>
      <c r="M386">
        <f>_xlfn.STDEV.S('R1'!N386,'R2'!N386,'R3'!N386)</f>
        <v>1.4513659516517839E-3</v>
      </c>
      <c r="N386">
        <f>_xlfn.STDEV.S('R1'!O386,'R2'!O386,'R3'!O386)</f>
        <v>3.5753273340073228E-3</v>
      </c>
    </row>
    <row r="387" spans="1:14" x14ac:dyDescent="0.25">
      <c r="A387">
        <f>-'R1'!H387</f>
        <v>-20</v>
      </c>
      <c r="B387">
        <f>DEGREES(ATAN(-SIN(RADIANS(('R1'!I387)))/(COS(RADIANS(Sheet1!A387))*COS(RADIANS('R1'!I387)))))</f>
        <v>-25.351709771061881</v>
      </c>
      <c r="C387">
        <f>AVERAGE('R1'!J387,'R2'!J387,'R3'!J387)</f>
        <v>1.1633333333333331</v>
      </c>
      <c r="D387">
        <f>AVERAGE('R1'!K387,'R2'!K387,'R3'!K387)</f>
        <v>22.974595916666669</v>
      </c>
      <c r="E387">
        <f>AVERAGE('R1'!L387,'R2'!L387,'R3'!L387)</f>
        <v>-1.4054943030883953</v>
      </c>
      <c r="F387">
        <f>AVERAGE('R1'!M387,'R2'!M387,'R3'!M387)</f>
        <v>1.4168839651150631</v>
      </c>
      <c r="G387">
        <f>AVERAGE('R1'!N387,'R2'!N387,'R3'!N387)</f>
        <v>-0.67314327671270713</v>
      </c>
      <c r="H387">
        <f>AVERAGE('R1'!O387,'R2'!O387,'R3'!O387)</f>
        <v>-0.36903049096629753</v>
      </c>
      <c r="I387">
        <f t="shared" ref="I387:I450" si="10">10^5*C387*D387*0.003/1.8</f>
        <v>4454.5188749537037</v>
      </c>
      <c r="K387">
        <f>_xlfn.STDEV.S('R1'!L387,'R2'!L387,'R3'!L387)</f>
        <v>6.6703275689455662E-3</v>
      </c>
      <c r="L387">
        <f>_xlfn.STDEV.S('R1'!M387,'R2'!M387,'R3'!M387)</f>
        <v>5.939061013525663E-3</v>
      </c>
      <c r="M387">
        <f>_xlfn.STDEV.S('R1'!N387,'R2'!N387,'R3'!N387)</f>
        <v>3.3704844696900529E-3</v>
      </c>
      <c r="N387">
        <f>_xlfn.STDEV.S('R1'!O387,'R2'!O387,'R3'!O387)</f>
        <v>1.5486735609884057E-3</v>
      </c>
    </row>
    <row r="388" spans="1:14" x14ac:dyDescent="0.25">
      <c r="A388">
        <f>-'R1'!H388</f>
        <v>-20</v>
      </c>
      <c r="B388">
        <f>DEGREES(ATAN(-SIN(RADIANS(('R1'!I388)))/(COS(RADIANS(Sheet1!A388))*COS(RADIANS('R1'!I388)))))</f>
        <v>-29.502629281345779</v>
      </c>
      <c r="C388">
        <f>AVERAGE('R1'!J388,'R2'!J388,'R3'!J388)</f>
        <v>1.1633333333333331</v>
      </c>
      <c r="D388">
        <f>AVERAGE('R1'!K388,'R2'!K388,'R3'!K388)</f>
        <v>22.520628583333334</v>
      </c>
      <c r="E388">
        <f>AVERAGE('R1'!L388,'R2'!L388,'R3'!L388)</f>
        <v>-1.5999876113750426</v>
      </c>
      <c r="F388">
        <f>AVERAGE('R1'!M388,'R2'!M388,'R3'!M388)</f>
        <v>1.5078487051180522</v>
      </c>
      <c r="G388">
        <f>AVERAGE('R1'!N388,'R2'!N388,'R3'!N388)</f>
        <v>-0.83347536617790097</v>
      </c>
      <c r="H388">
        <f>AVERAGE('R1'!O388,'R2'!O388,'R3'!O388)</f>
        <v>-0.55386889213924062</v>
      </c>
      <c r="I388">
        <f t="shared" si="10"/>
        <v>4366.4996531018514</v>
      </c>
      <c r="K388">
        <f>_xlfn.STDEV.S('R1'!L388,'R2'!L388,'R3'!L388)</f>
        <v>5.1097969898551473E-3</v>
      </c>
      <c r="L388">
        <f>_xlfn.STDEV.S('R1'!M388,'R2'!M388,'R3'!M388)</f>
        <v>7.0158269006675936E-3</v>
      </c>
      <c r="M388">
        <f>_xlfn.STDEV.S('R1'!N388,'R2'!N388,'R3'!N388)</f>
        <v>2.3830587524369539E-3</v>
      </c>
      <c r="N388">
        <f>_xlfn.STDEV.S('R1'!O388,'R2'!O388,'R3'!O388)</f>
        <v>2.9030167567195946E-3</v>
      </c>
    </row>
    <row r="389" spans="1:14" x14ac:dyDescent="0.25">
      <c r="A389">
        <f>-'R1'!H389</f>
        <v>-20</v>
      </c>
      <c r="B389">
        <f>DEGREES(ATAN(-SIN(RADIANS(('R1'!I389)))/(COS(RADIANS(Sheet1!A389))*COS(RADIANS('R1'!I389)))))</f>
        <v>-33.622796746730245</v>
      </c>
      <c r="C389">
        <f>AVERAGE('R1'!J389,'R2'!J389,'R3'!J389)</f>
        <v>1.1633333333333331</v>
      </c>
      <c r="D389">
        <f>AVERAGE('R1'!K389,'R2'!K389,'R3'!K389)</f>
        <v>22.151291500000003</v>
      </c>
      <c r="E389">
        <f>AVERAGE('R1'!L389,'R2'!L389,'R3'!L389)</f>
        <v>-1.8047005503337381</v>
      </c>
      <c r="F389">
        <f>AVERAGE('R1'!M389,'R2'!M389,'R3'!M389)</f>
        <v>1.6262787586064424</v>
      </c>
      <c r="G389">
        <f>AVERAGE('R1'!N389,'R2'!N389,'R3'!N389)</f>
        <v>-1.0251773687393215</v>
      </c>
      <c r="H389">
        <f>AVERAGE('R1'!O389,'R2'!O389,'R3'!O389)</f>
        <v>-0.76156204711112485</v>
      </c>
      <c r="I389">
        <f t="shared" si="10"/>
        <v>4294.8892963888884</v>
      </c>
      <c r="K389">
        <f>_xlfn.STDEV.S('R1'!L389,'R2'!L389,'R3'!L389)</f>
        <v>6.0097600615579179E-3</v>
      </c>
      <c r="L389">
        <f>_xlfn.STDEV.S('R1'!M389,'R2'!M389,'R3'!M389)</f>
        <v>5.1424491995817542E-3</v>
      </c>
      <c r="M389">
        <f>_xlfn.STDEV.S('R1'!N389,'R2'!N389,'R3'!N389)</f>
        <v>5.3147618044313309E-3</v>
      </c>
      <c r="N389">
        <f>_xlfn.STDEV.S('R1'!O389,'R2'!O389,'R3'!O389)</f>
        <v>5.6278702163220914E-3</v>
      </c>
    </row>
    <row r="390" spans="1:14" x14ac:dyDescent="0.25">
      <c r="A390">
        <f>-'R1'!H390</f>
        <v>-20</v>
      </c>
      <c r="B390">
        <f>DEGREES(ATAN(-SIN(RADIANS(('R1'!I390)))/(COS(RADIANS(Sheet1!A390))*COS(RADIANS('R1'!I390)))))</f>
        <v>-37.710134449764993</v>
      </c>
      <c r="C390">
        <f>AVERAGE('R1'!J390,'R2'!J390,'R3'!J390)</f>
        <v>1.1633333333333331</v>
      </c>
      <c r="D390">
        <f>AVERAGE('R1'!K390,'R2'!K390,'R3'!K390)</f>
        <v>22.01324691666667</v>
      </c>
      <c r="E390">
        <f>AVERAGE('R1'!L390,'R2'!L390,'R3'!L390)</f>
        <v>-2.0466955094914749</v>
      </c>
      <c r="F390">
        <f>AVERAGE('R1'!M390,'R2'!M390,'R3'!M390)</f>
        <v>1.7774992640914891</v>
      </c>
      <c r="G390">
        <f>AVERAGE('R1'!N390,'R2'!N390,'R3'!N390)</f>
        <v>-1.2799857445722316</v>
      </c>
      <c r="H390">
        <f>AVERAGE('R1'!O390,'R2'!O390,'R3'!O390)</f>
        <v>-0.99105334193936034</v>
      </c>
      <c r="I390">
        <f t="shared" si="10"/>
        <v>4268.123985509259</v>
      </c>
      <c r="K390">
        <f>_xlfn.STDEV.S('R1'!L390,'R2'!L390,'R3'!L390)</f>
        <v>4.3260384226304575E-3</v>
      </c>
      <c r="L390">
        <f>_xlfn.STDEV.S('R1'!M390,'R2'!M390,'R3'!M390)</f>
        <v>1.6748279074762552E-3</v>
      </c>
      <c r="M390">
        <f>_xlfn.STDEV.S('R1'!N390,'R2'!N390,'R3'!N390)</f>
        <v>8.4939253549876585E-3</v>
      </c>
      <c r="N390">
        <f>_xlfn.STDEV.S('R1'!O390,'R2'!O390,'R3'!O390)</f>
        <v>2.8134276059877321E-3</v>
      </c>
    </row>
    <row r="391" spans="1:14" x14ac:dyDescent="0.25">
      <c r="A391">
        <f>-'R1'!H391</f>
        <v>-20</v>
      </c>
      <c r="B391">
        <f>DEGREES(ATAN(-SIN(RADIANS(('R1'!I391)))/(COS(RADIANS(Sheet1!A391))*COS(RADIANS('R1'!I391)))))</f>
        <v>-41.763297417742614</v>
      </c>
      <c r="C391">
        <f>AVERAGE('R1'!J391,'R2'!J391,'R3'!J391)</f>
        <v>1.1633333333333331</v>
      </c>
      <c r="D391">
        <f>AVERAGE('R1'!K391,'R2'!K391,'R3'!K391)</f>
        <v>22.591180916666662</v>
      </c>
      <c r="E391">
        <f>AVERAGE('R1'!L391,'R2'!L391,'R3'!L391)</f>
        <v>-2.3476158785852359</v>
      </c>
      <c r="F391">
        <f>AVERAGE('R1'!M391,'R2'!M391,'R3'!M391)</f>
        <v>1.9801602055718497</v>
      </c>
      <c r="G391">
        <f>AVERAGE('R1'!N391,'R2'!N391,'R3'!N391)</f>
        <v>-1.6212218165739956</v>
      </c>
      <c r="H391">
        <f>AVERAGE('R1'!O391,'R2'!O391,'R3'!O391)</f>
        <v>-1.2644751253223785</v>
      </c>
      <c r="I391">
        <f t="shared" si="10"/>
        <v>4380.1789666203686</v>
      </c>
      <c r="K391">
        <f>_xlfn.STDEV.S('R1'!L391,'R2'!L391,'R3'!L391)</f>
        <v>2.9577729131921734E-3</v>
      </c>
      <c r="L391">
        <f>_xlfn.STDEV.S('R1'!M391,'R2'!M391,'R3'!M391)</f>
        <v>5.028205551905667E-3</v>
      </c>
      <c r="M391">
        <f>_xlfn.STDEV.S('R1'!N391,'R2'!N391,'R3'!N391)</f>
        <v>4.4439499775696095E-3</v>
      </c>
      <c r="N391">
        <f>_xlfn.STDEV.S('R1'!O391,'R2'!O391,'R3'!O391)</f>
        <v>8.351076382941792E-4</v>
      </c>
    </row>
    <row r="392" spans="1:14" x14ac:dyDescent="0.25">
      <c r="A392">
        <f>-'R1'!H392</f>
        <v>-20</v>
      </c>
      <c r="B392">
        <f>DEGREES(ATAN(-SIN(RADIANS(('R1'!I392)))/(COS(RADIANS(Sheet1!A392))*COS(RADIANS('R1'!I392)))))</f>
        <v>-45.781668962964282</v>
      </c>
      <c r="C392">
        <f>AVERAGE('R1'!J392,'R2'!J392,'R3'!J392)</f>
        <v>1.1633333333333331</v>
      </c>
      <c r="D392">
        <f>AVERAGE('R1'!K392,'R2'!K392,'R3'!K392)</f>
        <v>23.04037108333333</v>
      </c>
      <c r="E392">
        <f>AVERAGE('R1'!L392,'R2'!L392,'R3'!L392)</f>
        <v>-2.7479900883528541</v>
      </c>
      <c r="F392">
        <f>AVERAGE('R1'!M392,'R2'!M392,'R3'!M392)</f>
        <v>2.2604934563033012</v>
      </c>
      <c r="G392">
        <f>AVERAGE('R1'!N392,'R2'!N392,'R3'!N392)</f>
        <v>-2.1030061469298142</v>
      </c>
      <c r="H392">
        <f>AVERAGE('R1'!O392,'R2'!O392,'R3'!O392)</f>
        <v>-1.6099051268722897</v>
      </c>
      <c r="I392">
        <f t="shared" si="10"/>
        <v>4467.2719489351839</v>
      </c>
      <c r="K392">
        <f>_xlfn.STDEV.S('R1'!L392,'R2'!L392,'R3'!L392)</f>
        <v>4.5923935682613973E-3</v>
      </c>
      <c r="L392">
        <f>_xlfn.STDEV.S('R1'!M392,'R2'!M392,'R3'!M392)</f>
        <v>4.7440829983718671E-3</v>
      </c>
      <c r="M392">
        <f>_xlfn.STDEV.S('R1'!N392,'R2'!N392,'R3'!N392)</f>
        <v>1.1343249502939077E-2</v>
      </c>
      <c r="N392">
        <f>_xlfn.STDEV.S('R1'!O392,'R2'!O392,'R3'!O392)</f>
        <v>2.99787069148055E-3</v>
      </c>
    </row>
    <row r="393" spans="1:14" x14ac:dyDescent="0.25">
      <c r="A393">
        <f>-'R1'!H393</f>
        <v>-24</v>
      </c>
      <c r="B393">
        <f>DEGREES(ATAN(-SIN(RADIANS(('R1'!I393)))/(COS(RADIANS(Sheet1!A393))*COS(RADIANS('R1'!I393)))))</f>
        <v>46.589384435425394</v>
      </c>
      <c r="C393">
        <f>AVERAGE('R1'!J393,'R2'!J393,'R3'!J393)</f>
        <v>1.1633333333333331</v>
      </c>
      <c r="D393">
        <f>AVERAGE('R1'!K393,'R2'!K393,'R3'!K393)</f>
        <v>22.953292000000001</v>
      </c>
      <c r="E393">
        <f>AVERAGE('R1'!L393,'R2'!L393,'R3'!L393)</f>
        <v>2.1948097044364263</v>
      </c>
      <c r="F393">
        <f>AVERAGE('R1'!M393,'R2'!M393,'R3'!M393)</f>
        <v>1.7808859918202842</v>
      </c>
      <c r="G393">
        <f>AVERAGE('R1'!N393,'R2'!N393,'R3'!N393)</f>
        <v>-1.4274919811006255</v>
      </c>
      <c r="H393">
        <f>AVERAGE('R1'!O393,'R2'!O393,'R3'!O393)</f>
        <v>-1.2838689457696384</v>
      </c>
      <c r="I393">
        <f t="shared" si="10"/>
        <v>4450.3882822222222</v>
      </c>
      <c r="K393">
        <f>_xlfn.STDEV.S('R1'!L393,'R2'!L393,'R3'!L393)</f>
        <v>7.8503806497797098E-3</v>
      </c>
      <c r="L393">
        <f>_xlfn.STDEV.S('R1'!M393,'R2'!M393,'R3'!M393)</f>
        <v>6.9506810613582911E-3</v>
      </c>
      <c r="M393">
        <f>_xlfn.STDEV.S('R1'!N393,'R2'!N393,'R3'!N393)</f>
        <v>8.7926603466083105E-3</v>
      </c>
      <c r="N393">
        <f>_xlfn.STDEV.S('R1'!O393,'R2'!O393,'R3'!O393)</f>
        <v>4.0519573548948497E-3</v>
      </c>
    </row>
    <row r="394" spans="1:14" x14ac:dyDescent="0.25">
      <c r="A394">
        <f>-'R1'!H394</f>
        <v>-24</v>
      </c>
      <c r="B394">
        <f>DEGREES(ATAN(-SIN(RADIANS(('R1'!I394)))/(COS(RADIANS(Sheet1!A394))*COS(RADIANS('R1'!I394)))))</f>
        <v>42.567751063132313</v>
      </c>
      <c r="C394">
        <f>AVERAGE('R1'!J394,'R2'!J394,'R3'!J394)</f>
        <v>1.1633333333333331</v>
      </c>
      <c r="D394">
        <f>AVERAGE('R1'!K394,'R2'!K394,'R3'!K394)</f>
        <v>22.923170416666665</v>
      </c>
      <c r="E394">
        <f>AVERAGE('R1'!L394,'R2'!L394,'R3'!L394)</f>
        <v>1.9810430247158559</v>
      </c>
      <c r="F394">
        <f>AVERAGE('R1'!M394,'R2'!M394,'R3'!M394)</f>
        <v>1.66697735319143</v>
      </c>
      <c r="G394">
        <f>AVERAGE('R1'!N394,'R2'!N394,'R3'!N394)</f>
        <v>-1.1832892020758736</v>
      </c>
      <c r="H394">
        <f>AVERAGE('R1'!O394,'R2'!O394,'R3'!O394)</f>
        <v>-1.0845821996132721</v>
      </c>
      <c r="I394">
        <f t="shared" si="10"/>
        <v>4444.5480418981469</v>
      </c>
      <c r="K394">
        <f>_xlfn.STDEV.S('R1'!L394,'R2'!L394,'R3'!L394)</f>
        <v>5.401802161357488E-3</v>
      </c>
      <c r="L394">
        <f>_xlfn.STDEV.S('R1'!M394,'R2'!M394,'R3'!M394)</f>
        <v>5.592892168802167E-3</v>
      </c>
      <c r="M394">
        <f>_xlfn.STDEV.S('R1'!N394,'R2'!N394,'R3'!N394)</f>
        <v>7.9625071656864357E-3</v>
      </c>
      <c r="N394">
        <f>_xlfn.STDEV.S('R1'!O394,'R2'!O394,'R3'!O394)</f>
        <v>6.5954732949066893E-4</v>
      </c>
    </row>
    <row r="395" spans="1:14" x14ac:dyDescent="0.25">
      <c r="A395">
        <f>-'R1'!H395</f>
        <v>-24</v>
      </c>
      <c r="B395">
        <f>DEGREES(ATAN(-SIN(RADIANS(('R1'!I395)))/(COS(RADIANS(Sheet1!A395))*COS(RADIANS('R1'!I395)))))</f>
        <v>38.495223358359183</v>
      </c>
      <c r="C395">
        <f>AVERAGE('R1'!J395,'R2'!J395,'R3'!J395)</f>
        <v>1.1633333333333331</v>
      </c>
      <c r="D395">
        <f>AVERAGE('R1'!K395,'R2'!K395,'R3'!K395)</f>
        <v>22.44114283333333</v>
      </c>
      <c r="E395">
        <f>AVERAGE('R1'!L395,'R2'!L395,'R3'!L395)</f>
        <v>1.8103246354842473</v>
      </c>
      <c r="F395">
        <f>AVERAGE('R1'!M395,'R2'!M395,'R3'!M395)</f>
        <v>1.5881751834067532</v>
      </c>
      <c r="G395">
        <f>AVERAGE('R1'!N395,'R2'!N395,'R3'!N395)</f>
        <v>-1.0040608442780459</v>
      </c>
      <c r="H395">
        <f>AVERAGE('R1'!O395,'R2'!O395,'R3'!O395)</f>
        <v>-0.92044649530937805</v>
      </c>
      <c r="I395">
        <f t="shared" si="10"/>
        <v>4351.0882493518502</v>
      </c>
      <c r="K395">
        <f>_xlfn.STDEV.S('R1'!L395,'R2'!L395,'R3'!L395)</f>
        <v>4.6037400745812425E-3</v>
      </c>
      <c r="L395">
        <f>_xlfn.STDEV.S('R1'!M395,'R2'!M395,'R3'!M395)</f>
        <v>6.6719405701587868E-3</v>
      </c>
      <c r="M395">
        <f>_xlfn.STDEV.S('R1'!N395,'R2'!N395,'R3'!N395)</f>
        <v>4.0008682019109145E-3</v>
      </c>
      <c r="N395">
        <f>_xlfn.STDEV.S('R1'!O395,'R2'!O395,'R3'!O395)</f>
        <v>4.3305959762461191E-3</v>
      </c>
    </row>
    <row r="396" spans="1:14" x14ac:dyDescent="0.25">
      <c r="A396">
        <f>-'R1'!H396</f>
        <v>-24</v>
      </c>
      <c r="B396">
        <f>DEGREES(ATAN(-SIN(RADIANS(('R1'!I396)))/(COS(RADIANS(Sheet1!A396))*COS(RADIANS('R1'!I396)))))</f>
        <v>34.372309890771753</v>
      </c>
      <c r="C396">
        <f>AVERAGE('R1'!J396,'R2'!J396,'R3'!J396)</f>
        <v>1.1633333333333331</v>
      </c>
      <c r="D396">
        <f>AVERAGE('R1'!K396,'R2'!K396,'R3'!K396)</f>
        <v>22.51118108333333</v>
      </c>
      <c r="E396">
        <f>AVERAGE('R1'!L396,'R2'!L396,'R3'!L396)</f>
        <v>1.658390131932941</v>
      </c>
      <c r="F396">
        <f>AVERAGE('R1'!M396,'R2'!M396,'R3'!M396)</f>
        <v>1.5224743359221795</v>
      </c>
      <c r="G396">
        <f>AVERAGE('R1'!N396,'R2'!N396,'R3'!N396)</f>
        <v>-0.861492672947055</v>
      </c>
      <c r="H396">
        <f>AVERAGE('R1'!O396,'R2'!O396,'R3'!O396)</f>
        <v>-0.76627110357991224</v>
      </c>
      <c r="I396">
        <f t="shared" si="10"/>
        <v>4364.6678878240727</v>
      </c>
      <c r="K396">
        <f>_xlfn.STDEV.S('R1'!L396,'R2'!L396,'R3'!L396)</f>
        <v>7.8822933669210928E-3</v>
      </c>
      <c r="L396">
        <f>_xlfn.STDEV.S('R1'!M396,'R2'!M396,'R3'!M396)</f>
        <v>8.7225651577317112E-3</v>
      </c>
      <c r="M396">
        <f>_xlfn.STDEV.S('R1'!N396,'R2'!N396,'R3'!N396)</f>
        <v>5.5096405437208744E-3</v>
      </c>
      <c r="N396">
        <f>_xlfn.STDEV.S('R1'!O396,'R2'!O396,'R3'!O396)</f>
        <v>4.3542008317128461E-3</v>
      </c>
    </row>
    <row r="397" spans="1:14" x14ac:dyDescent="0.25">
      <c r="A397">
        <f>-'R1'!H397</f>
        <v>-24</v>
      </c>
      <c r="B397">
        <f>DEGREES(ATAN(-SIN(RADIANS(('R1'!I397)))/(COS(RADIANS(Sheet1!A397))*COS(RADIANS('R1'!I397)))))</f>
        <v>30.200622081370245</v>
      </c>
      <c r="C397">
        <f>AVERAGE('R1'!J397,'R2'!J397,'R3'!J397)</f>
        <v>1.1633333333333331</v>
      </c>
      <c r="D397">
        <f>AVERAGE('R1'!K397,'R2'!K397,'R3'!K397)</f>
        <v>22.598233166666663</v>
      </c>
      <c r="E397">
        <f>AVERAGE('R1'!L397,'R2'!L397,'R3'!L397)</f>
        <v>1.5102124787298896</v>
      </c>
      <c r="F397">
        <f>AVERAGE('R1'!M397,'R2'!M397,'R3'!M397)</f>
        <v>1.4775405164556412</v>
      </c>
      <c r="G397">
        <f>AVERAGE('R1'!N397,'R2'!N397,'R3'!N397)</f>
        <v>-0.74366282458004684</v>
      </c>
      <c r="H397">
        <f>AVERAGE('R1'!O397,'R2'!O397,'R3'!O397)</f>
        <v>-0.61801512591337426</v>
      </c>
      <c r="I397">
        <f t="shared" si="10"/>
        <v>4381.5463195370357</v>
      </c>
      <c r="K397">
        <f>_xlfn.STDEV.S('R1'!L397,'R2'!L397,'R3'!L397)</f>
        <v>4.6797837796980647E-3</v>
      </c>
      <c r="L397">
        <f>_xlfn.STDEV.S('R1'!M397,'R2'!M397,'R3'!M397)</f>
        <v>5.0805522369481047E-3</v>
      </c>
      <c r="M397">
        <f>_xlfn.STDEV.S('R1'!N397,'R2'!N397,'R3'!N397)</f>
        <v>2.3479429874082103E-3</v>
      </c>
      <c r="N397">
        <f>_xlfn.STDEV.S('R1'!O397,'R2'!O397,'R3'!O397)</f>
        <v>5.2483425257704277E-3</v>
      </c>
    </row>
    <row r="398" spans="1:14" x14ac:dyDescent="0.25">
      <c r="A398">
        <f>-'R1'!H398</f>
        <v>-24</v>
      </c>
      <c r="B398">
        <f>DEGREES(ATAN(-SIN(RADIANS(('R1'!I398)))/(COS(RADIANS(Sheet1!A398))*COS(RADIANS('R1'!I398)))))</f>
        <v>25.982912809070061</v>
      </c>
      <c r="C398">
        <f>AVERAGE('R1'!J398,'R2'!J398,'R3'!J398)</f>
        <v>1.1633333333333331</v>
      </c>
      <c r="D398">
        <f>AVERAGE('R1'!K398,'R2'!K398,'R3'!K398)</f>
        <v>22.540786749999999</v>
      </c>
      <c r="E398">
        <f>AVERAGE('R1'!L398,'R2'!L398,'R3'!L398)</f>
        <v>1.3583076239415497</v>
      </c>
      <c r="F398">
        <f>AVERAGE('R1'!M398,'R2'!M398,'R3'!M398)</f>
        <v>1.4591249474191195</v>
      </c>
      <c r="G398">
        <f>AVERAGE('R1'!N398,'R2'!N398,'R3'!N398)</f>
        <v>-0.65725421397731787</v>
      </c>
      <c r="H398">
        <f>AVERAGE('R1'!O398,'R2'!O398,'R3'!O398)</f>
        <v>-0.46448258711025597</v>
      </c>
      <c r="I398">
        <f t="shared" si="10"/>
        <v>4370.4080976388877</v>
      </c>
      <c r="K398">
        <f>_xlfn.STDEV.S('R1'!L398,'R2'!L398,'R3'!L398)</f>
        <v>2.2494045386247043E-3</v>
      </c>
      <c r="L398">
        <f>_xlfn.STDEV.S('R1'!M398,'R2'!M398,'R3'!M398)</f>
        <v>4.3652912293295123E-3</v>
      </c>
      <c r="M398">
        <f>_xlfn.STDEV.S('R1'!N398,'R2'!N398,'R3'!N398)</f>
        <v>1.3386862499950179E-3</v>
      </c>
      <c r="N398">
        <f>_xlfn.STDEV.S('R1'!O398,'R2'!O398,'R3'!O398)</f>
        <v>7.0176983910818112E-3</v>
      </c>
    </row>
    <row r="399" spans="1:14" x14ac:dyDescent="0.25">
      <c r="A399">
        <f>-'R1'!H399</f>
        <v>-24</v>
      </c>
      <c r="B399">
        <f>DEGREES(ATAN(-SIN(RADIANS(('R1'!I399)))/(COS(RADIANS(Sheet1!A399))*COS(RADIANS('R1'!I399)))))</f>
        <v>21.723080079379415</v>
      </c>
      <c r="C399">
        <f>AVERAGE('R1'!J399,'R2'!J399,'R3'!J399)</f>
        <v>1.1633333333333331</v>
      </c>
      <c r="D399">
        <f>AVERAGE('R1'!K399,'R2'!K399,'R3'!K399)</f>
        <v>22.645911250000001</v>
      </c>
      <c r="E399">
        <f>AVERAGE('R1'!L399,'R2'!L399,'R3'!L399)</f>
        <v>1.1733521040891026</v>
      </c>
      <c r="F399">
        <f>AVERAGE('R1'!M399,'R2'!M399,'R3'!M399)</f>
        <v>1.474901208947708</v>
      </c>
      <c r="G399">
        <f>AVERAGE('R1'!N399,'R2'!N399,'R3'!N399)</f>
        <v>-0.58271543621143507</v>
      </c>
      <c r="H399">
        <f>AVERAGE('R1'!O399,'R2'!O399,'R3'!O399)</f>
        <v>-0.32259872059410871</v>
      </c>
      <c r="I399">
        <f t="shared" si="10"/>
        <v>4390.7905701388881</v>
      </c>
      <c r="K399">
        <f>_xlfn.STDEV.S('R1'!L399,'R2'!L399,'R3'!L399)</f>
        <v>8.048698950611187E-3</v>
      </c>
      <c r="L399">
        <f>_xlfn.STDEV.S('R1'!M399,'R2'!M399,'R3'!M399)</f>
        <v>5.4013636676242677E-3</v>
      </c>
      <c r="M399">
        <f>_xlfn.STDEV.S('R1'!N399,'R2'!N399,'R3'!N399)</f>
        <v>3.2197052130991575E-3</v>
      </c>
      <c r="N399">
        <f>_xlfn.STDEV.S('R1'!O399,'R2'!O399,'R3'!O399)</f>
        <v>3.934761905824825E-3</v>
      </c>
    </row>
    <row r="400" spans="1:14" x14ac:dyDescent="0.25">
      <c r="A400">
        <f>-'R1'!H400</f>
        <v>-24</v>
      </c>
      <c r="B400">
        <f>DEGREES(ATAN(-SIN(RADIANS(('R1'!I400)))/(COS(RADIANS(Sheet1!A400))*COS(RADIANS('R1'!I400)))))</f>
        <v>17.426129149372727</v>
      </c>
      <c r="C400">
        <f>AVERAGE('R1'!J400,'R2'!J400,'R3'!J400)</f>
        <v>1.1633333333333331</v>
      </c>
      <c r="D400">
        <f>AVERAGE('R1'!K400,'R2'!K400,'R3'!K400)</f>
        <v>22.745782750000004</v>
      </c>
      <c r="E400">
        <f>AVERAGE('R1'!L400,'R2'!L400,'R3'!L400)</f>
        <v>0.97648324439662082</v>
      </c>
      <c r="F400">
        <f>AVERAGE('R1'!M400,'R2'!M400,'R3'!M400)</f>
        <v>1.4948553866180057</v>
      </c>
      <c r="G400">
        <f>AVERAGE('R1'!N400,'R2'!N400,'R3'!N400)</f>
        <v>-0.51602266863501345</v>
      </c>
      <c r="H400">
        <f>AVERAGE('R1'!O400,'R2'!O400,'R3'!O400)</f>
        <v>-0.20155161806582869</v>
      </c>
      <c r="I400">
        <f t="shared" si="10"/>
        <v>4410.1545443055556</v>
      </c>
      <c r="K400">
        <f>_xlfn.STDEV.S('R1'!L400,'R2'!L400,'R3'!L400)</f>
        <v>4.4731186757239229E-3</v>
      </c>
      <c r="L400">
        <f>_xlfn.STDEV.S('R1'!M400,'R2'!M400,'R3'!M400)</f>
        <v>3.8311244040608204E-3</v>
      </c>
      <c r="M400">
        <f>_xlfn.STDEV.S('R1'!N400,'R2'!N400,'R3'!N400)</f>
        <v>7.3585773810572914E-3</v>
      </c>
      <c r="N400">
        <f>_xlfn.STDEV.S('R1'!O400,'R2'!O400,'R3'!O400)</f>
        <v>4.7737891206984196E-3</v>
      </c>
    </row>
    <row r="401" spans="1:14" x14ac:dyDescent="0.25">
      <c r="A401">
        <f>-'R1'!H401</f>
        <v>-24</v>
      </c>
      <c r="B401">
        <f>DEGREES(ATAN(-SIN(RADIANS(('R1'!I401)))/(COS(RADIANS(Sheet1!A401))*COS(RADIANS('R1'!I401)))))</f>
        <v>13.09808863151425</v>
      </c>
      <c r="C401">
        <f>AVERAGE('R1'!J401,'R2'!J401,'R3'!J401)</f>
        <v>1.1633333333333331</v>
      </c>
      <c r="D401">
        <f>AVERAGE('R1'!K401,'R2'!K401,'R3'!K401)</f>
        <v>22.962378749999999</v>
      </c>
      <c r="E401">
        <f>AVERAGE('R1'!L401,'R2'!L401,'R3'!L401)</f>
        <v>0.75821791519765946</v>
      </c>
      <c r="F401">
        <f>AVERAGE('R1'!M401,'R2'!M401,'R3'!M401)</f>
        <v>1.5298448771559734</v>
      </c>
      <c r="G401">
        <f>AVERAGE('R1'!N401,'R2'!N401,'R3'!N401)</f>
        <v>-0.4551833531512422</v>
      </c>
      <c r="H401">
        <f>AVERAGE('R1'!O401,'R2'!O401,'R3'!O401)</f>
        <v>-0.11345950873101694</v>
      </c>
      <c r="I401">
        <f t="shared" si="10"/>
        <v>4452.1501020833321</v>
      </c>
      <c r="K401">
        <f>_xlfn.STDEV.S('R1'!L401,'R2'!L401,'R3'!L401)</f>
        <v>2.02791010212219E-3</v>
      </c>
      <c r="L401">
        <f>_xlfn.STDEV.S('R1'!M401,'R2'!M401,'R3'!M401)</f>
        <v>6.3696093320690858E-3</v>
      </c>
      <c r="M401">
        <f>_xlfn.STDEV.S('R1'!N401,'R2'!N401,'R3'!N401)</f>
        <v>3.5507804535085683E-3</v>
      </c>
      <c r="N401">
        <f>_xlfn.STDEV.S('R1'!O401,'R2'!O401,'R3'!O401)</f>
        <v>7.5847984917913518E-3</v>
      </c>
    </row>
    <row r="402" spans="1:14" x14ac:dyDescent="0.25">
      <c r="A402">
        <f>-'R1'!H402</f>
        <v>-24</v>
      </c>
      <c r="B402">
        <f>DEGREES(ATAN(-SIN(RADIANS(('R1'!I402)))/(COS(RADIANS(Sheet1!A402))*COS(RADIANS('R1'!I402)))))</f>
        <v>8.7458791850141893</v>
      </c>
      <c r="C402">
        <f>AVERAGE('R1'!J402,'R2'!J402,'R3'!J402)</f>
        <v>1.1633333333333331</v>
      </c>
      <c r="D402">
        <f>AVERAGE('R1'!K402,'R2'!K402,'R3'!K402)</f>
        <v>23.056437083333336</v>
      </c>
      <c r="E402">
        <f>AVERAGE('R1'!L402,'R2'!L402,'R3'!L402)</f>
        <v>0.53870936073311049</v>
      </c>
      <c r="F402">
        <f>AVERAGE('R1'!M402,'R2'!M402,'R3'!M402)</f>
        <v>1.5841285374095706</v>
      </c>
      <c r="G402">
        <f>AVERAGE('R1'!N402,'R2'!N402,'R3'!N402)</f>
        <v>-0.42084546329229117</v>
      </c>
      <c r="H402">
        <f>AVERAGE('R1'!O402,'R2'!O402,'R3'!O402)</f>
        <v>-3.7447302151286416E-2</v>
      </c>
      <c r="I402">
        <f t="shared" si="10"/>
        <v>4470.3869678240735</v>
      </c>
      <c r="K402">
        <f>_xlfn.STDEV.S('R1'!L402,'R2'!L402,'R3'!L402)</f>
        <v>4.130452218629274E-4</v>
      </c>
      <c r="L402">
        <f>_xlfn.STDEV.S('R1'!M402,'R2'!M402,'R3'!M402)</f>
        <v>6.1271569392686402E-3</v>
      </c>
      <c r="M402">
        <f>_xlfn.STDEV.S('R1'!N402,'R2'!N402,'R3'!N402)</f>
        <v>3.8000538861292211E-3</v>
      </c>
      <c r="N402">
        <f>_xlfn.STDEV.S('R1'!O402,'R2'!O402,'R3'!O402)</f>
        <v>7.8366229318131992E-3</v>
      </c>
    </row>
    <row r="403" spans="1:14" x14ac:dyDescent="0.25">
      <c r="A403">
        <f>-'R1'!H403</f>
        <v>-24</v>
      </c>
      <c r="B403">
        <f>DEGREES(ATAN(-SIN(RADIANS(('R1'!I403)))/(COS(RADIANS(Sheet1!A403))*COS(RADIANS('R1'!I403)))))</f>
        <v>4.3771372039965373</v>
      </c>
      <c r="C403">
        <f>AVERAGE('R1'!J403,'R2'!J403,'R3'!J403)</f>
        <v>1.1633333333333331</v>
      </c>
      <c r="D403">
        <f>AVERAGE('R1'!K403,'R2'!K403,'R3'!K403)</f>
        <v>22.673133666666669</v>
      </c>
      <c r="E403">
        <f>AVERAGE('R1'!L403,'R2'!L403,'R3'!L403)</f>
        <v>0.30218491934755015</v>
      </c>
      <c r="F403">
        <f>AVERAGE('R1'!M403,'R2'!M403,'R3'!M403)</f>
        <v>1.6636768655279004</v>
      </c>
      <c r="G403">
        <f>AVERAGE('R1'!N403,'R2'!N403,'R3'!N403)</f>
        <v>-0.41723801806788413</v>
      </c>
      <c r="H403">
        <f>AVERAGE('R1'!O403,'R2'!O403,'R3'!O403)</f>
        <v>4.144233352685886E-2</v>
      </c>
      <c r="I403">
        <f t="shared" si="10"/>
        <v>4396.0686942592592</v>
      </c>
      <c r="K403">
        <f>_xlfn.STDEV.S('R1'!L403,'R2'!L403,'R3'!L403)</f>
        <v>4.0628968647729788E-3</v>
      </c>
      <c r="L403">
        <f>_xlfn.STDEV.S('R1'!M403,'R2'!M403,'R3'!M403)</f>
        <v>3.7873083085032573E-3</v>
      </c>
      <c r="M403">
        <f>_xlfn.STDEV.S('R1'!N403,'R2'!N403,'R3'!N403)</f>
        <v>4.7476955238127784E-3</v>
      </c>
      <c r="N403">
        <f>_xlfn.STDEV.S('R1'!O403,'R2'!O403,'R3'!O403)</f>
        <v>4.9086035338363329E-3</v>
      </c>
    </row>
    <row r="404" spans="1:14" x14ac:dyDescent="0.25">
      <c r="A404">
        <f>-'R1'!H404</f>
        <v>-24</v>
      </c>
      <c r="B404">
        <f>DEGREES(ATAN(-SIN(RADIANS(('R1'!I404)))/(COS(RADIANS(Sheet1!A404))*COS(RADIANS('R1'!I404)))))</f>
        <v>0</v>
      </c>
      <c r="C404">
        <f>AVERAGE('R1'!J404,'R2'!J404,'R3'!J404)</f>
        <v>1.1633333333333331</v>
      </c>
      <c r="D404">
        <f>AVERAGE('R1'!K404,'R2'!K404,'R3'!K404)</f>
        <v>22.304347083333337</v>
      </c>
      <c r="E404">
        <f>AVERAGE('R1'!L404,'R2'!L404,'R3'!L404)</f>
        <v>1.7497686991126162E-2</v>
      </c>
      <c r="F404">
        <f>AVERAGE('R1'!M404,'R2'!M404,'R3'!M404)</f>
        <v>1.7831630605312976</v>
      </c>
      <c r="G404">
        <f>AVERAGE('R1'!N404,'R2'!N404,'R3'!N404)</f>
        <v>-0.43978118985447573</v>
      </c>
      <c r="H404">
        <f>AVERAGE('R1'!O404,'R2'!O404,'R3'!O404)</f>
        <v>0.13166746806025983</v>
      </c>
      <c r="I404">
        <f t="shared" si="10"/>
        <v>4324.5650733796301</v>
      </c>
      <c r="K404">
        <f>_xlfn.STDEV.S('R1'!L404,'R2'!L404,'R3'!L404)</f>
        <v>5.9171742104459852E-3</v>
      </c>
      <c r="L404">
        <f>_xlfn.STDEV.S('R1'!M404,'R2'!M404,'R3'!M404)</f>
        <v>3.4654242013437472E-3</v>
      </c>
      <c r="M404">
        <f>_xlfn.STDEV.S('R1'!N404,'R2'!N404,'R3'!N404)</f>
        <v>6.7755473981067158E-3</v>
      </c>
      <c r="N404">
        <f>_xlfn.STDEV.S('R1'!O404,'R2'!O404,'R3'!O404)</f>
        <v>6.2530373638114986E-3</v>
      </c>
    </row>
    <row r="405" spans="1:14" x14ac:dyDescent="0.25">
      <c r="A405">
        <f>-'R1'!H405</f>
        <v>-24</v>
      </c>
      <c r="B405">
        <f>DEGREES(ATAN(-SIN(RADIANS(('R1'!I405)))/(COS(RADIANS(Sheet1!A405))*COS(RADIANS('R1'!I405)))))</f>
        <v>-4.3771372039965373</v>
      </c>
      <c r="C405">
        <f>AVERAGE('R1'!J405,'R2'!J405,'R3'!J405)</f>
        <v>1.1633333333333331</v>
      </c>
      <c r="D405">
        <f>AVERAGE('R1'!K405,'R2'!K405,'R3'!K405)</f>
        <v>22.195698666666669</v>
      </c>
      <c r="E405">
        <f>AVERAGE('R1'!L405,'R2'!L405,'R3'!L405)</f>
        <v>-0.2761383059725962</v>
      </c>
      <c r="F405">
        <f>AVERAGE('R1'!M405,'R2'!M405,'R3'!M405)</f>
        <v>1.682220266225837</v>
      </c>
      <c r="G405">
        <f>AVERAGE('R1'!N405,'R2'!N405,'R3'!N405)</f>
        <v>-0.42843835979770212</v>
      </c>
      <c r="H405">
        <f>AVERAGE('R1'!O405,'R2'!O405,'R3'!O405)</f>
        <v>4.9459815172588684E-2</v>
      </c>
      <c r="I405">
        <f t="shared" si="10"/>
        <v>4303.499352592592</v>
      </c>
      <c r="K405">
        <f>_xlfn.STDEV.S('R1'!L405,'R2'!L405,'R3'!L405)</f>
        <v>6.9601508998684194E-3</v>
      </c>
      <c r="L405">
        <f>_xlfn.STDEV.S('R1'!M405,'R2'!M405,'R3'!M405)</f>
        <v>9.3940448409556374E-3</v>
      </c>
      <c r="M405">
        <f>_xlfn.STDEV.S('R1'!N405,'R2'!N405,'R3'!N405)</f>
        <v>8.3080994651185214E-4</v>
      </c>
      <c r="N405">
        <f>_xlfn.STDEV.S('R1'!O405,'R2'!O405,'R3'!O405)</f>
        <v>6.1654949747386289E-3</v>
      </c>
    </row>
    <row r="406" spans="1:14" x14ac:dyDescent="0.25">
      <c r="A406">
        <f>-'R1'!H406</f>
        <v>-24</v>
      </c>
      <c r="B406">
        <f>DEGREES(ATAN(-SIN(RADIANS(('R1'!I406)))/(COS(RADIANS(Sheet1!A406))*COS(RADIANS('R1'!I406)))))</f>
        <v>-8.7458791850141893</v>
      </c>
      <c r="C406">
        <f>AVERAGE('R1'!J406,'R2'!J406,'R3'!J406)</f>
        <v>1.1633333333333331</v>
      </c>
      <c r="D406">
        <f>AVERAGE('R1'!K406,'R2'!K406,'R3'!K406)</f>
        <v>22.413207416666665</v>
      </c>
      <c r="E406">
        <f>AVERAGE('R1'!L406,'R2'!L406,'R3'!L406)</f>
        <v>-0.53415023864477151</v>
      </c>
      <c r="F406">
        <f>AVERAGE('R1'!M406,'R2'!M406,'R3'!M406)</f>
        <v>1.6036285254388918</v>
      </c>
      <c r="G406">
        <f>AVERAGE('R1'!N406,'R2'!N406,'R3'!N406)</f>
        <v>-0.44133992174836073</v>
      </c>
      <c r="H406">
        <f>AVERAGE('R1'!O406,'R2'!O406,'R3'!O406)</f>
        <v>-4.4717017760304234E-2</v>
      </c>
      <c r="I406">
        <f t="shared" si="10"/>
        <v>4345.6718824537029</v>
      </c>
      <c r="K406">
        <f>_xlfn.STDEV.S('R1'!L406,'R2'!L406,'R3'!L406)</f>
        <v>5.3956421764522582E-3</v>
      </c>
      <c r="L406">
        <f>_xlfn.STDEV.S('R1'!M406,'R2'!M406,'R3'!M406)</f>
        <v>5.3550851573998188E-3</v>
      </c>
      <c r="M406">
        <f>_xlfn.STDEV.S('R1'!N406,'R2'!N406,'R3'!N406)</f>
        <v>2.858549052256275E-3</v>
      </c>
      <c r="N406">
        <f>_xlfn.STDEV.S('R1'!O406,'R2'!O406,'R3'!O406)</f>
        <v>5.3191574575077536E-3</v>
      </c>
    </row>
    <row r="407" spans="1:14" x14ac:dyDescent="0.25">
      <c r="A407">
        <f>-'R1'!H407</f>
        <v>-24</v>
      </c>
      <c r="B407">
        <f>DEGREES(ATAN(-SIN(RADIANS(('R1'!I407)))/(COS(RADIANS(Sheet1!A407))*COS(RADIANS('R1'!I407)))))</f>
        <v>-13.09808863151425</v>
      </c>
      <c r="C407">
        <f>AVERAGE('R1'!J407,'R2'!J407,'R3'!J407)</f>
        <v>1.1633333333333331</v>
      </c>
      <c r="D407">
        <f>AVERAGE('R1'!K407,'R2'!K407,'R3'!K407)</f>
        <v>22.752141750000003</v>
      </c>
      <c r="E407">
        <f>AVERAGE('R1'!L407,'R2'!L407,'R3'!L407)</f>
        <v>-0.78048748352559516</v>
      </c>
      <c r="F407">
        <f>AVERAGE('R1'!M407,'R2'!M407,'R3'!M407)</f>
        <v>1.5435006732606196</v>
      </c>
      <c r="G407">
        <f>AVERAGE('R1'!N407,'R2'!N407,'R3'!N407)</f>
        <v>-0.48044013901772442</v>
      </c>
      <c r="H407">
        <f>AVERAGE('R1'!O407,'R2'!O407,'R3'!O407)</f>
        <v>-0.1414613802741958</v>
      </c>
      <c r="I407">
        <f t="shared" si="10"/>
        <v>4411.3874837499998</v>
      </c>
      <c r="K407">
        <f>_xlfn.STDEV.S('R1'!L407,'R2'!L407,'R3'!L407)</f>
        <v>2.3117410114465776E-3</v>
      </c>
      <c r="L407">
        <f>_xlfn.STDEV.S('R1'!M407,'R2'!M407,'R3'!M407)</f>
        <v>7.0778103427307408E-3</v>
      </c>
      <c r="M407">
        <f>_xlfn.STDEV.S('R1'!N407,'R2'!N407,'R3'!N407)</f>
        <v>2.0512435869201812E-3</v>
      </c>
      <c r="N407">
        <f>_xlfn.STDEV.S('R1'!O407,'R2'!O407,'R3'!O407)</f>
        <v>3.1576680874486349E-3</v>
      </c>
    </row>
    <row r="408" spans="1:14" x14ac:dyDescent="0.25">
      <c r="A408">
        <f>-'R1'!H408</f>
        <v>-24</v>
      </c>
      <c r="B408">
        <f>DEGREES(ATAN(-SIN(RADIANS(('R1'!I408)))/(COS(RADIANS(Sheet1!A408))*COS(RADIANS('R1'!I408)))))</f>
        <v>-17.426129149372727</v>
      </c>
      <c r="C408">
        <f>AVERAGE('R1'!J408,'R2'!J408,'R3'!J408)</f>
        <v>1.1633333333333331</v>
      </c>
      <c r="D408">
        <f>AVERAGE('R1'!K408,'R2'!K408,'R3'!K408)</f>
        <v>22.731127833333332</v>
      </c>
      <c r="E408">
        <f>AVERAGE('R1'!L408,'R2'!L408,'R3'!L408)</f>
        <v>-1.0131320015145844</v>
      </c>
      <c r="F408">
        <f>AVERAGE('R1'!M408,'R2'!M408,'R3'!M408)</f>
        <v>1.5160011135509504</v>
      </c>
      <c r="G408">
        <f>AVERAGE('R1'!N408,'R2'!N408,'R3'!N408)</f>
        <v>-0.55046660532224923</v>
      </c>
      <c r="H408">
        <f>AVERAGE('R1'!O408,'R2'!O408,'R3'!O408)</f>
        <v>-0.23898698575251875</v>
      </c>
      <c r="I408">
        <f t="shared" si="10"/>
        <v>4407.3131187962954</v>
      </c>
      <c r="K408">
        <f>_xlfn.STDEV.S('R1'!L408,'R2'!L408,'R3'!L408)</f>
        <v>4.1759466462679843E-3</v>
      </c>
      <c r="L408">
        <f>_xlfn.STDEV.S('R1'!M408,'R2'!M408,'R3'!M408)</f>
        <v>8.4300838794339802E-3</v>
      </c>
      <c r="M408">
        <f>_xlfn.STDEV.S('R1'!N408,'R2'!N408,'R3'!N408)</f>
        <v>4.2528826198617413E-3</v>
      </c>
      <c r="N408">
        <f>_xlfn.STDEV.S('R1'!O408,'R2'!O408,'R3'!O408)</f>
        <v>3.5455192359547358E-3</v>
      </c>
    </row>
    <row r="409" spans="1:14" x14ac:dyDescent="0.25">
      <c r="A409">
        <f>-'R1'!H409</f>
        <v>-24</v>
      </c>
      <c r="B409">
        <f>DEGREES(ATAN(-SIN(RADIANS(('R1'!I409)))/(COS(RADIANS(Sheet1!A409))*COS(RADIANS('R1'!I409)))))</f>
        <v>-21.723080079379415</v>
      </c>
      <c r="C409">
        <f>AVERAGE('R1'!J409,'R2'!J409,'R3'!J409)</f>
        <v>1.1633333333333331</v>
      </c>
      <c r="D409">
        <f>AVERAGE('R1'!K409,'R2'!K409,'R3'!K409)</f>
        <v>22.774833999999998</v>
      </c>
      <c r="E409">
        <f>AVERAGE('R1'!L409,'R2'!L409,'R3'!L409)</f>
        <v>-1.2295852156512144</v>
      </c>
      <c r="F409">
        <f>AVERAGE('R1'!M409,'R2'!M409,'R3'!M409)</f>
        <v>1.5268789858954275</v>
      </c>
      <c r="G409">
        <f>AVERAGE('R1'!N409,'R2'!N409,'R3'!N409)</f>
        <v>-0.64817232636985145</v>
      </c>
      <c r="H409">
        <f>AVERAGE('R1'!O409,'R2'!O409,'R3'!O409)</f>
        <v>-0.36524322237876866</v>
      </c>
      <c r="I409">
        <f t="shared" si="10"/>
        <v>4415.7872588888886</v>
      </c>
      <c r="K409">
        <f>_xlfn.STDEV.S('R1'!L409,'R2'!L409,'R3'!L409)</f>
        <v>2.0761963910065576E-3</v>
      </c>
      <c r="L409">
        <f>_xlfn.STDEV.S('R1'!M409,'R2'!M409,'R3'!M409)</f>
        <v>5.9364609917821436E-3</v>
      </c>
      <c r="M409">
        <f>_xlfn.STDEV.S('R1'!N409,'R2'!N409,'R3'!N409)</f>
        <v>3.6836385417917433E-3</v>
      </c>
      <c r="N409">
        <f>_xlfn.STDEV.S('R1'!O409,'R2'!O409,'R3'!O409)</f>
        <v>5.1127474593504014E-3</v>
      </c>
    </row>
    <row r="410" spans="1:14" x14ac:dyDescent="0.25">
      <c r="A410">
        <f>-'R1'!H410</f>
        <v>-24</v>
      </c>
      <c r="B410">
        <f>DEGREES(ATAN(-SIN(RADIANS(('R1'!I410)))/(COS(RADIANS(Sheet1!A410))*COS(RADIANS('R1'!I410)))))</f>
        <v>-25.982912809070061</v>
      </c>
      <c r="C410">
        <f>AVERAGE('R1'!J410,'R2'!J410,'R3'!J410)</f>
        <v>1.1633333333333331</v>
      </c>
      <c r="D410">
        <f>AVERAGE('R1'!K410,'R2'!K410,'R3'!K410)</f>
        <v>22.833446416666664</v>
      </c>
      <c r="E410">
        <f>AVERAGE('R1'!L410,'R2'!L410,'R3'!L410)</f>
        <v>-1.4160773330193841</v>
      </c>
      <c r="F410">
        <f>AVERAGE('R1'!M410,'R2'!M410,'R3'!M410)</f>
        <v>1.5743761216346417</v>
      </c>
      <c r="G410">
        <f>AVERAGE('R1'!N410,'R2'!N410,'R3'!N410)</f>
        <v>-0.76181678938904385</v>
      </c>
      <c r="H410">
        <f>AVERAGE('R1'!O410,'R2'!O410,'R3'!O410)</f>
        <v>-0.51922641905984501</v>
      </c>
      <c r="I410">
        <f t="shared" si="10"/>
        <v>4427.1515552314804</v>
      </c>
      <c r="K410">
        <f>_xlfn.STDEV.S('R1'!L410,'R2'!L410,'R3'!L410)</f>
        <v>5.636985059675418E-4</v>
      </c>
      <c r="L410">
        <f>_xlfn.STDEV.S('R1'!M410,'R2'!M410,'R3'!M410)</f>
        <v>5.9616509235852766E-3</v>
      </c>
      <c r="M410">
        <f>_xlfn.STDEV.S('R1'!N410,'R2'!N410,'R3'!N410)</f>
        <v>4.1181102513263672E-3</v>
      </c>
      <c r="N410">
        <f>_xlfn.STDEV.S('R1'!O410,'R2'!O410,'R3'!O410)</f>
        <v>4.8213519222351188E-3</v>
      </c>
    </row>
    <row r="411" spans="1:14" x14ac:dyDescent="0.25">
      <c r="A411">
        <f>-'R1'!H411</f>
        <v>-24</v>
      </c>
      <c r="B411">
        <f>DEGREES(ATAN(-SIN(RADIANS(('R1'!I411)))/(COS(RADIANS(Sheet1!A411))*COS(RADIANS('R1'!I411)))))</f>
        <v>-30.200622081370245</v>
      </c>
      <c r="C411">
        <f>AVERAGE('R1'!J411,'R2'!J411,'R3'!J411)</f>
        <v>1.1633333333333331</v>
      </c>
      <c r="D411">
        <f>AVERAGE('R1'!K411,'R2'!K411,'R3'!K411)</f>
        <v>23.137886249999998</v>
      </c>
      <c r="E411">
        <f>AVERAGE('R1'!L411,'R2'!L411,'R3'!L411)</f>
        <v>-1.5891384123654089</v>
      </c>
      <c r="F411">
        <f>AVERAGE('R1'!M411,'R2'!M411,'R3'!M411)</f>
        <v>1.6453247744094464</v>
      </c>
      <c r="G411">
        <f>AVERAGE('R1'!N411,'R2'!N411,'R3'!N411)</f>
        <v>-0.89533837089141388</v>
      </c>
      <c r="H411">
        <f>AVERAGE('R1'!O411,'R2'!O411,'R3'!O411)</f>
        <v>-0.68931208752591477</v>
      </c>
      <c r="I411">
        <f t="shared" si="10"/>
        <v>4486.1790562499991</v>
      </c>
      <c r="K411">
        <f>_xlfn.STDEV.S('R1'!L411,'R2'!L411,'R3'!L411)</f>
        <v>8.4189783674729225E-3</v>
      </c>
      <c r="L411">
        <f>_xlfn.STDEV.S('R1'!M411,'R2'!M411,'R3'!M411)</f>
        <v>7.122754652863399E-3</v>
      </c>
      <c r="M411">
        <f>_xlfn.STDEV.S('R1'!N411,'R2'!N411,'R3'!N411)</f>
        <v>9.2887429679939897E-3</v>
      </c>
      <c r="N411">
        <f>_xlfn.STDEV.S('R1'!O411,'R2'!O411,'R3'!O411)</f>
        <v>6.1069256890968855E-3</v>
      </c>
    </row>
    <row r="412" spans="1:14" x14ac:dyDescent="0.25">
      <c r="A412">
        <f>-'R1'!H412</f>
        <v>-24</v>
      </c>
      <c r="B412">
        <f>DEGREES(ATAN(-SIN(RADIANS(('R1'!I412)))/(COS(RADIANS(Sheet1!A412))*COS(RADIANS('R1'!I412)))))</f>
        <v>-34.372309890771753</v>
      </c>
      <c r="C412">
        <f>AVERAGE('R1'!J412,'R2'!J412,'R3'!J412)</f>
        <v>1.1633333333333331</v>
      </c>
      <c r="D412">
        <f>AVERAGE('R1'!K412,'R2'!K412,'R3'!K412)</f>
        <v>22.736276416666666</v>
      </c>
      <c r="E412">
        <f>AVERAGE('R1'!L412,'R2'!L412,'R3'!L412)</f>
        <v>-1.7720989497316151</v>
      </c>
      <c r="F412">
        <f>AVERAGE('R1'!M412,'R2'!M412,'R3'!M412)</f>
        <v>1.7346777197237546</v>
      </c>
      <c r="G412">
        <f>AVERAGE('R1'!N412,'R2'!N412,'R3'!N412)</f>
        <v>-1.0595179081232846</v>
      </c>
      <c r="H412">
        <f>AVERAGE('R1'!O412,'R2'!O412,'R3'!O412)</f>
        <v>-0.86927589940172523</v>
      </c>
      <c r="I412">
        <f t="shared" si="10"/>
        <v>4408.3113718981476</v>
      </c>
      <c r="K412">
        <f>_xlfn.STDEV.S('R1'!L412,'R2'!L412,'R3'!L412)</f>
        <v>2.522625873402299E-3</v>
      </c>
      <c r="L412">
        <f>_xlfn.STDEV.S('R1'!M412,'R2'!M412,'R3'!M412)</f>
        <v>3.370592258942312E-3</v>
      </c>
      <c r="M412">
        <f>_xlfn.STDEV.S('R1'!N412,'R2'!N412,'R3'!N412)</f>
        <v>6.8164162055658921E-3</v>
      </c>
      <c r="N412">
        <f>_xlfn.STDEV.S('R1'!O412,'R2'!O412,'R3'!O412)</f>
        <v>2.5407028574694237E-3</v>
      </c>
    </row>
    <row r="413" spans="1:14" x14ac:dyDescent="0.25">
      <c r="A413">
        <f>-'R1'!H413</f>
        <v>-24</v>
      </c>
      <c r="B413">
        <f>DEGREES(ATAN(-SIN(RADIANS(('R1'!I413)))/(COS(RADIANS(Sheet1!A413))*COS(RADIANS('R1'!I413)))))</f>
        <v>-38.495223358359183</v>
      </c>
      <c r="C413">
        <f>AVERAGE('R1'!J413,'R2'!J413,'R3'!J413)</f>
        <v>1.1633333333333331</v>
      </c>
      <c r="D413">
        <f>AVERAGE('R1'!K413,'R2'!K413,'R3'!K413)</f>
        <v>22.381467333333333</v>
      </c>
      <c r="E413">
        <f>AVERAGE('R1'!L413,'R2'!L413,'R3'!L413)</f>
        <v>-1.9783968606388811</v>
      </c>
      <c r="F413">
        <f>AVERAGE('R1'!M413,'R2'!M413,'R3'!M413)</f>
        <v>1.8819564374651971</v>
      </c>
      <c r="G413">
        <f>AVERAGE('R1'!N413,'R2'!N413,'R3'!N413)</f>
        <v>-1.2889037384756745</v>
      </c>
      <c r="H413">
        <f>AVERAGE('R1'!O413,'R2'!O413,'R3'!O413)</f>
        <v>-1.0725202833551306</v>
      </c>
      <c r="I413">
        <f t="shared" si="10"/>
        <v>4339.5178329629625</v>
      </c>
      <c r="K413">
        <f>_xlfn.STDEV.S('R1'!L413,'R2'!L413,'R3'!L413)</f>
        <v>6.9082987064519362E-3</v>
      </c>
      <c r="L413">
        <f>_xlfn.STDEV.S('R1'!M413,'R2'!M413,'R3'!M413)</f>
        <v>8.9351096659528954E-3</v>
      </c>
      <c r="M413">
        <f>_xlfn.STDEV.S('R1'!N413,'R2'!N413,'R3'!N413)</f>
        <v>9.0066910798563635E-3</v>
      </c>
      <c r="N413">
        <f>_xlfn.STDEV.S('R1'!O413,'R2'!O413,'R3'!O413)</f>
        <v>3.4376198662356017E-3</v>
      </c>
    </row>
    <row r="414" spans="1:14" x14ac:dyDescent="0.25">
      <c r="A414">
        <f>-'R1'!H414</f>
        <v>-24</v>
      </c>
      <c r="B414">
        <f>DEGREES(ATAN(-SIN(RADIANS(('R1'!I414)))/(COS(RADIANS(Sheet1!A414))*COS(RADIANS('R1'!I414)))))</f>
        <v>-42.567751063132313</v>
      </c>
      <c r="C414">
        <f>AVERAGE('R1'!J414,'R2'!J414,'R3'!J414)</f>
        <v>1.1633333333333331</v>
      </c>
      <c r="D414">
        <f>AVERAGE('R1'!K414,'R2'!K414,'R3'!K414)</f>
        <v>21.980515916666665</v>
      </c>
      <c r="E414">
        <f>AVERAGE('R1'!L414,'R2'!L414,'R3'!L414)</f>
        <v>-2.236419831995569</v>
      </c>
      <c r="F414">
        <f>AVERAGE('R1'!M414,'R2'!M414,'R3'!M414)</f>
        <v>2.0715963333034377</v>
      </c>
      <c r="G414">
        <f>AVERAGE('R1'!N414,'R2'!N414,'R3'!N414)</f>
        <v>-1.591875107064249</v>
      </c>
      <c r="H414">
        <f>AVERAGE('R1'!O414,'R2'!O414,'R3'!O414)</f>
        <v>-1.3134205117741902</v>
      </c>
      <c r="I414">
        <f t="shared" si="10"/>
        <v>4261.7778082870364</v>
      </c>
      <c r="K414">
        <f>_xlfn.STDEV.S('R1'!L414,'R2'!L414,'R3'!L414)</f>
        <v>3.0139439878052766E-3</v>
      </c>
      <c r="L414">
        <f>_xlfn.STDEV.S('R1'!M414,'R2'!M414,'R3'!M414)</f>
        <v>7.0653819844960592E-3</v>
      </c>
      <c r="M414">
        <f>_xlfn.STDEV.S('R1'!N414,'R2'!N414,'R3'!N414)</f>
        <v>1.2683822629320973E-3</v>
      </c>
      <c r="N414">
        <f>_xlfn.STDEV.S('R1'!O414,'R2'!O414,'R3'!O414)</f>
        <v>1.5898654773993206E-3</v>
      </c>
    </row>
    <row r="415" spans="1:14" x14ac:dyDescent="0.25">
      <c r="A415">
        <f>-'R1'!H415</f>
        <v>-24</v>
      </c>
      <c r="B415">
        <f>DEGREES(ATAN(-SIN(RADIANS(('R1'!I415)))/(COS(RADIANS(Sheet1!A415))*COS(RADIANS('R1'!I415)))))</f>
        <v>-46.589384435425394</v>
      </c>
      <c r="C415">
        <f>AVERAGE('R1'!J415,'R2'!J415,'R3'!J415)</f>
        <v>1.1633333333333331</v>
      </c>
      <c r="D415">
        <f>AVERAGE('R1'!K415,'R2'!K415,'R3'!K415)</f>
        <v>22.252711999999999</v>
      </c>
      <c r="E415">
        <f>AVERAGE('R1'!L415,'R2'!L415,'R3'!L415)</f>
        <v>-2.5773117612902614</v>
      </c>
      <c r="F415">
        <f>AVERAGE('R1'!M415,'R2'!M415,'R3'!M415)</f>
        <v>2.3357292834319843</v>
      </c>
      <c r="G415">
        <f>AVERAGE('R1'!N415,'R2'!N415,'R3'!N415)</f>
        <v>-2.023916499539117</v>
      </c>
      <c r="H415">
        <f>AVERAGE('R1'!O415,'R2'!O415,'R3'!O415)</f>
        <v>-1.626941303265353</v>
      </c>
      <c r="I415">
        <f t="shared" si="10"/>
        <v>4314.5536044444434</v>
      </c>
      <c r="K415">
        <f>_xlfn.STDEV.S('R1'!L415,'R2'!L415,'R3'!L415)</f>
        <v>6.3219006016561469E-3</v>
      </c>
      <c r="L415">
        <f>_xlfn.STDEV.S('R1'!M415,'R2'!M415,'R3'!M415)</f>
        <v>1.3501318567582977E-2</v>
      </c>
      <c r="M415">
        <f>_xlfn.STDEV.S('R1'!N415,'R2'!N415,'R3'!N415)</f>
        <v>7.2576118093119531E-3</v>
      </c>
      <c r="N415">
        <f>_xlfn.STDEV.S('R1'!O415,'R2'!O415,'R3'!O415)</f>
        <v>2.0780378738106515E-3</v>
      </c>
    </row>
    <row r="416" spans="1:14" x14ac:dyDescent="0.25">
      <c r="A416">
        <f>-'R1'!H416</f>
        <v>-28</v>
      </c>
      <c r="B416">
        <f>DEGREES(ATAN(-SIN(RADIANS(('R1'!I416)))/(COS(RADIANS(Sheet1!A416))*COS(RADIANS('R1'!I416)))))</f>
        <v>47.562731505879128</v>
      </c>
      <c r="C416">
        <f>AVERAGE('R1'!J416,'R2'!J416,'R3'!J416)</f>
        <v>1.1633333333333331</v>
      </c>
      <c r="D416">
        <f>AVERAGE('R1'!K416,'R2'!K416,'R3'!K416)</f>
        <v>22.732173416666665</v>
      </c>
      <c r="E416">
        <f>AVERAGE('R1'!L416,'R2'!L416,'R3'!L416)</f>
        <v>2.1741464123506353</v>
      </c>
      <c r="F416">
        <f>AVERAGE('R1'!M416,'R2'!M416,'R3'!M416)</f>
        <v>1.9529625147060294</v>
      </c>
      <c r="G416">
        <f>AVERAGE('R1'!N416,'R2'!N416,'R3'!N416)</f>
        <v>-1.5069193887684083</v>
      </c>
      <c r="H416">
        <f>AVERAGE('R1'!O416,'R2'!O416,'R3'!O416)</f>
        <v>-1.3773843987355114</v>
      </c>
      <c r="I416">
        <f t="shared" si="10"/>
        <v>4407.5158457870366</v>
      </c>
      <c r="K416">
        <f>_xlfn.STDEV.S('R1'!L416,'R2'!L416,'R3'!L416)</f>
        <v>3.6938972707555801E-3</v>
      </c>
      <c r="L416">
        <f>_xlfn.STDEV.S('R1'!M416,'R2'!M416,'R3'!M416)</f>
        <v>7.6769169954757199E-3</v>
      </c>
      <c r="M416">
        <f>_xlfn.STDEV.S('R1'!N416,'R2'!N416,'R3'!N416)</f>
        <v>4.330164710039437E-3</v>
      </c>
      <c r="N416">
        <f>_xlfn.STDEV.S('R1'!O416,'R2'!O416,'R3'!O416)</f>
        <v>1.9756418221374339E-3</v>
      </c>
    </row>
    <row r="417" spans="1:14" x14ac:dyDescent="0.25">
      <c r="A417">
        <f>-'R1'!H417</f>
        <v>-28</v>
      </c>
      <c r="B417">
        <f>DEGREES(ATAN(-SIN(RADIANS(('R1'!I417)))/(COS(RADIANS(Sheet1!A417))*COS(RADIANS('R1'!I417)))))</f>
        <v>43.541410263843531</v>
      </c>
      <c r="C417">
        <f>AVERAGE('R1'!J417,'R2'!J417,'R3'!J417)</f>
        <v>1.1633333333333331</v>
      </c>
      <c r="D417">
        <f>AVERAGE('R1'!K417,'R2'!K417,'R3'!K417)</f>
        <v>22.736820249999997</v>
      </c>
      <c r="E417">
        <f>AVERAGE('R1'!L417,'R2'!L417,'R3'!L417)</f>
        <v>1.971742847355306</v>
      </c>
      <c r="F417">
        <f>AVERAGE('R1'!M417,'R2'!M417,'R3'!M417)</f>
        <v>1.8447206031382277</v>
      </c>
      <c r="G417">
        <f>AVERAGE('R1'!N417,'R2'!N417,'R3'!N417)</f>
        <v>-1.2769713183681708</v>
      </c>
      <c r="H417">
        <f>AVERAGE('R1'!O417,'R2'!O417,'R3'!O417)</f>
        <v>-1.1884985421910104</v>
      </c>
      <c r="I417">
        <f t="shared" si="10"/>
        <v>4408.4168151388876</v>
      </c>
      <c r="K417">
        <f>_xlfn.STDEV.S('R1'!L417,'R2'!L417,'R3'!L417)</f>
        <v>6.4406382962979136E-4</v>
      </c>
      <c r="L417">
        <f>_xlfn.STDEV.S('R1'!M417,'R2'!M417,'R3'!M417)</f>
        <v>2.6769381443389703E-3</v>
      </c>
      <c r="M417">
        <f>_xlfn.STDEV.S('R1'!N417,'R2'!N417,'R3'!N417)</f>
        <v>5.3044722078395704E-3</v>
      </c>
      <c r="N417">
        <f>_xlfn.STDEV.S('R1'!O417,'R2'!O417,'R3'!O417)</f>
        <v>2.1522798063650104E-3</v>
      </c>
    </row>
    <row r="418" spans="1:14" x14ac:dyDescent="0.25">
      <c r="A418">
        <f>-'R1'!H418</f>
        <v>-28</v>
      </c>
      <c r="B418">
        <f>DEGREES(ATAN(-SIN(RADIANS(('R1'!I418)))/(COS(RADIANS(Sheet1!A418))*COS(RADIANS('R1'!I418)))))</f>
        <v>39.449608335498439</v>
      </c>
      <c r="C418">
        <f>AVERAGE('R1'!J418,'R2'!J418,'R3'!J418)</f>
        <v>1.1633333333333331</v>
      </c>
      <c r="D418">
        <f>AVERAGE('R1'!K418,'R2'!K418,'R3'!K418)</f>
        <v>22.737813500000001</v>
      </c>
      <c r="E418">
        <f>AVERAGE('R1'!L418,'R2'!L418,'R3'!L418)</f>
        <v>1.8106404354283701</v>
      </c>
      <c r="F418">
        <f>AVERAGE('R1'!M418,'R2'!M418,'R3'!M418)</f>
        <v>1.7496343062601794</v>
      </c>
      <c r="G418">
        <f>AVERAGE('R1'!N418,'R2'!N418,'R3'!N418)</f>
        <v>-1.0950999858711741</v>
      </c>
      <c r="H418">
        <f>AVERAGE('R1'!O418,'R2'!O418,'R3'!O418)</f>
        <v>-1.0303245944013055</v>
      </c>
      <c r="I418">
        <f t="shared" si="10"/>
        <v>4408.6093952777774</v>
      </c>
      <c r="K418">
        <f>_xlfn.STDEV.S('R1'!L418,'R2'!L418,'R3'!L418)</f>
        <v>2.2118459605451144E-3</v>
      </c>
      <c r="L418">
        <f>_xlfn.STDEV.S('R1'!M418,'R2'!M418,'R3'!M418)</f>
        <v>2.5725352804869686E-3</v>
      </c>
      <c r="M418">
        <f>_xlfn.STDEV.S('R1'!N418,'R2'!N418,'R3'!N418)</f>
        <v>6.4014136599391197E-3</v>
      </c>
      <c r="N418">
        <f>_xlfn.STDEV.S('R1'!O418,'R2'!O418,'R3'!O418)</f>
        <v>3.238375824862793E-3</v>
      </c>
    </row>
    <row r="419" spans="1:14" x14ac:dyDescent="0.25">
      <c r="A419">
        <f>-'R1'!H419</f>
        <v>-28</v>
      </c>
      <c r="B419">
        <f>DEGREES(ATAN(-SIN(RADIANS(('R1'!I419)))/(COS(RADIANS(Sheet1!A419))*COS(RADIANS('R1'!I419)))))</f>
        <v>35.287360012327973</v>
      </c>
      <c r="C419">
        <f>AVERAGE('R1'!J419,'R2'!J419,'R3'!J419)</f>
        <v>1.1633333333333331</v>
      </c>
      <c r="D419">
        <f>AVERAGE('R1'!K419,'R2'!K419,'R3'!K419)</f>
        <v>22.916908000000003</v>
      </c>
      <c r="E419">
        <f>AVERAGE('R1'!L419,'R2'!L419,'R3'!L419)</f>
        <v>1.6756077945488539</v>
      </c>
      <c r="F419">
        <f>AVERAGE('R1'!M419,'R2'!M419,'R3'!M419)</f>
        <v>1.6809481292274409</v>
      </c>
      <c r="G419">
        <f>AVERAGE('R1'!N419,'R2'!N419,'R3'!N419)</f>
        <v>-0.96146841829355756</v>
      </c>
      <c r="H419">
        <f>AVERAGE('R1'!O419,'R2'!O419,'R3'!O419)</f>
        <v>-0.89053713534259316</v>
      </c>
      <c r="I419">
        <f t="shared" si="10"/>
        <v>4443.333828888889</v>
      </c>
      <c r="K419">
        <f>_xlfn.STDEV.S('R1'!L419,'R2'!L419,'R3'!L419)</f>
        <v>1.3060139097633248E-3</v>
      </c>
      <c r="L419">
        <f>_xlfn.STDEV.S('R1'!M419,'R2'!M419,'R3'!M419)</f>
        <v>1.2426857001277042E-3</v>
      </c>
      <c r="M419">
        <f>_xlfn.STDEV.S('R1'!N419,'R2'!N419,'R3'!N419)</f>
        <v>7.875154721242221E-3</v>
      </c>
      <c r="N419">
        <f>_xlfn.STDEV.S('R1'!O419,'R2'!O419,'R3'!O419)</f>
        <v>2.6677750625253853E-3</v>
      </c>
    </row>
    <row r="420" spans="1:14" x14ac:dyDescent="0.25">
      <c r="A420">
        <f>-'R1'!H420</f>
        <v>-28</v>
      </c>
      <c r="B420">
        <f>DEGREES(ATAN(-SIN(RADIANS(('R1'!I420)))/(COS(RADIANS(Sheet1!A420))*COS(RADIANS('R1'!I420)))))</f>
        <v>31.056274317680661</v>
      </c>
      <c r="C420">
        <f>AVERAGE('R1'!J420,'R2'!J420,'R3'!J420)</f>
        <v>1.1633333333333331</v>
      </c>
      <c r="D420">
        <f>AVERAGE('R1'!K420,'R2'!K420,'R3'!K420)</f>
        <v>23.340383333333335</v>
      </c>
      <c r="E420">
        <f>AVERAGE('R1'!L420,'R2'!L420,'R3'!L420)</f>
        <v>1.543282983221858</v>
      </c>
      <c r="F420">
        <f>AVERAGE('R1'!M420,'R2'!M420,'R3'!M420)</f>
        <v>1.6528371114563789</v>
      </c>
      <c r="G420">
        <f>AVERAGE('R1'!N420,'R2'!N420,'R3'!N420)</f>
        <v>-0.86663160238311476</v>
      </c>
      <c r="H420">
        <f>AVERAGE('R1'!O420,'R2'!O420,'R3'!O420)</f>
        <v>-0.75499089830948829</v>
      </c>
      <c r="I420">
        <f t="shared" si="10"/>
        <v>4525.4409907407407</v>
      </c>
      <c r="K420">
        <f>_xlfn.STDEV.S('R1'!L420,'R2'!L420,'R3'!L420)</f>
        <v>1.3045369022648206E-3</v>
      </c>
      <c r="L420">
        <f>_xlfn.STDEV.S('R1'!M420,'R2'!M420,'R3'!M420)</f>
        <v>3.4880326973634876E-3</v>
      </c>
      <c r="M420">
        <f>_xlfn.STDEV.S('R1'!N420,'R2'!N420,'R3'!N420)</f>
        <v>6.6092016628539908E-3</v>
      </c>
      <c r="N420">
        <f>_xlfn.STDEV.S('R1'!O420,'R2'!O420,'R3'!O420)</f>
        <v>4.3591833035387427E-3</v>
      </c>
    </row>
    <row r="421" spans="1:14" x14ac:dyDescent="0.25">
      <c r="A421">
        <f>-'R1'!H421</f>
        <v>-28</v>
      </c>
      <c r="B421">
        <f>DEGREES(ATAN(-SIN(RADIANS(('R1'!I421)))/(COS(RADIANS(Sheet1!A421))*COS(RADIANS('R1'!I421)))))</f>
        <v>26.759647654377044</v>
      </c>
      <c r="C421">
        <f>AVERAGE('R1'!J421,'R2'!J421,'R3'!J421)</f>
        <v>1.1633333333333331</v>
      </c>
      <c r="D421">
        <f>AVERAGE('R1'!K421,'R2'!K421,'R3'!K421)</f>
        <v>22.845166083333336</v>
      </c>
      <c r="E421">
        <f>AVERAGE('R1'!L421,'R2'!L421,'R3'!L421)</f>
        <v>1.4009494850503648</v>
      </c>
      <c r="F421">
        <f>AVERAGE('R1'!M421,'R2'!M421,'R3'!M421)</f>
        <v>1.660556003419992</v>
      </c>
      <c r="G421">
        <f>AVERAGE('R1'!N421,'R2'!N421,'R3'!N421)</f>
        <v>-0.80159171429021614</v>
      </c>
      <c r="H421">
        <f>AVERAGE('R1'!O421,'R2'!O421,'R3'!O421)</f>
        <v>-0.61965709737044739</v>
      </c>
      <c r="I421">
        <f t="shared" si="10"/>
        <v>4429.4238683796293</v>
      </c>
      <c r="K421">
        <f>_xlfn.STDEV.S('R1'!L421,'R2'!L421,'R3'!L421)</f>
        <v>1.5794430929842022E-3</v>
      </c>
      <c r="L421">
        <f>_xlfn.STDEV.S('R1'!M421,'R2'!M421,'R3'!M421)</f>
        <v>1.6707811484203742E-3</v>
      </c>
      <c r="M421">
        <f>_xlfn.STDEV.S('R1'!N421,'R2'!N421,'R3'!N421)</f>
        <v>5.5314767153143212E-3</v>
      </c>
      <c r="N421">
        <f>_xlfn.STDEV.S('R1'!O421,'R2'!O421,'R3'!O421)</f>
        <v>1.3781380747303819E-3</v>
      </c>
    </row>
    <row r="422" spans="1:14" x14ac:dyDescent="0.25">
      <c r="A422">
        <f>-'R1'!H422</f>
        <v>-28</v>
      </c>
      <c r="B422">
        <f>DEGREES(ATAN(-SIN(RADIANS(('R1'!I422)))/(COS(RADIANS(Sheet1!A422))*COS(RADIANS('R1'!I422)))))</f>
        <v>22.402523646885253</v>
      </c>
      <c r="C422">
        <f>AVERAGE('R1'!J422,'R2'!J422,'R3'!J422)</f>
        <v>1.1633333333333331</v>
      </c>
      <c r="D422">
        <f>AVERAGE('R1'!K422,'R2'!K422,'R3'!K422)</f>
        <v>22.422414833333335</v>
      </c>
      <c r="E422">
        <f>AVERAGE('R1'!L422,'R2'!L422,'R3'!L422)</f>
        <v>1.2303200027551335</v>
      </c>
      <c r="F422">
        <f>AVERAGE('R1'!M422,'R2'!M422,'R3'!M422)</f>
        <v>1.6840204646916284</v>
      </c>
      <c r="G422">
        <f>AVERAGE('R1'!N422,'R2'!N422,'R3'!N422)</f>
        <v>-0.73783586819289704</v>
      </c>
      <c r="H422">
        <f>AVERAGE('R1'!O422,'R2'!O422,'R3'!O422)</f>
        <v>-0.49512889052640902</v>
      </c>
      <c r="I422">
        <f t="shared" si="10"/>
        <v>4347.4570982407404</v>
      </c>
      <c r="K422">
        <f>_xlfn.STDEV.S('R1'!L422,'R2'!L422,'R3'!L422)</f>
        <v>5.2361248679854257E-3</v>
      </c>
      <c r="L422">
        <f>_xlfn.STDEV.S('R1'!M422,'R2'!M422,'R3'!M422)</f>
        <v>4.4747573867535469E-3</v>
      </c>
      <c r="M422">
        <f>_xlfn.STDEV.S('R1'!N422,'R2'!N422,'R3'!N422)</f>
        <v>3.7594777881173507E-3</v>
      </c>
      <c r="N422">
        <f>_xlfn.STDEV.S('R1'!O422,'R2'!O422,'R3'!O422)</f>
        <v>3.9505197954271517E-3</v>
      </c>
    </row>
    <row r="423" spans="1:14" x14ac:dyDescent="0.25">
      <c r="A423">
        <f>-'R1'!H423</f>
        <v>-28</v>
      </c>
      <c r="B423">
        <f>DEGREES(ATAN(-SIN(RADIANS(('R1'!I423)))/(COS(RADIANS(Sheet1!A423))*COS(RADIANS('R1'!I423)))))</f>
        <v>17.991683837765329</v>
      </c>
      <c r="C423">
        <f>AVERAGE('R1'!J423,'R2'!J423,'R3'!J423)</f>
        <v>1.1633333333333331</v>
      </c>
      <c r="D423">
        <f>AVERAGE('R1'!K423,'R2'!K423,'R3'!K423)</f>
        <v>22.086483333333334</v>
      </c>
      <c r="E423">
        <f>AVERAGE('R1'!L423,'R2'!L423,'R3'!L423)</f>
        <v>1.0316376165059988</v>
      </c>
      <c r="F423">
        <f>AVERAGE('R1'!M423,'R2'!M423,'R3'!M423)</f>
        <v>1.7107354496647129</v>
      </c>
      <c r="G423">
        <f>AVERAGE('R1'!N423,'R2'!N423,'R3'!N423)</f>
        <v>-0.67251616592851571</v>
      </c>
      <c r="H423">
        <f>AVERAGE('R1'!O423,'R2'!O423,'R3'!O423)</f>
        <v>-0.38795932575732489</v>
      </c>
      <c r="I423">
        <f t="shared" si="10"/>
        <v>4282.3237129629615</v>
      </c>
      <c r="K423">
        <f>_xlfn.STDEV.S('R1'!L423,'R2'!L423,'R3'!L423)</f>
        <v>5.4559808146316851E-3</v>
      </c>
      <c r="L423">
        <f>_xlfn.STDEV.S('R1'!M423,'R2'!M423,'R3'!M423)</f>
        <v>7.6616563503959911E-3</v>
      </c>
      <c r="M423">
        <f>_xlfn.STDEV.S('R1'!N423,'R2'!N423,'R3'!N423)</f>
        <v>2.8662212916069213E-3</v>
      </c>
      <c r="N423">
        <f>_xlfn.STDEV.S('R1'!O423,'R2'!O423,'R3'!O423)</f>
        <v>7.7679655072090438E-4</v>
      </c>
    </row>
    <row r="424" spans="1:14" x14ac:dyDescent="0.25">
      <c r="A424">
        <f>-'R1'!H424</f>
        <v>-28</v>
      </c>
      <c r="B424">
        <f>DEGREES(ATAN(-SIN(RADIANS(('R1'!I424)))/(COS(RADIANS(Sheet1!A424))*COS(RADIANS('R1'!I424)))))</f>
        <v>13.535556072482301</v>
      </c>
      <c r="C424">
        <f>AVERAGE('R1'!J424,'R2'!J424,'R3'!J424)</f>
        <v>1.1633333333333331</v>
      </c>
      <c r="D424">
        <f>AVERAGE('R1'!K424,'R2'!K424,'R3'!K424)</f>
        <v>22.269309333333336</v>
      </c>
      <c r="E424">
        <f>AVERAGE('R1'!L424,'R2'!L424,'R3'!L424)</f>
        <v>0.81639916710247673</v>
      </c>
      <c r="F424">
        <f>AVERAGE('R1'!M424,'R2'!M424,'R3'!M424)</f>
        <v>1.7591515430534492</v>
      </c>
      <c r="G424">
        <f>AVERAGE('R1'!N424,'R2'!N424,'R3'!N424)</f>
        <v>-0.62493207973736009</v>
      </c>
      <c r="H424">
        <f>AVERAGE('R1'!O424,'R2'!O424,'R3'!O424)</f>
        <v>-0.30376817736528516</v>
      </c>
      <c r="I424">
        <f t="shared" si="10"/>
        <v>4317.7716429629627</v>
      </c>
      <c r="K424">
        <f>_xlfn.STDEV.S('R1'!L424,'R2'!L424,'R3'!L424)</f>
        <v>5.5989666453306573E-3</v>
      </c>
      <c r="L424">
        <f>_xlfn.STDEV.S('R1'!M424,'R2'!M424,'R3'!M424)</f>
        <v>4.5846034888037948E-3</v>
      </c>
      <c r="M424">
        <f>_xlfn.STDEV.S('R1'!N424,'R2'!N424,'R3'!N424)</f>
        <v>2.5644649281190545E-3</v>
      </c>
      <c r="N424">
        <f>_xlfn.STDEV.S('R1'!O424,'R2'!O424,'R3'!O424)</f>
        <v>2.6436817409423567E-3</v>
      </c>
    </row>
    <row r="425" spans="1:14" x14ac:dyDescent="0.25">
      <c r="A425">
        <f>-'R1'!H425</f>
        <v>-28</v>
      </c>
      <c r="B425">
        <f>DEGREES(ATAN(-SIN(RADIANS(('R1'!I425)))/(COS(RADIANS(Sheet1!A425))*COS(RADIANS('R1'!I425)))))</f>
        <v>9.0440332369115684</v>
      </c>
      <c r="C425">
        <f>AVERAGE('R1'!J425,'R2'!J425,'R3'!J425)</f>
        <v>1.1633333333333331</v>
      </c>
      <c r="D425">
        <f>AVERAGE('R1'!K425,'R2'!K425,'R3'!K425)</f>
        <v>22.548816083333332</v>
      </c>
      <c r="E425">
        <f>AVERAGE('R1'!L425,'R2'!L425,'R3'!L425)</f>
        <v>0.59633911416371177</v>
      </c>
      <c r="F425">
        <f>AVERAGE('R1'!M425,'R2'!M425,'R3'!M425)</f>
        <v>1.8248933664713085</v>
      </c>
      <c r="G425">
        <f>AVERAGE('R1'!N425,'R2'!N425,'R3'!N425)</f>
        <v>-0.60440859094956489</v>
      </c>
      <c r="H425">
        <f>AVERAGE('R1'!O425,'R2'!O425,'R3'!O425)</f>
        <v>-0.23012345928304914</v>
      </c>
      <c r="I425">
        <f t="shared" si="10"/>
        <v>4371.9648961574067</v>
      </c>
      <c r="K425">
        <f>_xlfn.STDEV.S('R1'!L425,'R2'!L425,'R3'!L425)</f>
        <v>5.8895244531810206E-3</v>
      </c>
      <c r="L425">
        <f>_xlfn.STDEV.S('R1'!M425,'R2'!M425,'R3'!M425)</f>
        <v>8.4329976942257023E-3</v>
      </c>
      <c r="M425">
        <f>_xlfn.STDEV.S('R1'!N425,'R2'!N425,'R3'!N425)</f>
        <v>3.3024989775816229E-3</v>
      </c>
      <c r="N425">
        <f>_xlfn.STDEV.S('R1'!O425,'R2'!O425,'R3'!O425)</f>
        <v>2.6355445734762761E-3</v>
      </c>
    </row>
    <row r="426" spans="1:14" x14ac:dyDescent="0.25">
      <c r="A426">
        <f>-'R1'!H426</f>
        <v>-28</v>
      </c>
      <c r="B426">
        <f>DEGREES(ATAN(-SIN(RADIANS(('R1'!I426)))/(COS(RADIANS(Sheet1!A426))*COS(RADIANS('R1'!I426)))))</f>
        <v>4.5282031595057557</v>
      </c>
      <c r="C426">
        <f>AVERAGE('R1'!J426,'R2'!J426,'R3'!J426)</f>
        <v>1.1633333333333331</v>
      </c>
      <c r="D426">
        <f>AVERAGE('R1'!K426,'R2'!K426,'R3'!K426)</f>
        <v>22.574253166666665</v>
      </c>
      <c r="E426">
        <f>AVERAGE('R1'!L426,'R2'!L426,'R3'!L426)</f>
        <v>0.34257282903816683</v>
      </c>
      <c r="F426">
        <f>AVERAGE('R1'!M426,'R2'!M426,'R3'!M426)</f>
        <v>1.9265333338181005</v>
      </c>
      <c r="G426">
        <f>AVERAGE('R1'!N426,'R2'!N426,'R3'!N426)</f>
        <v>-0.61363313921146234</v>
      </c>
      <c r="H426">
        <f>AVERAGE('R1'!O426,'R2'!O426,'R3'!O426)</f>
        <v>-0.14809294180708432</v>
      </c>
      <c r="I426">
        <f t="shared" si="10"/>
        <v>4376.8968639814811</v>
      </c>
      <c r="K426">
        <f>_xlfn.STDEV.S('R1'!L426,'R2'!L426,'R3'!L426)</f>
        <v>3.8011472005323459E-3</v>
      </c>
      <c r="L426">
        <f>_xlfn.STDEV.S('R1'!M426,'R2'!M426,'R3'!M426)</f>
        <v>8.0391607091093564E-3</v>
      </c>
      <c r="M426">
        <f>_xlfn.STDEV.S('R1'!N426,'R2'!N426,'R3'!N426)</f>
        <v>2.9643898365397134E-3</v>
      </c>
      <c r="N426">
        <f>_xlfn.STDEV.S('R1'!O426,'R2'!O426,'R3'!O426)</f>
        <v>1.6040056835930061E-3</v>
      </c>
    </row>
    <row r="427" spans="1:14" x14ac:dyDescent="0.25">
      <c r="A427">
        <f>-'R1'!H427</f>
        <v>-28</v>
      </c>
      <c r="B427">
        <f>DEGREES(ATAN(-SIN(RADIANS(('R1'!I427)))/(COS(RADIANS(Sheet1!A427))*COS(RADIANS('R1'!I427)))))</f>
        <v>0</v>
      </c>
      <c r="C427">
        <f>AVERAGE('R1'!J427,'R2'!J427,'R3'!J427)</f>
        <v>1.1633333333333331</v>
      </c>
      <c r="D427">
        <f>AVERAGE('R1'!K427,'R2'!K427,'R3'!K427)</f>
        <v>22.621859749999999</v>
      </c>
      <c r="E427">
        <f>AVERAGE('R1'!L427,'R2'!L427,'R3'!L427)</f>
        <v>3.5440429288121418E-2</v>
      </c>
      <c r="F427">
        <f>AVERAGE('R1'!M427,'R2'!M427,'R3'!M427)</f>
        <v>2.0848229275498089</v>
      </c>
      <c r="G427">
        <f>AVERAGE('R1'!N427,'R2'!N427,'R3'!N427)</f>
        <v>-0.66334870251586653</v>
      </c>
      <c r="H427">
        <f>AVERAGE('R1'!O427,'R2'!O427,'R3'!O427)</f>
        <v>-7.0731132873172009E-2</v>
      </c>
      <c r="I427">
        <f t="shared" si="10"/>
        <v>4386.1272515277769</v>
      </c>
      <c r="K427">
        <f>_xlfn.STDEV.S('R1'!L427,'R2'!L427,'R3'!L427)</f>
        <v>5.2840119953689599E-3</v>
      </c>
      <c r="L427">
        <f>_xlfn.STDEV.S('R1'!M427,'R2'!M427,'R3'!M427)</f>
        <v>7.524267229586515E-3</v>
      </c>
      <c r="M427">
        <f>_xlfn.STDEV.S('R1'!N427,'R2'!N427,'R3'!N427)</f>
        <v>6.712019254549847E-3</v>
      </c>
      <c r="N427">
        <f>_xlfn.STDEV.S('R1'!O427,'R2'!O427,'R3'!O427)</f>
        <v>7.7302439289967228E-3</v>
      </c>
    </row>
    <row r="428" spans="1:14" x14ac:dyDescent="0.25">
      <c r="A428">
        <f>-'R1'!H428</f>
        <v>-28</v>
      </c>
      <c r="B428">
        <f>DEGREES(ATAN(-SIN(RADIANS(('R1'!I428)))/(COS(RADIANS(Sheet1!A428))*COS(RADIANS('R1'!I428)))))</f>
        <v>-4.5282031595057557</v>
      </c>
      <c r="C428">
        <f>AVERAGE('R1'!J428,'R2'!J428,'R3'!J428)</f>
        <v>1.1633333333333331</v>
      </c>
      <c r="D428">
        <f>AVERAGE('R1'!K428,'R2'!K428,'R3'!K428)</f>
        <v>22.740347583333335</v>
      </c>
      <c r="E428">
        <f>AVERAGE('R1'!L428,'R2'!L428,'R3'!L428)</f>
        <v>-0.2877700766113076</v>
      </c>
      <c r="F428">
        <f>AVERAGE('R1'!M428,'R2'!M428,'R3'!M428)</f>
        <v>1.9698989436611472</v>
      </c>
      <c r="G428">
        <f>AVERAGE('R1'!N428,'R2'!N428,'R3'!N428)</f>
        <v>-0.63918221269691466</v>
      </c>
      <c r="H428">
        <f>AVERAGE('R1'!O428,'R2'!O428,'R3'!O428)</f>
        <v>-0.14456214154948985</v>
      </c>
      <c r="I428">
        <f t="shared" si="10"/>
        <v>4409.1007258796299</v>
      </c>
      <c r="K428">
        <f>_xlfn.STDEV.S('R1'!L428,'R2'!L428,'R3'!L428)</f>
        <v>9.6294373946965439E-3</v>
      </c>
      <c r="L428">
        <f>_xlfn.STDEV.S('R1'!M428,'R2'!M428,'R3'!M428)</f>
        <v>9.9168626834254831E-3</v>
      </c>
      <c r="M428">
        <f>_xlfn.STDEV.S('R1'!N428,'R2'!N428,'R3'!N428)</f>
        <v>4.96351697684572E-3</v>
      </c>
      <c r="N428">
        <f>_xlfn.STDEV.S('R1'!O428,'R2'!O428,'R3'!O428)</f>
        <v>5.4404530465325639E-3</v>
      </c>
    </row>
    <row r="429" spans="1:14" x14ac:dyDescent="0.25">
      <c r="A429">
        <f>-'R1'!H429</f>
        <v>-28</v>
      </c>
      <c r="B429">
        <f>DEGREES(ATAN(-SIN(RADIANS(('R1'!I429)))/(COS(RADIANS(Sheet1!A429))*COS(RADIANS('R1'!I429)))))</f>
        <v>-9.0440332369115684</v>
      </c>
      <c r="C429">
        <f>AVERAGE('R1'!J429,'R2'!J429,'R3'!J429)</f>
        <v>1.1633333333333331</v>
      </c>
      <c r="D429">
        <f>AVERAGE('R1'!K429,'R2'!K429,'R3'!K429)</f>
        <v>23.191697000000001</v>
      </c>
      <c r="E429">
        <f>AVERAGE('R1'!L429,'R2'!L429,'R3'!L429)</f>
        <v>-0.56400068721077157</v>
      </c>
      <c r="F429">
        <f>AVERAGE('R1'!M429,'R2'!M429,'R3'!M429)</f>
        <v>1.8546515462912285</v>
      </c>
      <c r="G429">
        <f>AVERAGE('R1'!N429,'R2'!N429,'R3'!N429)</f>
        <v>-0.62647582903074872</v>
      </c>
      <c r="H429">
        <f>AVERAGE('R1'!O429,'R2'!O429,'R3'!O429)</f>
        <v>-0.23410094881979707</v>
      </c>
      <c r="I429">
        <f t="shared" si="10"/>
        <v>4496.612362777777</v>
      </c>
      <c r="K429">
        <f>_xlfn.STDEV.S('R1'!L429,'R2'!L429,'R3'!L429)</f>
        <v>4.5401817939207815E-3</v>
      </c>
      <c r="L429">
        <f>_xlfn.STDEV.S('R1'!M429,'R2'!M429,'R3'!M429)</f>
        <v>1.5196867342466237E-3</v>
      </c>
      <c r="M429">
        <f>_xlfn.STDEV.S('R1'!N429,'R2'!N429,'R3'!N429)</f>
        <v>7.2342083663077452E-3</v>
      </c>
      <c r="N429">
        <f>_xlfn.STDEV.S('R1'!O429,'R2'!O429,'R3'!O429)</f>
        <v>4.8404855862169711E-3</v>
      </c>
    </row>
    <row r="430" spans="1:14" x14ac:dyDescent="0.25">
      <c r="A430">
        <f>-'R1'!H430</f>
        <v>-28</v>
      </c>
      <c r="B430">
        <f>DEGREES(ATAN(-SIN(RADIANS(('R1'!I430)))/(COS(RADIANS(Sheet1!A430))*COS(RADIANS('R1'!I430)))))</f>
        <v>-13.535556072482301</v>
      </c>
      <c r="C430">
        <f>AVERAGE('R1'!J430,'R2'!J430,'R3'!J430)</f>
        <v>1.1633333333333331</v>
      </c>
      <c r="D430">
        <f>AVERAGE('R1'!K430,'R2'!K430,'R3'!K430)</f>
        <v>23.100753416666667</v>
      </c>
      <c r="E430">
        <f>AVERAGE('R1'!L430,'R2'!L430,'R3'!L430)</f>
        <v>-0.81375636161591169</v>
      </c>
      <c r="F430">
        <f>AVERAGE('R1'!M430,'R2'!M430,'R3'!M430)</f>
        <v>1.7785957854421781</v>
      </c>
      <c r="G430">
        <f>AVERAGE('R1'!N430,'R2'!N430,'R3'!N430)</f>
        <v>-0.64942356026411696</v>
      </c>
      <c r="H430">
        <f>AVERAGE('R1'!O430,'R2'!O430,'R3'!O430)</f>
        <v>-0.32978764152488399</v>
      </c>
      <c r="I430">
        <f t="shared" si="10"/>
        <v>4478.9794124537029</v>
      </c>
      <c r="K430">
        <f>_xlfn.STDEV.S('R1'!L430,'R2'!L430,'R3'!L430)</f>
        <v>2.7914451007232362E-3</v>
      </c>
      <c r="L430">
        <f>_xlfn.STDEV.S('R1'!M430,'R2'!M430,'R3'!M430)</f>
        <v>1.0091717313585852E-2</v>
      </c>
      <c r="M430">
        <f>_xlfn.STDEV.S('R1'!N430,'R2'!N430,'R3'!N430)</f>
        <v>4.866385227474835E-3</v>
      </c>
      <c r="N430">
        <f>_xlfn.STDEV.S('R1'!O430,'R2'!O430,'R3'!O430)</f>
        <v>4.3027131447378984E-3</v>
      </c>
    </row>
    <row r="431" spans="1:14" x14ac:dyDescent="0.25">
      <c r="A431">
        <f>-'R1'!H431</f>
        <v>-28</v>
      </c>
      <c r="B431">
        <f>DEGREES(ATAN(-SIN(RADIANS(('R1'!I431)))/(COS(RADIANS(Sheet1!A431))*COS(RADIANS('R1'!I431)))))</f>
        <v>-17.991683837765329</v>
      </c>
      <c r="C431">
        <f>AVERAGE('R1'!J431,'R2'!J431,'R3'!J431)</f>
        <v>1.1633333333333331</v>
      </c>
      <c r="D431">
        <f>AVERAGE('R1'!K431,'R2'!K431,'R3'!K431)</f>
        <v>22.605208999999999</v>
      </c>
      <c r="E431">
        <f>AVERAGE('R1'!L431,'R2'!L431,'R3'!L431)</f>
        <v>-1.0362274920007948</v>
      </c>
      <c r="F431">
        <f>AVERAGE('R1'!M431,'R2'!M431,'R3'!M431)</f>
        <v>1.7374310747398429</v>
      </c>
      <c r="G431">
        <f>AVERAGE('R1'!N431,'R2'!N431,'R3'!N431)</f>
        <v>-0.70268810860810194</v>
      </c>
      <c r="H431">
        <f>AVERAGE('R1'!O431,'R2'!O431,'R3'!O431)</f>
        <v>-0.42046675864211275</v>
      </c>
      <c r="I431">
        <f t="shared" si="10"/>
        <v>4382.89885611111</v>
      </c>
      <c r="K431">
        <f>_xlfn.STDEV.S('R1'!L431,'R2'!L431,'R3'!L431)</f>
        <v>1.8912784964141849E-3</v>
      </c>
      <c r="L431">
        <f>_xlfn.STDEV.S('R1'!M431,'R2'!M431,'R3'!M431)</f>
        <v>7.8107971016270769E-3</v>
      </c>
      <c r="M431">
        <f>_xlfn.STDEV.S('R1'!N431,'R2'!N431,'R3'!N431)</f>
        <v>2.0681072127389775E-3</v>
      </c>
      <c r="N431">
        <f>_xlfn.STDEV.S('R1'!O431,'R2'!O431,'R3'!O431)</f>
        <v>1.1484789920484131E-3</v>
      </c>
    </row>
    <row r="432" spans="1:14" x14ac:dyDescent="0.25">
      <c r="A432">
        <f>-'R1'!H432</f>
        <v>-28</v>
      </c>
      <c r="B432">
        <f>DEGREES(ATAN(-SIN(RADIANS(('R1'!I432)))/(COS(RADIANS(Sheet1!A432))*COS(RADIANS('R1'!I432)))))</f>
        <v>-22.402523646885253</v>
      </c>
      <c r="C432">
        <f>AVERAGE('R1'!J432,'R2'!J432,'R3'!J432)</f>
        <v>1.1633333333333331</v>
      </c>
      <c r="D432">
        <f>AVERAGE('R1'!K432,'R2'!K432,'R3'!K432)</f>
        <v>22.250431250000002</v>
      </c>
      <c r="E432">
        <f>AVERAGE('R1'!L432,'R2'!L432,'R3'!L432)</f>
        <v>-1.2558416617495258</v>
      </c>
      <c r="F432">
        <f>AVERAGE('R1'!M432,'R2'!M432,'R3'!M432)</f>
        <v>1.7351261853184796</v>
      </c>
      <c r="G432">
        <f>AVERAGE('R1'!N432,'R2'!N432,'R3'!N432)</f>
        <v>-0.79405571485737025</v>
      </c>
      <c r="H432">
        <f>AVERAGE('R1'!O432,'R2'!O432,'R3'!O432)</f>
        <v>-0.53585811858522392</v>
      </c>
      <c r="I432">
        <f t="shared" si="10"/>
        <v>4314.1113923611101</v>
      </c>
      <c r="K432">
        <f>_xlfn.STDEV.S('R1'!L432,'R2'!L432,'R3'!L432)</f>
        <v>1.1366920951150258E-3</v>
      </c>
      <c r="L432">
        <f>_xlfn.STDEV.S('R1'!M432,'R2'!M432,'R3'!M432)</f>
        <v>3.6997451346438303E-3</v>
      </c>
      <c r="M432">
        <f>_xlfn.STDEV.S('R1'!N432,'R2'!N432,'R3'!N432)</f>
        <v>3.9062984582232674E-3</v>
      </c>
      <c r="N432">
        <f>_xlfn.STDEV.S('R1'!O432,'R2'!O432,'R3'!O432)</f>
        <v>6.2800877775841058E-3</v>
      </c>
    </row>
    <row r="433" spans="1:14" x14ac:dyDescent="0.25">
      <c r="A433">
        <f>-'R1'!H433</f>
        <v>-28</v>
      </c>
      <c r="B433">
        <f>DEGREES(ATAN(-SIN(RADIANS(('R1'!I433)))/(COS(RADIANS(Sheet1!A433))*COS(RADIANS('R1'!I433)))))</f>
        <v>-26.759647654377044</v>
      </c>
      <c r="C433">
        <f>AVERAGE('R1'!J433,'R2'!J433,'R3'!J433)</f>
        <v>1.1633333333333331</v>
      </c>
      <c r="D433">
        <f>AVERAGE('R1'!K433,'R2'!K433,'R3'!K433)</f>
        <v>22.052866583333337</v>
      </c>
      <c r="E433">
        <f>AVERAGE('R1'!L433,'R2'!L433,'R3'!L433)</f>
        <v>-1.4404181069166964</v>
      </c>
      <c r="F433">
        <f>AVERAGE('R1'!M433,'R2'!M433,'R3'!M433)</f>
        <v>1.754466724504484</v>
      </c>
      <c r="G433">
        <f>AVERAGE('R1'!N433,'R2'!N433,'R3'!N433)</f>
        <v>-0.88965920118154163</v>
      </c>
      <c r="H433">
        <f>AVERAGE('R1'!O433,'R2'!O433,'R3'!O433)</f>
        <v>-0.67188382515334066</v>
      </c>
      <c r="I433">
        <f t="shared" si="10"/>
        <v>4275.8057986574076</v>
      </c>
      <c r="K433">
        <f>_xlfn.STDEV.S('R1'!L433,'R2'!L433,'R3'!L433)</f>
        <v>3.9685934567257383E-3</v>
      </c>
      <c r="L433">
        <f>_xlfn.STDEV.S('R1'!M433,'R2'!M433,'R3'!M433)</f>
        <v>8.5659461409933139E-3</v>
      </c>
      <c r="M433">
        <f>_xlfn.STDEV.S('R1'!N433,'R2'!N433,'R3'!N433)</f>
        <v>3.9264424782027539E-3</v>
      </c>
      <c r="N433">
        <f>_xlfn.STDEV.S('R1'!O433,'R2'!O433,'R3'!O433)</f>
        <v>3.5941732992140897E-3</v>
      </c>
    </row>
    <row r="434" spans="1:14" x14ac:dyDescent="0.25">
      <c r="A434">
        <f>-'R1'!H434</f>
        <v>-28</v>
      </c>
      <c r="B434">
        <f>DEGREES(ATAN(-SIN(RADIANS(('R1'!I434)))/(COS(RADIANS(Sheet1!A434))*COS(RADIANS('R1'!I434)))))</f>
        <v>-31.056274317680661</v>
      </c>
      <c r="C434">
        <f>AVERAGE('R1'!J434,'R2'!J434,'R3'!J434)</f>
        <v>1.1633333333333331</v>
      </c>
      <c r="D434">
        <f>AVERAGE('R1'!K434,'R2'!K434,'R3'!K434)</f>
        <v>22.47370475</v>
      </c>
      <c r="E434">
        <f>AVERAGE('R1'!L434,'R2'!L434,'R3'!L434)</f>
        <v>-1.6140045572264736</v>
      </c>
      <c r="F434">
        <f>AVERAGE('R1'!M434,'R2'!M434,'R3'!M434)</f>
        <v>1.7997139557001258</v>
      </c>
      <c r="G434">
        <f>AVERAGE('R1'!N434,'R2'!N434,'R3'!N434)</f>
        <v>-1.0101688526580068</v>
      </c>
      <c r="H434">
        <f>AVERAGE('R1'!O434,'R2'!O434,'R3'!O434)</f>
        <v>-0.8243734286917096</v>
      </c>
      <c r="I434">
        <f t="shared" si="10"/>
        <v>4357.4016431944437</v>
      </c>
      <c r="K434">
        <f>_xlfn.STDEV.S('R1'!L434,'R2'!L434,'R3'!L434)</f>
        <v>2.0749693228659279E-3</v>
      </c>
      <c r="L434">
        <f>_xlfn.STDEV.S('R1'!M434,'R2'!M434,'R3'!M434)</f>
        <v>1.1962694696881557E-2</v>
      </c>
      <c r="M434">
        <f>_xlfn.STDEV.S('R1'!N434,'R2'!N434,'R3'!N434)</f>
        <v>5.2764619173113229E-3</v>
      </c>
      <c r="N434">
        <f>_xlfn.STDEV.S('R1'!O434,'R2'!O434,'R3'!O434)</f>
        <v>1.5471785892848925E-3</v>
      </c>
    </row>
    <row r="435" spans="1:14" x14ac:dyDescent="0.25">
      <c r="A435">
        <f>-'R1'!H435</f>
        <v>-28</v>
      </c>
      <c r="B435">
        <f>DEGREES(ATAN(-SIN(RADIANS(('R1'!I435)))/(COS(RADIANS(Sheet1!A435))*COS(RADIANS('R1'!I435)))))</f>
        <v>-35.287360012327973</v>
      </c>
      <c r="C435">
        <f>AVERAGE('R1'!J435,'R2'!J435,'R3'!J435)</f>
        <v>1.1633333333333331</v>
      </c>
      <c r="D435">
        <f>AVERAGE('R1'!K435,'R2'!K435,'R3'!K435)</f>
        <v>22.518743166666667</v>
      </c>
      <c r="E435">
        <f>AVERAGE('R1'!L435,'R2'!L435,'R3'!L435)</f>
        <v>-1.780536977563715</v>
      </c>
      <c r="F435">
        <f>AVERAGE('R1'!M435,'R2'!M435,'R3'!M435)</f>
        <v>1.8834098393170848</v>
      </c>
      <c r="G435">
        <f>AVERAGE('R1'!N435,'R2'!N435,'R3'!N435)</f>
        <v>-1.1635891650786718</v>
      </c>
      <c r="H435">
        <f>AVERAGE('R1'!O435,'R2'!O435,'R3'!O435)</f>
        <v>-0.98806325093089542</v>
      </c>
      <c r="I435">
        <f t="shared" si="10"/>
        <v>4366.1340917592588</v>
      </c>
      <c r="K435">
        <f>_xlfn.STDEV.S('R1'!L435,'R2'!L435,'R3'!L435)</f>
        <v>2.3239124868468662E-3</v>
      </c>
      <c r="L435">
        <f>_xlfn.STDEV.S('R1'!M435,'R2'!M435,'R3'!M435)</f>
        <v>4.910000296077896E-3</v>
      </c>
      <c r="M435">
        <f>_xlfn.STDEV.S('R1'!N435,'R2'!N435,'R3'!N435)</f>
        <v>3.029775554173165E-3</v>
      </c>
      <c r="N435">
        <f>_xlfn.STDEV.S('R1'!O435,'R2'!O435,'R3'!O435)</f>
        <v>9.4024026809917368E-4</v>
      </c>
    </row>
    <row r="436" spans="1:14" x14ac:dyDescent="0.25">
      <c r="A436">
        <f>-'R1'!H436</f>
        <v>-28</v>
      </c>
      <c r="B436">
        <f>DEGREES(ATAN(-SIN(RADIANS(('R1'!I436)))/(COS(RADIANS(Sheet1!A436))*COS(RADIANS('R1'!I436)))))</f>
        <v>-39.449608335498439</v>
      </c>
      <c r="C436">
        <f>AVERAGE('R1'!J436,'R2'!J436,'R3'!J436)</f>
        <v>1.1633333333333331</v>
      </c>
      <c r="D436">
        <f>AVERAGE('R1'!K436,'R2'!K436,'R3'!K436)</f>
        <v>22.585852083333336</v>
      </c>
      <c r="E436">
        <f>AVERAGE('R1'!L436,'R2'!L436,'R3'!L436)</f>
        <v>-1.9754467909583955</v>
      </c>
      <c r="F436">
        <f>AVERAGE('R1'!M436,'R2'!M436,'R3'!M436)</f>
        <v>2.0003738413700587</v>
      </c>
      <c r="G436">
        <f>AVERAGE('R1'!N436,'R2'!N436,'R3'!N436)</f>
        <v>-1.3655101775635448</v>
      </c>
      <c r="H436">
        <f>AVERAGE('R1'!O436,'R2'!O436,'R3'!O436)</f>
        <v>-1.1735787368129957</v>
      </c>
      <c r="I436">
        <f t="shared" si="10"/>
        <v>4379.1457650462953</v>
      </c>
      <c r="K436">
        <f>_xlfn.STDEV.S('R1'!L436,'R2'!L436,'R3'!L436)</f>
        <v>1.7082465793265347E-3</v>
      </c>
      <c r="L436">
        <f>_xlfn.STDEV.S('R1'!M436,'R2'!M436,'R3'!M436)</f>
        <v>9.4086356848398986E-3</v>
      </c>
      <c r="M436">
        <f>_xlfn.STDEV.S('R1'!N436,'R2'!N436,'R3'!N436)</f>
        <v>3.4578807293711871E-3</v>
      </c>
      <c r="N436">
        <f>_xlfn.STDEV.S('R1'!O436,'R2'!O436,'R3'!O436)</f>
        <v>2.6623357624586648E-3</v>
      </c>
    </row>
    <row r="437" spans="1:14" x14ac:dyDescent="0.25">
      <c r="A437">
        <f>-'R1'!H437</f>
        <v>-28</v>
      </c>
      <c r="B437">
        <f>DEGREES(ATAN(-SIN(RADIANS(('R1'!I437)))/(COS(RADIANS(Sheet1!A437))*COS(RADIANS('R1'!I437)))))</f>
        <v>-43.541410263843531</v>
      </c>
      <c r="C437">
        <f>AVERAGE('R1'!J437,'R2'!J437,'R3'!J437)</f>
        <v>1.1633333333333331</v>
      </c>
      <c r="D437">
        <f>AVERAGE('R1'!K437,'R2'!K437,'R3'!K437)</f>
        <v>22.597009583333335</v>
      </c>
      <c r="E437">
        <f>AVERAGE('R1'!L437,'R2'!L437,'R3'!L437)</f>
        <v>-2.2147752327146581</v>
      </c>
      <c r="F437">
        <f>AVERAGE('R1'!M437,'R2'!M437,'R3'!M437)</f>
        <v>2.1738012351205729</v>
      </c>
      <c r="G437">
        <f>AVERAGE('R1'!N437,'R2'!N437,'R3'!N437)</f>
        <v>-1.646238805275398</v>
      </c>
      <c r="H437">
        <f>AVERAGE('R1'!O437,'R2'!O437,'R3'!O437)</f>
        <v>-1.3996410243483037</v>
      </c>
      <c r="I437">
        <f t="shared" si="10"/>
        <v>4381.3090803240739</v>
      </c>
      <c r="K437">
        <f>_xlfn.STDEV.S('R1'!L437,'R2'!L437,'R3'!L437)</f>
        <v>2.3628296681521728E-3</v>
      </c>
      <c r="L437">
        <f>_xlfn.STDEV.S('R1'!M437,'R2'!M437,'R3'!M437)</f>
        <v>4.5800300146044207E-3</v>
      </c>
      <c r="M437">
        <f>_xlfn.STDEV.S('R1'!N437,'R2'!N437,'R3'!N437)</f>
        <v>9.8364300006779058E-3</v>
      </c>
      <c r="N437">
        <f>_xlfn.STDEV.S('R1'!O437,'R2'!O437,'R3'!O437)</f>
        <v>8.0597735543809132E-4</v>
      </c>
    </row>
    <row r="438" spans="1:14" x14ac:dyDescent="0.25">
      <c r="A438">
        <f>-'R1'!H438</f>
        <v>-28</v>
      </c>
      <c r="B438">
        <f>DEGREES(ATAN(-SIN(RADIANS(('R1'!I438)))/(COS(RADIANS(Sheet1!A438))*COS(RADIANS('R1'!I438)))))</f>
        <v>-47.562731505879128</v>
      </c>
      <c r="C438">
        <f>AVERAGE('R1'!J438,'R2'!J438,'R3'!J438)</f>
        <v>1.1633333333333331</v>
      </c>
      <c r="D438">
        <f>AVERAGE('R1'!K438,'R2'!K438,'R3'!K438)</f>
        <v>23.113301416666662</v>
      </c>
      <c r="E438">
        <f>AVERAGE('R1'!L438,'R2'!L438,'R3'!L438)</f>
        <v>-2.493316000840923</v>
      </c>
      <c r="F438">
        <f>AVERAGE('R1'!M438,'R2'!M438,'R3'!M438)</f>
        <v>2.4042682727227036</v>
      </c>
      <c r="G438">
        <f>AVERAGE('R1'!N438,'R2'!N438,'R3'!N438)</f>
        <v>-2.0120662947818722</v>
      </c>
      <c r="H438">
        <f>AVERAGE('R1'!O438,'R2'!O438,'R3'!O438)</f>
        <v>-1.6709183794171432</v>
      </c>
      <c r="I438">
        <f t="shared" si="10"/>
        <v>4481.4123302314802</v>
      </c>
      <c r="K438">
        <f>_xlfn.STDEV.S('R1'!L438,'R2'!L438,'R3'!L438)</f>
        <v>5.7192851707536171E-3</v>
      </c>
      <c r="L438">
        <f>_xlfn.STDEV.S('R1'!M438,'R2'!M438,'R3'!M438)</f>
        <v>1.056867691956183E-2</v>
      </c>
      <c r="M438">
        <f>_xlfn.STDEV.S('R1'!N438,'R2'!N438,'R3'!N438)</f>
        <v>1.176658323966749E-2</v>
      </c>
      <c r="N438">
        <f>_xlfn.STDEV.S('R1'!O438,'R2'!O438,'R3'!O438)</f>
        <v>5.3769738900085618E-3</v>
      </c>
    </row>
    <row r="439" spans="1:14" x14ac:dyDescent="0.25">
      <c r="A439">
        <f>-'R1'!H439</f>
        <v>-32</v>
      </c>
      <c r="B439">
        <f>DEGREES(ATAN(-SIN(RADIANS(('R1'!I439)))/(COS(RADIANS(Sheet1!A439))*COS(RADIANS('R1'!I439)))))</f>
        <v>48.711059881009497</v>
      </c>
      <c r="C439">
        <f>AVERAGE('R1'!J439,'R2'!J439,'R3'!J439)</f>
        <v>1.1633333333333331</v>
      </c>
      <c r="D439">
        <f>AVERAGE('R1'!K439,'R2'!K439,'R3'!K439)</f>
        <v>23.112777583333337</v>
      </c>
      <c r="E439">
        <f>AVERAGE('R1'!L439,'R2'!L439,'R3'!L439)</f>
        <v>2.2029308559549183</v>
      </c>
      <c r="F439">
        <f>AVERAGE('R1'!M439,'R2'!M439,'R3'!M439)</f>
        <v>2.1289422579941983</v>
      </c>
      <c r="G439">
        <f>AVERAGE('R1'!N439,'R2'!N439,'R3'!N439)</f>
        <v>-1.6415894617555569</v>
      </c>
      <c r="H439">
        <f>AVERAGE('R1'!O439,'R2'!O439,'R3'!O439)</f>
        <v>-1.4907564667729873</v>
      </c>
      <c r="I439">
        <f t="shared" si="10"/>
        <v>4481.3107647685183</v>
      </c>
      <c r="K439">
        <f>_xlfn.STDEV.S('R1'!L439,'R2'!L439,'R3'!L439)</f>
        <v>3.6628637476324201E-3</v>
      </c>
      <c r="L439">
        <f>_xlfn.STDEV.S('R1'!M439,'R2'!M439,'R3'!M439)</f>
        <v>4.6832345039572124E-3</v>
      </c>
      <c r="M439">
        <f>_xlfn.STDEV.S('R1'!N439,'R2'!N439,'R3'!N439)</f>
        <v>4.5168571499185272E-3</v>
      </c>
      <c r="N439">
        <f>_xlfn.STDEV.S('R1'!O439,'R2'!O439,'R3'!O439)</f>
        <v>3.9172946379896368E-3</v>
      </c>
    </row>
    <row r="440" spans="1:14" x14ac:dyDescent="0.25">
      <c r="A440">
        <f>-'R1'!H440</f>
        <v>-32</v>
      </c>
      <c r="B440">
        <f>DEGREES(ATAN(-SIN(RADIANS(('R1'!I440)))/(COS(RADIANS(Sheet1!A440))*COS(RADIANS('R1'!I440)))))</f>
        <v>44.69611169166604</v>
      </c>
      <c r="C440">
        <f>AVERAGE('R1'!J440,'R2'!J440,'R3'!J440)</f>
        <v>1.1633333333333331</v>
      </c>
      <c r="D440">
        <f>AVERAGE('R1'!K440,'R2'!K440,'R3'!K440)</f>
        <v>22.644157333333336</v>
      </c>
      <c r="E440">
        <f>AVERAGE('R1'!L440,'R2'!L440,'R3'!L440)</f>
        <v>2.0388641445824431</v>
      </c>
      <c r="F440">
        <f>AVERAGE('R1'!M440,'R2'!M440,'R3'!M440)</f>
        <v>2.0217973471776354</v>
      </c>
      <c r="G440">
        <f>AVERAGE('R1'!N440,'R2'!N440,'R3'!N440)</f>
        <v>-1.4377471595600264</v>
      </c>
      <c r="H440">
        <f>AVERAGE('R1'!O440,'R2'!O440,'R3'!O440)</f>
        <v>-1.3156483371047563</v>
      </c>
      <c r="I440">
        <f t="shared" si="10"/>
        <v>4390.4505051851847</v>
      </c>
      <c r="K440">
        <f>_xlfn.STDEV.S('R1'!L440,'R2'!L440,'R3'!L440)</f>
        <v>5.156336259298535E-3</v>
      </c>
      <c r="L440">
        <f>_xlfn.STDEV.S('R1'!M440,'R2'!M440,'R3'!M440)</f>
        <v>8.2510854460785994E-3</v>
      </c>
      <c r="M440">
        <f>_xlfn.STDEV.S('R1'!N440,'R2'!N440,'R3'!N440)</f>
        <v>5.8924698936535886E-3</v>
      </c>
      <c r="N440">
        <f>_xlfn.STDEV.S('R1'!O440,'R2'!O440,'R3'!O440)</f>
        <v>3.4604017987091571E-3</v>
      </c>
    </row>
    <row r="441" spans="1:14" x14ac:dyDescent="0.25">
      <c r="A441">
        <f>-'R1'!H441</f>
        <v>-32</v>
      </c>
      <c r="B441">
        <f>DEGREES(ATAN(-SIN(RADIANS(('R1'!I441)))/(COS(RADIANS(Sheet1!A441))*COS(RADIANS('R1'!I441)))))</f>
        <v>40.587432696870117</v>
      </c>
      <c r="C441">
        <f>AVERAGE('R1'!J441,'R2'!J441,'R3'!J441)</f>
        <v>1.1633333333333331</v>
      </c>
      <c r="D441">
        <f>AVERAGE('R1'!K441,'R2'!K441,'R3'!K441)</f>
        <v>22.228852749999998</v>
      </c>
      <c r="E441">
        <f>AVERAGE('R1'!L441,'R2'!L441,'R3'!L441)</f>
        <v>1.8811447920067021</v>
      </c>
      <c r="F441">
        <f>AVERAGE('R1'!M441,'R2'!M441,'R3'!M441)</f>
        <v>1.9224698622927807</v>
      </c>
      <c r="G441">
        <f>AVERAGE('R1'!N441,'R2'!N441,'R3'!N441)</f>
        <v>-1.25397415579014</v>
      </c>
      <c r="H441">
        <f>AVERAGE('R1'!O441,'R2'!O441,'R3'!O441)</f>
        <v>-1.1649594346330165</v>
      </c>
      <c r="I441">
        <f t="shared" si="10"/>
        <v>4309.9275609722217</v>
      </c>
      <c r="K441">
        <f>_xlfn.STDEV.S('R1'!L441,'R2'!L441,'R3'!L441)</f>
        <v>5.0053055292642347E-3</v>
      </c>
      <c r="L441">
        <f>_xlfn.STDEV.S('R1'!M441,'R2'!M441,'R3'!M441)</f>
        <v>7.8012750889368985E-3</v>
      </c>
      <c r="M441">
        <f>_xlfn.STDEV.S('R1'!N441,'R2'!N441,'R3'!N441)</f>
        <v>3.5851911476005934E-3</v>
      </c>
      <c r="N441">
        <f>_xlfn.STDEV.S('R1'!O441,'R2'!O441,'R3'!O441)</f>
        <v>2.7693106197810647E-3</v>
      </c>
    </row>
    <row r="442" spans="1:14" x14ac:dyDescent="0.25">
      <c r="A442">
        <f>-'R1'!H442</f>
        <v>-32</v>
      </c>
      <c r="B442">
        <f>DEGREES(ATAN(-SIN(RADIANS(('R1'!I442)))/(COS(RADIANS(Sheet1!A442))*COS(RADIANS('R1'!I442)))))</f>
        <v>36.383993076218225</v>
      </c>
      <c r="C442">
        <f>AVERAGE('R1'!J442,'R2'!J442,'R3'!J442)</f>
        <v>1.1633333333333331</v>
      </c>
      <c r="D442">
        <f>AVERAGE('R1'!K442,'R2'!K442,'R3'!K442)</f>
        <v>22.182991250000001</v>
      </c>
      <c r="E442">
        <f>AVERAGE('R1'!L442,'R2'!L442,'R3'!L442)</f>
        <v>1.7488052122377706</v>
      </c>
      <c r="F442">
        <f>AVERAGE('R1'!M442,'R2'!M442,'R3'!M442)</f>
        <v>1.8542317568727171</v>
      </c>
      <c r="G442">
        <f>AVERAGE('R1'!N442,'R2'!N442,'R3'!N442)</f>
        <v>-1.1229403047340079</v>
      </c>
      <c r="H442">
        <f>AVERAGE('R1'!O442,'R2'!O442,'R3'!O442)</f>
        <v>-1.0311453184909967</v>
      </c>
      <c r="I442">
        <f t="shared" si="10"/>
        <v>4301.035525694444</v>
      </c>
      <c r="K442">
        <f>_xlfn.STDEV.S('R1'!L442,'R2'!L442,'R3'!L442)</f>
        <v>6.4063976302279552E-3</v>
      </c>
      <c r="L442">
        <f>_xlfn.STDEV.S('R1'!M442,'R2'!M442,'R3'!M442)</f>
        <v>8.1574572889422242E-3</v>
      </c>
      <c r="M442">
        <f>_xlfn.STDEV.S('R1'!N442,'R2'!N442,'R3'!N442)</f>
        <v>4.5066112407635903E-3</v>
      </c>
      <c r="N442">
        <f>_xlfn.STDEV.S('R1'!O442,'R2'!O442,'R3'!O442)</f>
        <v>2.109293186689511E-3</v>
      </c>
    </row>
    <row r="443" spans="1:14" x14ac:dyDescent="0.25">
      <c r="A443">
        <f>-'R1'!H443</f>
        <v>-32</v>
      </c>
      <c r="B443">
        <f>DEGREES(ATAN(-SIN(RADIANS(('R1'!I443)))/(COS(RADIANS(Sheet1!A443))*COS(RADIANS('R1'!I443)))))</f>
        <v>32.086900972819144</v>
      </c>
      <c r="C443">
        <f>AVERAGE('R1'!J443,'R2'!J443,'R3'!J443)</f>
        <v>1.1633333333333331</v>
      </c>
      <c r="D443">
        <f>AVERAGE('R1'!K443,'R2'!K443,'R3'!K443)</f>
        <v>22.482910333333336</v>
      </c>
      <c r="E443">
        <f>AVERAGE('R1'!L443,'R2'!L443,'R3'!L443)</f>
        <v>1.6168230967183168</v>
      </c>
      <c r="F443">
        <f>AVERAGE('R1'!M443,'R2'!M443,'R3'!M443)</f>
        <v>1.8402386853361108</v>
      </c>
      <c r="G443">
        <f>AVERAGE('R1'!N443,'R2'!N443,'R3'!N443)</f>
        <v>-1.035885015606415</v>
      </c>
      <c r="H443">
        <f>AVERAGE('R1'!O443,'R2'!O443,'R3'!O443)</f>
        <v>-0.90648108097557512</v>
      </c>
      <c r="I443">
        <f t="shared" si="10"/>
        <v>4359.1865035185192</v>
      </c>
      <c r="K443">
        <f>_xlfn.STDEV.S('R1'!L443,'R2'!L443,'R3'!L443)</f>
        <v>5.1645252975750719E-3</v>
      </c>
      <c r="L443">
        <f>_xlfn.STDEV.S('R1'!M443,'R2'!M443,'R3'!M443)</f>
        <v>5.2241242605535632E-3</v>
      </c>
      <c r="M443">
        <f>_xlfn.STDEV.S('R1'!N443,'R2'!N443,'R3'!N443)</f>
        <v>3.5328677862575351E-3</v>
      </c>
      <c r="N443">
        <f>_xlfn.STDEV.S('R1'!O443,'R2'!O443,'R3'!O443)</f>
        <v>4.2841667818028974E-3</v>
      </c>
    </row>
    <row r="444" spans="1:14" x14ac:dyDescent="0.25">
      <c r="A444">
        <f>-'R1'!H444</f>
        <v>-32</v>
      </c>
      <c r="B444">
        <f>DEGREES(ATAN(-SIN(RADIANS(('R1'!I444)))/(COS(RADIANS(Sheet1!A444))*COS(RADIANS('R1'!I444)))))</f>
        <v>27.699654729206667</v>
      </c>
      <c r="C444">
        <f>AVERAGE('R1'!J444,'R2'!J444,'R3'!J444)</f>
        <v>1.1633333333333331</v>
      </c>
      <c r="D444">
        <f>AVERAGE('R1'!K444,'R2'!K444,'R3'!K444)</f>
        <v>22.536565750000005</v>
      </c>
      <c r="E444">
        <f>AVERAGE('R1'!L444,'R2'!L444,'R3'!L444)</f>
        <v>1.4764674371688347</v>
      </c>
      <c r="F444">
        <f>AVERAGE('R1'!M444,'R2'!M444,'R3'!M444)</f>
        <v>1.8589151155563715</v>
      </c>
      <c r="G444">
        <f>AVERAGE('R1'!N444,'R2'!N444,'R3'!N444)</f>
        <v>-0.97792446251321274</v>
      </c>
      <c r="H444">
        <f>AVERAGE('R1'!O444,'R2'!O444,'R3'!O444)</f>
        <v>-0.78966732958466634</v>
      </c>
      <c r="I444">
        <f t="shared" si="10"/>
        <v>4369.5896926388896</v>
      </c>
      <c r="K444">
        <f>_xlfn.STDEV.S('R1'!L444,'R2'!L444,'R3'!L444)</f>
        <v>4.311978726156916E-3</v>
      </c>
      <c r="L444">
        <f>_xlfn.STDEV.S('R1'!M444,'R2'!M444,'R3'!M444)</f>
        <v>6.4904776611500016E-3</v>
      </c>
      <c r="M444">
        <f>_xlfn.STDEV.S('R1'!N444,'R2'!N444,'R3'!N444)</f>
        <v>1.8200857751388905E-3</v>
      </c>
      <c r="N444">
        <f>_xlfn.STDEV.S('R1'!O444,'R2'!O444,'R3'!O444)</f>
        <v>3.0451947093382875E-3</v>
      </c>
    </row>
    <row r="445" spans="1:14" x14ac:dyDescent="0.25">
      <c r="A445">
        <f>-'R1'!H445</f>
        <v>-32</v>
      </c>
      <c r="B445">
        <f>DEGREES(ATAN(-SIN(RADIANS(('R1'!I445)))/(COS(RADIANS(Sheet1!A445))*COS(RADIANS('R1'!I445)))))</f>
        <v>23.228324501561271</v>
      </c>
      <c r="C445">
        <f>AVERAGE('R1'!J445,'R2'!J445,'R3'!J445)</f>
        <v>1.1633333333333331</v>
      </c>
      <c r="D445">
        <f>AVERAGE('R1'!K445,'R2'!K445,'R3'!K445)</f>
        <v>22.517859833333333</v>
      </c>
      <c r="E445">
        <f>AVERAGE('R1'!L445,'R2'!L445,'R3'!L445)</f>
        <v>1.3010959087993648</v>
      </c>
      <c r="F445">
        <f>AVERAGE('R1'!M445,'R2'!M445,'R3'!M445)</f>
        <v>1.9005290120363192</v>
      </c>
      <c r="G445">
        <f>AVERAGE('R1'!N445,'R2'!N445,'R3'!N445)</f>
        <v>-0.92402908851607635</v>
      </c>
      <c r="H445">
        <f>AVERAGE('R1'!O445,'R2'!O445,'R3'!O445)</f>
        <v>-0.6851177270735288</v>
      </c>
      <c r="I445">
        <f t="shared" si="10"/>
        <v>4365.9628232407404</v>
      </c>
      <c r="K445">
        <f>_xlfn.STDEV.S('R1'!L445,'R2'!L445,'R3'!L445)</f>
        <v>3.795631207006015E-3</v>
      </c>
      <c r="L445">
        <f>_xlfn.STDEV.S('R1'!M445,'R2'!M445,'R3'!M445)</f>
        <v>1.8314577739997051E-3</v>
      </c>
      <c r="M445">
        <f>_xlfn.STDEV.S('R1'!N445,'R2'!N445,'R3'!N445)</f>
        <v>6.5371432364606146E-3</v>
      </c>
      <c r="N445">
        <f>_xlfn.STDEV.S('R1'!O445,'R2'!O445,'R3'!O445)</f>
        <v>1.8638190565188862E-3</v>
      </c>
    </row>
    <row r="446" spans="1:14" x14ac:dyDescent="0.25">
      <c r="A446">
        <f>-'R1'!H446</f>
        <v>-32</v>
      </c>
      <c r="B446">
        <f>DEGREES(ATAN(-SIN(RADIANS(('R1'!I446)))/(COS(RADIANS(Sheet1!A446))*COS(RADIANS('R1'!I446)))))</f>
        <v>18.681627509923402</v>
      </c>
      <c r="C446">
        <f>AVERAGE('R1'!J446,'R2'!J446,'R3'!J446)</f>
        <v>1.1633333333333331</v>
      </c>
      <c r="D446">
        <f>AVERAGE('R1'!K446,'R2'!K446,'R3'!K446)</f>
        <v>22.744085333333331</v>
      </c>
      <c r="E446">
        <f>AVERAGE('R1'!L446,'R2'!L446,'R3'!L446)</f>
        <v>1.103064251565578</v>
      </c>
      <c r="F446">
        <f>AVERAGE('R1'!M446,'R2'!M446,'R3'!M446)</f>
        <v>1.9470189523151393</v>
      </c>
      <c r="G446">
        <f>AVERAGE('R1'!N446,'R2'!N446,'R3'!N446)</f>
        <v>-0.874646622340716</v>
      </c>
      <c r="H446">
        <f>AVERAGE('R1'!O446,'R2'!O446,'R3'!O446)</f>
        <v>-0.58987406230865169</v>
      </c>
      <c r="I446">
        <f t="shared" si="10"/>
        <v>4409.8254340740723</v>
      </c>
      <c r="K446">
        <f>_xlfn.STDEV.S('R1'!L446,'R2'!L446,'R3'!L446)</f>
        <v>5.3263091256386111E-3</v>
      </c>
      <c r="L446">
        <f>_xlfn.STDEV.S('R1'!M446,'R2'!M446,'R3'!M446)</f>
        <v>4.9625354945490247E-3</v>
      </c>
      <c r="M446">
        <f>_xlfn.STDEV.S('R1'!N446,'R2'!N446,'R3'!N446)</f>
        <v>5.8628453260919054E-3</v>
      </c>
      <c r="N446">
        <f>_xlfn.STDEV.S('R1'!O446,'R2'!O446,'R3'!O446)</f>
        <v>4.9331175244569899E-3</v>
      </c>
    </row>
    <row r="447" spans="1:14" x14ac:dyDescent="0.25">
      <c r="A447">
        <f>-'R1'!H447</f>
        <v>-32</v>
      </c>
      <c r="B447">
        <f>DEGREES(ATAN(-SIN(RADIANS(('R1'!I447)))/(COS(RADIANS(Sheet1!A447))*COS(RADIANS('R1'!I447)))))</f>
        <v>14.070864136056453</v>
      </c>
      <c r="C447">
        <f>AVERAGE('R1'!J447,'R2'!J447,'R3'!J447)</f>
        <v>1.1633333333333331</v>
      </c>
      <c r="D447">
        <f>AVERAGE('R1'!K447,'R2'!K447,'R3'!K447)</f>
        <v>23.203316749999999</v>
      </c>
      <c r="E447">
        <f>AVERAGE('R1'!L447,'R2'!L447,'R3'!L447)</f>
        <v>0.89018673469913179</v>
      </c>
      <c r="F447">
        <f>AVERAGE('R1'!M447,'R2'!M447,'R3'!M447)</f>
        <v>2.012500580091888</v>
      </c>
      <c r="G447">
        <f>AVERAGE('R1'!N447,'R2'!N447,'R3'!N447)</f>
        <v>-0.83935455106636592</v>
      </c>
      <c r="H447">
        <f>AVERAGE('R1'!O447,'R2'!O447,'R3'!O447)</f>
        <v>-0.51696814592703577</v>
      </c>
      <c r="I447">
        <f t="shared" si="10"/>
        <v>4498.8653031944432</v>
      </c>
      <c r="K447">
        <f>_xlfn.STDEV.S('R1'!L447,'R2'!L447,'R3'!L447)</f>
        <v>3.8051635163125208E-3</v>
      </c>
      <c r="L447">
        <f>_xlfn.STDEV.S('R1'!M447,'R2'!M447,'R3'!M447)</f>
        <v>3.8786776797562674E-3</v>
      </c>
      <c r="M447">
        <f>_xlfn.STDEV.S('R1'!N447,'R2'!N447,'R3'!N447)</f>
        <v>5.3706719900206224E-3</v>
      </c>
      <c r="N447">
        <f>_xlfn.STDEV.S('R1'!O447,'R2'!O447,'R3'!O447)</f>
        <v>3.0025015593090057E-3</v>
      </c>
    </row>
    <row r="448" spans="1:14" x14ac:dyDescent="0.25">
      <c r="A448">
        <f>-'R1'!H448</f>
        <v>-32</v>
      </c>
      <c r="B448">
        <f>DEGREES(ATAN(-SIN(RADIANS(('R1'!I448)))/(COS(RADIANS(Sheet1!A448))*COS(RADIANS('R1'!I448)))))</f>
        <v>9.4096915772201388</v>
      </c>
      <c r="C448">
        <f>AVERAGE('R1'!J448,'R2'!J448,'R3'!J448)</f>
        <v>1.1633333333333331</v>
      </c>
      <c r="D448">
        <f>AVERAGE('R1'!K448,'R2'!K448,'R3'!K448)</f>
        <v>23.266558416666669</v>
      </c>
      <c r="E448">
        <f>AVERAGE('R1'!L448,'R2'!L448,'R3'!L448)</f>
        <v>0.66132536937780773</v>
      </c>
      <c r="F448">
        <f>AVERAGE('R1'!M448,'R2'!M448,'R3'!M448)</f>
        <v>2.1025048851728143</v>
      </c>
      <c r="G448">
        <f>AVERAGE('R1'!N448,'R2'!N448,'R3'!N448)</f>
        <v>-0.8367205794467375</v>
      </c>
      <c r="H448">
        <f>AVERAGE('R1'!O448,'R2'!O448,'R3'!O448)</f>
        <v>-0.44533579584792021</v>
      </c>
      <c r="I448">
        <f t="shared" si="10"/>
        <v>4511.1271596759252</v>
      </c>
      <c r="K448">
        <f>_xlfn.STDEV.S('R1'!L448,'R2'!L448,'R3'!L448)</f>
        <v>7.7797141332644794E-3</v>
      </c>
      <c r="L448">
        <f>_xlfn.STDEV.S('R1'!M448,'R2'!M448,'R3'!M448)</f>
        <v>3.1136125449251865E-3</v>
      </c>
      <c r="M448">
        <f>_xlfn.STDEV.S('R1'!N448,'R2'!N448,'R3'!N448)</f>
        <v>6.5057680149586614E-3</v>
      </c>
      <c r="N448">
        <f>_xlfn.STDEV.S('R1'!O448,'R2'!O448,'R3'!O448)</f>
        <v>1.7149582166691285E-3</v>
      </c>
    </row>
    <row r="449" spans="1:14" x14ac:dyDescent="0.25">
      <c r="A449">
        <f>-'R1'!H449</f>
        <v>-32</v>
      </c>
      <c r="B449">
        <f>DEGREES(ATAN(-SIN(RADIANS(('R1'!I449)))/(COS(RADIANS(Sheet1!A449))*COS(RADIANS('R1'!I449)))))</f>
        <v>4.7137278648813155</v>
      </c>
      <c r="C449">
        <f>AVERAGE('R1'!J449,'R2'!J449,'R3'!J449)</f>
        <v>1.1633333333333331</v>
      </c>
      <c r="D449">
        <f>AVERAGE('R1'!K449,'R2'!K449,'R3'!K449)</f>
        <v>22.742153999999999</v>
      </c>
      <c r="E449">
        <f>AVERAGE('R1'!L449,'R2'!L449,'R3'!L449)</f>
        <v>0.39498722239483713</v>
      </c>
      <c r="F449">
        <f>AVERAGE('R1'!M449,'R2'!M449,'R3'!M449)</f>
        <v>2.2540237928190408</v>
      </c>
      <c r="G449">
        <f>AVERAGE('R1'!N449,'R2'!N449,'R3'!N449)</f>
        <v>-0.88613503806750116</v>
      </c>
      <c r="H449">
        <f>AVERAGE('R1'!O449,'R2'!O449,'R3'!O449)</f>
        <v>-0.37336398391304998</v>
      </c>
      <c r="I449">
        <f t="shared" si="10"/>
        <v>4409.450969999999</v>
      </c>
      <c r="K449">
        <f>_xlfn.STDEV.S('R1'!L449,'R2'!L449,'R3'!L449)</f>
        <v>5.4100717364912992E-3</v>
      </c>
      <c r="L449">
        <f>_xlfn.STDEV.S('R1'!M449,'R2'!M449,'R3'!M449)</f>
        <v>4.1966834785001324E-3</v>
      </c>
      <c r="M449">
        <f>_xlfn.STDEV.S('R1'!N449,'R2'!N449,'R3'!N449)</f>
        <v>4.2623329799918721E-3</v>
      </c>
      <c r="N449">
        <f>_xlfn.STDEV.S('R1'!O449,'R2'!O449,'R3'!O449)</f>
        <v>1.115979672202703E-3</v>
      </c>
    </row>
    <row r="450" spans="1:14" x14ac:dyDescent="0.25">
      <c r="A450">
        <f>-'R1'!H450</f>
        <v>-32</v>
      </c>
      <c r="B450">
        <f>DEGREES(ATAN(-SIN(RADIANS(('R1'!I450)))/(COS(RADIANS(Sheet1!A450))*COS(RADIANS('R1'!I450)))))</f>
        <v>0</v>
      </c>
      <c r="C450">
        <f>AVERAGE('R1'!J450,'R2'!J450,'R3'!J450)</f>
        <v>1.1633333333333331</v>
      </c>
      <c r="D450">
        <f>AVERAGE('R1'!K450,'R2'!K450,'R3'!K450)</f>
        <v>22.330864000000002</v>
      </c>
      <c r="E450">
        <f>AVERAGE('R1'!L450,'R2'!L450,'R3'!L450)</f>
        <v>5.2018328910746404E-2</v>
      </c>
      <c r="F450">
        <f>AVERAGE('R1'!M450,'R2'!M450,'R3'!M450)</f>
        <v>2.4669258778951524</v>
      </c>
      <c r="G450">
        <f>AVERAGE('R1'!N450,'R2'!N450,'R3'!N450)</f>
        <v>-0.96545709969606897</v>
      </c>
      <c r="H450">
        <f>AVERAGE('R1'!O450,'R2'!O450,'R3'!O450)</f>
        <v>-0.30492486901424637</v>
      </c>
      <c r="I450">
        <f t="shared" si="10"/>
        <v>4329.7064088888883</v>
      </c>
      <c r="K450">
        <f>_xlfn.STDEV.S('R1'!L450,'R2'!L450,'R3'!L450)</f>
        <v>4.6388499746843328E-3</v>
      </c>
      <c r="L450">
        <f>_xlfn.STDEV.S('R1'!M450,'R2'!M450,'R3'!M450)</f>
        <v>6.5097474753713922E-3</v>
      </c>
      <c r="M450">
        <f>_xlfn.STDEV.S('R1'!N450,'R2'!N450,'R3'!N450)</f>
        <v>1.2779077141940749E-2</v>
      </c>
      <c r="N450">
        <f>_xlfn.STDEV.S('R1'!O450,'R2'!O450,'R3'!O450)</f>
        <v>7.8016203947650744E-3</v>
      </c>
    </row>
    <row r="451" spans="1:14" x14ac:dyDescent="0.25">
      <c r="A451">
        <f>-'R1'!H451</f>
        <v>-32</v>
      </c>
      <c r="B451">
        <f>DEGREES(ATAN(-SIN(RADIANS(('R1'!I451)))/(COS(RADIANS(Sheet1!A451))*COS(RADIANS('R1'!I451)))))</f>
        <v>-4.7137278648813155</v>
      </c>
      <c r="C451">
        <f>AVERAGE('R1'!J451,'R2'!J451,'R3'!J451)</f>
        <v>1.1633333333333331</v>
      </c>
      <c r="D451">
        <f>AVERAGE('R1'!K451,'R2'!K451,'R3'!K451)</f>
        <v>22.111048583333332</v>
      </c>
      <c r="E451">
        <f>AVERAGE('R1'!L451,'R2'!L451,'R3'!L451)</f>
        <v>-0.30506557162689946</v>
      </c>
      <c r="F451">
        <f>AVERAGE('R1'!M451,'R2'!M451,'R3'!M451)</f>
        <v>2.3242355177155347</v>
      </c>
      <c r="G451">
        <f>AVERAGE('R1'!N451,'R2'!N451,'R3'!N451)</f>
        <v>-0.91964858948017125</v>
      </c>
      <c r="H451">
        <f>AVERAGE('R1'!O451,'R2'!O451,'R3'!O451)</f>
        <v>-0.35801319409515031</v>
      </c>
      <c r="I451">
        <f t="shared" ref="I451:I514" si="11">10^5*C451*D451*0.003/1.8</f>
        <v>4287.0866419907397</v>
      </c>
      <c r="K451">
        <f>_xlfn.STDEV.S('R1'!L451,'R2'!L451,'R3'!L451)</f>
        <v>3.9863454533891141E-3</v>
      </c>
      <c r="L451">
        <f>_xlfn.STDEV.S('R1'!M451,'R2'!M451,'R3'!M451)</f>
        <v>1.2052642310330449E-2</v>
      </c>
      <c r="M451">
        <f>_xlfn.STDEV.S('R1'!N451,'R2'!N451,'R3'!N451)</f>
        <v>3.3053272041672402E-3</v>
      </c>
      <c r="N451">
        <f>_xlfn.STDEV.S('R1'!O451,'R2'!O451,'R3'!O451)</f>
        <v>5.2068870819921183E-3</v>
      </c>
    </row>
    <row r="452" spans="1:14" x14ac:dyDescent="0.25">
      <c r="A452">
        <f>-'R1'!H452</f>
        <v>-32</v>
      </c>
      <c r="B452">
        <f>DEGREES(ATAN(-SIN(RADIANS(('R1'!I452)))/(COS(RADIANS(Sheet1!A452))*COS(RADIANS('R1'!I452)))))</f>
        <v>-9.4096915772201388</v>
      </c>
      <c r="C452">
        <f>AVERAGE('R1'!J452,'R2'!J452,'R3'!J452)</f>
        <v>1.1633333333333331</v>
      </c>
      <c r="D452">
        <f>AVERAGE('R1'!K452,'R2'!K452,'R3'!K452)</f>
        <v>22.404161666666667</v>
      </c>
      <c r="E452">
        <f>AVERAGE('R1'!L452,'R2'!L452,'R3'!L452)</f>
        <v>-0.5982929607456019</v>
      </c>
      <c r="F452">
        <f>AVERAGE('R1'!M452,'R2'!M452,'R3'!M452)</f>
        <v>2.1803737258072906</v>
      </c>
      <c r="G452">
        <f>AVERAGE('R1'!N452,'R2'!N452,'R3'!N452)</f>
        <v>-0.88988836646958058</v>
      </c>
      <c r="H452">
        <f>AVERAGE('R1'!O452,'R2'!O452,'R3'!O452)</f>
        <v>-0.4437071470840212</v>
      </c>
      <c r="I452">
        <f t="shared" si="11"/>
        <v>4343.9180120370365</v>
      </c>
      <c r="K452">
        <f>_xlfn.STDEV.S('R1'!L452,'R2'!L452,'R3'!L452)</f>
        <v>3.4225005676564472E-3</v>
      </c>
      <c r="L452">
        <f>_xlfn.STDEV.S('R1'!M452,'R2'!M452,'R3'!M452)</f>
        <v>1.242318322287499E-2</v>
      </c>
      <c r="M452">
        <f>_xlfn.STDEV.S('R1'!N452,'R2'!N452,'R3'!N452)</f>
        <v>4.3953112738488523E-3</v>
      </c>
      <c r="N452">
        <f>_xlfn.STDEV.S('R1'!O452,'R2'!O452,'R3'!O452)</f>
        <v>5.1965216797031626E-3</v>
      </c>
    </row>
    <row r="453" spans="1:14" x14ac:dyDescent="0.25">
      <c r="A453">
        <f>-'R1'!H453</f>
        <v>-32</v>
      </c>
      <c r="B453">
        <f>DEGREES(ATAN(-SIN(RADIANS(('R1'!I453)))/(COS(RADIANS(Sheet1!A453))*COS(RADIANS('R1'!I453)))))</f>
        <v>-14.070864136056453</v>
      </c>
      <c r="C453">
        <f>AVERAGE('R1'!J453,'R2'!J453,'R3'!J453)</f>
        <v>1.1633333333333331</v>
      </c>
      <c r="D453">
        <f>AVERAGE('R1'!K453,'R2'!K453,'R3'!K453)</f>
        <v>22.427567333333332</v>
      </c>
      <c r="E453">
        <f>AVERAGE('R1'!L453,'R2'!L453,'R3'!L453)</f>
        <v>-0.84927232027225552</v>
      </c>
      <c r="F453">
        <f>AVERAGE('R1'!M453,'R2'!M453,'R3'!M453)</f>
        <v>2.0780412924220868</v>
      </c>
      <c r="G453">
        <f>AVERAGE('R1'!N453,'R2'!N453,'R3'!N453)</f>
        <v>-0.88962886477657666</v>
      </c>
      <c r="H453">
        <f>AVERAGE('R1'!O453,'R2'!O453,'R3'!O453)</f>
        <v>-0.52991105895464041</v>
      </c>
      <c r="I453">
        <f t="shared" si="11"/>
        <v>4348.4561107407399</v>
      </c>
      <c r="K453">
        <f>_xlfn.STDEV.S('R1'!L453,'R2'!L453,'R3'!L453)</f>
        <v>2.3717366676187781E-3</v>
      </c>
      <c r="L453">
        <f>_xlfn.STDEV.S('R1'!M453,'R2'!M453,'R3'!M453)</f>
        <v>1.0778324277098321E-2</v>
      </c>
      <c r="M453">
        <f>_xlfn.STDEV.S('R1'!N453,'R2'!N453,'R3'!N453)</f>
        <v>5.6626283925218304E-3</v>
      </c>
      <c r="N453">
        <f>_xlfn.STDEV.S('R1'!O453,'R2'!O453,'R3'!O453)</f>
        <v>2.3935336364546539E-3</v>
      </c>
    </row>
    <row r="454" spans="1:14" x14ac:dyDescent="0.25">
      <c r="A454">
        <f>-'R1'!H454</f>
        <v>-32</v>
      </c>
      <c r="B454">
        <f>DEGREES(ATAN(-SIN(RADIANS(('R1'!I454)))/(COS(RADIANS(Sheet1!A454))*COS(RADIANS('R1'!I454)))))</f>
        <v>-18.681627509923402</v>
      </c>
      <c r="C454">
        <f>AVERAGE('R1'!J454,'R2'!J454,'R3'!J454)</f>
        <v>1.1633333333333331</v>
      </c>
      <c r="D454">
        <f>AVERAGE('R1'!K454,'R2'!K454,'R3'!K454)</f>
        <v>22.475268083333333</v>
      </c>
      <c r="E454">
        <f>AVERAGE('R1'!L454,'R2'!L454,'R3'!L454)</f>
        <v>-1.0919242562049387</v>
      </c>
      <c r="F454">
        <f>AVERAGE('R1'!M454,'R2'!M454,'R3'!M454)</f>
        <v>2.002828595086426</v>
      </c>
      <c r="G454">
        <f>AVERAGE('R1'!N454,'R2'!N454,'R3'!N454)</f>
        <v>-0.92907018573179245</v>
      </c>
      <c r="H454">
        <f>AVERAGE('R1'!O454,'R2'!O454,'R3'!O454)</f>
        <v>-0.61872078627521121</v>
      </c>
      <c r="I454">
        <f t="shared" si="11"/>
        <v>4357.7047561574072</v>
      </c>
      <c r="K454">
        <f>_xlfn.STDEV.S('R1'!L454,'R2'!L454,'R3'!L454)</f>
        <v>5.8744231269246385E-3</v>
      </c>
      <c r="L454">
        <f>_xlfn.STDEV.S('R1'!M454,'R2'!M454,'R3'!M454)</f>
        <v>2.522829485521762E-3</v>
      </c>
      <c r="M454">
        <f>_xlfn.STDEV.S('R1'!N454,'R2'!N454,'R3'!N454)</f>
        <v>1.3522626868759161E-2</v>
      </c>
      <c r="N454">
        <f>_xlfn.STDEV.S('R1'!O454,'R2'!O454,'R3'!O454)</f>
        <v>2.0311898951587081E-3</v>
      </c>
    </row>
    <row r="455" spans="1:14" x14ac:dyDescent="0.25">
      <c r="A455">
        <f>-'R1'!H455</f>
        <v>-32</v>
      </c>
      <c r="B455">
        <f>DEGREES(ATAN(-SIN(RADIANS(('R1'!I455)))/(COS(RADIANS(Sheet1!A455))*COS(RADIANS('R1'!I455)))))</f>
        <v>-23.228324501561271</v>
      </c>
      <c r="C455">
        <f>AVERAGE('R1'!J455,'R2'!J455,'R3'!J455)</f>
        <v>1.1633333333333331</v>
      </c>
      <c r="D455">
        <f>AVERAGE('R1'!K455,'R2'!K455,'R3'!K455)</f>
        <v>22.526819416666669</v>
      </c>
      <c r="E455">
        <f>AVERAGE('R1'!L455,'R2'!L455,'R3'!L455)</f>
        <v>-1.3021604342872053</v>
      </c>
      <c r="F455">
        <f>AVERAGE('R1'!M455,'R2'!M455,'R3'!M455)</f>
        <v>1.9681250707748295</v>
      </c>
      <c r="G455">
        <f>AVERAGE('R1'!N455,'R2'!N455,'R3'!N455)</f>
        <v>-0.9895653749854606</v>
      </c>
      <c r="H455">
        <f>AVERAGE('R1'!O455,'R2'!O455,'R3'!O455)</f>
        <v>-0.72387547227139104</v>
      </c>
      <c r="I455">
        <f t="shared" si="11"/>
        <v>4367.6999868981484</v>
      </c>
      <c r="K455">
        <f>_xlfn.STDEV.S('R1'!L455,'R2'!L455,'R3'!L455)</f>
        <v>4.865667271483777E-3</v>
      </c>
      <c r="L455">
        <f>_xlfn.STDEV.S('R1'!M455,'R2'!M455,'R3'!M455)</f>
        <v>7.2416817691328137E-3</v>
      </c>
      <c r="M455">
        <f>_xlfn.STDEV.S('R1'!N455,'R2'!N455,'R3'!N455)</f>
        <v>6.5582526397890851E-3</v>
      </c>
      <c r="N455">
        <f>_xlfn.STDEV.S('R1'!O455,'R2'!O455,'R3'!O455)</f>
        <v>6.3256544209005323E-3</v>
      </c>
    </row>
    <row r="456" spans="1:14" x14ac:dyDescent="0.25">
      <c r="A456">
        <f>-'R1'!H456</f>
        <v>-32</v>
      </c>
      <c r="B456">
        <f>DEGREES(ATAN(-SIN(RADIANS(('R1'!I456)))/(COS(RADIANS(Sheet1!A456))*COS(RADIANS('R1'!I456)))))</f>
        <v>-27.699654729206667</v>
      </c>
      <c r="C456">
        <f>AVERAGE('R1'!J456,'R2'!J456,'R3'!J456)</f>
        <v>1.1633333333333331</v>
      </c>
      <c r="D456">
        <f>AVERAGE('R1'!K456,'R2'!K456,'R3'!K456)</f>
        <v>22.953439166666666</v>
      </c>
      <c r="E456">
        <f>AVERAGE('R1'!L456,'R2'!L456,'R3'!L456)</f>
        <v>-1.4755240609714573</v>
      </c>
      <c r="F456">
        <f>AVERAGE('R1'!M456,'R2'!M456,'R3'!M456)</f>
        <v>1.9675327762538315</v>
      </c>
      <c r="G456">
        <f>AVERAGE('R1'!N456,'R2'!N456,'R3'!N456)</f>
        <v>-1.0671188488395471</v>
      </c>
      <c r="H456">
        <f>AVERAGE('R1'!O456,'R2'!O456,'R3'!O456)</f>
        <v>-0.84536253764157809</v>
      </c>
      <c r="I456">
        <f t="shared" si="11"/>
        <v>4450.4168162037031</v>
      </c>
      <c r="K456">
        <f>_xlfn.STDEV.S('R1'!L456,'R2'!L456,'R3'!L456)</f>
        <v>4.252874703529602E-3</v>
      </c>
      <c r="L456">
        <f>_xlfn.STDEV.S('R1'!M456,'R2'!M456,'R3'!M456)</f>
        <v>6.027418131590496E-3</v>
      </c>
      <c r="M456">
        <f>_xlfn.STDEV.S('R1'!N456,'R2'!N456,'R3'!N456)</f>
        <v>5.8975602031413193E-3</v>
      </c>
      <c r="N456">
        <f>_xlfn.STDEV.S('R1'!O456,'R2'!O456,'R3'!O456)</f>
        <v>3.3938303256721538E-3</v>
      </c>
    </row>
    <row r="457" spans="1:14" x14ac:dyDescent="0.25">
      <c r="A457">
        <f>-'R1'!H457</f>
        <v>-32</v>
      </c>
      <c r="B457">
        <f>DEGREES(ATAN(-SIN(RADIANS(('R1'!I457)))/(COS(RADIANS(Sheet1!A457))*COS(RADIANS('R1'!I457)))))</f>
        <v>-32.086900972819144</v>
      </c>
      <c r="C457">
        <f>AVERAGE('R1'!J457,'R2'!J457,'R3'!J457)</f>
        <v>1.1633333333333331</v>
      </c>
      <c r="D457">
        <f>AVERAGE('R1'!K457,'R2'!K457,'R3'!K457)</f>
        <v>23.15019225</v>
      </c>
      <c r="E457">
        <f>AVERAGE('R1'!L457,'R2'!L457,'R3'!L457)</f>
        <v>-1.6454204759527349</v>
      </c>
      <c r="F457">
        <f>AVERAGE('R1'!M457,'R2'!M457,'R3'!M457)</f>
        <v>1.9894514386425823</v>
      </c>
      <c r="G457">
        <f>AVERAGE('R1'!N457,'R2'!N457,'R3'!N457)</f>
        <v>-1.168027965787733</v>
      </c>
      <c r="H457">
        <f>AVERAGE('R1'!O457,'R2'!O457,'R3'!O457)</f>
        <v>-0.97924642518465277</v>
      </c>
      <c r="I457">
        <f t="shared" si="11"/>
        <v>4488.565052916666</v>
      </c>
      <c r="K457">
        <f>_xlfn.STDEV.S('R1'!L457,'R2'!L457,'R3'!L457)</f>
        <v>3.8241085701787238E-3</v>
      </c>
      <c r="L457">
        <f>_xlfn.STDEV.S('R1'!M457,'R2'!M457,'R3'!M457)</f>
        <v>4.0707028418850467E-3</v>
      </c>
      <c r="M457">
        <f>_xlfn.STDEV.S('R1'!N457,'R2'!N457,'R3'!N457)</f>
        <v>1.0787209510259669E-2</v>
      </c>
      <c r="N457">
        <f>_xlfn.STDEV.S('R1'!O457,'R2'!O457,'R3'!O457)</f>
        <v>9.2091337561872567E-4</v>
      </c>
    </row>
    <row r="458" spans="1:14" x14ac:dyDescent="0.25">
      <c r="A458">
        <f>-'R1'!H458</f>
        <v>-32</v>
      </c>
      <c r="B458">
        <f>DEGREES(ATAN(-SIN(RADIANS(('R1'!I458)))/(COS(RADIANS(Sheet1!A458))*COS(RADIANS('R1'!I458)))))</f>
        <v>-36.383993076218225</v>
      </c>
      <c r="C458">
        <f>AVERAGE('R1'!J458,'R2'!J458,'R3'!J458)</f>
        <v>1.1633333333333331</v>
      </c>
      <c r="D458">
        <f>AVERAGE('R1'!K458,'R2'!K458,'R3'!K458)</f>
        <v>23.088165916666664</v>
      </c>
      <c r="E458">
        <f>AVERAGE('R1'!L458,'R2'!L458,'R3'!L458)</f>
        <v>-1.8195291178220045</v>
      </c>
      <c r="F458">
        <f>AVERAGE('R1'!M458,'R2'!M458,'R3'!M458)</f>
        <v>2.060516458919984</v>
      </c>
      <c r="G458">
        <f>AVERAGE('R1'!N458,'R2'!N458,'R3'!N458)</f>
        <v>-1.3193162223901667</v>
      </c>
      <c r="H458">
        <f>AVERAGE('R1'!O458,'R2'!O458,'R3'!O458)</f>
        <v>-1.1348920588993321</v>
      </c>
      <c r="I458">
        <f t="shared" si="11"/>
        <v>4476.5388360648139</v>
      </c>
      <c r="K458">
        <f>_xlfn.STDEV.S('R1'!L458,'R2'!L458,'R3'!L458)</f>
        <v>4.8498226209694913E-3</v>
      </c>
      <c r="L458">
        <f>_xlfn.STDEV.S('R1'!M458,'R2'!M458,'R3'!M458)</f>
        <v>2.3481107970324553E-3</v>
      </c>
      <c r="M458">
        <f>_xlfn.STDEV.S('R1'!N458,'R2'!N458,'R3'!N458)</f>
        <v>7.2876556187712362E-3</v>
      </c>
      <c r="N458">
        <f>_xlfn.STDEV.S('R1'!O458,'R2'!O458,'R3'!O458)</f>
        <v>1.7335653818271813E-3</v>
      </c>
    </row>
    <row r="459" spans="1:14" x14ac:dyDescent="0.25">
      <c r="A459">
        <f>-'R1'!H459</f>
        <v>-32</v>
      </c>
      <c r="B459">
        <f>DEGREES(ATAN(-SIN(RADIANS(('R1'!I459)))/(COS(RADIANS(Sheet1!A459))*COS(RADIANS('R1'!I459)))))</f>
        <v>-40.587432696870117</v>
      </c>
      <c r="C459">
        <f>AVERAGE('R1'!J459,'R2'!J459,'R3'!J459)</f>
        <v>1.1633333333333331</v>
      </c>
      <c r="D459">
        <f>AVERAGE('R1'!K459,'R2'!K459,'R3'!K459)</f>
        <v>22.599977249999998</v>
      </c>
      <c r="E459">
        <f>AVERAGE('R1'!L459,'R2'!L459,'R3'!L459)</f>
        <v>-2.0096533305093089</v>
      </c>
      <c r="F459">
        <f>AVERAGE('R1'!M459,'R2'!M459,'R3'!M459)</f>
        <v>2.1582249003347376</v>
      </c>
      <c r="G459">
        <f>AVERAGE('R1'!N459,'R2'!N459,'R3'!N459)</f>
        <v>-1.5069517385063929</v>
      </c>
      <c r="H459">
        <f>AVERAGE('R1'!O459,'R2'!O459,'R3'!O459)</f>
        <v>-1.3044090230270371</v>
      </c>
      <c r="I459">
        <f t="shared" si="11"/>
        <v>4381.8844779166657</v>
      </c>
      <c r="K459">
        <f>_xlfn.STDEV.S('R1'!L459,'R2'!L459,'R3'!L459)</f>
        <v>4.6647089746778125E-3</v>
      </c>
      <c r="L459">
        <f>_xlfn.STDEV.S('R1'!M459,'R2'!M459,'R3'!M459)</f>
        <v>1.0620164918528793E-2</v>
      </c>
      <c r="M459">
        <f>_xlfn.STDEV.S('R1'!N459,'R2'!N459,'R3'!N459)</f>
        <v>7.2036784787303677E-3</v>
      </c>
      <c r="N459">
        <f>_xlfn.STDEV.S('R1'!O459,'R2'!O459,'R3'!O459)</f>
        <v>5.1164509683853873E-3</v>
      </c>
    </row>
    <row r="460" spans="1:14" x14ac:dyDescent="0.25">
      <c r="A460">
        <f>-'R1'!H460</f>
        <v>-32</v>
      </c>
      <c r="B460">
        <f>DEGREES(ATAN(-SIN(RADIANS(('R1'!I460)))/(COS(RADIANS(Sheet1!A460))*COS(RADIANS('R1'!I460)))))</f>
        <v>-44.69611169166604</v>
      </c>
      <c r="C460">
        <f>AVERAGE('R1'!J460,'R2'!J460,'R3'!J460)</f>
        <v>1.1633333333333331</v>
      </c>
      <c r="D460">
        <f>AVERAGE('R1'!K460,'R2'!K460,'R3'!K460)</f>
        <v>22.278251833333332</v>
      </c>
      <c r="E460">
        <f>AVERAGE('R1'!L460,'R2'!L460,'R3'!L460)</f>
        <v>-2.2346405175812438</v>
      </c>
      <c r="F460">
        <f>AVERAGE('R1'!M460,'R2'!M460,'R3'!M460)</f>
        <v>2.326434693552704</v>
      </c>
      <c r="G460">
        <f>AVERAGE('R1'!N460,'R2'!N460,'R3'!N460)</f>
        <v>-1.7784482106544324</v>
      </c>
      <c r="H460">
        <f>AVERAGE('R1'!O460,'R2'!O460,'R3'!O460)</f>
        <v>-1.5149254245800705</v>
      </c>
      <c r="I460">
        <f t="shared" si="11"/>
        <v>4319.5054943518508</v>
      </c>
      <c r="K460">
        <f>_xlfn.STDEV.S('R1'!L460,'R2'!L460,'R3'!L460)</f>
        <v>4.5458740763773698E-3</v>
      </c>
      <c r="L460">
        <f>_xlfn.STDEV.S('R1'!M460,'R2'!M460,'R3'!M460)</f>
        <v>1.1055310939606417E-2</v>
      </c>
      <c r="M460">
        <f>_xlfn.STDEV.S('R1'!N460,'R2'!N460,'R3'!N460)</f>
        <v>6.4940623120898515E-3</v>
      </c>
      <c r="N460">
        <f>_xlfn.STDEV.S('R1'!O460,'R2'!O460,'R3'!O460)</f>
        <v>2.2608815601063508E-3</v>
      </c>
    </row>
    <row r="461" spans="1:14" x14ac:dyDescent="0.25">
      <c r="A461">
        <f>-'R1'!H461</f>
        <v>-32</v>
      </c>
      <c r="B461">
        <f>DEGREES(ATAN(-SIN(RADIANS(('R1'!I461)))/(COS(RADIANS(Sheet1!A461))*COS(RADIANS('R1'!I461)))))</f>
        <v>-48.711059881009497</v>
      </c>
      <c r="C461">
        <f>AVERAGE('R1'!J461,'R2'!J461,'R3'!J461)</f>
        <v>1.1633333333333331</v>
      </c>
      <c r="D461">
        <f>AVERAGE('R1'!K461,'R2'!K461,'R3'!K461)</f>
        <v>22.349093749999998</v>
      </c>
      <c r="E461">
        <f>AVERAGE('R1'!L461,'R2'!L461,'R3'!L461)</f>
        <v>-2.5110290677936429</v>
      </c>
      <c r="F461">
        <f>AVERAGE('R1'!M461,'R2'!M461,'R3'!M461)</f>
        <v>2.5520042984503615</v>
      </c>
      <c r="G461">
        <f>AVERAGE('R1'!N461,'R2'!N461,'R3'!N461)</f>
        <v>-2.1407828570262772</v>
      </c>
      <c r="H461">
        <f>AVERAGE('R1'!O461,'R2'!O461,'R3'!O461)</f>
        <v>-1.7856683775501734</v>
      </c>
      <c r="I461">
        <f t="shared" si="11"/>
        <v>4333.2409548611104</v>
      </c>
      <c r="K461">
        <f>_xlfn.STDEV.S('R1'!L461,'R2'!L461,'R3'!L461)</f>
        <v>7.0045315026563025E-3</v>
      </c>
      <c r="L461">
        <f>_xlfn.STDEV.S('R1'!M461,'R2'!M461,'R3'!M461)</f>
        <v>1.0259461818276572E-2</v>
      </c>
      <c r="M461">
        <f>_xlfn.STDEV.S('R1'!N461,'R2'!N461,'R3'!N461)</f>
        <v>8.6879251785796207E-3</v>
      </c>
      <c r="N461">
        <f>_xlfn.STDEV.S('R1'!O461,'R2'!O461,'R3'!O461)</f>
        <v>4.3767904347264096E-3</v>
      </c>
    </row>
    <row r="462" spans="1:14" x14ac:dyDescent="0.25">
      <c r="A462">
        <f>-'R1'!H462</f>
        <v>-36</v>
      </c>
      <c r="B462">
        <f>DEGREES(ATAN(-SIN(RADIANS(('R1'!I462)))/(COS(RADIANS(Sheet1!A462))*COS(RADIANS('R1'!I462)))))</f>
        <v>50.045016920059574</v>
      </c>
      <c r="C462">
        <f>AVERAGE('R1'!J462,'R2'!J462,'R3'!J462)</f>
        <v>1.1633333333333331</v>
      </c>
      <c r="D462">
        <f>AVERAGE('R1'!K462,'R2'!K462,'R3'!K462)</f>
        <v>22.420457666666668</v>
      </c>
      <c r="E462">
        <f>AVERAGE('R1'!L462,'R2'!L462,'R3'!L462)</f>
        <v>2.2919791802430853</v>
      </c>
      <c r="F462">
        <f>AVERAGE('R1'!M462,'R2'!M462,'R3'!M462)</f>
        <v>2.3337647719055998</v>
      </c>
      <c r="G462">
        <f>AVERAGE('R1'!N462,'R2'!N462,'R3'!N462)</f>
        <v>-1.8607421347202397</v>
      </c>
      <c r="H462">
        <f>AVERAGE('R1'!O462,'R2'!O462,'R3'!O462)</f>
        <v>-1.6491196075587684</v>
      </c>
      <c r="I462">
        <f t="shared" si="11"/>
        <v>4347.0776253703698</v>
      </c>
      <c r="K462">
        <f>_xlfn.STDEV.S('R1'!L462,'R2'!L462,'R3'!L462)</f>
        <v>6.4160927372047382E-3</v>
      </c>
      <c r="L462">
        <f>_xlfn.STDEV.S('R1'!M462,'R2'!M462,'R3'!M462)</f>
        <v>8.8804748778157465E-3</v>
      </c>
      <c r="M462">
        <f>_xlfn.STDEV.S('R1'!N462,'R2'!N462,'R3'!N462)</f>
        <v>9.2635385232270537E-3</v>
      </c>
      <c r="N462">
        <f>_xlfn.STDEV.S('R1'!O462,'R2'!O462,'R3'!O462)</f>
        <v>3.570830806583521E-3</v>
      </c>
    </row>
    <row r="463" spans="1:14" x14ac:dyDescent="0.25">
      <c r="A463">
        <f>-'R1'!H463</f>
        <v>-36</v>
      </c>
      <c r="B463">
        <f>DEGREES(ATAN(-SIN(RADIANS(('R1'!I463)))/(COS(RADIANS(Sheet1!A463))*COS(RADIANS('R1'!I463)))))</f>
        <v>46.045688589723383</v>
      </c>
      <c r="C463">
        <f>AVERAGE('R1'!J463,'R2'!J463,'R3'!J463)</f>
        <v>1.1633333333333331</v>
      </c>
      <c r="D463">
        <f>AVERAGE('R1'!K463,'R2'!K463,'R3'!K463)</f>
        <v>22.496827083333333</v>
      </c>
      <c r="E463">
        <f>AVERAGE('R1'!L463,'R2'!L463,'R3'!L463)</f>
        <v>2.1229472762283597</v>
      </c>
      <c r="F463">
        <f>AVERAGE('R1'!M463,'R2'!M463,'R3'!M463)</f>
        <v>2.2237398256859806</v>
      </c>
      <c r="G463">
        <f>AVERAGE('R1'!N463,'R2'!N463,'R3'!N463)</f>
        <v>-1.6463133139314374</v>
      </c>
      <c r="H463">
        <f>AVERAGE('R1'!O463,'R2'!O463,'R3'!O463)</f>
        <v>-1.4726378900511594</v>
      </c>
      <c r="I463">
        <f t="shared" si="11"/>
        <v>4361.884806712962</v>
      </c>
      <c r="K463">
        <f>_xlfn.STDEV.S('R1'!L463,'R2'!L463,'R3'!L463)</f>
        <v>1.1629533924232755E-3</v>
      </c>
      <c r="L463">
        <f>_xlfn.STDEV.S('R1'!M463,'R2'!M463,'R3'!M463)</f>
        <v>2.0955942622447733E-3</v>
      </c>
      <c r="M463">
        <f>_xlfn.STDEV.S('R1'!N463,'R2'!N463,'R3'!N463)</f>
        <v>1.1873561052123921E-2</v>
      </c>
      <c r="N463">
        <f>_xlfn.STDEV.S('R1'!O463,'R2'!O463,'R3'!O463)</f>
        <v>2.3843223989818982E-3</v>
      </c>
    </row>
    <row r="464" spans="1:14" x14ac:dyDescent="0.25">
      <c r="A464">
        <f>-'R1'!H464</f>
        <v>-36</v>
      </c>
      <c r="B464">
        <f>DEGREES(ATAN(-SIN(RADIANS(('R1'!I464)))/(COS(RADIANS(Sheet1!A464))*COS(RADIANS('R1'!I464)))))</f>
        <v>41.925613925819086</v>
      </c>
      <c r="C464">
        <f>AVERAGE('R1'!J464,'R2'!J464,'R3'!J464)</f>
        <v>1.1633333333333331</v>
      </c>
      <c r="D464">
        <f>AVERAGE('R1'!K464,'R2'!K464,'R3'!K464)</f>
        <v>22.579466083333333</v>
      </c>
      <c r="E464">
        <f>AVERAGE('R1'!L464,'R2'!L464,'R3'!L464)</f>
        <v>1.9650399607445079</v>
      </c>
      <c r="F464">
        <f>AVERAGE('R1'!M464,'R2'!M464,'R3'!M464)</f>
        <v>2.11529293716828</v>
      </c>
      <c r="G464">
        <f>AVERAGE('R1'!N464,'R2'!N464,'R3'!N464)</f>
        <v>-1.4549086535782731</v>
      </c>
      <c r="H464">
        <f>AVERAGE('R1'!O464,'R2'!O464,'R3'!O464)</f>
        <v>-1.3173137288831438</v>
      </c>
      <c r="I464">
        <f t="shared" si="11"/>
        <v>4377.9075906018506</v>
      </c>
      <c r="K464">
        <f>_xlfn.STDEV.S('R1'!L464,'R2'!L464,'R3'!L464)</f>
        <v>4.5385653335069855E-3</v>
      </c>
      <c r="L464">
        <f>_xlfn.STDEV.S('R1'!M464,'R2'!M464,'R3'!M464)</f>
        <v>3.1753665902810955E-3</v>
      </c>
      <c r="M464">
        <f>_xlfn.STDEV.S('R1'!N464,'R2'!N464,'R3'!N464)</f>
        <v>8.5276202207152669E-3</v>
      </c>
      <c r="N464">
        <f>_xlfn.STDEV.S('R1'!O464,'R2'!O464,'R3'!O464)</f>
        <v>2.2889143344453863E-3</v>
      </c>
    </row>
    <row r="465" spans="1:14" x14ac:dyDescent="0.25">
      <c r="A465">
        <f>-'R1'!H465</f>
        <v>-36</v>
      </c>
      <c r="B465">
        <f>DEGREES(ATAN(-SIN(RADIANS(('R1'!I465)))/(COS(RADIANS(Sheet1!A465))*COS(RADIANS('R1'!I465)))))</f>
        <v>37.681815805789164</v>
      </c>
      <c r="C465">
        <f>AVERAGE('R1'!J465,'R2'!J465,'R3'!J465)</f>
        <v>1.1633333333333331</v>
      </c>
      <c r="D465">
        <f>AVERAGE('R1'!K465,'R2'!K465,'R3'!K465)</f>
        <v>23.080870166666667</v>
      </c>
      <c r="E465">
        <f>AVERAGE('R1'!L465,'R2'!L465,'R3'!L465)</f>
        <v>1.8337236306739566</v>
      </c>
      <c r="F465">
        <f>AVERAGE('R1'!M465,'R2'!M465,'R3'!M465)</f>
        <v>2.0535002328266452</v>
      </c>
      <c r="G465">
        <f>AVERAGE('R1'!N465,'R2'!N465,'R3'!N465)</f>
        <v>-1.3245058544074426</v>
      </c>
      <c r="H465">
        <f>AVERAGE('R1'!O465,'R2'!O465,'R3'!O465)</f>
        <v>-1.1936326259197785</v>
      </c>
      <c r="I465">
        <f t="shared" si="11"/>
        <v>4475.1242712037028</v>
      </c>
      <c r="K465">
        <f>_xlfn.STDEV.S('R1'!L465,'R2'!L465,'R3'!L465)</f>
        <v>7.1523737937170097E-3</v>
      </c>
      <c r="L465">
        <f>_xlfn.STDEV.S('R1'!M465,'R2'!M465,'R3'!M465)</f>
        <v>4.5973546739943617E-3</v>
      </c>
      <c r="M465">
        <f>_xlfn.STDEV.S('R1'!N465,'R2'!N465,'R3'!N465)</f>
        <v>1.2211800635316579E-2</v>
      </c>
      <c r="N465">
        <f>_xlfn.STDEV.S('R1'!O465,'R2'!O465,'R3'!O465)</f>
        <v>4.6561541088345109E-3</v>
      </c>
    </row>
    <row r="466" spans="1:14" x14ac:dyDescent="0.25">
      <c r="A466">
        <f>-'R1'!H466</f>
        <v>-36</v>
      </c>
      <c r="B466">
        <f>DEGREES(ATAN(-SIN(RADIANS(('R1'!I466)))/(COS(RADIANS(Sheet1!A466))*COS(RADIANS('R1'!I466)))))</f>
        <v>33.314077817276932</v>
      </c>
      <c r="C466">
        <f>AVERAGE('R1'!J466,'R2'!J466,'R3'!J466)</f>
        <v>1.1633333333333331</v>
      </c>
      <c r="D466">
        <f>AVERAGE('R1'!K466,'R2'!K466,'R3'!K466)</f>
        <v>23.16711066666667</v>
      </c>
      <c r="E466">
        <f>AVERAGE('R1'!L466,'R2'!L466,'R3'!L466)</f>
        <v>1.6970719408442232</v>
      </c>
      <c r="F466">
        <f>AVERAGE('R1'!M466,'R2'!M466,'R3'!M466)</f>
        <v>2.0431732632960586</v>
      </c>
      <c r="G466">
        <f>AVERAGE('R1'!N466,'R2'!N466,'R3'!N466)</f>
        <v>-1.23950864182542</v>
      </c>
      <c r="H466">
        <f>AVERAGE('R1'!O466,'R2'!O466,'R3'!O466)</f>
        <v>-1.0777809109198004</v>
      </c>
      <c r="I466">
        <f t="shared" si="11"/>
        <v>4491.8453459259254</v>
      </c>
      <c r="K466">
        <f>_xlfn.STDEV.S('R1'!L466,'R2'!L466,'R3'!L466)</f>
        <v>9.9596903139768239E-4</v>
      </c>
      <c r="L466">
        <f>_xlfn.STDEV.S('R1'!M466,'R2'!M466,'R3'!M466)</f>
        <v>4.0978177390316832E-3</v>
      </c>
      <c r="M466">
        <f>_xlfn.STDEV.S('R1'!N466,'R2'!N466,'R3'!N466)</f>
        <v>4.1558404796432696E-3</v>
      </c>
      <c r="N466">
        <f>_xlfn.STDEV.S('R1'!O466,'R2'!O466,'R3'!O466)</f>
        <v>3.2317328570552689E-3</v>
      </c>
    </row>
    <row r="467" spans="1:14" x14ac:dyDescent="0.25">
      <c r="A467">
        <f>-'R1'!H467</f>
        <v>-36</v>
      </c>
      <c r="B467">
        <f>DEGREES(ATAN(-SIN(RADIANS(('R1'!I467)))/(COS(RADIANS(Sheet1!A467))*COS(RADIANS('R1'!I467)))))</f>
        <v>28.825436554649738</v>
      </c>
      <c r="C467">
        <f>AVERAGE('R1'!J467,'R2'!J467,'R3'!J467)</f>
        <v>1.1633333333333331</v>
      </c>
      <c r="D467">
        <f>AVERAGE('R1'!K467,'R2'!K467,'R3'!K467)</f>
        <v>23.013236250000002</v>
      </c>
      <c r="E467">
        <f>AVERAGE('R1'!L467,'R2'!L467,'R3'!L467)</f>
        <v>1.5546813064118601</v>
      </c>
      <c r="F467">
        <f>AVERAGE('R1'!M467,'R2'!M467,'R3'!M467)</f>
        <v>2.0822499271828643</v>
      </c>
      <c r="G467">
        <f>AVERAGE('R1'!N467,'R2'!N467,'R3'!N467)</f>
        <v>-1.1894749885527791</v>
      </c>
      <c r="H467">
        <f>AVERAGE('R1'!O467,'R2'!O467,'R3'!O467)</f>
        <v>-0.98062222290491652</v>
      </c>
      <c r="I467">
        <f t="shared" si="11"/>
        <v>4462.0108062499994</v>
      </c>
      <c r="K467">
        <f>_xlfn.STDEV.S('R1'!L467,'R2'!L467,'R3'!L467)</f>
        <v>9.0175262659051361E-3</v>
      </c>
      <c r="L467">
        <f>_xlfn.STDEV.S('R1'!M467,'R2'!M467,'R3'!M467)</f>
        <v>5.2831559819101169E-3</v>
      </c>
      <c r="M467">
        <f>_xlfn.STDEV.S('R1'!N467,'R2'!N467,'R3'!N467)</f>
        <v>1.2646848323875118E-2</v>
      </c>
      <c r="N467">
        <f>_xlfn.STDEV.S('R1'!O467,'R2'!O467,'R3'!O467)</f>
        <v>5.1306360946626337E-3</v>
      </c>
    </row>
    <row r="468" spans="1:14" x14ac:dyDescent="0.25">
      <c r="A468">
        <f>-'R1'!H468</f>
        <v>-36</v>
      </c>
      <c r="B468">
        <f>DEGREES(ATAN(-SIN(RADIANS(('R1'!I468)))/(COS(RADIANS(Sheet1!A468))*COS(RADIANS('R1'!I468)))))</f>
        <v>24.22259689172926</v>
      </c>
      <c r="C468">
        <f>AVERAGE('R1'!J468,'R2'!J468,'R3'!J468)</f>
        <v>1.1633333333333331</v>
      </c>
      <c r="D468">
        <f>AVERAGE('R1'!K468,'R2'!K468,'R3'!K468)</f>
        <v>22.528040583333336</v>
      </c>
      <c r="E468">
        <f>AVERAGE('R1'!L468,'R2'!L468,'R3'!L468)</f>
        <v>1.3891371384861191</v>
      </c>
      <c r="F468">
        <f>AVERAGE('R1'!M468,'R2'!M468,'R3'!M468)</f>
        <v>2.1407284028178348</v>
      </c>
      <c r="G468">
        <f>AVERAGE('R1'!N468,'R2'!N468,'R3'!N468)</f>
        <v>-1.1513982394300419</v>
      </c>
      <c r="H468">
        <f>AVERAGE('R1'!O468,'R2'!O468,'R3'!O468)</f>
        <v>-0.89249601405651779</v>
      </c>
      <c r="I468">
        <f t="shared" si="11"/>
        <v>4367.9367575462966</v>
      </c>
      <c r="K468">
        <f>_xlfn.STDEV.S('R1'!L468,'R2'!L468,'R3'!L468)</f>
        <v>2.1912685840954045E-3</v>
      </c>
      <c r="L468">
        <f>_xlfn.STDEV.S('R1'!M468,'R2'!M468,'R3'!M468)</f>
        <v>5.9598341593840041E-3</v>
      </c>
      <c r="M468">
        <f>_xlfn.STDEV.S('R1'!N468,'R2'!N468,'R3'!N468)</f>
        <v>2.5882063667429082E-3</v>
      </c>
      <c r="N468">
        <f>_xlfn.STDEV.S('R1'!O468,'R2'!O468,'R3'!O468)</f>
        <v>1.3995210564644602E-3</v>
      </c>
    </row>
    <row r="469" spans="1:14" x14ac:dyDescent="0.25">
      <c r="A469">
        <f>-'R1'!H469</f>
        <v>-36</v>
      </c>
      <c r="B469">
        <f>DEGREES(ATAN(-SIN(RADIANS(('R1'!I469)))/(COS(RADIANS(Sheet1!A469))*COS(RADIANS('R1'!I469)))))</f>
        <v>19.516199251096932</v>
      </c>
      <c r="C469">
        <f>AVERAGE('R1'!J469,'R2'!J469,'R3'!J469)</f>
        <v>1.1633333333333331</v>
      </c>
      <c r="D469">
        <f>AVERAGE('R1'!K469,'R2'!K469,'R3'!K469)</f>
        <v>22.338082250000003</v>
      </c>
      <c r="E469">
        <f>AVERAGE('R1'!L469,'R2'!L469,'R3'!L469)</f>
        <v>1.2042999299663106</v>
      </c>
      <c r="F469">
        <f>AVERAGE('R1'!M469,'R2'!M469,'R3'!M469)</f>
        <v>2.2167234169373451</v>
      </c>
      <c r="G469">
        <f>AVERAGE('R1'!N469,'R2'!N469,'R3'!N469)</f>
        <v>-1.1295425349478314</v>
      </c>
      <c r="H469">
        <f>AVERAGE('R1'!O469,'R2'!O469,'R3'!O469)</f>
        <v>-0.81325796400689576</v>
      </c>
      <c r="I469">
        <f t="shared" si="11"/>
        <v>4331.1059473611112</v>
      </c>
      <c r="K469">
        <f>_xlfn.STDEV.S('R1'!L469,'R2'!L469,'R3'!L469)</f>
        <v>4.1204206311921121E-3</v>
      </c>
      <c r="L469">
        <f>_xlfn.STDEV.S('R1'!M469,'R2'!M469,'R3'!M469)</f>
        <v>6.1688128767705599E-3</v>
      </c>
      <c r="M469">
        <f>_xlfn.STDEV.S('R1'!N469,'R2'!N469,'R3'!N469)</f>
        <v>4.7673077987451509E-3</v>
      </c>
      <c r="N469">
        <f>_xlfn.STDEV.S('R1'!O469,'R2'!O469,'R3'!O469)</f>
        <v>3.578880765908342E-3</v>
      </c>
    </row>
    <row r="470" spans="1:14" x14ac:dyDescent="0.25">
      <c r="A470">
        <f>-'R1'!H470</f>
        <v>-36</v>
      </c>
      <c r="B470">
        <f>DEGREES(ATAN(-SIN(RADIANS(('R1'!I470)))/(COS(RADIANS(Sheet1!A470))*COS(RADIANS('R1'!I470)))))</f>
        <v>14.720865361542916</v>
      </c>
      <c r="C470">
        <f>AVERAGE('R1'!J470,'R2'!J470,'R3'!J470)</f>
        <v>1.1633333333333331</v>
      </c>
      <c r="D470">
        <f>AVERAGE('R1'!K470,'R2'!K470,'R3'!K470)</f>
        <v>22.363525999999997</v>
      </c>
      <c r="E470">
        <f>AVERAGE('R1'!L470,'R2'!L470,'R3'!L470)</f>
        <v>0.99164622729206353</v>
      </c>
      <c r="F470">
        <f>AVERAGE('R1'!M470,'R2'!M470,'R3'!M470)</f>
        <v>2.3173207971715386</v>
      </c>
      <c r="G470">
        <f>AVERAGE('R1'!N470,'R2'!N470,'R3'!N470)</f>
        <v>-1.123903059235227</v>
      </c>
      <c r="H470">
        <f>AVERAGE('R1'!O470,'R2'!O470,'R3'!O470)</f>
        <v>-0.75132324986556831</v>
      </c>
      <c r="I470">
        <f t="shared" si="11"/>
        <v>4336.0392077777769</v>
      </c>
      <c r="K470">
        <f>_xlfn.STDEV.S('R1'!L470,'R2'!L470,'R3'!L470)</f>
        <v>4.1969937166857294E-3</v>
      </c>
      <c r="L470">
        <f>_xlfn.STDEV.S('R1'!M470,'R2'!M470,'R3'!M470)</f>
        <v>1.1677370762942925E-2</v>
      </c>
      <c r="M470">
        <f>_xlfn.STDEV.S('R1'!N470,'R2'!N470,'R3'!N470)</f>
        <v>9.3883632719474414E-4</v>
      </c>
      <c r="N470">
        <f>_xlfn.STDEV.S('R1'!O470,'R2'!O470,'R3'!O470)</f>
        <v>1.7062388978187704E-3</v>
      </c>
    </row>
    <row r="471" spans="1:14" x14ac:dyDescent="0.25">
      <c r="A471">
        <f>-'R1'!H471</f>
        <v>-36</v>
      </c>
      <c r="B471">
        <f>DEGREES(ATAN(-SIN(RADIANS(('R1'!I471)))/(COS(RADIANS(Sheet1!A471))*COS(RADIANS('R1'!I471)))))</f>
        <v>9.8549609037615156</v>
      </c>
      <c r="C471">
        <f>AVERAGE('R1'!J471,'R2'!J471,'R3'!J471)</f>
        <v>1.1718166666666665</v>
      </c>
      <c r="D471">
        <f>AVERAGE('R1'!K471,'R2'!K471,'R3'!K471)</f>
        <v>22.29341325</v>
      </c>
      <c r="E471">
        <f>AVERAGE('R1'!L471,'R2'!L471,'R3'!L471)</f>
        <v>0.74642723727658689</v>
      </c>
      <c r="F471">
        <f>AVERAGE('R1'!M471,'R2'!M471,'R3'!M471)</f>
        <v>2.4540354323380291</v>
      </c>
      <c r="G471">
        <f>AVERAGE('R1'!N471,'R2'!N471,'R3'!N471)</f>
        <v>-1.1536590557517616</v>
      </c>
      <c r="H471">
        <f>AVERAGE('R1'!O471,'R2'!O471,'R3'!O471)</f>
        <v>-0.69032310154487186</v>
      </c>
      <c r="I471">
        <f t="shared" si="11"/>
        <v>4353.9655338729171</v>
      </c>
      <c r="K471">
        <f>_xlfn.STDEV.S('R1'!L471,'R2'!L471,'R3'!L471)</f>
        <v>5.966927851322688E-3</v>
      </c>
      <c r="L471">
        <f>_xlfn.STDEV.S('R1'!M471,'R2'!M471,'R3'!M471)</f>
        <v>1.8266604096695227E-2</v>
      </c>
      <c r="M471">
        <f>_xlfn.STDEV.S('R1'!N471,'R2'!N471,'R3'!N471)</f>
        <v>9.0874944893814969E-3</v>
      </c>
      <c r="N471">
        <f>_xlfn.STDEV.S('R1'!O471,'R2'!O471,'R3'!O471)</f>
        <v>3.1069958272404584E-3</v>
      </c>
    </row>
    <row r="472" spans="1:14" x14ac:dyDescent="0.25">
      <c r="A472">
        <f>-'R1'!H472</f>
        <v>-36</v>
      </c>
      <c r="B472">
        <f>DEGREES(ATAN(-SIN(RADIANS(('R1'!I472)))/(COS(RADIANS(Sheet1!A472))*COS(RADIANS('R1'!I472)))))</f>
        <v>4.940042441862353</v>
      </c>
      <c r="C472">
        <f>AVERAGE('R1'!J472,'R2'!J472,'R3'!J472)</f>
        <v>1.1741666666666666</v>
      </c>
      <c r="D472">
        <f>AVERAGE('R1'!K472,'R2'!K472,'R3'!K472)</f>
        <v>22.336040583333332</v>
      </c>
      <c r="E472">
        <f>AVERAGE('R1'!L472,'R2'!L472,'R3'!L472)</f>
        <v>0.4560488182924991</v>
      </c>
      <c r="F472">
        <f>AVERAGE('R1'!M472,'R2'!M472,'R3'!M472)</f>
        <v>2.6609892212548014</v>
      </c>
      <c r="G472">
        <f>AVERAGE('R1'!N472,'R2'!N472,'R3'!N472)</f>
        <v>-1.2360590589371891</v>
      </c>
      <c r="H472">
        <f>AVERAGE('R1'!O472,'R2'!O472,'R3'!O472)</f>
        <v>-0.6384783310872465</v>
      </c>
      <c r="I472">
        <f t="shared" si="11"/>
        <v>4371.0390530439809</v>
      </c>
      <c r="K472">
        <f>_xlfn.STDEV.S('R1'!L472,'R2'!L472,'R3'!L472)</f>
        <v>3.1469024997480329E-3</v>
      </c>
      <c r="L472">
        <f>_xlfn.STDEV.S('R1'!M472,'R2'!M472,'R3'!M472)</f>
        <v>5.7555606522368677E-3</v>
      </c>
      <c r="M472">
        <f>_xlfn.STDEV.S('R1'!N472,'R2'!N472,'R3'!N472)</f>
        <v>4.0786254501156728E-3</v>
      </c>
      <c r="N472">
        <f>_xlfn.STDEV.S('R1'!O472,'R2'!O472,'R3'!O472)</f>
        <v>2.7139890511924908E-3</v>
      </c>
    </row>
    <row r="473" spans="1:14" x14ac:dyDescent="0.25">
      <c r="A473">
        <f>-'R1'!H473</f>
        <v>-36</v>
      </c>
      <c r="B473">
        <f>DEGREES(ATAN(-SIN(RADIANS(('R1'!I473)))/(COS(RADIANS(Sheet1!A473))*COS(RADIANS('R1'!I473)))))</f>
        <v>0</v>
      </c>
      <c r="C473">
        <f>AVERAGE('R1'!J473,'R2'!J473,'R3'!J473)</f>
        <v>1.18</v>
      </c>
      <c r="D473">
        <f>AVERAGE('R1'!K473,'R2'!K473,'R3'!K473)</f>
        <v>22.3576245</v>
      </c>
      <c r="E473">
        <f>AVERAGE('R1'!L473,'R2'!L473,'R3'!L473)</f>
        <v>9.3366086006780979E-2</v>
      </c>
      <c r="F473">
        <f>AVERAGE('R1'!M473,'R2'!M473,'R3'!M473)</f>
        <v>2.9598078802758061</v>
      </c>
      <c r="G473">
        <f>AVERAGE('R1'!N473,'R2'!N473,'R3'!N473)</f>
        <v>-1.3799234219480416</v>
      </c>
      <c r="H473">
        <f>AVERAGE('R1'!O473,'R2'!O473,'R3'!O473)</f>
        <v>-0.59397356991627304</v>
      </c>
      <c r="I473">
        <f t="shared" si="11"/>
        <v>4396.9994850000003</v>
      </c>
      <c r="K473">
        <f>_xlfn.STDEV.S('R1'!L473,'R2'!L473,'R3'!L473)</f>
        <v>3.7296078537652536E-3</v>
      </c>
      <c r="L473">
        <f>_xlfn.STDEV.S('R1'!M473,'R2'!M473,'R3'!M473)</f>
        <v>1.2118007160358876E-2</v>
      </c>
      <c r="M473">
        <f>_xlfn.STDEV.S('R1'!N473,'R2'!N473,'R3'!N473)</f>
        <v>1.1340108746018341E-2</v>
      </c>
      <c r="N473">
        <f>_xlfn.STDEV.S('R1'!O473,'R2'!O473,'R3'!O473)</f>
        <v>5.4021588339534608E-3</v>
      </c>
    </row>
    <row r="474" spans="1:14" x14ac:dyDescent="0.25">
      <c r="A474">
        <f>-'R1'!H474</f>
        <v>-36</v>
      </c>
      <c r="B474">
        <f>DEGREES(ATAN(-SIN(RADIANS(('R1'!I474)))/(COS(RADIANS(Sheet1!A474))*COS(RADIANS('R1'!I474)))))</f>
        <v>-4.940042441862353</v>
      </c>
      <c r="C474">
        <f>AVERAGE('R1'!J474,'R2'!J474,'R3'!J474)</f>
        <v>1.18</v>
      </c>
      <c r="D474">
        <f>AVERAGE('R1'!K474,'R2'!K474,'R3'!K474)</f>
        <v>22.812707500000002</v>
      </c>
      <c r="E474">
        <f>AVERAGE('R1'!L474,'R2'!L474,'R3'!L474)</f>
        <v>-0.31138133812104313</v>
      </c>
      <c r="F474">
        <f>AVERAGE('R1'!M474,'R2'!M474,'R3'!M474)</f>
        <v>2.81962995041666</v>
      </c>
      <c r="G474">
        <f>AVERAGE('R1'!N474,'R2'!N474,'R3'!N474)</f>
        <v>-1.325880669891853</v>
      </c>
      <c r="H474">
        <f>AVERAGE('R1'!O474,'R2'!O474,'R3'!O474)</f>
        <v>-0.63298373181746359</v>
      </c>
      <c r="I474">
        <f t="shared" si="11"/>
        <v>4486.4991416666671</v>
      </c>
      <c r="K474">
        <f>_xlfn.STDEV.S('R1'!L474,'R2'!L474,'R3'!L474)</f>
        <v>5.9228878293477371E-3</v>
      </c>
      <c r="L474">
        <f>_xlfn.STDEV.S('R1'!M474,'R2'!M474,'R3'!M474)</f>
        <v>5.469137420134669E-3</v>
      </c>
      <c r="M474">
        <f>_xlfn.STDEV.S('R1'!N474,'R2'!N474,'R3'!N474)</f>
        <v>1.4275877944338104E-2</v>
      </c>
      <c r="N474">
        <f>_xlfn.STDEV.S('R1'!O474,'R2'!O474,'R3'!O474)</f>
        <v>5.6088622159805139E-3</v>
      </c>
    </row>
    <row r="475" spans="1:14" x14ac:dyDescent="0.25">
      <c r="A475">
        <f>-'R1'!H475</f>
        <v>-36</v>
      </c>
      <c r="B475">
        <f>DEGREES(ATAN(-SIN(RADIANS(('R1'!I475)))/(COS(RADIANS(Sheet1!A475))*COS(RADIANS('R1'!I475)))))</f>
        <v>-9.8549609037615156</v>
      </c>
      <c r="C475">
        <f>AVERAGE('R1'!J475,'R2'!J475,'R3'!J475)</f>
        <v>1.18</v>
      </c>
      <c r="D475">
        <f>AVERAGE('R1'!K475,'R2'!K475,'R3'!K475)</f>
        <v>22.920805083333335</v>
      </c>
      <c r="E475">
        <f>AVERAGE('R1'!L475,'R2'!L475,'R3'!L475)</f>
        <v>-0.64152054264408431</v>
      </c>
      <c r="F475">
        <f>AVERAGE('R1'!M475,'R2'!M475,'R3'!M475)</f>
        <v>2.6005588628970373</v>
      </c>
      <c r="G475">
        <f>AVERAGE('R1'!N475,'R2'!N475,'R3'!N475)</f>
        <v>-1.2443601561143574</v>
      </c>
      <c r="H475">
        <f>AVERAGE('R1'!O475,'R2'!O475,'R3'!O475)</f>
        <v>-0.70172056056139487</v>
      </c>
      <c r="I475">
        <f t="shared" si="11"/>
        <v>4507.7583330555553</v>
      </c>
      <c r="K475">
        <f>_xlfn.STDEV.S('R1'!L475,'R2'!L475,'R3'!L475)</f>
        <v>3.2950629048503323E-3</v>
      </c>
      <c r="L475">
        <f>_xlfn.STDEV.S('R1'!M475,'R2'!M475,'R3'!M475)</f>
        <v>1.1182041241723723E-2</v>
      </c>
      <c r="M475">
        <f>_xlfn.STDEV.S('R1'!N475,'R2'!N475,'R3'!N475)</f>
        <v>1.2684945719779215E-2</v>
      </c>
      <c r="N475">
        <f>_xlfn.STDEV.S('R1'!O475,'R2'!O475,'R3'!O475)</f>
        <v>4.6042704819663554E-3</v>
      </c>
    </row>
    <row r="476" spans="1:14" x14ac:dyDescent="0.25">
      <c r="A476">
        <f>-'R1'!H476</f>
        <v>-36</v>
      </c>
      <c r="B476">
        <f>DEGREES(ATAN(-SIN(RADIANS(('R1'!I476)))/(COS(RADIANS(Sheet1!A476))*COS(RADIANS('R1'!I476)))))</f>
        <v>-14.720865361542916</v>
      </c>
      <c r="C476">
        <f>AVERAGE('R1'!J476,'R2'!J476,'R3'!J476)</f>
        <v>1.18</v>
      </c>
      <c r="D476">
        <f>AVERAGE('R1'!K476,'R2'!K476,'R3'!K476)</f>
        <v>22.893340166666672</v>
      </c>
      <c r="E476">
        <f>AVERAGE('R1'!L476,'R2'!L476,'R3'!L476)</f>
        <v>-0.91278474093859252</v>
      </c>
      <c r="F476">
        <f>AVERAGE('R1'!M476,'R2'!M476,'R3'!M476)</f>
        <v>2.446713694011315</v>
      </c>
      <c r="G476">
        <f>AVERAGE('R1'!N476,'R2'!N476,'R3'!N476)</f>
        <v>-1.2159127084589878</v>
      </c>
      <c r="H476">
        <f>AVERAGE('R1'!O476,'R2'!O476,'R3'!O476)</f>
        <v>-0.76926780514197157</v>
      </c>
      <c r="I476">
        <f t="shared" si="11"/>
        <v>4502.3568994444458</v>
      </c>
      <c r="K476">
        <f>_xlfn.STDEV.S('R1'!L476,'R2'!L476,'R3'!L476)</f>
        <v>3.1557258138987733E-3</v>
      </c>
      <c r="L476">
        <f>_xlfn.STDEV.S('R1'!M476,'R2'!M476,'R3'!M476)</f>
        <v>9.2065605088653222E-3</v>
      </c>
      <c r="M476">
        <f>_xlfn.STDEV.S('R1'!N476,'R2'!N476,'R3'!N476)</f>
        <v>8.1894386200866403E-3</v>
      </c>
      <c r="N476">
        <f>_xlfn.STDEV.S('R1'!O476,'R2'!O476,'R3'!O476)</f>
        <v>4.2493613557901589E-4</v>
      </c>
    </row>
    <row r="477" spans="1:14" x14ac:dyDescent="0.25">
      <c r="A477">
        <f>-'R1'!H477</f>
        <v>-36</v>
      </c>
      <c r="B477">
        <f>DEGREES(ATAN(-SIN(RADIANS(('R1'!I477)))/(COS(RADIANS(Sheet1!A477))*COS(RADIANS('R1'!I477)))))</f>
        <v>-19.516199251096932</v>
      </c>
      <c r="C477">
        <f>AVERAGE('R1'!J477,'R2'!J477,'R3'!J477)</f>
        <v>1.18</v>
      </c>
      <c r="D477">
        <f>AVERAGE('R1'!K477,'R2'!K477,'R3'!K477)</f>
        <v>22.421330916666665</v>
      </c>
      <c r="E477">
        <f>AVERAGE('R1'!L477,'R2'!L477,'R3'!L477)</f>
        <v>-1.1563061971943041</v>
      </c>
      <c r="F477">
        <f>AVERAGE('R1'!M477,'R2'!M477,'R3'!M477)</f>
        <v>2.331970232054108</v>
      </c>
      <c r="G477">
        <f>AVERAGE('R1'!N477,'R2'!N477,'R3'!N477)</f>
        <v>-1.2221206835692462</v>
      </c>
      <c r="H477">
        <f>AVERAGE('R1'!O477,'R2'!O477,'R3'!O477)</f>
        <v>-0.84399494242923245</v>
      </c>
      <c r="I477">
        <f t="shared" si="11"/>
        <v>4409.5284136111113</v>
      </c>
      <c r="K477">
        <f>_xlfn.STDEV.S('R1'!L477,'R2'!L477,'R3'!L477)</f>
        <v>3.1616646508612592E-3</v>
      </c>
      <c r="L477">
        <f>_xlfn.STDEV.S('R1'!M477,'R2'!M477,'R3'!M477)</f>
        <v>3.5697399912885523E-3</v>
      </c>
      <c r="M477">
        <f>_xlfn.STDEV.S('R1'!N477,'R2'!N477,'R3'!N477)</f>
        <v>4.8607863611980669E-3</v>
      </c>
      <c r="N477">
        <f>_xlfn.STDEV.S('R1'!O477,'R2'!O477,'R3'!O477)</f>
        <v>6.1664738155042626E-3</v>
      </c>
    </row>
    <row r="478" spans="1:14" x14ac:dyDescent="0.25">
      <c r="A478">
        <f>-'R1'!H478</f>
        <v>-36</v>
      </c>
      <c r="B478">
        <f>DEGREES(ATAN(-SIN(RADIANS(('R1'!I478)))/(COS(RADIANS(Sheet1!A478))*COS(RADIANS('R1'!I478)))))</f>
        <v>-24.22259689172926</v>
      </c>
      <c r="C478">
        <f>AVERAGE('R1'!J478,'R2'!J478,'R3'!J478)</f>
        <v>1.18</v>
      </c>
      <c r="D478">
        <f>AVERAGE('R1'!K478,'R2'!K478,'R3'!K478)</f>
        <v>22.185731916666668</v>
      </c>
      <c r="E478">
        <f>AVERAGE('R1'!L478,'R2'!L478,'R3'!L478)</f>
        <v>-1.3650695310066236</v>
      </c>
      <c r="F478">
        <f>AVERAGE('R1'!M478,'R2'!M478,'R3'!M478)</f>
        <v>2.2606885375301258</v>
      </c>
      <c r="G478">
        <f>AVERAGE('R1'!N478,'R2'!N478,'R3'!N478)</f>
        <v>-1.2549388436379978</v>
      </c>
      <c r="H478">
        <f>AVERAGE('R1'!O478,'R2'!O478,'R3'!O478)</f>
        <v>-0.93760601964626977</v>
      </c>
      <c r="I478">
        <f t="shared" si="11"/>
        <v>4363.1939436111115</v>
      </c>
      <c r="K478">
        <f>_xlfn.STDEV.S('R1'!L478,'R2'!L478,'R3'!L478)</f>
        <v>5.7644737710249323E-3</v>
      </c>
      <c r="L478">
        <f>_xlfn.STDEV.S('R1'!M478,'R2'!M478,'R3'!M478)</f>
        <v>5.6431346308831376E-3</v>
      </c>
      <c r="M478">
        <f>_xlfn.STDEV.S('R1'!N478,'R2'!N478,'R3'!N478)</f>
        <v>7.2280456435652911E-3</v>
      </c>
      <c r="N478">
        <f>_xlfn.STDEV.S('R1'!O478,'R2'!O478,'R3'!O478)</f>
        <v>5.4676848998956896E-3</v>
      </c>
    </row>
    <row r="479" spans="1:14" x14ac:dyDescent="0.25">
      <c r="A479">
        <f>-'R1'!H479</f>
        <v>-36</v>
      </c>
      <c r="B479">
        <f>DEGREES(ATAN(-SIN(RADIANS(('R1'!I479)))/(COS(RADIANS(Sheet1!A479))*COS(RADIANS('R1'!I479)))))</f>
        <v>-28.825436554649738</v>
      </c>
      <c r="C479">
        <f>AVERAGE('R1'!J479,'R2'!J479,'R3'!J479)</f>
        <v>1.18</v>
      </c>
      <c r="D479">
        <f>AVERAGE('R1'!K479,'R2'!K479,'R3'!K479)</f>
        <v>22.233267583333333</v>
      </c>
      <c r="E479">
        <f>AVERAGE('R1'!L479,'R2'!L479,'R3'!L479)</f>
        <v>-1.5474619393670199</v>
      </c>
      <c r="F479">
        <f>AVERAGE('R1'!M479,'R2'!M479,'R3'!M479)</f>
        <v>2.2370749946390318</v>
      </c>
      <c r="G479">
        <f>AVERAGE('R1'!N479,'R2'!N479,'R3'!N479)</f>
        <v>-1.3204295734137317</v>
      </c>
      <c r="H479">
        <f>AVERAGE('R1'!O479,'R2'!O479,'R3'!O479)</f>
        <v>-1.0478130514133503</v>
      </c>
      <c r="I479">
        <f t="shared" si="11"/>
        <v>4372.5426247222222</v>
      </c>
      <c r="K479">
        <f>_xlfn.STDEV.S('R1'!L479,'R2'!L479,'R3'!L479)</f>
        <v>2.5833992327394207E-3</v>
      </c>
      <c r="L479">
        <f>_xlfn.STDEV.S('R1'!M479,'R2'!M479,'R3'!M479)</f>
        <v>1.7398970393486479E-2</v>
      </c>
      <c r="M479">
        <f>_xlfn.STDEV.S('R1'!N479,'R2'!N479,'R3'!N479)</f>
        <v>9.4877053049520817E-3</v>
      </c>
      <c r="N479">
        <f>_xlfn.STDEV.S('R1'!O479,'R2'!O479,'R3'!O479)</f>
        <v>2.1232561319105355E-3</v>
      </c>
    </row>
    <row r="480" spans="1:14" x14ac:dyDescent="0.25">
      <c r="A480">
        <f>-'R1'!H480</f>
        <v>-36</v>
      </c>
      <c r="B480">
        <f>DEGREES(ATAN(-SIN(RADIANS(('R1'!I480)))/(COS(RADIANS(Sheet1!A480))*COS(RADIANS('R1'!I480)))))</f>
        <v>-33.314077817276932</v>
      </c>
      <c r="C480">
        <f>AVERAGE('R1'!J480,'R2'!J480,'R3'!J480)</f>
        <v>1.18</v>
      </c>
      <c r="D480">
        <f>AVERAGE('R1'!K480,'R2'!K480,'R3'!K480)</f>
        <v>22.173158583333333</v>
      </c>
      <c r="E480">
        <f>AVERAGE('R1'!L480,'R2'!L480,'R3'!L480)</f>
        <v>-1.7270303119475698</v>
      </c>
      <c r="F480">
        <f>AVERAGE('R1'!M480,'R2'!M480,'R3'!M480)</f>
        <v>2.2482889741723073</v>
      </c>
      <c r="G480">
        <f>AVERAGE('R1'!N480,'R2'!N480,'R3'!N480)</f>
        <v>-1.4235925983720665</v>
      </c>
      <c r="H480">
        <f>AVERAGE('R1'!O480,'R2'!O480,'R3'!O480)</f>
        <v>-1.1754192411761644</v>
      </c>
      <c r="I480">
        <f t="shared" si="11"/>
        <v>4360.721188055556</v>
      </c>
      <c r="K480">
        <f>_xlfn.STDEV.S('R1'!L480,'R2'!L480,'R3'!L480)</f>
        <v>5.0162162910075874E-3</v>
      </c>
      <c r="L480">
        <f>_xlfn.STDEV.S('R1'!M480,'R2'!M480,'R3'!M480)</f>
        <v>8.2127314272339158E-3</v>
      </c>
      <c r="M480">
        <f>_xlfn.STDEV.S('R1'!N480,'R2'!N480,'R3'!N480)</f>
        <v>1.7880962963766098E-3</v>
      </c>
      <c r="N480">
        <f>_xlfn.STDEV.S('R1'!O480,'R2'!O480,'R3'!O480)</f>
        <v>1.5607317191070071E-3</v>
      </c>
    </row>
    <row r="481" spans="1:14" x14ac:dyDescent="0.25">
      <c r="A481">
        <f>-'R1'!H481</f>
        <v>-36</v>
      </c>
      <c r="B481">
        <f>DEGREES(ATAN(-SIN(RADIANS(('R1'!I481)))/(COS(RADIANS(Sheet1!A481))*COS(RADIANS('R1'!I481)))))</f>
        <v>-37.681815805789164</v>
      </c>
      <c r="C481">
        <f>AVERAGE('R1'!J481,'R2'!J481,'R3'!J481)</f>
        <v>1.18</v>
      </c>
      <c r="D481">
        <f>AVERAGE('R1'!K481,'R2'!K481,'R3'!K481)</f>
        <v>22.272053083333333</v>
      </c>
      <c r="E481">
        <f>AVERAGE('R1'!L481,'R2'!L481,'R3'!L481)</f>
        <v>-1.8944107240591077</v>
      </c>
      <c r="F481">
        <f>AVERAGE('R1'!M481,'R2'!M481,'R3'!M481)</f>
        <v>2.2937724978502381</v>
      </c>
      <c r="G481">
        <f>AVERAGE('R1'!N481,'R2'!N481,'R3'!N481)</f>
        <v>-1.5531958119167086</v>
      </c>
      <c r="H481">
        <f>AVERAGE('R1'!O481,'R2'!O481,'R3'!O481)</f>
        <v>-1.3158488460922257</v>
      </c>
      <c r="I481">
        <f t="shared" si="11"/>
        <v>4380.170439722222</v>
      </c>
      <c r="K481">
        <f>_xlfn.STDEV.S('R1'!L481,'R2'!L481,'R3'!L481)</f>
        <v>6.3022665767317786E-3</v>
      </c>
      <c r="L481">
        <f>_xlfn.STDEV.S('R1'!M481,'R2'!M481,'R3'!M481)</f>
        <v>9.1882791181788492E-3</v>
      </c>
      <c r="M481">
        <f>_xlfn.STDEV.S('R1'!N481,'R2'!N481,'R3'!N481)</f>
        <v>1.1909083459601177E-2</v>
      </c>
      <c r="N481">
        <f>_xlfn.STDEV.S('R1'!O481,'R2'!O481,'R3'!O481)</f>
        <v>6.7820860026106145E-3</v>
      </c>
    </row>
    <row r="482" spans="1:14" x14ac:dyDescent="0.25">
      <c r="A482">
        <f>-'R1'!H482</f>
        <v>-36</v>
      </c>
      <c r="B482">
        <f>DEGREES(ATAN(-SIN(RADIANS(('R1'!I482)))/(COS(RADIANS(Sheet1!A482))*COS(RADIANS('R1'!I482)))))</f>
        <v>-41.925613925819086</v>
      </c>
      <c r="C482">
        <f>AVERAGE('R1'!J482,'R2'!J482,'R3'!J482)</f>
        <v>1.18</v>
      </c>
      <c r="D482">
        <f>AVERAGE('R1'!K482,'R2'!K482,'R3'!K482)</f>
        <v>22.341414166666667</v>
      </c>
      <c r="E482">
        <f>AVERAGE('R1'!L482,'R2'!L482,'R3'!L482)</f>
        <v>-2.0820282022754468</v>
      </c>
      <c r="F482">
        <f>AVERAGE('R1'!M482,'R2'!M482,'R3'!M482)</f>
        <v>2.3856663707603651</v>
      </c>
      <c r="G482">
        <f>AVERAGE('R1'!N482,'R2'!N482,'R3'!N482)</f>
        <v>-1.7368159775028467</v>
      </c>
      <c r="H482">
        <f>AVERAGE('R1'!O482,'R2'!O482,'R3'!O482)</f>
        <v>-1.4817450455224968</v>
      </c>
      <c r="I482">
        <f t="shared" si="11"/>
        <v>4393.811452777777</v>
      </c>
      <c r="K482">
        <f>_xlfn.STDEV.S('R1'!L482,'R2'!L482,'R3'!L482)</f>
        <v>6.5645486462773753E-3</v>
      </c>
      <c r="L482">
        <f>_xlfn.STDEV.S('R1'!M482,'R2'!M482,'R3'!M482)</f>
        <v>1.5258838761423118E-2</v>
      </c>
      <c r="M482">
        <f>_xlfn.STDEV.S('R1'!N482,'R2'!N482,'R3'!N482)</f>
        <v>2.4187532488136321E-3</v>
      </c>
      <c r="N482">
        <f>_xlfn.STDEV.S('R1'!O482,'R2'!O482,'R3'!O482)</f>
        <v>7.8143923727548772E-3</v>
      </c>
    </row>
    <row r="483" spans="1:14" x14ac:dyDescent="0.25">
      <c r="A483">
        <f>-'R1'!H483</f>
        <v>-36</v>
      </c>
      <c r="B483">
        <f>DEGREES(ATAN(-SIN(RADIANS(('R1'!I483)))/(COS(RADIANS(Sheet1!A483))*COS(RADIANS('R1'!I483)))))</f>
        <v>-46.045688589723383</v>
      </c>
      <c r="C483">
        <f>AVERAGE('R1'!J483,'R2'!J483,'R3'!J483)</f>
        <v>1.18</v>
      </c>
      <c r="D483">
        <f>AVERAGE('R1'!K483,'R2'!K483,'R3'!K483)</f>
        <v>22.735727833333332</v>
      </c>
      <c r="E483">
        <f>AVERAGE('R1'!L483,'R2'!L483,'R3'!L483)</f>
        <v>-2.2925982818913795</v>
      </c>
      <c r="F483">
        <f>AVERAGE('R1'!M483,'R2'!M483,'R3'!M483)</f>
        <v>2.5403132241147701</v>
      </c>
      <c r="G483">
        <f>AVERAGE('R1'!N483,'R2'!N483,'R3'!N483)</f>
        <v>-1.9910033410749186</v>
      </c>
      <c r="H483">
        <f>AVERAGE('R1'!O483,'R2'!O483,'R3'!O483)</f>
        <v>-1.6883502246793105</v>
      </c>
      <c r="I483">
        <f t="shared" si="11"/>
        <v>4471.3598072222221</v>
      </c>
      <c r="K483">
        <f>_xlfn.STDEV.S('R1'!L483,'R2'!L483,'R3'!L483)</f>
        <v>2.6063488759162064E-3</v>
      </c>
      <c r="L483">
        <f>_xlfn.STDEV.S('R1'!M483,'R2'!M483,'R3'!M483)</f>
        <v>1.7302163007790364E-2</v>
      </c>
      <c r="M483">
        <f>_xlfn.STDEV.S('R1'!N483,'R2'!N483,'R3'!N483)</f>
        <v>4.2648413199258758E-3</v>
      </c>
      <c r="N483">
        <f>_xlfn.STDEV.S('R1'!O483,'R2'!O483,'R3'!O483)</f>
        <v>1.0438388145316963E-2</v>
      </c>
    </row>
    <row r="484" spans="1:14" x14ac:dyDescent="0.25">
      <c r="A484">
        <f>-'R1'!H484</f>
        <v>-36</v>
      </c>
      <c r="B484">
        <f>DEGREES(ATAN(-SIN(RADIANS(('R1'!I484)))/(COS(RADIANS(Sheet1!A484))*COS(RADIANS('R1'!I484)))))</f>
        <v>-50.045016920059574</v>
      </c>
      <c r="C484">
        <f>AVERAGE('R1'!J484,'R2'!J484,'R3'!J484)</f>
        <v>1.18</v>
      </c>
      <c r="D484">
        <f>AVERAGE('R1'!K484,'R2'!K484,'R3'!K484)</f>
        <v>22.936760750000001</v>
      </c>
      <c r="E484">
        <f>AVERAGE('R1'!L484,'R2'!L484,'R3'!L484)</f>
        <v>-2.5459745956517712</v>
      </c>
      <c r="F484">
        <f>AVERAGE('R1'!M484,'R2'!M484,'R3'!M484)</f>
        <v>2.7307176962268969</v>
      </c>
      <c r="G484">
        <f>AVERAGE('R1'!N484,'R2'!N484,'R3'!N484)</f>
        <v>-2.3127953282966573</v>
      </c>
      <c r="H484">
        <f>AVERAGE('R1'!O484,'R2'!O484,'R3'!O484)</f>
        <v>-1.9383098909521996</v>
      </c>
      <c r="I484">
        <f t="shared" si="11"/>
        <v>4510.8962808333335</v>
      </c>
      <c r="K484">
        <f>_xlfn.STDEV.S('R1'!L484,'R2'!L484,'R3'!L484)</f>
        <v>7.5516363951381171E-3</v>
      </c>
      <c r="L484">
        <f>_xlfn.STDEV.S('R1'!M484,'R2'!M484,'R3'!M484)</f>
        <v>4.3362659372851347E-3</v>
      </c>
      <c r="M484">
        <f>_xlfn.STDEV.S('R1'!N484,'R2'!N484,'R3'!N484)</f>
        <v>1.6393669397199072E-2</v>
      </c>
      <c r="N484">
        <f>_xlfn.STDEV.S('R1'!O484,'R2'!O484,'R3'!O484)</f>
        <v>3.3945484025934285E-3</v>
      </c>
    </row>
    <row r="485" spans="1:14" x14ac:dyDescent="0.25">
      <c r="A485">
        <f>-'R1'!H485</f>
        <v>-40</v>
      </c>
      <c r="B485">
        <f>DEGREES(ATAN(-SIN(RADIANS(('R1'!I485)))/(COS(RADIANS(Sheet1!A485))*COS(RADIANS('R1'!I485)))))</f>
        <v>51.576359961556868</v>
      </c>
      <c r="C485">
        <f>AVERAGE('R1'!J485,'R2'!J485,'R3'!J485)</f>
        <v>1.18</v>
      </c>
      <c r="D485">
        <f>AVERAGE('R1'!K485,'R2'!K485,'R3'!K485)</f>
        <v>22.820166333333333</v>
      </c>
      <c r="E485">
        <f>AVERAGE('R1'!L485,'R2'!L485,'R3'!L485)</f>
        <v>2.3895441562342516</v>
      </c>
      <c r="F485">
        <f>AVERAGE('R1'!M485,'R2'!M485,'R3'!M485)</f>
        <v>2.567645833690253</v>
      </c>
      <c r="G485">
        <f>AVERAGE('R1'!N485,'R2'!N485,'R3'!N485)</f>
        <v>-2.1150326847103122</v>
      </c>
      <c r="H485">
        <f>AVERAGE('R1'!O485,'R2'!O485,'R3'!O485)</f>
        <v>-1.8396444750017424</v>
      </c>
      <c r="I485">
        <f t="shared" si="11"/>
        <v>4487.9660455555559</v>
      </c>
      <c r="K485">
        <f>_xlfn.STDEV.S('R1'!L485,'R2'!L485,'R3'!L485)</f>
        <v>7.7075197220922457E-3</v>
      </c>
      <c r="L485">
        <f>_xlfn.STDEV.S('R1'!M485,'R2'!M485,'R3'!M485)</f>
        <v>1.0866472101563312E-2</v>
      </c>
      <c r="M485">
        <f>_xlfn.STDEV.S('R1'!N485,'R2'!N485,'R3'!N485)</f>
        <v>1.6799750991264305E-2</v>
      </c>
      <c r="N485">
        <f>_xlfn.STDEV.S('R1'!O485,'R2'!O485,'R3'!O485)</f>
        <v>6.1197318555120178E-3</v>
      </c>
    </row>
    <row r="486" spans="1:14" x14ac:dyDescent="0.25">
      <c r="A486">
        <f>-'R1'!H486</f>
        <v>-40</v>
      </c>
      <c r="B486">
        <f>DEGREES(ATAN(-SIN(RADIANS(('R1'!I486)))/(COS(RADIANS(Sheet1!A486))*COS(RADIANS('R1'!I486)))))</f>
        <v>47.605913955135343</v>
      </c>
      <c r="C486">
        <f>AVERAGE('R1'!J486,'R2'!J486,'R3'!J486)</f>
        <v>1.18</v>
      </c>
      <c r="D486">
        <f>AVERAGE('R1'!K486,'R2'!K486,'R3'!K486)</f>
        <v>22.359657083333332</v>
      </c>
      <c r="E486">
        <f>AVERAGE('R1'!L486,'R2'!L486,'R3'!L486)</f>
        <v>2.2385250710150522</v>
      </c>
      <c r="F486">
        <f>AVERAGE('R1'!M486,'R2'!M486,'R3'!M486)</f>
        <v>2.4662727758296223</v>
      </c>
      <c r="G486">
        <f>AVERAGE('R1'!N486,'R2'!N486,'R3'!N486)</f>
        <v>-1.9180804735332071</v>
      </c>
      <c r="H486">
        <f>AVERAGE('R1'!O486,'R2'!O486,'R3'!O486)</f>
        <v>-1.6771958607376745</v>
      </c>
      <c r="I486">
        <f t="shared" si="11"/>
        <v>4397.3992263888886</v>
      </c>
      <c r="K486">
        <f>_xlfn.STDEV.S('R1'!L486,'R2'!L486,'R3'!L486)</f>
        <v>8.2122638942081164E-3</v>
      </c>
      <c r="L486">
        <f>_xlfn.STDEV.S('R1'!M486,'R2'!M486,'R3'!M486)</f>
        <v>8.2073701754032044E-3</v>
      </c>
      <c r="M486">
        <f>_xlfn.STDEV.S('R1'!N486,'R2'!N486,'R3'!N486)</f>
        <v>1.3213141598905086E-2</v>
      </c>
      <c r="N486">
        <f>_xlfn.STDEV.S('R1'!O486,'R2'!O486,'R3'!O486)</f>
        <v>5.8940837346995161E-3</v>
      </c>
    </row>
    <row r="487" spans="1:14" x14ac:dyDescent="0.25">
      <c r="A487">
        <f>-'R1'!H487</f>
        <v>-40</v>
      </c>
      <c r="B487">
        <f>DEGREES(ATAN(-SIN(RADIANS(('R1'!I487)))/(COS(RADIANS(Sheet1!A487))*COS(RADIANS('R1'!I487)))))</f>
        <v>43.48399800633365</v>
      </c>
      <c r="C487">
        <f>AVERAGE('R1'!J487,'R2'!J487,'R3'!J487)</f>
        <v>1.18</v>
      </c>
      <c r="D487">
        <f>AVERAGE('R1'!K487,'R2'!K487,'R3'!K487)</f>
        <v>22.146525916666665</v>
      </c>
      <c r="E487">
        <f>AVERAGE('R1'!L487,'R2'!L487,'R3'!L487)</f>
        <v>2.0899308037184023</v>
      </c>
      <c r="F487">
        <f>AVERAGE('R1'!M487,'R2'!M487,'R3'!M487)</f>
        <v>2.3766329735055067</v>
      </c>
      <c r="G487">
        <f>AVERAGE('R1'!N487,'R2'!N487,'R3'!N487)</f>
        <v>-1.7432641292140894</v>
      </c>
      <c r="H487">
        <f>AVERAGE('R1'!O487,'R2'!O487,'R3'!O487)</f>
        <v>-1.5269285636183441</v>
      </c>
      <c r="I487">
        <f t="shared" si="11"/>
        <v>4355.4834302777772</v>
      </c>
      <c r="K487">
        <f>_xlfn.STDEV.S('R1'!L487,'R2'!L487,'R3'!L487)</f>
        <v>4.42403549119682E-3</v>
      </c>
      <c r="L487">
        <f>_xlfn.STDEV.S('R1'!M487,'R2'!M487,'R3'!M487)</f>
        <v>3.0484178213798525E-3</v>
      </c>
      <c r="M487">
        <f>_xlfn.STDEV.S('R1'!N487,'R2'!N487,'R3'!N487)</f>
        <v>5.0826101131507331E-3</v>
      </c>
      <c r="N487">
        <f>_xlfn.STDEV.S('R1'!O487,'R2'!O487,'R3'!O487)</f>
        <v>4.4268029233689469E-3</v>
      </c>
    </row>
    <row r="488" spans="1:14" x14ac:dyDescent="0.25">
      <c r="A488">
        <f>-'R1'!H488</f>
        <v>-40</v>
      </c>
      <c r="B488">
        <f>DEGREES(ATAN(-SIN(RADIANS(('R1'!I488)))/(COS(RADIANS(Sheet1!A488))*COS(RADIANS('R1'!I488)))))</f>
        <v>39.204435233296593</v>
      </c>
      <c r="C488">
        <f>AVERAGE('R1'!J488,'R2'!J488,'R3'!J488)</f>
        <v>1.18</v>
      </c>
      <c r="D488">
        <f>AVERAGE('R1'!K488,'R2'!K488,'R3'!K488)</f>
        <v>22.263328166666668</v>
      </c>
      <c r="E488">
        <f>AVERAGE('R1'!L488,'R2'!L488,'R3'!L488)</f>
        <v>1.9596493940448969</v>
      </c>
      <c r="F488">
        <f>AVERAGE('R1'!M488,'R2'!M488,'R3'!M488)</f>
        <v>2.3251299430358405</v>
      </c>
      <c r="G488">
        <f>AVERAGE('R1'!N488,'R2'!N488,'R3'!N488)</f>
        <v>-1.6193910396760467</v>
      </c>
      <c r="H488">
        <f>AVERAGE('R1'!O488,'R2'!O488,'R3'!O488)</f>
        <v>-1.4043289916135027</v>
      </c>
      <c r="I488">
        <f t="shared" si="11"/>
        <v>4378.4545394444449</v>
      </c>
      <c r="K488">
        <f>_xlfn.STDEV.S('R1'!L488,'R2'!L488,'R3'!L488)</f>
        <v>9.3522232014747846E-3</v>
      </c>
      <c r="L488">
        <f>_xlfn.STDEV.S('R1'!M488,'R2'!M488,'R3'!M488)</f>
        <v>7.3115870113785435E-3</v>
      </c>
      <c r="M488">
        <f>_xlfn.STDEV.S('R1'!N488,'R2'!N488,'R3'!N488)</f>
        <v>1.0244668392405731E-2</v>
      </c>
      <c r="N488">
        <f>_xlfn.STDEV.S('R1'!O488,'R2'!O488,'R3'!O488)</f>
        <v>6.5196219018023686E-3</v>
      </c>
    </row>
    <row r="489" spans="1:14" x14ac:dyDescent="0.25">
      <c r="A489">
        <f>-'R1'!H489</f>
        <v>-40</v>
      </c>
      <c r="B489">
        <f>DEGREES(ATAN(-SIN(RADIANS(('R1'!I489)))/(COS(RADIANS(Sheet1!A489))*COS(RADIANS('R1'!I489)))))</f>
        <v>34.764413107862225</v>
      </c>
      <c r="C489">
        <f>AVERAGE('R1'!J489,'R2'!J489,'R3'!J489)</f>
        <v>1.18</v>
      </c>
      <c r="D489">
        <f>AVERAGE('R1'!K489,'R2'!K489,'R3'!K489)</f>
        <v>22.273853916666667</v>
      </c>
      <c r="E489">
        <f>AVERAGE('R1'!L489,'R2'!L489,'R3'!L489)</f>
        <v>1.8204002146167599</v>
      </c>
      <c r="F489">
        <f>AVERAGE('R1'!M489,'R2'!M489,'R3'!M489)</f>
        <v>2.3224304141366008</v>
      </c>
      <c r="G489">
        <f>AVERAGE('R1'!N489,'R2'!N489,'R3'!N489)</f>
        <v>-1.5355420469824193</v>
      </c>
      <c r="H489">
        <f>AVERAGE('R1'!O489,'R2'!O489,'R3'!O489)</f>
        <v>-1.2955664599888144</v>
      </c>
      <c r="I489">
        <f t="shared" si="11"/>
        <v>4380.5246036111112</v>
      </c>
      <c r="K489">
        <f>_xlfn.STDEV.S('R1'!L489,'R2'!L489,'R3'!L489)</f>
        <v>5.8648998890107685E-3</v>
      </c>
      <c r="L489">
        <f>_xlfn.STDEV.S('R1'!M489,'R2'!M489,'R3'!M489)</f>
        <v>9.6342608471199544E-3</v>
      </c>
      <c r="M489">
        <f>_xlfn.STDEV.S('R1'!N489,'R2'!N489,'R3'!N489)</f>
        <v>3.6122532427512299E-3</v>
      </c>
      <c r="N489">
        <f>_xlfn.STDEV.S('R1'!O489,'R2'!O489,'R3'!O489)</f>
        <v>5.0777633408287063E-3</v>
      </c>
    </row>
    <row r="490" spans="1:14" x14ac:dyDescent="0.25">
      <c r="A490">
        <f>-'R1'!H490</f>
        <v>-40</v>
      </c>
      <c r="B490">
        <f>DEGREES(ATAN(-SIN(RADIANS(('R1'!I490)))/(COS(RADIANS(Sheet1!A490))*COS(RADIANS('R1'!I490)))))</f>
        <v>30.165358572591657</v>
      </c>
      <c r="C490">
        <f>AVERAGE('R1'!J490,'R2'!J490,'R3'!J490)</f>
        <v>1.18</v>
      </c>
      <c r="D490">
        <f>AVERAGE('R1'!K490,'R2'!K490,'R3'!K490)</f>
        <v>22.355585666666666</v>
      </c>
      <c r="E490">
        <f>AVERAGE('R1'!L490,'R2'!L490,'R3'!L490)</f>
        <v>1.6795088378513183</v>
      </c>
      <c r="F490">
        <f>AVERAGE('R1'!M490,'R2'!M490,'R3'!M490)</f>
        <v>2.3763372203080775</v>
      </c>
      <c r="G490">
        <f>AVERAGE('R1'!N490,'R2'!N490,'R3'!N490)</f>
        <v>-1.5009108259773747</v>
      </c>
      <c r="H490">
        <f>AVERAGE('R1'!O490,'R2'!O490,'R3'!O490)</f>
        <v>-1.2137724482579846</v>
      </c>
      <c r="I490">
        <f t="shared" si="11"/>
        <v>4396.5985144444448</v>
      </c>
      <c r="K490">
        <f>_xlfn.STDEV.S('R1'!L490,'R2'!L490,'R3'!L490)</f>
        <v>3.623703362432788E-3</v>
      </c>
      <c r="L490">
        <f>_xlfn.STDEV.S('R1'!M490,'R2'!M490,'R3'!M490)</f>
        <v>5.7054285045059954E-3</v>
      </c>
      <c r="M490">
        <f>_xlfn.STDEV.S('R1'!N490,'R2'!N490,'R3'!N490)</f>
        <v>4.7575751180718474E-3</v>
      </c>
      <c r="N490">
        <f>_xlfn.STDEV.S('R1'!O490,'R2'!O490,'R3'!O490)</f>
        <v>2.907618638862952E-3</v>
      </c>
    </row>
    <row r="491" spans="1:14" x14ac:dyDescent="0.25">
      <c r="A491">
        <f>-'R1'!H491</f>
        <v>-40</v>
      </c>
      <c r="B491">
        <f>DEGREES(ATAN(-SIN(RADIANS(('R1'!I491)))/(COS(RADIANS(Sheet1!A491))*COS(RADIANS('R1'!I491)))))</f>
        <v>25.413766880049252</v>
      </c>
      <c r="C491">
        <f>AVERAGE('R1'!J491,'R2'!J491,'R3'!J491)</f>
        <v>1.18</v>
      </c>
      <c r="D491">
        <f>AVERAGE('R1'!K491,'R2'!K491,'R3'!K491)</f>
        <v>22.37318325</v>
      </c>
      <c r="E491">
        <f>AVERAGE('R1'!L491,'R2'!L491,'R3'!L491)</f>
        <v>1.5082087293105726</v>
      </c>
      <c r="F491">
        <f>AVERAGE('R1'!M491,'R2'!M491,'R3'!M491)</f>
        <v>2.4518908170389708</v>
      </c>
      <c r="G491">
        <f>AVERAGE('R1'!N491,'R2'!N491,'R3'!N491)</f>
        <v>-1.4722464231575969</v>
      </c>
      <c r="H491">
        <f>AVERAGE('R1'!O491,'R2'!O491,'R3'!O491)</f>
        <v>-1.1342711150088478</v>
      </c>
      <c r="I491">
        <f t="shared" si="11"/>
        <v>4400.0593724999999</v>
      </c>
      <c r="K491">
        <f>_xlfn.STDEV.S('R1'!L491,'R2'!L491,'R3'!L491)</f>
        <v>2.6098585543669712E-3</v>
      </c>
      <c r="L491">
        <f>_xlfn.STDEV.S('R1'!M491,'R2'!M491,'R3'!M491)</f>
        <v>9.2468599902249485E-3</v>
      </c>
      <c r="M491">
        <f>_xlfn.STDEV.S('R1'!N491,'R2'!N491,'R3'!N491)</f>
        <v>1.9616110310979908E-3</v>
      </c>
      <c r="N491">
        <f>_xlfn.STDEV.S('R1'!O491,'R2'!O491,'R3'!O491)</f>
        <v>8.0674924302431925E-3</v>
      </c>
    </row>
    <row r="492" spans="1:14" x14ac:dyDescent="0.25">
      <c r="A492">
        <f>-'R1'!H492</f>
        <v>-40</v>
      </c>
      <c r="B492">
        <f>DEGREES(ATAN(-SIN(RADIANS(('R1'!I492)))/(COS(RADIANS(Sheet1!A492))*COS(RADIANS('R1'!I492)))))</f>
        <v>20.5218555971705</v>
      </c>
      <c r="C492">
        <f>AVERAGE('R1'!J492,'R2'!J492,'R3'!J492)</f>
        <v>1.18</v>
      </c>
      <c r="D492">
        <f>AVERAGE('R1'!K492,'R2'!K492,'R3'!K492)</f>
        <v>22.794704416666665</v>
      </c>
      <c r="E492">
        <f>AVERAGE('R1'!L492,'R2'!L492,'R3'!L492)</f>
        <v>1.3327813477596833</v>
      </c>
      <c r="F492">
        <f>AVERAGE('R1'!M492,'R2'!M492,'R3'!M492)</f>
        <v>2.5618744593227682</v>
      </c>
      <c r="G492">
        <f>AVERAGE('R1'!N492,'R2'!N492,'R3'!N492)</f>
        <v>-1.4801655709179808</v>
      </c>
      <c r="H492">
        <f>AVERAGE('R1'!O492,'R2'!O492,'R3'!O492)</f>
        <v>-1.0817337860518952</v>
      </c>
      <c r="I492">
        <f t="shared" si="11"/>
        <v>4482.9585352777776</v>
      </c>
      <c r="K492">
        <f>_xlfn.STDEV.S('R1'!L492,'R2'!L492,'R3'!L492)</f>
        <v>4.9629818510545645E-3</v>
      </c>
      <c r="L492">
        <f>_xlfn.STDEV.S('R1'!M492,'R2'!M492,'R3'!M492)</f>
        <v>1.1164548927878134E-2</v>
      </c>
      <c r="M492">
        <f>_xlfn.STDEV.S('R1'!N492,'R2'!N492,'R3'!N492)</f>
        <v>1.8585416838767275E-2</v>
      </c>
      <c r="N492">
        <f>_xlfn.STDEV.S('R1'!O492,'R2'!O492,'R3'!O492)</f>
        <v>5.2918288740769837E-3</v>
      </c>
    </row>
    <row r="493" spans="1:14" x14ac:dyDescent="0.25">
      <c r="A493">
        <f>-'R1'!H493</f>
        <v>-40</v>
      </c>
      <c r="B493">
        <f>DEGREES(ATAN(-SIN(RADIANS(('R1'!I493)))/(COS(RADIANS(Sheet1!A493))*COS(RADIANS('R1'!I493)))))</f>
        <v>15.507892018560797</v>
      </c>
      <c r="C493">
        <f>AVERAGE('R1'!J493,'R2'!J493,'R3'!J493)</f>
        <v>1.18</v>
      </c>
      <c r="D493">
        <f>AVERAGE('R1'!K493,'R2'!K493,'R3'!K493)</f>
        <v>22.863035916666664</v>
      </c>
      <c r="E493">
        <f>AVERAGE('R1'!L493,'R2'!L493,'R3'!L493)</f>
        <v>1.1135071869397948</v>
      </c>
      <c r="F493">
        <f>AVERAGE('R1'!M493,'R2'!M493,'R3'!M493)</f>
        <v>2.7011364207433459</v>
      </c>
      <c r="G493">
        <f>AVERAGE('R1'!N493,'R2'!N493,'R3'!N493)</f>
        <v>-1.501059058718992</v>
      </c>
      <c r="H493">
        <f>AVERAGE('R1'!O493,'R2'!O493,'R3'!O493)</f>
        <v>-1.0338549385337441</v>
      </c>
      <c r="I493">
        <f t="shared" si="11"/>
        <v>4496.3970636111108</v>
      </c>
      <c r="K493">
        <f>_xlfn.STDEV.S('R1'!L493,'R2'!L493,'R3'!L493)</f>
        <v>3.5823808908536313E-3</v>
      </c>
      <c r="L493">
        <f>_xlfn.STDEV.S('R1'!M493,'R2'!M493,'R3'!M493)</f>
        <v>1.0645361890855892E-2</v>
      </c>
      <c r="M493">
        <f>_xlfn.STDEV.S('R1'!N493,'R2'!N493,'R3'!N493)</f>
        <v>1.502169751695797E-2</v>
      </c>
      <c r="N493">
        <f>_xlfn.STDEV.S('R1'!O493,'R2'!O493,'R3'!O493)</f>
        <v>3.1127787559836026E-3</v>
      </c>
    </row>
    <row r="494" spans="1:14" x14ac:dyDescent="0.25">
      <c r="A494">
        <f>-'R1'!H494</f>
        <v>-40</v>
      </c>
      <c r="B494">
        <f>DEGREES(ATAN(-SIN(RADIANS(('R1'!I494)))/(COS(RADIANS(Sheet1!A494))*COS(RADIANS('R1'!I494)))))</f>
        <v>10.396047080877794</v>
      </c>
      <c r="C494">
        <f>AVERAGE('R1'!J494,'R2'!J494,'R3'!J494)</f>
        <v>1.18</v>
      </c>
      <c r="D494">
        <f>AVERAGE('R1'!K494,'R2'!K494,'R3'!K494)</f>
        <v>22.860703416666666</v>
      </c>
      <c r="E494">
        <f>AVERAGE('R1'!L494,'R2'!L494,'R3'!L494)</f>
        <v>0.85858124198241459</v>
      </c>
      <c r="F494">
        <f>AVERAGE('R1'!M494,'R2'!M494,'R3'!M494)</f>
        <v>2.8887213770675628</v>
      </c>
      <c r="G494">
        <f>AVERAGE('R1'!N494,'R2'!N494,'R3'!N494)</f>
        <v>-1.5612966101552701</v>
      </c>
      <c r="H494">
        <f>AVERAGE('R1'!O494,'R2'!O494,'R3'!O494)</f>
        <v>-0.99482043123284691</v>
      </c>
      <c r="I494">
        <f t="shared" si="11"/>
        <v>4495.9383386111112</v>
      </c>
      <c r="K494">
        <f>_xlfn.STDEV.S('R1'!L494,'R2'!L494,'R3'!L494)</f>
        <v>1.2122338322480853E-2</v>
      </c>
      <c r="L494">
        <f>_xlfn.STDEV.S('R1'!M494,'R2'!M494,'R3'!M494)</f>
        <v>7.5423862224721369E-3</v>
      </c>
      <c r="M494">
        <f>_xlfn.STDEV.S('R1'!N494,'R2'!N494,'R3'!N494)</f>
        <v>2.3818603826103479E-3</v>
      </c>
      <c r="N494">
        <f>_xlfn.STDEV.S('R1'!O494,'R2'!O494,'R3'!O494)</f>
        <v>7.0727570411697775E-3</v>
      </c>
    </row>
    <row r="495" spans="1:14" x14ac:dyDescent="0.25">
      <c r="A495">
        <f>-'R1'!H495</f>
        <v>-40</v>
      </c>
      <c r="B495">
        <f>DEGREES(ATAN(-SIN(RADIANS(('R1'!I495)))/(COS(RADIANS(Sheet1!A495))*COS(RADIANS('R1'!I495)))))</f>
        <v>5.2156742986237852</v>
      </c>
      <c r="C495">
        <f>AVERAGE('R1'!J495,'R2'!J495,'R3'!J495)</f>
        <v>1.18</v>
      </c>
      <c r="D495">
        <f>AVERAGE('R1'!K495,'R2'!K495,'R3'!K495)</f>
        <v>22.501717833333334</v>
      </c>
      <c r="E495">
        <f>AVERAGE('R1'!L495,'R2'!L495,'R3'!L495)</f>
        <v>0.54608594811927003</v>
      </c>
      <c r="F495">
        <f>AVERAGE('R1'!M495,'R2'!M495,'R3'!M495)</f>
        <v>3.1826184316265986</v>
      </c>
      <c r="G495">
        <f>AVERAGE('R1'!N495,'R2'!N495,'R3'!N495)</f>
        <v>-1.7043700527955625</v>
      </c>
      <c r="H495">
        <f>AVERAGE('R1'!O495,'R2'!O495,'R3'!O495)</f>
        <v>-0.96692069871236763</v>
      </c>
      <c r="I495">
        <f t="shared" si="11"/>
        <v>4425.3378405555559</v>
      </c>
      <c r="K495">
        <f>_xlfn.STDEV.S('R1'!L495,'R2'!L495,'R3'!L495)</f>
        <v>6.7993306706193779E-3</v>
      </c>
      <c r="L495">
        <f>_xlfn.STDEV.S('R1'!M495,'R2'!M495,'R3'!M495)</f>
        <v>1.0802116723673785E-2</v>
      </c>
      <c r="M495">
        <f>_xlfn.STDEV.S('R1'!N495,'R2'!N495,'R3'!N495)</f>
        <v>5.9798541873589423E-3</v>
      </c>
      <c r="N495">
        <f>_xlfn.STDEV.S('R1'!O495,'R2'!O495,'R3'!O495)</f>
        <v>7.518000677272629E-3</v>
      </c>
    </row>
    <row r="496" spans="1:14" x14ac:dyDescent="0.25">
      <c r="A496">
        <f>-'R1'!H496</f>
        <v>-40</v>
      </c>
      <c r="B496">
        <f>DEGREES(ATAN(-SIN(RADIANS(('R1'!I496)))/(COS(RADIANS(Sheet1!A496))*COS(RADIANS('R1'!I496)))))</f>
        <v>0</v>
      </c>
      <c r="C496">
        <f>AVERAGE('R1'!J496,'R2'!J496,'R3'!J496)</f>
        <v>1.18</v>
      </c>
      <c r="D496">
        <f>AVERAGE('R1'!K496,'R2'!K496,'R3'!K496)</f>
        <v>22.291715083333333</v>
      </c>
      <c r="E496">
        <f>AVERAGE('R1'!L496,'R2'!L496,'R3'!L496)</f>
        <v>0.15125042648569295</v>
      </c>
      <c r="F496">
        <f>AVERAGE('R1'!M496,'R2'!M496,'R3'!M496)</f>
        <v>3.6306045816703616</v>
      </c>
      <c r="G496">
        <f>AVERAGE('R1'!N496,'R2'!N496,'R3'!N496)</f>
        <v>-1.9666800744434159</v>
      </c>
      <c r="H496">
        <f>AVERAGE('R1'!O496,'R2'!O496,'R3'!O496)</f>
        <v>-0.96903327111203197</v>
      </c>
      <c r="I496">
        <f t="shared" si="11"/>
        <v>4384.0372997222221</v>
      </c>
      <c r="K496">
        <f>_xlfn.STDEV.S('R1'!L496,'R2'!L496,'R3'!L496)</f>
        <v>1.416288853088168E-3</v>
      </c>
      <c r="L496">
        <f>_xlfn.STDEV.S('R1'!M496,'R2'!M496,'R3'!M496)</f>
        <v>1.5828219571911842E-2</v>
      </c>
      <c r="M496">
        <f>_xlfn.STDEV.S('R1'!N496,'R2'!N496,'R3'!N496)</f>
        <v>7.1515589226373195E-3</v>
      </c>
      <c r="N496">
        <f>_xlfn.STDEV.S('R1'!O496,'R2'!O496,'R3'!O496)</f>
        <v>9.3999654640366734E-3</v>
      </c>
    </row>
    <row r="497" spans="1:14" x14ac:dyDescent="0.25">
      <c r="A497">
        <f>-'R1'!H497</f>
        <v>-40</v>
      </c>
      <c r="B497">
        <f>DEGREES(ATAN(-SIN(RADIANS(('R1'!I497)))/(COS(RADIANS(Sheet1!A497))*COS(RADIANS('R1'!I497)))))</f>
        <v>-5.2156742986237852</v>
      </c>
      <c r="C497">
        <f>AVERAGE('R1'!J497,'R2'!J497,'R3'!J497)</f>
        <v>1.18</v>
      </c>
      <c r="D497">
        <f>AVERAGE('R1'!K497,'R2'!K497,'R3'!K497)</f>
        <v>22.382747249999998</v>
      </c>
      <c r="E497">
        <f>AVERAGE('R1'!L497,'R2'!L497,'R3'!L497)</f>
        <v>-0.31140400445179317</v>
      </c>
      <c r="F497">
        <f>AVERAGE('R1'!M497,'R2'!M497,'R3'!M497)</f>
        <v>3.4759711225361105</v>
      </c>
      <c r="G497">
        <f>AVERAGE('R1'!N497,'R2'!N497,'R3'!N497)</f>
        <v>-1.8844220407385428</v>
      </c>
      <c r="H497">
        <f>AVERAGE('R1'!O497,'R2'!O497,'R3'!O497)</f>
        <v>-0.97143694752648369</v>
      </c>
      <c r="I497">
        <f t="shared" si="11"/>
        <v>4401.9402925000004</v>
      </c>
      <c r="K497">
        <f>_xlfn.STDEV.S('R1'!L497,'R2'!L497,'R3'!L497)</f>
        <v>8.8683200067657241E-3</v>
      </c>
      <c r="L497">
        <f>_xlfn.STDEV.S('R1'!M497,'R2'!M497,'R3'!M497)</f>
        <v>2.0273128955033019E-2</v>
      </c>
      <c r="M497">
        <f>_xlfn.STDEV.S('R1'!N497,'R2'!N497,'R3'!N497)</f>
        <v>1.3232593097228018E-2</v>
      </c>
      <c r="N497">
        <f>_xlfn.STDEV.S('R1'!O497,'R2'!O497,'R3'!O497)</f>
        <v>5.712504121459838E-3</v>
      </c>
    </row>
    <row r="498" spans="1:14" x14ac:dyDescent="0.25">
      <c r="A498">
        <f>-'R1'!H498</f>
        <v>-40</v>
      </c>
      <c r="B498">
        <f>DEGREES(ATAN(-SIN(RADIANS(('R1'!I498)))/(COS(RADIANS(Sheet1!A498))*COS(RADIANS('R1'!I498)))))</f>
        <v>-10.396047080877794</v>
      </c>
      <c r="C498">
        <f>AVERAGE('R1'!J498,'R2'!J498,'R3'!J498)</f>
        <v>1.18</v>
      </c>
      <c r="D498">
        <f>AVERAGE('R1'!K498,'R2'!K498,'R3'!K498)</f>
        <v>22.175629750000002</v>
      </c>
      <c r="E498">
        <f>AVERAGE('R1'!L498,'R2'!L498,'R3'!L498)</f>
        <v>-0.67744057398935453</v>
      </c>
      <c r="F498">
        <f>AVERAGE('R1'!M498,'R2'!M498,'R3'!M498)</f>
        <v>3.1870679152528578</v>
      </c>
      <c r="G498">
        <f>AVERAGE('R1'!N498,'R2'!N498,'R3'!N498)</f>
        <v>-1.7575493799226554</v>
      </c>
      <c r="H498">
        <f>AVERAGE('R1'!O498,'R2'!O498,'R3'!O498)</f>
        <v>-1.0154705283939702</v>
      </c>
      <c r="I498">
        <f t="shared" si="11"/>
        <v>4361.2071841666666</v>
      </c>
      <c r="K498">
        <f>_xlfn.STDEV.S('R1'!L498,'R2'!L498,'R3'!L498)</f>
        <v>2.1312863102368731E-3</v>
      </c>
      <c r="L498">
        <f>_xlfn.STDEV.S('R1'!M498,'R2'!M498,'R3'!M498)</f>
        <v>6.616574554240944E-3</v>
      </c>
      <c r="M498">
        <f>_xlfn.STDEV.S('R1'!N498,'R2'!N498,'R3'!N498)</f>
        <v>5.8499672358868129E-3</v>
      </c>
      <c r="N498">
        <f>_xlfn.STDEV.S('R1'!O498,'R2'!O498,'R3'!O498)</f>
        <v>4.2579053714557153E-3</v>
      </c>
    </row>
    <row r="499" spans="1:14" x14ac:dyDescent="0.25">
      <c r="A499">
        <f>-'R1'!H499</f>
        <v>-40</v>
      </c>
      <c r="B499">
        <f>DEGREES(ATAN(-SIN(RADIANS(('R1'!I499)))/(COS(RADIANS(Sheet1!A499))*COS(RADIANS('R1'!I499)))))</f>
        <v>-15.507892018560797</v>
      </c>
      <c r="C499">
        <f>AVERAGE('R1'!J499,'R2'!J499,'R3'!J499)</f>
        <v>1.18</v>
      </c>
      <c r="D499">
        <f>AVERAGE('R1'!K499,'R2'!K499,'R3'!K499)</f>
        <v>22.250377583333332</v>
      </c>
      <c r="E499">
        <f>AVERAGE('R1'!L499,'R2'!L499,'R3'!L499)</f>
        <v>-0.98679307453071707</v>
      </c>
      <c r="F499">
        <f>AVERAGE('R1'!M499,'R2'!M499,'R3'!M499)</f>
        <v>2.9795142535761059</v>
      </c>
      <c r="G499">
        <f>AVERAGE('R1'!N499,'R2'!N499,'R3'!N499)</f>
        <v>-1.705966184933998</v>
      </c>
      <c r="H499">
        <f>AVERAGE('R1'!O499,'R2'!O499,'R3'!O499)</f>
        <v>-1.0726828372923269</v>
      </c>
      <c r="I499">
        <f t="shared" si="11"/>
        <v>4375.9075913888882</v>
      </c>
      <c r="K499">
        <f>_xlfn.STDEV.S('R1'!L499,'R2'!L499,'R3'!L499)</f>
        <v>6.7276307159000294E-3</v>
      </c>
      <c r="L499">
        <f>_xlfn.STDEV.S('R1'!M499,'R2'!M499,'R3'!M499)</f>
        <v>7.6277681118685371E-3</v>
      </c>
      <c r="M499">
        <f>_xlfn.STDEV.S('R1'!N499,'R2'!N499,'R3'!N499)</f>
        <v>9.9132477396318228E-3</v>
      </c>
      <c r="N499">
        <f>_xlfn.STDEV.S('R1'!O499,'R2'!O499,'R3'!O499)</f>
        <v>2.8316348601378303E-3</v>
      </c>
    </row>
    <row r="500" spans="1:14" x14ac:dyDescent="0.25">
      <c r="A500">
        <f>-'R1'!H500</f>
        <v>-40</v>
      </c>
      <c r="B500">
        <f>DEGREES(ATAN(-SIN(RADIANS(('R1'!I500)))/(COS(RADIANS(Sheet1!A500))*COS(RADIANS('R1'!I500)))))</f>
        <v>-20.5218555971705</v>
      </c>
      <c r="C500">
        <f>AVERAGE('R1'!J500,'R2'!J500,'R3'!J500)</f>
        <v>1.18</v>
      </c>
      <c r="D500">
        <f>AVERAGE('R1'!K500,'R2'!K500,'R3'!K500)</f>
        <v>22.338076333333333</v>
      </c>
      <c r="E500">
        <f>AVERAGE('R1'!L500,'R2'!L500,'R3'!L500)</f>
        <v>-1.2442088425251816</v>
      </c>
      <c r="F500">
        <f>AVERAGE('R1'!M500,'R2'!M500,'R3'!M500)</f>
        <v>2.8086443174305971</v>
      </c>
      <c r="G500">
        <f>AVERAGE('R1'!N500,'R2'!N500,'R3'!N500)</f>
        <v>-1.6695138937853355</v>
      </c>
      <c r="H500">
        <f>AVERAGE('R1'!O500,'R2'!O500,'R3'!O500)</f>
        <v>-1.1388267266138949</v>
      </c>
      <c r="I500">
        <f t="shared" si="11"/>
        <v>4393.1550122222216</v>
      </c>
      <c r="K500">
        <f>_xlfn.STDEV.S('R1'!L500,'R2'!L500,'R3'!L500)</f>
        <v>5.0635216690597578E-3</v>
      </c>
      <c r="L500">
        <f>_xlfn.STDEV.S('R1'!M500,'R2'!M500,'R3'!M500)</f>
        <v>2.7349101160519793E-3</v>
      </c>
      <c r="M500">
        <f>_xlfn.STDEV.S('R1'!N500,'R2'!N500,'R3'!N500)</f>
        <v>1.4303383839438256E-2</v>
      </c>
      <c r="N500">
        <f>_xlfn.STDEV.S('R1'!O500,'R2'!O500,'R3'!O500)</f>
        <v>9.4884201958064112E-4</v>
      </c>
    </row>
    <row r="501" spans="1:14" x14ac:dyDescent="0.25">
      <c r="A501">
        <f>-'R1'!H501</f>
        <v>-40</v>
      </c>
      <c r="B501">
        <f>DEGREES(ATAN(-SIN(RADIANS(('R1'!I501)))/(COS(RADIANS(Sheet1!A501))*COS(RADIANS('R1'!I501)))))</f>
        <v>-25.413766880049252</v>
      </c>
      <c r="C501">
        <f>AVERAGE('R1'!J501,'R2'!J501,'R3'!J501)</f>
        <v>1.18</v>
      </c>
      <c r="D501">
        <f>AVERAGE('R1'!K501,'R2'!K501,'R3'!K501)</f>
        <v>22.656801833333333</v>
      </c>
      <c r="E501">
        <f>AVERAGE('R1'!L501,'R2'!L501,'R3'!L501)</f>
        <v>-1.456641520079792</v>
      </c>
      <c r="F501">
        <f>AVERAGE('R1'!M501,'R2'!M501,'R3'!M501)</f>
        <v>2.6834977235933271</v>
      </c>
      <c r="G501">
        <f>AVERAGE('R1'!N501,'R2'!N501,'R3'!N501)</f>
        <v>-1.6589442819929359</v>
      </c>
      <c r="H501">
        <f>AVERAGE('R1'!O501,'R2'!O501,'R3'!O501)</f>
        <v>-1.2150129697977101</v>
      </c>
      <c r="I501">
        <f t="shared" si="11"/>
        <v>4455.8376938888887</v>
      </c>
      <c r="K501">
        <f>_xlfn.STDEV.S('R1'!L501,'R2'!L501,'R3'!L501)</f>
        <v>1.1565322043202314E-2</v>
      </c>
      <c r="L501">
        <f>_xlfn.STDEV.S('R1'!M501,'R2'!M501,'R3'!M501)</f>
        <v>8.5360212357430687E-3</v>
      </c>
      <c r="M501">
        <f>_xlfn.STDEV.S('R1'!N501,'R2'!N501,'R3'!N501)</f>
        <v>1.1503506969583022E-2</v>
      </c>
      <c r="N501">
        <f>_xlfn.STDEV.S('R1'!O501,'R2'!O501,'R3'!O501)</f>
        <v>4.5272061126865656E-3</v>
      </c>
    </row>
    <row r="502" spans="1:14" x14ac:dyDescent="0.25">
      <c r="A502">
        <f>-'R1'!H502</f>
        <v>-40</v>
      </c>
      <c r="B502">
        <f>DEGREES(ATAN(-SIN(RADIANS(('R1'!I502)))/(COS(RADIANS(Sheet1!A502))*COS(RADIANS('R1'!I502)))))</f>
        <v>-30.165358572591657</v>
      </c>
      <c r="C502">
        <f>AVERAGE('R1'!J502,'R2'!J502,'R3'!J502)</f>
        <v>1.18</v>
      </c>
      <c r="D502">
        <f>AVERAGE('R1'!K502,'R2'!K502,'R3'!K502)</f>
        <v>22.807820250000002</v>
      </c>
      <c r="E502">
        <f>AVERAGE('R1'!L502,'R2'!L502,'R3'!L502)</f>
        <v>-1.6527257246388993</v>
      </c>
      <c r="F502">
        <f>AVERAGE('R1'!M502,'R2'!M502,'R3'!M502)</f>
        <v>2.6156449969481446</v>
      </c>
      <c r="G502">
        <f>AVERAGE('R1'!N502,'R2'!N502,'R3'!N502)</f>
        <v>-1.6987677095883873</v>
      </c>
      <c r="H502">
        <f>AVERAGE('R1'!O502,'R2'!O502,'R3'!O502)</f>
        <v>-1.312038569935136</v>
      </c>
      <c r="I502">
        <f t="shared" si="11"/>
        <v>4485.5379825000009</v>
      </c>
      <c r="K502">
        <f>_xlfn.STDEV.S('R1'!L502,'R2'!L502,'R3'!L502)</f>
        <v>1.0692043945863487E-2</v>
      </c>
      <c r="L502">
        <f>_xlfn.STDEV.S('R1'!M502,'R2'!M502,'R3'!M502)</f>
        <v>4.5065350942651849E-3</v>
      </c>
      <c r="M502">
        <f>_xlfn.STDEV.S('R1'!N502,'R2'!N502,'R3'!N502)</f>
        <v>1.2873756482594315E-2</v>
      </c>
      <c r="N502">
        <f>_xlfn.STDEV.S('R1'!O502,'R2'!O502,'R3'!O502)</f>
        <v>2.7541774870671163E-3</v>
      </c>
    </row>
    <row r="503" spans="1:14" x14ac:dyDescent="0.25">
      <c r="A503">
        <f>-'R1'!H503</f>
        <v>-40</v>
      </c>
      <c r="B503">
        <f>DEGREES(ATAN(-SIN(RADIANS(('R1'!I503)))/(COS(RADIANS(Sheet1!A503))*COS(RADIANS('R1'!I503)))))</f>
        <v>-34.764413107862225</v>
      </c>
      <c r="C503">
        <f>AVERAGE('R1'!J503,'R2'!J503,'R3'!J503)</f>
        <v>1.18</v>
      </c>
      <c r="D503">
        <f>AVERAGE('R1'!K503,'R2'!K503,'R3'!K503)</f>
        <v>22.783652333333333</v>
      </c>
      <c r="E503">
        <f>AVERAGE('R1'!L503,'R2'!L503,'R3'!L503)</f>
        <v>-1.841354352129662</v>
      </c>
      <c r="F503">
        <f>AVERAGE('R1'!M503,'R2'!M503,'R3'!M503)</f>
        <v>2.5997298446870398</v>
      </c>
      <c r="G503">
        <f>AVERAGE('R1'!N503,'R2'!N503,'R3'!N503)</f>
        <v>-1.787244253357593</v>
      </c>
      <c r="H503">
        <f>AVERAGE('R1'!O503,'R2'!O503,'R3'!O503)</f>
        <v>-1.4272371718921411</v>
      </c>
      <c r="I503">
        <f t="shared" si="11"/>
        <v>4480.7849588888885</v>
      </c>
      <c r="K503">
        <f>_xlfn.STDEV.S('R1'!L503,'R2'!L503,'R3'!L503)</f>
        <v>7.2748445582303057E-3</v>
      </c>
      <c r="L503">
        <f>_xlfn.STDEV.S('R1'!M503,'R2'!M503,'R3'!M503)</f>
        <v>3.3388524347246944E-3</v>
      </c>
      <c r="M503">
        <f>_xlfn.STDEV.S('R1'!N503,'R2'!N503,'R3'!N503)</f>
        <v>1.1643993698652159E-2</v>
      </c>
      <c r="N503">
        <f>_xlfn.STDEV.S('R1'!O503,'R2'!O503,'R3'!O503)</f>
        <v>3.1028841481387432E-3</v>
      </c>
    </row>
    <row r="504" spans="1:14" x14ac:dyDescent="0.25">
      <c r="A504">
        <f>-'R1'!H504</f>
        <v>-40</v>
      </c>
      <c r="B504">
        <f>DEGREES(ATAN(-SIN(RADIANS(('R1'!I504)))/(COS(RADIANS(Sheet1!A504))*COS(RADIANS('R1'!I504)))))</f>
        <v>-39.204435233296593</v>
      </c>
      <c r="C504">
        <f>AVERAGE('R1'!J504,'R2'!J504,'R3'!J504)</f>
        <v>1.18</v>
      </c>
      <c r="D504">
        <f>AVERAGE('R1'!K504,'R2'!K504,'R3'!K504)</f>
        <v>22.605119583333334</v>
      </c>
      <c r="E504">
        <f>AVERAGE('R1'!L504,'R2'!L504,'R3'!L504)</f>
        <v>-2.0256274430174326</v>
      </c>
      <c r="F504">
        <f>AVERAGE('R1'!M504,'R2'!M504,'R3'!M504)</f>
        <v>2.631612802884765</v>
      </c>
      <c r="G504">
        <f>AVERAGE('R1'!N504,'R2'!N504,'R3'!N504)</f>
        <v>-1.9185728272409399</v>
      </c>
      <c r="H504">
        <f>AVERAGE('R1'!O504,'R2'!O504,'R3'!O504)</f>
        <v>-1.5679067050182771</v>
      </c>
      <c r="I504">
        <f t="shared" si="11"/>
        <v>4445.6735180555552</v>
      </c>
      <c r="K504">
        <f>_xlfn.STDEV.S('R1'!L504,'R2'!L504,'R3'!L504)</f>
        <v>7.4645703966799704E-3</v>
      </c>
      <c r="L504">
        <f>_xlfn.STDEV.S('R1'!M504,'R2'!M504,'R3'!M504)</f>
        <v>3.3961083777425682E-3</v>
      </c>
      <c r="M504">
        <f>_xlfn.STDEV.S('R1'!N504,'R2'!N504,'R3'!N504)</f>
        <v>8.9719814012799038E-3</v>
      </c>
      <c r="N504">
        <f>_xlfn.STDEV.S('R1'!O504,'R2'!O504,'R3'!O504)</f>
        <v>1.8238567468499922E-3</v>
      </c>
    </row>
    <row r="505" spans="1:14" x14ac:dyDescent="0.25">
      <c r="A505">
        <f>-'R1'!H505</f>
        <v>-40</v>
      </c>
      <c r="B505">
        <f>DEGREES(ATAN(-SIN(RADIANS(('R1'!I505)))/(COS(RADIANS(Sheet1!A505))*COS(RADIANS('R1'!I505)))))</f>
        <v>-43.48399800633365</v>
      </c>
      <c r="C505">
        <f>AVERAGE('R1'!J505,'R2'!J505,'R3'!J505)</f>
        <v>1.18</v>
      </c>
      <c r="D505">
        <f>AVERAGE('R1'!K505,'R2'!K505,'R3'!K505)</f>
        <v>22.313683166666667</v>
      </c>
      <c r="E505">
        <f>AVERAGE('R1'!L505,'R2'!L505,'R3'!L505)</f>
        <v>-2.221127340731393</v>
      </c>
      <c r="F505">
        <f>AVERAGE('R1'!M505,'R2'!M505,'R3'!M505)</f>
        <v>2.7087022929675122</v>
      </c>
      <c r="G505">
        <f>AVERAGE('R1'!N505,'R2'!N505,'R3'!N505)</f>
        <v>-2.0996391277082274</v>
      </c>
      <c r="H505">
        <f>AVERAGE('R1'!O505,'R2'!O505,'R3'!O505)</f>
        <v>-1.7323470693755898</v>
      </c>
      <c r="I505">
        <f t="shared" si="11"/>
        <v>4388.357689444445</v>
      </c>
      <c r="K505">
        <f>_xlfn.STDEV.S('R1'!L505,'R2'!L505,'R3'!L505)</f>
        <v>5.8771601498005281E-3</v>
      </c>
      <c r="L505">
        <f>_xlfn.STDEV.S('R1'!M505,'R2'!M505,'R3'!M505)</f>
        <v>2.1448005447490229E-3</v>
      </c>
      <c r="M505">
        <f>_xlfn.STDEV.S('R1'!N505,'R2'!N505,'R3'!N505)</f>
        <v>8.541981348294583E-3</v>
      </c>
      <c r="N505">
        <f>_xlfn.STDEV.S('R1'!O505,'R2'!O505,'R3'!O505)</f>
        <v>4.620390477754633E-3</v>
      </c>
    </row>
    <row r="506" spans="1:14" x14ac:dyDescent="0.25">
      <c r="A506">
        <f>-'R1'!H506</f>
        <v>-40</v>
      </c>
      <c r="B506">
        <f>DEGREES(ATAN(-SIN(RADIANS(('R1'!I506)))/(COS(RADIANS(Sheet1!A506))*COS(RADIANS('R1'!I506)))))</f>
        <v>-47.605913955135343</v>
      </c>
      <c r="C506">
        <f>AVERAGE('R1'!J506,'R2'!J506,'R3'!J506)</f>
        <v>1.18</v>
      </c>
      <c r="D506">
        <f>AVERAGE('R1'!K506,'R2'!K506,'R3'!K506)</f>
        <v>22.355233749999996</v>
      </c>
      <c r="E506">
        <f>AVERAGE('R1'!L506,'R2'!L506,'R3'!L506)</f>
        <v>-2.4206060043075568</v>
      </c>
      <c r="F506">
        <f>AVERAGE('R1'!M506,'R2'!M506,'R3'!M506)</f>
        <v>2.8444392601862689</v>
      </c>
      <c r="G506">
        <f>AVERAGE('R1'!N506,'R2'!N506,'R3'!N506)</f>
        <v>-2.3352855674470305</v>
      </c>
      <c r="H506">
        <f>AVERAGE('R1'!O506,'R2'!O506,'R3'!O506)</f>
        <v>-1.9290339277394219</v>
      </c>
      <c r="I506">
        <f t="shared" si="11"/>
        <v>4396.5293041666655</v>
      </c>
      <c r="K506">
        <f>_xlfn.STDEV.S('R1'!L506,'R2'!L506,'R3'!L506)</f>
        <v>1.0789275403364799E-2</v>
      </c>
      <c r="L506">
        <f>_xlfn.STDEV.S('R1'!M506,'R2'!M506,'R3'!M506)</f>
        <v>1.5855735354379921E-2</v>
      </c>
      <c r="M506">
        <f>_xlfn.STDEV.S('R1'!N506,'R2'!N506,'R3'!N506)</f>
        <v>1.6990832965151387E-2</v>
      </c>
      <c r="N506">
        <f>_xlfn.STDEV.S('R1'!O506,'R2'!O506,'R3'!O506)</f>
        <v>5.1617849217652032E-3</v>
      </c>
    </row>
    <row r="507" spans="1:14" x14ac:dyDescent="0.25">
      <c r="A507">
        <f>-'R1'!H507</f>
        <v>-40</v>
      </c>
      <c r="B507">
        <f>DEGREES(ATAN(-SIN(RADIANS(('R1'!I507)))/(COS(RADIANS(Sheet1!A507))*COS(RADIANS('R1'!I507)))))</f>
        <v>-51.576359961556868</v>
      </c>
      <c r="C507">
        <f>AVERAGE('R1'!J507,'R2'!J507,'R3'!J507)</f>
        <v>1.18</v>
      </c>
      <c r="D507">
        <f>AVERAGE('R1'!K507,'R2'!K507,'R3'!K507)</f>
        <v>22.217010083333335</v>
      </c>
      <c r="E507">
        <f>AVERAGE('R1'!L507,'R2'!L507,'R3'!L507)</f>
        <v>-2.6684176102916926</v>
      </c>
      <c r="F507">
        <f>AVERAGE('R1'!M507,'R2'!M507,'R3'!M507)</f>
        <v>3.0515625611260346</v>
      </c>
      <c r="G507">
        <f>AVERAGE('R1'!N507,'R2'!N507,'R3'!N507)</f>
        <v>-2.6738683806258194</v>
      </c>
      <c r="H507">
        <f>AVERAGE('R1'!O507,'R2'!O507,'R3'!O507)</f>
        <v>-2.1880779868852547</v>
      </c>
      <c r="I507">
        <f t="shared" si="11"/>
        <v>4369.3453163888898</v>
      </c>
      <c r="K507">
        <f>_xlfn.STDEV.S('R1'!L507,'R2'!L507,'R3'!L507)</f>
        <v>1.3707288372913516E-2</v>
      </c>
      <c r="L507">
        <f>_xlfn.STDEV.S('R1'!M507,'R2'!M507,'R3'!M507)</f>
        <v>2.2593709506800116E-2</v>
      </c>
      <c r="M507">
        <f>_xlfn.STDEV.S('R1'!N507,'R2'!N507,'R3'!N507)</f>
        <v>2.0982790060177284E-2</v>
      </c>
      <c r="N507">
        <f>_xlfn.STDEV.S('R1'!O507,'R2'!O507,'R3'!O507)</f>
        <v>8.0351155537075995E-3</v>
      </c>
    </row>
    <row r="508" spans="1:14" x14ac:dyDescent="0.25">
      <c r="A508">
        <f>-'R1'!H508</f>
        <v>-44</v>
      </c>
      <c r="B508">
        <f>DEGREES(ATAN(-SIN(RADIANS(('R1'!I508)))/(COS(RADIANS(Sheet1!A508))*COS(RADIANS('R1'!I508)))))</f>
        <v>53.317641506405714</v>
      </c>
      <c r="C508">
        <f>AVERAGE('R1'!J508,'R2'!J508,'R3'!J508)</f>
        <v>1.18</v>
      </c>
      <c r="D508">
        <f>AVERAGE('R1'!K508,'R2'!K508,'R3'!K508)</f>
        <v>22.294974</v>
      </c>
      <c r="E508">
        <f>AVERAGE('R1'!L508,'R2'!L508,'R3'!L508)</f>
        <v>2.5930242485597401</v>
      </c>
      <c r="F508">
        <f>AVERAGE('R1'!M508,'R2'!M508,'R3'!M508)</f>
        <v>2.9360376234753098</v>
      </c>
      <c r="G508">
        <f>AVERAGE('R1'!N508,'R2'!N508,'R3'!N508)</f>
        <v>-2.5635212779508962</v>
      </c>
      <c r="H508">
        <f>AVERAGE('R1'!O508,'R2'!O508,'R3'!O508)</f>
        <v>-2.1302164685994174</v>
      </c>
      <c r="I508">
        <f t="shared" si="11"/>
        <v>4384.6782199999998</v>
      </c>
      <c r="K508">
        <f>_xlfn.STDEV.S('R1'!L508,'R2'!L508,'R3'!L508)</f>
        <v>1.0844741564585061E-2</v>
      </c>
      <c r="L508">
        <f>_xlfn.STDEV.S('R1'!M508,'R2'!M508,'R3'!M508)</f>
        <v>1.3567937278014117E-2</v>
      </c>
      <c r="M508">
        <f>_xlfn.STDEV.S('R1'!N508,'R2'!N508,'R3'!N508)</f>
        <v>2.3797659418599553E-2</v>
      </c>
      <c r="N508">
        <f>_xlfn.STDEV.S('R1'!O508,'R2'!O508,'R3'!O508)</f>
        <v>8.8070569684070461E-3</v>
      </c>
    </row>
    <row r="509" spans="1:14" x14ac:dyDescent="0.25">
      <c r="A509">
        <f>-'R1'!H509</f>
        <v>-44</v>
      </c>
      <c r="B509">
        <f>DEGREES(ATAN(-SIN(RADIANS(('R1'!I509)))/(COS(RADIANS(Sheet1!A509))*COS(RADIANS('R1'!I509)))))</f>
        <v>49.394314915379752</v>
      </c>
      <c r="C509">
        <f>AVERAGE('R1'!J509,'R2'!J509,'R3'!J509)</f>
        <v>1.18</v>
      </c>
      <c r="D509">
        <f>AVERAGE('R1'!K509,'R2'!K509,'R3'!K509)</f>
        <v>22.340821083333335</v>
      </c>
      <c r="E509">
        <f>AVERAGE('R1'!L509,'R2'!L509,'R3'!L509)</f>
        <v>2.4083550374384521</v>
      </c>
      <c r="F509">
        <f>AVERAGE('R1'!M509,'R2'!M509,'R3'!M509)</f>
        <v>2.8143926979699057</v>
      </c>
      <c r="G509">
        <f>AVERAGE('R1'!N509,'R2'!N509,'R3'!N509)</f>
        <v>-2.3256995631771793</v>
      </c>
      <c r="H509">
        <f>AVERAGE('R1'!O509,'R2'!O509,'R3'!O509)</f>
        <v>-1.9464777240364555</v>
      </c>
      <c r="I509">
        <f t="shared" si="11"/>
        <v>4393.6948130555556</v>
      </c>
      <c r="K509">
        <f>_xlfn.STDEV.S('R1'!L509,'R2'!L509,'R3'!L509)</f>
        <v>1.2094683789686839E-2</v>
      </c>
      <c r="L509">
        <f>_xlfn.STDEV.S('R1'!M509,'R2'!M509,'R3'!M509)</f>
        <v>8.8131596710040658E-3</v>
      </c>
      <c r="M509">
        <f>_xlfn.STDEV.S('R1'!N509,'R2'!N509,'R3'!N509)</f>
        <v>2.2219637993707363E-2</v>
      </c>
      <c r="N509">
        <f>_xlfn.STDEV.S('R1'!O509,'R2'!O509,'R3'!O509)</f>
        <v>6.3199326463993901E-3</v>
      </c>
    </row>
    <row r="510" spans="1:14" x14ac:dyDescent="0.25">
      <c r="A510">
        <f>-'R1'!H510</f>
        <v>-44</v>
      </c>
      <c r="B510">
        <f>DEGREES(ATAN(-SIN(RADIANS(('R1'!I510)))/(COS(RADIANS(Sheet1!A510))*COS(RADIANS('R1'!I510)))))</f>
        <v>45.285419134418312</v>
      </c>
      <c r="C510">
        <f>AVERAGE('R1'!J510,'R2'!J510,'R3'!J510)</f>
        <v>1.18</v>
      </c>
      <c r="D510">
        <f>AVERAGE('R1'!K510,'R2'!K510,'R3'!K510)</f>
        <v>22.709982333333333</v>
      </c>
      <c r="E510">
        <f>AVERAGE('R1'!L510,'R2'!L510,'R3'!L510)</f>
        <v>2.2539663072831524</v>
      </c>
      <c r="F510">
        <f>AVERAGE('R1'!M510,'R2'!M510,'R3'!M510)</f>
        <v>2.7286226695605165</v>
      </c>
      <c r="G510">
        <f>AVERAGE('R1'!N510,'R2'!N510,'R3'!N510)</f>
        <v>-2.14517041910843</v>
      </c>
      <c r="H510">
        <f>AVERAGE('R1'!O510,'R2'!O510,'R3'!O510)</f>
        <v>-1.7998759356380374</v>
      </c>
      <c r="I510">
        <f t="shared" si="11"/>
        <v>4466.2965255555555</v>
      </c>
      <c r="K510">
        <f>_xlfn.STDEV.S('R1'!L510,'R2'!L510,'R3'!L510)</f>
        <v>9.3053609674530885E-3</v>
      </c>
      <c r="L510">
        <f>_xlfn.STDEV.S('R1'!M510,'R2'!M510,'R3'!M510)</f>
        <v>6.6603878904360377E-3</v>
      </c>
      <c r="M510">
        <f>_xlfn.STDEV.S('R1'!N510,'R2'!N510,'R3'!N510)</f>
        <v>1.7875855146533164E-2</v>
      </c>
      <c r="N510">
        <f>_xlfn.STDEV.S('R1'!O510,'R2'!O510,'R3'!O510)</f>
        <v>4.0328145833255329E-3</v>
      </c>
    </row>
    <row r="511" spans="1:14" x14ac:dyDescent="0.25">
      <c r="A511">
        <f>-'R1'!H511</f>
        <v>-44</v>
      </c>
      <c r="B511">
        <f>DEGREES(ATAN(-SIN(RADIANS(('R1'!I511)))/(COS(RADIANS(Sheet1!A511))*COS(RADIANS('R1'!I511)))))</f>
        <v>40.979886989205063</v>
      </c>
      <c r="C511">
        <f>AVERAGE('R1'!J511,'R2'!J511,'R3'!J511)</f>
        <v>1.18</v>
      </c>
      <c r="D511">
        <f>AVERAGE('R1'!K511,'R2'!K511,'R3'!K511)</f>
        <v>22.723461333333333</v>
      </c>
      <c r="E511">
        <f>AVERAGE('R1'!L511,'R2'!L511,'R3'!L511)</f>
        <v>2.1163094511368286</v>
      </c>
      <c r="F511">
        <f>AVERAGE('R1'!M511,'R2'!M511,'R3'!M511)</f>
        <v>2.6832322412025005</v>
      </c>
      <c r="G511">
        <f>AVERAGE('R1'!N511,'R2'!N511,'R3'!N511)</f>
        <v>-2.0217469513324504</v>
      </c>
      <c r="H511">
        <f>AVERAGE('R1'!O511,'R2'!O511,'R3'!O511)</f>
        <v>-1.6748941137999644</v>
      </c>
      <c r="I511">
        <f t="shared" si="11"/>
        <v>4468.947395555555</v>
      </c>
      <c r="K511">
        <f>_xlfn.STDEV.S('R1'!L511,'R2'!L511,'R3'!L511)</f>
        <v>8.1098329599338208E-3</v>
      </c>
      <c r="L511">
        <f>_xlfn.STDEV.S('R1'!M511,'R2'!M511,'R3'!M511)</f>
        <v>3.7372296103011671E-3</v>
      </c>
      <c r="M511">
        <f>_xlfn.STDEV.S('R1'!N511,'R2'!N511,'R3'!N511)</f>
        <v>1.4045479241489033E-2</v>
      </c>
      <c r="N511">
        <f>_xlfn.STDEV.S('R1'!O511,'R2'!O511,'R3'!O511)</f>
        <v>5.1733922814544966E-3</v>
      </c>
    </row>
    <row r="512" spans="1:14" x14ac:dyDescent="0.25">
      <c r="A512">
        <f>-'R1'!H512</f>
        <v>-44</v>
      </c>
      <c r="B512">
        <f>DEGREES(ATAN(-SIN(RADIANS(('R1'!I512)))/(COS(RADIANS(Sheet1!A512))*COS(RADIANS('R1'!I512)))))</f>
        <v>36.470444456761925</v>
      </c>
      <c r="C512">
        <f>AVERAGE('R1'!J512,'R2'!J512,'R3'!J512)</f>
        <v>1.18</v>
      </c>
      <c r="D512">
        <f>AVERAGE('R1'!K512,'R2'!K512,'R3'!K512)</f>
        <v>22.768513333333335</v>
      </c>
      <c r="E512">
        <f>AVERAGE('R1'!L512,'R2'!L512,'R3'!L512)</f>
        <v>1.9949268272677598</v>
      </c>
      <c r="F512">
        <f>AVERAGE('R1'!M512,'R2'!M512,'R3'!M512)</f>
        <v>2.7073499719113236</v>
      </c>
      <c r="G512">
        <f>AVERAGE('R1'!N512,'R2'!N512,'R3'!N512)</f>
        <v>-1.9643026003103217</v>
      </c>
      <c r="H512">
        <f>AVERAGE('R1'!O512,'R2'!O512,'R3'!O512)</f>
        <v>-1.5894193049771344</v>
      </c>
      <c r="I512">
        <f t="shared" si="11"/>
        <v>4477.8076222222235</v>
      </c>
      <c r="K512">
        <f>_xlfn.STDEV.S('R1'!L512,'R2'!L512,'R3'!L512)</f>
        <v>3.6115664405323793E-3</v>
      </c>
      <c r="L512">
        <f>_xlfn.STDEV.S('R1'!M512,'R2'!M512,'R3'!M512)</f>
        <v>4.579851863207798E-3</v>
      </c>
      <c r="M512">
        <f>_xlfn.STDEV.S('R1'!N512,'R2'!N512,'R3'!N512)</f>
        <v>1.596274912325538E-2</v>
      </c>
      <c r="N512">
        <f>_xlfn.STDEV.S('R1'!O512,'R2'!O512,'R3'!O512)</f>
        <v>2.6086276533074946E-3</v>
      </c>
    </row>
    <row r="513" spans="1:14" x14ac:dyDescent="0.25">
      <c r="A513">
        <f>-'R1'!H513</f>
        <v>-44</v>
      </c>
      <c r="B513">
        <f>DEGREES(ATAN(-SIN(RADIANS(('R1'!I513)))/(COS(RADIANS(Sheet1!A513))*COS(RADIANS('R1'!I513)))))</f>
        <v>31.755051399893443</v>
      </c>
      <c r="C513">
        <f>AVERAGE('R1'!J513,'R2'!J513,'R3'!J513)</f>
        <v>1.18</v>
      </c>
      <c r="D513">
        <f>AVERAGE('R1'!K513,'R2'!K513,'R3'!K513)</f>
        <v>22.50891841666667</v>
      </c>
      <c r="E513">
        <f>AVERAGE('R1'!L513,'R2'!L513,'R3'!L513)</f>
        <v>1.8555862869353941</v>
      </c>
      <c r="F513">
        <f>AVERAGE('R1'!M513,'R2'!M513,'R3'!M513)</f>
        <v>2.7831174806911654</v>
      </c>
      <c r="G513">
        <f>AVERAGE('R1'!N513,'R2'!N513,'R3'!N513)</f>
        <v>-1.9469319836065953</v>
      </c>
      <c r="H513">
        <f>AVERAGE('R1'!O513,'R2'!O513,'R3'!O513)</f>
        <v>-1.5212069109623212</v>
      </c>
      <c r="I513">
        <f t="shared" si="11"/>
        <v>4426.7539552777789</v>
      </c>
      <c r="K513">
        <f>_xlfn.STDEV.S('R1'!L513,'R2'!L513,'R3'!L513)</f>
        <v>5.8525130002253338E-3</v>
      </c>
      <c r="L513">
        <f>_xlfn.STDEV.S('R1'!M513,'R2'!M513,'R3'!M513)</f>
        <v>9.3982700815082258E-3</v>
      </c>
      <c r="M513">
        <f>_xlfn.STDEV.S('R1'!N513,'R2'!N513,'R3'!N513)</f>
        <v>1.1628092724705415E-2</v>
      </c>
      <c r="N513">
        <f>_xlfn.STDEV.S('R1'!O513,'R2'!O513,'R3'!O513)</f>
        <v>5.0817332687300857E-3</v>
      </c>
    </row>
    <row r="514" spans="1:14" x14ac:dyDescent="0.25">
      <c r="A514">
        <f>-'R1'!H514</f>
        <v>-44</v>
      </c>
      <c r="B514">
        <f>DEGREES(ATAN(-SIN(RADIANS(('R1'!I514)))/(COS(RADIANS(Sheet1!A514))*COS(RADIANS('R1'!I514)))))</f>
        <v>26.838414444764965</v>
      </c>
      <c r="C514">
        <f>AVERAGE('R1'!J514,'R2'!J514,'R3'!J514)</f>
        <v>1.18</v>
      </c>
      <c r="D514">
        <f>AVERAGE('R1'!K514,'R2'!K514,'R3'!K514)</f>
        <v>22.225872916666663</v>
      </c>
      <c r="E514">
        <f>AVERAGE('R1'!L514,'R2'!L514,'R3'!L514)</f>
        <v>1.6927521522934992</v>
      </c>
      <c r="F514">
        <f>AVERAGE('R1'!M514,'R2'!M514,'R3'!M514)</f>
        <v>2.9031565577686025</v>
      </c>
      <c r="G514">
        <f>AVERAGE('R1'!N514,'R2'!N514,'R3'!N514)</f>
        <v>-1.961141875001345</v>
      </c>
      <c r="H514">
        <f>AVERAGE('R1'!O514,'R2'!O514,'R3'!O514)</f>
        <v>-1.4649308540649699</v>
      </c>
      <c r="I514">
        <f t="shared" si="11"/>
        <v>4371.0883402777772</v>
      </c>
      <c r="K514">
        <f>_xlfn.STDEV.S('R1'!L514,'R2'!L514,'R3'!L514)</f>
        <v>6.7830953614866005E-3</v>
      </c>
      <c r="L514">
        <f>_xlfn.STDEV.S('R1'!M514,'R2'!M514,'R3'!M514)</f>
        <v>1.3998932505651146E-2</v>
      </c>
      <c r="M514">
        <f>_xlfn.STDEV.S('R1'!N514,'R2'!N514,'R3'!N514)</f>
        <v>6.8297574943888299E-3</v>
      </c>
      <c r="N514">
        <f>_xlfn.STDEV.S('R1'!O514,'R2'!O514,'R3'!O514)</f>
        <v>4.7046752394476667E-3</v>
      </c>
    </row>
    <row r="515" spans="1:14" x14ac:dyDescent="0.25">
      <c r="A515">
        <f>-'R1'!H515</f>
        <v>-44</v>
      </c>
      <c r="B515">
        <f>DEGREES(ATAN(-SIN(RADIANS(('R1'!I515)))/(COS(RADIANS(Sheet1!A515))*COS(RADIANS('R1'!I515)))))</f>
        <v>21.733362927744114</v>
      </c>
      <c r="C515">
        <f>AVERAGE('R1'!J515,'R2'!J515,'R3'!J515)</f>
        <v>1.18</v>
      </c>
      <c r="D515">
        <f>AVERAGE('R1'!K515,'R2'!K515,'R3'!K515)</f>
        <v>22.360907083333334</v>
      </c>
      <c r="E515">
        <f>AVERAGE('R1'!L515,'R2'!L515,'R3'!L515)</f>
        <v>1.5072243055020833</v>
      </c>
      <c r="F515">
        <f>AVERAGE('R1'!M515,'R2'!M515,'R3'!M515)</f>
        <v>3.0558371073096549</v>
      </c>
      <c r="G515">
        <f>AVERAGE('R1'!N515,'R2'!N515,'R3'!N515)</f>
        <v>-1.9973563425226539</v>
      </c>
      <c r="H515">
        <f>AVERAGE('R1'!O515,'R2'!O515,'R3'!O515)</f>
        <v>-1.4223729685557223</v>
      </c>
      <c r="I515">
        <f t="shared" ref="I515:I530" si="12">10^5*C515*D515*0.003/1.8</f>
        <v>4397.6450597222229</v>
      </c>
      <c r="K515">
        <f>_xlfn.STDEV.S('R1'!L515,'R2'!L515,'R3'!L515)</f>
        <v>9.5985258909888505E-3</v>
      </c>
      <c r="L515">
        <f>_xlfn.STDEV.S('R1'!M515,'R2'!M515,'R3'!M515)</f>
        <v>1.2617278279624364E-2</v>
      </c>
      <c r="M515">
        <f>_xlfn.STDEV.S('R1'!N515,'R2'!N515,'R3'!N515)</f>
        <v>1.3587011211326277E-2</v>
      </c>
      <c r="N515">
        <f>_xlfn.STDEV.S('R1'!O515,'R2'!O515,'R3'!O515)</f>
        <v>7.8028495237739944E-3</v>
      </c>
    </row>
    <row r="516" spans="1:14" x14ac:dyDescent="0.25">
      <c r="A516">
        <f>-'R1'!H516</f>
        <v>-44</v>
      </c>
      <c r="B516">
        <f>DEGREES(ATAN(-SIN(RADIANS(('R1'!I516)))/(COS(RADIANS(Sheet1!A516))*COS(RADIANS('R1'!I516)))))</f>
        <v>16.461798422084197</v>
      </c>
      <c r="C516">
        <f>AVERAGE('R1'!J516,'R2'!J516,'R3'!J516)</f>
        <v>1.18</v>
      </c>
      <c r="D516">
        <f>AVERAGE('R1'!K516,'R2'!K516,'R3'!K516)</f>
        <v>22.421757083333336</v>
      </c>
      <c r="E516">
        <f>AVERAGE('R1'!L516,'R2'!L516,'R3'!L516)</f>
        <v>1.2727336445959556</v>
      </c>
      <c r="F516">
        <f>AVERAGE('R1'!M516,'R2'!M516,'R3'!M516)</f>
        <v>3.2483633357359705</v>
      </c>
      <c r="G516">
        <f>AVERAGE('R1'!N516,'R2'!N516,'R3'!N516)</f>
        <v>-2.0511858717960494</v>
      </c>
      <c r="H516">
        <f>AVERAGE('R1'!O516,'R2'!O516,'R3'!O516)</f>
        <v>-1.3907843457983649</v>
      </c>
      <c r="I516">
        <f t="shared" si="12"/>
        <v>4409.6122263888901</v>
      </c>
      <c r="K516">
        <f>_xlfn.STDEV.S('R1'!L516,'R2'!L516,'R3'!L516)</f>
        <v>4.8374394563450015E-3</v>
      </c>
      <c r="L516">
        <f>_xlfn.STDEV.S('R1'!M516,'R2'!M516,'R3'!M516)</f>
        <v>6.0742797961853431E-4</v>
      </c>
      <c r="M516">
        <f>_xlfn.STDEV.S('R1'!N516,'R2'!N516,'R3'!N516)</f>
        <v>1.0415690949955838E-2</v>
      </c>
      <c r="N516">
        <f>_xlfn.STDEV.S('R1'!O516,'R2'!O516,'R3'!O516)</f>
        <v>7.3581274874139338E-3</v>
      </c>
    </row>
    <row r="517" spans="1:14" x14ac:dyDescent="0.25">
      <c r="A517">
        <f>-'R1'!H517</f>
        <v>-44</v>
      </c>
      <c r="B517">
        <f>DEGREES(ATAN(-SIN(RADIANS(('R1'!I517)))/(COS(RADIANS(Sheet1!A517))*COS(RADIANS('R1'!I517)))))</f>
        <v>11.054892671059431</v>
      </c>
      <c r="C517">
        <f>AVERAGE('R1'!J517,'R2'!J517,'R3'!J517)</f>
        <v>1.18</v>
      </c>
      <c r="D517">
        <f>AVERAGE('R1'!K517,'R2'!K517,'R3'!K517)</f>
        <v>22.494391249999996</v>
      </c>
      <c r="E517">
        <f>AVERAGE('R1'!L517,'R2'!L517,'R3'!L517)</f>
        <v>1.0139539596731633</v>
      </c>
      <c r="F517">
        <f>AVERAGE('R1'!M517,'R2'!M517,'R3'!M517)</f>
        <v>3.5388353326262791</v>
      </c>
      <c r="G517">
        <f>AVERAGE('R1'!N517,'R2'!N517,'R3'!N517)</f>
        <v>-2.1982246187215009</v>
      </c>
      <c r="H517">
        <f>AVERAGE('R1'!O517,'R2'!O517,'R3'!O517)</f>
        <v>-1.3912889689418748</v>
      </c>
      <c r="I517">
        <f t="shared" si="12"/>
        <v>4423.8969458333322</v>
      </c>
      <c r="K517">
        <f>_xlfn.STDEV.S('R1'!L517,'R2'!L517,'R3'!L517)</f>
        <v>3.7376688953035045E-3</v>
      </c>
      <c r="L517">
        <f>_xlfn.STDEV.S('R1'!M517,'R2'!M517,'R3'!M517)</f>
        <v>5.791225292296742E-3</v>
      </c>
      <c r="M517">
        <f>_xlfn.STDEV.S('R1'!N517,'R2'!N517,'R3'!N517)</f>
        <v>1.0884677685570478E-2</v>
      </c>
      <c r="N517">
        <f>_xlfn.STDEV.S('R1'!O517,'R2'!O517,'R3'!O517)</f>
        <v>3.5075543664817303E-3</v>
      </c>
    </row>
    <row r="518" spans="1:14" x14ac:dyDescent="0.25">
      <c r="A518">
        <f>-'R1'!H518</f>
        <v>-44</v>
      </c>
      <c r="B518">
        <f>DEGREES(ATAN(-SIN(RADIANS(('R1'!I518)))/(COS(RADIANS(Sheet1!A518))*COS(RADIANS('R1'!I518)))))</f>
        <v>5.5522607339018597</v>
      </c>
      <c r="C518">
        <f>AVERAGE('R1'!J518,'R2'!J518,'R3'!J518)</f>
        <v>1.18</v>
      </c>
      <c r="D518">
        <f>AVERAGE('R1'!K518,'R2'!K518,'R3'!K518)</f>
        <v>22.565796750000001</v>
      </c>
      <c r="E518">
        <f>AVERAGE('R1'!L518,'R2'!L518,'R3'!L518)</f>
        <v>0.67653461770755741</v>
      </c>
      <c r="F518">
        <f>AVERAGE('R1'!M518,'R2'!M518,'R3'!M518)</f>
        <v>3.9877108049548453</v>
      </c>
      <c r="G518">
        <f>AVERAGE('R1'!N518,'R2'!N518,'R3'!N518)</f>
        <v>-2.4649579159500004</v>
      </c>
      <c r="H518">
        <f>AVERAGE('R1'!O518,'R2'!O518,'R3'!O518)</f>
        <v>-1.4254056287684429</v>
      </c>
      <c r="I518">
        <f t="shared" si="12"/>
        <v>4437.9400274999998</v>
      </c>
      <c r="K518">
        <f>_xlfn.STDEV.S('R1'!L518,'R2'!L518,'R3'!L518)</f>
        <v>4.3213009404053171E-3</v>
      </c>
      <c r="L518">
        <f>_xlfn.STDEV.S('R1'!M518,'R2'!M518,'R3'!M518)</f>
        <v>1.7445824688664627E-2</v>
      </c>
      <c r="M518">
        <f>_xlfn.STDEV.S('R1'!N518,'R2'!N518,'R3'!N518)</f>
        <v>8.6877307210862474E-3</v>
      </c>
      <c r="N518">
        <f>_xlfn.STDEV.S('R1'!O518,'R2'!O518,'R3'!O518)</f>
        <v>5.7871310271782909E-3</v>
      </c>
    </row>
    <row r="519" spans="1:14" x14ac:dyDescent="0.25">
      <c r="A519">
        <f>-'R1'!H519</f>
        <v>-44</v>
      </c>
      <c r="B519">
        <f>DEGREES(ATAN(-SIN(RADIANS(('R1'!I519)))/(COS(RADIANS(Sheet1!A519))*COS(RADIANS('R1'!I519)))))</f>
        <v>0</v>
      </c>
      <c r="C519">
        <f>AVERAGE('R1'!J519,'R2'!J519,'R3'!J519)</f>
        <v>1.18</v>
      </c>
      <c r="D519">
        <f>AVERAGE('R1'!K519,'R2'!K519,'R3'!K519)</f>
        <v>22.370586083333336</v>
      </c>
      <c r="E519">
        <f>AVERAGE('R1'!L519,'R2'!L519,'R3'!L519)</f>
        <v>0.24435844642754256</v>
      </c>
      <c r="F519">
        <f>AVERAGE('R1'!M519,'R2'!M519,'R3'!M519)</f>
        <v>4.5842338123347552</v>
      </c>
      <c r="G519">
        <f>AVERAGE('R1'!N519,'R2'!N519,'R3'!N519)</f>
        <v>-2.845240733538807</v>
      </c>
      <c r="H519">
        <f>AVERAGE('R1'!O519,'R2'!O519,'R3'!O519)</f>
        <v>-1.4871787924772724</v>
      </c>
      <c r="I519">
        <f t="shared" si="12"/>
        <v>4399.5485963888896</v>
      </c>
      <c r="K519">
        <f>_xlfn.STDEV.S('R1'!L519,'R2'!L519,'R3'!L519)</f>
        <v>1.7171044275417803E-2</v>
      </c>
      <c r="L519">
        <f>_xlfn.STDEV.S('R1'!M519,'R2'!M519,'R3'!M519)</f>
        <v>4.66182533218467E-2</v>
      </c>
      <c r="M519">
        <f>_xlfn.STDEV.S('R1'!N519,'R2'!N519,'R3'!N519)</f>
        <v>5.0006805468760802E-2</v>
      </c>
      <c r="N519">
        <f>_xlfn.STDEV.S('R1'!O519,'R2'!O519,'R3'!O519)</f>
        <v>5.2062517002778213E-3</v>
      </c>
    </row>
    <row r="520" spans="1:14" x14ac:dyDescent="0.25">
      <c r="A520">
        <f>-'R1'!H520</f>
        <v>-44</v>
      </c>
      <c r="B520">
        <f>DEGREES(ATAN(-SIN(RADIANS(('R1'!I520)))/(COS(RADIANS(Sheet1!A520))*COS(RADIANS('R1'!I520)))))</f>
        <v>-5.5522607339018597</v>
      </c>
      <c r="C520">
        <f>AVERAGE('R1'!J520,'R2'!J520,'R3'!J520)</f>
        <v>1.18</v>
      </c>
      <c r="D520">
        <f>AVERAGE('R1'!K520,'R2'!K520,'R3'!K520)</f>
        <v>22.457168083333332</v>
      </c>
      <c r="E520">
        <f>AVERAGE('R1'!L520,'R2'!L520,'R3'!L520)</f>
        <v>-0.29046795062153147</v>
      </c>
      <c r="F520">
        <f>AVERAGE('R1'!M520,'R2'!M520,'R3'!M520)</f>
        <v>4.5971758106699099</v>
      </c>
      <c r="G520">
        <f>AVERAGE('R1'!N520,'R2'!N520,'R3'!N520)</f>
        <v>-2.8710342147496051</v>
      </c>
      <c r="H520">
        <f>AVERAGE('R1'!O520,'R2'!O520,'R3'!O520)</f>
        <v>-1.5084035088454861</v>
      </c>
      <c r="I520">
        <f t="shared" si="12"/>
        <v>4416.5763897222214</v>
      </c>
      <c r="K520">
        <f>_xlfn.STDEV.S('R1'!L520,'R2'!L520,'R3'!L520)</f>
        <v>7.4408196779973124E-3</v>
      </c>
      <c r="L520">
        <f>_xlfn.STDEV.S('R1'!M520,'R2'!M520,'R3'!M520)</f>
        <v>3.1927548855848191E-2</v>
      </c>
      <c r="M520">
        <f>_xlfn.STDEV.S('R1'!N520,'R2'!N520,'R3'!N520)</f>
        <v>2.2868760276875774E-2</v>
      </c>
      <c r="N520">
        <f>_xlfn.STDEV.S('R1'!O520,'R2'!O520,'R3'!O520)</f>
        <v>7.7097382546470992E-3</v>
      </c>
    </row>
    <row r="521" spans="1:14" x14ac:dyDescent="0.25">
      <c r="A521">
        <f>-'R1'!H521</f>
        <v>-44</v>
      </c>
      <c r="B521">
        <f>DEGREES(ATAN(-SIN(RADIANS(('R1'!I521)))/(COS(RADIANS(Sheet1!A521))*COS(RADIANS('R1'!I521)))))</f>
        <v>-11.054892671059431</v>
      </c>
      <c r="C521">
        <f>AVERAGE('R1'!J521,'R2'!J521,'R3'!J521)</f>
        <v>1.18</v>
      </c>
      <c r="D521">
        <f>AVERAGE('R1'!K521,'R2'!K521,'R3'!K521)</f>
        <v>22.568216666666668</v>
      </c>
      <c r="E521">
        <f>AVERAGE('R1'!L521,'R2'!L521,'R3'!L521)</f>
        <v>-0.73851796490902066</v>
      </c>
      <c r="F521">
        <f>AVERAGE('R1'!M521,'R2'!M521,'R3'!M521)</f>
        <v>4.0911485300653814</v>
      </c>
      <c r="G521">
        <f>AVERAGE('R1'!N521,'R2'!N521,'R3'!N521)</f>
        <v>-2.5880068189311358</v>
      </c>
      <c r="H521">
        <f>AVERAGE('R1'!O521,'R2'!O521,'R3'!O521)</f>
        <v>-1.4882505494562672</v>
      </c>
      <c r="I521">
        <f t="shared" si="12"/>
        <v>4438.4159444444449</v>
      </c>
      <c r="K521">
        <f>_xlfn.STDEV.S('R1'!L521,'R2'!L521,'R3'!L521)</f>
        <v>1.0792739557465472E-2</v>
      </c>
      <c r="L521">
        <f>_xlfn.STDEV.S('R1'!M521,'R2'!M521,'R3'!M521)</f>
        <v>9.3709979709952797E-3</v>
      </c>
      <c r="M521">
        <f>_xlfn.STDEV.S('R1'!N521,'R2'!N521,'R3'!N521)</f>
        <v>2.3514779072002473E-2</v>
      </c>
      <c r="N521">
        <f>_xlfn.STDEV.S('R1'!O521,'R2'!O521,'R3'!O521)</f>
        <v>5.515901537290948E-3</v>
      </c>
    </row>
    <row r="522" spans="1:14" x14ac:dyDescent="0.25">
      <c r="A522">
        <f>-'R1'!H522</f>
        <v>-44</v>
      </c>
      <c r="B522">
        <f>DEGREES(ATAN(-SIN(RADIANS(('R1'!I522)))/(COS(RADIANS(Sheet1!A522))*COS(RADIANS('R1'!I522)))))</f>
        <v>-16.461798422084197</v>
      </c>
      <c r="C522">
        <f>AVERAGE('R1'!J522,'R2'!J522,'R3'!J522)</f>
        <v>1.18</v>
      </c>
      <c r="D522">
        <f>AVERAGE('R1'!K522,'R2'!K522,'R3'!K522)</f>
        <v>22.454930000000001</v>
      </c>
      <c r="E522">
        <f>AVERAGE('R1'!L522,'R2'!L522,'R3'!L522)</f>
        <v>-1.0805740989480659</v>
      </c>
      <c r="F522">
        <f>AVERAGE('R1'!M522,'R2'!M522,'R3'!M522)</f>
        <v>3.7732577635049527</v>
      </c>
      <c r="G522">
        <f>AVERAGE('R1'!N522,'R2'!N522,'R3'!N522)</f>
        <v>-2.4493714813406391</v>
      </c>
      <c r="H522">
        <f>AVERAGE('R1'!O522,'R2'!O522,'R3'!O522)</f>
        <v>-1.5109051496034234</v>
      </c>
      <c r="I522">
        <f t="shared" si="12"/>
        <v>4416.1362333333336</v>
      </c>
      <c r="K522">
        <f>_xlfn.STDEV.S('R1'!L522,'R2'!L522,'R3'!L522)</f>
        <v>2.9313412478961546E-3</v>
      </c>
      <c r="L522">
        <f>_xlfn.STDEV.S('R1'!M522,'R2'!M522,'R3'!M522)</f>
        <v>1.6098523398675953E-2</v>
      </c>
      <c r="M522">
        <f>_xlfn.STDEV.S('R1'!N522,'R2'!N522,'R3'!N522)</f>
        <v>2.1131091620714491E-2</v>
      </c>
      <c r="N522">
        <f>_xlfn.STDEV.S('R1'!O522,'R2'!O522,'R3'!O522)</f>
        <v>7.4228007978570194E-3</v>
      </c>
    </row>
    <row r="523" spans="1:14" x14ac:dyDescent="0.25">
      <c r="A523">
        <f>-'R1'!H523</f>
        <v>-44</v>
      </c>
      <c r="B523">
        <f>DEGREES(ATAN(-SIN(RADIANS(('R1'!I523)))/(COS(RADIANS(Sheet1!A523))*COS(RADIANS('R1'!I523)))))</f>
        <v>-21.733362927744114</v>
      </c>
      <c r="C523">
        <f>AVERAGE('R1'!J523,'R2'!J523,'R3'!J523)</f>
        <v>1.18</v>
      </c>
      <c r="D523">
        <f>AVERAGE('R1'!K523,'R2'!K523,'R3'!K523)</f>
        <v>22.499434333333337</v>
      </c>
      <c r="E523">
        <f>AVERAGE('R1'!L523,'R2'!L523,'R3'!L523)</f>
        <v>-1.3658922955563433</v>
      </c>
      <c r="F523">
        <f>AVERAGE('R1'!M523,'R2'!M523,'R3'!M523)</f>
        <v>3.4775982007482469</v>
      </c>
      <c r="G523">
        <f>AVERAGE('R1'!N523,'R2'!N523,'R3'!N523)</f>
        <v>-2.3179534964100879</v>
      </c>
      <c r="H523">
        <f>AVERAGE('R1'!O523,'R2'!O523,'R3'!O523)</f>
        <v>-1.5380431860840424</v>
      </c>
      <c r="I523">
        <f t="shared" si="12"/>
        <v>4424.8887522222221</v>
      </c>
      <c r="K523">
        <f>_xlfn.STDEV.S('R1'!L523,'R2'!L523,'R3'!L523)</f>
        <v>4.3932065776011034E-3</v>
      </c>
      <c r="L523">
        <f>_xlfn.STDEV.S('R1'!M523,'R2'!M523,'R3'!M523)</f>
        <v>1.3199781975325979E-2</v>
      </c>
      <c r="M523">
        <f>_xlfn.STDEV.S('R1'!N523,'R2'!N523,'R3'!N523)</f>
        <v>4.1028056294683223E-3</v>
      </c>
      <c r="N523">
        <f>_xlfn.STDEV.S('R1'!O523,'R2'!O523,'R3'!O523)</f>
        <v>2.3526118699472879E-3</v>
      </c>
    </row>
    <row r="524" spans="1:14" x14ac:dyDescent="0.25">
      <c r="A524">
        <f>-'R1'!H524</f>
        <v>-44</v>
      </c>
      <c r="B524">
        <f>DEGREES(ATAN(-SIN(RADIANS(('R1'!I524)))/(COS(RADIANS(Sheet1!A524))*COS(RADIANS('R1'!I524)))))</f>
        <v>-26.838414444764965</v>
      </c>
      <c r="C524">
        <f>AVERAGE('R1'!J524,'R2'!J524,'R3'!J524)</f>
        <v>1.18</v>
      </c>
      <c r="D524">
        <f>AVERAGE('R1'!K524,'R2'!K524,'R3'!K524)</f>
        <v>22.595952666666665</v>
      </c>
      <c r="E524">
        <f>AVERAGE('R1'!L524,'R2'!L524,'R3'!L524)</f>
        <v>-1.6058969960577674</v>
      </c>
      <c r="F524">
        <f>AVERAGE('R1'!M524,'R2'!M524,'R3'!M524)</f>
        <v>3.3103448578371424</v>
      </c>
      <c r="G524">
        <f>AVERAGE('R1'!N524,'R2'!N524,'R3'!N524)</f>
        <v>-2.2896841339920253</v>
      </c>
      <c r="H524">
        <f>AVERAGE('R1'!O524,'R2'!O524,'R3'!O524)</f>
        <v>-1.605381231074885</v>
      </c>
      <c r="I524">
        <f t="shared" si="12"/>
        <v>4443.8706911111112</v>
      </c>
      <c r="K524">
        <f>_xlfn.STDEV.S('R1'!L524,'R2'!L524,'R3'!L524)</f>
        <v>3.2506470692927458E-3</v>
      </c>
      <c r="L524">
        <f>_xlfn.STDEV.S('R1'!M524,'R2'!M524,'R3'!M524)</f>
        <v>2.2813600712254224E-2</v>
      </c>
      <c r="M524">
        <f>_xlfn.STDEV.S('R1'!N524,'R2'!N524,'R3'!N524)</f>
        <v>1.1389737380586434E-2</v>
      </c>
      <c r="N524">
        <f>_xlfn.STDEV.S('R1'!O524,'R2'!O524,'R3'!O524)</f>
        <v>3.4442013164619751E-3</v>
      </c>
    </row>
    <row r="525" spans="1:14" x14ac:dyDescent="0.25">
      <c r="A525">
        <f>-'R1'!H525</f>
        <v>-44</v>
      </c>
      <c r="B525">
        <f>DEGREES(ATAN(-SIN(RADIANS(('R1'!I525)))/(COS(RADIANS(Sheet1!A525))*COS(RADIANS('R1'!I525)))))</f>
        <v>-31.755051399893443</v>
      </c>
      <c r="C525">
        <f>AVERAGE('R1'!J525,'R2'!J525,'R3'!J525)</f>
        <v>1.18</v>
      </c>
      <c r="D525">
        <f>AVERAGE('R1'!K525,'R2'!K525,'R3'!K525)</f>
        <v>22.578776833333333</v>
      </c>
      <c r="E525">
        <f>AVERAGE('R1'!L525,'R2'!L525,'R3'!L525)</f>
        <v>-1.8122744624917946</v>
      </c>
      <c r="F525">
        <f>AVERAGE('R1'!M525,'R2'!M525,'R3'!M525)</f>
        <v>3.1760707073497065</v>
      </c>
      <c r="G525">
        <f>AVERAGE('R1'!N525,'R2'!N525,'R3'!N525)</f>
        <v>-2.2797650474413853</v>
      </c>
      <c r="H525">
        <f>AVERAGE('R1'!O525,'R2'!O525,'R3'!O525)</f>
        <v>-1.6770816462811391</v>
      </c>
      <c r="I525">
        <f t="shared" si="12"/>
        <v>4440.4927772222218</v>
      </c>
      <c r="K525">
        <f>_xlfn.STDEV.S('R1'!L525,'R2'!L525,'R3'!L525)</f>
        <v>5.5496489938768332E-3</v>
      </c>
      <c r="L525">
        <f>_xlfn.STDEV.S('R1'!M525,'R2'!M525,'R3'!M525)</f>
        <v>2.4918163628562015E-2</v>
      </c>
      <c r="M525">
        <f>_xlfn.STDEV.S('R1'!N525,'R2'!N525,'R3'!N525)</f>
        <v>1.6283748135616095E-2</v>
      </c>
      <c r="N525">
        <f>_xlfn.STDEV.S('R1'!O525,'R2'!O525,'R3'!O525)</f>
        <v>8.5664884009866715E-3</v>
      </c>
    </row>
    <row r="526" spans="1:14" x14ac:dyDescent="0.25">
      <c r="A526">
        <f>-'R1'!H526</f>
        <v>-44</v>
      </c>
      <c r="B526">
        <f>DEGREES(ATAN(-SIN(RADIANS(('R1'!I526)))/(COS(RADIANS(Sheet1!A526))*COS(RADIANS('R1'!I526)))))</f>
        <v>-36.470444456761925</v>
      </c>
      <c r="C526">
        <f>AVERAGE('R1'!J526,'R2'!J526,'R3'!J526)</f>
        <v>1.18</v>
      </c>
      <c r="D526">
        <f>AVERAGE('R1'!K526,'R2'!K526,'R3'!K526)</f>
        <v>22.620652916666668</v>
      </c>
      <c r="E526">
        <f>AVERAGE('R1'!L526,'R2'!L526,'R3'!L526)</f>
        <v>-2.0223246560471542</v>
      </c>
      <c r="F526">
        <f>AVERAGE('R1'!M526,'R2'!M526,'R3'!M526)</f>
        <v>3.1222168871746061</v>
      </c>
      <c r="G526">
        <f>AVERAGE('R1'!N526,'R2'!N526,'R3'!N526)</f>
        <v>-2.3508255492927481</v>
      </c>
      <c r="H526">
        <f>AVERAGE('R1'!O526,'R2'!O526,'R3'!O526)</f>
        <v>-1.7890794384753761</v>
      </c>
      <c r="I526">
        <f t="shared" si="12"/>
        <v>4448.7284069444449</v>
      </c>
      <c r="K526">
        <f>_xlfn.STDEV.S('R1'!L526,'R2'!L526,'R3'!L526)</f>
        <v>7.9594436482534614E-3</v>
      </c>
      <c r="L526">
        <f>_xlfn.STDEV.S('R1'!M526,'R2'!M526,'R3'!M526)</f>
        <v>5.6939464113030412E-3</v>
      </c>
      <c r="M526">
        <f>_xlfn.STDEV.S('R1'!N526,'R2'!N526,'R3'!N526)</f>
        <v>7.1153993571156466E-3</v>
      </c>
      <c r="N526">
        <f>_xlfn.STDEV.S('R1'!O526,'R2'!O526,'R3'!O526)</f>
        <v>4.7351066584079829E-3</v>
      </c>
    </row>
    <row r="527" spans="1:14" x14ac:dyDescent="0.25">
      <c r="A527">
        <f>-'R1'!H527</f>
        <v>-44</v>
      </c>
      <c r="B527">
        <f>DEGREES(ATAN(-SIN(RADIANS(('R1'!I527)))/(COS(RADIANS(Sheet1!A527))*COS(RADIANS('R1'!I527)))))</f>
        <v>-40.979886989205063</v>
      </c>
      <c r="C527">
        <f>AVERAGE('R1'!J527,'R2'!J527,'R3'!J527)</f>
        <v>1.18</v>
      </c>
      <c r="D527">
        <f>AVERAGE('R1'!K527,'R2'!K527,'R3'!K527)</f>
        <v>22.48092875</v>
      </c>
      <c r="E527">
        <f>AVERAGE('R1'!L527,'R2'!L527,'R3'!L527)</f>
        <v>-2.2226897485102293</v>
      </c>
      <c r="F527">
        <f>AVERAGE('R1'!M527,'R2'!M527,'R3'!M527)</f>
        <v>3.1234564982554249</v>
      </c>
      <c r="G527">
        <f>AVERAGE('R1'!N527,'R2'!N527,'R3'!N527)</f>
        <v>-2.4722312166580389</v>
      </c>
      <c r="H527">
        <f>AVERAGE('R1'!O527,'R2'!O527,'R3'!O527)</f>
        <v>-1.9258589808214364</v>
      </c>
      <c r="I527">
        <f t="shared" si="12"/>
        <v>4421.2493208333335</v>
      </c>
      <c r="K527">
        <f>_xlfn.STDEV.S('R1'!L527,'R2'!L527,'R3'!L527)</f>
        <v>1.229256358202706E-2</v>
      </c>
      <c r="L527">
        <f>_xlfn.STDEV.S('R1'!M527,'R2'!M527,'R3'!M527)</f>
        <v>4.8343644106819041E-3</v>
      </c>
      <c r="M527">
        <f>_xlfn.STDEV.S('R1'!N527,'R2'!N527,'R3'!N527)</f>
        <v>1.3056984106343077E-2</v>
      </c>
      <c r="N527">
        <f>_xlfn.STDEV.S('R1'!O527,'R2'!O527,'R3'!O527)</f>
        <v>8.3237345441732457E-3</v>
      </c>
    </row>
    <row r="528" spans="1:14" x14ac:dyDescent="0.25">
      <c r="A528">
        <f>-'R1'!H528</f>
        <v>-44</v>
      </c>
      <c r="B528">
        <f>DEGREES(ATAN(-SIN(RADIANS(('R1'!I528)))/(COS(RADIANS(Sheet1!A528))*COS(RADIANS('R1'!I528)))))</f>
        <v>-45.285419134418312</v>
      </c>
      <c r="C528">
        <f>AVERAGE('R1'!J528,'R2'!J528,'R3'!J528)</f>
        <v>1.18</v>
      </c>
      <c r="D528">
        <f>AVERAGE('R1'!K528,'R2'!K528,'R3'!K528)</f>
        <v>22.109447499999998</v>
      </c>
      <c r="E528">
        <f>AVERAGE('R1'!L528,'R2'!L528,'R3'!L528)</f>
        <v>-2.4366432773746154</v>
      </c>
      <c r="F528">
        <f>AVERAGE('R1'!M528,'R2'!M528,'R3'!M528)</f>
        <v>3.1918539289568142</v>
      </c>
      <c r="G528">
        <f>AVERAGE('R1'!N528,'R2'!N528,'R3'!N528)</f>
        <v>-2.6646048702716372</v>
      </c>
      <c r="H528">
        <f>AVERAGE('R1'!O528,'R2'!O528,'R3'!O528)</f>
        <v>-2.095245121752233</v>
      </c>
      <c r="I528">
        <f t="shared" si="12"/>
        <v>4348.1913416666657</v>
      </c>
      <c r="K528">
        <f>_xlfn.STDEV.S('R1'!L528,'R2'!L528,'R3'!L528)</f>
        <v>1.3250661358378423E-2</v>
      </c>
      <c r="L528">
        <f>_xlfn.STDEV.S('R1'!M528,'R2'!M528,'R3'!M528)</f>
        <v>1.6344914063791613E-2</v>
      </c>
      <c r="M528">
        <f>_xlfn.STDEV.S('R1'!N528,'R2'!N528,'R3'!N528)</f>
        <v>1.9036347313892154E-2</v>
      </c>
      <c r="N528">
        <f>_xlfn.STDEV.S('R1'!O528,'R2'!O528,'R3'!O528)</f>
        <v>7.5302755237238008E-3</v>
      </c>
    </row>
    <row r="529" spans="1:14" x14ac:dyDescent="0.25">
      <c r="A529">
        <f>-'R1'!H529</f>
        <v>-44</v>
      </c>
      <c r="B529">
        <f>DEGREES(ATAN(-SIN(RADIANS(('R1'!I529)))/(COS(RADIANS(Sheet1!A529))*COS(RADIANS('R1'!I529)))))</f>
        <v>-49.394314915379752</v>
      </c>
      <c r="C529">
        <f>AVERAGE('R1'!J529,'R2'!J529,'R3'!J529)</f>
        <v>1.18</v>
      </c>
      <c r="D529">
        <f>AVERAGE('R1'!K529,'R2'!K529,'R3'!K529)</f>
        <v>22.161913166666665</v>
      </c>
      <c r="E529">
        <f>AVERAGE('R1'!L529,'R2'!L529,'R3'!L529)</f>
        <v>-2.6820143478629181</v>
      </c>
      <c r="F529">
        <f>AVERAGE('R1'!M529,'R2'!M529,'R3'!M529)</f>
        <v>3.3272212402415922</v>
      </c>
      <c r="G529">
        <f>AVERAGE('R1'!N529,'R2'!N529,'R3'!N529)</f>
        <v>-2.9373855925454762</v>
      </c>
      <c r="H529">
        <f>AVERAGE('R1'!O529,'R2'!O529,'R3'!O529)</f>
        <v>-2.3158550060540755</v>
      </c>
      <c r="I529">
        <f t="shared" si="12"/>
        <v>4358.5095894444439</v>
      </c>
      <c r="K529">
        <f>_xlfn.STDEV.S('R1'!L529,'R2'!L529,'R3'!L529)</f>
        <v>2.4204706072890263E-2</v>
      </c>
      <c r="L529">
        <f>_xlfn.STDEV.S('R1'!M529,'R2'!M529,'R3'!M529)</f>
        <v>1.8845981855216059E-2</v>
      </c>
      <c r="M529">
        <f>_xlfn.STDEV.S('R1'!N529,'R2'!N529,'R3'!N529)</f>
        <v>3.5232262486787909E-2</v>
      </c>
      <c r="N529">
        <f>_xlfn.STDEV.S('R1'!O529,'R2'!O529,'R3'!O529)</f>
        <v>1.8347597680014083E-2</v>
      </c>
    </row>
    <row r="530" spans="1:14" x14ac:dyDescent="0.25">
      <c r="A530">
        <f>-'R1'!H530</f>
        <v>-44</v>
      </c>
      <c r="B530">
        <f>DEGREES(ATAN(-SIN(RADIANS(('R1'!I530)))/(COS(RADIANS(Sheet1!A530))*COS(RADIANS('R1'!I530)))))</f>
        <v>-53.317641506405714</v>
      </c>
      <c r="C530">
        <f>AVERAGE('R1'!J530,'R2'!J530,'R3'!J530)</f>
        <v>1.18</v>
      </c>
      <c r="D530">
        <f>AVERAGE('R1'!K530,'R2'!K530,'R3'!K530)</f>
        <v>22.247514750000004</v>
      </c>
      <c r="E530">
        <f>AVERAGE('R1'!L530,'R2'!L530,'R3'!L530)</f>
        <v>-2.9618756681595286</v>
      </c>
      <c r="F530">
        <f>AVERAGE('R1'!M530,'R2'!M530,'R3'!M530)</f>
        <v>3.5279615316753219</v>
      </c>
      <c r="G530">
        <f>AVERAGE('R1'!N530,'R2'!N530,'R3'!N530)</f>
        <v>-3.3004980944982854</v>
      </c>
      <c r="H530">
        <f>AVERAGE('R1'!O530,'R2'!O530,'R3'!O530)</f>
        <v>-2.5856121740481179</v>
      </c>
      <c r="I530">
        <f t="shared" si="12"/>
        <v>4375.3445675000003</v>
      </c>
      <c r="K530">
        <f>_xlfn.STDEV.S('R1'!L530,'R2'!L530,'R3'!L530)</f>
        <v>1.4301796359914028E-2</v>
      </c>
      <c r="L530">
        <f>_xlfn.STDEV.S('R1'!M530,'R2'!M530,'R3'!M530)</f>
        <v>1.3065484726547028E-2</v>
      </c>
      <c r="M530">
        <f>_xlfn.STDEV.S('R1'!N530,'R2'!N530,'R3'!N530)</f>
        <v>1.0167049475487784E-2</v>
      </c>
      <c r="N530">
        <f>_xlfn.STDEV.S('R1'!O530,'R2'!O530,'R3'!O530)</f>
        <v>2.6705354655853701E-3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F633-1505-404B-AFA1-30D578B7A5AC}">
  <dimension ref="A1:O530"/>
  <sheetViews>
    <sheetView tabSelected="1" workbookViewId="0">
      <selection activeCell="S7" sqref="S7"/>
    </sheetView>
  </sheetViews>
  <sheetFormatPr defaultRowHeight="15" x14ac:dyDescent="0.25"/>
  <cols>
    <col min="11" max="11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73.917398500000004</v>
      </c>
      <c r="B2">
        <v>-370.20681000000002</v>
      </c>
      <c r="C2">
        <v>-389.14865850000001</v>
      </c>
      <c r="D2">
        <v>174.30723975000001</v>
      </c>
      <c r="E2">
        <v>-165.4244195</v>
      </c>
      <c r="F2">
        <v>5.4558669999999996</v>
      </c>
      <c r="G2">
        <v>279.27840424999999</v>
      </c>
      <c r="H2">
        <v>-44</v>
      </c>
      <c r="I2">
        <v>-44</v>
      </c>
      <c r="J2">
        <v>1.1200000000000001</v>
      </c>
      <c r="K2">
        <v>22.112607000000001</v>
      </c>
      <c r="L2">
        <v>2.161315981643777</v>
      </c>
      <c r="M2">
        <v>-2.5414830714982091</v>
      </c>
      <c r="N2">
        <v>-2.0756366922060931</v>
      </c>
      <c r="O2">
        <v>-1.7975807837458411</v>
      </c>
    </row>
    <row r="3" spans="1:15" x14ac:dyDescent="0.25">
      <c r="A3">
        <v>80.686395500000003</v>
      </c>
      <c r="B3">
        <v>-375.57907875000001</v>
      </c>
      <c r="C3">
        <v>-398.12415299999998</v>
      </c>
      <c r="D3">
        <v>205.72982400000001</v>
      </c>
      <c r="E3">
        <v>-151.64276525</v>
      </c>
      <c r="F3">
        <v>5.6994312499999999</v>
      </c>
      <c r="G3">
        <v>297.70630649999998</v>
      </c>
      <c r="H3">
        <v>-44</v>
      </c>
      <c r="I3">
        <v>-40</v>
      </c>
      <c r="J3">
        <v>1.1174999999999999</v>
      </c>
      <c r="K3">
        <v>22.860755749999999</v>
      </c>
      <c r="L3">
        <v>2.0357285217380872</v>
      </c>
      <c r="M3">
        <v>-2.4715290051596841</v>
      </c>
      <c r="N3">
        <v>-1.91050703582508</v>
      </c>
      <c r="O3">
        <v>-1.669000136986913</v>
      </c>
    </row>
    <row r="4" spans="1:15" x14ac:dyDescent="0.25">
      <c r="A4">
        <v>85.785703499999997</v>
      </c>
      <c r="B4">
        <v>-378.53146349999997</v>
      </c>
      <c r="C4">
        <v>-396.09451300000001</v>
      </c>
      <c r="D4">
        <v>239.11257549999999</v>
      </c>
      <c r="E4">
        <v>-135.72027224999999</v>
      </c>
      <c r="F4">
        <v>6.28398375</v>
      </c>
      <c r="G4">
        <v>316.23046099999999</v>
      </c>
      <c r="H4">
        <v>-44</v>
      </c>
      <c r="I4">
        <v>-36</v>
      </c>
      <c r="J4">
        <v>1.1100000000000001</v>
      </c>
      <c r="K4">
        <v>23.631788499999999</v>
      </c>
      <c r="L4">
        <v>1.9153307960460879</v>
      </c>
      <c r="M4">
        <v>-2.4549719937312831</v>
      </c>
      <c r="N4">
        <v>-1.796408197311903</v>
      </c>
      <c r="O4">
        <v>-1.564445900084285</v>
      </c>
    </row>
    <row r="5" spans="1:15" x14ac:dyDescent="0.25">
      <c r="A5">
        <v>88.22254375</v>
      </c>
      <c r="B5">
        <v>-376.05875374999999</v>
      </c>
      <c r="C5">
        <v>-382.29299175</v>
      </c>
      <c r="D5">
        <v>271.09371950000002</v>
      </c>
      <c r="E5">
        <v>-119.97618875000001</v>
      </c>
      <c r="F5">
        <v>6.8198239999999997</v>
      </c>
      <c r="G5">
        <v>333.77368925000002</v>
      </c>
      <c r="H5">
        <v>-44</v>
      </c>
      <c r="I5">
        <v>-32</v>
      </c>
      <c r="J5">
        <v>1.1100000000000001</v>
      </c>
      <c r="K5">
        <v>24.271490750000002</v>
      </c>
      <c r="L5">
        <v>1.815270313664356</v>
      </c>
      <c r="M5">
        <v>-2.4967522806582769</v>
      </c>
      <c r="N5">
        <v>-1.750602205809459</v>
      </c>
      <c r="O5">
        <v>-1.489195671269405</v>
      </c>
    </row>
    <row r="6" spans="1:15" x14ac:dyDescent="0.25">
      <c r="A6">
        <v>80.776647499999996</v>
      </c>
      <c r="B6">
        <v>-366.27353675000001</v>
      </c>
      <c r="C6">
        <v>-346.97734824999998</v>
      </c>
      <c r="D6">
        <v>294.70718375000001</v>
      </c>
      <c r="E6">
        <v>-102.58187475</v>
      </c>
      <c r="F6">
        <v>6.7223984999999997</v>
      </c>
      <c r="G6">
        <v>341.27594775</v>
      </c>
      <c r="H6">
        <v>-44</v>
      </c>
      <c r="I6">
        <v>-28</v>
      </c>
      <c r="J6">
        <v>1.1100000000000001</v>
      </c>
      <c r="K6">
        <v>24.55192375</v>
      </c>
      <c r="L6">
        <v>1.6837740442911029</v>
      </c>
      <c r="M6">
        <v>-2.6018429581644051</v>
      </c>
      <c r="N6">
        <v>-1.7471859152543729</v>
      </c>
      <c r="O6">
        <v>-1.43025225744314</v>
      </c>
    </row>
    <row r="7" spans="1:15" x14ac:dyDescent="0.25">
      <c r="A7">
        <v>64.395677750000004</v>
      </c>
      <c r="B7">
        <v>-323.823036</v>
      </c>
      <c r="C7">
        <v>-278.87181850000002</v>
      </c>
      <c r="D7">
        <v>286.839653</v>
      </c>
      <c r="E7">
        <v>-79.746259750000007</v>
      </c>
      <c r="F7">
        <v>6.3814092499999999</v>
      </c>
      <c r="G7">
        <v>317.532173</v>
      </c>
      <c r="H7">
        <v>-44</v>
      </c>
      <c r="I7">
        <v>-24</v>
      </c>
      <c r="J7">
        <v>1.1100000000000001</v>
      </c>
      <c r="K7">
        <v>23.677641999999999</v>
      </c>
      <c r="L7">
        <v>1.549046187643756</v>
      </c>
      <c r="M7">
        <v>-2.7556948073040952</v>
      </c>
      <c r="N7">
        <v>-1.792782260051657</v>
      </c>
      <c r="O7">
        <v>-1.3886708946447091</v>
      </c>
    </row>
    <row r="8" spans="1:15" x14ac:dyDescent="0.25">
      <c r="A8">
        <v>46.435283750000004</v>
      </c>
      <c r="B8">
        <v>-288.71142550000002</v>
      </c>
      <c r="C8">
        <v>-218.43381500000001</v>
      </c>
      <c r="D8">
        <v>278.45383475</v>
      </c>
      <c r="E8">
        <v>-60.434100999999998</v>
      </c>
      <c r="F8">
        <v>5.6994310000000006</v>
      </c>
      <c r="G8">
        <v>297.06607824999998</v>
      </c>
      <c r="H8">
        <v>-44</v>
      </c>
      <c r="I8">
        <v>-20</v>
      </c>
      <c r="J8">
        <v>1.1100000000000001</v>
      </c>
      <c r="K8">
        <v>22.91251875</v>
      </c>
      <c r="L8">
        <v>1.3713989921925649</v>
      </c>
      <c r="M8">
        <v>-2.936581518812436</v>
      </c>
      <c r="N8">
        <v>-1.851022310466214</v>
      </c>
      <c r="O8">
        <v>-1.342422443328726</v>
      </c>
    </row>
    <row r="9" spans="1:15" x14ac:dyDescent="0.25">
      <c r="A9">
        <v>25.04526225</v>
      </c>
      <c r="B9">
        <v>-264.96793374999999</v>
      </c>
      <c r="C9">
        <v>-165.88883200000001</v>
      </c>
      <c r="D9">
        <v>268.0707625</v>
      </c>
      <c r="E9">
        <v>-48.793289250000001</v>
      </c>
      <c r="F9">
        <v>5.2610159999999997</v>
      </c>
      <c r="G9">
        <v>278.47818775000002</v>
      </c>
      <c r="H9">
        <v>-44</v>
      </c>
      <c r="I9">
        <v>-16</v>
      </c>
      <c r="J9">
        <v>1.1100000000000001</v>
      </c>
      <c r="K9">
        <v>22.187445</v>
      </c>
      <c r="L9">
        <v>1.145865238022804</v>
      </c>
      <c r="M9">
        <v>-3.198939678019316</v>
      </c>
      <c r="N9">
        <v>-1.9641053741472969</v>
      </c>
      <c r="O9">
        <v>-1.3244371107917221</v>
      </c>
    </row>
    <row r="10" spans="1:15" x14ac:dyDescent="0.25">
      <c r="A10">
        <v>4.1516327500000001</v>
      </c>
      <c r="B10">
        <v>-254.27136625</v>
      </c>
      <c r="C10">
        <v>-124.12345500000001</v>
      </c>
      <c r="D10">
        <v>266.40608974999998</v>
      </c>
      <c r="E10">
        <v>-39.873127750000002</v>
      </c>
      <c r="F10">
        <v>5.1635904999999998</v>
      </c>
      <c r="G10">
        <v>271.836319</v>
      </c>
      <c r="H10">
        <v>-44</v>
      </c>
      <c r="I10">
        <v>-12</v>
      </c>
      <c r="J10">
        <v>1.1100000000000001</v>
      </c>
      <c r="K10">
        <v>21.920083999999999</v>
      </c>
      <c r="L10">
        <v>0.85906092470911277</v>
      </c>
      <c r="M10">
        <v>-3.487134720912215</v>
      </c>
      <c r="N10">
        <v>-2.0876520677439139</v>
      </c>
      <c r="O10">
        <v>-1.3016879299986419</v>
      </c>
    </row>
    <row r="11" spans="1:15" x14ac:dyDescent="0.25">
      <c r="A11">
        <v>-20.089634</v>
      </c>
      <c r="B11">
        <v>-269.81255299999998</v>
      </c>
      <c r="C11">
        <v>-95.257528250000007</v>
      </c>
      <c r="D11">
        <v>288.68679800000001</v>
      </c>
      <c r="E11">
        <v>-36.394266250000001</v>
      </c>
      <c r="F11">
        <v>5.8455694999999999</v>
      </c>
      <c r="G11">
        <v>292.52211749999998</v>
      </c>
      <c r="H11">
        <v>-44</v>
      </c>
      <c r="I11">
        <v>-8</v>
      </c>
      <c r="J11">
        <v>1.1100000000000001</v>
      </c>
      <c r="K11">
        <v>22.727362750000001</v>
      </c>
      <c r="L11">
        <v>0.51436264854437341</v>
      </c>
      <c r="M11">
        <v>-3.821729180636154</v>
      </c>
      <c r="N11">
        <v>-2.2507532461552349</v>
      </c>
      <c r="O11">
        <v>-1.289081526670085</v>
      </c>
    </row>
    <row r="12" spans="1:15" x14ac:dyDescent="0.25">
      <c r="A12">
        <v>-50.674525500000001</v>
      </c>
      <c r="B12">
        <v>-282.61965900000001</v>
      </c>
      <c r="C12">
        <v>-59.806570999999998</v>
      </c>
      <c r="D12">
        <v>307.86950675000003</v>
      </c>
      <c r="E12">
        <v>-31.978782750000001</v>
      </c>
      <c r="F12">
        <v>6.1378455000000001</v>
      </c>
      <c r="G12">
        <v>310.98918149999997</v>
      </c>
      <c r="H12">
        <v>-44</v>
      </c>
      <c r="I12">
        <v>-4</v>
      </c>
      <c r="J12">
        <v>1.1100000000000001</v>
      </c>
      <c r="K12">
        <v>23.436734000000001</v>
      </c>
      <c r="L12">
        <v>6.5105531290259949E-2</v>
      </c>
      <c r="M12">
        <v>-4.2424984230741911</v>
      </c>
      <c r="N12">
        <v>-2.4642412540940382</v>
      </c>
      <c r="O12">
        <v>-1.274138781465499</v>
      </c>
    </row>
    <row r="13" spans="1:15" x14ac:dyDescent="0.25">
      <c r="A13">
        <v>-94.502361000000008</v>
      </c>
      <c r="B13">
        <v>-305.06807674999999</v>
      </c>
      <c r="C13">
        <v>-27.873652</v>
      </c>
      <c r="D13">
        <v>325.63648224999997</v>
      </c>
      <c r="E13">
        <v>-34.298023999999998</v>
      </c>
      <c r="F13">
        <v>6.4301219999999999</v>
      </c>
      <c r="G13">
        <v>328.49221799999998</v>
      </c>
      <c r="H13">
        <v>-44</v>
      </c>
      <c r="I13">
        <v>0</v>
      </c>
      <c r="J13">
        <v>1.1100000000000001</v>
      </c>
      <c r="K13">
        <v>24.089233749999998</v>
      </c>
      <c r="L13">
        <v>-0.40263144525804889</v>
      </c>
      <c r="M13">
        <v>-3.8112156135889532</v>
      </c>
      <c r="N13">
        <v>-2.1922799513878548</v>
      </c>
      <c r="O13">
        <v>-1.246127790834854</v>
      </c>
    </row>
    <row r="14" spans="1:15" x14ac:dyDescent="0.25">
      <c r="A14">
        <v>-138.96081175</v>
      </c>
      <c r="B14">
        <v>-323.15149700000001</v>
      </c>
      <c r="C14">
        <v>7.6324007500000004</v>
      </c>
      <c r="D14">
        <v>340.68503575</v>
      </c>
      <c r="E14">
        <v>-32.915400750000003</v>
      </c>
      <c r="F14">
        <v>6.6249729999999998</v>
      </c>
      <c r="G14">
        <v>345.27694700000001</v>
      </c>
      <c r="H14">
        <v>-44</v>
      </c>
      <c r="I14">
        <v>4</v>
      </c>
      <c r="J14">
        <v>1.1100000000000001</v>
      </c>
      <c r="K14">
        <v>24.701885749999999</v>
      </c>
      <c r="L14">
        <v>-0.73988596033927934</v>
      </c>
      <c r="M14">
        <v>-3.3505291018719738</v>
      </c>
      <c r="N14">
        <v>-1.9089104216809409</v>
      </c>
      <c r="O14">
        <v>-1.199642345719188</v>
      </c>
    </row>
    <row r="15" spans="1:15" x14ac:dyDescent="0.25">
      <c r="A15">
        <v>-173.37444675</v>
      </c>
      <c r="B15">
        <v>-311.63951125</v>
      </c>
      <c r="C15">
        <v>35.181296250000003</v>
      </c>
      <c r="D15">
        <v>318.80219275000002</v>
      </c>
      <c r="E15">
        <v>-35.992857000000001</v>
      </c>
      <c r="F15">
        <v>6.3326965</v>
      </c>
      <c r="G15">
        <v>326.25157925000002</v>
      </c>
      <c r="H15">
        <v>-44</v>
      </c>
      <c r="I15">
        <v>8</v>
      </c>
      <c r="J15">
        <v>1.1100000000000001</v>
      </c>
      <c r="K15">
        <v>24.008942999999999</v>
      </c>
      <c r="L15">
        <v>-1.0099142927357561</v>
      </c>
      <c r="M15">
        <v>-3.0527975157933982</v>
      </c>
      <c r="N15">
        <v>-1.7541496076315211</v>
      </c>
      <c r="O15">
        <v>-1.2049804076582959</v>
      </c>
    </row>
    <row r="16" spans="1:15" x14ac:dyDescent="0.25">
      <c r="A16">
        <v>-199.49999249999999</v>
      </c>
      <c r="B16">
        <v>-293.69996624999999</v>
      </c>
      <c r="C16">
        <v>58.439788</v>
      </c>
      <c r="D16">
        <v>293.36775175000002</v>
      </c>
      <c r="E16">
        <v>-36.43886475</v>
      </c>
      <c r="F16">
        <v>6.1378455000000001</v>
      </c>
      <c r="G16">
        <v>305.06784850000003</v>
      </c>
      <c r="H16">
        <v>-44</v>
      </c>
      <c r="I16">
        <v>12</v>
      </c>
      <c r="J16">
        <v>1.1100000000000001</v>
      </c>
      <c r="K16">
        <v>23.208008249999999</v>
      </c>
      <c r="L16">
        <v>-1.2272851273120831</v>
      </c>
      <c r="M16">
        <v>-2.793518839362934</v>
      </c>
      <c r="N16">
        <v>-1.6250425528135439</v>
      </c>
      <c r="O16">
        <v>-1.202582217646659</v>
      </c>
    </row>
    <row r="17" spans="1:15" x14ac:dyDescent="0.25">
      <c r="A17">
        <v>-220.8959045</v>
      </c>
      <c r="B17">
        <v>-278.01486199999999</v>
      </c>
      <c r="C17">
        <v>72.078750749999998</v>
      </c>
      <c r="D17">
        <v>268.175453</v>
      </c>
      <c r="E17">
        <v>-42.103167499999998</v>
      </c>
      <c r="F17">
        <v>5.5532925000000004</v>
      </c>
      <c r="G17">
        <v>285.54363224999997</v>
      </c>
      <c r="H17">
        <v>-44</v>
      </c>
      <c r="I17">
        <v>16</v>
      </c>
      <c r="J17">
        <v>1.1125</v>
      </c>
      <c r="K17">
        <v>22.435682249999999</v>
      </c>
      <c r="L17">
        <v>-1.4129527219150431</v>
      </c>
      <c r="M17">
        <v>-2.634138379777418</v>
      </c>
      <c r="N17">
        <v>-1.5801673399894569</v>
      </c>
      <c r="O17">
        <v>-1.229843759924957</v>
      </c>
    </row>
    <row r="18" spans="1:15" x14ac:dyDescent="0.25">
      <c r="A18">
        <v>-240.94049475</v>
      </c>
      <c r="B18">
        <v>-269.23695350000003</v>
      </c>
      <c r="C18">
        <v>79.756315499999999</v>
      </c>
      <c r="D18">
        <v>242.13559724999999</v>
      </c>
      <c r="E18">
        <v>-52.182950750000003</v>
      </c>
      <c r="F18">
        <v>5.2610159999999997</v>
      </c>
      <c r="G18">
        <v>268.39534750000001</v>
      </c>
      <c r="H18">
        <v>-44</v>
      </c>
      <c r="I18">
        <v>20</v>
      </c>
      <c r="J18">
        <v>1.1200000000000001</v>
      </c>
      <c r="K18">
        <v>21.676755249999999</v>
      </c>
      <c r="L18">
        <v>-1.580552852336816</v>
      </c>
      <c r="M18">
        <v>-2.520302758366785</v>
      </c>
      <c r="N18">
        <v>-1.579993924615265</v>
      </c>
      <c r="O18">
        <v>-1.283119983937826</v>
      </c>
    </row>
    <row r="19" spans="1:15" x14ac:dyDescent="0.25">
      <c r="A19">
        <v>-291.434845</v>
      </c>
      <c r="B19">
        <v>-302.42991625000002</v>
      </c>
      <c r="C19">
        <v>95.6985435</v>
      </c>
      <c r="D19">
        <v>246.6478195</v>
      </c>
      <c r="E19">
        <v>-72.208719250000001</v>
      </c>
      <c r="F19">
        <v>5.8942819999999996</v>
      </c>
      <c r="G19">
        <v>285.10356124999998</v>
      </c>
      <c r="H19">
        <v>-44</v>
      </c>
      <c r="I19">
        <v>24</v>
      </c>
      <c r="J19">
        <v>1.1200000000000001</v>
      </c>
      <c r="K19">
        <v>22.32906225</v>
      </c>
      <c r="L19">
        <v>-1.722716501248295</v>
      </c>
      <c r="M19">
        <v>-2.4433606229371181</v>
      </c>
      <c r="N19">
        <v>-1.5900260729026601</v>
      </c>
      <c r="O19">
        <v>-1.3475536227066329</v>
      </c>
    </row>
    <row r="20" spans="1:15" x14ac:dyDescent="0.25">
      <c r="A20">
        <v>-344.27147650000001</v>
      </c>
      <c r="B20">
        <v>-344.49668124999999</v>
      </c>
      <c r="C20">
        <v>109.56330850000001</v>
      </c>
      <c r="D20">
        <v>249.24855024999999</v>
      </c>
      <c r="E20">
        <v>-100.1734275</v>
      </c>
      <c r="F20">
        <v>6.1865585000000003</v>
      </c>
      <c r="G20">
        <v>303.98770124999999</v>
      </c>
      <c r="H20">
        <v>-44</v>
      </c>
      <c r="I20">
        <v>28</v>
      </c>
      <c r="J20">
        <v>1.1200000000000001</v>
      </c>
      <c r="K20">
        <v>23.060499</v>
      </c>
      <c r="L20">
        <v>-1.8584768203520481</v>
      </c>
      <c r="M20">
        <v>-2.431416392608817</v>
      </c>
      <c r="N20">
        <v>-1.655112919193839</v>
      </c>
      <c r="O20">
        <v>-1.4355959167191761</v>
      </c>
    </row>
    <row r="21" spans="1:15" x14ac:dyDescent="0.25">
      <c r="A21">
        <v>-397.46847524999998</v>
      </c>
      <c r="B21">
        <v>-392.94303150000002</v>
      </c>
      <c r="C21">
        <v>120.49254974999999</v>
      </c>
      <c r="D21">
        <v>245.15838625000001</v>
      </c>
      <c r="E21">
        <v>-140.76016999999999</v>
      </c>
      <c r="F21">
        <v>6.3814092499999999</v>
      </c>
      <c r="G21">
        <v>321.59163649999999</v>
      </c>
      <c r="H21">
        <v>-44</v>
      </c>
      <c r="I21">
        <v>32</v>
      </c>
      <c r="J21">
        <v>1.1200000000000001</v>
      </c>
      <c r="K21">
        <v>23.724978</v>
      </c>
      <c r="L21">
        <v>-2.0356687345549949</v>
      </c>
      <c r="M21">
        <v>-2.5078325635119909</v>
      </c>
      <c r="N21">
        <v>-1.81712804458688</v>
      </c>
      <c r="O21">
        <v>-1.57830259719743</v>
      </c>
    </row>
    <row r="22" spans="1:15" x14ac:dyDescent="0.25">
      <c r="A22">
        <v>-451.38615425</v>
      </c>
      <c r="B22">
        <v>-443.09899174999998</v>
      </c>
      <c r="C22">
        <v>128.03462225000001</v>
      </c>
      <c r="D22">
        <v>237.17000175000001</v>
      </c>
      <c r="E22">
        <v>-187.68022525000001</v>
      </c>
      <c r="F22">
        <v>6.8198239999999997</v>
      </c>
      <c r="G22">
        <v>338.61505125000002</v>
      </c>
      <c r="H22">
        <v>-44</v>
      </c>
      <c r="I22">
        <v>36</v>
      </c>
      <c r="J22">
        <v>1.1200000000000001</v>
      </c>
      <c r="K22">
        <v>24.341134</v>
      </c>
      <c r="L22">
        <v>-2.2323092399290969</v>
      </c>
      <c r="M22">
        <v>-2.62085331755492</v>
      </c>
      <c r="N22">
        <v>-2.0276479358745041</v>
      </c>
      <c r="O22">
        <v>-1.7493469607932139</v>
      </c>
    </row>
    <row r="23" spans="1:15" x14ac:dyDescent="0.25">
      <c r="A23">
        <v>-471.43077099999999</v>
      </c>
      <c r="B23">
        <v>-460.22431949999998</v>
      </c>
      <c r="C23">
        <v>125.73135575000001</v>
      </c>
      <c r="D23">
        <v>210.81163025000001</v>
      </c>
      <c r="E23">
        <v>-226.97353724999999</v>
      </c>
      <c r="F23">
        <v>6.7711112499999997</v>
      </c>
      <c r="G23">
        <v>334.25382975000002</v>
      </c>
      <c r="H23">
        <v>-44</v>
      </c>
      <c r="I23">
        <v>40</v>
      </c>
      <c r="J23">
        <v>1.1200000000000001</v>
      </c>
      <c r="K23">
        <v>24.182412249999999</v>
      </c>
      <c r="L23">
        <v>-2.5003324064681669</v>
      </c>
      <c r="M23">
        <v>-2.809643920089556</v>
      </c>
      <c r="N23">
        <v>-2.349962608582941</v>
      </c>
      <c r="O23">
        <v>-1.978752496792769</v>
      </c>
    </row>
    <row r="24" spans="1:15" x14ac:dyDescent="0.25">
      <c r="A24">
        <v>-463.72822574999998</v>
      </c>
      <c r="B24">
        <v>-453.55650350000002</v>
      </c>
      <c r="C24">
        <v>111.3246365</v>
      </c>
      <c r="D24">
        <v>173.1354485</v>
      </c>
      <c r="E24">
        <v>-252.61900324999999</v>
      </c>
      <c r="F24">
        <v>6.235271</v>
      </c>
      <c r="G24">
        <v>312.02950299999998</v>
      </c>
      <c r="H24">
        <v>-44</v>
      </c>
      <c r="I24">
        <v>44</v>
      </c>
      <c r="J24">
        <v>1.1200000000000001</v>
      </c>
      <c r="K24">
        <v>23.3679345</v>
      </c>
      <c r="L24">
        <v>-2.791236001658421</v>
      </c>
      <c r="M24">
        <v>-3.0418880587092341</v>
      </c>
      <c r="N24">
        <v>-2.7407416373849389</v>
      </c>
      <c r="O24">
        <v>-2.2564557824211651</v>
      </c>
    </row>
    <row r="25" spans="1:15" x14ac:dyDescent="0.25">
      <c r="A25">
        <v>112.5006655</v>
      </c>
      <c r="B25">
        <v>-379.2725145</v>
      </c>
      <c r="C25">
        <v>-393.343231</v>
      </c>
      <c r="D25">
        <v>176.508858</v>
      </c>
      <c r="E25">
        <v>-131.88460524999999</v>
      </c>
      <c r="F25">
        <v>5.4071542499999996</v>
      </c>
      <c r="G25">
        <v>285.42349975000002</v>
      </c>
      <c r="H25">
        <v>-40</v>
      </c>
      <c r="I25">
        <v>-44</v>
      </c>
      <c r="J25">
        <v>1.1200000000000001</v>
      </c>
      <c r="K25">
        <v>22.361319250000001</v>
      </c>
      <c r="L25">
        <v>1.988213147552816</v>
      </c>
      <c r="M25">
        <v>-2.1845044002066651</v>
      </c>
      <c r="N25">
        <v>-1.6402450647411</v>
      </c>
      <c r="O25">
        <v>-1.5396346397027321</v>
      </c>
    </row>
    <row r="26" spans="1:15" x14ac:dyDescent="0.25">
      <c r="A26">
        <v>107.5818635</v>
      </c>
      <c r="B26">
        <v>-328.23596974999998</v>
      </c>
      <c r="C26">
        <v>-344.76729599999999</v>
      </c>
      <c r="D26">
        <v>185.22689825</v>
      </c>
      <c r="E26">
        <v>-96.783765500000001</v>
      </c>
      <c r="F26">
        <v>5.1148777499999998</v>
      </c>
      <c r="G26">
        <v>268.17977124999999</v>
      </c>
      <c r="H26">
        <v>-40</v>
      </c>
      <c r="I26">
        <v>-40</v>
      </c>
      <c r="J26">
        <v>1.1200000000000001</v>
      </c>
      <c r="K26">
        <v>21.673906500000001</v>
      </c>
      <c r="L26">
        <v>1.887029034303489</v>
      </c>
      <c r="M26">
        <v>-2.141977219731265</v>
      </c>
      <c r="N26">
        <v>-1.5225053686483609</v>
      </c>
      <c r="O26">
        <v>-1.425088269098211</v>
      </c>
    </row>
    <row r="27" spans="1:15" x14ac:dyDescent="0.25">
      <c r="A27">
        <v>115.70465274999999</v>
      </c>
      <c r="B27">
        <v>-320.51332100000002</v>
      </c>
      <c r="C27">
        <v>-336.46835299999998</v>
      </c>
      <c r="D27">
        <v>216.28787224999999</v>
      </c>
      <c r="E27">
        <v>-73.145334500000004</v>
      </c>
      <c r="F27">
        <v>5.6507182500000006</v>
      </c>
      <c r="G27">
        <v>284.83997325000001</v>
      </c>
      <c r="H27">
        <v>-40</v>
      </c>
      <c r="I27">
        <v>-36</v>
      </c>
      <c r="J27">
        <v>1.1200000000000001</v>
      </c>
      <c r="K27">
        <v>22.328249</v>
      </c>
      <c r="L27">
        <v>1.7708291226137021</v>
      </c>
      <c r="M27">
        <v>-2.102255964013839</v>
      </c>
      <c r="N27">
        <v>-1.4019676123293849</v>
      </c>
      <c r="O27">
        <v>-1.3085876108981711</v>
      </c>
    </row>
    <row r="28" spans="1:15" x14ac:dyDescent="0.25">
      <c r="A28">
        <v>120.71371075</v>
      </c>
      <c r="B28">
        <v>-315.8125915</v>
      </c>
      <c r="C28">
        <v>-319.82534025000001</v>
      </c>
      <c r="D28">
        <v>248.88222500000001</v>
      </c>
      <c r="E28">
        <v>-52.182951750000001</v>
      </c>
      <c r="F28">
        <v>6.0891330000000004</v>
      </c>
      <c r="G28">
        <v>303.605232</v>
      </c>
      <c r="H28">
        <v>-40</v>
      </c>
      <c r="I28">
        <v>-32</v>
      </c>
      <c r="J28">
        <v>1.1200000000000001</v>
      </c>
      <c r="K28">
        <v>23.049472999999999</v>
      </c>
      <c r="L28">
        <v>1.658431163720663</v>
      </c>
      <c r="M28">
        <v>-2.1258194437133868</v>
      </c>
      <c r="N28">
        <v>-1.3393846348177381</v>
      </c>
      <c r="O28">
        <v>-1.2193683361471921</v>
      </c>
    </row>
    <row r="29" spans="1:15" x14ac:dyDescent="0.25">
      <c r="A29">
        <v>120.39782700000001</v>
      </c>
      <c r="B29">
        <v>-311.543587</v>
      </c>
      <c r="C29">
        <v>-294.38726025</v>
      </c>
      <c r="D29">
        <v>279.85563674999997</v>
      </c>
      <c r="E29">
        <v>-32.647797500000003</v>
      </c>
      <c r="F29">
        <v>6.3814092499999999</v>
      </c>
      <c r="G29">
        <v>321.13015000000001</v>
      </c>
      <c r="H29">
        <v>-40</v>
      </c>
      <c r="I29">
        <v>-28</v>
      </c>
      <c r="J29">
        <v>1.1200000000000001</v>
      </c>
      <c r="K29">
        <v>23.707609000000001</v>
      </c>
      <c r="L29">
        <v>1.53445974687706</v>
      </c>
      <c r="M29">
        <v>-2.1878836833101309</v>
      </c>
      <c r="N29">
        <v>-1.308840407345462</v>
      </c>
      <c r="O29">
        <v>-1.1444356645441689</v>
      </c>
    </row>
    <row r="30" spans="1:15" x14ac:dyDescent="0.25">
      <c r="A30">
        <v>112.816557</v>
      </c>
      <c r="B30">
        <v>-307.17861175000002</v>
      </c>
      <c r="C30">
        <v>-263.49170700000002</v>
      </c>
      <c r="D30">
        <v>308.87715900000001</v>
      </c>
      <c r="E30">
        <v>-18.06333025</v>
      </c>
      <c r="F30">
        <v>6.8685367500000014</v>
      </c>
      <c r="G30">
        <v>337.87519824999998</v>
      </c>
      <c r="H30">
        <v>-40</v>
      </c>
      <c r="I30">
        <v>-24</v>
      </c>
      <c r="J30">
        <v>1.1200000000000001</v>
      </c>
      <c r="K30">
        <v>24.312197250000001</v>
      </c>
      <c r="L30">
        <v>1.408012259842814</v>
      </c>
      <c r="M30">
        <v>-2.3050646357530602</v>
      </c>
      <c r="N30">
        <v>-1.3318455379297769</v>
      </c>
      <c r="O30">
        <v>-1.093338451879363</v>
      </c>
    </row>
    <row r="31" spans="1:15" x14ac:dyDescent="0.25">
      <c r="A31">
        <v>98.466285749999997</v>
      </c>
      <c r="B31">
        <v>-287.17649825000001</v>
      </c>
      <c r="C31">
        <v>-212.79594399999999</v>
      </c>
      <c r="D31">
        <v>319.56726049999997</v>
      </c>
      <c r="E31">
        <v>0.76024449999999999</v>
      </c>
      <c r="F31">
        <v>6.6249729999999998</v>
      </c>
      <c r="G31">
        <v>337.05461874999997</v>
      </c>
      <c r="H31">
        <v>-40</v>
      </c>
      <c r="I31">
        <v>-20</v>
      </c>
      <c r="J31">
        <v>1.1200000000000001</v>
      </c>
      <c r="K31">
        <v>24.290983749999999</v>
      </c>
      <c r="L31">
        <v>1.241355196002198</v>
      </c>
      <c r="M31">
        <v>-2.419787254655422</v>
      </c>
      <c r="N31">
        <v>-1.3412228146639169</v>
      </c>
      <c r="O31">
        <v>-1.0234081559138</v>
      </c>
    </row>
    <row r="32" spans="1:15" x14ac:dyDescent="0.25">
      <c r="A32">
        <v>72.383094749999998</v>
      </c>
      <c r="B32">
        <v>-257.389206</v>
      </c>
      <c r="C32">
        <v>-151.99710450000001</v>
      </c>
      <c r="D32">
        <v>305.81039449999997</v>
      </c>
      <c r="E32">
        <v>12.245983000000001</v>
      </c>
      <c r="F32">
        <v>6.28398375</v>
      </c>
      <c r="G32">
        <v>314.71009049999998</v>
      </c>
      <c r="H32">
        <v>-40</v>
      </c>
      <c r="I32">
        <v>-16</v>
      </c>
      <c r="J32">
        <v>1.1200000000000001</v>
      </c>
      <c r="K32">
        <v>23.468273750000002</v>
      </c>
      <c r="L32">
        <v>1.0343150485439709</v>
      </c>
      <c r="M32">
        <v>-2.596157006088696</v>
      </c>
      <c r="N32">
        <v>-1.3942713744559629</v>
      </c>
      <c r="O32">
        <v>-0.97253785485870314</v>
      </c>
    </row>
    <row r="33" spans="1:15" x14ac:dyDescent="0.25">
      <c r="A33">
        <v>45.216864749999999</v>
      </c>
      <c r="B33">
        <v>-236.76351925</v>
      </c>
      <c r="C33">
        <v>-100.53457825</v>
      </c>
      <c r="D33">
        <v>291.87793725</v>
      </c>
      <c r="E33">
        <v>18.860605499999998</v>
      </c>
      <c r="F33">
        <v>5.7968567499999999</v>
      </c>
      <c r="G33">
        <v>294.56854249999998</v>
      </c>
      <c r="H33">
        <v>-40</v>
      </c>
      <c r="I33">
        <v>-12</v>
      </c>
      <c r="J33">
        <v>1.1200000000000001</v>
      </c>
      <c r="K33">
        <v>22.708221250000001</v>
      </c>
      <c r="L33">
        <v>0.77730406430480237</v>
      </c>
      <c r="M33">
        <v>-2.819299648336298</v>
      </c>
      <c r="N33">
        <v>-1.4704050176724739</v>
      </c>
      <c r="O33">
        <v>-0.93033640390751615</v>
      </c>
    </row>
    <row r="34" spans="1:15" x14ac:dyDescent="0.25">
      <c r="A34">
        <v>18.050634500000001</v>
      </c>
      <c r="B34">
        <v>-218.05650700000001</v>
      </c>
      <c r="C34">
        <v>-54.845243500000002</v>
      </c>
      <c r="D34">
        <v>275.72885124999999</v>
      </c>
      <c r="E34">
        <v>23.508718500000001</v>
      </c>
      <c r="F34">
        <v>5.3097287499999997</v>
      </c>
      <c r="G34">
        <v>276.60543825000002</v>
      </c>
      <c r="H34">
        <v>-40</v>
      </c>
      <c r="I34">
        <v>-8</v>
      </c>
      <c r="J34">
        <v>1.1200000000000001</v>
      </c>
      <c r="K34">
        <v>22.0103635</v>
      </c>
      <c r="L34">
        <v>0.45570551861478331</v>
      </c>
      <c r="M34">
        <v>-3.0870234418450182</v>
      </c>
      <c r="N34">
        <v>-1.5823213004397989</v>
      </c>
      <c r="O34">
        <v>-0.8862439831620802</v>
      </c>
    </row>
    <row r="35" spans="1:15" x14ac:dyDescent="0.25">
      <c r="A35">
        <v>-6.9818227500000001</v>
      </c>
      <c r="B35">
        <v>-214.41106049999999</v>
      </c>
      <c r="C35">
        <v>-19.349186</v>
      </c>
      <c r="D35">
        <v>274.56322475000002</v>
      </c>
      <c r="E35">
        <v>28.290910749999998</v>
      </c>
      <c r="F35">
        <v>5.3097287499999997</v>
      </c>
      <c r="G35">
        <v>274.78125</v>
      </c>
      <c r="H35">
        <v>-40</v>
      </c>
      <c r="I35">
        <v>-4</v>
      </c>
      <c r="J35">
        <v>1.1200000000000001</v>
      </c>
      <c r="K35">
        <v>21.936231249999999</v>
      </c>
      <c r="L35">
        <v>8.5198506350799091E-2</v>
      </c>
      <c r="M35">
        <v>-3.368353694327642</v>
      </c>
      <c r="N35">
        <v>-1.698016332751513</v>
      </c>
      <c r="O35">
        <v>-0.84173325987546965</v>
      </c>
    </row>
    <row r="36" spans="1:15" x14ac:dyDescent="0.25">
      <c r="A36">
        <v>-40.674753250000002</v>
      </c>
      <c r="B36">
        <v>-230.52784700000001</v>
      </c>
      <c r="C36">
        <v>13.774449000000001</v>
      </c>
      <c r="D36">
        <v>294.35656749999998</v>
      </c>
      <c r="E36">
        <v>32.447398</v>
      </c>
      <c r="F36">
        <v>5.7481435000000003</v>
      </c>
      <c r="G36">
        <v>294.38552099999998</v>
      </c>
      <c r="H36">
        <v>-40</v>
      </c>
      <c r="I36">
        <v>0</v>
      </c>
      <c r="J36">
        <v>1.1200000000000001</v>
      </c>
      <c r="K36">
        <v>22.702925749999999</v>
      </c>
      <c r="L36">
        <v>-0.32411903238235978</v>
      </c>
      <c r="M36">
        <v>-3.1235944063198908</v>
      </c>
      <c r="N36">
        <v>-1.558869900201395</v>
      </c>
      <c r="O36">
        <v>-0.84122044149800168</v>
      </c>
    </row>
    <row r="37" spans="1:15" x14ac:dyDescent="0.25">
      <c r="A37">
        <v>-80.944112500000003</v>
      </c>
      <c r="B37">
        <v>-246.93246099999999</v>
      </c>
      <c r="C37">
        <v>47.420231749999999</v>
      </c>
      <c r="D37">
        <v>311.06777949999997</v>
      </c>
      <c r="E37">
        <v>35.97817525</v>
      </c>
      <c r="F37">
        <v>6.18655825</v>
      </c>
      <c r="G37">
        <v>312.37148300000001</v>
      </c>
      <c r="H37">
        <v>-40</v>
      </c>
      <c r="I37">
        <v>4</v>
      </c>
      <c r="J37">
        <v>1.1200000000000001</v>
      </c>
      <c r="K37">
        <v>23.382859499999999</v>
      </c>
      <c r="L37">
        <v>-0.64208545130663042</v>
      </c>
      <c r="M37">
        <v>-2.7912228094914231</v>
      </c>
      <c r="N37">
        <v>-1.382591968291446</v>
      </c>
      <c r="O37">
        <v>-0.85099368755210947</v>
      </c>
    </row>
    <row r="38" spans="1:15" x14ac:dyDescent="0.25">
      <c r="A38">
        <v>-131.123154</v>
      </c>
      <c r="B38">
        <v>-269.28491200000002</v>
      </c>
      <c r="C38">
        <v>76.956260499999999</v>
      </c>
      <c r="D38">
        <v>326.31221025000002</v>
      </c>
      <c r="E38">
        <v>31.195982999999998</v>
      </c>
      <c r="F38">
        <v>6.5275474999999998</v>
      </c>
      <c r="G38">
        <v>329.59506199999998</v>
      </c>
      <c r="H38">
        <v>-40</v>
      </c>
      <c r="I38">
        <v>8</v>
      </c>
      <c r="J38">
        <v>1.1200000000000001</v>
      </c>
      <c r="K38">
        <v>24.01885875</v>
      </c>
      <c r="L38">
        <v>-0.89923266128310775</v>
      </c>
      <c r="M38">
        <v>-2.5738998696535118</v>
      </c>
      <c r="N38">
        <v>-1.2895562942012899</v>
      </c>
      <c r="O38">
        <v>-0.89341059045543814</v>
      </c>
    </row>
    <row r="39" spans="1:15" x14ac:dyDescent="0.25">
      <c r="A39">
        <v>-181.97784824999999</v>
      </c>
      <c r="B39">
        <v>-287.65616575000001</v>
      </c>
      <c r="C39">
        <v>108.84071900000001</v>
      </c>
      <c r="D39">
        <v>337.33287825000002</v>
      </c>
      <c r="E39">
        <v>27.754590499999999</v>
      </c>
      <c r="F39">
        <v>7.0146750000000004</v>
      </c>
      <c r="G39">
        <v>345.85688775</v>
      </c>
      <c r="H39">
        <v>-40</v>
      </c>
      <c r="I39">
        <v>12</v>
      </c>
      <c r="J39">
        <v>1.1200000000000001</v>
      </c>
      <c r="K39">
        <v>24.598257749999998</v>
      </c>
      <c r="L39">
        <v>-1.1075852574764511</v>
      </c>
      <c r="M39">
        <v>-2.3802532549496189</v>
      </c>
      <c r="N39">
        <v>-1.211484856391714</v>
      </c>
      <c r="O39">
        <v>-0.92099955323820415</v>
      </c>
    </row>
    <row r="40" spans="1:15" x14ac:dyDescent="0.25">
      <c r="A40">
        <v>-213.508667</v>
      </c>
      <c r="B40">
        <v>-273.31411750000001</v>
      </c>
      <c r="C40">
        <v>121.847416</v>
      </c>
      <c r="D40">
        <v>308.78957374999999</v>
      </c>
      <c r="E40">
        <v>13.63147775</v>
      </c>
      <c r="F40">
        <v>6.3326965</v>
      </c>
      <c r="G40">
        <v>324.89121275000002</v>
      </c>
      <c r="H40">
        <v>-40</v>
      </c>
      <c r="I40">
        <v>16</v>
      </c>
      <c r="J40">
        <v>1.1200000000000001</v>
      </c>
      <c r="K40">
        <v>23.850638</v>
      </c>
      <c r="L40">
        <v>-1.304655975755346</v>
      </c>
      <c r="M40">
        <v>-2.264639851649902</v>
      </c>
      <c r="N40">
        <v>-1.210939314795761</v>
      </c>
      <c r="O40">
        <v>-0.97160614791754185</v>
      </c>
    </row>
    <row r="41" spans="1:15" x14ac:dyDescent="0.25">
      <c r="A41">
        <v>-237.51714325</v>
      </c>
      <c r="B41">
        <v>-267.74998475000001</v>
      </c>
      <c r="C41">
        <v>129.88627224999999</v>
      </c>
      <c r="D41">
        <v>279.71596525000001</v>
      </c>
      <c r="E41">
        <v>-0.44444024999999998</v>
      </c>
      <c r="F41">
        <v>5.9917077499999998</v>
      </c>
      <c r="G41">
        <v>303.827583</v>
      </c>
      <c r="H41">
        <v>-40</v>
      </c>
      <c r="I41">
        <v>20</v>
      </c>
      <c r="J41">
        <v>1.1200000000000001</v>
      </c>
      <c r="K41">
        <v>23.061851749999999</v>
      </c>
      <c r="L41">
        <v>-1.4568993745973919</v>
      </c>
      <c r="M41">
        <v>-2.1709466193130091</v>
      </c>
      <c r="N41">
        <v>-1.206624273734989</v>
      </c>
      <c r="O41">
        <v>-1.025572811702868</v>
      </c>
    </row>
    <row r="42" spans="1:15" x14ac:dyDescent="0.25">
      <c r="A42">
        <v>-258.50765999999999</v>
      </c>
      <c r="B42">
        <v>-269.9084775</v>
      </c>
      <c r="C42">
        <v>132.37018599999999</v>
      </c>
      <c r="D42">
        <v>250.28413775000001</v>
      </c>
      <c r="E42">
        <v>-21.452991749999999</v>
      </c>
      <c r="F42">
        <v>5.4558669999999996</v>
      </c>
      <c r="G42">
        <v>285.02351349999998</v>
      </c>
      <c r="H42">
        <v>-40</v>
      </c>
      <c r="I42">
        <v>24</v>
      </c>
      <c r="J42">
        <v>1.1200000000000001</v>
      </c>
      <c r="K42">
        <v>22.343397</v>
      </c>
      <c r="L42">
        <v>-1.610173114850056</v>
      </c>
      <c r="M42">
        <v>-2.1429056093652421</v>
      </c>
      <c r="N42">
        <v>-1.2625224137828881</v>
      </c>
      <c r="O42">
        <v>-1.1108587184605681</v>
      </c>
    </row>
    <row r="43" spans="1:15" x14ac:dyDescent="0.25">
      <c r="A43">
        <v>-275.03881849999999</v>
      </c>
      <c r="B43">
        <v>-275.04092400000002</v>
      </c>
      <c r="C43">
        <v>129.208832</v>
      </c>
      <c r="D43">
        <v>220.90198899999999</v>
      </c>
      <c r="E43">
        <v>-45.626634750000001</v>
      </c>
      <c r="F43">
        <v>5.2123032499999997</v>
      </c>
      <c r="G43">
        <v>267.81966399999999</v>
      </c>
      <c r="H43">
        <v>-40</v>
      </c>
      <c r="I43">
        <v>28</v>
      </c>
      <c r="J43">
        <v>1.1200000000000001</v>
      </c>
      <c r="K43">
        <v>21.655049999999999</v>
      </c>
      <c r="L43">
        <v>-1.762183296848203</v>
      </c>
      <c r="M43">
        <v>-2.161861401595802</v>
      </c>
      <c r="N43">
        <v>-1.3663833900712981</v>
      </c>
      <c r="O43">
        <v>-1.2216569061069209</v>
      </c>
    </row>
    <row r="44" spans="1:15" x14ac:dyDescent="0.25">
      <c r="A44">
        <v>-322.01974474999997</v>
      </c>
      <c r="B44">
        <v>-318.40280150000001</v>
      </c>
      <c r="C44">
        <v>140.72518174999999</v>
      </c>
      <c r="D44">
        <v>218.8267975</v>
      </c>
      <c r="E44">
        <v>-83.983331500000006</v>
      </c>
      <c r="F44">
        <v>5.5532925000000004</v>
      </c>
      <c r="G44">
        <v>284.79040524999999</v>
      </c>
      <c r="H44">
        <v>-40</v>
      </c>
      <c r="I44">
        <v>32</v>
      </c>
      <c r="J44">
        <v>1.1200000000000001</v>
      </c>
      <c r="K44">
        <v>22.33018375</v>
      </c>
      <c r="L44">
        <v>-1.958921381760105</v>
      </c>
      <c r="M44">
        <v>-2.2742354062004919</v>
      </c>
      <c r="N44">
        <v>-1.561131507793684</v>
      </c>
      <c r="O44">
        <v>-1.3790418711022041</v>
      </c>
    </row>
    <row r="45" spans="1:15" x14ac:dyDescent="0.25">
      <c r="A45">
        <v>-373.05461874999997</v>
      </c>
      <c r="B45">
        <v>-367.95237750000001</v>
      </c>
      <c r="C45">
        <v>151.24795524999999</v>
      </c>
      <c r="D45">
        <v>212.81020749999999</v>
      </c>
      <c r="E45">
        <v>-130.63578025000001</v>
      </c>
      <c r="F45">
        <v>6.0404200000000001</v>
      </c>
      <c r="G45">
        <v>303.55233750000002</v>
      </c>
      <c r="H45">
        <v>-40</v>
      </c>
      <c r="I45">
        <v>36</v>
      </c>
      <c r="J45">
        <v>1.1200000000000001</v>
      </c>
      <c r="K45">
        <v>23.049299999999999</v>
      </c>
      <c r="L45">
        <v>-2.1858157585652762</v>
      </c>
      <c r="M45">
        <v>-2.4211937300773321</v>
      </c>
      <c r="N45">
        <v>-1.81013289650955</v>
      </c>
      <c r="O45">
        <v>-1.5698030422939251</v>
      </c>
    </row>
    <row r="46" spans="1:15" x14ac:dyDescent="0.25">
      <c r="A46">
        <v>-428.86415875</v>
      </c>
      <c r="B46">
        <v>-421.00352475</v>
      </c>
      <c r="C46">
        <v>158.88035600000001</v>
      </c>
      <c r="D46">
        <v>202.26889800000001</v>
      </c>
      <c r="E46">
        <v>-181.48071275000001</v>
      </c>
      <c r="F46">
        <v>6.3326965</v>
      </c>
      <c r="G46">
        <v>320.81006624999998</v>
      </c>
      <c r="H46">
        <v>-40</v>
      </c>
      <c r="I46">
        <v>40</v>
      </c>
      <c r="J46">
        <v>1.1200000000000001</v>
      </c>
      <c r="K46">
        <v>23.697373249999998</v>
      </c>
      <c r="L46">
        <v>-2.414317447528664</v>
      </c>
      <c r="M46">
        <v>-2.5602663011226721</v>
      </c>
      <c r="N46">
        <v>-2.0633652539313858</v>
      </c>
      <c r="O46">
        <v>-1.7715595098167061</v>
      </c>
    </row>
    <row r="47" spans="1:15" x14ac:dyDescent="0.25">
      <c r="A47">
        <v>-485.169174</v>
      </c>
      <c r="B47">
        <v>-476.83673850000002</v>
      </c>
      <c r="C47">
        <v>159.42229825000001</v>
      </c>
      <c r="D47">
        <v>185.0196115</v>
      </c>
      <c r="E47">
        <v>-243.29744725</v>
      </c>
      <c r="F47">
        <v>6.6249729999999998</v>
      </c>
      <c r="G47">
        <v>337.51594549999999</v>
      </c>
      <c r="H47">
        <v>-40</v>
      </c>
      <c r="I47">
        <v>44</v>
      </c>
      <c r="J47">
        <v>1.1200000000000001</v>
      </c>
      <c r="K47">
        <v>24.307936250000001</v>
      </c>
      <c r="L47">
        <v>-2.7120486518528599</v>
      </c>
      <c r="M47">
        <v>-2.7846961078765999</v>
      </c>
      <c r="N47">
        <v>-2.443822001855525</v>
      </c>
      <c r="O47">
        <v>-2.0516330380843928</v>
      </c>
    </row>
    <row r="48" spans="1:15" x14ac:dyDescent="0.25">
      <c r="A48">
        <v>166.56237400000001</v>
      </c>
      <c r="B48">
        <v>-421.57913200000002</v>
      </c>
      <c r="C48">
        <v>-422.38955675</v>
      </c>
      <c r="D48">
        <v>198.04458224999999</v>
      </c>
      <c r="E48">
        <v>-106.863552</v>
      </c>
      <c r="F48">
        <v>6.3814092499999999</v>
      </c>
      <c r="G48">
        <v>327.11285400000003</v>
      </c>
      <c r="H48">
        <v>-36</v>
      </c>
      <c r="I48">
        <v>-44</v>
      </c>
      <c r="J48">
        <v>1.1200000000000001</v>
      </c>
      <c r="K48">
        <v>23.931858500000001</v>
      </c>
      <c r="L48">
        <v>1.86897878719428</v>
      </c>
      <c r="M48">
        <v>-1.9663088580238199</v>
      </c>
      <c r="N48">
        <v>-1.3771859652102341</v>
      </c>
      <c r="O48">
        <v>-1.359373385060261</v>
      </c>
    </row>
    <row r="49" spans="1:15" x14ac:dyDescent="0.25">
      <c r="A49">
        <v>160.06413275</v>
      </c>
      <c r="B49">
        <v>-358.11923224999998</v>
      </c>
      <c r="C49">
        <v>-364.43221275000002</v>
      </c>
      <c r="D49">
        <v>208.5163345</v>
      </c>
      <c r="E49">
        <v>-65.340191000000004</v>
      </c>
      <c r="F49">
        <v>6.0404202500000004</v>
      </c>
      <c r="G49">
        <v>305.90808874999999</v>
      </c>
      <c r="H49">
        <v>-36</v>
      </c>
      <c r="I49">
        <v>-40</v>
      </c>
      <c r="J49">
        <v>1.1200000000000001</v>
      </c>
      <c r="K49">
        <v>23.140376249999999</v>
      </c>
      <c r="L49">
        <v>1.7723318879872401</v>
      </c>
      <c r="M49">
        <v>-1.914725596642856</v>
      </c>
      <c r="N49">
        <v>-1.254490042519536</v>
      </c>
      <c r="O49">
        <v>-1.241202458153007</v>
      </c>
    </row>
    <row r="50" spans="1:15" x14ac:dyDescent="0.25">
      <c r="A50">
        <v>150.72292325000001</v>
      </c>
      <c r="B50">
        <v>-302.90957624999999</v>
      </c>
      <c r="C50">
        <v>-314.277672</v>
      </c>
      <c r="D50">
        <v>214.78182975000001</v>
      </c>
      <c r="E50">
        <v>-30.328554</v>
      </c>
      <c r="F50">
        <v>5.5532925000000004</v>
      </c>
      <c r="G50">
        <v>286.75048049999998</v>
      </c>
      <c r="H50">
        <v>-36</v>
      </c>
      <c r="I50">
        <v>-36</v>
      </c>
      <c r="J50">
        <v>1.1200000000000001</v>
      </c>
      <c r="K50">
        <v>22.40841125</v>
      </c>
      <c r="L50">
        <v>1.671083836909909</v>
      </c>
      <c r="M50">
        <v>-1.8604549188858439</v>
      </c>
      <c r="N50">
        <v>-1.1395251246837861</v>
      </c>
      <c r="O50">
        <v>-1.1289567250534081</v>
      </c>
    </row>
    <row r="51" spans="1:15" x14ac:dyDescent="0.25">
      <c r="A51">
        <v>139.07111724999999</v>
      </c>
      <c r="B51">
        <v>-256.62173849999999</v>
      </c>
      <c r="C51">
        <v>-256.50072849999998</v>
      </c>
      <c r="D51">
        <v>218.38861850000001</v>
      </c>
      <c r="E51">
        <v>-4.1478752500000002</v>
      </c>
      <c r="F51">
        <v>5.0661649999999998</v>
      </c>
      <c r="G51">
        <v>269.36433375000001</v>
      </c>
      <c r="H51">
        <v>-36</v>
      </c>
      <c r="I51">
        <v>-32</v>
      </c>
      <c r="J51">
        <v>1.1200000000000001</v>
      </c>
      <c r="K51">
        <v>21.724639750000001</v>
      </c>
      <c r="L51">
        <v>1.56715757388961</v>
      </c>
      <c r="M51">
        <v>-1.881886149436593</v>
      </c>
      <c r="N51">
        <v>-1.0835955064594061</v>
      </c>
      <c r="O51">
        <v>-1.036500774116546</v>
      </c>
    </row>
    <row r="52" spans="1:15" x14ac:dyDescent="0.25">
      <c r="A52">
        <v>139.66689700000001</v>
      </c>
      <c r="B52">
        <v>-242.47155774999999</v>
      </c>
      <c r="C52">
        <v>-226.01111599999999</v>
      </c>
      <c r="D52">
        <v>244.97050100000001</v>
      </c>
      <c r="E52">
        <v>18.458365499999999</v>
      </c>
      <c r="F52">
        <v>5.6998217499999999</v>
      </c>
      <c r="G52">
        <v>282.36647799999997</v>
      </c>
      <c r="H52">
        <v>-36</v>
      </c>
      <c r="I52">
        <v>-28</v>
      </c>
      <c r="J52">
        <v>1.1200000000000001</v>
      </c>
      <c r="K52">
        <v>22.227162</v>
      </c>
      <c r="L52">
        <v>1.4470603021170541</v>
      </c>
      <c r="M52">
        <v>-1.9289765155763181</v>
      </c>
      <c r="N52">
        <v>-1.044385768216795</v>
      </c>
      <c r="O52">
        <v>-0.94950751626257035</v>
      </c>
    </row>
    <row r="53" spans="1:15" x14ac:dyDescent="0.25">
      <c r="A53">
        <v>138.89974225</v>
      </c>
      <c r="B53">
        <v>-234.07738499999999</v>
      </c>
      <c r="C53">
        <v>-198.72381200000001</v>
      </c>
      <c r="D53">
        <v>274.91377275000002</v>
      </c>
      <c r="E53">
        <v>39.196100250000001</v>
      </c>
      <c r="F53">
        <v>5.8942819999999996</v>
      </c>
      <c r="G53">
        <v>301.25459325000003</v>
      </c>
      <c r="H53">
        <v>-36</v>
      </c>
      <c r="I53">
        <v>-24</v>
      </c>
      <c r="J53">
        <v>1.1200000000000001</v>
      </c>
      <c r="K53">
        <v>22.965813000000001</v>
      </c>
      <c r="L53">
        <v>1.320929210871914</v>
      </c>
      <c r="M53">
        <v>-1.991394809525062</v>
      </c>
      <c r="N53">
        <v>-1.0253047567661271</v>
      </c>
      <c r="O53">
        <v>-0.86971807708524707</v>
      </c>
    </row>
    <row r="54" spans="1:15" x14ac:dyDescent="0.25">
      <c r="A54">
        <v>133.43942275000001</v>
      </c>
      <c r="B54">
        <v>-226.93034374999999</v>
      </c>
      <c r="C54">
        <v>-162.95713799999999</v>
      </c>
      <c r="D54">
        <v>301.97407550000003</v>
      </c>
      <c r="E54">
        <v>61.095864249999998</v>
      </c>
      <c r="F54">
        <v>6.5275474999999998</v>
      </c>
      <c r="G54">
        <v>318.61543275000002</v>
      </c>
      <c r="H54">
        <v>-36</v>
      </c>
      <c r="I54">
        <v>-20</v>
      </c>
      <c r="J54">
        <v>1.1200000000000001</v>
      </c>
      <c r="K54">
        <v>23.607184749999998</v>
      </c>
      <c r="L54">
        <v>1.1576136231048371</v>
      </c>
      <c r="M54">
        <v>-2.065721461697799</v>
      </c>
      <c r="N54">
        <v>-1.0057819212448471</v>
      </c>
      <c r="O54">
        <v>-0.78686674948357072</v>
      </c>
    </row>
    <row r="55" spans="1:15" x14ac:dyDescent="0.25">
      <c r="A55">
        <v>119.7582475</v>
      </c>
      <c r="B55">
        <v>-226.97831350000001</v>
      </c>
      <c r="C55">
        <v>-123.04098125</v>
      </c>
      <c r="D55">
        <v>326.60048675000002</v>
      </c>
      <c r="E55">
        <v>77.543037249999998</v>
      </c>
      <c r="F55">
        <v>6.4301219999999999</v>
      </c>
      <c r="G55">
        <v>335.37625125</v>
      </c>
      <c r="H55">
        <v>-36</v>
      </c>
      <c r="I55">
        <v>-16</v>
      </c>
      <c r="J55">
        <v>1.1200000000000001</v>
      </c>
      <c r="K55">
        <v>24.236398749999999</v>
      </c>
      <c r="L55">
        <v>0.96138324610635162</v>
      </c>
      <c r="M55">
        <v>-2.191964330891008</v>
      </c>
      <c r="N55">
        <v>-1.0209300501356919</v>
      </c>
      <c r="O55">
        <v>-0.71843252264310054</v>
      </c>
    </row>
    <row r="56" spans="1:15" x14ac:dyDescent="0.25">
      <c r="A56">
        <v>97.106035250000005</v>
      </c>
      <c r="B56">
        <v>-223.8604775</v>
      </c>
      <c r="C56">
        <v>-77.441844750000001</v>
      </c>
      <c r="D56">
        <v>336.7196275</v>
      </c>
      <c r="E56">
        <v>88.269449250000008</v>
      </c>
      <c r="F56">
        <v>6.6741314999999997</v>
      </c>
      <c r="G56">
        <v>340.17648300000002</v>
      </c>
      <c r="H56">
        <v>-36</v>
      </c>
      <c r="I56">
        <v>-12</v>
      </c>
      <c r="J56">
        <v>1.1200000000000001</v>
      </c>
      <c r="K56">
        <v>24.403643249999998</v>
      </c>
      <c r="L56">
        <v>0.7305688359495307</v>
      </c>
      <c r="M56">
        <v>-2.3463030322817078</v>
      </c>
      <c r="N56">
        <v>-1.0543547569256571</v>
      </c>
      <c r="O56">
        <v>-0.65848317262481593</v>
      </c>
    </row>
    <row r="57" spans="1:15" x14ac:dyDescent="0.25">
      <c r="A57">
        <v>62.455238250000001</v>
      </c>
      <c r="B57">
        <v>-202.947014</v>
      </c>
      <c r="C57">
        <v>-24.3556195</v>
      </c>
      <c r="D57">
        <v>315.90732574999998</v>
      </c>
      <c r="E57">
        <v>90.459426750000006</v>
      </c>
      <c r="F57">
        <v>6.18655825</v>
      </c>
      <c r="G57">
        <v>317.05535125</v>
      </c>
      <c r="H57">
        <v>-36</v>
      </c>
      <c r="I57">
        <v>-8</v>
      </c>
      <c r="J57">
        <v>1.1200000000000001</v>
      </c>
      <c r="K57">
        <v>23.561019250000001</v>
      </c>
      <c r="L57">
        <v>0.42531372961867192</v>
      </c>
      <c r="M57">
        <v>-2.5420664335368</v>
      </c>
      <c r="N57">
        <v>-1.110191717521507</v>
      </c>
      <c r="O57">
        <v>-0.58713526285408291</v>
      </c>
    </row>
    <row r="58" spans="1:15" x14ac:dyDescent="0.25">
      <c r="A58">
        <v>30.325076750000001</v>
      </c>
      <c r="B58">
        <v>-188.31717275</v>
      </c>
      <c r="C58">
        <v>14.406719000000001</v>
      </c>
      <c r="D58">
        <v>296.71623225000002</v>
      </c>
      <c r="E58">
        <v>88.761076000000003</v>
      </c>
      <c r="F58">
        <v>5.6020054999999997</v>
      </c>
      <c r="G58">
        <v>296.97439574999999</v>
      </c>
      <c r="H58">
        <v>-36</v>
      </c>
      <c r="I58">
        <v>-4</v>
      </c>
      <c r="J58">
        <v>1.1200000000000001</v>
      </c>
      <c r="K58">
        <v>22.810230000000001</v>
      </c>
      <c r="L58">
        <v>9.059891205344231E-2</v>
      </c>
      <c r="M58">
        <v>-2.760336563059731</v>
      </c>
      <c r="N58">
        <v>-1.184951874842276</v>
      </c>
      <c r="O58">
        <v>-0.52674644099648493</v>
      </c>
    </row>
    <row r="59" spans="1:15" x14ac:dyDescent="0.25">
      <c r="A59">
        <v>-0.67485150000000005</v>
      </c>
      <c r="B59">
        <v>-176.277546</v>
      </c>
      <c r="C59">
        <v>45.34277325</v>
      </c>
      <c r="D59">
        <v>278.54128300000002</v>
      </c>
      <c r="E59">
        <v>84.247041499999995</v>
      </c>
      <c r="F59">
        <v>5.6023825</v>
      </c>
      <c r="G59">
        <v>278.65349550000002</v>
      </c>
      <c r="H59">
        <v>-36</v>
      </c>
      <c r="I59">
        <v>0</v>
      </c>
      <c r="J59">
        <v>1.1200000000000001</v>
      </c>
      <c r="K59">
        <v>22.081448999999999</v>
      </c>
      <c r="L59">
        <v>-0.26636372225532962</v>
      </c>
      <c r="M59">
        <v>-2.6332534588493619</v>
      </c>
      <c r="N59">
        <v>-1.125543828815792</v>
      </c>
      <c r="O59">
        <v>-0.54465953439277348</v>
      </c>
    </row>
    <row r="60" spans="1:15" x14ac:dyDescent="0.25">
      <c r="A60">
        <v>-33.424891500000001</v>
      </c>
      <c r="B60">
        <v>-173.15970999999999</v>
      </c>
      <c r="C60">
        <v>71.717454750000002</v>
      </c>
      <c r="D60">
        <v>271.65403750000002</v>
      </c>
      <c r="E60">
        <v>81.565437250000002</v>
      </c>
      <c r="F60">
        <v>5.31010575</v>
      </c>
      <c r="G60">
        <v>272.01317575000002</v>
      </c>
      <c r="H60">
        <v>-36</v>
      </c>
      <c r="I60">
        <v>4</v>
      </c>
      <c r="J60">
        <v>1.1200000000000001</v>
      </c>
      <c r="K60">
        <v>21.82325625</v>
      </c>
      <c r="L60">
        <v>-0.56878578671023716</v>
      </c>
      <c r="M60">
        <v>-2.4063467501118598</v>
      </c>
      <c r="N60">
        <v>-1.0303287164468189</v>
      </c>
      <c r="O60">
        <v>-0.58752462574263653</v>
      </c>
    </row>
    <row r="61" spans="1:15" x14ac:dyDescent="0.25">
      <c r="A61">
        <v>-73.471468000000002</v>
      </c>
      <c r="B61">
        <v>-190.4277075</v>
      </c>
      <c r="C61">
        <v>102.60834699999999</v>
      </c>
      <c r="D61">
        <v>288.77441399999998</v>
      </c>
      <c r="E61">
        <v>84.291734750000003</v>
      </c>
      <c r="F61">
        <v>5.8942819999999996</v>
      </c>
      <c r="G61">
        <v>291.97415925000001</v>
      </c>
      <c r="H61">
        <v>-36</v>
      </c>
      <c r="I61">
        <v>8</v>
      </c>
      <c r="J61">
        <v>1.1200000000000001</v>
      </c>
      <c r="K61">
        <v>22.602124</v>
      </c>
      <c r="L61">
        <v>-0.81424045953168289</v>
      </c>
      <c r="M61">
        <v>-2.2161212071812479</v>
      </c>
      <c r="N61">
        <v>-0.96046481140245987</v>
      </c>
      <c r="O61">
        <v>-0.63745938751815001</v>
      </c>
    </row>
    <row r="62" spans="1:15" x14ac:dyDescent="0.25">
      <c r="A62">
        <v>-118.3756905</v>
      </c>
      <c r="B62">
        <v>-208.51114275</v>
      </c>
      <c r="C62">
        <v>132.6863285</v>
      </c>
      <c r="D62">
        <v>302.43681350000003</v>
      </c>
      <c r="E62">
        <v>83.800107749999995</v>
      </c>
      <c r="F62">
        <v>5.99214</v>
      </c>
      <c r="G62">
        <v>309.85500300000001</v>
      </c>
      <c r="H62">
        <v>-36</v>
      </c>
      <c r="I62">
        <v>12</v>
      </c>
      <c r="J62">
        <v>1.1200000000000001</v>
      </c>
      <c r="K62">
        <v>23.294026500000001</v>
      </c>
      <c r="L62">
        <v>-1.0154434834894039</v>
      </c>
      <c r="M62">
        <v>-2.0666153726173309</v>
      </c>
      <c r="N62">
        <v>-0.91432673043085577</v>
      </c>
      <c r="O62">
        <v>-0.68529013993975352</v>
      </c>
    </row>
    <row r="63" spans="1:15" x14ac:dyDescent="0.25">
      <c r="A63">
        <v>-170.71685049999999</v>
      </c>
      <c r="B63">
        <v>-223.95640950000001</v>
      </c>
      <c r="C63">
        <v>159.37713975</v>
      </c>
      <c r="D63">
        <v>310.62973775</v>
      </c>
      <c r="E63">
        <v>71.062490499999996</v>
      </c>
      <c r="F63">
        <v>6.7711112499999997</v>
      </c>
      <c r="G63">
        <v>326.97584549999999</v>
      </c>
      <c r="H63">
        <v>-36</v>
      </c>
      <c r="I63">
        <v>16</v>
      </c>
      <c r="J63">
        <v>1.1200000000000001</v>
      </c>
      <c r="K63">
        <v>23.912197249999998</v>
      </c>
      <c r="L63">
        <v>-1.2298825730377909</v>
      </c>
      <c r="M63">
        <v>-1.9917759217481621</v>
      </c>
      <c r="N63">
        <v>-0.95350405892370804</v>
      </c>
      <c r="O63">
        <v>-0.76048238768348586</v>
      </c>
    </row>
    <row r="64" spans="1:15" x14ac:dyDescent="0.25">
      <c r="A64">
        <v>-222.06704725</v>
      </c>
      <c r="B64">
        <v>-252.92829900000001</v>
      </c>
      <c r="C64">
        <v>184.42997349999999</v>
      </c>
      <c r="D64">
        <v>315.14222725000002</v>
      </c>
      <c r="E64">
        <v>58.324873750000002</v>
      </c>
      <c r="F64">
        <v>6.9182102499999996</v>
      </c>
      <c r="G64">
        <v>343.25663025</v>
      </c>
      <c r="H64">
        <v>-36</v>
      </c>
      <c r="I64">
        <v>20</v>
      </c>
      <c r="J64">
        <v>1.1200000000000001</v>
      </c>
      <c r="K64">
        <v>24.507218999999999</v>
      </c>
      <c r="L64">
        <v>-1.374127198729618</v>
      </c>
      <c r="M64">
        <v>-1.920311847363221</v>
      </c>
      <c r="N64">
        <v>-0.96320346745971563</v>
      </c>
      <c r="O64">
        <v>-0.82622410582798689</v>
      </c>
    </row>
    <row r="65" spans="1:15" x14ac:dyDescent="0.25">
      <c r="A65">
        <v>-255.57980000000001</v>
      </c>
      <c r="B65">
        <v>-270.81984675000001</v>
      </c>
      <c r="C65">
        <v>185.09520325</v>
      </c>
      <c r="D65">
        <v>285.01750199999998</v>
      </c>
      <c r="E65">
        <v>24.670746749999999</v>
      </c>
      <c r="F65">
        <v>6.5288987499999998</v>
      </c>
      <c r="G65">
        <v>327.29586799999998</v>
      </c>
      <c r="H65">
        <v>-36</v>
      </c>
      <c r="I65">
        <v>24</v>
      </c>
      <c r="J65">
        <v>1.1200000000000001</v>
      </c>
      <c r="K65">
        <v>23.933174999999999</v>
      </c>
      <c r="L65">
        <v>-1.5308048512608809</v>
      </c>
      <c r="M65">
        <v>-1.9308547186794009</v>
      </c>
      <c r="N65">
        <v>-1.051249341770961</v>
      </c>
      <c r="O65">
        <v>-0.93697483386707969</v>
      </c>
    </row>
    <row r="66" spans="1:15" x14ac:dyDescent="0.25">
      <c r="A66">
        <v>-275.71447775000001</v>
      </c>
      <c r="B66">
        <v>-279.26199350000002</v>
      </c>
      <c r="C66">
        <v>181.86787774999999</v>
      </c>
      <c r="D66">
        <v>250.04920200000001</v>
      </c>
      <c r="E66">
        <v>-8.0281459999999996</v>
      </c>
      <c r="F66">
        <v>6.0899692500000002</v>
      </c>
      <c r="G66">
        <v>305.81481174999999</v>
      </c>
      <c r="H66">
        <v>-36</v>
      </c>
      <c r="I66">
        <v>28</v>
      </c>
      <c r="J66">
        <v>1.1200000000000001</v>
      </c>
      <c r="K66">
        <v>23.134861999999998</v>
      </c>
      <c r="L66">
        <v>-1.6981761266527009</v>
      </c>
      <c r="M66">
        <v>-1.9643613912551321</v>
      </c>
      <c r="N66">
        <v>-1.1647423167443831</v>
      </c>
      <c r="O66">
        <v>-1.05240809775574</v>
      </c>
    </row>
    <row r="67" spans="1:15" x14ac:dyDescent="0.25">
      <c r="A67">
        <v>-291.93032075000002</v>
      </c>
      <c r="B67">
        <v>-289.191101</v>
      </c>
      <c r="C67">
        <v>173.90801999999999</v>
      </c>
      <c r="D67">
        <v>216.66590124999999</v>
      </c>
      <c r="E67">
        <v>-46.340245000000003</v>
      </c>
      <c r="F67">
        <v>5.65109525</v>
      </c>
      <c r="G67">
        <v>286.6938935</v>
      </c>
      <c r="H67">
        <v>-36</v>
      </c>
      <c r="I67">
        <v>32</v>
      </c>
      <c r="J67">
        <v>1.1200000000000001</v>
      </c>
      <c r="K67">
        <v>22.402264500000001</v>
      </c>
      <c r="L67">
        <v>-1.9074961889991291</v>
      </c>
      <c r="M67">
        <v>-2.07138693077603</v>
      </c>
      <c r="N67">
        <v>-1.3637595875090209</v>
      </c>
      <c r="O67">
        <v>-1.212911748319617</v>
      </c>
    </row>
    <row r="68" spans="1:15" x14ac:dyDescent="0.25">
      <c r="A68">
        <v>-302.7859345</v>
      </c>
      <c r="B68">
        <v>-297.72917174999998</v>
      </c>
      <c r="C68">
        <v>163.43094625000001</v>
      </c>
      <c r="D68">
        <v>185.90772999999999</v>
      </c>
      <c r="E68">
        <v>-82.020894999999996</v>
      </c>
      <c r="F68">
        <v>5.1155762500000002</v>
      </c>
      <c r="G68">
        <v>269.453056</v>
      </c>
      <c r="H68">
        <v>-36</v>
      </c>
      <c r="I68">
        <v>36</v>
      </c>
      <c r="J68">
        <v>1.1200000000000001</v>
      </c>
      <c r="K68">
        <v>21.726267750000002</v>
      </c>
      <c r="L68">
        <v>-2.1364424963856812</v>
      </c>
      <c r="M68">
        <v>-2.2162607416561211</v>
      </c>
      <c r="N68">
        <v>-1.6107160674158481</v>
      </c>
      <c r="O68">
        <v>-1.3993783006700511</v>
      </c>
    </row>
    <row r="69" spans="1:15" x14ac:dyDescent="0.25">
      <c r="A69">
        <v>-348.91101075</v>
      </c>
      <c r="B69">
        <v>-344.88041700000002</v>
      </c>
      <c r="C69">
        <v>169.18916325000001</v>
      </c>
      <c r="D69">
        <v>172.401657</v>
      </c>
      <c r="E69">
        <v>-131.88460175</v>
      </c>
      <c r="F69">
        <v>5.31081775</v>
      </c>
      <c r="G69">
        <v>282.61368575</v>
      </c>
      <c r="H69">
        <v>-36</v>
      </c>
      <c r="I69">
        <v>40</v>
      </c>
      <c r="J69">
        <v>1.1200000000000001</v>
      </c>
      <c r="K69">
        <v>22.252702750000001</v>
      </c>
      <c r="L69">
        <v>-2.409655181979113</v>
      </c>
      <c r="M69">
        <v>-2.4058544687718322</v>
      </c>
      <c r="N69">
        <v>-1.9278214234060169</v>
      </c>
      <c r="O69">
        <v>-1.6380996330657069</v>
      </c>
    </row>
    <row r="70" spans="1:15" x14ac:dyDescent="0.25">
      <c r="A70">
        <v>-406.07187625</v>
      </c>
      <c r="B70">
        <v>-405.65421300000003</v>
      </c>
      <c r="C70">
        <v>173.10642625</v>
      </c>
      <c r="D70">
        <v>158.76590725</v>
      </c>
      <c r="E70">
        <v>-192.31871025000001</v>
      </c>
      <c r="F70">
        <v>5.79726125</v>
      </c>
      <c r="G70">
        <v>301.21459225000001</v>
      </c>
      <c r="H70">
        <v>-36</v>
      </c>
      <c r="I70">
        <v>44</v>
      </c>
      <c r="J70">
        <v>1.1200000000000001</v>
      </c>
      <c r="K70">
        <v>22.968024249999999</v>
      </c>
      <c r="L70">
        <v>-2.712277227273058</v>
      </c>
      <c r="M70">
        <v>-2.6431686147239239</v>
      </c>
      <c r="N70">
        <v>-2.311229221090441</v>
      </c>
      <c r="O70">
        <v>-1.927794294068949</v>
      </c>
    </row>
    <row r="71" spans="1:15" x14ac:dyDescent="0.25">
      <c r="A71">
        <v>200.49024575000001</v>
      </c>
      <c r="B71">
        <v>-394.33406074999999</v>
      </c>
      <c r="C71">
        <v>-388.15638725000002</v>
      </c>
      <c r="D71">
        <v>186.74836350000001</v>
      </c>
      <c r="E71">
        <v>-72.208715499999997</v>
      </c>
      <c r="F71">
        <v>6.3822737500000004</v>
      </c>
      <c r="G71">
        <v>324.61573049999998</v>
      </c>
      <c r="H71">
        <v>-32</v>
      </c>
      <c r="I71">
        <v>-44</v>
      </c>
      <c r="J71">
        <v>1.1200000000000001</v>
      </c>
      <c r="K71">
        <v>23.838483249999999</v>
      </c>
      <c r="L71">
        <v>1.8450860022408819</v>
      </c>
      <c r="M71">
        <v>-1.821383330144652</v>
      </c>
      <c r="N71">
        <v>-1.243844764472503</v>
      </c>
      <c r="O71">
        <v>-1.246347457346612</v>
      </c>
    </row>
    <row r="72" spans="1:15" x14ac:dyDescent="0.25">
      <c r="A72">
        <v>215.94779575000001</v>
      </c>
      <c r="B72">
        <v>-377.449791</v>
      </c>
      <c r="C72">
        <v>-376.06878675000002</v>
      </c>
      <c r="D72">
        <v>223.57459650000001</v>
      </c>
      <c r="E72">
        <v>-30.685361749999998</v>
      </c>
      <c r="F72">
        <v>6.9664357499999996</v>
      </c>
      <c r="G72">
        <v>340.93652324999999</v>
      </c>
      <c r="H72">
        <v>-32</v>
      </c>
      <c r="I72">
        <v>-40</v>
      </c>
      <c r="J72">
        <v>1.1200000000000001</v>
      </c>
      <c r="K72">
        <v>24.420781999999999</v>
      </c>
      <c r="L72">
        <v>1.7106693977098759</v>
      </c>
      <c r="M72">
        <v>-1.7366954154213949</v>
      </c>
      <c r="N72">
        <v>-1.0738280896899011</v>
      </c>
      <c r="O72">
        <v>-1.1087974137425181</v>
      </c>
    </row>
    <row r="73" spans="1:15" x14ac:dyDescent="0.25">
      <c r="A73">
        <v>208.95410899999999</v>
      </c>
      <c r="B73">
        <v>-328.18800375000001</v>
      </c>
      <c r="C73">
        <v>-330.46965775000001</v>
      </c>
      <c r="D73">
        <v>241.1279945</v>
      </c>
      <c r="E73">
        <v>8.6705114999999999</v>
      </c>
      <c r="F73">
        <v>6.5288987499999998</v>
      </c>
      <c r="G73">
        <v>330.055992</v>
      </c>
      <c r="H73">
        <v>-32</v>
      </c>
      <c r="I73">
        <v>-36</v>
      </c>
      <c r="J73">
        <v>1.1200000000000001</v>
      </c>
      <c r="K73">
        <v>24.035934749999999</v>
      </c>
      <c r="L73">
        <v>1.5959266161417669</v>
      </c>
      <c r="M73">
        <v>-1.6843744324383549</v>
      </c>
      <c r="N73">
        <v>-0.95084828029126611</v>
      </c>
      <c r="O73">
        <v>-0.99365265558134763</v>
      </c>
    </row>
    <row r="74" spans="1:15" x14ac:dyDescent="0.25">
      <c r="A74">
        <v>193.161686</v>
      </c>
      <c r="B74">
        <v>-268.08575450000001</v>
      </c>
      <c r="C74">
        <v>-262.31902300000002</v>
      </c>
      <c r="D74">
        <v>244.93937700000001</v>
      </c>
      <c r="E74">
        <v>40.492208499999997</v>
      </c>
      <c r="F74">
        <v>6.236135</v>
      </c>
      <c r="G74">
        <v>308.53494999999998</v>
      </c>
      <c r="H74">
        <v>-32</v>
      </c>
      <c r="I74">
        <v>-32</v>
      </c>
      <c r="J74">
        <v>1.1200000000000001</v>
      </c>
      <c r="K74">
        <v>23.23398525</v>
      </c>
      <c r="L74">
        <v>1.489990604945195</v>
      </c>
      <c r="M74">
        <v>-1.67824381778462</v>
      </c>
      <c r="N74">
        <v>-0.87685223253509359</v>
      </c>
      <c r="O74">
        <v>-0.88795258612800765</v>
      </c>
    </row>
    <row r="75" spans="1:15" x14ac:dyDescent="0.25">
      <c r="A75">
        <v>176.25304025</v>
      </c>
      <c r="B75">
        <v>-216.47361749999999</v>
      </c>
      <c r="C75">
        <v>-198.4531935</v>
      </c>
      <c r="D75">
        <v>245.28980275000001</v>
      </c>
      <c r="E75">
        <v>62.526051750000001</v>
      </c>
      <c r="F75">
        <v>5.6027732500000003</v>
      </c>
      <c r="G75">
        <v>289.05400100000003</v>
      </c>
      <c r="H75">
        <v>-32</v>
      </c>
      <c r="I75">
        <v>-28</v>
      </c>
      <c r="J75">
        <v>1.1200000000000001</v>
      </c>
      <c r="K75">
        <v>22.498047750000001</v>
      </c>
      <c r="L75">
        <v>1.3878515888038161</v>
      </c>
      <c r="M75">
        <v>-1.71029932724447</v>
      </c>
      <c r="N75">
        <v>-0.83902108035249134</v>
      </c>
      <c r="O75">
        <v>-0.7891576470250683</v>
      </c>
    </row>
    <row r="76" spans="1:15" x14ac:dyDescent="0.25">
      <c r="A76">
        <v>156.30841075000001</v>
      </c>
      <c r="B76">
        <v>-173.06377775000001</v>
      </c>
      <c r="C76">
        <v>-141.93913674999999</v>
      </c>
      <c r="D76">
        <v>243.80023600000001</v>
      </c>
      <c r="E76">
        <v>80.269327000000004</v>
      </c>
      <c r="F76">
        <v>5.1155902500000003</v>
      </c>
      <c r="G76">
        <v>271.4931565</v>
      </c>
      <c r="H76">
        <v>-32</v>
      </c>
      <c r="I76">
        <v>-24</v>
      </c>
      <c r="J76">
        <v>1.1200000000000001</v>
      </c>
      <c r="K76">
        <v>21.809936499999999</v>
      </c>
      <c r="L76">
        <v>1.2543470138454611</v>
      </c>
      <c r="M76">
        <v>-1.7532150932014059</v>
      </c>
      <c r="N76">
        <v>-0.80423680376550388</v>
      </c>
      <c r="O76">
        <v>-0.68392320960469821</v>
      </c>
    </row>
    <row r="77" spans="1:15" x14ac:dyDescent="0.25">
      <c r="A77">
        <v>148.00564175</v>
      </c>
      <c r="B77">
        <v>-156.28639974999999</v>
      </c>
      <c r="C77">
        <v>-104.54874599999999</v>
      </c>
      <c r="D77">
        <v>262.18367000000001</v>
      </c>
      <c r="E77">
        <v>100.381359</v>
      </c>
      <c r="F77">
        <v>5.3591680000000004</v>
      </c>
      <c r="G77">
        <v>279.85354599999999</v>
      </c>
      <c r="H77">
        <v>-32</v>
      </c>
      <c r="I77">
        <v>-20</v>
      </c>
      <c r="J77">
        <v>1.1200000000000001</v>
      </c>
      <c r="K77">
        <v>22.139715249999998</v>
      </c>
      <c r="L77">
        <v>1.094270417386481</v>
      </c>
      <c r="M77">
        <v>-1.813160854609708</v>
      </c>
      <c r="N77">
        <v>-0.7776309730283455</v>
      </c>
      <c r="O77">
        <v>-0.58830878911088047</v>
      </c>
    </row>
    <row r="78" spans="1:15" x14ac:dyDescent="0.25">
      <c r="A78">
        <v>140.5243035</v>
      </c>
      <c r="B78">
        <v>-155.32697675</v>
      </c>
      <c r="C78">
        <v>-69.102311999999998</v>
      </c>
      <c r="D78">
        <v>288.11729400000002</v>
      </c>
      <c r="E78">
        <v>121.92357425</v>
      </c>
      <c r="F78">
        <v>5.7006032500000003</v>
      </c>
      <c r="G78">
        <v>298.61446375000003</v>
      </c>
      <c r="H78">
        <v>-32</v>
      </c>
      <c r="I78">
        <v>-16</v>
      </c>
      <c r="J78">
        <v>1.1200000000000001</v>
      </c>
      <c r="K78">
        <v>22.87049425</v>
      </c>
      <c r="L78">
        <v>0.89531541527742498</v>
      </c>
      <c r="M78">
        <v>-1.893936587115254</v>
      </c>
      <c r="N78">
        <v>-0.75464421269265824</v>
      </c>
      <c r="O78">
        <v>-0.50361300564050882</v>
      </c>
    </row>
    <row r="79" spans="1:15" x14ac:dyDescent="0.25">
      <c r="A79">
        <v>127.24874675</v>
      </c>
      <c r="B79">
        <v>-157.81035975</v>
      </c>
      <c r="C79">
        <v>-31.078044250000001</v>
      </c>
      <c r="D79">
        <v>309.97689800000001</v>
      </c>
      <c r="E79">
        <v>139.08583475</v>
      </c>
      <c r="F79">
        <v>6.2357032500000003</v>
      </c>
      <c r="G79">
        <v>316.09530649999999</v>
      </c>
      <c r="H79">
        <v>-32</v>
      </c>
      <c r="I79">
        <v>-12</v>
      </c>
      <c r="J79">
        <v>1.1200000000000001</v>
      </c>
      <c r="K79">
        <v>23.52275625</v>
      </c>
      <c r="L79">
        <v>0.67798184653803339</v>
      </c>
      <c r="M79">
        <v>-2.0031593442457578</v>
      </c>
      <c r="N79">
        <v>-0.75801337274571945</v>
      </c>
      <c r="O79">
        <v>-0.43114077373974918</v>
      </c>
    </row>
    <row r="80" spans="1:15" x14ac:dyDescent="0.25">
      <c r="A80">
        <v>107.06439374999999</v>
      </c>
      <c r="B80">
        <v>-162.65500650000001</v>
      </c>
      <c r="C80">
        <v>9.7098575</v>
      </c>
      <c r="D80">
        <v>329.77757250000002</v>
      </c>
      <c r="E80">
        <v>153.61119475000001</v>
      </c>
      <c r="F80">
        <v>6.8704444999999996</v>
      </c>
      <c r="G80">
        <v>332.69612100000001</v>
      </c>
      <c r="H80">
        <v>-32</v>
      </c>
      <c r="I80">
        <v>-8</v>
      </c>
      <c r="J80">
        <v>1.1200000000000001</v>
      </c>
      <c r="K80">
        <v>24.121174750000002</v>
      </c>
      <c r="L80">
        <v>0.42311440716088211</v>
      </c>
      <c r="M80">
        <v>-2.140255819745787</v>
      </c>
      <c r="N80">
        <v>-0.77836810303081705</v>
      </c>
      <c r="O80">
        <v>-0.36222583644815548</v>
      </c>
    </row>
    <row r="81" spans="1:15" x14ac:dyDescent="0.25">
      <c r="A81">
        <v>75.311340250000001</v>
      </c>
      <c r="B81">
        <v>-167.59557325</v>
      </c>
      <c r="C81">
        <v>51.974830750000002</v>
      </c>
      <c r="D81">
        <v>340.99211874999997</v>
      </c>
      <c r="E81">
        <v>160.62805574999999</v>
      </c>
      <c r="F81">
        <v>6.9191710000000004</v>
      </c>
      <c r="G81">
        <v>343.57665274999999</v>
      </c>
      <c r="H81">
        <v>-32</v>
      </c>
      <c r="I81">
        <v>-4</v>
      </c>
      <c r="J81">
        <v>1.1200000000000001</v>
      </c>
      <c r="K81">
        <v>24.518795999999998</v>
      </c>
      <c r="L81">
        <v>0.1068399370203925</v>
      </c>
      <c r="M81">
        <v>-2.32836064727418</v>
      </c>
      <c r="N81">
        <v>-0.83758468978826817</v>
      </c>
      <c r="O81">
        <v>-0.29635586430747057</v>
      </c>
    </row>
    <row r="82" spans="1:15" x14ac:dyDescent="0.25">
      <c r="A82">
        <v>38.623418749999999</v>
      </c>
      <c r="B82">
        <v>-150.43401324999999</v>
      </c>
      <c r="C82">
        <v>86.163738499999994</v>
      </c>
      <c r="D82">
        <v>317.07360825000001</v>
      </c>
      <c r="E82">
        <v>154.68383424999999</v>
      </c>
      <c r="F82">
        <v>6.2365537500000006</v>
      </c>
      <c r="G82">
        <v>319.29547100000002</v>
      </c>
      <c r="H82">
        <v>-32</v>
      </c>
      <c r="I82">
        <v>0</v>
      </c>
      <c r="J82">
        <v>1.1274999999999999</v>
      </c>
      <c r="K82">
        <v>23.56528775</v>
      </c>
      <c r="L82">
        <v>-0.2257301404410143</v>
      </c>
      <c r="M82">
        <v>-2.2200141238719802</v>
      </c>
      <c r="N82">
        <v>-0.781694282232541</v>
      </c>
      <c r="O82">
        <v>-0.29507382434849228</v>
      </c>
    </row>
    <row r="83" spans="1:15" x14ac:dyDescent="0.25">
      <c r="A83">
        <v>2.25613025</v>
      </c>
      <c r="B83">
        <v>-141.07968149999999</v>
      </c>
      <c r="C83">
        <v>110.361906</v>
      </c>
      <c r="D83">
        <v>296.39678225</v>
      </c>
      <c r="E83">
        <v>143.29628775</v>
      </c>
      <c r="F83">
        <v>5.84678275</v>
      </c>
      <c r="G83">
        <v>298.93447874999998</v>
      </c>
      <c r="H83">
        <v>-32</v>
      </c>
      <c r="I83">
        <v>4</v>
      </c>
      <c r="J83">
        <v>1.1299999999999999</v>
      </c>
      <c r="K83">
        <v>22.775823249999998</v>
      </c>
      <c r="L83">
        <v>-0.5081979258526339</v>
      </c>
      <c r="M83">
        <v>-2.056731872010841</v>
      </c>
      <c r="N83">
        <v>-0.73171435804411022</v>
      </c>
      <c r="O83">
        <v>-0.35379641342277868</v>
      </c>
    </row>
    <row r="84" spans="1:15" x14ac:dyDescent="0.25">
      <c r="A84">
        <v>-31.174575999999998</v>
      </c>
      <c r="B84">
        <v>-135.50585924999999</v>
      </c>
      <c r="C84">
        <v>127.33210375</v>
      </c>
      <c r="D84">
        <v>275.15048999999999</v>
      </c>
      <c r="E84">
        <v>130.50470375</v>
      </c>
      <c r="F84">
        <v>5.4573747499999996</v>
      </c>
      <c r="G84">
        <v>280.37358124999997</v>
      </c>
      <c r="H84">
        <v>-32</v>
      </c>
      <c r="I84">
        <v>8</v>
      </c>
      <c r="J84">
        <v>1.1299999999999999</v>
      </c>
      <c r="K84">
        <v>22.058484750000002</v>
      </c>
      <c r="L84">
        <v>-0.74120751981874888</v>
      </c>
      <c r="M84">
        <v>-1.920349501267901</v>
      </c>
      <c r="N84">
        <v>-0.70083117115596061</v>
      </c>
      <c r="O84">
        <v>-0.41522725990374271</v>
      </c>
    </row>
    <row r="85" spans="1:15" x14ac:dyDescent="0.25">
      <c r="A85">
        <v>-62.349127750000001</v>
      </c>
      <c r="B85">
        <v>-134.35465625000001</v>
      </c>
      <c r="C85">
        <v>141.82632849999999</v>
      </c>
      <c r="D85">
        <v>259.59907550000003</v>
      </c>
      <c r="E85">
        <v>118.21402525000001</v>
      </c>
      <c r="F85">
        <v>5.2624684999999998</v>
      </c>
      <c r="G85">
        <v>269.17303475</v>
      </c>
      <c r="H85">
        <v>-32</v>
      </c>
      <c r="I85">
        <v>12</v>
      </c>
      <c r="J85">
        <v>1.1299999999999999</v>
      </c>
      <c r="K85">
        <v>21.61242425</v>
      </c>
      <c r="L85">
        <v>-0.94280233297483995</v>
      </c>
      <c r="M85">
        <v>-1.819103941229995</v>
      </c>
      <c r="N85">
        <v>-0.69707444410917907</v>
      </c>
      <c r="O85">
        <v>-0.47844874827270673</v>
      </c>
    </row>
    <row r="86" spans="1:15" x14ac:dyDescent="0.25">
      <c r="A86">
        <v>-106.04071424999999</v>
      </c>
      <c r="B86">
        <v>-146.29836649999999</v>
      </c>
      <c r="C86">
        <v>169.09888475</v>
      </c>
      <c r="D86">
        <v>271.90880575</v>
      </c>
      <c r="E86">
        <v>112.80612375</v>
      </c>
      <c r="F86">
        <v>5.7010075000000002</v>
      </c>
      <c r="G86">
        <v>289.21400449999999</v>
      </c>
      <c r="H86">
        <v>-32</v>
      </c>
      <c r="I86">
        <v>16</v>
      </c>
      <c r="J86">
        <v>1.1299999999999999</v>
      </c>
      <c r="K86">
        <v>22.400714749999999</v>
      </c>
      <c r="L86">
        <v>-1.1513237917906249</v>
      </c>
      <c r="M86">
        <v>-1.7499962619522811</v>
      </c>
      <c r="N86">
        <v>-0.73817791776355757</v>
      </c>
      <c r="O86">
        <v>-0.55180562514011622</v>
      </c>
    </row>
    <row r="87" spans="1:15" x14ac:dyDescent="0.25">
      <c r="A87">
        <v>-153.43009950000001</v>
      </c>
      <c r="B87">
        <v>-174.75463099999999</v>
      </c>
      <c r="C87">
        <v>195.21027375</v>
      </c>
      <c r="D87">
        <v>277.778908</v>
      </c>
      <c r="E87">
        <v>96.946294499999993</v>
      </c>
      <c r="F87">
        <v>6.2857262499999997</v>
      </c>
      <c r="G87">
        <v>307.29488375</v>
      </c>
      <c r="H87">
        <v>-32</v>
      </c>
      <c r="I87">
        <v>20</v>
      </c>
      <c r="J87">
        <v>1.1299999999999999</v>
      </c>
      <c r="K87">
        <v>23.081568999999998</v>
      </c>
      <c r="L87">
        <v>-1.335605323968412</v>
      </c>
      <c r="M87">
        <v>-1.733618399114516</v>
      </c>
      <c r="N87">
        <v>-0.80585862921381546</v>
      </c>
      <c r="O87">
        <v>-0.65271517393183043</v>
      </c>
    </row>
    <row r="88" spans="1:15" x14ac:dyDescent="0.25">
      <c r="A88">
        <v>-206.57190324999999</v>
      </c>
      <c r="B88">
        <v>-219.2859685</v>
      </c>
      <c r="C88">
        <v>216.38857275000001</v>
      </c>
      <c r="D88">
        <v>277.55986050000001</v>
      </c>
      <c r="E88">
        <v>69.274751499999994</v>
      </c>
      <c r="F88">
        <v>6.5293585000000007</v>
      </c>
      <c r="G88">
        <v>324.09569549999998</v>
      </c>
      <c r="H88">
        <v>-32</v>
      </c>
      <c r="I88">
        <v>24</v>
      </c>
      <c r="J88">
        <v>1.1299999999999999</v>
      </c>
      <c r="K88">
        <v>23.707880750000001</v>
      </c>
      <c r="L88">
        <v>-1.4988099315416401</v>
      </c>
      <c r="M88">
        <v>-1.7606249098832469</v>
      </c>
      <c r="N88">
        <v>-0.90301107286137638</v>
      </c>
      <c r="O88">
        <v>-0.77765855400005623</v>
      </c>
    </row>
    <row r="89" spans="1:15" x14ac:dyDescent="0.25">
      <c r="A89">
        <v>-262.460846</v>
      </c>
      <c r="B89">
        <v>-269.42881749999998</v>
      </c>
      <c r="C89">
        <v>234.51060075000001</v>
      </c>
      <c r="D89">
        <v>272.87253550000003</v>
      </c>
      <c r="E89">
        <v>30.659661249999999</v>
      </c>
      <c r="F89">
        <v>6.7242649999999999</v>
      </c>
      <c r="G89">
        <v>340.33596799999998</v>
      </c>
      <c r="H89">
        <v>-32</v>
      </c>
      <c r="I89">
        <v>28</v>
      </c>
      <c r="J89">
        <v>1.1299999999999999</v>
      </c>
      <c r="K89">
        <v>24.299431999999999</v>
      </c>
      <c r="L89">
        <v>-1.6755397988610969</v>
      </c>
      <c r="M89">
        <v>-1.8283763945121361</v>
      </c>
      <c r="N89">
        <v>-1.044078511529333</v>
      </c>
      <c r="O89">
        <v>-0.91930235515148528</v>
      </c>
    </row>
    <row r="90" spans="1:15" x14ac:dyDescent="0.25">
      <c r="A90">
        <v>-298.05010249999998</v>
      </c>
      <c r="B90">
        <v>-302.16317724999999</v>
      </c>
      <c r="C90">
        <v>232.38853075</v>
      </c>
      <c r="D90">
        <v>242.86487199999999</v>
      </c>
      <c r="E90">
        <v>-16.7253045</v>
      </c>
      <c r="F90">
        <v>6.57808525</v>
      </c>
      <c r="G90">
        <v>330.61441074999999</v>
      </c>
      <c r="H90">
        <v>-32</v>
      </c>
      <c r="I90">
        <v>32</v>
      </c>
      <c r="J90">
        <v>1.1299999999999999</v>
      </c>
      <c r="K90">
        <v>23.948162249999999</v>
      </c>
      <c r="L90">
        <v>-1.871858381290326</v>
      </c>
      <c r="M90">
        <v>-1.9233311009310601</v>
      </c>
      <c r="N90">
        <v>-1.2257565923516749</v>
      </c>
      <c r="O90">
        <v>-1.0822611786921179</v>
      </c>
    </row>
    <row r="91" spans="1:15" x14ac:dyDescent="0.25">
      <c r="A91">
        <v>-316.40998074999999</v>
      </c>
      <c r="B91">
        <v>-321.85639225</v>
      </c>
      <c r="C91">
        <v>216.90198525</v>
      </c>
      <c r="D91">
        <v>203.9644395</v>
      </c>
      <c r="E91">
        <v>-66.767417749999993</v>
      </c>
      <c r="F91">
        <v>6.1395464999999998</v>
      </c>
      <c r="G91">
        <v>308.89495849999997</v>
      </c>
      <c r="H91">
        <v>-32</v>
      </c>
      <c r="I91">
        <v>36</v>
      </c>
      <c r="J91">
        <v>1.1299999999999999</v>
      </c>
      <c r="K91">
        <v>23.148420250000001</v>
      </c>
      <c r="L91">
        <v>-2.1133167439070122</v>
      </c>
      <c r="M91">
        <v>-2.083639822053946</v>
      </c>
      <c r="N91">
        <v>-1.4886780125458561</v>
      </c>
      <c r="O91">
        <v>-1.2889476905207871</v>
      </c>
    </row>
    <row r="92" spans="1:15" x14ac:dyDescent="0.25">
      <c r="A92">
        <v>-326.54561625000002</v>
      </c>
      <c r="B92">
        <v>-334.47016124999999</v>
      </c>
      <c r="C92">
        <v>200.55758274999999</v>
      </c>
      <c r="D92">
        <v>167.73621750000001</v>
      </c>
      <c r="E92">
        <v>-108.46917550000001</v>
      </c>
      <c r="F92">
        <v>5.7497340000000001</v>
      </c>
      <c r="G92">
        <v>289.33402224999998</v>
      </c>
      <c r="H92">
        <v>-32</v>
      </c>
      <c r="I92">
        <v>40</v>
      </c>
      <c r="J92">
        <v>1.1299999999999999</v>
      </c>
      <c r="K92">
        <v>22.40352725</v>
      </c>
      <c r="L92">
        <v>-2.3739251761518432</v>
      </c>
      <c r="M92">
        <v>-2.2617980382052671</v>
      </c>
      <c r="N92">
        <v>-1.791598930722762</v>
      </c>
      <c r="O92">
        <v>-1.5144057107349951</v>
      </c>
    </row>
    <row r="93" spans="1:15" x14ac:dyDescent="0.25">
      <c r="A93">
        <v>-333.7530825</v>
      </c>
      <c r="B93">
        <v>-346.439255</v>
      </c>
      <c r="C93">
        <v>180.691452</v>
      </c>
      <c r="D93">
        <v>133.3916815</v>
      </c>
      <c r="E93">
        <v>-152.311779</v>
      </c>
      <c r="F93">
        <v>5.2624680000000001</v>
      </c>
      <c r="G93">
        <v>271.94890600000002</v>
      </c>
      <c r="H93">
        <v>-32</v>
      </c>
      <c r="I93">
        <v>44</v>
      </c>
      <c r="J93">
        <v>1.1299999999999999</v>
      </c>
      <c r="K93">
        <v>21.725805749999999</v>
      </c>
      <c r="L93">
        <v>-2.7396633589806281</v>
      </c>
      <c r="M93">
        <v>-2.555303355828678</v>
      </c>
      <c r="N93">
        <v>-2.2594559070437281</v>
      </c>
      <c r="O93">
        <v>-1.8391864645439739</v>
      </c>
    </row>
    <row r="94" spans="1:15" x14ac:dyDescent="0.25">
      <c r="A94">
        <v>203.38570425</v>
      </c>
      <c r="B94">
        <v>-334.90200049999999</v>
      </c>
      <c r="C94">
        <v>-323.52378099999999</v>
      </c>
      <c r="D94">
        <v>153.32377224999999</v>
      </c>
      <c r="E94">
        <v>-41.612559249999997</v>
      </c>
      <c r="F94">
        <v>5.5548277500000003</v>
      </c>
      <c r="G94">
        <v>286.59059174999999</v>
      </c>
      <c r="H94">
        <v>-28</v>
      </c>
      <c r="I94">
        <v>-44</v>
      </c>
      <c r="J94">
        <v>1.1299999999999999</v>
      </c>
      <c r="K94">
        <v>22.302640749999998</v>
      </c>
      <c r="L94">
        <v>1.8320839535448239</v>
      </c>
      <c r="M94">
        <v>-1.697588769862395</v>
      </c>
      <c r="N94">
        <v>-1.141176542590711</v>
      </c>
      <c r="O94">
        <v>-1.163997056869154</v>
      </c>
    </row>
    <row r="95" spans="1:15" x14ac:dyDescent="0.25">
      <c r="A95">
        <v>219.94717424999999</v>
      </c>
      <c r="B95">
        <v>-316.86785874999998</v>
      </c>
      <c r="C95">
        <v>-309.67283624999999</v>
      </c>
      <c r="D95">
        <v>188.80728174999999</v>
      </c>
      <c r="E95">
        <v>-0.40076200000000001</v>
      </c>
      <c r="F95">
        <v>6.0420932500000006</v>
      </c>
      <c r="G95">
        <v>304.75246425</v>
      </c>
      <c r="H95">
        <v>-28</v>
      </c>
      <c r="I95">
        <v>-40</v>
      </c>
      <c r="J95">
        <v>1.1299999999999999</v>
      </c>
      <c r="K95">
        <v>22.993263500000001</v>
      </c>
      <c r="L95">
        <v>1.6927743831083799</v>
      </c>
      <c r="M95">
        <v>-1.6162449819447839</v>
      </c>
      <c r="N95">
        <v>-0.97533648261835049</v>
      </c>
      <c r="O95">
        <v>-1.0205870493522839</v>
      </c>
    </row>
    <row r="96" spans="1:15" x14ac:dyDescent="0.25">
      <c r="A96">
        <v>233.34978125000001</v>
      </c>
      <c r="B96">
        <v>-288.0799485</v>
      </c>
      <c r="C96">
        <v>-286.62953950000002</v>
      </c>
      <c r="D96">
        <v>222.62613675</v>
      </c>
      <c r="E96">
        <v>42.955950999999999</v>
      </c>
      <c r="F96">
        <v>6.0908199999999999</v>
      </c>
      <c r="G96">
        <v>321.37292474999998</v>
      </c>
      <c r="H96">
        <v>-28</v>
      </c>
      <c r="I96">
        <v>-36</v>
      </c>
      <c r="J96">
        <v>1.1299999999999999</v>
      </c>
      <c r="K96">
        <v>23.622463499999999</v>
      </c>
      <c r="L96">
        <v>1.574195467778565</v>
      </c>
      <c r="M96">
        <v>-1.5461419210093419</v>
      </c>
      <c r="N96">
        <v>-0.84289315593808611</v>
      </c>
      <c r="O96">
        <v>-0.88838099016271621</v>
      </c>
    </row>
    <row r="97" spans="1:15" x14ac:dyDescent="0.25">
      <c r="A97">
        <v>242.26897825</v>
      </c>
      <c r="B97">
        <v>-257.98263550000001</v>
      </c>
      <c r="C97">
        <v>-248.92735675</v>
      </c>
      <c r="D97">
        <v>257.23350525000001</v>
      </c>
      <c r="E97">
        <v>83.984445499999993</v>
      </c>
      <c r="F97">
        <v>6.9678975000000003</v>
      </c>
      <c r="G97">
        <v>337.81636025</v>
      </c>
      <c r="H97">
        <v>-28</v>
      </c>
      <c r="I97">
        <v>-32</v>
      </c>
      <c r="J97">
        <v>1.1299999999999999</v>
      </c>
      <c r="K97">
        <v>24.198596250000001</v>
      </c>
      <c r="L97">
        <v>1.4556546413004929</v>
      </c>
      <c r="M97">
        <v>-1.526840647112583</v>
      </c>
      <c r="N97">
        <v>-0.75222973124908954</v>
      </c>
      <c r="O97">
        <v>-0.77176035979941204</v>
      </c>
    </row>
    <row r="98" spans="1:15" x14ac:dyDescent="0.25">
      <c r="A98">
        <v>234.47704325000001</v>
      </c>
      <c r="B98">
        <v>-210.1525575</v>
      </c>
      <c r="C98">
        <v>-187.29223250000001</v>
      </c>
      <c r="D98">
        <v>274.14293674999999</v>
      </c>
      <c r="E98">
        <v>116.75422075</v>
      </c>
      <c r="F98">
        <v>6.7729914999999998</v>
      </c>
      <c r="G98">
        <v>334.45493325000001</v>
      </c>
      <c r="H98">
        <v>-28</v>
      </c>
      <c r="I98">
        <v>-28</v>
      </c>
      <c r="J98">
        <v>1.1299999999999999</v>
      </c>
      <c r="K98">
        <v>24.0824915</v>
      </c>
      <c r="L98">
        <v>1.3368954777548081</v>
      </c>
      <c r="M98">
        <v>-1.535136427966977</v>
      </c>
      <c r="N98">
        <v>-0.69007780325073576</v>
      </c>
      <c r="O98">
        <v>-0.65136040790066552</v>
      </c>
    </row>
    <row r="99" spans="1:15" x14ac:dyDescent="0.25">
      <c r="A99">
        <v>209.991783</v>
      </c>
      <c r="B99">
        <v>-157.23058325</v>
      </c>
      <c r="C99">
        <v>-120.38786125</v>
      </c>
      <c r="D99">
        <v>272.65351099999998</v>
      </c>
      <c r="E99">
        <v>136.57377625000001</v>
      </c>
      <c r="F99">
        <v>6.1395467500000001</v>
      </c>
      <c r="G99">
        <v>312.42951975</v>
      </c>
      <c r="H99">
        <v>-28</v>
      </c>
      <c r="I99">
        <v>-24</v>
      </c>
      <c r="J99">
        <v>1.1299999999999999</v>
      </c>
      <c r="K99">
        <v>23.283145999999999</v>
      </c>
      <c r="L99">
        <v>1.199708754964885</v>
      </c>
      <c r="M99">
        <v>-1.5610335259706769</v>
      </c>
      <c r="N99">
        <v>-0.63858267885309439</v>
      </c>
      <c r="O99">
        <v>-0.52634453512444856</v>
      </c>
    </row>
    <row r="100" spans="1:15" x14ac:dyDescent="0.25">
      <c r="A100">
        <v>182.69377549999999</v>
      </c>
      <c r="B100">
        <v>-123.348112</v>
      </c>
      <c r="C100">
        <v>-71.412008499999999</v>
      </c>
      <c r="D100">
        <v>267.70333075000002</v>
      </c>
      <c r="E100">
        <v>146.08648299999999</v>
      </c>
      <c r="F100">
        <v>5.6035545000000004</v>
      </c>
      <c r="G100">
        <v>292.44812000000002</v>
      </c>
      <c r="H100">
        <v>-28</v>
      </c>
      <c r="I100">
        <v>-20</v>
      </c>
      <c r="J100">
        <v>1.1299999999999999</v>
      </c>
      <c r="K100">
        <v>22.53194375</v>
      </c>
      <c r="L100">
        <v>1.043698669700444</v>
      </c>
      <c r="M100">
        <v>-1.606177499633529</v>
      </c>
      <c r="N100">
        <v>-0.60115319639439013</v>
      </c>
      <c r="O100">
        <v>-0.42298433532909452</v>
      </c>
    </row>
    <row r="101" spans="1:15" x14ac:dyDescent="0.25">
      <c r="A101">
        <v>156.92996600000001</v>
      </c>
      <c r="B101">
        <v>-99.736682999999999</v>
      </c>
      <c r="C101">
        <v>-27.023770500000001</v>
      </c>
      <c r="D101">
        <v>259.42384349999998</v>
      </c>
      <c r="E101">
        <v>152.94079224999999</v>
      </c>
      <c r="F101">
        <v>5.3111947500000003</v>
      </c>
      <c r="G101">
        <v>274.60522474999999</v>
      </c>
      <c r="H101">
        <v>-28</v>
      </c>
      <c r="I101">
        <v>-16</v>
      </c>
      <c r="J101">
        <v>1.1299999999999999</v>
      </c>
      <c r="K101">
        <v>21.8317555</v>
      </c>
      <c r="L101">
        <v>0.85036992586662097</v>
      </c>
      <c r="M101">
        <v>-1.66031371297007</v>
      </c>
      <c r="N101">
        <v>-0.56242390968912614</v>
      </c>
      <c r="O101">
        <v>-0.31754232334335242</v>
      </c>
    </row>
    <row r="102" spans="1:15" x14ac:dyDescent="0.25">
      <c r="A102">
        <v>138.22284675</v>
      </c>
      <c r="B102">
        <v>-93.554607250000004</v>
      </c>
      <c r="C102">
        <v>6.3662074999999998</v>
      </c>
      <c r="D102">
        <v>266.30152125000001</v>
      </c>
      <c r="E102">
        <v>161.7217675</v>
      </c>
      <c r="F102">
        <v>5.3111947500000003</v>
      </c>
      <c r="G102">
        <v>275.56534549999998</v>
      </c>
      <c r="H102">
        <v>-28</v>
      </c>
      <c r="I102">
        <v>-12</v>
      </c>
      <c r="J102">
        <v>1.1299999999999999</v>
      </c>
      <c r="K102">
        <v>21.870641750000001</v>
      </c>
      <c r="L102">
        <v>0.64222403816502693</v>
      </c>
      <c r="M102">
        <v>-1.7527107338080421</v>
      </c>
      <c r="N102">
        <v>-0.55449525703527081</v>
      </c>
      <c r="O102">
        <v>-0.23820377117021249</v>
      </c>
    </row>
    <row r="103" spans="1:15" x14ac:dyDescent="0.25">
      <c r="A103">
        <v>124.50435475</v>
      </c>
      <c r="B103">
        <v>-95.288358500000001</v>
      </c>
      <c r="C103">
        <v>42.847638000000003</v>
      </c>
      <c r="D103">
        <v>287.50401299999999</v>
      </c>
      <c r="E103">
        <v>180.68584050000001</v>
      </c>
      <c r="F103">
        <v>5.7010075000000002</v>
      </c>
      <c r="G103">
        <v>294.56848124999999</v>
      </c>
      <c r="H103">
        <v>-28</v>
      </c>
      <c r="I103">
        <v>-8</v>
      </c>
      <c r="J103">
        <v>1.1299999999999999</v>
      </c>
      <c r="K103">
        <v>22.611268249999998</v>
      </c>
      <c r="L103">
        <v>0.39464967974799259</v>
      </c>
      <c r="M103">
        <v>-1.8500768746787259</v>
      </c>
      <c r="N103">
        <v>-0.55040561378311126</v>
      </c>
      <c r="O103">
        <v>-0.15427578401725811</v>
      </c>
    </row>
    <row r="104" spans="1:15" x14ac:dyDescent="0.25">
      <c r="A104">
        <v>104.81552875</v>
      </c>
      <c r="B104">
        <v>-99.263843500000007</v>
      </c>
      <c r="C104">
        <v>78.516361250000003</v>
      </c>
      <c r="D104">
        <v>305.28956599999998</v>
      </c>
      <c r="E104">
        <v>195.38022624999999</v>
      </c>
      <c r="F104">
        <v>6.2369994999999996</v>
      </c>
      <c r="G104">
        <v>312.15322874999998</v>
      </c>
      <c r="H104">
        <v>-28</v>
      </c>
      <c r="I104">
        <v>-4</v>
      </c>
      <c r="J104">
        <v>1.1299999999999999</v>
      </c>
      <c r="K104">
        <v>23.268941999999999</v>
      </c>
      <c r="L104">
        <v>0.12777908159324511</v>
      </c>
      <c r="M104">
        <v>-1.9662316196602789</v>
      </c>
      <c r="N104">
        <v>-0.5675599866742308</v>
      </c>
      <c r="O104">
        <v>-8.0727667189223778E-2</v>
      </c>
    </row>
    <row r="105" spans="1:15" x14ac:dyDescent="0.25">
      <c r="A105">
        <v>76.840684750000008</v>
      </c>
      <c r="B105">
        <v>-104.8769415</v>
      </c>
      <c r="C105">
        <v>116.89410975</v>
      </c>
      <c r="D105">
        <v>321.76092549999998</v>
      </c>
      <c r="E105">
        <v>206.44768149999999</v>
      </c>
      <c r="F105">
        <v>6.6268120000000001</v>
      </c>
      <c r="G105">
        <v>329.03322600000001</v>
      </c>
      <c r="H105">
        <v>-28</v>
      </c>
      <c r="I105">
        <v>0</v>
      </c>
      <c r="J105">
        <v>1.1299999999999999</v>
      </c>
      <c r="K105">
        <v>23.887870499999998</v>
      </c>
      <c r="L105">
        <v>-0.18168395751882491</v>
      </c>
      <c r="M105">
        <v>-1.93517885809171</v>
      </c>
      <c r="N105">
        <v>-0.55605305994815302</v>
      </c>
      <c r="O105">
        <v>-9.364507703717688E-2</v>
      </c>
    </row>
    <row r="106" spans="1:15" x14ac:dyDescent="0.25">
      <c r="A106">
        <v>43.809520749999997</v>
      </c>
      <c r="B106">
        <v>-110.058443</v>
      </c>
      <c r="C106">
        <v>156.80695700000001</v>
      </c>
      <c r="D106">
        <v>336.304779</v>
      </c>
      <c r="E106">
        <v>215.95582949999999</v>
      </c>
      <c r="F106">
        <v>6.5780855000000003</v>
      </c>
      <c r="G106">
        <v>345.1368635</v>
      </c>
      <c r="H106">
        <v>-28</v>
      </c>
      <c r="I106">
        <v>4</v>
      </c>
      <c r="J106">
        <v>1.1299999999999999</v>
      </c>
      <c r="K106">
        <v>24.478935</v>
      </c>
      <c r="L106">
        <v>-0.45365124029183862</v>
      </c>
      <c r="M106">
        <v>-1.7920545445305409</v>
      </c>
      <c r="N106">
        <v>-0.51863635971048816</v>
      </c>
      <c r="O106">
        <v>-0.15939428681275919</v>
      </c>
    </row>
    <row r="107" spans="1:15" x14ac:dyDescent="0.25">
      <c r="A107">
        <v>3.9709297499999998</v>
      </c>
      <c r="B107">
        <v>-103.68486224999999</v>
      </c>
      <c r="C107">
        <v>175.81522774999999</v>
      </c>
      <c r="D107">
        <v>313.39382174999997</v>
      </c>
      <c r="E107">
        <v>199.51840949999999</v>
      </c>
      <c r="F107">
        <v>6.2369994999999996</v>
      </c>
      <c r="G107">
        <v>325.4347305</v>
      </c>
      <c r="H107">
        <v>-28</v>
      </c>
      <c r="I107">
        <v>8</v>
      </c>
      <c r="J107">
        <v>1.1299999999999999</v>
      </c>
      <c r="K107">
        <v>23.7686885</v>
      </c>
      <c r="L107">
        <v>-0.68910733401239876</v>
      </c>
      <c r="M107">
        <v>-1.672503540758739</v>
      </c>
      <c r="N107">
        <v>-0.50495408857646695</v>
      </c>
      <c r="O107">
        <v>-0.2249471905602691</v>
      </c>
    </row>
    <row r="108" spans="1:15" x14ac:dyDescent="0.25">
      <c r="A108">
        <v>-31.129460000000002</v>
      </c>
      <c r="B108">
        <v>-99.41463675</v>
      </c>
      <c r="C108">
        <v>185.38708475000001</v>
      </c>
      <c r="D108">
        <v>287.54780549999998</v>
      </c>
      <c r="E108">
        <v>176.76356874999999</v>
      </c>
      <c r="F108">
        <v>5.7984605</v>
      </c>
      <c r="G108">
        <v>304.25010674999999</v>
      </c>
      <c r="H108">
        <v>-28</v>
      </c>
      <c r="I108">
        <v>12</v>
      </c>
      <c r="J108">
        <v>1.1299999999999999</v>
      </c>
      <c r="K108">
        <v>22.983282500000001</v>
      </c>
      <c r="L108">
        <v>-0.89456218358223483</v>
      </c>
      <c r="M108">
        <v>-1.5987878300200851</v>
      </c>
      <c r="N108">
        <v>-0.52672634995844481</v>
      </c>
      <c r="O108">
        <v>-0.29363793137108568</v>
      </c>
    </row>
    <row r="109" spans="1:15" x14ac:dyDescent="0.25">
      <c r="A109">
        <v>-63.168233999999998</v>
      </c>
      <c r="B109">
        <v>-96.247959000000009</v>
      </c>
      <c r="C109">
        <v>191.03087575000001</v>
      </c>
      <c r="D109">
        <v>261.96464550000002</v>
      </c>
      <c r="E109">
        <v>150.47703175000001</v>
      </c>
      <c r="F109">
        <v>5.6035542500000002</v>
      </c>
      <c r="G109">
        <v>285.42354599999999</v>
      </c>
      <c r="H109">
        <v>-28</v>
      </c>
      <c r="I109">
        <v>16</v>
      </c>
      <c r="J109">
        <v>1.1299999999999999</v>
      </c>
      <c r="K109">
        <v>22.254345000000001</v>
      </c>
      <c r="L109">
        <v>-1.10435048638806</v>
      </c>
      <c r="M109">
        <v>-1.556196668548848</v>
      </c>
      <c r="N109">
        <v>-0.58627005087009942</v>
      </c>
      <c r="O109">
        <v>-0.3706264140933252</v>
      </c>
    </row>
    <row r="110" spans="1:15" x14ac:dyDescent="0.25">
      <c r="A110">
        <v>-91.778665500000002</v>
      </c>
      <c r="B110">
        <v>-104.11667850000001</v>
      </c>
      <c r="C110">
        <v>191.43722500000001</v>
      </c>
      <c r="D110">
        <v>235.72436925</v>
      </c>
      <c r="E110">
        <v>119.8094005</v>
      </c>
      <c r="F110">
        <v>5.2137422500000001</v>
      </c>
      <c r="G110">
        <v>268.15526575000001</v>
      </c>
      <c r="H110">
        <v>-28</v>
      </c>
      <c r="I110">
        <v>20</v>
      </c>
      <c r="J110">
        <v>1.1299999999999999</v>
      </c>
      <c r="K110">
        <v>21.572721749999999</v>
      </c>
      <c r="L110">
        <v>-1.3005992205101899</v>
      </c>
      <c r="M110">
        <v>-1.5606262066010881</v>
      </c>
      <c r="N110">
        <v>-0.68124913450449209</v>
      </c>
      <c r="O110">
        <v>-0.47371900430858999</v>
      </c>
    </row>
    <row r="111" spans="1:15" x14ac:dyDescent="0.25">
      <c r="A111">
        <v>-133.95090099999999</v>
      </c>
      <c r="B111">
        <v>-141.30120875</v>
      </c>
      <c r="C111">
        <v>212.3869555</v>
      </c>
      <c r="D111">
        <v>234.97965600000001</v>
      </c>
      <c r="E111">
        <v>95.349527249999994</v>
      </c>
      <c r="F111">
        <v>5.4573747499999996</v>
      </c>
      <c r="G111">
        <v>283.03943674999999</v>
      </c>
      <c r="H111">
        <v>-28</v>
      </c>
      <c r="I111">
        <v>24</v>
      </c>
      <c r="J111">
        <v>1.1299999999999999</v>
      </c>
      <c r="K111">
        <v>22.165166750000001</v>
      </c>
      <c r="L111">
        <v>-1.486607355924622</v>
      </c>
      <c r="M111">
        <v>-1.6151406222786311</v>
      </c>
      <c r="N111">
        <v>-0.80565921364681825</v>
      </c>
      <c r="O111">
        <v>-0.61417526149813517</v>
      </c>
    </row>
    <row r="112" spans="1:15" x14ac:dyDescent="0.25">
      <c r="A112">
        <v>-185.83080275</v>
      </c>
      <c r="B112">
        <v>-194.41511174999999</v>
      </c>
      <c r="C112">
        <v>232.3433915</v>
      </c>
      <c r="D112">
        <v>232.08840950000001</v>
      </c>
      <c r="E112">
        <v>60.660702499999999</v>
      </c>
      <c r="F112">
        <v>5.8959137500000001</v>
      </c>
      <c r="G112">
        <v>301.42704025</v>
      </c>
      <c r="H112">
        <v>-28</v>
      </c>
      <c r="I112">
        <v>28</v>
      </c>
      <c r="J112">
        <v>1.1299999999999999</v>
      </c>
      <c r="K112">
        <v>22.870575250000002</v>
      </c>
      <c r="L112">
        <v>-1.667467108416107</v>
      </c>
      <c r="M112">
        <v>-1.700674940934817</v>
      </c>
      <c r="N112">
        <v>-0.96006531364976455</v>
      </c>
      <c r="O112">
        <v>-0.78160755762816825</v>
      </c>
    </row>
    <row r="113" spans="1:15" x14ac:dyDescent="0.25">
      <c r="A113">
        <v>-241.10710549999999</v>
      </c>
      <c r="B113">
        <v>-251.22349149999999</v>
      </c>
      <c r="C113">
        <v>248.46203249999999</v>
      </c>
      <c r="D113">
        <v>223.72130575</v>
      </c>
      <c r="E113">
        <v>16.360917749999999</v>
      </c>
      <c r="F113">
        <v>6.2369994999999996</v>
      </c>
      <c r="G113">
        <v>318.35080725</v>
      </c>
      <c r="H113">
        <v>-28</v>
      </c>
      <c r="I113">
        <v>32</v>
      </c>
      <c r="J113">
        <v>1.1299999999999999</v>
      </c>
      <c r="K113">
        <v>23.503472500000001</v>
      </c>
      <c r="L113">
        <v>-1.8648554099660399</v>
      </c>
      <c r="M113">
        <v>-1.8091556802935891</v>
      </c>
      <c r="N113">
        <v>-1.15034718725636</v>
      </c>
      <c r="O113">
        <v>-0.96145183870449413</v>
      </c>
    </row>
    <row r="114" spans="1:15" x14ac:dyDescent="0.25">
      <c r="A114">
        <v>-296.88517024999999</v>
      </c>
      <c r="B114">
        <v>-309.37529749999999</v>
      </c>
      <c r="C114">
        <v>261.23956299999998</v>
      </c>
      <c r="D114">
        <v>208.38892724999999</v>
      </c>
      <c r="E114">
        <v>-37.553884500000002</v>
      </c>
      <c r="F114">
        <v>6.6755385</v>
      </c>
      <c r="G114">
        <v>334.53388224999998</v>
      </c>
      <c r="H114">
        <v>-28</v>
      </c>
      <c r="I114">
        <v>36</v>
      </c>
      <c r="J114">
        <v>1.1299999999999999</v>
      </c>
      <c r="K114">
        <v>24.088992999999999</v>
      </c>
      <c r="L114">
        <v>-2.1015916749999222</v>
      </c>
      <c r="M114">
        <v>-1.949598608034834</v>
      </c>
      <c r="N114">
        <v>-1.4010830668312839</v>
      </c>
      <c r="O114">
        <v>-1.166552695873869</v>
      </c>
    </row>
    <row r="115" spans="1:15" x14ac:dyDescent="0.25">
      <c r="A115">
        <v>-347.4474945</v>
      </c>
      <c r="B115">
        <v>-366.34984574999999</v>
      </c>
      <c r="C115">
        <v>263.40677675000001</v>
      </c>
      <c r="D115">
        <v>182.5429115</v>
      </c>
      <c r="E115">
        <v>-104.72270575</v>
      </c>
      <c r="F115">
        <v>6.8217179999999997</v>
      </c>
      <c r="G115">
        <v>341.81592549999999</v>
      </c>
      <c r="H115">
        <v>-28</v>
      </c>
      <c r="I115">
        <v>40</v>
      </c>
      <c r="J115">
        <v>1.1299999999999999</v>
      </c>
      <c r="K115">
        <v>24.349714500000001</v>
      </c>
      <c r="L115">
        <v>-2.422479805119508</v>
      </c>
      <c r="M115">
        <v>-2.1768096694216399</v>
      </c>
      <c r="N115">
        <v>-1.7709814393280729</v>
      </c>
      <c r="O115">
        <v>-1.4423999929995499</v>
      </c>
    </row>
    <row r="116" spans="1:15" x14ac:dyDescent="0.25">
      <c r="A116">
        <v>-357.94480874999999</v>
      </c>
      <c r="B116">
        <v>-379.95394125000001</v>
      </c>
      <c r="C116">
        <v>237.40021125000001</v>
      </c>
      <c r="D116">
        <v>141.75877775000001</v>
      </c>
      <c r="E116">
        <v>-154.54181700000001</v>
      </c>
      <c r="F116">
        <v>6.3344525000000003</v>
      </c>
      <c r="G116">
        <v>318.12928775</v>
      </c>
      <c r="H116">
        <v>-28</v>
      </c>
      <c r="I116">
        <v>44</v>
      </c>
      <c r="J116">
        <v>1.1299999999999999</v>
      </c>
      <c r="K116">
        <v>23.491449249999999</v>
      </c>
      <c r="L116">
        <v>-2.777035255651279</v>
      </c>
      <c r="M116">
        <v>-2.4335805148297132</v>
      </c>
      <c r="N116">
        <v>-2.205006683808211</v>
      </c>
      <c r="O116">
        <v>-1.7505433809116839</v>
      </c>
    </row>
    <row r="117" spans="1:15" x14ac:dyDescent="0.25">
      <c r="A117">
        <v>227.98007949999999</v>
      </c>
      <c r="B117">
        <v>-312.04042049999998</v>
      </c>
      <c r="C117">
        <v>-303.37728874999999</v>
      </c>
      <c r="D117">
        <v>138.95514675000001</v>
      </c>
      <c r="E117">
        <v>-23.593830499999999</v>
      </c>
      <c r="F117">
        <v>5.5548280000000014</v>
      </c>
      <c r="G117">
        <v>291.00167075000002</v>
      </c>
      <c r="H117">
        <v>-24</v>
      </c>
      <c r="I117">
        <v>-44</v>
      </c>
      <c r="J117">
        <v>1.1299999999999999</v>
      </c>
      <c r="K117">
        <v>22.476982499999998</v>
      </c>
      <c r="L117">
        <v>1.8702193724836469</v>
      </c>
      <c r="M117">
        <v>-1.5873704115351539</v>
      </c>
      <c r="N117">
        <v>-1.1072800084982499</v>
      </c>
      <c r="O117">
        <v>-1.1025887557853919</v>
      </c>
    </row>
    <row r="118" spans="1:15" x14ac:dyDescent="0.25">
      <c r="A118">
        <v>218.38423900000001</v>
      </c>
      <c r="B118">
        <v>-249.40024975</v>
      </c>
      <c r="C118">
        <v>-249.75556950000001</v>
      </c>
      <c r="D118">
        <v>155.426502</v>
      </c>
      <c r="E118">
        <v>19.580809250000001</v>
      </c>
      <c r="F118">
        <v>5.2137417500000014</v>
      </c>
      <c r="G118">
        <v>273.22084825000002</v>
      </c>
      <c r="H118">
        <v>-24</v>
      </c>
      <c r="I118">
        <v>-40</v>
      </c>
      <c r="J118">
        <v>1.1299999999999999</v>
      </c>
      <c r="K118">
        <v>21.779537250000001</v>
      </c>
      <c r="L118">
        <v>1.739281651694585</v>
      </c>
      <c r="M118">
        <v>-1.5040399907890081</v>
      </c>
      <c r="N118">
        <v>-0.94235359775792904</v>
      </c>
      <c r="O118">
        <v>-0.94662464964461357</v>
      </c>
    </row>
    <row r="119" spans="1:15" x14ac:dyDescent="0.25">
      <c r="A119">
        <v>222.92700575000001</v>
      </c>
      <c r="B119">
        <v>-207.91658799999999</v>
      </c>
      <c r="C119">
        <v>-218.13008500000001</v>
      </c>
      <c r="D119">
        <v>179.65166475000001</v>
      </c>
      <c r="E119">
        <v>57.937693750000001</v>
      </c>
      <c r="F119">
        <v>5.4086482499999997</v>
      </c>
      <c r="G119">
        <v>277.07775874999999</v>
      </c>
      <c r="H119">
        <v>-24</v>
      </c>
      <c r="I119">
        <v>-36</v>
      </c>
      <c r="J119">
        <v>1.1299999999999999</v>
      </c>
      <c r="K119">
        <v>21.9278175</v>
      </c>
      <c r="L119">
        <v>1.627750689995983</v>
      </c>
      <c r="M119">
        <v>-1.4303444911286369</v>
      </c>
      <c r="N119">
        <v>-0.80876278396521428</v>
      </c>
      <c r="O119">
        <v>-0.80613052792832063</v>
      </c>
    </row>
    <row r="120" spans="1:15" x14ac:dyDescent="0.25">
      <c r="A120">
        <v>236.55247875000001</v>
      </c>
      <c r="B120">
        <v>-174.731056</v>
      </c>
      <c r="C120">
        <v>-188.76036074999999</v>
      </c>
      <c r="D120">
        <v>212.50676725</v>
      </c>
      <c r="E120">
        <v>101.61447325</v>
      </c>
      <c r="F120">
        <v>5.7984605</v>
      </c>
      <c r="G120">
        <v>295.84302524999998</v>
      </c>
      <c r="H120">
        <v>-24</v>
      </c>
      <c r="I120">
        <v>-32</v>
      </c>
      <c r="J120">
        <v>1.1299999999999999</v>
      </c>
      <c r="K120">
        <v>22.657278250000001</v>
      </c>
      <c r="L120">
        <v>1.5009680037706461</v>
      </c>
      <c r="M120">
        <v>-1.3665879055550789</v>
      </c>
      <c r="N120">
        <v>-0.6854474112181822</v>
      </c>
      <c r="O120">
        <v>-0.66185502607300561</v>
      </c>
    </row>
    <row r="121" spans="1:15" x14ac:dyDescent="0.25">
      <c r="A121">
        <v>244.82491675</v>
      </c>
      <c r="B121">
        <v>-144.4958115</v>
      </c>
      <c r="C121">
        <v>-141.52515399999999</v>
      </c>
      <c r="D121">
        <v>245.01140975000001</v>
      </c>
      <c r="E121">
        <v>142.11719525000001</v>
      </c>
      <c r="F121">
        <v>6.3344525000000003</v>
      </c>
      <c r="G121">
        <v>313.32792699999999</v>
      </c>
      <c r="H121">
        <v>-24</v>
      </c>
      <c r="I121">
        <v>-28</v>
      </c>
      <c r="J121">
        <v>1.1299999999999999</v>
      </c>
      <c r="K121">
        <v>23.30987725</v>
      </c>
      <c r="L121">
        <v>1.354998146183072</v>
      </c>
      <c r="M121">
        <v>-1.36606662297453</v>
      </c>
      <c r="N121">
        <v>-0.60046491729386831</v>
      </c>
      <c r="O121">
        <v>-0.52377482438880762</v>
      </c>
    </row>
    <row r="122" spans="1:15" x14ac:dyDescent="0.25">
      <c r="A122">
        <v>247.86446000000001</v>
      </c>
      <c r="B122">
        <v>-118.74239925000001</v>
      </c>
      <c r="C122">
        <v>-83.868429249999991</v>
      </c>
      <c r="D122">
        <v>275.23810600000002</v>
      </c>
      <c r="E122">
        <v>180.29526150000001</v>
      </c>
      <c r="F122">
        <v>6.5780849999999997</v>
      </c>
      <c r="G122">
        <v>329.97261049999997</v>
      </c>
      <c r="H122">
        <v>-24</v>
      </c>
      <c r="I122">
        <v>-24</v>
      </c>
      <c r="J122">
        <v>1.1299999999999999</v>
      </c>
      <c r="K122">
        <v>23.924442500000001</v>
      </c>
      <c r="L122">
        <v>1.178004301852799</v>
      </c>
      <c r="M122">
        <v>-1.3990931103368349</v>
      </c>
      <c r="N122">
        <v>-0.53153985933901915</v>
      </c>
      <c r="O122">
        <v>-0.38309651603973932</v>
      </c>
    </row>
    <row r="123" spans="1:15" x14ac:dyDescent="0.25">
      <c r="A123">
        <v>243.75535199999999</v>
      </c>
      <c r="B123">
        <v>-95.467008750000005</v>
      </c>
      <c r="C123">
        <v>-35.550469</v>
      </c>
      <c r="D123">
        <v>304.41342924999998</v>
      </c>
      <c r="E123">
        <v>215.969841</v>
      </c>
      <c r="F123">
        <v>6.9191710000000004</v>
      </c>
      <c r="G123">
        <v>345.97709650000002</v>
      </c>
      <c r="H123">
        <v>-24</v>
      </c>
      <c r="I123">
        <v>-20</v>
      </c>
      <c r="J123">
        <v>1.1299999999999999</v>
      </c>
      <c r="K123">
        <v>24.496975750000001</v>
      </c>
      <c r="L123">
        <v>0.99229290961200545</v>
      </c>
      <c r="M123">
        <v>-1.420631957277436</v>
      </c>
      <c r="N123">
        <v>-0.46187105206794721</v>
      </c>
      <c r="O123">
        <v>-0.25730270031317748</v>
      </c>
    </row>
    <row r="124" spans="1:15" x14ac:dyDescent="0.25">
      <c r="A124">
        <v>212.42832150000001</v>
      </c>
      <c r="B124">
        <v>-69.422214499999995</v>
      </c>
      <c r="C124">
        <v>8.7591727500000012</v>
      </c>
      <c r="D124">
        <v>297.448151</v>
      </c>
      <c r="E124">
        <v>221.06621949999999</v>
      </c>
      <c r="F124">
        <v>6.3344520000000006</v>
      </c>
      <c r="G124">
        <v>325.85145549999999</v>
      </c>
      <c r="H124">
        <v>-24</v>
      </c>
      <c r="I124">
        <v>-16</v>
      </c>
      <c r="J124">
        <v>1.1299999999999999</v>
      </c>
      <c r="K124">
        <v>23.780581999999999</v>
      </c>
      <c r="L124">
        <v>0.8101409583583512</v>
      </c>
      <c r="M124">
        <v>-1.45932297613686</v>
      </c>
      <c r="N124">
        <v>-0.41680727429656123</v>
      </c>
      <c r="O124">
        <v>-0.14584366491762049</v>
      </c>
    </row>
    <row r="125" spans="1:15" x14ac:dyDescent="0.25">
      <c r="A125">
        <v>178.21515249999999</v>
      </c>
      <c r="B125">
        <v>-56.028942999999998</v>
      </c>
      <c r="C125">
        <v>43.3442905</v>
      </c>
      <c r="D125">
        <v>284.83180249999998</v>
      </c>
      <c r="E125">
        <v>217.6239205</v>
      </c>
      <c r="F125">
        <v>6.0908197500000014</v>
      </c>
      <c r="G125">
        <v>304.76554125000001</v>
      </c>
      <c r="H125">
        <v>-24</v>
      </c>
      <c r="I125">
        <v>-12</v>
      </c>
      <c r="J125">
        <v>1.1299999999999999</v>
      </c>
      <c r="K125">
        <v>22.991881500000002</v>
      </c>
      <c r="L125">
        <v>0.60219646464688326</v>
      </c>
      <c r="M125">
        <v>-1.521937663041504</v>
      </c>
      <c r="N125">
        <v>-0.38909841180532329</v>
      </c>
      <c r="O125">
        <v>-5.55167909441402E-2</v>
      </c>
    </row>
    <row r="126" spans="1:15" x14ac:dyDescent="0.25">
      <c r="A126">
        <v>145.36946474999999</v>
      </c>
      <c r="B126">
        <v>-50.180215250000003</v>
      </c>
      <c r="C126">
        <v>69.666906249999997</v>
      </c>
      <c r="D126">
        <v>271.2955015</v>
      </c>
      <c r="E126">
        <v>210.15819575</v>
      </c>
      <c r="F126">
        <v>5.4086482499999997</v>
      </c>
      <c r="G126">
        <v>285.720192</v>
      </c>
      <c r="H126">
        <v>-24</v>
      </c>
      <c r="I126">
        <v>-8</v>
      </c>
      <c r="J126">
        <v>1.1299999999999999</v>
      </c>
      <c r="K126">
        <v>22.27388225</v>
      </c>
      <c r="L126">
        <v>0.37772607028435567</v>
      </c>
      <c r="M126">
        <v>-1.6040495222477451</v>
      </c>
      <c r="N126">
        <v>-0.37702559872175567</v>
      </c>
      <c r="O126">
        <v>2.1631261411876431E-2</v>
      </c>
    </row>
    <row r="127" spans="1:15" x14ac:dyDescent="0.25">
      <c r="A127">
        <v>113.83214375</v>
      </c>
      <c r="B127">
        <v>-44.612191000000003</v>
      </c>
      <c r="C127">
        <v>91.38419325000001</v>
      </c>
      <c r="D127">
        <v>256.31356425000001</v>
      </c>
      <c r="E127">
        <v>200.725437</v>
      </c>
      <c r="F127">
        <v>5.2624684999999998</v>
      </c>
      <c r="G127">
        <v>268.55537450000003</v>
      </c>
      <c r="H127">
        <v>-24</v>
      </c>
      <c r="I127">
        <v>-4</v>
      </c>
      <c r="J127">
        <v>1.1299999999999999</v>
      </c>
      <c r="K127">
        <v>21.587142499999999</v>
      </c>
      <c r="L127">
        <v>0.12658183869745879</v>
      </c>
      <c r="M127">
        <v>-1.696884605740882</v>
      </c>
      <c r="N127">
        <v>-0.38248392957489002</v>
      </c>
      <c r="O127">
        <v>0.1021983385473712</v>
      </c>
    </row>
    <row r="128" spans="1:15" x14ac:dyDescent="0.25">
      <c r="A128">
        <v>94.708387250000001</v>
      </c>
      <c r="B128">
        <v>-45.958544000000003</v>
      </c>
      <c r="C128">
        <v>123.1699965</v>
      </c>
      <c r="D128">
        <v>269.76225275000002</v>
      </c>
      <c r="E128">
        <v>213.73459600000001</v>
      </c>
      <c r="F128">
        <v>5.3599212500000002</v>
      </c>
      <c r="G128">
        <v>282.6393205</v>
      </c>
      <c r="H128">
        <v>-24</v>
      </c>
      <c r="I128">
        <v>0</v>
      </c>
      <c r="J128">
        <v>1.1299999999999999</v>
      </c>
      <c r="K128">
        <v>22.153085749999999</v>
      </c>
      <c r="L128">
        <v>-0.15031222403591379</v>
      </c>
      <c r="M128">
        <v>-1.667295466462543</v>
      </c>
      <c r="N128">
        <v>-0.3638814410480577</v>
      </c>
      <c r="O128">
        <v>0.1004279998419864</v>
      </c>
    </row>
    <row r="129" spans="1:15" x14ac:dyDescent="0.25">
      <c r="A129">
        <v>68.944482749999992</v>
      </c>
      <c r="B129">
        <v>-49.460553249999997</v>
      </c>
      <c r="C129">
        <v>158.34206374999999</v>
      </c>
      <c r="D129">
        <v>285.48889150000002</v>
      </c>
      <c r="E129">
        <v>224.91083524999999</v>
      </c>
      <c r="F129">
        <v>5.9446399999999997</v>
      </c>
      <c r="G129">
        <v>301.08449574999997</v>
      </c>
      <c r="H129">
        <v>-24</v>
      </c>
      <c r="I129">
        <v>4</v>
      </c>
      <c r="J129">
        <v>1.1299999999999999</v>
      </c>
      <c r="K129">
        <v>22.855425</v>
      </c>
      <c r="L129">
        <v>-0.4154791925553255</v>
      </c>
      <c r="M129">
        <v>-1.556680888723641</v>
      </c>
      <c r="N129">
        <v>-0.35401871943654151</v>
      </c>
      <c r="O129">
        <v>1.7648521472315999E-2</v>
      </c>
    </row>
    <row r="130" spans="1:15" x14ac:dyDescent="0.25">
      <c r="A130">
        <v>41.779176749999998</v>
      </c>
      <c r="B130">
        <v>-50.128583749999997</v>
      </c>
      <c r="C130">
        <v>192.88203774999999</v>
      </c>
      <c r="D130">
        <v>297.57957475000001</v>
      </c>
      <c r="E130">
        <v>232.60009775</v>
      </c>
      <c r="F130">
        <v>6.2369994999999996</v>
      </c>
      <c r="G130">
        <v>318.12928799999997</v>
      </c>
      <c r="H130">
        <v>-24</v>
      </c>
      <c r="I130">
        <v>8</v>
      </c>
      <c r="J130">
        <v>1.1299999999999999</v>
      </c>
      <c r="K130">
        <v>23.495133249999999</v>
      </c>
      <c r="L130">
        <v>-0.63817086652655775</v>
      </c>
      <c r="M130">
        <v>-1.4685201739777021</v>
      </c>
      <c r="N130">
        <v>-0.36122736156693991</v>
      </c>
      <c r="O130">
        <v>-4.3972203481953138E-2</v>
      </c>
    </row>
    <row r="131" spans="1:15" x14ac:dyDescent="0.25">
      <c r="A131">
        <v>9.204701</v>
      </c>
      <c r="B131">
        <v>-50.27602375</v>
      </c>
      <c r="C131">
        <v>226.38355275000001</v>
      </c>
      <c r="D131">
        <v>305.85906225000002</v>
      </c>
      <c r="E131">
        <v>233.80712525000001</v>
      </c>
      <c r="F131">
        <v>6.7242649999999999</v>
      </c>
      <c r="G131">
        <v>334.57389849999998</v>
      </c>
      <c r="H131">
        <v>-24</v>
      </c>
      <c r="I131">
        <v>12</v>
      </c>
      <c r="J131">
        <v>1.1299999999999999</v>
      </c>
      <c r="K131">
        <v>24.0886785</v>
      </c>
      <c r="L131">
        <v>-0.85389039893863983</v>
      </c>
      <c r="M131">
        <v>-1.40022243651473</v>
      </c>
      <c r="N131">
        <v>-0.39619322570872811</v>
      </c>
      <c r="O131">
        <v>-0.1071768322112111</v>
      </c>
    </row>
    <row r="132" spans="1:15" x14ac:dyDescent="0.25">
      <c r="A132">
        <v>-30.590911999999999</v>
      </c>
      <c r="B132">
        <v>-57.763918750000002</v>
      </c>
      <c r="C132">
        <v>254.06067300000001</v>
      </c>
      <c r="D132">
        <v>304.76390099999998</v>
      </c>
      <c r="E132">
        <v>220.35094075000001</v>
      </c>
      <c r="F132">
        <v>6.9191710000000004</v>
      </c>
      <c r="G132">
        <v>344.77674875000002</v>
      </c>
      <c r="H132">
        <v>-24</v>
      </c>
      <c r="I132">
        <v>16</v>
      </c>
      <c r="J132">
        <v>1.1299999999999999</v>
      </c>
      <c r="K132">
        <v>24.453539750000001</v>
      </c>
      <c r="L132">
        <v>-1.0760567735936131</v>
      </c>
      <c r="M132">
        <v>-1.370482056045613</v>
      </c>
      <c r="N132">
        <v>-0.47037224057629562</v>
      </c>
      <c r="O132">
        <v>-0.1931572109212924</v>
      </c>
    </row>
    <row r="133" spans="1:15" x14ac:dyDescent="0.25">
      <c r="A133">
        <v>-66.457311500000003</v>
      </c>
      <c r="B133">
        <v>-75.547517749999997</v>
      </c>
      <c r="C133">
        <v>250.08744075000001</v>
      </c>
      <c r="D133">
        <v>268.88610075000003</v>
      </c>
      <c r="E133">
        <v>174.48361199999999</v>
      </c>
      <c r="F133">
        <v>6.57808525</v>
      </c>
      <c r="G133">
        <v>319.92978675000001</v>
      </c>
      <c r="H133">
        <v>-24</v>
      </c>
      <c r="I133">
        <v>20</v>
      </c>
      <c r="J133">
        <v>1.1299999999999999</v>
      </c>
      <c r="K133">
        <v>23.55002975</v>
      </c>
      <c r="L133">
        <v>-1.289462085058638</v>
      </c>
      <c r="M133">
        <v>-1.403053168885424</v>
      </c>
      <c r="N133">
        <v>-0.59247932478518317</v>
      </c>
      <c r="O133">
        <v>-0.31600706707417792</v>
      </c>
    </row>
    <row r="134" spans="1:15" x14ac:dyDescent="0.25">
      <c r="A134">
        <v>-98.389198249999993</v>
      </c>
      <c r="B134">
        <v>-103.14249024999999</v>
      </c>
      <c r="C134">
        <v>243.49549875</v>
      </c>
      <c r="D134">
        <v>235.72436500000001</v>
      </c>
      <c r="E134">
        <v>129.8233185</v>
      </c>
      <c r="F134">
        <v>5.6035545000000004</v>
      </c>
      <c r="G134">
        <v>299.32398999999998</v>
      </c>
      <c r="H134">
        <v>-24</v>
      </c>
      <c r="I134">
        <v>24</v>
      </c>
      <c r="J134">
        <v>1.1299999999999999</v>
      </c>
      <c r="K134">
        <v>22.800395999999999</v>
      </c>
      <c r="L134">
        <v>-1.4826575680838701</v>
      </c>
      <c r="M134">
        <v>-1.4695534169708491</v>
      </c>
      <c r="N134">
        <v>-0.73508006599013231</v>
      </c>
      <c r="O134">
        <v>-0.46126098182410641</v>
      </c>
    </row>
    <row r="135" spans="1:15" x14ac:dyDescent="0.25">
      <c r="A135">
        <v>-130.96871949999999</v>
      </c>
      <c r="B135">
        <v>-135.14092625000001</v>
      </c>
      <c r="C135">
        <v>235.41360075</v>
      </c>
      <c r="D135">
        <v>204.446316</v>
      </c>
      <c r="E135">
        <v>84.04541175</v>
      </c>
      <c r="F135">
        <v>5.4086482499999997</v>
      </c>
      <c r="G135">
        <v>280.75879650000002</v>
      </c>
      <c r="H135">
        <v>-24</v>
      </c>
      <c r="I135">
        <v>28</v>
      </c>
      <c r="J135">
        <v>1.1299999999999999</v>
      </c>
      <c r="K135">
        <v>22.0758875</v>
      </c>
      <c r="L135">
        <v>-1.687636496534749</v>
      </c>
      <c r="M135">
        <v>-1.5641862730658009</v>
      </c>
      <c r="N135">
        <v>-0.90609829199573122</v>
      </c>
      <c r="O135">
        <v>-0.63777273526598133</v>
      </c>
    </row>
    <row r="136" spans="1:15" x14ac:dyDescent="0.25">
      <c r="A136">
        <v>-161.97560899999999</v>
      </c>
      <c r="B136">
        <v>-168.12204725000001</v>
      </c>
      <c r="C136">
        <v>226.92535025000001</v>
      </c>
      <c r="D136">
        <v>175.70905300000001</v>
      </c>
      <c r="E136">
        <v>38.043971999999997</v>
      </c>
      <c r="F136">
        <v>5.1650159999999996</v>
      </c>
      <c r="G136">
        <v>267.67511775000003</v>
      </c>
      <c r="H136">
        <v>-24</v>
      </c>
      <c r="I136">
        <v>32</v>
      </c>
      <c r="J136">
        <v>1.1299999999999999</v>
      </c>
      <c r="K136">
        <v>21.555022000000001</v>
      </c>
      <c r="L136">
        <v>-1.914929691109549</v>
      </c>
      <c r="M136">
        <v>-1.693011883976546</v>
      </c>
      <c r="N136">
        <v>-1.1307208049827331</v>
      </c>
      <c r="O136">
        <v>-0.83810823668289336</v>
      </c>
    </row>
    <row r="137" spans="1:15" x14ac:dyDescent="0.25">
      <c r="A137">
        <v>-214.6458475</v>
      </c>
      <c r="B137">
        <v>-226.386177</v>
      </c>
      <c r="C137">
        <v>243.99215325</v>
      </c>
      <c r="D137">
        <v>164.88877099999999</v>
      </c>
      <c r="E137">
        <v>-10.970944749999999</v>
      </c>
      <c r="F137">
        <v>5.7010075000000002</v>
      </c>
      <c r="G137">
        <v>287.64072425000001</v>
      </c>
      <c r="H137">
        <v>-24</v>
      </c>
      <c r="I137">
        <v>36</v>
      </c>
      <c r="J137">
        <v>1.1299999999999999</v>
      </c>
      <c r="K137">
        <v>22.338472249999999</v>
      </c>
      <c r="L137">
        <v>-2.1888285623647019</v>
      </c>
      <c r="M137">
        <v>-1.8673422586720541</v>
      </c>
      <c r="N137">
        <v>-1.425159118778651</v>
      </c>
      <c r="O137">
        <v>-1.079619407600219</v>
      </c>
    </row>
    <row r="138" spans="1:15" x14ac:dyDescent="0.25">
      <c r="A138">
        <v>-271.50627900000001</v>
      </c>
      <c r="B138">
        <v>-287.16851824999998</v>
      </c>
      <c r="C138">
        <v>256.81484225000003</v>
      </c>
      <c r="D138">
        <v>147.1032065</v>
      </c>
      <c r="E138">
        <v>-69.617250499999997</v>
      </c>
      <c r="F138">
        <v>5.9933664999999996</v>
      </c>
      <c r="G138">
        <v>305.605774</v>
      </c>
      <c r="H138">
        <v>-24</v>
      </c>
      <c r="I138">
        <v>40</v>
      </c>
      <c r="J138">
        <v>1.1299999999999999</v>
      </c>
      <c r="K138">
        <v>23.027956750000001</v>
      </c>
      <c r="L138">
        <v>-2.5192531289769771</v>
      </c>
      <c r="M138">
        <v>-2.0707744562411352</v>
      </c>
      <c r="N138">
        <v>-1.789254730023458</v>
      </c>
      <c r="O138">
        <v>-1.360572045497048</v>
      </c>
    </row>
    <row r="139" spans="1:15" x14ac:dyDescent="0.25">
      <c r="A139">
        <v>-332.89539350000001</v>
      </c>
      <c r="B139">
        <v>-350.63722250000001</v>
      </c>
      <c r="C139">
        <v>264.08403774999999</v>
      </c>
      <c r="D139">
        <v>122.96566199999999</v>
      </c>
      <c r="E139">
        <v>-138.37829224999999</v>
      </c>
      <c r="F139">
        <v>6.3344525000000003</v>
      </c>
      <c r="G139">
        <v>322.69055924999998</v>
      </c>
      <c r="H139">
        <v>-24</v>
      </c>
      <c r="I139">
        <v>44</v>
      </c>
      <c r="J139">
        <v>1.1299999999999999</v>
      </c>
      <c r="K139">
        <v>23.662661249999999</v>
      </c>
      <c r="L139">
        <v>-2.9353244975288102</v>
      </c>
      <c r="M139">
        <v>-2.328671666271978</v>
      </c>
      <c r="N139">
        <v>-2.267123346332284</v>
      </c>
      <c r="O139">
        <v>-1.711567297883871</v>
      </c>
    </row>
    <row r="140" spans="1:15" x14ac:dyDescent="0.25">
      <c r="A140">
        <v>294.09023300000001</v>
      </c>
      <c r="B140">
        <v>-329.26401525</v>
      </c>
      <c r="C140">
        <v>-337.63921349999998</v>
      </c>
      <c r="D140">
        <v>137.99139400000001</v>
      </c>
      <c r="E140">
        <v>-15.43080825</v>
      </c>
      <c r="F140">
        <v>6.7729914999999998</v>
      </c>
      <c r="G140">
        <v>344.73674749999998</v>
      </c>
      <c r="H140">
        <v>-20</v>
      </c>
      <c r="I140">
        <v>-44</v>
      </c>
      <c r="J140">
        <v>1.1299999999999999</v>
      </c>
      <c r="K140">
        <v>24.457418499999999</v>
      </c>
      <c r="L140">
        <v>1.986438288918225</v>
      </c>
      <c r="M140">
        <v>-1.469256943262909</v>
      </c>
      <c r="N140">
        <v>-1.1325281824789479</v>
      </c>
      <c r="O140">
        <v>-1.0698161105002371</v>
      </c>
    </row>
    <row r="141" spans="1:15" x14ac:dyDescent="0.25">
      <c r="A141">
        <v>287.050476</v>
      </c>
      <c r="B141">
        <v>-259.20000449999998</v>
      </c>
      <c r="C141">
        <v>-273.21527075</v>
      </c>
      <c r="D141">
        <v>162.917473</v>
      </c>
      <c r="E141">
        <v>39.206302749999999</v>
      </c>
      <c r="F141">
        <v>6.2369994999999996</v>
      </c>
      <c r="G141">
        <v>328.97232074999999</v>
      </c>
      <c r="H141">
        <v>-20</v>
      </c>
      <c r="I141">
        <v>-40</v>
      </c>
      <c r="J141">
        <v>1.1299999999999999</v>
      </c>
      <c r="K141">
        <v>23.900034999999999</v>
      </c>
      <c r="L141">
        <v>1.834450268720391</v>
      </c>
      <c r="M141">
        <v>-1.382113942843423</v>
      </c>
      <c r="N141">
        <v>-0.94877608434961613</v>
      </c>
      <c r="O141">
        <v>-0.89204977029491661</v>
      </c>
    </row>
    <row r="142" spans="1:15" x14ac:dyDescent="0.25">
      <c r="A142">
        <v>268.99981674999998</v>
      </c>
      <c r="B142">
        <v>-185.60889424999999</v>
      </c>
      <c r="C142">
        <v>-206.26490774999999</v>
      </c>
      <c r="D142">
        <v>179.87069725000001</v>
      </c>
      <c r="E142">
        <v>84.894804249999993</v>
      </c>
      <c r="F142">
        <v>5.8959137500000001</v>
      </c>
      <c r="G142">
        <v>307.68634774999998</v>
      </c>
      <c r="H142">
        <v>-20</v>
      </c>
      <c r="I142">
        <v>-36</v>
      </c>
      <c r="J142">
        <v>1.1299999999999999</v>
      </c>
      <c r="K142">
        <v>23.111499500000001</v>
      </c>
      <c r="L142">
        <v>1.6923565039919779</v>
      </c>
      <c r="M142">
        <v>-1.3014111354595901</v>
      </c>
      <c r="N142">
        <v>-0.79334796321400081</v>
      </c>
      <c r="O142">
        <v>-0.71869825774915252</v>
      </c>
    </row>
    <row r="143" spans="1:15" x14ac:dyDescent="0.25">
      <c r="A143">
        <v>249.73075474999999</v>
      </c>
      <c r="B143">
        <v>-125.62473125</v>
      </c>
      <c r="C143">
        <v>-150.68346424999999</v>
      </c>
      <c r="D143">
        <v>192.09279624999999</v>
      </c>
      <c r="E143">
        <v>119.71999575</v>
      </c>
      <c r="F143">
        <v>5.6522810000000003</v>
      </c>
      <c r="G143">
        <v>288.36092374999998</v>
      </c>
      <c r="H143">
        <v>-20</v>
      </c>
      <c r="I143">
        <v>-32</v>
      </c>
      <c r="J143">
        <v>1.1299999999999999</v>
      </c>
      <c r="K143">
        <v>22.3689125</v>
      </c>
      <c r="L143">
        <v>1.552749467783956</v>
      </c>
      <c r="M143">
        <v>-1.23206776793171</v>
      </c>
      <c r="N143">
        <v>-0.65396889193375829</v>
      </c>
      <c r="O143">
        <v>-0.55766452383062304</v>
      </c>
    </row>
    <row r="144" spans="1:15" x14ac:dyDescent="0.25">
      <c r="A144">
        <v>229.3635635</v>
      </c>
      <c r="B144">
        <v>-80.536056500000001</v>
      </c>
      <c r="C144">
        <v>-97.087070750000009</v>
      </c>
      <c r="D144">
        <v>198.13813400000001</v>
      </c>
      <c r="E144">
        <v>143.81598274999999</v>
      </c>
      <c r="F144">
        <v>5.1162887499999998</v>
      </c>
      <c r="G144">
        <v>270.79599775000003</v>
      </c>
      <c r="H144">
        <v>-20</v>
      </c>
      <c r="I144">
        <v>-28</v>
      </c>
      <c r="J144">
        <v>1.1299999999999999</v>
      </c>
      <c r="K144">
        <v>21.684747250000001</v>
      </c>
      <c r="L144">
        <v>1.403320331426013</v>
      </c>
      <c r="M144">
        <v>-1.1979351686050499</v>
      </c>
      <c r="N144">
        <v>-0.54585550648080405</v>
      </c>
      <c r="O144">
        <v>-0.40376491995790192</v>
      </c>
    </row>
    <row r="145" spans="1:15" x14ac:dyDescent="0.25">
      <c r="A145">
        <v>228.32578275</v>
      </c>
      <c r="B145">
        <v>-50.652808999999998</v>
      </c>
      <c r="C145">
        <v>-46.871204250000012</v>
      </c>
      <c r="D145">
        <v>221.44334774999999</v>
      </c>
      <c r="E145">
        <v>177.34473424999999</v>
      </c>
      <c r="F145">
        <v>5.7497340000000001</v>
      </c>
      <c r="G145">
        <v>280.03859699999998</v>
      </c>
      <c r="H145">
        <v>-20</v>
      </c>
      <c r="I145">
        <v>-24</v>
      </c>
      <c r="J145">
        <v>1.1299999999999999</v>
      </c>
      <c r="K145">
        <v>22.033293</v>
      </c>
      <c r="L145">
        <v>1.217117938230023</v>
      </c>
      <c r="M145">
        <v>-1.2033915741626391</v>
      </c>
      <c r="N145">
        <v>-0.45418365920988962</v>
      </c>
      <c r="O145">
        <v>-0.24108841512760679</v>
      </c>
    </row>
    <row r="146" spans="1:15" x14ac:dyDescent="0.25">
      <c r="A146">
        <v>230.7773325</v>
      </c>
      <c r="B146">
        <v>-35.78314125</v>
      </c>
      <c r="C146">
        <v>1.3093757500000001</v>
      </c>
      <c r="D146">
        <v>249.83016175</v>
      </c>
      <c r="E146">
        <v>212.84048849999999</v>
      </c>
      <c r="F146">
        <v>6.0420932500000006</v>
      </c>
      <c r="G146">
        <v>298.723839</v>
      </c>
      <c r="H146">
        <v>-20</v>
      </c>
      <c r="I146">
        <v>-20</v>
      </c>
      <c r="J146">
        <v>1.1299999999999999</v>
      </c>
      <c r="K146">
        <v>22.760052000000002</v>
      </c>
      <c r="L146">
        <v>0.99734458481810484</v>
      </c>
      <c r="M146">
        <v>-1.2413740386748431</v>
      </c>
      <c r="N146">
        <v>-0.37327705350359808</v>
      </c>
      <c r="O146">
        <v>-0.10116224065349889</v>
      </c>
    </row>
    <row r="147" spans="1:15" x14ac:dyDescent="0.25">
      <c r="A147">
        <v>226.79170975</v>
      </c>
      <c r="B147">
        <v>-18.898871249999999</v>
      </c>
      <c r="C147">
        <v>41.222228000000001</v>
      </c>
      <c r="D147">
        <v>274.62481674999998</v>
      </c>
      <c r="E147">
        <v>243.46340549999999</v>
      </c>
      <c r="F147">
        <v>6.4806322500000002</v>
      </c>
      <c r="G147">
        <v>315.96867374999999</v>
      </c>
      <c r="H147">
        <v>-20</v>
      </c>
      <c r="I147">
        <v>-16</v>
      </c>
      <c r="J147">
        <v>1.1299999999999999</v>
      </c>
      <c r="K147">
        <v>23.40439525</v>
      </c>
      <c r="L147">
        <v>0.79883127933228226</v>
      </c>
      <c r="M147">
        <v>-1.2635361980873929</v>
      </c>
      <c r="N147">
        <v>-0.31211597545814779</v>
      </c>
      <c r="O147">
        <v>2.015286002484664E-2</v>
      </c>
    </row>
    <row r="148" spans="1:15" x14ac:dyDescent="0.25">
      <c r="A148">
        <v>216.30867000000001</v>
      </c>
      <c r="B148">
        <v>-10.744536</v>
      </c>
      <c r="C148">
        <v>76.710351750000001</v>
      </c>
      <c r="D148">
        <v>297.010086</v>
      </c>
      <c r="E148">
        <v>269.928764</v>
      </c>
      <c r="F148">
        <v>6.6268120000000001</v>
      </c>
      <c r="G148">
        <v>332.49330924999998</v>
      </c>
      <c r="H148">
        <v>-20</v>
      </c>
      <c r="I148">
        <v>-12</v>
      </c>
      <c r="J148">
        <v>1.1299999999999999</v>
      </c>
      <c r="K148">
        <v>24.015708249999999</v>
      </c>
      <c r="L148">
        <v>0.58915639297647382</v>
      </c>
      <c r="M148">
        <v>-1.29883619760444</v>
      </c>
      <c r="N148">
        <v>-0.26404997948828701</v>
      </c>
      <c r="O148">
        <v>0.11124794694640221</v>
      </c>
    </row>
    <row r="149" spans="1:15" x14ac:dyDescent="0.25">
      <c r="A149">
        <v>200.93568425000001</v>
      </c>
      <c r="B149">
        <v>-8.9697689999999994</v>
      </c>
      <c r="C149">
        <v>112.24362375</v>
      </c>
      <c r="D149">
        <v>316.76694524999999</v>
      </c>
      <c r="E149">
        <v>290.493065</v>
      </c>
      <c r="F149">
        <v>7.114077</v>
      </c>
      <c r="G149">
        <v>348.17771925</v>
      </c>
      <c r="H149">
        <v>-20</v>
      </c>
      <c r="I149">
        <v>-8</v>
      </c>
      <c r="J149">
        <v>1.1299999999999999</v>
      </c>
      <c r="K149">
        <v>24.569333749999998</v>
      </c>
      <c r="L149">
        <v>0.37131868502269549</v>
      </c>
      <c r="M149">
        <v>-1.363736680556864</v>
      </c>
      <c r="N149">
        <v>-0.24150106914425001</v>
      </c>
      <c r="O149">
        <v>0.18640547583239389</v>
      </c>
    </row>
    <row r="150" spans="1:15" x14ac:dyDescent="0.25">
      <c r="A150">
        <v>161.44201649999999</v>
      </c>
      <c r="B150">
        <v>-8.7779022500000004</v>
      </c>
      <c r="C150">
        <v>133.19335950000001</v>
      </c>
      <c r="D150">
        <v>296.74723849999998</v>
      </c>
      <c r="E150">
        <v>273.46045650000002</v>
      </c>
      <c r="F150">
        <v>6.57808525</v>
      </c>
      <c r="G150">
        <v>324.09095000000002</v>
      </c>
      <c r="H150">
        <v>-20</v>
      </c>
      <c r="I150">
        <v>-4</v>
      </c>
      <c r="J150">
        <v>1.1299999999999999</v>
      </c>
      <c r="K150">
        <v>23.70587875</v>
      </c>
      <c r="L150">
        <v>0.13366993299022309</v>
      </c>
      <c r="M150">
        <v>-1.4462824099424529</v>
      </c>
      <c r="N150">
        <v>-0.23967905625922539</v>
      </c>
      <c r="O150">
        <v>0.26336053922611857</v>
      </c>
    </row>
    <row r="151" spans="1:15" x14ac:dyDescent="0.25">
      <c r="A151">
        <v>125.17301974999999</v>
      </c>
      <c r="B151">
        <v>-6.1877014999999993</v>
      </c>
      <c r="C151">
        <v>152.78858149999999</v>
      </c>
      <c r="D151">
        <v>278.26077275</v>
      </c>
      <c r="E151">
        <v>258.26076475000002</v>
      </c>
      <c r="F151">
        <v>6.1882727500000003</v>
      </c>
      <c r="G151">
        <v>303.04505949999998</v>
      </c>
      <c r="H151">
        <v>-20</v>
      </c>
      <c r="I151">
        <v>0</v>
      </c>
      <c r="J151">
        <v>1.1299999999999999</v>
      </c>
      <c r="K151">
        <v>22.921810749999999</v>
      </c>
      <c r="L151">
        <v>-0.13893292942884461</v>
      </c>
      <c r="M151">
        <v>-1.4310521916616401</v>
      </c>
      <c r="N151">
        <v>-0.22530669523020139</v>
      </c>
      <c r="O151">
        <v>0.26817832475176651</v>
      </c>
    </row>
    <row r="152" spans="1:15" x14ac:dyDescent="0.25">
      <c r="A152">
        <v>90.782924499999993</v>
      </c>
      <c r="B152">
        <v>-0.91136700000000004</v>
      </c>
      <c r="C152">
        <v>167.32697675</v>
      </c>
      <c r="D152">
        <v>258.50390650000003</v>
      </c>
      <c r="E152">
        <v>240.15524675</v>
      </c>
      <c r="F152">
        <v>5.4573747499999996</v>
      </c>
      <c r="G152">
        <v>284.15975200000003</v>
      </c>
      <c r="H152">
        <v>-20</v>
      </c>
      <c r="I152">
        <v>4</v>
      </c>
      <c r="J152">
        <v>1.1299999999999999</v>
      </c>
      <c r="K152">
        <v>22.209844749999998</v>
      </c>
      <c r="L152">
        <v>-0.39210734220517801</v>
      </c>
      <c r="M152">
        <v>-1.3288399519044429</v>
      </c>
      <c r="N152">
        <v>-0.2254285178160432</v>
      </c>
      <c r="O152">
        <v>0.20222295916379551</v>
      </c>
    </row>
    <row r="153" spans="1:15" x14ac:dyDescent="0.25">
      <c r="A153">
        <v>60.966065749999999</v>
      </c>
      <c r="B153">
        <v>4.4720649999999997</v>
      </c>
      <c r="C153">
        <v>177.66638599999999</v>
      </c>
      <c r="D153">
        <v>239.36033624999999</v>
      </c>
      <c r="E153">
        <v>221.11091625</v>
      </c>
      <c r="F153">
        <v>5.4086482499999997</v>
      </c>
      <c r="G153">
        <v>267.35503425000002</v>
      </c>
      <c r="H153">
        <v>-20</v>
      </c>
      <c r="I153">
        <v>8</v>
      </c>
      <c r="J153">
        <v>1.1299999999999999</v>
      </c>
      <c r="K153">
        <v>21.531867999999999</v>
      </c>
      <c r="L153">
        <v>-0.61945016291992916</v>
      </c>
      <c r="M153">
        <v>-1.2467939036078319</v>
      </c>
      <c r="N153">
        <v>-0.2454610021103221</v>
      </c>
      <c r="O153">
        <v>0.14497536263013081</v>
      </c>
    </row>
    <row r="154" spans="1:15" x14ac:dyDescent="0.25">
      <c r="A154">
        <v>37.4052145</v>
      </c>
      <c r="B154">
        <v>12.791150500000001</v>
      </c>
      <c r="C154">
        <v>209.181286</v>
      </c>
      <c r="D154">
        <v>248.29691324999999</v>
      </c>
      <c r="E154">
        <v>224.597904</v>
      </c>
      <c r="F154">
        <v>5.6035545000000004</v>
      </c>
      <c r="G154">
        <v>284.83993550000002</v>
      </c>
      <c r="H154">
        <v>-20</v>
      </c>
      <c r="I154">
        <v>12</v>
      </c>
      <c r="J154">
        <v>1.1299999999999999</v>
      </c>
      <c r="K154">
        <v>22.2311245</v>
      </c>
      <c r="L154">
        <v>-0.86104231331488812</v>
      </c>
      <c r="M154">
        <v>-1.1804810123587299</v>
      </c>
      <c r="N154">
        <v>-0.30197199747273668</v>
      </c>
      <c r="O154">
        <v>9.77142616369652E-2</v>
      </c>
    </row>
    <row r="155" spans="1:15" x14ac:dyDescent="0.25">
      <c r="A155">
        <v>7.9869082499999999</v>
      </c>
      <c r="B155">
        <v>7.5015590000000003</v>
      </c>
      <c r="C155">
        <v>239.92862700000001</v>
      </c>
      <c r="D155">
        <v>253.68516174999999</v>
      </c>
      <c r="E155">
        <v>219.59094225000001</v>
      </c>
      <c r="F155">
        <v>6.2369994999999996</v>
      </c>
      <c r="G155">
        <v>303.04505175000003</v>
      </c>
      <c r="H155">
        <v>-20</v>
      </c>
      <c r="I155">
        <v>16</v>
      </c>
      <c r="J155">
        <v>1.1299999999999999</v>
      </c>
      <c r="K155">
        <v>22.91992875</v>
      </c>
      <c r="L155">
        <v>-1.094879070032263</v>
      </c>
      <c r="M155">
        <v>-1.162143037598681</v>
      </c>
      <c r="N155">
        <v>-0.39401597977693642</v>
      </c>
      <c r="O155">
        <v>7.0946313165289859E-3</v>
      </c>
    </row>
    <row r="156" spans="1:15" x14ac:dyDescent="0.25">
      <c r="A156">
        <v>-29.55660825</v>
      </c>
      <c r="B156">
        <v>-22.44840525</v>
      </c>
      <c r="C156">
        <v>267.0187985</v>
      </c>
      <c r="D156">
        <v>253.07186125000001</v>
      </c>
      <c r="E156">
        <v>202.42423274999999</v>
      </c>
      <c r="F156">
        <v>6.5293585000000007</v>
      </c>
      <c r="G156">
        <v>320.12983700000001</v>
      </c>
      <c r="H156">
        <v>-20</v>
      </c>
      <c r="I156">
        <v>20</v>
      </c>
      <c r="J156">
        <v>1.1299999999999999</v>
      </c>
      <c r="K156">
        <v>23.55938175</v>
      </c>
      <c r="L156">
        <v>-1.298342010409296</v>
      </c>
      <c r="M156">
        <v>-1.206117702808809</v>
      </c>
      <c r="N156">
        <v>-0.51528986801419696</v>
      </c>
      <c r="O156">
        <v>-0.1423735212476066</v>
      </c>
    </row>
    <row r="157" spans="1:15" x14ac:dyDescent="0.25">
      <c r="A157">
        <v>-75.2382755</v>
      </c>
      <c r="B157">
        <v>-67.680980750000003</v>
      </c>
      <c r="C157">
        <v>292.61901125000003</v>
      </c>
      <c r="D157">
        <v>247.94646449999999</v>
      </c>
      <c r="E157">
        <v>174.2600865</v>
      </c>
      <c r="F157">
        <v>6.6755382499999998</v>
      </c>
      <c r="G157">
        <v>336.45442200000002</v>
      </c>
      <c r="H157">
        <v>-20</v>
      </c>
      <c r="I157">
        <v>24</v>
      </c>
      <c r="J157">
        <v>1.1299999999999999</v>
      </c>
      <c r="K157">
        <v>24.159444749999999</v>
      </c>
      <c r="L157">
        <v>-1.497050013557049</v>
      </c>
      <c r="M157">
        <v>-1.2845043814650889</v>
      </c>
      <c r="N157">
        <v>-0.66008708236487701</v>
      </c>
      <c r="O157">
        <v>-0.31797335900596407</v>
      </c>
    </row>
    <row r="158" spans="1:15" x14ac:dyDescent="0.25">
      <c r="A158">
        <v>-122.88816625</v>
      </c>
      <c r="B158">
        <v>-118.9573615</v>
      </c>
      <c r="C158">
        <v>304.35808524999999</v>
      </c>
      <c r="D158">
        <v>229.45998374999999</v>
      </c>
      <c r="E158">
        <v>129.15274775</v>
      </c>
      <c r="F158">
        <v>7.1628042499999998</v>
      </c>
      <c r="G158">
        <v>340.33551</v>
      </c>
      <c r="H158">
        <v>-20</v>
      </c>
      <c r="I158">
        <v>28</v>
      </c>
      <c r="J158">
        <v>1.1299999999999999</v>
      </c>
      <c r="K158">
        <v>24.2834</v>
      </c>
      <c r="L158">
        <v>-1.70847718450215</v>
      </c>
      <c r="M158">
        <v>-1.39325245990613</v>
      </c>
      <c r="N158">
        <v>-0.84448336586765604</v>
      </c>
      <c r="O158">
        <v>-0.51218821567847439</v>
      </c>
    </row>
    <row r="159" spans="1:15" x14ac:dyDescent="0.25">
      <c r="A159">
        <v>-156.55863199999999</v>
      </c>
      <c r="B159">
        <v>-156.41932650000001</v>
      </c>
      <c r="C159">
        <v>283.24634550000002</v>
      </c>
      <c r="D159">
        <v>186.92359525000001</v>
      </c>
      <c r="E159">
        <v>67.593974750000001</v>
      </c>
      <c r="F159">
        <v>6.3344525000000003</v>
      </c>
      <c r="G159">
        <v>312.80778500000002</v>
      </c>
      <c r="H159">
        <v>-20</v>
      </c>
      <c r="I159">
        <v>32</v>
      </c>
      <c r="J159">
        <v>1.1299999999999999</v>
      </c>
      <c r="K159">
        <v>23.290130999999999</v>
      </c>
      <c r="L159">
        <v>-1.962686408362782</v>
      </c>
      <c r="M159">
        <v>-1.5322043642067591</v>
      </c>
      <c r="N159">
        <v>-1.094291747810328</v>
      </c>
      <c r="O159">
        <v>-0.72659752945594258</v>
      </c>
    </row>
    <row r="160" spans="1:15" x14ac:dyDescent="0.25">
      <c r="A160">
        <v>-191.91255949999999</v>
      </c>
      <c r="B160">
        <v>-191.81874450000001</v>
      </c>
      <c r="C160">
        <v>265.34824374999999</v>
      </c>
      <c r="D160">
        <v>148.76786774999999</v>
      </c>
      <c r="E160">
        <v>8.4492672499999983</v>
      </c>
      <c r="F160">
        <v>5.7984605</v>
      </c>
      <c r="G160">
        <v>292.48208599999998</v>
      </c>
      <c r="H160">
        <v>-20</v>
      </c>
      <c r="I160">
        <v>36</v>
      </c>
      <c r="J160">
        <v>1.1299999999999999</v>
      </c>
      <c r="K160">
        <v>22.525612500000001</v>
      </c>
      <c r="L160">
        <v>-2.2827899778555332</v>
      </c>
      <c r="M160">
        <v>-1.700325590280787</v>
      </c>
      <c r="N160">
        <v>-1.4180369648139031</v>
      </c>
      <c r="O160">
        <v>-0.98680032852130428</v>
      </c>
    </row>
    <row r="161" spans="1:15" x14ac:dyDescent="0.25">
      <c r="A161">
        <v>-218.26674625000001</v>
      </c>
      <c r="B161">
        <v>-217.28903575000001</v>
      </c>
      <c r="C161">
        <v>241.68948750000001</v>
      </c>
      <c r="D161">
        <v>111.13782500000001</v>
      </c>
      <c r="E161">
        <v>-47.31231975</v>
      </c>
      <c r="F161">
        <v>5.2137422500000001</v>
      </c>
      <c r="G161">
        <v>269.95576499999999</v>
      </c>
      <c r="H161">
        <v>-20</v>
      </c>
      <c r="I161">
        <v>40</v>
      </c>
      <c r="J161">
        <v>1.1299999999999999</v>
      </c>
      <c r="K161">
        <v>21.646441750000001</v>
      </c>
      <c r="L161">
        <v>-2.6982309609470119</v>
      </c>
      <c r="M161">
        <v>-1.926651597374297</v>
      </c>
      <c r="N161">
        <v>-1.861192656041339</v>
      </c>
      <c r="O161">
        <v>-1.3081322522973999</v>
      </c>
    </row>
    <row r="162" spans="1:15" x14ac:dyDescent="0.25">
      <c r="A162">
        <v>-267.9291915</v>
      </c>
      <c r="B162">
        <v>-265.92725374999998</v>
      </c>
      <c r="C162">
        <v>244.62426375000001</v>
      </c>
      <c r="D162">
        <v>86.080336000000003</v>
      </c>
      <c r="E162">
        <v>-108.12898075</v>
      </c>
      <c r="F162">
        <v>5.2624684999999998</v>
      </c>
      <c r="G162">
        <v>279.07831599999997</v>
      </c>
      <c r="H162">
        <v>-20</v>
      </c>
      <c r="I162">
        <v>44</v>
      </c>
      <c r="J162">
        <v>1.1299999999999999</v>
      </c>
      <c r="K162">
        <v>22.014291</v>
      </c>
      <c r="L162">
        <v>-3.2277553957331411</v>
      </c>
      <c r="M162">
        <v>-2.2167472069050058</v>
      </c>
      <c r="N162">
        <v>-2.438429879180219</v>
      </c>
      <c r="O162">
        <v>-1.7140954003409961</v>
      </c>
    </row>
    <row r="163" spans="1:15" x14ac:dyDescent="0.25">
      <c r="A163">
        <v>275.72369375</v>
      </c>
      <c r="B163">
        <v>-244.67802449999999</v>
      </c>
      <c r="C163">
        <v>-279.39599600000003</v>
      </c>
      <c r="D163">
        <v>97.513910250000009</v>
      </c>
      <c r="E163">
        <v>-3.2550175000000001</v>
      </c>
      <c r="F163">
        <v>5.8471869999999999</v>
      </c>
      <c r="G163">
        <v>304.16535175000001</v>
      </c>
      <c r="H163">
        <v>-16</v>
      </c>
      <c r="I163">
        <v>-44</v>
      </c>
      <c r="J163">
        <v>1.1299999999999999</v>
      </c>
      <c r="K163">
        <v>22.978159000000002</v>
      </c>
      <c r="L163">
        <v>2.1451329626727018</v>
      </c>
      <c r="M163">
        <v>-1.322309168938544</v>
      </c>
      <c r="N163">
        <v>-1.187966369179106</v>
      </c>
      <c r="O163">
        <v>-1.035176787567919</v>
      </c>
    </row>
    <row r="164" spans="1:15" x14ac:dyDescent="0.25">
      <c r="A164">
        <v>296.57218949999998</v>
      </c>
      <c r="B164">
        <v>-205.4412805</v>
      </c>
      <c r="C164">
        <v>-247.60304625000001</v>
      </c>
      <c r="D164">
        <v>135.58201600000001</v>
      </c>
      <c r="E164">
        <v>53.154260499999999</v>
      </c>
      <c r="F164">
        <v>6.2369994999999996</v>
      </c>
      <c r="G164">
        <v>321.09011075000001</v>
      </c>
      <c r="H164">
        <v>-16</v>
      </c>
      <c r="I164">
        <v>-40</v>
      </c>
      <c r="J164">
        <v>1.1299999999999999</v>
      </c>
      <c r="K164">
        <v>23.606380000000001</v>
      </c>
      <c r="L164">
        <v>1.945712237593932</v>
      </c>
      <c r="M164">
        <v>-1.2193391068339841</v>
      </c>
      <c r="N164">
        <v>-0.95801220681132837</v>
      </c>
      <c r="O164">
        <v>-0.83222992666273021</v>
      </c>
    </row>
    <row r="165" spans="1:15" x14ac:dyDescent="0.25">
      <c r="A165">
        <v>311.59936499999998</v>
      </c>
      <c r="B165">
        <v>-158.19409924999999</v>
      </c>
      <c r="C165">
        <v>-207.44219949999999</v>
      </c>
      <c r="D165">
        <v>173.650139</v>
      </c>
      <c r="E165">
        <v>110.063717</v>
      </c>
      <c r="F165">
        <v>6.9191710000000004</v>
      </c>
      <c r="G165">
        <v>337.45471199999997</v>
      </c>
      <c r="H165">
        <v>-16</v>
      </c>
      <c r="I165">
        <v>-36</v>
      </c>
      <c r="J165">
        <v>1.1299999999999999</v>
      </c>
      <c r="K165">
        <v>24.187140750000001</v>
      </c>
      <c r="L165">
        <v>1.7722028254173681</v>
      </c>
      <c r="M165">
        <v>-1.133029979771764</v>
      </c>
      <c r="N165">
        <v>-0.77639937456689101</v>
      </c>
      <c r="O165">
        <v>-0.64783508869557138</v>
      </c>
    </row>
    <row r="166" spans="1:15" x14ac:dyDescent="0.25">
      <c r="A166">
        <v>311.96037274999998</v>
      </c>
      <c r="B166">
        <v>-105.142954</v>
      </c>
      <c r="C166">
        <v>-153.38040925000001</v>
      </c>
      <c r="D166">
        <v>204.13966775</v>
      </c>
      <c r="E166">
        <v>159.50743900000001</v>
      </c>
      <c r="F166">
        <v>6.9191712499999998</v>
      </c>
      <c r="G166">
        <v>340.41553475000001</v>
      </c>
      <c r="H166">
        <v>-16</v>
      </c>
      <c r="I166">
        <v>-32</v>
      </c>
      <c r="J166">
        <v>1.1299999999999999</v>
      </c>
      <c r="K166">
        <v>24.29520325</v>
      </c>
      <c r="L166">
        <v>1.611453786296116</v>
      </c>
      <c r="M166">
        <v>-1.071044428615292</v>
      </c>
      <c r="N166">
        <v>-0.6264915476813695</v>
      </c>
      <c r="O166">
        <v>-0.47158940031897062</v>
      </c>
    </row>
    <row r="167" spans="1:15" x14ac:dyDescent="0.25">
      <c r="A167">
        <v>285.24540725000003</v>
      </c>
      <c r="B167">
        <v>-53.386912250000002</v>
      </c>
      <c r="C167">
        <v>-88.650600499999996</v>
      </c>
      <c r="D167">
        <v>212.59437975</v>
      </c>
      <c r="E167">
        <v>188.92332475000001</v>
      </c>
      <c r="F167">
        <v>6.3831792500000004</v>
      </c>
      <c r="G167">
        <v>317.36907224999999</v>
      </c>
      <c r="H167">
        <v>-16</v>
      </c>
      <c r="I167">
        <v>-28</v>
      </c>
      <c r="J167">
        <v>1.1299999999999999</v>
      </c>
      <c r="K167">
        <v>23.460959750000001</v>
      </c>
      <c r="L167">
        <v>1.4383758149468551</v>
      </c>
      <c r="M167">
        <v>-1.023240677509959</v>
      </c>
      <c r="N167">
        <v>-0.4941395882224785</v>
      </c>
      <c r="O167">
        <v>-0.2977676850183566</v>
      </c>
    </row>
    <row r="168" spans="1:15" x14ac:dyDescent="0.25">
      <c r="A168">
        <v>258.80120849999997</v>
      </c>
      <c r="B168">
        <v>-11.416069</v>
      </c>
      <c r="C168">
        <v>-35.139841250000003</v>
      </c>
      <c r="D168">
        <v>216.44937899999999</v>
      </c>
      <c r="E168">
        <v>207.96765124999999</v>
      </c>
      <c r="F168">
        <v>5.9446399999999997</v>
      </c>
      <c r="G168">
        <v>297.12338999999997</v>
      </c>
      <c r="H168">
        <v>-16</v>
      </c>
      <c r="I168">
        <v>-24</v>
      </c>
      <c r="J168">
        <v>1.1299999999999999</v>
      </c>
      <c r="K168">
        <v>22.701540000000001</v>
      </c>
      <c r="L168">
        <v>1.2711347438618279</v>
      </c>
      <c r="M168">
        <v>-0.98537708380441313</v>
      </c>
      <c r="N168">
        <v>-0.3855560649877372</v>
      </c>
      <c r="O168">
        <v>-0.12637208157253871</v>
      </c>
    </row>
    <row r="169" spans="1:15" x14ac:dyDescent="0.25">
      <c r="A169">
        <v>230.4616815</v>
      </c>
      <c r="B169">
        <v>9.0884365000000003</v>
      </c>
      <c r="C169">
        <v>11.197288500000001</v>
      </c>
      <c r="D169">
        <v>217.06268324999999</v>
      </c>
      <c r="E169">
        <v>217.62392399999999</v>
      </c>
      <c r="F169">
        <v>5.3111947500000003</v>
      </c>
      <c r="G169">
        <v>278.87826525000003</v>
      </c>
      <c r="H169">
        <v>-16</v>
      </c>
      <c r="I169">
        <v>-20</v>
      </c>
      <c r="J169">
        <v>1.1299999999999999</v>
      </c>
      <c r="K169">
        <v>22.0042905</v>
      </c>
      <c r="L169">
        <v>1.056806135496047</v>
      </c>
      <c r="M169">
        <v>-1.0023962531114561</v>
      </c>
      <c r="N169">
        <v>-0.29524237219771032</v>
      </c>
      <c r="O169">
        <v>2.3294677355233519E-2</v>
      </c>
    </row>
    <row r="170" spans="1:15" x14ac:dyDescent="0.25">
      <c r="A170">
        <v>208.57527175000001</v>
      </c>
      <c r="B170">
        <v>22.456678499999999</v>
      </c>
      <c r="C170">
        <v>49.123526499999997</v>
      </c>
      <c r="D170">
        <v>218.90256500000001</v>
      </c>
      <c r="E170">
        <v>225.849636</v>
      </c>
      <c r="F170">
        <v>5.2624684999999998</v>
      </c>
      <c r="G170">
        <v>269.3955995</v>
      </c>
      <c r="H170">
        <v>-16</v>
      </c>
      <c r="I170">
        <v>-16</v>
      </c>
      <c r="J170">
        <v>1.1299999999999999</v>
      </c>
      <c r="K170">
        <v>21.62154525</v>
      </c>
      <c r="L170">
        <v>0.83896696325557241</v>
      </c>
      <c r="M170">
        <v>-1.033593592257956</v>
      </c>
      <c r="N170">
        <v>-0.22911674189573861</v>
      </c>
      <c r="O170">
        <v>0.1606319632113129</v>
      </c>
    </row>
    <row r="171" spans="1:15" x14ac:dyDescent="0.25">
      <c r="A171">
        <v>204.8297575</v>
      </c>
      <c r="B171">
        <v>34.045692500000001</v>
      </c>
      <c r="C171">
        <v>85.153456000000006</v>
      </c>
      <c r="D171">
        <v>244.31050500000001</v>
      </c>
      <c r="E171">
        <v>254.86318975</v>
      </c>
      <c r="F171">
        <v>5.6035545000000004</v>
      </c>
      <c r="G171">
        <v>289.56126399999999</v>
      </c>
      <c r="H171">
        <v>-16</v>
      </c>
      <c r="I171">
        <v>-12</v>
      </c>
      <c r="J171">
        <v>1.1299999999999999</v>
      </c>
      <c r="K171">
        <v>22.418282749999999</v>
      </c>
      <c r="L171">
        <v>0.61289020349626933</v>
      </c>
      <c r="M171">
        <v>-1.0768332047417319</v>
      </c>
      <c r="N171">
        <v>-0.17770201084459031</v>
      </c>
      <c r="O171">
        <v>0.27652543606876712</v>
      </c>
    </row>
    <row r="172" spans="1:15" x14ac:dyDescent="0.25">
      <c r="A172">
        <v>195.12752900000001</v>
      </c>
      <c r="B172">
        <v>39.864242500000003</v>
      </c>
      <c r="C172">
        <v>119.24192050000001</v>
      </c>
      <c r="D172">
        <v>264.06737525</v>
      </c>
      <c r="E172">
        <v>278.19918799999999</v>
      </c>
      <c r="F172">
        <v>6.0908199999999999</v>
      </c>
      <c r="G172">
        <v>307.20623024999998</v>
      </c>
      <c r="H172">
        <v>-16</v>
      </c>
      <c r="I172">
        <v>-8</v>
      </c>
      <c r="J172">
        <v>1.1299999999999999</v>
      </c>
      <c r="K172">
        <v>23.085640250000001</v>
      </c>
      <c r="L172">
        <v>0.38203565259800948</v>
      </c>
      <c r="M172">
        <v>-1.128639913535558</v>
      </c>
      <c r="N172">
        <v>-0.14603369545197381</v>
      </c>
      <c r="O172">
        <v>0.3698367191882338</v>
      </c>
    </row>
    <row r="173" spans="1:15" x14ac:dyDescent="0.25">
      <c r="A173">
        <v>180.3711165</v>
      </c>
      <c r="B173">
        <v>40.104680250000001</v>
      </c>
      <c r="C173">
        <v>153.73673600000001</v>
      </c>
      <c r="D173">
        <v>280.97679149999999</v>
      </c>
      <c r="E173">
        <v>297.01999675000002</v>
      </c>
      <c r="F173">
        <v>6.5293585000000007</v>
      </c>
      <c r="G173">
        <v>324.17098225000001</v>
      </c>
      <c r="H173">
        <v>-16</v>
      </c>
      <c r="I173">
        <v>-4</v>
      </c>
      <c r="J173">
        <v>1.1299999999999999</v>
      </c>
      <c r="K173">
        <v>23.710694</v>
      </c>
      <c r="L173">
        <v>0.13310398401196419</v>
      </c>
      <c r="M173">
        <v>-1.2037667660236311</v>
      </c>
      <c r="N173">
        <v>-0.135684392071347</v>
      </c>
      <c r="O173">
        <v>0.45173910498725878</v>
      </c>
    </row>
    <row r="174" spans="1:15" x14ac:dyDescent="0.25">
      <c r="A174">
        <v>162.1399615</v>
      </c>
      <c r="B174">
        <v>44.336352499999997</v>
      </c>
      <c r="C174">
        <v>189.73392849999999</v>
      </c>
      <c r="D174">
        <v>295.17020400000001</v>
      </c>
      <c r="E174">
        <v>313.82907875000001</v>
      </c>
      <c r="F174">
        <v>6.8704444999999996</v>
      </c>
      <c r="G174">
        <v>340.37552625000001</v>
      </c>
      <c r="H174">
        <v>-16</v>
      </c>
      <c r="I174">
        <v>0</v>
      </c>
      <c r="J174">
        <v>1.1299999999999999</v>
      </c>
      <c r="K174">
        <v>24.295556999999999</v>
      </c>
      <c r="L174">
        <v>-0.1310222108013937</v>
      </c>
      <c r="M174">
        <v>-1.191101023271455</v>
      </c>
      <c r="N174">
        <v>-0.12607721569681549</v>
      </c>
      <c r="O174">
        <v>0.45761618468900922</v>
      </c>
    </row>
    <row r="175" spans="1:15" x14ac:dyDescent="0.25">
      <c r="A175">
        <v>131.40872949999999</v>
      </c>
      <c r="B175">
        <v>49.145071999999999</v>
      </c>
      <c r="C175">
        <v>214.342457</v>
      </c>
      <c r="D175">
        <v>290.2200315</v>
      </c>
      <c r="E175">
        <v>306.72097024999999</v>
      </c>
      <c r="F175">
        <v>6.8217179999999997</v>
      </c>
      <c r="G175">
        <v>335.73421474999998</v>
      </c>
      <c r="H175">
        <v>-16</v>
      </c>
      <c r="I175">
        <v>4</v>
      </c>
      <c r="J175">
        <v>1.1299999999999999</v>
      </c>
      <c r="K175">
        <v>24.12766925</v>
      </c>
      <c r="L175">
        <v>-0.38318313455404041</v>
      </c>
      <c r="M175">
        <v>-1.1137826749777331</v>
      </c>
      <c r="N175">
        <v>-0.13404271918270619</v>
      </c>
      <c r="O175">
        <v>0.3855851042731413</v>
      </c>
    </row>
    <row r="176" spans="1:15" x14ac:dyDescent="0.25">
      <c r="A176">
        <v>94.314645749999997</v>
      </c>
      <c r="B176">
        <v>57.848855749999998</v>
      </c>
      <c r="C176">
        <v>224.36639825</v>
      </c>
      <c r="D176">
        <v>265.03112800000002</v>
      </c>
      <c r="E176">
        <v>281.14971125</v>
      </c>
      <c r="F176">
        <v>6.2369994999999996</v>
      </c>
      <c r="G176">
        <v>313.36794275</v>
      </c>
      <c r="H176">
        <v>-16</v>
      </c>
      <c r="I176">
        <v>8</v>
      </c>
      <c r="J176">
        <v>1.1299999999999999</v>
      </c>
      <c r="K176">
        <v>23.315097250000001</v>
      </c>
      <c r="L176">
        <v>-0.63418392343554819</v>
      </c>
      <c r="M176">
        <v>-1.0103313432107739</v>
      </c>
      <c r="N176">
        <v>-0.15712191181071411</v>
      </c>
      <c r="O176">
        <v>0.34059146638619198</v>
      </c>
    </row>
    <row r="177" spans="1:15" x14ac:dyDescent="0.25">
      <c r="A177">
        <v>59.792774250000001</v>
      </c>
      <c r="B177">
        <v>55.444498750000001</v>
      </c>
      <c r="C177">
        <v>229.25796500000001</v>
      </c>
      <c r="D177">
        <v>239.49176374999999</v>
      </c>
      <c r="E177">
        <v>251.86795799999999</v>
      </c>
      <c r="F177">
        <v>5.4086480000000003</v>
      </c>
      <c r="G177">
        <v>293.36233525</v>
      </c>
      <c r="H177">
        <v>-16</v>
      </c>
      <c r="I177">
        <v>12</v>
      </c>
      <c r="J177">
        <v>1.1299999999999999</v>
      </c>
      <c r="K177">
        <v>22.575469500000001</v>
      </c>
      <c r="L177">
        <v>-0.87237405501570153</v>
      </c>
      <c r="M177">
        <v>-0.94746535552625688</v>
      </c>
      <c r="N177">
        <v>-0.21360353830000811</v>
      </c>
      <c r="O177">
        <v>0.26883205594203619</v>
      </c>
    </row>
    <row r="178" spans="1:15" x14ac:dyDescent="0.25">
      <c r="A178">
        <v>29.467679499999999</v>
      </c>
      <c r="B178">
        <v>43.518870499999998</v>
      </c>
      <c r="C178">
        <v>230.14614474999999</v>
      </c>
      <c r="D178">
        <v>214.78472525000001</v>
      </c>
      <c r="E178">
        <v>219.41212475</v>
      </c>
      <c r="F178">
        <v>5.3111947500000003</v>
      </c>
      <c r="G178">
        <v>275.55733475</v>
      </c>
      <c r="H178">
        <v>-16</v>
      </c>
      <c r="I178">
        <v>16</v>
      </c>
      <c r="J178">
        <v>1.1299999999999999</v>
      </c>
      <c r="K178">
        <v>21.870319500000001</v>
      </c>
      <c r="L178">
        <v>-1.0971047769476709</v>
      </c>
      <c r="M178">
        <v>-0.93630924710832919</v>
      </c>
      <c r="N178">
        <v>-0.30695876072624922</v>
      </c>
      <c r="O178">
        <v>0.1704645604766088</v>
      </c>
    </row>
    <row r="179" spans="1:15" x14ac:dyDescent="0.25">
      <c r="A179">
        <v>-2.29724525</v>
      </c>
      <c r="B179">
        <v>16.638126750000001</v>
      </c>
      <c r="C179">
        <v>241.599186</v>
      </c>
      <c r="D179">
        <v>201.46744924999999</v>
      </c>
      <c r="E179">
        <v>193.974987</v>
      </c>
      <c r="F179">
        <v>5.3111952499999999</v>
      </c>
      <c r="G179">
        <v>274.95716850000002</v>
      </c>
      <c r="H179">
        <v>-16</v>
      </c>
      <c r="I179">
        <v>20</v>
      </c>
      <c r="J179">
        <v>1.1299999999999999</v>
      </c>
      <c r="K179">
        <v>21.846017499999999</v>
      </c>
      <c r="L179">
        <v>-1.305603108766128</v>
      </c>
      <c r="M179">
        <v>-0.98941308700764286</v>
      </c>
      <c r="N179">
        <v>-0.43352655006636143</v>
      </c>
      <c r="O179">
        <v>9.9773084223540066E-3</v>
      </c>
    </row>
    <row r="180" spans="1:15" x14ac:dyDescent="0.25">
      <c r="A180">
        <v>-44.68957425</v>
      </c>
      <c r="B180">
        <v>-18.802938000000001</v>
      </c>
      <c r="C180">
        <v>268.76973724999999</v>
      </c>
      <c r="D180">
        <v>198.00671750000001</v>
      </c>
      <c r="E180">
        <v>173.54480749999999</v>
      </c>
      <c r="F180">
        <v>5.8959135000000007</v>
      </c>
      <c r="G180">
        <v>294.08253474999998</v>
      </c>
      <c r="H180">
        <v>-16</v>
      </c>
      <c r="I180">
        <v>24</v>
      </c>
      <c r="J180">
        <v>1.1299999999999999</v>
      </c>
      <c r="K180">
        <v>22.58460075</v>
      </c>
      <c r="L180">
        <v>-1.5269073412304921</v>
      </c>
      <c r="M180">
        <v>-1.056110860935078</v>
      </c>
      <c r="N180">
        <v>-0.58716457531038069</v>
      </c>
      <c r="O180">
        <v>-0.18335402063580161</v>
      </c>
    </row>
    <row r="181" spans="1:15" x14ac:dyDescent="0.25">
      <c r="A181">
        <v>-98.434351250000006</v>
      </c>
      <c r="B181">
        <v>-66.337912500000002</v>
      </c>
      <c r="C181">
        <v>290.56109624999999</v>
      </c>
      <c r="D181">
        <v>187.58069599999999</v>
      </c>
      <c r="E181">
        <v>137.69140625</v>
      </c>
      <c r="F181">
        <v>6.2857262499999997</v>
      </c>
      <c r="G181">
        <v>311.56743625000001</v>
      </c>
      <c r="H181">
        <v>-16</v>
      </c>
      <c r="I181">
        <v>28</v>
      </c>
      <c r="J181">
        <v>1.1299999999999999</v>
      </c>
      <c r="K181">
        <v>23.244802499999999</v>
      </c>
      <c r="L181">
        <v>-1.767528842441074</v>
      </c>
      <c r="M181">
        <v>-1.153792780470974</v>
      </c>
      <c r="N181">
        <v>-0.79009626418994439</v>
      </c>
      <c r="O181">
        <v>-0.40287862279862552</v>
      </c>
    </row>
    <row r="182" spans="1:15" x14ac:dyDescent="0.25">
      <c r="A182">
        <v>-158.21512974999999</v>
      </c>
      <c r="B182">
        <v>-121.97926124999999</v>
      </c>
      <c r="C182">
        <v>310.69954675000002</v>
      </c>
      <c r="D182">
        <v>171.19695300000001</v>
      </c>
      <c r="E182">
        <v>88.024154750000008</v>
      </c>
      <c r="F182">
        <v>6.4806317500000006</v>
      </c>
      <c r="G182">
        <v>328.41216300000002</v>
      </c>
      <c r="H182">
        <v>-16</v>
      </c>
      <c r="I182">
        <v>32</v>
      </c>
      <c r="J182">
        <v>1.1299999999999999</v>
      </c>
      <c r="K182">
        <v>23.870271249999998</v>
      </c>
      <c r="L182">
        <v>-2.0555687511032721</v>
      </c>
      <c r="M182">
        <v>-1.285196745281139</v>
      </c>
      <c r="N182">
        <v>-1.0538082783547671</v>
      </c>
      <c r="O182">
        <v>-0.64254673628714043</v>
      </c>
    </row>
    <row r="183" spans="1:15" x14ac:dyDescent="0.25">
      <c r="A183">
        <v>-217.41072075</v>
      </c>
      <c r="B183">
        <v>-177.90840900000001</v>
      </c>
      <c r="C183">
        <v>327.06637575000002</v>
      </c>
      <c r="D183">
        <v>147.05941000000001</v>
      </c>
      <c r="E183">
        <v>27.806529749999999</v>
      </c>
      <c r="F183">
        <v>6.8704444999999996</v>
      </c>
      <c r="G183">
        <v>344.136574</v>
      </c>
      <c r="H183">
        <v>-16</v>
      </c>
      <c r="I183">
        <v>36</v>
      </c>
      <c r="J183">
        <v>1.1299999999999999</v>
      </c>
      <c r="K183">
        <v>24.432165999999999</v>
      </c>
      <c r="L183">
        <v>-2.415033359682945</v>
      </c>
      <c r="M183">
        <v>-1.4415223970758</v>
      </c>
      <c r="N183">
        <v>-1.403275992607913</v>
      </c>
      <c r="O183">
        <v>-0.90722020342492926</v>
      </c>
    </row>
    <row r="184" spans="1:15" x14ac:dyDescent="0.25">
      <c r="A184">
        <v>-257.85436625</v>
      </c>
      <c r="B184">
        <v>-219.68737425</v>
      </c>
      <c r="C184">
        <v>310.29308300000002</v>
      </c>
      <c r="D184">
        <v>108.77225675</v>
      </c>
      <c r="E184">
        <v>-42.984056500000001</v>
      </c>
      <c r="F184">
        <v>6.6268120000000001</v>
      </c>
      <c r="G184">
        <v>330.09264374999998</v>
      </c>
      <c r="H184">
        <v>-16</v>
      </c>
      <c r="I184">
        <v>40</v>
      </c>
      <c r="J184">
        <v>1.1299999999999999</v>
      </c>
      <c r="K184">
        <v>23.927072500000001</v>
      </c>
      <c r="L184">
        <v>-2.9019067488180599</v>
      </c>
      <c r="M184">
        <v>-1.6776281421289081</v>
      </c>
      <c r="N184">
        <v>-1.9055623047514829</v>
      </c>
      <c r="O184">
        <v>-1.2533883915114099</v>
      </c>
    </row>
    <row r="185" spans="1:15" x14ac:dyDescent="0.25">
      <c r="A185">
        <v>-285.45503224999999</v>
      </c>
      <c r="B185">
        <v>-250.62589650000001</v>
      </c>
      <c r="C185">
        <v>282.69628925000001</v>
      </c>
      <c r="D185">
        <v>67.287214250000005</v>
      </c>
      <c r="E185">
        <v>-111.383995</v>
      </c>
      <c r="F185">
        <v>6.0908199999999999</v>
      </c>
      <c r="G185">
        <v>308.48657200000002</v>
      </c>
      <c r="H185">
        <v>-16</v>
      </c>
      <c r="I185">
        <v>44</v>
      </c>
      <c r="J185">
        <v>1.1299999999999999</v>
      </c>
      <c r="K185">
        <v>23.134659249999999</v>
      </c>
      <c r="L185">
        <v>-3.6271648525675642</v>
      </c>
      <c r="M185">
        <v>-2.029441323356143</v>
      </c>
      <c r="N185">
        <v>-2.6806255507157828</v>
      </c>
      <c r="O185">
        <v>-1.75001025191249</v>
      </c>
    </row>
    <row r="186" spans="1:15" x14ac:dyDescent="0.25">
      <c r="A186">
        <v>267.42039525000001</v>
      </c>
      <c r="B186">
        <v>-185.29526949999999</v>
      </c>
      <c r="C186">
        <v>-254.65631099999999</v>
      </c>
      <c r="D186">
        <v>64.220738499999996</v>
      </c>
      <c r="E186">
        <v>2.86114325</v>
      </c>
      <c r="F186">
        <v>5.6035545000000004</v>
      </c>
      <c r="G186">
        <v>282.47927874999999</v>
      </c>
      <c r="H186">
        <v>-12</v>
      </c>
      <c r="I186">
        <v>-44</v>
      </c>
      <c r="J186">
        <v>1.1299999999999999</v>
      </c>
      <c r="K186">
        <v>22.1369565</v>
      </c>
      <c r="L186">
        <v>2.3429218970747869</v>
      </c>
      <c r="M186">
        <v>-1.119720356979526</v>
      </c>
      <c r="N186">
        <v>-1.25486378232606</v>
      </c>
      <c r="O186">
        <v>-1.0123264629098701</v>
      </c>
    </row>
    <row r="187" spans="1:15" x14ac:dyDescent="0.25">
      <c r="A187">
        <v>256.31924025000001</v>
      </c>
      <c r="B187">
        <v>-130.46936024999999</v>
      </c>
      <c r="C187">
        <v>-202.04273599999999</v>
      </c>
      <c r="D187">
        <v>89.278228749999997</v>
      </c>
      <c r="E187">
        <v>51.410764749999998</v>
      </c>
      <c r="F187">
        <v>5.3111952499999999</v>
      </c>
      <c r="G187">
        <v>266.79488350000003</v>
      </c>
      <c r="H187">
        <v>-12</v>
      </c>
      <c r="I187">
        <v>-40</v>
      </c>
      <c r="J187">
        <v>1.1299999999999999</v>
      </c>
      <c r="K187">
        <v>21.512852500000001</v>
      </c>
      <c r="L187">
        <v>2.1058462774700288</v>
      </c>
      <c r="M187">
        <v>-1.0095528757683749</v>
      </c>
      <c r="N187">
        <v>-0.98955004959843429</v>
      </c>
      <c r="O187">
        <v>-0.78822552241170141</v>
      </c>
    </row>
    <row r="188" spans="1:15" x14ac:dyDescent="0.25">
      <c r="A188">
        <v>276.03958125000003</v>
      </c>
      <c r="B188">
        <v>-95.117921749999994</v>
      </c>
      <c r="C188">
        <v>-173.62419875000001</v>
      </c>
      <c r="D188">
        <v>122.5713995</v>
      </c>
      <c r="E188">
        <v>101.480358</v>
      </c>
      <c r="F188">
        <v>5.7984605</v>
      </c>
      <c r="G188">
        <v>286.40038299999998</v>
      </c>
      <c r="H188">
        <v>-12</v>
      </c>
      <c r="I188">
        <v>-36</v>
      </c>
      <c r="J188">
        <v>1.1299999999999999</v>
      </c>
      <c r="K188">
        <v>22.285415</v>
      </c>
      <c r="L188">
        <v>1.9065563104717851</v>
      </c>
      <c r="M188">
        <v>-0.92301911294900196</v>
      </c>
      <c r="N188">
        <v>-0.78407518193819847</v>
      </c>
      <c r="O188">
        <v>-0.59431632953020774</v>
      </c>
    </row>
    <row r="189" spans="1:15" x14ac:dyDescent="0.25">
      <c r="A189">
        <v>290.20934299999999</v>
      </c>
      <c r="B189">
        <v>-54.921849000000002</v>
      </c>
      <c r="C189">
        <v>-133.09894925</v>
      </c>
      <c r="D189">
        <v>157.92348849999999</v>
      </c>
      <c r="E189">
        <v>154.5898895</v>
      </c>
      <c r="F189">
        <v>5.8959134999999998</v>
      </c>
      <c r="G189">
        <v>304.36540975000003</v>
      </c>
      <c r="H189">
        <v>-12</v>
      </c>
      <c r="I189">
        <v>-32</v>
      </c>
      <c r="J189">
        <v>1.1299999999999999</v>
      </c>
      <c r="K189">
        <v>22.983980500000001</v>
      </c>
      <c r="L189">
        <v>1.7027551880780181</v>
      </c>
      <c r="M189">
        <v>-0.85613526712548149</v>
      </c>
      <c r="N189">
        <v>-0.60247632928815154</v>
      </c>
      <c r="O189">
        <v>-0.40184453097635248</v>
      </c>
    </row>
    <row r="190" spans="1:15" x14ac:dyDescent="0.25">
      <c r="A190">
        <v>300.36283874999998</v>
      </c>
      <c r="B190">
        <v>-16.020870250000002</v>
      </c>
      <c r="C190">
        <v>-88.943107749999996</v>
      </c>
      <c r="D190">
        <v>190.47193899999999</v>
      </c>
      <c r="E190">
        <v>204.078316</v>
      </c>
      <c r="F190">
        <v>6.4319055000000001</v>
      </c>
      <c r="G190">
        <v>321.33017725000002</v>
      </c>
      <c r="H190">
        <v>-12</v>
      </c>
      <c r="I190">
        <v>-28</v>
      </c>
      <c r="J190">
        <v>1.1299999999999999</v>
      </c>
      <c r="K190">
        <v>23.608077250000001</v>
      </c>
      <c r="L190">
        <v>1.517408007337522</v>
      </c>
      <c r="M190">
        <v>-0.80484925080092418</v>
      </c>
      <c r="N190">
        <v>-0.45701485809296299</v>
      </c>
      <c r="O190">
        <v>-0.22962925143750079</v>
      </c>
    </row>
    <row r="191" spans="1:15" x14ac:dyDescent="0.25">
      <c r="A191">
        <v>305.95853425000001</v>
      </c>
      <c r="B191">
        <v>21.2064105</v>
      </c>
      <c r="C191">
        <v>-39.600430750000001</v>
      </c>
      <c r="D191">
        <v>220.260559</v>
      </c>
      <c r="E191">
        <v>250.07974999999999</v>
      </c>
      <c r="F191">
        <v>6.8704444999999996</v>
      </c>
      <c r="G191">
        <v>337.69477074999998</v>
      </c>
      <c r="H191">
        <v>-12</v>
      </c>
      <c r="I191">
        <v>-24</v>
      </c>
      <c r="J191">
        <v>1.1299999999999999</v>
      </c>
      <c r="K191">
        <v>24.197713499999999</v>
      </c>
      <c r="L191">
        <v>1.33279514845081</v>
      </c>
      <c r="M191">
        <v>-0.76772460949545063</v>
      </c>
      <c r="N191">
        <v>-0.3379280793717192</v>
      </c>
      <c r="O191">
        <v>-6.1973191188474261E-2</v>
      </c>
    </row>
    <row r="192" spans="1:15" x14ac:dyDescent="0.25">
      <c r="A192">
        <v>294.13535300000001</v>
      </c>
      <c r="B192">
        <v>48.616113499999997</v>
      </c>
      <c r="C192">
        <v>11.560137750000001</v>
      </c>
      <c r="D192">
        <v>237.78329074999999</v>
      </c>
      <c r="E192">
        <v>279.98738850000001</v>
      </c>
      <c r="F192">
        <v>6.8217179999999997</v>
      </c>
      <c r="G192">
        <v>339.85537699999998</v>
      </c>
      <c r="H192">
        <v>-12</v>
      </c>
      <c r="I192">
        <v>-20</v>
      </c>
      <c r="J192">
        <v>1.1299999999999999</v>
      </c>
      <c r="K192">
        <v>24.27835125</v>
      </c>
      <c r="L192">
        <v>1.1307618458216291</v>
      </c>
      <c r="M192">
        <v>-0.75699048186195383</v>
      </c>
      <c r="N192">
        <v>-0.23959335158657899</v>
      </c>
      <c r="O192">
        <v>9.3102725265047676E-2</v>
      </c>
    </row>
    <row r="193" spans="1:15" x14ac:dyDescent="0.25">
      <c r="A193">
        <v>258.12430575000002</v>
      </c>
      <c r="B193">
        <v>63.955928749999998</v>
      </c>
      <c r="C193">
        <v>57.299539750000001</v>
      </c>
      <c r="D193">
        <v>235.46153674999999</v>
      </c>
      <c r="E193">
        <v>280.25562274999999</v>
      </c>
      <c r="F193">
        <v>6.2857262499999997</v>
      </c>
      <c r="G193">
        <v>316.72888975000001</v>
      </c>
      <c r="H193">
        <v>-12</v>
      </c>
      <c r="I193">
        <v>-16</v>
      </c>
      <c r="J193">
        <v>1.1299999999999999</v>
      </c>
      <c r="K193">
        <v>23.440476749999998</v>
      </c>
      <c r="L193">
        <v>0.91439693899248298</v>
      </c>
      <c r="M193">
        <v>-0.78091022478959826</v>
      </c>
      <c r="N193">
        <v>-0.16607444221461551</v>
      </c>
      <c r="O193">
        <v>0.24744300023598101</v>
      </c>
    </row>
    <row r="194" spans="1:15" x14ac:dyDescent="0.25">
      <c r="A194">
        <v>223.28654474999999</v>
      </c>
      <c r="B194">
        <v>74.342765749999998</v>
      </c>
      <c r="C194">
        <v>94.105621249999999</v>
      </c>
      <c r="D194">
        <v>229.94187149999999</v>
      </c>
      <c r="E194">
        <v>275.15926324999998</v>
      </c>
      <c r="F194">
        <v>6.0908199999999999</v>
      </c>
      <c r="G194">
        <v>296.60324100000003</v>
      </c>
      <c r="H194">
        <v>-12</v>
      </c>
      <c r="I194">
        <v>-12</v>
      </c>
      <c r="J194">
        <v>1.1299999999999999</v>
      </c>
      <c r="K194">
        <v>22.6755505</v>
      </c>
      <c r="L194">
        <v>0.67657242188701183</v>
      </c>
      <c r="M194">
        <v>-0.81492460204720585</v>
      </c>
      <c r="N194">
        <v>-0.11230855056684599</v>
      </c>
      <c r="O194">
        <v>0.409214926480791</v>
      </c>
    </row>
    <row r="195" spans="1:15" x14ac:dyDescent="0.25">
      <c r="A195">
        <v>189.66720975000001</v>
      </c>
      <c r="B195">
        <v>74.342761999999993</v>
      </c>
      <c r="C195">
        <v>117.22553625</v>
      </c>
      <c r="D195">
        <v>221.74999975</v>
      </c>
      <c r="E195">
        <v>264.92181399999998</v>
      </c>
      <c r="F195">
        <v>5.6035545000000004</v>
      </c>
      <c r="G195">
        <v>278.39812475000002</v>
      </c>
      <c r="H195">
        <v>-12</v>
      </c>
      <c r="I195">
        <v>-8</v>
      </c>
      <c r="J195">
        <v>1.1299999999999999</v>
      </c>
      <c r="K195">
        <v>21.9731995</v>
      </c>
      <c r="L195">
        <v>0.42831019698475531</v>
      </c>
      <c r="M195">
        <v>-0.87151803481876722</v>
      </c>
      <c r="N195">
        <v>-7.9680761569915479E-2</v>
      </c>
      <c r="O195">
        <v>0.53318143353446312</v>
      </c>
    </row>
    <row r="196" spans="1:15" x14ac:dyDescent="0.25">
      <c r="A196">
        <v>163.62914649999999</v>
      </c>
      <c r="B196">
        <v>73.525282000000004</v>
      </c>
      <c r="C196">
        <v>137.99732599999999</v>
      </c>
      <c r="D196">
        <v>218.46448899999999</v>
      </c>
      <c r="E196">
        <v>261.12188700000002</v>
      </c>
      <c r="F196">
        <v>5.4573749999999999</v>
      </c>
      <c r="G196">
        <v>271.19611374999999</v>
      </c>
      <c r="H196">
        <v>-12</v>
      </c>
      <c r="I196">
        <v>-4</v>
      </c>
      <c r="J196">
        <v>1.1299999999999999</v>
      </c>
      <c r="K196">
        <v>21.687155749999999</v>
      </c>
      <c r="L196">
        <v>0.16500557568453969</v>
      </c>
      <c r="M196">
        <v>-0.93291994632459041</v>
      </c>
      <c r="N196">
        <v>-6.4870345791450096E-2</v>
      </c>
      <c r="O196">
        <v>0.64562290162852198</v>
      </c>
    </row>
    <row r="197" spans="1:15" x14ac:dyDescent="0.25">
      <c r="A197">
        <v>151.08394250000001</v>
      </c>
      <c r="B197">
        <v>80.305578249999996</v>
      </c>
      <c r="C197">
        <v>172.65470525000001</v>
      </c>
      <c r="D197">
        <v>235.28630824999999</v>
      </c>
      <c r="E197">
        <v>281.55207050000001</v>
      </c>
      <c r="F197">
        <v>5.8959137500000001</v>
      </c>
      <c r="G197">
        <v>290.88162999999997</v>
      </c>
      <c r="H197">
        <v>-12</v>
      </c>
      <c r="I197">
        <v>0</v>
      </c>
      <c r="J197">
        <v>1.1299999999999999</v>
      </c>
      <c r="K197">
        <v>22.458816250000002</v>
      </c>
      <c r="L197">
        <v>-0.13005184958515109</v>
      </c>
      <c r="M197">
        <v>-0.93442138464736058</v>
      </c>
      <c r="N197">
        <v>-5.6264066210720047E-2</v>
      </c>
      <c r="O197">
        <v>0.66201948704595814</v>
      </c>
    </row>
    <row r="198" spans="1:15" x14ac:dyDescent="0.25">
      <c r="A198">
        <v>134.74810400000001</v>
      </c>
      <c r="B198">
        <v>91.365632750000003</v>
      </c>
      <c r="C198">
        <v>207.70062625</v>
      </c>
      <c r="D198">
        <v>247.20175175</v>
      </c>
      <c r="E198">
        <v>297.064705</v>
      </c>
      <c r="F198">
        <v>6.1882732499999999</v>
      </c>
      <c r="G198">
        <v>308.48657974999998</v>
      </c>
      <c r="H198">
        <v>-12</v>
      </c>
      <c r="I198">
        <v>4</v>
      </c>
      <c r="J198">
        <v>1.1299999999999999</v>
      </c>
      <c r="K198">
        <v>23.130944750000001</v>
      </c>
      <c r="L198">
        <v>-0.39643478219476092</v>
      </c>
      <c r="M198">
        <v>-0.84690973594783336</v>
      </c>
      <c r="N198">
        <v>-6.2088687207372747E-2</v>
      </c>
      <c r="O198">
        <v>0.58081320598711361</v>
      </c>
    </row>
    <row r="199" spans="1:15" x14ac:dyDescent="0.25">
      <c r="A199">
        <v>110.2894725</v>
      </c>
      <c r="B199">
        <v>104.0125695</v>
      </c>
      <c r="C199">
        <v>243.84354400000001</v>
      </c>
      <c r="D199">
        <v>254.03560625</v>
      </c>
      <c r="E199">
        <v>306.67626949999999</v>
      </c>
      <c r="F199">
        <v>6.5780849999999997</v>
      </c>
      <c r="G199">
        <v>325.25128174999998</v>
      </c>
      <c r="H199">
        <v>-12</v>
      </c>
      <c r="I199">
        <v>8</v>
      </c>
      <c r="J199">
        <v>1.1299999999999999</v>
      </c>
      <c r="K199">
        <v>23.749164749999998</v>
      </c>
      <c r="L199">
        <v>-0.66936417285162264</v>
      </c>
      <c r="M199">
        <v>-0.75190192455504867</v>
      </c>
      <c r="N199">
        <v>-9.3103984335832876E-2</v>
      </c>
      <c r="O199">
        <v>0.50406787897182515</v>
      </c>
    </row>
    <row r="200" spans="1:15" x14ac:dyDescent="0.25">
      <c r="A200">
        <v>82.581720250000004</v>
      </c>
      <c r="B200">
        <v>100.45411300000001</v>
      </c>
      <c r="C200">
        <v>277.63858800000003</v>
      </c>
      <c r="D200">
        <v>255.963112</v>
      </c>
      <c r="E200">
        <v>308.91151424999998</v>
      </c>
      <c r="F200">
        <v>6.8217180000000006</v>
      </c>
      <c r="G200">
        <v>341.37580874999998</v>
      </c>
      <c r="H200">
        <v>-12</v>
      </c>
      <c r="I200">
        <v>12</v>
      </c>
      <c r="J200">
        <v>1.1299999999999999</v>
      </c>
      <c r="K200">
        <v>24.333722999999999</v>
      </c>
      <c r="L200">
        <v>-0.89726859097142242</v>
      </c>
      <c r="M200">
        <v>-0.71534238371024905</v>
      </c>
      <c r="N200">
        <v>-0.1493606092706049</v>
      </c>
      <c r="O200">
        <v>0.38959824111214902</v>
      </c>
    </row>
    <row r="201" spans="1:15" x14ac:dyDescent="0.25">
      <c r="A201">
        <v>42.238512999999998</v>
      </c>
      <c r="B201">
        <v>82.950376750000004</v>
      </c>
      <c r="C201">
        <v>289.74110424999998</v>
      </c>
      <c r="D201">
        <v>236.73193724999999</v>
      </c>
      <c r="E201">
        <v>282.22265599999997</v>
      </c>
      <c r="F201">
        <v>6.7242647499999997</v>
      </c>
      <c r="G201">
        <v>333.933716</v>
      </c>
      <c r="H201">
        <v>-12</v>
      </c>
      <c r="I201">
        <v>16</v>
      </c>
      <c r="J201">
        <v>1.1299999999999999</v>
      </c>
      <c r="K201">
        <v>24.06511725</v>
      </c>
      <c r="L201">
        <v>-1.126921956854555</v>
      </c>
      <c r="M201">
        <v>-0.7002157911632616</v>
      </c>
      <c r="N201">
        <v>-0.23548449105729649</v>
      </c>
      <c r="O201">
        <v>0.25438132407547748</v>
      </c>
    </row>
    <row r="202" spans="1:15" x14ac:dyDescent="0.25">
      <c r="A202">
        <v>-2.7930830000000002</v>
      </c>
      <c r="B202">
        <v>49.3855085</v>
      </c>
      <c r="C202">
        <v>283.48266575000002</v>
      </c>
      <c r="D202">
        <v>204.70915224999999</v>
      </c>
      <c r="E202">
        <v>234.61182024999999</v>
      </c>
      <c r="F202">
        <v>6.2857257500000001</v>
      </c>
      <c r="G202">
        <v>311.72747800000002</v>
      </c>
      <c r="H202">
        <v>-12</v>
      </c>
      <c r="I202">
        <v>20</v>
      </c>
      <c r="J202">
        <v>1.1299999999999999</v>
      </c>
      <c r="K202">
        <v>23.250898249999999</v>
      </c>
      <c r="L202">
        <v>-1.354732446081726</v>
      </c>
      <c r="M202">
        <v>-0.73503466578913756</v>
      </c>
      <c r="N202">
        <v>-0.36493351296258048</v>
      </c>
      <c r="O202">
        <v>8.0498347774912909E-2</v>
      </c>
    </row>
    <row r="203" spans="1:15" x14ac:dyDescent="0.25">
      <c r="A203">
        <v>-46.671804250000001</v>
      </c>
      <c r="B203">
        <v>13.512458499999999</v>
      </c>
      <c r="C203">
        <v>274.20648175000002</v>
      </c>
      <c r="D203">
        <v>174.26343550000001</v>
      </c>
      <c r="E203">
        <v>185.52574525</v>
      </c>
      <c r="F203">
        <v>5.7497340000000001</v>
      </c>
      <c r="G203">
        <v>292.12198625000002</v>
      </c>
      <c r="H203">
        <v>-12</v>
      </c>
      <c r="I203">
        <v>24</v>
      </c>
      <c r="J203">
        <v>1.1299999999999999</v>
      </c>
      <c r="K203">
        <v>22.513382499999999</v>
      </c>
      <c r="L203">
        <v>-1.587677980352463</v>
      </c>
      <c r="M203">
        <v>-0.79537348902526062</v>
      </c>
      <c r="N203">
        <v>-0.52744449467645915</v>
      </c>
      <c r="O203">
        <v>-0.1104613705918818</v>
      </c>
    </row>
    <row r="204" spans="1:15" x14ac:dyDescent="0.25">
      <c r="A204">
        <v>-88.477985500000003</v>
      </c>
      <c r="B204">
        <v>-21.632972250000002</v>
      </c>
      <c r="C204">
        <v>264.01779925</v>
      </c>
      <c r="D204">
        <v>143.37963500000001</v>
      </c>
      <c r="E204">
        <v>134.65146250000001</v>
      </c>
      <c r="F204">
        <v>5.4086485</v>
      </c>
      <c r="G204">
        <v>274.35700224999999</v>
      </c>
      <c r="H204">
        <v>-12</v>
      </c>
      <c r="I204">
        <v>28</v>
      </c>
      <c r="J204">
        <v>1.1299999999999999</v>
      </c>
      <c r="K204">
        <v>21.817751999999999</v>
      </c>
      <c r="L204">
        <v>-1.8580994382815961</v>
      </c>
      <c r="M204">
        <v>-0.8698347182801478</v>
      </c>
      <c r="N204">
        <v>-0.73643137417414173</v>
      </c>
      <c r="O204">
        <v>-0.31871931184432012</v>
      </c>
    </row>
    <row r="205" spans="1:15" x14ac:dyDescent="0.25">
      <c r="A205">
        <v>-137.636482</v>
      </c>
      <c r="B205">
        <v>-63.028210000000001</v>
      </c>
      <c r="C205">
        <v>268.66949449999998</v>
      </c>
      <c r="D205">
        <v>119.3735065</v>
      </c>
      <c r="E205">
        <v>85.252443499999998</v>
      </c>
      <c r="F205">
        <v>5.4573747499999996</v>
      </c>
      <c r="G205">
        <v>276.15750100000002</v>
      </c>
      <c r="H205">
        <v>-12</v>
      </c>
      <c r="I205">
        <v>32</v>
      </c>
      <c r="J205">
        <v>1.1299999999999999</v>
      </c>
      <c r="K205">
        <v>21.888672750000001</v>
      </c>
      <c r="L205">
        <v>-2.1893860265751099</v>
      </c>
      <c r="M205">
        <v>-0.98288409353770234</v>
      </c>
      <c r="N205">
        <v>-1.028749607003006</v>
      </c>
      <c r="O205">
        <v>-0.57006215159555595</v>
      </c>
    </row>
    <row r="206" spans="1:15" x14ac:dyDescent="0.25">
      <c r="A206">
        <v>-194.12004450000001</v>
      </c>
      <c r="B206">
        <v>-108.69248399999999</v>
      </c>
      <c r="C206">
        <v>287.81823750000001</v>
      </c>
      <c r="D206">
        <v>97.338682250000005</v>
      </c>
      <c r="E206">
        <v>30.622942999999999</v>
      </c>
      <c r="F206">
        <v>5.8471869999999999</v>
      </c>
      <c r="G206">
        <v>295.12282549999998</v>
      </c>
      <c r="H206">
        <v>-12</v>
      </c>
      <c r="I206">
        <v>36</v>
      </c>
      <c r="J206">
        <v>1.1299999999999999</v>
      </c>
      <c r="K206">
        <v>22.627222499999998</v>
      </c>
      <c r="L206">
        <v>-2.647651667325476</v>
      </c>
      <c r="M206">
        <v>-1.131898212668256</v>
      </c>
      <c r="N206">
        <v>-1.453159096670716</v>
      </c>
      <c r="O206">
        <v>-0.8639088905836807</v>
      </c>
    </row>
    <row r="207" spans="1:15" x14ac:dyDescent="0.25">
      <c r="A207">
        <v>-250.26459875</v>
      </c>
      <c r="B207">
        <v>-157.04289600000001</v>
      </c>
      <c r="C207">
        <v>302.90238199999999</v>
      </c>
      <c r="D207">
        <v>68.689035500000003</v>
      </c>
      <c r="E207">
        <v>-36.518612750000003</v>
      </c>
      <c r="F207">
        <v>6.0908199999999999</v>
      </c>
      <c r="G207">
        <v>312.60772724999998</v>
      </c>
      <c r="H207">
        <v>-12</v>
      </c>
      <c r="I207">
        <v>40</v>
      </c>
      <c r="J207">
        <v>1.1299999999999999</v>
      </c>
      <c r="K207">
        <v>23.291775999999999</v>
      </c>
      <c r="L207">
        <v>-3.3100663973009441</v>
      </c>
      <c r="M207">
        <v>-1.35061018329349</v>
      </c>
      <c r="N207">
        <v>-2.0892266003062629</v>
      </c>
      <c r="O207">
        <v>-1.25502558690799</v>
      </c>
    </row>
    <row r="208" spans="1:15" x14ac:dyDescent="0.25">
      <c r="A208">
        <v>-308.00614949999999</v>
      </c>
      <c r="B208">
        <v>-211.62898625</v>
      </c>
      <c r="C208">
        <v>312.43160225000003</v>
      </c>
      <c r="D208">
        <v>35.045410250000003</v>
      </c>
      <c r="E208">
        <v>-112.944622</v>
      </c>
      <c r="F208">
        <v>6.3831792500000004</v>
      </c>
      <c r="G208">
        <v>329.33243525</v>
      </c>
      <c r="H208">
        <v>-12</v>
      </c>
      <c r="I208">
        <v>44</v>
      </c>
      <c r="J208">
        <v>1.1299999999999999</v>
      </c>
      <c r="K208">
        <v>23.90797075</v>
      </c>
      <c r="L208">
        <v>-4.2249504335006556</v>
      </c>
      <c r="M208">
        <v>-1.679574475331983</v>
      </c>
      <c r="N208">
        <v>-3.011881909597939</v>
      </c>
      <c r="O208">
        <v>-1.812641210878049</v>
      </c>
    </row>
    <row r="209" spans="1:15" x14ac:dyDescent="0.25">
      <c r="A209">
        <v>336.23850249999998</v>
      </c>
      <c r="B209">
        <v>-174.69464500000001</v>
      </c>
      <c r="C209">
        <v>-318.92327899999998</v>
      </c>
      <c r="D209">
        <v>39.294668000000001</v>
      </c>
      <c r="E209">
        <v>4.291703</v>
      </c>
      <c r="F209">
        <v>6.8217179999999997</v>
      </c>
      <c r="G209">
        <v>346.13714575</v>
      </c>
      <c r="H209">
        <v>-8</v>
      </c>
      <c r="I209">
        <v>-44</v>
      </c>
      <c r="J209">
        <v>1.1299999999999999</v>
      </c>
      <c r="K209">
        <v>24.506247500000001</v>
      </c>
      <c r="L209">
        <v>2.609286965593907</v>
      </c>
      <c r="M209">
        <v>-0.8521856993807212</v>
      </c>
      <c r="N209">
        <v>-1.3614559991506481</v>
      </c>
      <c r="O209">
        <v>-1.010111636396648</v>
      </c>
    </row>
    <row r="210" spans="1:15" x14ac:dyDescent="0.25">
      <c r="A210">
        <v>316.24740574999998</v>
      </c>
      <c r="B210">
        <v>-113.92085675</v>
      </c>
      <c r="C210">
        <v>-249.32936100000001</v>
      </c>
      <c r="D210">
        <v>74.164884749999999</v>
      </c>
      <c r="E210">
        <v>64.464623499999988</v>
      </c>
      <c r="F210">
        <v>6.4806322500000002</v>
      </c>
      <c r="G210">
        <v>321.65026849999998</v>
      </c>
      <c r="H210">
        <v>-8</v>
      </c>
      <c r="I210">
        <v>-40</v>
      </c>
      <c r="J210">
        <v>1.1299999999999999</v>
      </c>
      <c r="K210">
        <v>23.618240749999998</v>
      </c>
      <c r="L210">
        <v>2.2982778001376718</v>
      </c>
      <c r="M210">
        <v>-0.76430145386835813</v>
      </c>
      <c r="N210">
        <v>-1.045113673656888</v>
      </c>
      <c r="O210">
        <v>-0.76439092852436241</v>
      </c>
    </row>
    <row r="211" spans="1:15" x14ac:dyDescent="0.25">
      <c r="A211">
        <v>296.66246024999998</v>
      </c>
      <c r="B211">
        <v>-59.910379749999997</v>
      </c>
      <c r="C211">
        <v>-185.598839</v>
      </c>
      <c r="D211">
        <v>99.879478250000005</v>
      </c>
      <c r="E211">
        <v>112.1201475</v>
      </c>
      <c r="F211">
        <v>5.9933667499999999</v>
      </c>
      <c r="G211">
        <v>301.04447950000002</v>
      </c>
      <c r="H211">
        <v>-8</v>
      </c>
      <c r="I211">
        <v>-36</v>
      </c>
      <c r="J211">
        <v>1.1299999999999999</v>
      </c>
      <c r="K211">
        <v>22.851985249999998</v>
      </c>
      <c r="L211">
        <v>2.0533018392186881</v>
      </c>
      <c r="M211">
        <v>-0.68031019068471843</v>
      </c>
      <c r="N211">
        <v>-0.80438191748131505</v>
      </c>
      <c r="O211">
        <v>-0.5481569678023579</v>
      </c>
    </row>
    <row r="212" spans="1:15" x14ac:dyDescent="0.25">
      <c r="A212">
        <v>275.99445350000002</v>
      </c>
      <c r="B212">
        <v>-15.3973035</v>
      </c>
      <c r="C212">
        <v>-124.9353085</v>
      </c>
      <c r="D212">
        <v>120.90674025</v>
      </c>
      <c r="E212">
        <v>149.89586650000001</v>
      </c>
      <c r="F212">
        <v>5.3599214999999996</v>
      </c>
      <c r="G212">
        <v>282.23921200000001</v>
      </c>
      <c r="H212">
        <v>-8</v>
      </c>
      <c r="I212">
        <v>-32</v>
      </c>
      <c r="J212">
        <v>1.1299999999999999</v>
      </c>
      <c r="K212">
        <v>22.137096</v>
      </c>
      <c r="L212">
        <v>1.8218877884371389</v>
      </c>
      <c r="M212">
        <v>-0.6193959252104122</v>
      </c>
      <c r="N212">
        <v>-0.60138890091652863</v>
      </c>
      <c r="O212">
        <v>-0.34320341345172228</v>
      </c>
    </row>
    <row r="213" spans="1:15" x14ac:dyDescent="0.25">
      <c r="A213">
        <v>256.72538400000002</v>
      </c>
      <c r="B213">
        <v>16.782388749999999</v>
      </c>
      <c r="C213">
        <v>-73.833604750000006</v>
      </c>
      <c r="D213">
        <v>135.31917949999999</v>
      </c>
      <c r="E213">
        <v>175.78005225000001</v>
      </c>
      <c r="F213">
        <v>5.2624680000000001</v>
      </c>
      <c r="G213">
        <v>267.11497474999999</v>
      </c>
      <c r="H213">
        <v>-8</v>
      </c>
      <c r="I213">
        <v>-28</v>
      </c>
      <c r="J213">
        <v>1.1299999999999999</v>
      </c>
      <c r="K213">
        <v>21.528014500000001</v>
      </c>
      <c r="L213">
        <v>1.6179533914532629</v>
      </c>
      <c r="M213">
        <v>-0.58018269595676841</v>
      </c>
      <c r="N213">
        <v>-0.44704377895680941</v>
      </c>
      <c r="O213">
        <v>-0.1653629300238636</v>
      </c>
    </row>
    <row r="214" spans="1:15" x14ac:dyDescent="0.25">
      <c r="A214">
        <v>266.562996</v>
      </c>
      <c r="B214">
        <v>48.135241499999999</v>
      </c>
      <c r="C214">
        <v>-35.992191499999997</v>
      </c>
      <c r="D214">
        <v>162.65462525000001</v>
      </c>
      <c r="E214">
        <v>220.21681599999999</v>
      </c>
      <c r="F214">
        <v>5.7010075000000002</v>
      </c>
      <c r="G214">
        <v>286.80049150000002</v>
      </c>
      <c r="H214">
        <v>-8</v>
      </c>
      <c r="I214">
        <v>-24</v>
      </c>
      <c r="J214">
        <v>1.1299999999999999</v>
      </c>
      <c r="K214">
        <v>22.305156749999998</v>
      </c>
      <c r="L214">
        <v>1.4128725979869381</v>
      </c>
      <c r="M214">
        <v>-0.53477639104692798</v>
      </c>
      <c r="N214">
        <v>-0.31094305606384443</v>
      </c>
      <c r="O214">
        <v>1.7281590315608381E-3</v>
      </c>
    </row>
    <row r="215" spans="1:15" x14ac:dyDescent="0.25">
      <c r="A215">
        <v>271.39154050000002</v>
      </c>
      <c r="B215">
        <v>75.544946749999994</v>
      </c>
      <c r="C215">
        <v>6.3222205000000002</v>
      </c>
      <c r="D215">
        <v>188.76348100000001</v>
      </c>
      <c r="E215">
        <v>259.33368675000003</v>
      </c>
      <c r="F215">
        <v>5.9933667499999999</v>
      </c>
      <c r="G215">
        <v>303.96530925000002</v>
      </c>
      <c r="H215">
        <v>-8</v>
      </c>
      <c r="I215">
        <v>-20</v>
      </c>
      <c r="J215">
        <v>1.1299999999999999</v>
      </c>
      <c r="K215">
        <v>22.9648255</v>
      </c>
      <c r="L215">
        <v>1.2136819833492991</v>
      </c>
      <c r="M215">
        <v>-0.51840194920596705</v>
      </c>
      <c r="N215">
        <v>-0.20435546799257301</v>
      </c>
      <c r="O215">
        <v>0.15998598388691559</v>
      </c>
    </row>
    <row r="216" spans="1:15" x14ac:dyDescent="0.25">
      <c r="A216">
        <v>269.99260674999999</v>
      </c>
      <c r="B216">
        <v>100.16558825</v>
      </c>
      <c r="C216">
        <v>53.968760500000002</v>
      </c>
      <c r="D216">
        <v>213.38289624999999</v>
      </c>
      <c r="E216">
        <v>293.39890324999999</v>
      </c>
      <c r="F216">
        <v>6.3831792500000004</v>
      </c>
      <c r="G216">
        <v>321.13011925000001</v>
      </c>
      <c r="H216">
        <v>-8</v>
      </c>
      <c r="I216">
        <v>-16</v>
      </c>
      <c r="J216">
        <v>1.1299999999999999</v>
      </c>
      <c r="K216">
        <v>23.6024125</v>
      </c>
      <c r="L216">
        <v>0.998590408953967</v>
      </c>
      <c r="M216">
        <v>-0.5233311264098981</v>
      </c>
      <c r="N216">
        <v>-0.1282208667927964</v>
      </c>
      <c r="O216">
        <v>0.32676087299564383</v>
      </c>
    </row>
    <row r="217" spans="1:15" x14ac:dyDescent="0.25">
      <c r="A217">
        <v>263.49437699999999</v>
      </c>
      <c r="B217">
        <v>120.9392665</v>
      </c>
      <c r="C217">
        <v>103.730585</v>
      </c>
      <c r="D217">
        <v>236.4252855</v>
      </c>
      <c r="E217">
        <v>322.27832050000001</v>
      </c>
      <c r="F217">
        <v>6.6268120000000001</v>
      </c>
      <c r="G217">
        <v>337.57473750000003</v>
      </c>
      <c r="H217">
        <v>-8</v>
      </c>
      <c r="I217">
        <v>-12</v>
      </c>
      <c r="J217">
        <v>1.1299999999999999</v>
      </c>
      <c r="K217">
        <v>24.202228000000002</v>
      </c>
      <c r="L217">
        <v>0.76099659214519855</v>
      </c>
      <c r="M217">
        <v>-0.55008804151721757</v>
      </c>
      <c r="N217">
        <v>-7.2869784573654742E-2</v>
      </c>
      <c r="O217">
        <v>0.50350402421830431</v>
      </c>
    </row>
    <row r="218" spans="1:15" x14ac:dyDescent="0.25">
      <c r="A218">
        <v>242.059223</v>
      </c>
      <c r="B218">
        <v>131.22992325000001</v>
      </c>
      <c r="C218">
        <v>145.873684</v>
      </c>
      <c r="D218">
        <v>245.09902975</v>
      </c>
      <c r="E218">
        <v>333.49926775</v>
      </c>
      <c r="F218">
        <v>6.6755382499999998</v>
      </c>
      <c r="G218">
        <v>340.2955015</v>
      </c>
      <c r="H218">
        <v>-8</v>
      </c>
      <c r="I218">
        <v>-8</v>
      </c>
      <c r="J218">
        <v>1.1299999999999999</v>
      </c>
      <c r="K218">
        <v>24.299715249999998</v>
      </c>
      <c r="L218">
        <v>0.49342715970497297</v>
      </c>
      <c r="M218">
        <v>-0.58408281944312002</v>
      </c>
      <c r="N218">
        <v>-3.4899098826422302E-2</v>
      </c>
      <c r="O218">
        <v>0.67649105533709819</v>
      </c>
    </row>
    <row r="219" spans="1:15" x14ac:dyDescent="0.25">
      <c r="A219">
        <v>200.67810825000001</v>
      </c>
      <c r="B219">
        <v>125.21902475</v>
      </c>
      <c r="C219">
        <v>166.37728874999999</v>
      </c>
      <c r="D219">
        <v>232.00078975</v>
      </c>
      <c r="E219">
        <v>314.81258400000002</v>
      </c>
      <c r="F219">
        <v>6.2857257500000001</v>
      </c>
      <c r="G219">
        <v>317.249031</v>
      </c>
      <c r="H219">
        <v>-8</v>
      </c>
      <c r="I219">
        <v>-4</v>
      </c>
      <c r="J219">
        <v>1.1299999999999999</v>
      </c>
      <c r="K219">
        <v>23.460104749999999</v>
      </c>
      <c r="L219">
        <v>0.20292981175668859</v>
      </c>
      <c r="M219">
        <v>-0.63180410100056472</v>
      </c>
      <c r="N219">
        <v>-1.4424671220801251E-2</v>
      </c>
      <c r="O219">
        <v>0.8254443128273028</v>
      </c>
    </row>
    <row r="220" spans="1:15" x14ac:dyDescent="0.25">
      <c r="A220">
        <v>162.90711974999999</v>
      </c>
      <c r="B220">
        <v>117.6212465</v>
      </c>
      <c r="C220">
        <v>180.33238224999999</v>
      </c>
      <c r="D220">
        <v>217.8512035</v>
      </c>
      <c r="E220">
        <v>294.06946599999998</v>
      </c>
      <c r="F220">
        <v>5.9446399999999997</v>
      </c>
      <c r="G220">
        <v>297.04336549999999</v>
      </c>
      <c r="H220">
        <v>-8</v>
      </c>
      <c r="I220">
        <v>0</v>
      </c>
      <c r="J220">
        <v>1.1299999999999999</v>
      </c>
      <c r="K220">
        <v>22.69841525</v>
      </c>
      <c r="L220">
        <v>-0.1132322190562271</v>
      </c>
      <c r="M220">
        <v>-0.65167889991413752</v>
      </c>
      <c r="N220">
        <v>-1.9375302608185391E-2</v>
      </c>
      <c r="O220">
        <v>0.8734045730602662</v>
      </c>
    </row>
    <row r="221" spans="1:15" x14ac:dyDescent="0.25">
      <c r="A221">
        <v>126.85094650000001</v>
      </c>
      <c r="B221">
        <v>114.3513165</v>
      </c>
      <c r="C221">
        <v>192.9777795</v>
      </c>
      <c r="D221">
        <v>203.21972675000001</v>
      </c>
      <c r="E221">
        <v>275.11454774999999</v>
      </c>
      <c r="F221">
        <v>5.4573747499999996</v>
      </c>
      <c r="G221">
        <v>278.75823174999999</v>
      </c>
      <c r="H221">
        <v>-8</v>
      </c>
      <c r="I221">
        <v>4</v>
      </c>
      <c r="J221">
        <v>1.1299999999999999</v>
      </c>
      <c r="K221">
        <v>21.993572499999999</v>
      </c>
      <c r="L221">
        <v>-0.42796247006017679</v>
      </c>
      <c r="M221">
        <v>-0.57519056245130051</v>
      </c>
      <c r="N221">
        <v>-2.3607343933950291E-2</v>
      </c>
      <c r="O221">
        <v>0.74524155864836661</v>
      </c>
    </row>
    <row r="222" spans="1:15" x14ac:dyDescent="0.25">
      <c r="A222">
        <v>96.209961000000007</v>
      </c>
      <c r="B222">
        <v>113.24530625</v>
      </c>
      <c r="C222">
        <v>207.51997750000001</v>
      </c>
      <c r="D222">
        <v>192.39944075</v>
      </c>
      <c r="E222">
        <v>263.22301475</v>
      </c>
      <c r="F222">
        <v>5.2137417500000014</v>
      </c>
      <c r="G222">
        <v>270.87601475000002</v>
      </c>
      <c r="H222">
        <v>-8</v>
      </c>
      <c r="I222">
        <v>8</v>
      </c>
      <c r="J222">
        <v>1.1299999999999999</v>
      </c>
      <c r="K222">
        <v>21.68403275</v>
      </c>
      <c r="L222">
        <v>-0.70228814400679429</v>
      </c>
      <c r="M222">
        <v>-0.49941900082790519</v>
      </c>
      <c r="N222">
        <v>-4.8303844156766293E-2</v>
      </c>
      <c r="O222">
        <v>0.62786586210423823</v>
      </c>
    </row>
    <row r="223" spans="1:15" x14ac:dyDescent="0.25">
      <c r="A223">
        <v>70.39752949999999</v>
      </c>
      <c r="B223">
        <v>111.99504275</v>
      </c>
      <c r="C223">
        <v>241.66254050000001</v>
      </c>
      <c r="D223">
        <v>196.42966824999999</v>
      </c>
      <c r="E223">
        <v>272.83459449999998</v>
      </c>
      <c r="F223">
        <v>5.7497340000000001</v>
      </c>
      <c r="G223">
        <v>290.64156324999999</v>
      </c>
      <c r="H223">
        <v>-8</v>
      </c>
      <c r="I223">
        <v>12</v>
      </c>
      <c r="J223">
        <v>1.1299999999999999</v>
      </c>
      <c r="K223">
        <v>22.455122249999999</v>
      </c>
      <c r="L223">
        <v>-0.94289663630095943</v>
      </c>
      <c r="M223">
        <v>-0.46483829925012871</v>
      </c>
      <c r="N223">
        <v>-9.8031774444304637E-2</v>
      </c>
      <c r="O223">
        <v>0.47042631696908288</v>
      </c>
    </row>
    <row r="224" spans="1:15" x14ac:dyDescent="0.25">
      <c r="A224">
        <v>36.778191499999998</v>
      </c>
      <c r="B224">
        <v>102.42568799999999</v>
      </c>
      <c r="C224">
        <v>272.37278750000002</v>
      </c>
      <c r="D224">
        <v>194.63358700000001</v>
      </c>
      <c r="E224">
        <v>269.61583675000003</v>
      </c>
      <c r="F224">
        <v>6.1395462500000004</v>
      </c>
      <c r="G224">
        <v>308.32653800000003</v>
      </c>
      <c r="H224">
        <v>-8</v>
      </c>
      <c r="I224">
        <v>16</v>
      </c>
      <c r="J224">
        <v>1.1299999999999999</v>
      </c>
      <c r="K224">
        <v>23.126691749999999</v>
      </c>
      <c r="L224">
        <v>-1.177895127305443</v>
      </c>
      <c r="M224">
        <v>-0.4610194680502428</v>
      </c>
      <c r="N224">
        <v>-0.19356682947250889</v>
      </c>
      <c r="O224">
        <v>0.31729312110438451</v>
      </c>
    </row>
    <row r="225" spans="1:15" x14ac:dyDescent="0.25">
      <c r="A225">
        <v>-8.2881002499999994</v>
      </c>
      <c r="B225">
        <v>81.315408750000003</v>
      </c>
      <c r="C225">
        <v>300.41847224999998</v>
      </c>
      <c r="D225">
        <v>186.17887475000001</v>
      </c>
      <c r="E225">
        <v>255.04200374999999</v>
      </c>
      <c r="F225">
        <v>6.5780849999999997</v>
      </c>
      <c r="G225">
        <v>325.01121525000002</v>
      </c>
      <c r="H225">
        <v>-8</v>
      </c>
      <c r="I225">
        <v>20</v>
      </c>
      <c r="J225">
        <v>1.1299999999999999</v>
      </c>
      <c r="K225">
        <v>23.740212249999999</v>
      </c>
      <c r="L225">
        <v>-1.412659284235358</v>
      </c>
      <c r="M225">
        <v>-0.47987153886385242</v>
      </c>
      <c r="N225">
        <v>-0.32019359833405442</v>
      </c>
      <c r="O225">
        <v>0.136985236688001</v>
      </c>
    </row>
    <row r="226" spans="1:15" x14ac:dyDescent="0.25">
      <c r="A226">
        <v>-61.079698499999999</v>
      </c>
      <c r="B226">
        <v>52.126479250000003</v>
      </c>
      <c r="C226">
        <v>326.29636399999998</v>
      </c>
      <c r="D226">
        <v>172.81780624999999</v>
      </c>
      <c r="E226">
        <v>227.01197024999999</v>
      </c>
      <c r="F226">
        <v>6.8704447499999999</v>
      </c>
      <c r="G226">
        <v>341.25577550000003</v>
      </c>
      <c r="H226">
        <v>-8</v>
      </c>
      <c r="I226">
        <v>24</v>
      </c>
      <c r="J226">
        <v>1.1299999999999999</v>
      </c>
      <c r="K226">
        <v>24.3275975</v>
      </c>
      <c r="L226">
        <v>-1.6734115906711531</v>
      </c>
      <c r="M226">
        <v>-0.52136955433961751</v>
      </c>
      <c r="N226">
        <v>-0.49351965905303857</v>
      </c>
      <c r="O226">
        <v>-4.9014388676817663E-2</v>
      </c>
    </row>
    <row r="227" spans="1:15" x14ac:dyDescent="0.25">
      <c r="A227">
        <v>-112.20466575</v>
      </c>
      <c r="B227">
        <v>14.570377499999999</v>
      </c>
      <c r="C227">
        <v>326.56733724999998</v>
      </c>
      <c r="D227">
        <v>141.97781375</v>
      </c>
      <c r="E227">
        <v>171.62249399999999</v>
      </c>
      <c r="F227">
        <v>6.5780847500000004</v>
      </c>
      <c r="G227">
        <v>334.57389849999998</v>
      </c>
      <c r="H227">
        <v>-8</v>
      </c>
      <c r="I227">
        <v>28</v>
      </c>
      <c r="J227">
        <v>1.1299999999999999</v>
      </c>
      <c r="K227">
        <v>24.094017999999998</v>
      </c>
      <c r="L227">
        <v>-1.9904449738677359</v>
      </c>
      <c r="M227">
        <v>-0.57795393228324732</v>
      </c>
      <c r="N227">
        <v>-0.73921422547482196</v>
      </c>
      <c r="O227">
        <v>-0.25128241433853971</v>
      </c>
    </row>
    <row r="228" spans="1:15" x14ac:dyDescent="0.25">
      <c r="A228">
        <v>-151.08749399999999</v>
      </c>
      <c r="B228">
        <v>-25.422340250000001</v>
      </c>
      <c r="C228">
        <v>304.7991945</v>
      </c>
      <c r="D228">
        <v>102.63930499999999</v>
      </c>
      <c r="E228">
        <v>103.000328</v>
      </c>
      <c r="F228">
        <v>5.9446399999999997</v>
      </c>
      <c r="G228">
        <v>308.5265885</v>
      </c>
      <c r="H228">
        <v>-8</v>
      </c>
      <c r="I228">
        <v>32</v>
      </c>
      <c r="J228">
        <v>1.1299999999999999</v>
      </c>
      <c r="K228">
        <v>23.141772499999998</v>
      </c>
      <c r="L228">
        <v>-2.3836594836440841</v>
      </c>
      <c r="M228">
        <v>-0.66957950992240511</v>
      </c>
      <c r="N228">
        <v>-1.074614066205015</v>
      </c>
      <c r="O228">
        <v>-0.49253182042190008</v>
      </c>
    </row>
    <row r="229" spans="1:15" x14ac:dyDescent="0.25">
      <c r="A229">
        <v>-185.80659875000001</v>
      </c>
      <c r="B229">
        <v>-61.109548500000002</v>
      </c>
      <c r="C229">
        <v>285.78594199999998</v>
      </c>
      <c r="D229">
        <v>64.658807750000008</v>
      </c>
      <c r="E229">
        <v>36.345183249999998</v>
      </c>
      <c r="F229">
        <v>5.8471872500000002</v>
      </c>
      <c r="G229">
        <v>288.40093999999999</v>
      </c>
      <c r="H229">
        <v>-8</v>
      </c>
      <c r="I229">
        <v>36</v>
      </c>
      <c r="J229">
        <v>1.1299999999999999</v>
      </c>
      <c r="K229">
        <v>22.362793</v>
      </c>
      <c r="L229">
        <v>-2.9511039618886379</v>
      </c>
      <c r="M229">
        <v>-0.78697911217145666</v>
      </c>
      <c r="N229">
        <v>-1.5772986407431959</v>
      </c>
      <c r="O229">
        <v>-0.80913724643670304</v>
      </c>
    </row>
    <row r="230" spans="1:15" x14ac:dyDescent="0.25">
      <c r="A230">
        <v>-212.7879715</v>
      </c>
      <c r="B230">
        <v>-92.431783750000008</v>
      </c>
      <c r="C230">
        <v>266.68235774999999</v>
      </c>
      <c r="D230">
        <v>30.139047250000001</v>
      </c>
      <c r="E230">
        <v>-25.995544750000001</v>
      </c>
      <c r="F230">
        <v>5.3111952499999999</v>
      </c>
      <c r="G230">
        <v>271.03607199999999</v>
      </c>
      <c r="H230">
        <v>-8</v>
      </c>
      <c r="I230">
        <v>40</v>
      </c>
      <c r="J230">
        <v>1.1299999999999999</v>
      </c>
      <c r="K230">
        <v>21.686594249999999</v>
      </c>
      <c r="L230">
        <v>-3.7873088417958689</v>
      </c>
      <c r="M230">
        <v>-0.96796994345948373</v>
      </c>
      <c r="N230">
        <v>-2.3463261712489971</v>
      </c>
      <c r="O230">
        <v>-1.2473568982296639</v>
      </c>
    </row>
    <row r="231" spans="1:15" x14ac:dyDescent="0.25">
      <c r="A231">
        <v>-256.25545875</v>
      </c>
      <c r="B231">
        <v>-132.2441255</v>
      </c>
      <c r="C231">
        <v>270.97277050000002</v>
      </c>
      <c r="D231">
        <v>-5.2011035000000003</v>
      </c>
      <c r="E231">
        <v>-96.223644000000007</v>
      </c>
      <c r="F231">
        <v>5.4086482499999997</v>
      </c>
      <c r="G231">
        <v>279.87855500000001</v>
      </c>
      <c r="H231">
        <v>-8</v>
      </c>
      <c r="I231">
        <v>44</v>
      </c>
      <c r="J231">
        <v>1.1299999999999999</v>
      </c>
      <c r="K231">
        <v>22.040568499999999</v>
      </c>
      <c r="L231">
        <v>-5.3796008321219926</v>
      </c>
      <c r="M231">
        <v>-1.296098505035753</v>
      </c>
      <c r="N231">
        <v>-3.837692255835035</v>
      </c>
      <c r="O231">
        <v>-2.037224052865183</v>
      </c>
    </row>
    <row r="232" spans="1:15" x14ac:dyDescent="0.25">
      <c r="A232">
        <v>299.86643225</v>
      </c>
      <c r="B232">
        <v>-105.57465375</v>
      </c>
      <c r="C232">
        <v>-281.9388275</v>
      </c>
      <c r="D232">
        <v>-3.0157652499999998</v>
      </c>
      <c r="E232">
        <v>2.59291275</v>
      </c>
      <c r="F232">
        <v>6.0420932500000006</v>
      </c>
      <c r="G232">
        <v>304.40542599999998</v>
      </c>
      <c r="H232">
        <v>-4</v>
      </c>
      <c r="I232">
        <v>-44</v>
      </c>
      <c r="J232">
        <v>1.1299999999999999</v>
      </c>
      <c r="K232">
        <v>22.979904749999999</v>
      </c>
      <c r="L232">
        <v>2.9631995903868522</v>
      </c>
      <c r="M232">
        <v>-0.5223279780957657</v>
      </c>
      <c r="N232">
        <v>-1.5371973370226191</v>
      </c>
      <c r="O232">
        <v>-1.017611928274468</v>
      </c>
    </row>
    <row r="233" spans="1:15" x14ac:dyDescent="0.25">
      <c r="A233">
        <v>318.95499425000003</v>
      </c>
      <c r="B233">
        <v>-64.467212000000004</v>
      </c>
      <c r="C233">
        <v>-250.72755050000001</v>
      </c>
      <c r="D233">
        <v>35.571091750000001</v>
      </c>
      <c r="E233">
        <v>65.090491999999998</v>
      </c>
      <c r="F233">
        <v>6.6268120000000001</v>
      </c>
      <c r="G233">
        <v>321.45021824999998</v>
      </c>
      <c r="H233">
        <v>-4</v>
      </c>
      <c r="I233">
        <v>-40</v>
      </c>
      <c r="J233">
        <v>1.1299999999999999</v>
      </c>
      <c r="K233">
        <v>23.605274250000001</v>
      </c>
      <c r="L233">
        <v>2.558258246415801</v>
      </c>
      <c r="M233">
        <v>-0.44921113423421299</v>
      </c>
      <c r="N233">
        <v>-1.151251504005264</v>
      </c>
      <c r="O233">
        <v>-0.73747831687647691</v>
      </c>
    </row>
    <row r="234" spans="1:15" x14ac:dyDescent="0.25">
      <c r="A234">
        <v>334.47855375</v>
      </c>
      <c r="B234">
        <v>-21.297204499999999</v>
      </c>
      <c r="C234">
        <v>-210.0897635</v>
      </c>
      <c r="D234">
        <v>74.296304750000004</v>
      </c>
      <c r="E234">
        <v>126.9622</v>
      </c>
      <c r="F234">
        <v>6.7242652500000002</v>
      </c>
      <c r="G234">
        <v>337.69477849999998</v>
      </c>
      <c r="H234">
        <v>-4</v>
      </c>
      <c r="I234">
        <v>-36</v>
      </c>
      <c r="J234">
        <v>1.1299999999999999</v>
      </c>
      <c r="K234">
        <v>24.203058500000001</v>
      </c>
      <c r="L234">
        <v>2.2442471567929201</v>
      </c>
      <c r="M234">
        <v>-0.39389039540384302</v>
      </c>
      <c r="N234">
        <v>-0.86847201048594302</v>
      </c>
      <c r="O234">
        <v>-0.50447017733162469</v>
      </c>
    </row>
    <row r="235" spans="1:15" x14ac:dyDescent="0.25">
      <c r="A235">
        <v>335.83235925000002</v>
      </c>
      <c r="B235">
        <v>20.772096250000001</v>
      </c>
      <c r="C235">
        <v>-154.92879500000001</v>
      </c>
      <c r="D235">
        <v>108.90367725</v>
      </c>
      <c r="E235">
        <v>182.21757500000001</v>
      </c>
      <c r="F235">
        <v>6.9191712499999998</v>
      </c>
      <c r="G235">
        <v>340.01543425</v>
      </c>
      <c r="H235">
        <v>-4</v>
      </c>
      <c r="I235">
        <v>-32</v>
      </c>
      <c r="J235">
        <v>1.1299999999999999</v>
      </c>
      <c r="K235">
        <v>24.280629999999999</v>
      </c>
      <c r="L235">
        <v>1.968644874247337</v>
      </c>
      <c r="M235">
        <v>-0.35352467480064548</v>
      </c>
      <c r="N235">
        <v>-0.63301836785500987</v>
      </c>
      <c r="O235">
        <v>-0.2968588928849743</v>
      </c>
    </row>
    <row r="236" spans="1:15" x14ac:dyDescent="0.25">
      <c r="A236">
        <v>308.35023525000003</v>
      </c>
      <c r="B236">
        <v>57.359931000000003</v>
      </c>
      <c r="C236">
        <v>-93.09258475</v>
      </c>
      <c r="D236">
        <v>126.64543500000001</v>
      </c>
      <c r="E236">
        <v>213.15342699999999</v>
      </c>
      <c r="F236">
        <v>6.1395460000000002</v>
      </c>
      <c r="G236">
        <v>317.00896475000002</v>
      </c>
      <c r="H236">
        <v>-4</v>
      </c>
      <c r="I236">
        <v>-28</v>
      </c>
      <c r="J236">
        <v>1.1299999999999999</v>
      </c>
      <c r="K236">
        <v>23.45656825</v>
      </c>
      <c r="L236">
        <v>1.7376912210248361</v>
      </c>
      <c r="M236">
        <v>-0.2999069250834237</v>
      </c>
      <c r="N236">
        <v>-0.44954819254683398</v>
      </c>
      <c r="O236">
        <v>-0.1039098817245989</v>
      </c>
    </row>
    <row r="237" spans="1:15" x14ac:dyDescent="0.25">
      <c r="A237">
        <v>280.32659899999999</v>
      </c>
      <c r="B237">
        <v>81.267322500000006</v>
      </c>
      <c r="C237">
        <v>-42.261507000000002</v>
      </c>
      <c r="D237">
        <v>139.34940349999999</v>
      </c>
      <c r="E237">
        <v>232.15304925000001</v>
      </c>
      <c r="F237">
        <v>5.8471869999999999</v>
      </c>
      <c r="G237">
        <v>296.92332475000001</v>
      </c>
      <c r="H237">
        <v>-4</v>
      </c>
      <c r="I237">
        <v>-24</v>
      </c>
      <c r="J237">
        <v>1.1299999999999999</v>
      </c>
      <c r="K237">
        <v>22.69753025</v>
      </c>
      <c r="L237">
        <v>1.5169950058909849</v>
      </c>
      <c r="M237">
        <v>-0.27311733843476899</v>
      </c>
      <c r="N237">
        <v>-0.30460070461961891</v>
      </c>
      <c r="O237">
        <v>6.4230014401125093E-2</v>
      </c>
    </row>
    <row r="238" spans="1:15" x14ac:dyDescent="0.25">
      <c r="A238">
        <v>252.84448624999999</v>
      </c>
      <c r="B238">
        <v>97.033186000000001</v>
      </c>
      <c r="C238">
        <v>-1.127575</v>
      </c>
      <c r="D238">
        <v>147.760311</v>
      </c>
      <c r="E238">
        <v>241.40697875000001</v>
      </c>
      <c r="F238">
        <v>5.4086480000000003</v>
      </c>
      <c r="G238">
        <v>278.55817400000001</v>
      </c>
      <c r="H238">
        <v>-4</v>
      </c>
      <c r="I238">
        <v>-20</v>
      </c>
      <c r="J238">
        <v>1.1299999999999999</v>
      </c>
      <c r="K238">
        <v>21.987479499999999</v>
      </c>
      <c r="L238">
        <v>1.312840453307774</v>
      </c>
      <c r="M238">
        <v>-0.26222808247989698</v>
      </c>
      <c r="N238">
        <v>-0.19206690784131419</v>
      </c>
      <c r="O238">
        <v>0.21991674892553079</v>
      </c>
    </row>
    <row r="239" spans="1:15" x14ac:dyDescent="0.25">
      <c r="A239">
        <v>232.22163</v>
      </c>
      <c r="B239">
        <v>110.8331795</v>
      </c>
      <c r="C239">
        <v>35.8587475</v>
      </c>
      <c r="D239">
        <v>156.39025475</v>
      </c>
      <c r="E239">
        <v>250.75033550000001</v>
      </c>
      <c r="F239">
        <v>5.4086480000000003</v>
      </c>
      <c r="G239">
        <v>270.03577424999997</v>
      </c>
      <c r="H239">
        <v>-4</v>
      </c>
      <c r="I239">
        <v>-16</v>
      </c>
      <c r="J239">
        <v>1.1299999999999999</v>
      </c>
      <c r="K239">
        <v>21.641741249999999</v>
      </c>
      <c r="L239">
        <v>1.1068760177488131</v>
      </c>
      <c r="M239">
        <v>-0.25677543288931898</v>
      </c>
      <c r="N239">
        <v>-0.1087091746553452</v>
      </c>
      <c r="O239">
        <v>0.38295477132362599</v>
      </c>
    </row>
    <row r="240" spans="1:15" x14ac:dyDescent="0.25">
      <c r="A240">
        <v>232.04111499999999</v>
      </c>
      <c r="B240">
        <v>132.42293900000001</v>
      </c>
      <c r="C240">
        <v>80.74989325</v>
      </c>
      <c r="D240">
        <v>179.21359624999999</v>
      </c>
      <c r="E240">
        <v>280.38973974999999</v>
      </c>
      <c r="F240">
        <v>5.6035545000000004</v>
      </c>
      <c r="G240">
        <v>289.92137150000002</v>
      </c>
      <c r="H240">
        <v>-4</v>
      </c>
      <c r="I240">
        <v>-12</v>
      </c>
      <c r="J240">
        <v>1.1299999999999999</v>
      </c>
      <c r="K240">
        <v>22.4324835</v>
      </c>
      <c r="L240">
        <v>0.87046172037732317</v>
      </c>
      <c r="M240">
        <v>-0.26924247485462321</v>
      </c>
      <c r="N240">
        <v>-5.4848746313915092E-2</v>
      </c>
      <c r="O240">
        <v>0.5810177078690919</v>
      </c>
    </row>
    <row r="241" spans="1:15" x14ac:dyDescent="0.25">
      <c r="A241">
        <v>225.04648574999999</v>
      </c>
      <c r="B241">
        <v>149.04946525</v>
      </c>
      <c r="C241">
        <v>125.68621625</v>
      </c>
      <c r="D241">
        <v>196.210632</v>
      </c>
      <c r="E241">
        <v>304.39632425000002</v>
      </c>
      <c r="F241">
        <v>6.2857262499999997</v>
      </c>
      <c r="G241">
        <v>307.68634800000001</v>
      </c>
      <c r="H241">
        <v>-4</v>
      </c>
      <c r="I241">
        <v>-8</v>
      </c>
      <c r="J241">
        <v>1.1299999999999999</v>
      </c>
      <c r="K241">
        <v>23.0965715</v>
      </c>
      <c r="L241">
        <v>0.59486951696285983</v>
      </c>
      <c r="M241">
        <v>-0.28235712308283312</v>
      </c>
      <c r="N241">
        <v>-1.9701560583295179E-2</v>
      </c>
      <c r="O241">
        <v>0.78479033941205634</v>
      </c>
    </row>
    <row r="242" spans="1:15" x14ac:dyDescent="0.25">
      <c r="A242">
        <v>211.32799125</v>
      </c>
      <c r="B242">
        <v>160.418846</v>
      </c>
      <c r="C242">
        <v>168.13861075</v>
      </c>
      <c r="D242">
        <v>210.84210974999999</v>
      </c>
      <c r="E242">
        <v>323.17242449999998</v>
      </c>
      <c r="F242">
        <v>6.5293585000000007</v>
      </c>
      <c r="G242">
        <v>324.45105725000002</v>
      </c>
      <c r="H242">
        <v>-4</v>
      </c>
      <c r="I242">
        <v>-4</v>
      </c>
      <c r="J242">
        <v>1.1299999999999999</v>
      </c>
      <c r="K242">
        <v>23.72114625</v>
      </c>
      <c r="L242">
        <v>0.27184315388591179</v>
      </c>
      <c r="M242">
        <v>-0.31731647062868978</v>
      </c>
      <c r="N242">
        <v>-8.0805818651802572E-3</v>
      </c>
      <c r="O242">
        <v>0.99282753639156229</v>
      </c>
    </row>
    <row r="243" spans="1:15" x14ac:dyDescent="0.25">
      <c r="A243">
        <v>191.78816599999999</v>
      </c>
      <c r="B243">
        <v>172.51281</v>
      </c>
      <c r="C243">
        <v>209.10065449999999</v>
      </c>
      <c r="D243">
        <v>222.275688</v>
      </c>
      <c r="E243">
        <v>339.71327224999999</v>
      </c>
      <c r="F243">
        <v>7.1140777499999999</v>
      </c>
      <c r="G243">
        <v>340.53556025</v>
      </c>
      <c r="H243">
        <v>-4</v>
      </c>
      <c r="I243">
        <v>0</v>
      </c>
      <c r="J243">
        <v>1.1299999999999999</v>
      </c>
      <c r="K243">
        <v>24.292502750000001</v>
      </c>
      <c r="L243">
        <v>-0.1098775476977535</v>
      </c>
      <c r="M243">
        <v>-0.31583029636239229</v>
      </c>
      <c r="N243">
        <v>-5.2224455297558573E-3</v>
      </c>
      <c r="O243">
        <v>1.110906248940881</v>
      </c>
    </row>
    <row r="244" spans="1:15" x14ac:dyDescent="0.25">
      <c r="A244">
        <v>155.19046775000001</v>
      </c>
      <c r="B244">
        <v>171.89973825000001</v>
      </c>
      <c r="C244">
        <v>234.8882255</v>
      </c>
      <c r="D244">
        <v>217.06268675000001</v>
      </c>
      <c r="E244">
        <v>335.64511125000001</v>
      </c>
      <c r="F244">
        <v>6.6755382499999998</v>
      </c>
      <c r="G244">
        <v>335.65419000000003</v>
      </c>
      <c r="H244">
        <v>-4</v>
      </c>
      <c r="I244">
        <v>4</v>
      </c>
      <c r="J244">
        <v>1.1299999999999999</v>
      </c>
      <c r="K244">
        <v>24.130083750000001</v>
      </c>
      <c r="L244">
        <v>-0.46308614879000648</v>
      </c>
      <c r="M244">
        <v>-0.2623956119851481</v>
      </c>
      <c r="N244">
        <v>-5.0833465593775027E-5</v>
      </c>
      <c r="O244">
        <v>0.91152210902382091</v>
      </c>
    </row>
    <row r="245" spans="1:15" x14ac:dyDescent="0.25">
      <c r="A245">
        <v>110.10895925</v>
      </c>
      <c r="B245">
        <v>158.28094874999999</v>
      </c>
      <c r="C245">
        <v>242.38514325</v>
      </c>
      <c r="D245">
        <v>197.174385</v>
      </c>
      <c r="E245">
        <v>308.82210550000002</v>
      </c>
      <c r="F245">
        <v>6.1882732499999999</v>
      </c>
      <c r="G245">
        <v>313.40795150000002</v>
      </c>
      <c r="H245">
        <v>-4</v>
      </c>
      <c r="I245">
        <v>8</v>
      </c>
      <c r="J245">
        <v>1.1299999999999999</v>
      </c>
      <c r="K245">
        <v>23.318460000000002</v>
      </c>
      <c r="L245">
        <v>-0.75748264848665769</v>
      </c>
      <c r="M245">
        <v>-0.2226998803383938</v>
      </c>
      <c r="N245">
        <v>-2.6276206119045509E-2</v>
      </c>
      <c r="O245">
        <v>0.73304525503989082</v>
      </c>
    </row>
    <row r="246" spans="1:15" x14ac:dyDescent="0.25">
      <c r="A246">
        <v>68.727847999999994</v>
      </c>
      <c r="B246">
        <v>137.83704</v>
      </c>
      <c r="C246">
        <v>245.18519225</v>
      </c>
      <c r="D246">
        <v>175.35860049999999</v>
      </c>
      <c r="E246">
        <v>279.22740900000002</v>
      </c>
      <c r="F246">
        <v>5.7984605</v>
      </c>
      <c r="G246">
        <v>293.5623855</v>
      </c>
      <c r="H246">
        <v>-4</v>
      </c>
      <c r="I246">
        <v>12</v>
      </c>
      <c r="J246">
        <v>1.1299999999999999</v>
      </c>
      <c r="K246">
        <v>22.568025500000001</v>
      </c>
      <c r="L246">
        <v>-1.0029067018670841</v>
      </c>
      <c r="M246">
        <v>-0.2132843662853964</v>
      </c>
      <c r="N246">
        <v>-8.1507027178962271E-2</v>
      </c>
      <c r="O246">
        <v>0.55405749426534001</v>
      </c>
    </row>
    <row r="247" spans="1:15" x14ac:dyDescent="0.25">
      <c r="A247">
        <v>28.881032250000001</v>
      </c>
      <c r="B247">
        <v>115.68974125</v>
      </c>
      <c r="C247">
        <v>245.09487525</v>
      </c>
      <c r="D247">
        <v>151.61531074999999</v>
      </c>
      <c r="E247">
        <v>245.38572325000001</v>
      </c>
      <c r="F247">
        <v>5.3599214999999996</v>
      </c>
      <c r="G247">
        <v>275.51732625</v>
      </c>
      <c r="H247">
        <v>-4</v>
      </c>
      <c r="I247">
        <v>16</v>
      </c>
      <c r="J247">
        <v>1.1299999999999999</v>
      </c>
      <c r="K247">
        <v>21.866731000000001</v>
      </c>
      <c r="L247">
        <v>-1.2490621094722489</v>
      </c>
      <c r="M247">
        <v>-0.2075494570227869</v>
      </c>
      <c r="N247">
        <v>-0.17407388927454431</v>
      </c>
      <c r="O247">
        <v>0.38662736458860592</v>
      </c>
    </row>
    <row r="248" spans="1:15" x14ac:dyDescent="0.25">
      <c r="A248">
        <v>-10.540300999999999</v>
      </c>
      <c r="B248">
        <v>95.446334750000005</v>
      </c>
      <c r="C248">
        <v>255.84345625</v>
      </c>
      <c r="D248">
        <v>133.917362</v>
      </c>
      <c r="E248">
        <v>219.18859850000001</v>
      </c>
      <c r="F248">
        <v>5.3599220000000001</v>
      </c>
      <c r="G248">
        <v>273.99689475000002</v>
      </c>
      <c r="H248">
        <v>-4</v>
      </c>
      <c r="I248">
        <v>20</v>
      </c>
      <c r="J248">
        <v>1.1299999999999999</v>
      </c>
      <c r="K248">
        <v>21.805107499999998</v>
      </c>
      <c r="L248">
        <v>-1.5072434348463211</v>
      </c>
      <c r="M248">
        <v>-0.21768904103634321</v>
      </c>
      <c r="N248">
        <v>-0.31014296355298898</v>
      </c>
      <c r="O248">
        <v>0.20989081641977489</v>
      </c>
    </row>
    <row r="249" spans="1:15" x14ac:dyDescent="0.25">
      <c r="A249">
        <v>-52.926729999999999</v>
      </c>
      <c r="B249">
        <v>79.188644499999995</v>
      </c>
      <c r="C249">
        <v>282.03749875</v>
      </c>
      <c r="D249">
        <v>120.20583725</v>
      </c>
      <c r="E249">
        <v>199.11605825000001</v>
      </c>
      <c r="F249">
        <v>5.8959135000000007</v>
      </c>
      <c r="G249">
        <v>293.32231899999999</v>
      </c>
      <c r="H249">
        <v>-4</v>
      </c>
      <c r="I249">
        <v>24</v>
      </c>
      <c r="J249">
        <v>1.1299999999999999</v>
      </c>
      <c r="K249">
        <v>22.554779499999999</v>
      </c>
      <c r="L249">
        <v>-1.8010340882690501</v>
      </c>
      <c r="M249">
        <v>-0.22051599998751539</v>
      </c>
      <c r="N249">
        <v>-0.50653673775822194</v>
      </c>
      <c r="O249">
        <v>3.8915295695537457E-2</v>
      </c>
    </row>
    <row r="250" spans="1:15" x14ac:dyDescent="0.25">
      <c r="A250">
        <v>-103.91656475000001</v>
      </c>
      <c r="B250">
        <v>52.30790425</v>
      </c>
      <c r="C250">
        <v>306.01856225</v>
      </c>
      <c r="D250">
        <v>98.959535500000001</v>
      </c>
      <c r="E250">
        <v>163.30736150000001</v>
      </c>
      <c r="F250">
        <v>6.1882732499999999</v>
      </c>
      <c r="G250">
        <v>310.76721924999998</v>
      </c>
      <c r="H250">
        <v>-4</v>
      </c>
      <c r="I250">
        <v>28</v>
      </c>
      <c r="J250">
        <v>1.1299999999999999</v>
      </c>
      <c r="K250">
        <v>23.218037500000001</v>
      </c>
      <c r="L250">
        <v>-2.1677073443271122</v>
      </c>
      <c r="M250">
        <v>-0.24668733095501011</v>
      </c>
      <c r="N250">
        <v>-0.77980694928340777</v>
      </c>
      <c r="O250">
        <v>-0.16915795476475751</v>
      </c>
    </row>
    <row r="251" spans="1:15" x14ac:dyDescent="0.25">
      <c r="A251">
        <v>-161.12247825</v>
      </c>
      <c r="B251">
        <v>20.099224</v>
      </c>
      <c r="C251">
        <v>325.21247875</v>
      </c>
      <c r="D251">
        <v>68.689035500000003</v>
      </c>
      <c r="E251">
        <v>111.6730975</v>
      </c>
      <c r="F251">
        <v>6.5780849999999997</v>
      </c>
      <c r="G251">
        <v>327.61194599999999</v>
      </c>
      <c r="H251">
        <v>-4</v>
      </c>
      <c r="I251">
        <v>32</v>
      </c>
      <c r="J251">
        <v>1.1299999999999999</v>
      </c>
      <c r="K251">
        <v>23.836957999999999</v>
      </c>
      <c r="L251">
        <v>-2.669614784490189</v>
      </c>
      <c r="M251">
        <v>-0.26656780137246477</v>
      </c>
      <c r="N251">
        <v>-1.185446919335823</v>
      </c>
      <c r="O251">
        <v>-0.42306140233615308</v>
      </c>
    </row>
    <row r="252" spans="1:15" x14ac:dyDescent="0.25">
      <c r="A252">
        <v>-219.27431475</v>
      </c>
      <c r="B252">
        <v>-19.092489</v>
      </c>
      <c r="C252">
        <v>341.01921075000001</v>
      </c>
      <c r="D252">
        <v>32.417001749999997</v>
      </c>
      <c r="E252">
        <v>45.822641500000003</v>
      </c>
      <c r="F252">
        <v>6.8217179999999997</v>
      </c>
      <c r="G252">
        <v>343.53641499999998</v>
      </c>
      <c r="H252">
        <v>-4</v>
      </c>
      <c r="I252">
        <v>36</v>
      </c>
      <c r="J252">
        <v>1.1299999999999999</v>
      </c>
      <c r="K252">
        <v>24.412182749999999</v>
      </c>
      <c r="L252">
        <v>-3.3956855412542271</v>
      </c>
      <c r="M252">
        <v>-0.31206740992878768</v>
      </c>
      <c r="N252">
        <v>-1.804324289527286</v>
      </c>
      <c r="O252">
        <v>-0.76360847991808245</v>
      </c>
    </row>
    <row r="253" spans="1:15" x14ac:dyDescent="0.25">
      <c r="A253">
        <v>-260.35445399999998</v>
      </c>
      <c r="B253">
        <v>-60.010389500000002</v>
      </c>
      <c r="C253">
        <v>328.28350799999998</v>
      </c>
      <c r="D253">
        <v>-10.839275499999999</v>
      </c>
      <c r="E253">
        <v>-31.792148999999998</v>
      </c>
      <c r="F253">
        <v>6.7242649999999999</v>
      </c>
      <c r="G253">
        <v>331.0929185</v>
      </c>
      <c r="H253">
        <v>-4</v>
      </c>
      <c r="I253">
        <v>40</v>
      </c>
      <c r="J253">
        <v>1.1299999999999999</v>
      </c>
      <c r="K253">
        <v>23.960433250000001</v>
      </c>
      <c r="L253">
        <v>-4.5864190752732394</v>
      </c>
      <c r="M253">
        <v>-0.3829877770787139</v>
      </c>
      <c r="N253">
        <v>-2.827964286782739</v>
      </c>
      <c r="O253">
        <v>-1.30046868281675</v>
      </c>
    </row>
    <row r="254" spans="1:15" x14ac:dyDescent="0.25">
      <c r="A254">
        <v>-282.65124500000002</v>
      </c>
      <c r="B254">
        <v>-96.460988999999998</v>
      </c>
      <c r="C254">
        <v>302.27012674999997</v>
      </c>
      <c r="D254">
        <v>-48.907859999999999</v>
      </c>
      <c r="E254">
        <v>-102.51073074999999</v>
      </c>
      <c r="F254">
        <v>6.1882727500000003</v>
      </c>
      <c r="G254">
        <v>309.28681175000003</v>
      </c>
      <c r="H254">
        <v>-4</v>
      </c>
      <c r="I254">
        <v>44</v>
      </c>
      <c r="J254">
        <v>1.1299999999999999</v>
      </c>
      <c r="K254">
        <v>23.1615395</v>
      </c>
      <c r="L254">
        <v>-6.7209353801870932</v>
      </c>
      <c r="M254">
        <v>-0.54657523812049102</v>
      </c>
      <c r="N254">
        <v>-4.7319053741464696</v>
      </c>
      <c r="O254">
        <v>-2.249314706617429</v>
      </c>
    </row>
    <row r="255" spans="1:15" x14ac:dyDescent="0.25">
      <c r="A255">
        <v>280.14610299999998</v>
      </c>
      <c r="B255">
        <v>-51.619478999999998</v>
      </c>
      <c r="C255">
        <v>-260.69532025000001</v>
      </c>
      <c r="D255">
        <v>-42.264433750000002</v>
      </c>
      <c r="E255">
        <v>1.2964687500000001</v>
      </c>
      <c r="F255">
        <v>5.4573749999999999</v>
      </c>
      <c r="G255">
        <v>283.23949449999998</v>
      </c>
      <c r="H255">
        <v>0</v>
      </c>
      <c r="I255">
        <v>-44</v>
      </c>
      <c r="J255">
        <v>1.1299999999999999</v>
      </c>
      <c r="K255">
        <v>22.173155999999999</v>
      </c>
      <c r="L255">
        <v>3.4349731128202339</v>
      </c>
      <c r="M255">
        <v>-5.9328515436381402E-2</v>
      </c>
      <c r="N255">
        <v>-1.7906923380440409</v>
      </c>
      <c r="O255">
        <v>-1.026418993576147</v>
      </c>
    </row>
    <row r="256" spans="1:15" x14ac:dyDescent="0.25">
      <c r="A256">
        <v>265.47994999999997</v>
      </c>
      <c r="B256">
        <v>-13.19083725</v>
      </c>
      <c r="C256">
        <v>-207.42869200000001</v>
      </c>
      <c r="D256">
        <v>-4.0210204999999997</v>
      </c>
      <c r="E256">
        <v>53.243669500000003</v>
      </c>
      <c r="F256">
        <v>5.1162887499999998</v>
      </c>
      <c r="G256">
        <v>266.27473424999999</v>
      </c>
      <c r="H256">
        <v>0</v>
      </c>
      <c r="I256">
        <v>-40</v>
      </c>
      <c r="J256">
        <v>1.1299999999999999</v>
      </c>
      <c r="K256">
        <v>21.499450499999998</v>
      </c>
      <c r="L256">
        <v>2.8915645993057351</v>
      </c>
      <c r="M256">
        <v>-5.6022220499839528E-2</v>
      </c>
      <c r="N256">
        <v>-1.302582425195522</v>
      </c>
      <c r="O256">
        <v>-0.70576447383656438</v>
      </c>
    </row>
    <row r="257" spans="1:15" x14ac:dyDescent="0.25">
      <c r="A257">
        <v>266.74349224999997</v>
      </c>
      <c r="B257">
        <v>19.472519999999999</v>
      </c>
      <c r="C257">
        <v>-165.70841575</v>
      </c>
      <c r="D257">
        <v>27.510639749999999</v>
      </c>
      <c r="E257">
        <v>100.80978374999999</v>
      </c>
      <c r="F257">
        <v>5.4086482499999997</v>
      </c>
      <c r="G257">
        <v>267.63510124999999</v>
      </c>
      <c r="H257">
        <v>0</v>
      </c>
      <c r="I257">
        <v>-36</v>
      </c>
      <c r="J257">
        <v>1.1299999999999999</v>
      </c>
      <c r="K257">
        <v>21.543359250000002</v>
      </c>
      <c r="L257">
        <v>2.4864495865256959</v>
      </c>
      <c r="M257">
        <v>-4.6172258952648468E-2</v>
      </c>
      <c r="N257">
        <v>-0.95920227119353019</v>
      </c>
      <c r="O257">
        <v>-0.45149899640760038</v>
      </c>
    </row>
    <row r="258" spans="1:15" x14ac:dyDescent="0.25">
      <c r="A258">
        <v>283.6659775</v>
      </c>
      <c r="B258">
        <v>54.142357750000002</v>
      </c>
      <c r="C258">
        <v>-129.67111575000001</v>
      </c>
      <c r="D258">
        <v>57.343070750000003</v>
      </c>
      <c r="E258">
        <v>152.48875425</v>
      </c>
      <c r="F258">
        <v>5.8959137500000001</v>
      </c>
      <c r="G258">
        <v>285.7602005</v>
      </c>
      <c r="H258">
        <v>0</v>
      </c>
      <c r="I258">
        <v>-32</v>
      </c>
      <c r="J258">
        <v>1.1299999999999999</v>
      </c>
      <c r="K258">
        <v>22.256075500000001</v>
      </c>
      <c r="L258">
        <v>2.1726627917803238</v>
      </c>
      <c r="M258">
        <v>-1.6762278463718722E-2</v>
      </c>
      <c r="N258">
        <v>-0.70056193050024518</v>
      </c>
      <c r="O258">
        <v>-0.22949296440211561</v>
      </c>
    </row>
    <row r="259" spans="1:15" x14ac:dyDescent="0.25">
      <c r="A259">
        <v>296.84294875000001</v>
      </c>
      <c r="B259">
        <v>87.656825999999995</v>
      </c>
      <c r="C259">
        <v>-88.582284999999999</v>
      </c>
      <c r="D259">
        <v>89.453458999999995</v>
      </c>
      <c r="E259">
        <v>204.57007200000001</v>
      </c>
      <c r="F259">
        <v>6.0420932500000006</v>
      </c>
      <c r="G259">
        <v>304.20536800000002</v>
      </c>
      <c r="H259">
        <v>0</v>
      </c>
      <c r="I259">
        <v>-28</v>
      </c>
      <c r="J259">
        <v>1.1299999999999999</v>
      </c>
      <c r="K259">
        <v>22.97220325</v>
      </c>
      <c r="L259">
        <v>1.879824594794999</v>
      </c>
      <c r="M259">
        <v>-8.7412377976625096E-3</v>
      </c>
      <c r="N259">
        <v>-0.48595336729902422</v>
      </c>
      <c r="O259">
        <v>-3.1706413497341893E-2</v>
      </c>
    </row>
    <row r="260" spans="1:15" x14ac:dyDescent="0.25">
      <c r="A260">
        <v>305.19137575000002</v>
      </c>
      <c r="B260">
        <v>119.77686325000001</v>
      </c>
      <c r="C260">
        <v>-44.8774795</v>
      </c>
      <c r="D260">
        <v>119.5487385</v>
      </c>
      <c r="E260">
        <v>252.31500600000001</v>
      </c>
      <c r="F260">
        <v>6.3344525000000003</v>
      </c>
      <c r="G260">
        <v>320.97008525000001</v>
      </c>
      <c r="H260">
        <v>0</v>
      </c>
      <c r="I260">
        <v>-24</v>
      </c>
      <c r="J260">
        <v>1.1299999999999999</v>
      </c>
      <c r="K260">
        <v>23.598233499999999</v>
      </c>
      <c r="L260">
        <v>1.6272306481903771</v>
      </c>
      <c r="M260">
        <v>1.0682127243737229E-3</v>
      </c>
      <c r="N260">
        <v>-0.31913467726858119</v>
      </c>
      <c r="O260">
        <v>0.14339916641292591</v>
      </c>
    </row>
    <row r="261" spans="1:15" x14ac:dyDescent="0.25">
      <c r="A261">
        <v>308.03435524999998</v>
      </c>
      <c r="B261">
        <v>149.2314035</v>
      </c>
      <c r="C261">
        <v>-0.99226075000000002</v>
      </c>
      <c r="D261">
        <v>147.36605800000001</v>
      </c>
      <c r="E261">
        <v>292.01304625</v>
      </c>
      <c r="F261">
        <v>6.7729914999999998</v>
      </c>
      <c r="G261">
        <v>336.93455499999999</v>
      </c>
      <c r="H261">
        <v>0</v>
      </c>
      <c r="I261">
        <v>-20</v>
      </c>
      <c r="J261">
        <v>1.1299999999999999</v>
      </c>
      <c r="K261">
        <v>24.173461750000001</v>
      </c>
      <c r="L261">
        <v>1.412202884810227</v>
      </c>
      <c r="M261">
        <v>8.519568011240276E-3</v>
      </c>
      <c r="N261">
        <v>-0.2052839669869134</v>
      </c>
      <c r="O261">
        <v>0.30350465675621452</v>
      </c>
    </row>
    <row r="262" spans="1:15" x14ac:dyDescent="0.25">
      <c r="A262">
        <v>294.99275949999998</v>
      </c>
      <c r="B262">
        <v>170.66142300000001</v>
      </c>
      <c r="C262">
        <v>46.020224499999998</v>
      </c>
      <c r="D262">
        <v>167.96599950000001</v>
      </c>
      <c r="E262">
        <v>317.85252400000002</v>
      </c>
      <c r="F262">
        <v>6.9186825000000001</v>
      </c>
      <c r="G262">
        <v>341.53585049999998</v>
      </c>
      <c r="H262">
        <v>0</v>
      </c>
      <c r="I262">
        <v>-16</v>
      </c>
      <c r="J262">
        <v>1.1299999999999999</v>
      </c>
      <c r="K262">
        <v>24.336002000000001</v>
      </c>
      <c r="L262">
        <v>1.1807274695610941</v>
      </c>
      <c r="M262">
        <v>1.2765373827072631E-2</v>
      </c>
      <c r="N262">
        <v>-0.1123229291781913</v>
      </c>
      <c r="O262">
        <v>0.47463384208097659</v>
      </c>
    </row>
    <row r="263" spans="1:15" x14ac:dyDescent="0.25">
      <c r="A263">
        <v>256.13873649999999</v>
      </c>
      <c r="B263">
        <v>173.57050699999999</v>
      </c>
      <c r="C263">
        <v>87.524215499999997</v>
      </c>
      <c r="D263">
        <v>168.174286</v>
      </c>
      <c r="E263">
        <v>309.26916525000001</v>
      </c>
      <c r="F263">
        <v>6.3831787500000008</v>
      </c>
      <c r="G263">
        <v>318.20932025000002</v>
      </c>
      <c r="H263">
        <v>0</v>
      </c>
      <c r="I263">
        <v>-12</v>
      </c>
      <c r="J263">
        <v>1.1299999999999999</v>
      </c>
      <c r="K263">
        <v>23.492632</v>
      </c>
      <c r="L263">
        <v>0.92943243658815111</v>
      </c>
      <c r="M263">
        <v>2.9732303117427219E-2</v>
      </c>
      <c r="N263">
        <v>-4.9289342032787627E-2</v>
      </c>
      <c r="O263">
        <v>0.66954333932379417</v>
      </c>
    </row>
    <row r="264" spans="1:15" x14ac:dyDescent="0.25">
      <c r="A264">
        <v>220.17281324999999</v>
      </c>
      <c r="B264">
        <v>171.79142375000001</v>
      </c>
      <c r="C264">
        <v>122.3442175</v>
      </c>
      <c r="D264">
        <v>163.74979400000001</v>
      </c>
      <c r="E264">
        <v>296.1259005</v>
      </c>
      <c r="F264">
        <v>5.9442067500000002</v>
      </c>
      <c r="G264">
        <v>297.76356500000003</v>
      </c>
      <c r="H264">
        <v>0</v>
      </c>
      <c r="I264">
        <v>-8</v>
      </c>
      <c r="J264">
        <v>1.1299999999999999</v>
      </c>
      <c r="K264">
        <v>22.7264865</v>
      </c>
      <c r="L264">
        <v>0.63909156229484343</v>
      </c>
      <c r="M264">
        <v>5.2496437710083291E-2</v>
      </c>
      <c r="N264">
        <v>-1.070301635837019E-2</v>
      </c>
      <c r="O264">
        <v>0.89565211104841935</v>
      </c>
    </row>
    <row r="265" spans="1:15" x14ac:dyDescent="0.25">
      <c r="A265">
        <v>184.16175849999999</v>
      </c>
      <c r="B265">
        <v>166.10641874999999</v>
      </c>
      <c r="C265">
        <v>145.55754475000001</v>
      </c>
      <c r="D265">
        <v>156.39025075000001</v>
      </c>
      <c r="E265">
        <v>279.85327124999998</v>
      </c>
      <c r="F265">
        <v>5.5057235000000002</v>
      </c>
      <c r="G265">
        <v>279.31838974999999</v>
      </c>
      <c r="H265">
        <v>0</v>
      </c>
      <c r="I265">
        <v>-4</v>
      </c>
      <c r="J265">
        <v>1.1299999999999999</v>
      </c>
      <c r="K265">
        <v>22.014160749999999</v>
      </c>
      <c r="L265">
        <v>0.29956452525762428</v>
      </c>
      <c r="M265">
        <v>7.5372286496383362E-2</v>
      </c>
      <c r="N265">
        <v>4.1355774599065916E-3</v>
      </c>
      <c r="O265">
        <v>1.1287194662629529</v>
      </c>
    </row>
    <row r="266" spans="1:15" x14ac:dyDescent="0.25">
      <c r="A266">
        <v>152.75363525</v>
      </c>
      <c r="B266">
        <v>162.8485335</v>
      </c>
      <c r="C266">
        <v>165.97082875000001</v>
      </c>
      <c r="D266">
        <v>151.35247050000001</v>
      </c>
      <c r="E266">
        <v>269.92876424999997</v>
      </c>
      <c r="F266">
        <v>5.3108172499999986</v>
      </c>
      <c r="G266">
        <v>269.83573174999998</v>
      </c>
      <c r="H266">
        <v>0</v>
      </c>
      <c r="I266">
        <v>0</v>
      </c>
      <c r="J266">
        <v>1.1299999999999999</v>
      </c>
      <c r="K266">
        <v>21.637568999999999</v>
      </c>
      <c r="L266">
        <v>-0.1121021981065785</v>
      </c>
      <c r="M266">
        <v>9.7564790284284247E-2</v>
      </c>
      <c r="N266">
        <v>7.5897860275291767E-4</v>
      </c>
      <c r="O266">
        <v>1.244947865320353</v>
      </c>
    </row>
    <row r="267" spans="1:15" x14ac:dyDescent="0.25">
      <c r="A267">
        <v>134.25171675000001</v>
      </c>
      <c r="B267">
        <v>174.90449150000001</v>
      </c>
      <c r="C267">
        <v>201.96503475</v>
      </c>
      <c r="D267">
        <v>161.60326774999999</v>
      </c>
      <c r="E267">
        <v>288.48133875000002</v>
      </c>
      <c r="F267">
        <v>5.6518889999999997</v>
      </c>
      <c r="G267">
        <v>289.56125624999999</v>
      </c>
      <c r="H267">
        <v>0</v>
      </c>
      <c r="I267">
        <v>4</v>
      </c>
      <c r="J267">
        <v>1.1299999999999999</v>
      </c>
      <c r="K267">
        <v>22.41636175</v>
      </c>
      <c r="L267">
        <v>-0.48171820259494219</v>
      </c>
      <c r="M267">
        <v>9.4600795852602282E-2</v>
      </c>
      <c r="N267">
        <v>-7.7268267418124856E-3</v>
      </c>
      <c r="O267">
        <v>1.0123297763218311</v>
      </c>
    </row>
    <row r="268" spans="1:15" x14ac:dyDescent="0.25">
      <c r="A268">
        <v>107.13060775</v>
      </c>
      <c r="B268">
        <v>181.38236624999999</v>
      </c>
      <c r="C268">
        <v>236.8753585</v>
      </c>
      <c r="D268">
        <v>166.82686974999999</v>
      </c>
      <c r="E268">
        <v>303.72575399999999</v>
      </c>
      <c r="F268">
        <v>6.0908197500000014</v>
      </c>
      <c r="G268">
        <v>307.44628125000003</v>
      </c>
      <c r="H268">
        <v>0</v>
      </c>
      <c r="I268">
        <v>8</v>
      </c>
      <c r="J268">
        <v>1.1299999999999999</v>
      </c>
      <c r="K268">
        <v>23.094841500000001</v>
      </c>
      <c r="L268">
        <v>-0.7780882026367778</v>
      </c>
      <c r="M268">
        <v>8.7284727355379302E-2</v>
      </c>
      <c r="N268">
        <v>-2.2330225278185439E-2</v>
      </c>
      <c r="O268">
        <v>0.78496778925708965</v>
      </c>
    </row>
    <row r="269" spans="1:15" x14ac:dyDescent="0.25">
      <c r="A269">
        <v>71.661075249999996</v>
      </c>
      <c r="B269">
        <v>179.67679974999999</v>
      </c>
      <c r="C269">
        <v>270.92760475</v>
      </c>
      <c r="D269">
        <v>167.33004775000001</v>
      </c>
      <c r="E269">
        <v>308.41976175000002</v>
      </c>
      <c r="F269">
        <v>6.4806317500000006</v>
      </c>
      <c r="G269">
        <v>324.09094225000001</v>
      </c>
      <c r="H269">
        <v>0</v>
      </c>
      <c r="I269">
        <v>12</v>
      </c>
      <c r="J269">
        <v>1.1299999999999999</v>
      </c>
      <c r="K269">
        <v>23.709527749999999</v>
      </c>
      <c r="L269">
        <v>-1.054747436908402</v>
      </c>
      <c r="M269">
        <v>6.5350496895617616E-2</v>
      </c>
      <c r="N269">
        <v>-8.2966375328032582E-2</v>
      </c>
      <c r="O269">
        <v>0.59822970478713045</v>
      </c>
    </row>
    <row r="270" spans="1:15" x14ac:dyDescent="0.25">
      <c r="A270">
        <v>31.498376749999998</v>
      </c>
      <c r="B270">
        <v>172.260311</v>
      </c>
      <c r="C270">
        <v>302.67657450000002</v>
      </c>
      <c r="D270">
        <v>159.11654275000001</v>
      </c>
      <c r="E270">
        <v>303.50222050000002</v>
      </c>
      <c r="F270">
        <v>6.7725027500000001</v>
      </c>
      <c r="G270">
        <v>340.175476</v>
      </c>
      <c r="H270">
        <v>0</v>
      </c>
      <c r="I270">
        <v>16</v>
      </c>
      <c r="J270">
        <v>1.1299999999999999</v>
      </c>
      <c r="K270">
        <v>24.291831500000001</v>
      </c>
      <c r="L270">
        <v>-1.302521048081555</v>
      </c>
      <c r="M270">
        <v>6.3131742260897794E-2</v>
      </c>
      <c r="N270">
        <v>-0.17615291456414489</v>
      </c>
      <c r="O270">
        <v>0.42525566035364998</v>
      </c>
    </row>
    <row r="271" spans="1:15" x14ac:dyDescent="0.25">
      <c r="A271">
        <v>-16.75637725</v>
      </c>
      <c r="B271">
        <v>149.79789374999999</v>
      </c>
      <c r="C271">
        <v>313.96709449999997</v>
      </c>
      <c r="D271">
        <v>134.79349500000001</v>
      </c>
      <c r="E271">
        <v>269.92877199999998</v>
      </c>
      <c r="F271">
        <v>6.5293585000000007</v>
      </c>
      <c r="G271">
        <v>336.33438875000002</v>
      </c>
      <c r="H271">
        <v>0</v>
      </c>
      <c r="I271">
        <v>20</v>
      </c>
      <c r="J271">
        <v>1.1299999999999999</v>
      </c>
      <c r="K271">
        <v>24.160388000000001</v>
      </c>
      <c r="L271">
        <v>-1.568073594314553</v>
      </c>
      <c r="M271">
        <v>7.1154989346144212E-2</v>
      </c>
      <c r="N271">
        <v>-0.31485537432587518</v>
      </c>
      <c r="O271">
        <v>0.2488666881972178</v>
      </c>
    </row>
    <row r="272" spans="1:15" x14ac:dyDescent="0.25">
      <c r="A272">
        <v>-58.332011999999999</v>
      </c>
      <c r="B272">
        <v>118.9345325</v>
      </c>
      <c r="C272">
        <v>303.39917000000003</v>
      </c>
      <c r="D272">
        <v>98.039594500000007</v>
      </c>
      <c r="E272">
        <v>215.38867200000001</v>
      </c>
      <c r="F272">
        <v>6.3344525000000003</v>
      </c>
      <c r="G272">
        <v>313.96812425000002</v>
      </c>
      <c r="H272">
        <v>0</v>
      </c>
      <c r="I272">
        <v>24</v>
      </c>
      <c r="J272">
        <v>1.1299999999999999</v>
      </c>
      <c r="K272">
        <v>23.33416725</v>
      </c>
      <c r="L272">
        <v>-1.8499553541057261</v>
      </c>
      <c r="M272">
        <v>0.1068948056687614</v>
      </c>
      <c r="N272">
        <v>-0.50420829275421075</v>
      </c>
      <c r="O272">
        <v>6.9167913684806862E-2</v>
      </c>
    </row>
    <row r="273" spans="1:15" x14ac:dyDescent="0.25">
      <c r="A273">
        <v>-95.988819000000007</v>
      </c>
      <c r="B273">
        <v>87.698779999999999</v>
      </c>
      <c r="C273">
        <v>289.12793725</v>
      </c>
      <c r="D273">
        <v>60.365741</v>
      </c>
      <c r="E273">
        <v>155.70751175000001</v>
      </c>
      <c r="F273">
        <v>6.0416740000000004</v>
      </c>
      <c r="G273">
        <v>294.12255075000002</v>
      </c>
      <c r="H273">
        <v>0</v>
      </c>
      <c r="I273">
        <v>28</v>
      </c>
      <c r="J273">
        <v>1.1299999999999999</v>
      </c>
      <c r="K273">
        <v>22.580447750000001</v>
      </c>
      <c r="L273">
        <v>-2.2194433961079638</v>
      </c>
      <c r="M273">
        <v>0.15752646349667629</v>
      </c>
      <c r="N273">
        <v>-0.79769716678828984</v>
      </c>
      <c r="O273">
        <v>-0.13745903271979579</v>
      </c>
    </row>
    <row r="274" spans="1:15" x14ac:dyDescent="0.25">
      <c r="A274">
        <v>-132.60960750000001</v>
      </c>
      <c r="B274">
        <v>55.961751</v>
      </c>
      <c r="C274">
        <v>273.36634824999999</v>
      </c>
      <c r="D274">
        <v>23.874674750000001</v>
      </c>
      <c r="E274">
        <v>95.713413250000002</v>
      </c>
      <c r="F274">
        <v>5.5057235000000002</v>
      </c>
      <c r="G274">
        <v>275.99746699999997</v>
      </c>
      <c r="H274">
        <v>0</v>
      </c>
      <c r="I274">
        <v>32</v>
      </c>
      <c r="J274">
        <v>1.1299999999999999</v>
      </c>
      <c r="K274">
        <v>21.88025975</v>
      </c>
      <c r="L274">
        <v>-2.705045945243413</v>
      </c>
      <c r="M274">
        <v>0.21378908945686881</v>
      </c>
      <c r="N274">
        <v>-1.2012514992134911</v>
      </c>
      <c r="O274">
        <v>-0.39893081894761601</v>
      </c>
    </row>
    <row r="275" spans="1:15" x14ac:dyDescent="0.25">
      <c r="A275">
        <v>-171.34746949999999</v>
      </c>
      <c r="B275">
        <v>25.678520750000001</v>
      </c>
      <c r="C275">
        <v>271.10824574999998</v>
      </c>
      <c r="D275">
        <v>-10.53332825</v>
      </c>
      <c r="E275">
        <v>37.149872999999999</v>
      </c>
      <c r="F275">
        <v>5.3591654999999996</v>
      </c>
      <c r="G275">
        <v>273.23668674999999</v>
      </c>
      <c r="H275">
        <v>0</v>
      </c>
      <c r="I275">
        <v>36</v>
      </c>
      <c r="J275">
        <v>1.1299999999999999</v>
      </c>
      <c r="K275">
        <v>21.774250250000001</v>
      </c>
      <c r="L275">
        <v>-3.4542836911177792</v>
      </c>
      <c r="M275">
        <v>0.28274278250132712</v>
      </c>
      <c r="N275">
        <v>-1.8431541244981591</v>
      </c>
      <c r="O275">
        <v>-0.75182264927762132</v>
      </c>
    </row>
    <row r="276" spans="1:15" x14ac:dyDescent="0.25">
      <c r="A276">
        <v>-226.52640550000001</v>
      </c>
      <c r="B276">
        <v>-6.9556362500000004</v>
      </c>
      <c r="C276">
        <v>289.62472550000001</v>
      </c>
      <c r="D276">
        <v>-52.011041749999997</v>
      </c>
      <c r="E276">
        <v>-27.021097000000001</v>
      </c>
      <c r="F276">
        <v>5.6518890000000006</v>
      </c>
      <c r="G276">
        <v>292.60211175000001</v>
      </c>
      <c r="H276">
        <v>0</v>
      </c>
      <c r="I276">
        <v>40</v>
      </c>
      <c r="J276">
        <v>1.1299999999999999</v>
      </c>
      <c r="K276">
        <v>22.53609075</v>
      </c>
      <c r="L276">
        <v>-4.5984127028810411</v>
      </c>
      <c r="M276">
        <v>0.40137236911067442</v>
      </c>
      <c r="N276">
        <v>-2.847555464858595</v>
      </c>
      <c r="O276">
        <v>-1.291112662755733</v>
      </c>
    </row>
    <row r="277" spans="1:15" x14ac:dyDescent="0.25">
      <c r="A277">
        <v>-279.18286124999997</v>
      </c>
      <c r="B277">
        <v>-46.003078500000001</v>
      </c>
      <c r="C277">
        <v>302.49593349999998</v>
      </c>
      <c r="D277">
        <v>-99.476581499999995</v>
      </c>
      <c r="E277">
        <v>-103.001211</v>
      </c>
      <c r="F277">
        <v>6.3822712500000014</v>
      </c>
      <c r="G277">
        <v>310.12703675</v>
      </c>
      <c r="H277">
        <v>0</v>
      </c>
      <c r="I277">
        <v>44</v>
      </c>
      <c r="J277">
        <v>1.1299999999999999</v>
      </c>
      <c r="K277">
        <v>23.186217750000001</v>
      </c>
      <c r="L277">
        <v>-6.74216390970963</v>
      </c>
      <c r="M277">
        <v>0.61905730302029993</v>
      </c>
      <c r="N277">
        <v>-4.7890113204783926</v>
      </c>
      <c r="O277">
        <v>-2.2683010191551651</v>
      </c>
    </row>
    <row r="278" spans="1:15" x14ac:dyDescent="0.25">
      <c r="A278">
        <v>329.01822675</v>
      </c>
      <c r="B278">
        <v>-12.761808500000001</v>
      </c>
      <c r="C278">
        <v>-307.91816699999998</v>
      </c>
      <c r="D278">
        <v>-101.050026</v>
      </c>
      <c r="E278">
        <v>-1.6943932500000001</v>
      </c>
      <c r="F278">
        <v>6.6755382499999998</v>
      </c>
      <c r="G278">
        <v>332.85341649999998</v>
      </c>
      <c r="H278">
        <v>4</v>
      </c>
      <c r="I278">
        <v>-44</v>
      </c>
      <c r="J278">
        <v>1.1299999999999999</v>
      </c>
      <c r="K278">
        <v>24.027182750000001</v>
      </c>
      <c r="L278">
        <v>3.1408707484553449</v>
      </c>
      <c r="M278">
        <v>0.43537402694240063</v>
      </c>
      <c r="N278">
        <v>-1.6497377146903101</v>
      </c>
      <c r="O278">
        <v>-1.041278927811591</v>
      </c>
    </row>
    <row r="279" spans="1:15" x14ac:dyDescent="0.25">
      <c r="A279">
        <v>346.03099049999997</v>
      </c>
      <c r="B279">
        <v>27.165412499999999</v>
      </c>
      <c r="C279">
        <v>-276.21074675</v>
      </c>
      <c r="D279">
        <v>-60.927220499999997</v>
      </c>
      <c r="E279">
        <v>62.139963000000002</v>
      </c>
      <c r="F279">
        <v>7.0151585000000001</v>
      </c>
      <c r="G279">
        <v>348.09768700000001</v>
      </c>
      <c r="H279">
        <v>4</v>
      </c>
      <c r="I279">
        <v>-40</v>
      </c>
      <c r="J279">
        <v>1.1299999999999999</v>
      </c>
      <c r="K279">
        <v>24.570016750000001</v>
      </c>
      <c r="L279">
        <v>2.697093337381252</v>
      </c>
      <c r="M279">
        <v>0.38183450448047379</v>
      </c>
      <c r="N279">
        <v>-1.2394786561806139</v>
      </c>
      <c r="O279">
        <v>-0.76106708586999661</v>
      </c>
    </row>
    <row r="280" spans="1:15" x14ac:dyDescent="0.25">
      <c r="A280">
        <v>323.15178674999999</v>
      </c>
      <c r="B280">
        <v>64.475814</v>
      </c>
      <c r="C280">
        <v>-204.49699025000001</v>
      </c>
      <c r="D280">
        <v>-15.603311</v>
      </c>
      <c r="E280">
        <v>115.6965465</v>
      </c>
      <c r="F280">
        <v>6.7233014999999998</v>
      </c>
      <c r="G280">
        <v>324.01093300000002</v>
      </c>
      <c r="H280">
        <v>4</v>
      </c>
      <c r="I280">
        <v>-36</v>
      </c>
      <c r="J280">
        <v>1.1299999999999999</v>
      </c>
      <c r="K280">
        <v>23.697470750000001</v>
      </c>
      <c r="L280">
        <v>2.3373472993918152</v>
      </c>
      <c r="M280">
        <v>0.35473468356275228</v>
      </c>
      <c r="N280">
        <v>-0.92278697944154253</v>
      </c>
      <c r="O280">
        <v>-0.51728120073886863</v>
      </c>
    </row>
    <row r="281" spans="1:15" x14ac:dyDescent="0.25">
      <c r="A281">
        <v>300.04695125000001</v>
      </c>
      <c r="B281">
        <v>94.032316250000008</v>
      </c>
      <c r="C281">
        <v>-136.43656924999999</v>
      </c>
      <c r="D281">
        <v>23.17376625</v>
      </c>
      <c r="E281">
        <v>159.55214325</v>
      </c>
      <c r="F281">
        <v>5.8959137500000001</v>
      </c>
      <c r="G281">
        <v>303.08506025000003</v>
      </c>
      <c r="H281">
        <v>4</v>
      </c>
      <c r="I281">
        <v>-32</v>
      </c>
      <c r="J281">
        <v>1.1299999999999999</v>
      </c>
      <c r="K281">
        <v>22.934635750000002</v>
      </c>
      <c r="L281">
        <v>2.019083316045108</v>
      </c>
      <c r="M281">
        <v>0.32773906018024701</v>
      </c>
      <c r="N281">
        <v>-0.66395781648896146</v>
      </c>
      <c r="O281">
        <v>-0.28924319279988908</v>
      </c>
    </row>
    <row r="282" spans="1:15" x14ac:dyDescent="0.25">
      <c r="A282">
        <v>278.20565800000003</v>
      </c>
      <c r="B282">
        <v>113.4139575</v>
      </c>
      <c r="C282">
        <v>-81.275600499999996</v>
      </c>
      <c r="D282">
        <v>50.596822500000002</v>
      </c>
      <c r="E282">
        <v>186.73278049999999</v>
      </c>
      <c r="F282">
        <v>5.84595675</v>
      </c>
      <c r="G282">
        <v>284.27977750000002</v>
      </c>
      <c r="H282">
        <v>4</v>
      </c>
      <c r="I282">
        <v>-28</v>
      </c>
      <c r="J282">
        <v>1.1299999999999999</v>
      </c>
      <c r="K282">
        <v>22.199149999999999</v>
      </c>
      <c r="L282">
        <v>1.7789672085796959</v>
      </c>
      <c r="M282">
        <v>0.31084818373059159</v>
      </c>
      <c r="N282">
        <v>-0.48273100452449558</v>
      </c>
      <c r="O282">
        <v>-0.1048372482249974</v>
      </c>
    </row>
    <row r="283" spans="1:15" x14ac:dyDescent="0.25">
      <c r="A283">
        <v>254.51417549999999</v>
      </c>
      <c r="B283">
        <v>125.57739625000001</v>
      </c>
      <c r="C283">
        <v>-37.164868499999997</v>
      </c>
      <c r="D283">
        <v>71.667894249999989</v>
      </c>
      <c r="E283">
        <v>205.55357724999999</v>
      </c>
      <c r="F283">
        <v>5.35880125</v>
      </c>
      <c r="G283">
        <v>267.15497625</v>
      </c>
      <c r="H283">
        <v>4</v>
      </c>
      <c r="I283">
        <v>-24</v>
      </c>
      <c r="J283">
        <v>1.1299999999999999</v>
      </c>
      <c r="K283">
        <v>21.52569025</v>
      </c>
      <c r="L283">
        <v>1.5489992258518339</v>
      </c>
      <c r="M283">
        <v>0.28628991310770258</v>
      </c>
      <c r="N283">
        <v>-0.32714415558019833</v>
      </c>
      <c r="O283">
        <v>6.3155138324905283E-2</v>
      </c>
    </row>
    <row r="284" spans="1:15" x14ac:dyDescent="0.25">
      <c r="A284">
        <v>260.60626224999999</v>
      </c>
      <c r="B284">
        <v>151.81699374999999</v>
      </c>
      <c r="C284">
        <v>1.3548847500000001</v>
      </c>
      <c r="D284">
        <v>98.571539000000001</v>
      </c>
      <c r="E284">
        <v>243.77634825000001</v>
      </c>
      <c r="F284">
        <v>5.6031490000000002</v>
      </c>
      <c r="G284">
        <v>284.19975275000002</v>
      </c>
      <c r="H284">
        <v>4</v>
      </c>
      <c r="I284">
        <v>-20</v>
      </c>
      <c r="J284">
        <v>1.1299999999999999</v>
      </c>
      <c r="K284">
        <v>22.20563825</v>
      </c>
      <c r="L284">
        <v>1.3376367178602879</v>
      </c>
      <c r="M284">
        <v>0.2747192507270067</v>
      </c>
      <c r="N284">
        <v>-0.20856897774949329</v>
      </c>
      <c r="O284">
        <v>0.2288896520516549</v>
      </c>
    </row>
    <row r="285" spans="1:15" x14ac:dyDescent="0.25">
      <c r="A285">
        <v>261.68930825000001</v>
      </c>
      <c r="B285">
        <v>178.49794399999999</v>
      </c>
      <c r="C285">
        <v>46.336358250000004</v>
      </c>
      <c r="D285">
        <v>121.4402655</v>
      </c>
      <c r="E285">
        <v>278.7356565</v>
      </c>
      <c r="F285">
        <v>5.8954942499999996</v>
      </c>
      <c r="G285">
        <v>302.32483674999997</v>
      </c>
      <c r="H285">
        <v>4</v>
      </c>
      <c r="I285">
        <v>-16</v>
      </c>
      <c r="J285">
        <v>1.1299999999999999</v>
      </c>
      <c r="K285">
        <v>22.905297749999999</v>
      </c>
      <c r="L285">
        <v>1.1052497055737041</v>
      </c>
      <c r="M285">
        <v>0.29284807929748818</v>
      </c>
      <c r="N285">
        <v>-0.121074218782021</v>
      </c>
      <c r="O285">
        <v>0.40027172116895682</v>
      </c>
    </row>
    <row r="286" spans="1:15" x14ac:dyDescent="0.25">
      <c r="A286">
        <v>257.85354599999999</v>
      </c>
      <c r="B286">
        <v>201.79371624999999</v>
      </c>
      <c r="C286">
        <v>93.756590000000003</v>
      </c>
      <c r="D286">
        <v>141.4263345</v>
      </c>
      <c r="E286">
        <v>308.33036075000001</v>
      </c>
      <c r="F286">
        <v>6.6258897499999998</v>
      </c>
      <c r="G286">
        <v>319.24959575000003</v>
      </c>
      <c r="H286">
        <v>4</v>
      </c>
      <c r="I286">
        <v>-12</v>
      </c>
      <c r="J286">
        <v>1.1299999999999999</v>
      </c>
      <c r="K286">
        <v>23.522664500000001</v>
      </c>
      <c r="L286">
        <v>0.86034821469998501</v>
      </c>
      <c r="M286">
        <v>0.31648642919106018</v>
      </c>
      <c r="N286">
        <v>-5.7266853480830757E-2</v>
      </c>
      <c r="O286">
        <v>0.58177273928497186</v>
      </c>
    </row>
    <row r="287" spans="1:15" x14ac:dyDescent="0.25">
      <c r="A287">
        <v>245.98524075</v>
      </c>
      <c r="B287">
        <v>221.90855425000001</v>
      </c>
      <c r="C287">
        <v>140.770363</v>
      </c>
      <c r="D287">
        <v>153.76184075</v>
      </c>
      <c r="E287">
        <v>330.86168700000002</v>
      </c>
      <c r="F287">
        <v>6.8207547499999999</v>
      </c>
      <c r="G287">
        <v>335.73422249999999</v>
      </c>
      <c r="H287">
        <v>4</v>
      </c>
      <c r="I287">
        <v>-8</v>
      </c>
      <c r="J287">
        <v>1.1299999999999999</v>
      </c>
      <c r="K287">
        <v>24.12772</v>
      </c>
      <c r="L287">
        <v>0.57311120146619365</v>
      </c>
      <c r="M287">
        <v>0.37117568215430691</v>
      </c>
      <c r="N287">
        <v>-2.6545094906775129E-2</v>
      </c>
      <c r="O287">
        <v>0.76496975455584149</v>
      </c>
    </row>
    <row r="288" spans="1:15" x14ac:dyDescent="0.25">
      <c r="A288">
        <v>223.78294</v>
      </c>
      <c r="B288">
        <v>233.10974899999999</v>
      </c>
      <c r="C288">
        <v>179.60978675000001</v>
      </c>
      <c r="D288">
        <v>159.41292575</v>
      </c>
      <c r="E288">
        <v>343.93785100000002</v>
      </c>
      <c r="F288">
        <v>7.1130589999999998</v>
      </c>
      <c r="G288">
        <v>344.17658999999998</v>
      </c>
      <c r="H288">
        <v>4</v>
      </c>
      <c r="I288">
        <v>-4</v>
      </c>
      <c r="J288">
        <v>1.1299999999999999</v>
      </c>
      <c r="K288">
        <v>24.424795499999998</v>
      </c>
      <c r="L288">
        <v>0.25322456822773032</v>
      </c>
      <c r="M288">
        <v>0.42249593738239077</v>
      </c>
      <c r="N288">
        <v>-1.372385802210849E-3</v>
      </c>
      <c r="O288">
        <v>0.93107720704056962</v>
      </c>
    </row>
    <row r="289" spans="1:15" x14ac:dyDescent="0.25">
      <c r="A289">
        <v>178.61118725</v>
      </c>
      <c r="B289">
        <v>219.64909374999999</v>
      </c>
      <c r="C289">
        <v>194.87458774999999</v>
      </c>
      <c r="D289">
        <v>149.27812574999999</v>
      </c>
      <c r="E289">
        <v>319.77484149999998</v>
      </c>
      <c r="F289">
        <v>6.6263372499999997</v>
      </c>
      <c r="G289">
        <v>320.24987025000001</v>
      </c>
      <c r="H289">
        <v>4</v>
      </c>
      <c r="I289">
        <v>0</v>
      </c>
      <c r="J289">
        <v>1.1299999999999999</v>
      </c>
      <c r="K289">
        <v>23.560241250000001</v>
      </c>
      <c r="L289">
        <v>-0.1043097157387305</v>
      </c>
      <c r="M289">
        <v>0.45163223394225133</v>
      </c>
      <c r="N289">
        <v>-3.0574500821123579E-3</v>
      </c>
      <c r="O289">
        <v>1.009580604035337</v>
      </c>
    </row>
    <row r="290" spans="1:15" x14ac:dyDescent="0.25">
      <c r="A290">
        <v>136.77880099999999</v>
      </c>
      <c r="B290">
        <v>205.11128625000001</v>
      </c>
      <c r="C290">
        <v>206.97803525</v>
      </c>
      <c r="D290">
        <v>140.40969874999999</v>
      </c>
      <c r="E290">
        <v>298.36115274999997</v>
      </c>
      <c r="F290">
        <v>5.7980549999999997</v>
      </c>
      <c r="G290">
        <v>299.68410525000002</v>
      </c>
      <c r="H290">
        <v>4</v>
      </c>
      <c r="I290">
        <v>4</v>
      </c>
      <c r="J290">
        <v>1.1299999999999999</v>
      </c>
      <c r="K290">
        <v>22.806830000000001</v>
      </c>
      <c r="L290">
        <v>-0.43935588526926911</v>
      </c>
      <c r="M290">
        <v>0.40497626071479648</v>
      </c>
      <c r="N290">
        <v>-8.3170554165768809E-3</v>
      </c>
      <c r="O290">
        <v>0.83125249520402766</v>
      </c>
    </row>
    <row r="291" spans="1:15" x14ac:dyDescent="0.25">
      <c r="A291">
        <v>98.015027750000002</v>
      </c>
      <c r="B291">
        <v>187.61004625000001</v>
      </c>
      <c r="C291">
        <v>214.65559775</v>
      </c>
      <c r="D291">
        <v>129.05480925000001</v>
      </c>
      <c r="E291">
        <v>275.65100849999999</v>
      </c>
      <c r="F291">
        <v>5.7001962499999994</v>
      </c>
      <c r="G291">
        <v>281.15891249999999</v>
      </c>
      <c r="H291">
        <v>4</v>
      </c>
      <c r="I291">
        <v>8</v>
      </c>
      <c r="J291">
        <v>1.1299999999999999</v>
      </c>
      <c r="K291">
        <v>22.08023025</v>
      </c>
      <c r="L291">
        <v>-0.71948710958763007</v>
      </c>
      <c r="M291">
        <v>0.36119633358100178</v>
      </c>
      <c r="N291">
        <v>-3.3983391064479222E-2</v>
      </c>
      <c r="O291">
        <v>0.66517185804807955</v>
      </c>
    </row>
    <row r="292" spans="1:15" x14ac:dyDescent="0.25">
      <c r="A292">
        <v>60.695304</v>
      </c>
      <c r="B292">
        <v>169.95264800000001</v>
      </c>
      <c r="C292">
        <v>221.61056525000001</v>
      </c>
      <c r="D292">
        <v>116.40206725</v>
      </c>
      <c r="E292">
        <v>252.8514595</v>
      </c>
      <c r="F292">
        <v>5.2617130000000003</v>
      </c>
      <c r="G292">
        <v>267.67512499999998</v>
      </c>
      <c r="H292">
        <v>4</v>
      </c>
      <c r="I292">
        <v>12</v>
      </c>
      <c r="J292">
        <v>1.1299999999999999</v>
      </c>
      <c r="K292">
        <v>21.551044000000001</v>
      </c>
      <c r="L292">
        <v>-0.97939855744062132</v>
      </c>
      <c r="M292">
        <v>0.32592761107500717</v>
      </c>
      <c r="N292">
        <v>-9.0232164336609647E-2</v>
      </c>
      <c r="O292">
        <v>0.50691996147633056</v>
      </c>
    </row>
    <row r="293" spans="1:15" x14ac:dyDescent="0.25">
      <c r="A293">
        <v>27.75286775</v>
      </c>
      <c r="B293">
        <v>171.25072474999999</v>
      </c>
      <c r="C293">
        <v>253.22405624999999</v>
      </c>
      <c r="D293">
        <v>110.31951325</v>
      </c>
      <c r="E293">
        <v>254.19260775000001</v>
      </c>
      <c r="F293">
        <v>5.7489227500000002</v>
      </c>
      <c r="G293">
        <v>287.5606995</v>
      </c>
      <c r="H293">
        <v>4</v>
      </c>
      <c r="I293">
        <v>16</v>
      </c>
      <c r="J293">
        <v>1.1299999999999999</v>
      </c>
      <c r="K293">
        <v>22.333402</v>
      </c>
      <c r="L293">
        <v>-1.217718201587878</v>
      </c>
      <c r="M293">
        <v>0.32909860541405739</v>
      </c>
      <c r="N293">
        <v>-0.18029965664123271</v>
      </c>
      <c r="O293">
        <v>0.34186987016647352</v>
      </c>
    </row>
    <row r="294" spans="1:15" x14ac:dyDescent="0.25">
      <c r="A294">
        <v>-13.783472250000001</v>
      </c>
      <c r="B294">
        <v>165.99875650000001</v>
      </c>
      <c r="C294">
        <v>282.08264924999997</v>
      </c>
      <c r="D294">
        <v>95.54260275</v>
      </c>
      <c r="E294">
        <v>242.569309</v>
      </c>
      <c r="F294">
        <v>6.1874062500000004</v>
      </c>
      <c r="G294">
        <v>305.48574074999999</v>
      </c>
      <c r="H294">
        <v>4</v>
      </c>
      <c r="I294">
        <v>20</v>
      </c>
      <c r="J294">
        <v>1.1299999999999999</v>
      </c>
      <c r="K294">
        <v>23.015878000000001</v>
      </c>
      <c r="L294">
        <v>-1.466961029934261</v>
      </c>
      <c r="M294">
        <v>0.34932575593848503</v>
      </c>
      <c r="N294">
        <v>-0.31199154677495777</v>
      </c>
      <c r="O294">
        <v>0.17201638622741769</v>
      </c>
    </row>
    <row r="295" spans="1:15" x14ac:dyDescent="0.25">
      <c r="A295">
        <v>-59.187847750000003</v>
      </c>
      <c r="B295">
        <v>156.52822850000001</v>
      </c>
      <c r="C295">
        <v>307.96054824999999</v>
      </c>
      <c r="D295">
        <v>67.116159500000009</v>
      </c>
      <c r="E295">
        <v>217.53450799999999</v>
      </c>
      <c r="F295">
        <v>6.3822847500000002</v>
      </c>
      <c r="G295">
        <v>322.41047650000002</v>
      </c>
      <c r="H295">
        <v>4</v>
      </c>
      <c r="I295">
        <v>24</v>
      </c>
      <c r="J295">
        <v>1.1299999999999999</v>
      </c>
      <c r="K295">
        <v>23.650400000000001</v>
      </c>
      <c r="L295">
        <v>-1.719096465240068</v>
      </c>
      <c r="M295">
        <v>0.41863125575691079</v>
      </c>
      <c r="N295">
        <v>-0.49107324339611652</v>
      </c>
      <c r="O295">
        <v>-1.129629054182214E-2</v>
      </c>
    </row>
    <row r="296" spans="1:15" x14ac:dyDescent="0.25">
      <c r="A296">
        <v>-109.7272435</v>
      </c>
      <c r="B296">
        <v>139.9623565</v>
      </c>
      <c r="C296">
        <v>330.81257625000001</v>
      </c>
      <c r="D296">
        <v>28.255355250000001</v>
      </c>
      <c r="E296">
        <v>178.37294775000001</v>
      </c>
      <c r="F296">
        <v>6.9669207499999999</v>
      </c>
      <c r="G296">
        <v>338.61503599999998</v>
      </c>
      <c r="H296">
        <v>4</v>
      </c>
      <c r="I296">
        <v>28</v>
      </c>
      <c r="J296">
        <v>1.1299999999999999</v>
      </c>
      <c r="K296">
        <v>24.227816749999999</v>
      </c>
      <c r="L296">
        <v>-2.0106559816587262</v>
      </c>
      <c r="M296">
        <v>0.50982905674993662</v>
      </c>
      <c r="N296">
        <v>-0.73139384606512592</v>
      </c>
      <c r="O296">
        <v>-0.21772697718081871</v>
      </c>
    </row>
    <row r="297" spans="1:15" x14ac:dyDescent="0.25">
      <c r="A297">
        <v>-159.72610474999999</v>
      </c>
      <c r="B297">
        <v>110.665842</v>
      </c>
      <c r="C297">
        <v>333.83845524999998</v>
      </c>
      <c r="D297">
        <v>-19.536921249999999</v>
      </c>
      <c r="E297">
        <v>115.6965465</v>
      </c>
      <c r="F297">
        <v>6.8207547499999999</v>
      </c>
      <c r="G297">
        <v>338.65504449999997</v>
      </c>
      <c r="H297">
        <v>4</v>
      </c>
      <c r="I297">
        <v>32</v>
      </c>
      <c r="J297">
        <v>1.1299999999999999</v>
      </c>
      <c r="K297">
        <v>24.234594999999999</v>
      </c>
      <c r="L297">
        <v>-2.4038487627506591</v>
      </c>
      <c r="M297">
        <v>0.63409231230047369</v>
      </c>
      <c r="N297">
        <v>-1.085915213887082</v>
      </c>
      <c r="O297">
        <v>-0.46975416537546899</v>
      </c>
    </row>
    <row r="298" spans="1:15" x14ac:dyDescent="0.25">
      <c r="A298">
        <v>-197.833359</v>
      </c>
      <c r="B298">
        <v>71.490812250000005</v>
      </c>
      <c r="C298">
        <v>313.38000475000001</v>
      </c>
      <c r="D298">
        <v>-64.99194725000001</v>
      </c>
      <c r="E298">
        <v>40.770977999999999</v>
      </c>
      <c r="F298">
        <v>6.4319050000000004</v>
      </c>
      <c r="G298">
        <v>315.84864800000003</v>
      </c>
      <c r="H298">
        <v>4</v>
      </c>
      <c r="I298">
        <v>36</v>
      </c>
      <c r="J298">
        <v>1.1299999999999999</v>
      </c>
      <c r="K298">
        <v>23.40168375</v>
      </c>
      <c r="L298">
        <v>-2.9691832850197049</v>
      </c>
      <c r="M298">
        <v>0.7926554609115114</v>
      </c>
      <c r="N298">
        <v>-1.597755231752672</v>
      </c>
      <c r="O298">
        <v>-0.8006076432931003</v>
      </c>
    </row>
    <row r="299" spans="1:15" x14ac:dyDescent="0.25">
      <c r="A299">
        <v>-226.12100599999999</v>
      </c>
      <c r="B299">
        <v>34.757350000000002</v>
      </c>
      <c r="C299">
        <v>291.2053985</v>
      </c>
      <c r="D299">
        <v>-102.01157375</v>
      </c>
      <c r="E299">
        <v>-28.44795525</v>
      </c>
      <c r="F299">
        <v>5.8950750000000003</v>
      </c>
      <c r="G299">
        <v>295.76300824999998</v>
      </c>
      <c r="H299">
        <v>4</v>
      </c>
      <c r="I299">
        <v>40</v>
      </c>
      <c r="J299">
        <v>1.1299999999999999</v>
      </c>
      <c r="K299">
        <v>22.650376000000001</v>
      </c>
      <c r="L299">
        <v>-3.8146288555144152</v>
      </c>
      <c r="M299">
        <v>1.008489538663967</v>
      </c>
      <c r="N299">
        <v>-2.3906861245747848</v>
      </c>
      <c r="O299">
        <v>-1.2532528671017999</v>
      </c>
    </row>
    <row r="300" spans="1:15" x14ac:dyDescent="0.25">
      <c r="A300">
        <v>-245.67011650000001</v>
      </c>
      <c r="B300">
        <v>-0.57538050000000007</v>
      </c>
      <c r="C300">
        <v>267.54044349999998</v>
      </c>
      <c r="D300">
        <v>-133.26190575000001</v>
      </c>
      <c r="E300">
        <v>-92.255201</v>
      </c>
      <c r="F300">
        <v>5.4075142500000002</v>
      </c>
      <c r="G300">
        <v>277.5178755</v>
      </c>
      <c r="H300">
        <v>4</v>
      </c>
      <c r="I300">
        <v>44</v>
      </c>
      <c r="J300">
        <v>1.1299999999999999</v>
      </c>
      <c r="K300">
        <v>21.945622499999999</v>
      </c>
      <c r="L300">
        <v>-5.2797267011198361</v>
      </c>
      <c r="M300">
        <v>1.364967768682569</v>
      </c>
      <c r="N300">
        <v>-3.8041355302549129</v>
      </c>
      <c r="O300">
        <v>-2.0047695532017169</v>
      </c>
    </row>
    <row r="301" spans="1:15" x14ac:dyDescent="0.25">
      <c r="A301">
        <v>274.32476774999998</v>
      </c>
      <c r="B301">
        <v>24.661857250000001</v>
      </c>
      <c r="C301">
        <v>-260.06387324999997</v>
      </c>
      <c r="D301">
        <v>-132.21294399999999</v>
      </c>
      <c r="E301">
        <v>-8.5165515000000003</v>
      </c>
      <c r="F301">
        <v>5.6020004999999999</v>
      </c>
      <c r="G301">
        <v>279.79852299999999</v>
      </c>
      <c r="H301">
        <v>8</v>
      </c>
      <c r="I301">
        <v>-44</v>
      </c>
      <c r="J301">
        <v>1.1299999999999999</v>
      </c>
      <c r="K301">
        <v>22.029582749999999</v>
      </c>
      <c r="L301">
        <v>2.8482398083541178</v>
      </c>
      <c r="M301">
        <v>0.83614831425445113</v>
      </c>
      <c r="N301">
        <v>-1.536711129357988</v>
      </c>
      <c r="O301">
        <v>-1.075266777813811</v>
      </c>
    </row>
    <row r="302" spans="1:15" x14ac:dyDescent="0.25">
      <c r="A302">
        <v>294.85737599999999</v>
      </c>
      <c r="B302">
        <v>60.865754250000002</v>
      </c>
      <c r="C302">
        <v>-235.25722525</v>
      </c>
      <c r="D302">
        <v>-100.3070125</v>
      </c>
      <c r="E302">
        <v>47.163791500000002</v>
      </c>
      <c r="F302">
        <v>6.0899947499999998</v>
      </c>
      <c r="G302">
        <v>298.32372275</v>
      </c>
      <c r="H302">
        <v>8</v>
      </c>
      <c r="I302">
        <v>-40</v>
      </c>
      <c r="J302">
        <v>1.1299999999999999</v>
      </c>
      <c r="K302">
        <v>22.742624500000002</v>
      </c>
      <c r="L302">
        <v>2.4662810055948672</v>
      </c>
      <c r="M302">
        <v>0.74983620501457238</v>
      </c>
      <c r="N302">
        <v>-1.1685012816565681</v>
      </c>
      <c r="O302">
        <v>-0.8089263394489854</v>
      </c>
    </row>
    <row r="303" spans="1:15" x14ac:dyDescent="0.25">
      <c r="A303">
        <v>311.824997</v>
      </c>
      <c r="B303">
        <v>98.983915249999995</v>
      </c>
      <c r="C303">
        <v>-197.41582099999999</v>
      </c>
      <c r="D303">
        <v>-63.505919249999998</v>
      </c>
      <c r="E303">
        <v>106.17438300000001</v>
      </c>
      <c r="F303">
        <v>6.5284504999999999</v>
      </c>
      <c r="G303">
        <v>315.52854150000002</v>
      </c>
      <c r="H303">
        <v>8</v>
      </c>
      <c r="I303">
        <v>-36</v>
      </c>
      <c r="J303">
        <v>1.1299999999999999</v>
      </c>
      <c r="K303">
        <v>23.385939</v>
      </c>
      <c r="L303">
        <v>2.1520253112620371</v>
      </c>
      <c r="M303">
        <v>0.68668196078363342</v>
      </c>
      <c r="N303">
        <v>-0.88473029939172232</v>
      </c>
      <c r="O303">
        <v>-0.57891762275217851</v>
      </c>
    </row>
    <row r="304" spans="1:15" x14ac:dyDescent="0.25">
      <c r="A304">
        <v>326.62653349999999</v>
      </c>
      <c r="B304">
        <v>136.81797399999999</v>
      </c>
      <c r="C304">
        <v>-151.9971085</v>
      </c>
      <c r="D304">
        <v>-23.2957015</v>
      </c>
      <c r="E304">
        <v>165.22967925</v>
      </c>
      <c r="F304">
        <v>7.0151447499999993</v>
      </c>
      <c r="G304">
        <v>331.97315974999998</v>
      </c>
      <c r="H304">
        <v>8</v>
      </c>
      <c r="I304">
        <v>-32</v>
      </c>
      <c r="J304">
        <v>1.1299999999999999</v>
      </c>
      <c r="K304">
        <v>23.982201</v>
      </c>
      <c r="L304">
        <v>1.892746124437428</v>
      </c>
      <c r="M304">
        <v>0.63314477441405737</v>
      </c>
      <c r="N304">
        <v>-0.65939918321301672</v>
      </c>
      <c r="O304">
        <v>-0.37433811141064649</v>
      </c>
    </row>
    <row r="305" spans="1:15" x14ac:dyDescent="0.25">
      <c r="A305">
        <v>335.47135924999998</v>
      </c>
      <c r="B305">
        <v>172.46466050000001</v>
      </c>
      <c r="C305">
        <v>-100.53457825</v>
      </c>
      <c r="D305">
        <v>17.742897500000002</v>
      </c>
      <c r="E305">
        <v>221.51327125</v>
      </c>
      <c r="F305">
        <v>7.0161357500000001</v>
      </c>
      <c r="G305">
        <v>347.61756124999999</v>
      </c>
      <c r="H305">
        <v>8</v>
      </c>
      <c r="I305">
        <v>-28</v>
      </c>
      <c r="J305">
        <v>1.1299999999999999</v>
      </c>
      <c r="K305">
        <v>24.552677750000001</v>
      </c>
      <c r="L305">
        <v>1.658392132288055</v>
      </c>
      <c r="M305">
        <v>0.58850640985906355</v>
      </c>
      <c r="N305">
        <v>-0.4796543806463841</v>
      </c>
      <c r="O305">
        <v>-0.18414143672579861</v>
      </c>
    </row>
    <row r="306" spans="1:15" x14ac:dyDescent="0.25">
      <c r="A306">
        <v>305.10112025000001</v>
      </c>
      <c r="B306">
        <v>182.11616524999999</v>
      </c>
      <c r="C306">
        <v>-41.133932999999999</v>
      </c>
      <c r="D306">
        <v>53.845367500000002</v>
      </c>
      <c r="E306">
        <v>243.061058</v>
      </c>
      <c r="F306">
        <v>6.6258897499999998</v>
      </c>
      <c r="G306">
        <v>324.771141</v>
      </c>
      <c r="H306">
        <v>8</v>
      </c>
      <c r="I306">
        <v>-24</v>
      </c>
      <c r="J306">
        <v>1.1299999999999999</v>
      </c>
      <c r="K306">
        <v>23.729472999999999</v>
      </c>
      <c r="L306">
        <v>1.4627354492921629</v>
      </c>
      <c r="M306">
        <v>0.54189894762851809</v>
      </c>
      <c r="N306">
        <v>-0.34519588565402409</v>
      </c>
      <c r="O306">
        <v>-1.1343464033608519E-3</v>
      </c>
    </row>
    <row r="307" spans="1:15" x14ac:dyDescent="0.25">
      <c r="A307">
        <v>274.68578324999999</v>
      </c>
      <c r="B307">
        <v>188.7376515</v>
      </c>
      <c r="C307">
        <v>9.3937425000000001</v>
      </c>
      <c r="D307">
        <v>77.15359325</v>
      </c>
      <c r="E307">
        <v>254.41614150000001</v>
      </c>
      <c r="F307">
        <v>6.0408212499999996</v>
      </c>
      <c r="G307">
        <v>303.725235</v>
      </c>
      <c r="H307">
        <v>8</v>
      </c>
      <c r="I307">
        <v>-20</v>
      </c>
      <c r="J307">
        <v>1.1299999999999999</v>
      </c>
      <c r="K307">
        <v>22.953735250000001</v>
      </c>
      <c r="L307">
        <v>1.256466383964745</v>
      </c>
      <c r="M307">
        <v>0.52847703392784506</v>
      </c>
      <c r="N307">
        <v>-0.23353626824850429</v>
      </c>
      <c r="O307">
        <v>0.17633838999097931</v>
      </c>
    </row>
    <row r="308" spans="1:15" x14ac:dyDescent="0.25">
      <c r="A308">
        <v>243.32277275000001</v>
      </c>
      <c r="B308">
        <v>191.09326949999999</v>
      </c>
      <c r="C308">
        <v>49.949329250000012</v>
      </c>
      <c r="D308">
        <v>88.594206</v>
      </c>
      <c r="E308">
        <v>257.32196025000002</v>
      </c>
      <c r="F308">
        <v>5.6510914999999997</v>
      </c>
      <c r="G308">
        <v>284.75991850000003</v>
      </c>
      <c r="H308">
        <v>8</v>
      </c>
      <c r="I308">
        <v>-16</v>
      </c>
      <c r="J308">
        <v>1.1299999999999999</v>
      </c>
      <c r="K308">
        <v>22.226037250000001</v>
      </c>
      <c r="L308">
        <v>1.02832834995221</v>
      </c>
      <c r="M308">
        <v>0.5450499778768334</v>
      </c>
      <c r="N308">
        <v>-0.14592459889985179</v>
      </c>
      <c r="O308">
        <v>0.33831986595187907</v>
      </c>
    </row>
    <row r="309" spans="1:15" x14ac:dyDescent="0.25">
      <c r="A309">
        <v>212.81716549999999</v>
      </c>
      <c r="B309">
        <v>189.91803375000001</v>
      </c>
      <c r="C309">
        <v>80.343437249999994</v>
      </c>
      <c r="D309">
        <v>92.850213999999994</v>
      </c>
      <c r="E309">
        <v>252.92435850000001</v>
      </c>
      <c r="F309">
        <v>5.5057092499999998</v>
      </c>
      <c r="G309">
        <v>267.11496725000001</v>
      </c>
      <c r="H309">
        <v>8</v>
      </c>
      <c r="I309">
        <v>-12</v>
      </c>
      <c r="J309">
        <v>1.1299999999999999</v>
      </c>
      <c r="K309">
        <v>21.517995249999998</v>
      </c>
      <c r="L309">
        <v>0.79646191800074384</v>
      </c>
      <c r="M309">
        <v>0.58360344749328186</v>
      </c>
      <c r="N309">
        <v>-8.5328638634690229E-2</v>
      </c>
      <c r="O309">
        <v>0.48753902209044159</v>
      </c>
    </row>
    <row r="310" spans="1:15" x14ac:dyDescent="0.25">
      <c r="A310">
        <v>205.73228850000001</v>
      </c>
      <c r="B310">
        <v>210.85159675</v>
      </c>
      <c r="C310">
        <v>117.60219575000001</v>
      </c>
      <c r="D310">
        <v>101.37536425</v>
      </c>
      <c r="E310">
        <v>276.05335224999999</v>
      </c>
      <c r="F310">
        <v>5.5532880000000002</v>
      </c>
      <c r="G310">
        <v>284.31980125000001</v>
      </c>
      <c r="H310">
        <v>8</v>
      </c>
      <c r="I310">
        <v>-8</v>
      </c>
      <c r="J310">
        <v>1.1299999999999999</v>
      </c>
      <c r="K310">
        <v>22.21240225</v>
      </c>
      <c r="L310">
        <v>0.52915431409495584</v>
      </c>
      <c r="M310">
        <v>0.6572565561526198</v>
      </c>
      <c r="N310">
        <v>-4.9659102252352948E-2</v>
      </c>
      <c r="O310">
        <v>0.62400080986204365</v>
      </c>
    </row>
    <row r="311" spans="1:15" x14ac:dyDescent="0.25">
      <c r="A311">
        <v>195.44341625000001</v>
      </c>
      <c r="B311">
        <v>228.670849</v>
      </c>
      <c r="C311">
        <v>152.33187100000001</v>
      </c>
      <c r="D311">
        <v>107.15817275000001</v>
      </c>
      <c r="E311">
        <v>296.57896425000001</v>
      </c>
      <c r="F311">
        <v>5.9925277499999998</v>
      </c>
      <c r="G311">
        <v>302.5249025</v>
      </c>
      <c r="H311">
        <v>8</v>
      </c>
      <c r="I311">
        <v>-4</v>
      </c>
      <c r="J311">
        <v>1.1299999999999999</v>
      </c>
      <c r="K311">
        <v>22.909277500000002</v>
      </c>
      <c r="L311">
        <v>0.25843700328303609</v>
      </c>
      <c r="M311">
        <v>0.72836708140328466</v>
      </c>
      <c r="N311">
        <v>-3.5667815606589853E-2</v>
      </c>
      <c r="O311">
        <v>0.74177667323394503</v>
      </c>
    </row>
    <row r="312" spans="1:15" x14ac:dyDescent="0.25">
      <c r="A312">
        <v>177.34764100000001</v>
      </c>
      <c r="B312">
        <v>242.99878674999999</v>
      </c>
      <c r="C312">
        <v>187.60348149999999</v>
      </c>
      <c r="D312">
        <v>114.13127900000001</v>
      </c>
      <c r="E312">
        <v>315.41802224999998</v>
      </c>
      <c r="F312">
        <v>6.6750497500000003</v>
      </c>
      <c r="G312">
        <v>319.52966300000003</v>
      </c>
      <c r="H312">
        <v>8</v>
      </c>
      <c r="I312">
        <v>0</v>
      </c>
      <c r="J312">
        <v>1.1299999999999999</v>
      </c>
      <c r="K312">
        <v>23.53135</v>
      </c>
      <c r="L312">
        <v>-6.0454163804489307E-2</v>
      </c>
      <c r="M312">
        <v>0.75946835294212822</v>
      </c>
      <c r="N312">
        <v>-2.4237518291844919E-2</v>
      </c>
      <c r="O312">
        <v>0.81957866498506582</v>
      </c>
    </row>
    <row r="313" spans="1:15" x14ac:dyDescent="0.25">
      <c r="A313">
        <v>153.38539875000001</v>
      </c>
      <c r="B313">
        <v>254.23700349999999</v>
      </c>
      <c r="C313">
        <v>224.27513500000001</v>
      </c>
      <c r="D313">
        <v>122.3678725</v>
      </c>
      <c r="E313">
        <v>328.11325875</v>
      </c>
      <c r="F313">
        <v>6.8212294999999994</v>
      </c>
      <c r="G313">
        <v>335.81423949999999</v>
      </c>
      <c r="H313">
        <v>8</v>
      </c>
      <c r="I313">
        <v>4</v>
      </c>
      <c r="J313">
        <v>1.1299999999999999</v>
      </c>
      <c r="K313">
        <v>24.130644</v>
      </c>
      <c r="L313">
        <v>-0.37263485403909041</v>
      </c>
      <c r="M313">
        <v>0.69319295330688024</v>
      </c>
      <c r="N313">
        <v>-4.0524755463678487E-2</v>
      </c>
      <c r="O313">
        <v>0.68896146481080534</v>
      </c>
    </row>
    <row r="314" spans="1:15" x14ac:dyDescent="0.25">
      <c r="A314">
        <v>119.856312</v>
      </c>
      <c r="B314">
        <v>255.8843995</v>
      </c>
      <c r="C314">
        <v>255.1208685</v>
      </c>
      <c r="D314">
        <v>122.10504525</v>
      </c>
      <c r="E314">
        <v>330.056984</v>
      </c>
      <c r="F314">
        <v>6.8694812499999998</v>
      </c>
      <c r="G314">
        <v>343.65644075</v>
      </c>
      <c r="H314">
        <v>8</v>
      </c>
      <c r="I314">
        <v>8</v>
      </c>
      <c r="J314">
        <v>1.1299999999999999</v>
      </c>
      <c r="K314">
        <v>24.414775250000002</v>
      </c>
      <c r="L314">
        <v>-0.64696316884669947</v>
      </c>
      <c r="M314">
        <v>0.63988600278433472</v>
      </c>
      <c r="N314">
        <v>-6.5065272946875252E-2</v>
      </c>
      <c r="O314">
        <v>0.54580967188793128</v>
      </c>
    </row>
    <row r="315" spans="1:15" x14ac:dyDescent="0.25">
      <c r="A315">
        <v>73.691774249999995</v>
      </c>
      <c r="B315">
        <v>230.06514375</v>
      </c>
      <c r="C315">
        <v>259.23061374999997</v>
      </c>
      <c r="D315">
        <v>109.837677</v>
      </c>
      <c r="E315">
        <v>296.52823649999999</v>
      </c>
      <c r="F315">
        <v>6.5288839999999997</v>
      </c>
      <c r="G315">
        <v>319.80974574999999</v>
      </c>
      <c r="H315">
        <v>8</v>
      </c>
      <c r="I315">
        <v>12</v>
      </c>
      <c r="J315">
        <v>1.1299999999999999</v>
      </c>
      <c r="K315">
        <v>23.547371500000001</v>
      </c>
      <c r="L315">
        <v>-0.90611501556548846</v>
      </c>
      <c r="M315">
        <v>0.58717275161467786</v>
      </c>
      <c r="N315">
        <v>-0.1137135205675895</v>
      </c>
      <c r="O315">
        <v>0.41626448874274929</v>
      </c>
    </row>
    <row r="316" spans="1:15" x14ac:dyDescent="0.25">
      <c r="A316">
        <v>31.092237999999998</v>
      </c>
      <c r="B316">
        <v>203.957527</v>
      </c>
      <c r="C316">
        <v>258.19187950000003</v>
      </c>
      <c r="D316">
        <v>88.205511250000001</v>
      </c>
      <c r="E316">
        <v>258.61840050000001</v>
      </c>
      <c r="F316">
        <v>5.8951025000000001</v>
      </c>
      <c r="G316">
        <v>299.24397275000001</v>
      </c>
      <c r="H316">
        <v>8</v>
      </c>
      <c r="I316">
        <v>16</v>
      </c>
      <c r="J316">
        <v>1.1299999999999999</v>
      </c>
      <c r="K316">
        <v>22.785974750000001</v>
      </c>
      <c r="L316">
        <v>-1.1413830221993799</v>
      </c>
      <c r="M316">
        <v>0.58176253646383513</v>
      </c>
      <c r="N316">
        <v>-0.20418727227177941</v>
      </c>
      <c r="O316">
        <v>0.27015646369609098</v>
      </c>
    </row>
    <row r="317" spans="1:15" x14ac:dyDescent="0.25">
      <c r="A317">
        <v>-8.1079237500000012</v>
      </c>
      <c r="B317">
        <v>178.60658649999999</v>
      </c>
      <c r="C317">
        <v>254.1724475</v>
      </c>
      <c r="D317">
        <v>62.603804750000002</v>
      </c>
      <c r="E317">
        <v>217.08745949999999</v>
      </c>
      <c r="F317">
        <v>5.6510914999999997</v>
      </c>
      <c r="G317">
        <v>280.79879775000001</v>
      </c>
      <c r="H317">
        <v>8</v>
      </c>
      <c r="I317">
        <v>20</v>
      </c>
      <c r="J317">
        <v>1.1299999999999999</v>
      </c>
      <c r="K317">
        <v>22.06776575</v>
      </c>
      <c r="L317">
        <v>-1.3815838394390849</v>
      </c>
      <c r="M317">
        <v>0.6110786524006413</v>
      </c>
      <c r="N317">
        <v>-0.33561618363878692</v>
      </c>
      <c r="O317">
        <v>0.1137701756451666</v>
      </c>
    </row>
    <row r="318" spans="1:15" x14ac:dyDescent="0.25">
      <c r="A318">
        <v>-44.053058749999998</v>
      </c>
      <c r="B318">
        <v>156.50204475000001</v>
      </c>
      <c r="C318">
        <v>252.99824150000001</v>
      </c>
      <c r="D318">
        <v>29.87807175</v>
      </c>
      <c r="E318">
        <v>176.98709124999999</v>
      </c>
      <c r="F318">
        <v>5.4082702500000002</v>
      </c>
      <c r="G318">
        <v>269.07550824999998</v>
      </c>
      <c r="H318">
        <v>8</v>
      </c>
      <c r="I318">
        <v>24</v>
      </c>
      <c r="J318">
        <v>1.1299999999999999</v>
      </c>
      <c r="K318">
        <v>21.602466499999998</v>
      </c>
      <c r="L318">
        <v>-1.6137461016889361</v>
      </c>
      <c r="M318">
        <v>0.68788498947629784</v>
      </c>
      <c r="N318">
        <v>-0.50029327519358935</v>
      </c>
      <c r="O318">
        <v>-6.7870395499208244E-2</v>
      </c>
    </row>
    <row r="319" spans="1:15" x14ac:dyDescent="0.25">
      <c r="A319">
        <v>-87.925939499999998</v>
      </c>
      <c r="B319">
        <v>150.63619249999999</v>
      </c>
      <c r="C319">
        <v>277.38578024999998</v>
      </c>
      <c r="D319">
        <v>-11.888236750000001</v>
      </c>
      <c r="E319">
        <v>147.66061425000001</v>
      </c>
      <c r="F319">
        <v>6.0408212499999996</v>
      </c>
      <c r="G319">
        <v>289.00110625000002</v>
      </c>
      <c r="H319">
        <v>8</v>
      </c>
      <c r="I319">
        <v>28</v>
      </c>
      <c r="J319">
        <v>1.1299999999999999</v>
      </c>
      <c r="K319">
        <v>22.378862999999999</v>
      </c>
      <c r="L319">
        <v>-1.849114146008084</v>
      </c>
      <c r="M319">
        <v>0.82262892738538307</v>
      </c>
      <c r="N319">
        <v>-0.71545662298771717</v>
      </c>
      <c r="O319">
        <v>-0.28319273946608847</v>
      </c>
    </row>
    <row r="320" spans="1:15" x14ac:dyDescent="0.25">
      <c r="A320">
        <v>-138.24010849999999</v>
      </c>
      <c r="B320">
        <v>134.42355724999999</v>
      </c>
      <c r="C320">
        <v>295.45062999999999</v>
      </c>
      <c r="D320">
        <v>-59.5286045</v>
      </c>
      <c r="E320">
        <v>102.06152350000001</v>
      </c>
      <c r="F320">
        <v>6.2848317500000004</v>
      </c>
      <c r="G320">
        <v>304.04532625000002</v>
      </c>
      <c r="H320">
        <v>8</v>
      </c>
      <c r="I320">
        <v>32</v>
      </c>
      <c r="J320">
        <v>1.1299999999999999</v>
      </c>
      <c r="K320">
        <v>22.95669075</v>
      </c>
      <c r="L320">
        <v>-2.158409756977798</v>
      </c>
      <c r="M320">
        <v>0.96519693490191028</v>
      </c>
      <c r="N320">
        <v>-1.0053287311986789</v>
      </c>
      <c r="O320">
        <v>-0.52341202105612017</v>
      </c>
    </row>
    <row r="321" spans="1:15" x14ac:dyDescent="0.25">
      <c r="A321">
        <v>-188.46419125</v>
      </c>
      <c r="B321">
        <v>109.41592799999999</v>
      </c>
      <c r="C321">
        <v>304.70887775</v>
      </c>
      <c r="D321">
        <v>-110.92775349999999</v>
      </c>
      <c r="E321">
        <v>40.279222500000003</v>
      </c>
      <c r="F321">
        <v>6.5275425</v>
      </c>
      <c r="G321">
        <v>312.80778500000002</v>
      </c>
      <c r="H321">
        <v>8</v>
      </c>
      <c r="I321">
        <v>36</v>
      </c>
      <c r="J321">
        <v>1.1299999999999999</v>
      </c>
      <c r="K321">
        <v>23.28280075</v>
      </c>
      <c r="L321">
        <v>-2.5961086296570302</v>
      </c>
      <c r="M321">
        <v>1.159756319399786</v>
      </c>
      <c r="N321">
        <v>-1.434631141058309</v>
      </c>
      <c r="O321">
        <v>-0.82233382854162196</v>
      </c>
    </row>
    <row r="322" spans="1:15" x14ac:dyDescent="0.25">
      <c r="A322">
        <v>-241.97649749999999</v>
      </c>
      <c r="B322">
        <v>78.509809500000003</v>
      </c>
      <c r="C322">
        <v>311.52834324999998</v>
      </c>
      <c r="D322">
        <v>-164.11888099999999</v>
      </c>
      <c r="E322">
        <v>-30.409883499999999</v>
      </c>
      <c r="F322">
        <v>6.6254150000000003</v>
      </c>
      <c r="G322">
        <v>321.41019425000002</v>
      </c>
      <c r="H322">
        <v>8</v>
      </c>
      <c r="I322">
        <v>40</v>
      </c>
      <c r="J322">
        <v>1.1299999999999999</v>
      </c>
      <c r="K322">
        <v>23.60383375</v>
      </c>
      <c r="L322">
        <v>-3.2062616428897219</v>
      </c>
      <c r="M322">
        <v>1.405459902310314</v>
      </c>
      <c r="N322">
        <v>-2.0380217367031559</v>
      </c>
      <c r="O322">
        <v>-1.214557325575814</v>
      </c>
    </row>
    <row r="323" spans="1:15" x14ac:dyDescent="0.25">
      <c r="A323">
        <v>-292.56093600000003</v>
      </c>
      <c r="B323">
        <v>41.586840500000001</v>
      </c>
      <c r="C323">
        <v>310.48962399999999</v>
      </c>
      <c r="D323">
        <v>-218.31525825</v>
      </c>
      <c r="E323">
        <v>-112.18660149999999</v>
      </c>
      <c r="F323">
        <v>6.4797102500000001</v>
      </c>
      <c r="G323">
        <v>329.37244425</v>
      </c>
      <c r="H323">
        <v>8</v>
      </c>
      <c r="I323">
        <v>44</v>
      </c>
      <c r="J323">
        <v>1.1299999999999999</v>
      </c>
      <c r="K323">
        <v>23.90588275</v>
      </c>
      <c r="L323">
        <v>-4.2101795693945192</v>
      </c>
      <c r="M323">
        <v>1.814498217147468</v>
      </c>
      <c r="N323">
        <v>-3.0828852118175218</v>
      </c>
      <c r="O323">
        <v>-1.8285486067694321</v>
      </c>
    </row>
    <row r="324" spans="1:15" x14ac:dyDescent="0.25">
      <c r="A324">
        <v>324.46044899999998</v>
      </c>
      <c r="B324">
        <v>66.827173000000002</v>
      </c>
      <c r="C324">
        <v>-317.6152955</v>
      </c>
      <c r="D324">
        <v>-218.88345325</v>
      </c>
      <c r="E324">
        <v>-19.17338625</v>
      </c>
      <c r="F324">
        <v>6.9664182500000003</v>
      </c>
      <c r="G324">
        <v>338.77508549999999</v>
      </c>
      <c r="H324">
        <v>12</v>
      </c>
      <c r="I324">
        <v>-44</v>
      </c>
      <c r="J324">
        <v>1.1299999999999999</v>
      </c>
      <c r="K324">
        <v>24.23369125</v>
      </c>
      <c r="L324">
        <v>2.577872457555455</v>
      </c>
      <c r="M324">
        <v>1.147066041551368</v>
      </c>
      <c r="N324">
        <v>-1.4371338869231809</v>
      </c>
      <c r="O324">
        <v>-1.1049650686254719</v>
      </c>
    </row>
    <row r="325" spans="1:15" x14ac:dyDescent="0.25">
      <c r="A325">
        <v>336.46414199999998</v>
      </c>
      <c r="B325">
        <v>107.74821274999999</v>
      </c>
      <c r="C325">
        <v>-277.248108</v>
      </c>
      <c r="D325">
        <v>-176.83754725</v>
      </c>
      <c r="E325">
        <v>43.855623250000001</v>
      </c>
      <c r="F325">
        <v>6.7237902500000004</v>
      </c>
      <c r="G325">
        <v>346.13713849999999</v>
      </c>
      <c r="H325">
        <v>12</v>
      </c>
      <c r="I325">
        <v>-40</v>
      </c>
      <c r="J325">
        <v>1.1299999999999999</v>
      </c>
      <c r="K325">
        <v>24.509824999999999</v>
      </c>
      <c r="L325">
        <v>2.2654828115651879</v>
      </c>
      <c r="M325">
        <v>1.05052923004412</v>
      </c>
      <c r="N325">
        <v>-1.1158614490330629</v>
      </c>
      <c r="O325">
        <v>-0.86293951119424617</v>
      </c>
    </row>
    <row r="326" spans="1:15" x14ac:dyDescent="0.25">
      <c r="A326">
        <v>322.06873324999998</v>
      </c>
      <c r="B326">
        <v>136.06777199999999</v>
      </c>
      <c r="C326">
        <v>-209.23280725000001</v>
      </c>
      <c r="D326">
        <v>-119.1883315</v>
      </c>
      <c r="E326">
        <v>99.998564000000002</v>
      </c>
      <c r="F326">
        <v>6.9664319999999993</v>
      </c>
      <c r="G326">
        <v>330.37271149999998</v>
      </c>
      <c r="H326">
        <v>12</v>
      </c>
      <c r="I326">
        <v>-36</v>
      </c>
      <c r="J326">
        <v>1.1299999999999999</v>
      </c>
      <c r="K326">
        <v>23.924813</v>
      </c>
      <c r="L326">
        <v>2.0108862453277432</v>
      </c>
      <c r="M326">
        <v>0.96610089081757966</v>
      </c>
      <c r="N326">
        <v>-0.87192121782318033</v>
      </c>
      <c r="O326">
        <v>-0.64786472820149432</v>
      </c>
    </row>
    <row r="327" spans="1:15" x14ac:dyDescent="0.25">
      <c r="A327">
        <v>290.16421524999998</v>
      </c>
      <c r="B327">
        <v>151.54961</v>
      </c>
      <c r="C327">
        <v>-136.97780225</v>
      </c>
      <c r="D327">
        <v>-65.079363000000001</v>
      </c>
      <c r="E327">
        <v>137.19964575</v>
      </c>
      <c r="F327">
        <v>6.0899392499999996</v>
      </c>
      <c r="G327">
        <v>300.08421325</v>
      </c>
      <c r="H327">
        <v>12</v>
      </c>
      <c r="I327">
        <v>-32</v>
      </c>
      <c r="J327">
        <v>1.1299999999999999</v>
      </c>
      <c r="K327">
        <v>22.811020249999999</v>
      </c>
      <c r="L327">
        <v>1.792994832784482</v>
      </c>
      <c r="M327">
        <v>0.90932295252728956</v>
      </c>
      <c r="N327">
        <v>-0.68372997057158891</v>
      </c>
      <c r="O327">
        <v>-0.44963709083561287</v>
      </c>
    </row>
    <row r="328" spans="1:15" x14ac:dyDescent="0.25">
      <c r="A328">
        <v>260.06475074999997</v>
      </c>
      <c r="B328">
        <v>159.86759574999999</v>
      </c>
      <c r="C328">
        <v>-76.359371249999995</v>
      </c>
      <c r="D328">
        <v>-19.536919999999999</v>
      </c>
      <c r="E328">
        <v>163.654381</v>
      </c>
      <c r="F328">
        <v>5.4565910000000004</v>
      </c>
      <c r="G328">
        <v>274.83713525000002</v>
      </c>
      <c r="H328">
        <v>12</v>
      </c>
      <c r="I328">
        <v>-28</v>
      </c>
      <c r="J328">
        <v>1.1299999999999999</v>
      </c>
      <c r="K328">
        <v>21.83523825</v>
      </c>
      <c r="L328">
        <v>1.589887126983782</v>
      </c>
      <c r="M328">
        <v>0.84783808883764322</v>
      </c>
      <c r="N328">
        <v>-0.52543156727896734</v>
      </c>
      <c r="O328">
        <v>-0.25238207669637103</v>
      </c>
    </row>
    <row r="329" spans="1:15" x14ac:dyDescent="0.25">
      <c r="A329">
        <v>253.74702825</v>
      </c>
      <c r="B329">
        <v>179.32771675000001</v>
      </c>
      <c r="C329">
        <v>-32.293746249999998</v>
      </c>
      <c r="D329">
        <v>14.150471749999999</v>
      </c>
      <c r="E329">
        <v>195.22672675000001</v>
      </c>
      <c r="F329">
        <v>5.5049535000000001</v>
      </c>
      <c r="G329">
        <v>276.11750024999998</v>
      </c>
      <c r="H329">
        <v>12</v>
      </c>
      <c r="I329">
        <v>-24</v>
      </c>
      <c r="J329">
        <v>1.1299999999999999</v>
      </c>
      <c r="K329">
        <v>21.885145250000001</v>
      </c>
      <c r="L329">
        <v>1.4001247267233119</v>
      </c>
      <c r="M329">
        <v>0.80851322606714815</v>
      </c>
      <c r="N329">
        <v>-0.3959602258283787</v>
      </c>
      <c r="O329">
        <v>-7.134951150230856E-2</v>
      </c>
    </row>
    <row r="330" spans="1:15" x14ac:dyDescent="0.25">
      <c r="A330">
        <v>256.86076374999999</v>
      </c>
      <c r="B330">
        <v>205.43365125</v>
      </c>
      <c r="C330">
        <v>9.3485802499999995</v>
      </c>
      <c r="D330">
        <v>43.067501999999998</v>
      </c>
      <c r="E330">
        <v>232.77891500000001</v>
      </c>
      <c r="F330">
        <v>5.8455649999999997</v>
      </c>
      <c r="G330">
        <v>292.04196150000001</v>
      </c>
      <c r="H330">
        <v>12</v>
      </c>
      <c r="I330">
        <v>-20</v>
      </c>
      <c r="J330">
        <v>1.1299999999999999</v>
      </c>
      <c r="K330">
        <v>22.50648125</v>
      </c>
      <c r="L330">
        <v>1.198222897070095</v>
      </c>
      <c r="M330">
        <v>0.7859980881410098</v>
      </c>
      <c r="N330">
        <v>-0.28690278837750238</v>
      </c>
      <c r="O330">
        <v>9.8575544162470469E-2</v>
      </c>
    </row>
    <row r="331" spans="1:15" x14ac:dyDescent="0.25">
      <c r="A331">
        <v>252.34810250000001</v>
      </c>
      <c r="B331">
        <v>226.92400749999999</v>
      </c>
      <c r="C331">
        <v>50.807409999999997</v>
      </c>
      <c r="D331">
        <v>62.213625</v>
      </c>
      <c r="E331">
        <v>262.32891825000002</v>
      </c>
      <c r="F331">
        <v>6.3326915000000001</v>
      </c>
      <c r="G331">
        <v>303.96530150000001</v>
      </c>
      <c r="H331">
        <v>12</v>
      </c>
      <c r="I331">
        <v>-16</v>
      </c>
      <c r="J331">
        <v>1.1299999999999999</v>
      </c>
      <c r="K331">
        <v>22.951754000000001</v>
      </c>
      <c r="L331">
        <v>0.97923423585888547</v>
      </c>
      <c r="M331">
        <v>0.80027031699224049</v>
      </c>
      <c r="N331">
        <v>-0.20230847990012041</v>
      </c>
      <c r="O331">
        <v>0.24380782619097199</v>
      </c>
    </row>
    <row r="332" spans="1:15" x14ac:dyDescent="0.25">
      <c r="A332">
        <v>243.81916050000001</v>
      </c>
      <c r="B332">
        <v>247.07201749999999</v>
      </c>
      <c r="C332">
        <v>89.375862249999997</v>
      </c>
      <c r="D332">
        <v>74.524749999999997</v>
      </c>
      <c r="E332">
        <v>286.29079400000001</v>
      </c>
      <c r="F332">
        <v>6.4792767500000004</v>
      </c>
      <c r="G332">
        <v>315.12844849999999</v>
      </c>
      <c r="H332">
        <v>12</v>
      </c>
      <c r="I332">
        <v>-12</v>
      </c>
      <c r="J332">
        <v>1.1299999999999999</v>
      </c>
      <c r="K332">
        <v>23.37266275</v>
      </c>
      <c r="L332">
        <v>0.75582182038928403</v>
      </c>
      <c r="M332">
        <v>0.84438070107003038</v>
      </c>
      <c r="N332">
        <v>-0.141130026682944</v>
      </c>
      <c r="O332">
        <v>0.36935905828221149</v>
      </c>
    </row>
    <row r="333" spans="1:15" x14ac:dyDescent="0.25">
      <c r="A333">
        <v>228.79198099999999</v>
      </c>
      <c r="B333">
        <v>263.88420100000002</v>
      </c>
      <c r="C333">
        <v>125.324915</v>
      </c>
      <c r="D333">
        <v>78.555555249999998</v>
      </c>
      <c r="E333">
        <v>306.72583049999997</v>
      </c>
      <c r="F333">
        <v>6.5279759999999998</v>
      </c>
      <c r="G333">
        <v>326.41160550000001</v>
      </c>
      <c r="H333">
        <v>12</v>
      </c>
      <c r="I333">
        <v>-8</v>
      </c>
      <c r="J333">
        <v>1.1299999999999999</v>
      </c>
      <c r="K333">
        <v>23.794229250000001</v>
      </c>
      <c r="L333">
        <v>0.50527254483604278</v>
      </c>
      <c r="M333">
        <v>0.90500644625247406</v>
      </c>
      <c r="N333">
        <v>-9.6156185843575465E-2</v>
      </c>
      <c r="O333">
        <v>0.4659321132829764</v>
      </c>
    </row>
    <row r="334" spans="1:15" x14ac:dyDescent="0.25">
      <c r="A334">
        <v>208.71064774999999</v>
      </c>
      <c r="B334">
        <v>276.00133549999998</v>
      </c>
      <c r="C334">
        <v>157.66098775</v>
      </c>
      <c r="D334">
        <v>77.338657499999997</v>
      </c>
      <c r="E334">
        <v>318.03472925</v>
      </c>
      <c r="F334">
        <v>6.8198189999999999</v>
      </c>
      <c r="G334">
        <v>334.733948</v>
      </c>
      <c r="H334">
        <v>12</v>
      </c>
      <c r="I334">
        <v>-4</v>
      </c>
      <c r="J334">
        <v>1.1299999999999999</v>
      </c>
      <c r="K334">
        <v>24.091054249999999</v>
      </c>
      <c r="L334">
        <v>0.25456599448968908</v>
      </c>
      <c r="M334">
        <v>0.99069635795540634</v>
      </c>
      <c r="N334">
        <v>-8.3289705268168979E-2</v>
      </c>
      <c r="O334">
        <v>0.55194792638510681</v>
      </c>
    </row>
    <row r="335" spans="1:15" x14ac:dyDescent="0.25">
      <c r="A335">
        <v>184.25201050000001</v>
      </c>
      <c r="B335">
        <v>284.49223325000003</v>
      </c>
      <c r="C335">
        <v>191.35194000000001</v>
      </c>
      <c r="D335">
        <v>81.545183500000007</v>
      </c>
      <c r="E335">
        <v>329.02877825000002</v>
      </c>
      <c r="F335">
        <v>6.9659572499999998</v>
      </c>
      <c r="G335">
        <v>343.85649124999998</v>
      </c>
      <c r="H335">
        <v>12</v>
      </c>
      <c r="I335">
        <v>0</v>
      </c>
      <c r="J335">
        <v>1.1299999999999999</v>
      </c>
      <c r="K335">
        <v>24.418565000000001</v>
      </c>
      <c r="L335">
        <v>-3.6223447383771451E-2</v>
      </c>
      <c r="M335">
        <v>1.0347325937673451</v>
      </c>
      <c r="N335">
        <v>-7.5623354956654454E-2</v>
      </c>
      <c r="O335">
        <v>0.64212707600625529</v>
      </c>
    </row>
    <row r="336" spans="1:15" x14ac:dyDescent="0.25">
      <c r="A336">
        <v>147.60919200000001</v>
      </c>
      <c r="B336">
        <v>272.97194674999997</v>
      </c>
      <c r="C336">
        <v>209.82324975</v>
      </c>
      <c r="D336">
        <v>81.364688999999998</v>
      </c>
      <c r="E336">
        <v>313.96702599999998</v>
      </c>
      <c r="F336">
        <v>6.9177192499999993</v>
      </c>
      <c r="G336">
        <v>331.69309249999998</v>
      </c>
      <c r="H336">
        <v>12</v>
      </c>
      <c r="I336">
        <v>4</v>
      </c>
      <c r="J336">
        <v>1.1299999999999999</v>
      </c>
      <c r="K336">
        <v>23.975409750000001</v>
      </c>
      <c r="L336">
        <v>-0.31187201458066588</v>
      </c>
      <c r="M336">
        <v>0.96052524048803001</v>
      </c>
      <c r="N336">
        <v>-8.8864369066746551E-2</v>
      </c>
      <c r="O336">
        <v>0.5392733672515605</v>
      </c>
    </row>
    <row r="337" spans="1:15" x14ac:dyDescent="0.25">
      <c r="A337">
        <v>102.39231125000001</v>
      </c>
      <c r="B337">
        <v>245.272423</v>
      </c>
      <c r="C337">
        <v>213.52654275</v>
      </c>
      <c r="D337">
        <v>74.139949999999999</v>
      </c>
      <c r="E337">
        <v>279.58505250000002</v>
      </c>
      <c r="F337">
        <v>6.2839790000000004</v>
      </c>
      <c r="G337">
        <v>302.24482749999999</v>
      </c>
      <c r="H337">
        <v>12</v>
      </c>
      <c r="I337">
        <v>8</v>
      </c>
      <c r="J337">
        <v>1.1299999999999999</v>
      </c>
      <c r="K337">
        <v>22.88717025</v>
      </c>
      <c r="L337">
        <v>-0.5808688380842334</v>
      </c>
      <c r="M337">
        <v>0.89450755012246708</v>
      </c>
      <c r="N337">
        <v>-0.1184570060754514</v>
      </c>
      <c r="O337">
        <v>0.428520823730416</v>
      </c>
    </row>
    <row r="338" spans="1:15" x14ac:dyDescent="0.25">
      <c r="A338">
        <v>63.80904675</v>
      </c>
      <c r="B338">
        <v>221.95664249999999</v>
      </c>
      <c r="C338">
        <v>216.73305149999999</v>
      </c>
      <c r="D338">
        <v>67.041441000000006</v>
      </c>
      <c r="E338">
        <v>249.85621649999999</v>
      </c>
      <c r="F338">
        <v>5.8942774999999994</v>
      </c>
      <c r="G338">
        <v>281.31894675000001</v>
      </c>
      <c r="H338">
        <v>12</v>
      </c>
      <c r="I338">
        <v>12</v>
      </c>
      <c r="J338">
        <v>1.1299999999999999</v>
      </c>
      <c r="K338">
        <v>22.078874249999998</v>
      </c>
      <c r="L338">
        <v>-0.82917453352520665</v>
      </c>
      <c r="M338">
        <v>0.83995480285055057</v>
      </c>
      <c r="N338">
        <v>-0.17059814020754649</v>
      </c>
      <c r="O338">
        <v>0.32278766338245168</v>
      </c>
    </row>
    <row r="339" spans="1:15" x14ac:dyDescent="0.25">
      <c r="A339">
        <v>28.249259250000001</v>
      </c>
      <c r="B339">
        <v>205.54420074999999</v>
      </c>
      <c r="C339">
        <v>224.2751275</v>
      </c>
      <c r="D339">
        <v>55.773098750000003</v>
      </c>
      <c r="E339">
        <v>224.38991924999999</v>
      </c>
      <c r="F339">
        <v>5.5049392499999996</v>
      </c>
      <c r="G339">
        <v>270.51592275000002</v>
      </c>
      <c r="H339">
        <v>12</v>
      </c>
      <c r="I339">
        <v>16</v>
      </c>
      <c r="J339">
        <v>1.1299999999999999</v>
      </c>
      <c r="K339">
        <v>21.657445249999999</v>
      </c>
      <c r="L339">
        <v>-1.074814955650224</v>
      </c>
      <c r="M339">
        <v>0.82123118278954155</v>
      </c>
      <c r="N339">
        <v>-0.25294450420225778</v>
      </c>
      <c r="O339">
        <v>0.20019997764989439</v>
      </c>
    </row>
    <row r="340" spans="1:15" x14ac:dyDescent="0.25">
      <c r="A340">
        <v>-6.9818235</v>
      </c>
      <c r="B340">
        <v>207.707573</v>
      </c>
      <c r="C340">
        <v>252.59178524999999</v>
      </c>
      <c r="D340">
        <v>35.974518500000002</v>
      </c>
      <c r="E340">
        <v>213.43867125</v>
      </c>
      <c r="F340">
        <v>6.0408212499999996</v>
      </c>
      <c r="G340">
        <v>289.12114724999998</v>
      </c>
      <c r="H340">
        <v>12</v>
      </c>
      <c r="I340">
        <v>20</v>
      </c>
      <c r="J340">
        <v>1.1299999999999999</v>
      </c>
      <c r="K340">
        <v>22.383622500000001</v>
      </c>
      <c r="L340">
        <v>-1.30474545304635</v>
      </c>
      <c r="M340">
        <v>0.86325037959408579</v>
      </c>
      <c r="N340">
        <v>-0.38046939220476772</v>
      </c>
      <c r="O340">
        <v>4.2543902832224957E-2</v>
      </c>
    </row>
    <row r="341" spans="1:15" x14ac:dyDescent="0.25">
      <c r="A341">
        <v>-50.854705750000001</v>
      </c>
      <c r="B341">
        <v>203.97175225000001</v>
      </c>
      <c r="C341">
        <v>276.88900000000001</v>
      </c>
      <c r="D341">
        <v>-2.5349914999999998</v>
      </c>
      <c r="E341">
        <v>189.86212925000001</v>
      </c>
      <c r="F341">
        <v>6.0412264999999996</v>
      </c>
      <c r="G341">
        <v>304.66779324999999</v>
      </c>
      <c r="H341">
        <v>12</v>
      </c>
      <c r="I341">
        <v>24</v>
      </c>
      <c r="J341">
        <v>1.1299999999999999</v>
      </c>
      <c r="K341">
        <v>22.9900345</v>
      </c>
      <c r="L341">
        <v>-1.5134641344262501</v>
      </c>
      <c r="M341">
        <v>0.95357830814979683</v>
      </c>
      <c r="N341">
        <v>-0.53017249824764501</v>
      </c>
      <c r="O341">
        <v>-0.15116628227016579</v>
      </c>
    </row>
    <row r="342" spans="1:15" x14ac:dyDescent="0.25">
      <c r="A342">
        <v>-100.04277424999999</v>
      </c>
      <c r="B342">
        <v>191.81438075</v>
      </c>
      <c r="C342">
        <v>295.17966474999997</v>
      </c>
      <c r="D342">
        <v>-53.977844249999997</v>
      </c>
      <c r="E342">
        <v>151.14760974999999</v>
      </c>
      <c r="F342">
        <v>6.7223934999999999</v>
      </c>
      <c r="G342">
        <v>316.088707</v>
      </c>
      <c r="H342">
        <v>12</v>
      </c>
      <c r="I342">
        <v>28</v>
      </c>
      <c r="J342">
        <v>1.1299999999999999</v>
      </c>
      <c r="K342">
        <v>23.399801750000002</v>
      </c>
      <c r="L342">
        <v>-1.7322366088934309</v>
      </c>
      <c r="M342">
        <v>1.0772788530444211</v>
      </c>
      <c r="N342">
        <v>-0.72292654651133803</v>
      </c>
      <c r="O342">
        <v>-0.36698901474081608</v>
      </c>
    </row>
    <row r="343" spans="1:15" x14ac:dyDescent="0.25">
      <c r="A343">
        <v>-151.077652</v>
      </c>
      <c r="B343">
        <v>174.09945300000001</v>
      </c>
      <c r="C343">
        <v>310.08316050000002</v>
      </c>
      <c r="D343">
        <v>-110.31585525</v>
      </c>
      <c r="E343">
        <v>100.35630775</v>
      </c>
      <c r="F343">
        <v>6.8685317499999998</v>
      </c>
      <c r="G343">
        <v>327.03282899999999</v>
      </c>
      <c r="H343">
        <v>12</v>
      </c>
      <c r="I343">
        <v>32</v>
      </c>
      <c r="J343">
        <v>1.1299999999999999</v>
      </c>
      <c r="K343">
        <v>23.804668499999998</v>
      </c>
      <c r="L343">
        <v>-1.9959500605436871</v>
      </c>
      <c r="M343">
        <v>1.230960046754368</v>
      </c>
      <c r="N343">
        <v>-0.98109630552599891</v>
      </c>
      <c r="O343">
        <v>-0.59538492910835006</v>
      </c>
    </row>
    <row r="344" spans="1:15" x14ac:dyDescent="0.25">
      <c r="A344">
        <v>-203.86925525000001</v>
      </c>
      <c r="B344">
        <v>150.79093950000001</v>
      </c>
      <c r="C344">
        <v>320.74141724999998</v>
      </c>
      <c r="D344">
        <v>-168.8829155</v>
      </c>
      <c r="E344">
        <v>38.756622249999999</v>
      </c>
      <c r="F344">
        <v>6.9669204999999996</v>
      </c>
      <c r="G344">
        <v>338.37564075</v>
      </c>
      <c r="H344">
        <v>12</v>
      </c>
      <c r="I344">
        <v>36</v>
      </c>
      <c r="J344">
        <v>1.1299999999999999</v>
      </c>
      <c r="K344">
        <v>24.219080999999999</v>
      </c>
      <c r="L344">
        <v>-2.3304729976304071</v>
      </c>
      <c r="M344">
        <v>1.419948566070129</v>
      </c>
      <c r="N344">
        <v>-1.3311048021414369</v>
      </c>
      <c r="O344">
        <v>-0.85885433388111754</v>
      </c>
    </row>
    <row r="345" spans="1:15" x14ac:dyDescent="0.25">
      <c r="A345">
        <v>-261.03012100000001</v>
      </c>
      <c r="B345">
        <v>121.3155405</v>
      </c>
      <c r="C345">
        <v>324.71568324999998</v>
      </c>
      <c r="D345">
        <v>-229.67902000000001</v>
      </c>
      <c r="E345">
        <v>-38.2599485</v>
      </c>
      <c r="F345">
        <v>7.2095209999999996</v>
      </c>
      <c r="G345">
        <v>346.63710800000001</v>
      </c>
      <c r="H345">
        <v>12</v>
      </c>
      <c r="I345">
        <v>40</v>
      </c>
      <c r="J345">
        <v>1.1299999999999999</v>
      </c>
      <c r="K345">
        <v>24.510336500000001</v>
      </c>
      <c r="L345">
        <v>-2.8284665439986552</v>
      </c>
      <c r="M345">
        <v>1.694919177455843</v>
      </c>
      <c r="N345">
        <v>-1.858645310958158</v>
      </c>
      <c r="O345">
        <v>-1.2195941372784831</v>
      </c>
    </row>
    <row r="346" spans="1:15" x14ac:dyDescent="0.25">
      <c r="A346">
        <v>-291.3897935</v>
      </c>
      <c r="B346">
        <v>78.558098000000001</v>
      </c>
      <c r="C346">
        <v>298.25067899999999</v>
      </c>
      <c r="D346">
        <v>-263.98881525000002</v>
      </c>
      <c r="E346">
        <v>-111.740711</v>
      </c>
      <c r="F346">
        <v>6.624968</v>
      </c>
      <c r="G346">
        <v>326.93174725</v>
      </c>
      <c r="H346">
        <v>12</v>
      </c>
      <c r="I346">
        <v>44</v>
      </c>
      <c r="J346">
        <v>1.1299999999999999</v>
      </c>
      <c r="K346">
        <v>23.809928249999999</v>
      </c>
      <c r="L346">
        <v>-3.553354422779365</v>
      </c>
      <c r="M346">
        <v>2.064271943804973</v>
      </c>
      <c r="N346">
        <v>-2.6436272654256081</v>
      </c>
      <c r="O346">
        <v>-1.713380511549083</v>
      </c>
    </row>
    <row r="347" spans="1:15" x14ac:dyDescent="0.25">
      <c r="A347">
        <v>269.58647150000002</v>
      </c>
      <c r="B347">
        <v>85.673393500000003</v>
      </c>
      <c r="C347">
        <v>-278.73650375</v>
      </c>
      <c r="D347">
        <v>-233.56891999999999</v>
      </c>
      <c r="E347">
        <v>-27.914845499999998</v>
      </c>
      <c r="F347">
        <v>5.8942777499999996</v>
      </c>
      <c r="G347">
        <v>292.12197874999998</v>
      </c>
      <c r="H347">
        <v>16</v>
      </c>
      <c r="I347">
        <v>-44</v>
      </c>
      <c r="J347">
        <v>1.1299999999999999</v>
      </c>
      <c r="K347">
        <v>22.507701749999999</v>
      </c>
      <c r="L347">
        <v>2.402427876004523</v>
      </c>
      <c r="M347">
        <v>1.39873314912626</v>
      </c>
      <c r="N347">
        <v>-1.40221539849098</v>
      </c>
      <c r="O347">
        <v>-1.1481398032048049</v>
      </c>
    </row>
    <row r="348" spans="1:15" x14ac:dyDescent="0.25">
      <c r="A348">
        <v>257.53765125000001</v>
      </c>
      <c r="B348">
        <v>109.78306575000001</v>
      </c>
      <c r="C348">
        <v>-222.26755524999999</v>
      </c>
      <c r="D348">
        <v>-180.15926350000001</v>
      </c>
      <c r="E348">
        <v>23.2003865</v>
      </c>
      <c r="F348">
        <v>5.30972475</v>
      </c>
      <c r="G348">
        <v>273.87686150000002</v>
      </c>
      <c r="H348">
        <v>16</v>
      </c>
      <c r="I348">
        <v>-40</v>
      </c>
      <c r="J348">
        <v>1.1299999999999999</v>
      </c>
      <c r="K348">
        <v>21.802270499999999</v>
      </c>
      <c r="L348">
        <v>2.1380466291312361</v>
      </c>
      <c r="M348">
        <v>1.291996956886762</v>
      </c>
      <c r="N348">
        <v>-1.11702742971302</v>
      </c>
      <c r="O348">
        <v>-0.92027520157878562</v>
      </c>
    </row>
    <row r="349" spans="1:15" x14ac:dyDescent="0.25">
      <c r="A349">
        <v>260.109871</v>
      </c>
      <c r="B349">
        <v>136.74096299999999</v>
      </c>
      <c r="C349">
        <v>-181.99059299999999</v>
      </c>
      <c r="D349">
        <v>-144.31972124999999</v>
      </c>
      <c r="E349">
        <v>67.634412999999995</v>
      </c>
      <c r="F349">
        <v>5.5045754999999996</v>
      </c>
      <c r="G349">
        <v>276.59762549999999</v>
      </c>
      <c r="H349">
        <v>16</v>
      </c>
      <c r="I349">
        <v>-36</v>
      </c>
      <c r="J349">
        <v>1.1299999999999999</v>
      </c>
      <c r="K349">
        <v>21.904558000000002</v>
      </c>
      <c r="L349">
        <v>1.9155976206757099</v>
      </c>
      <c r="M349">
        <v>1.2178148404280089</v>
      </c>
      <c r="N349">
        <v>-0.90542149368895208</v>
      </c>
      <c r="O349">
        <v>-0.73078713155985819</v>
      </c>
    </row>
    <row r="350" spans="1:15" x14ac:dyDescent="0.25">
      <c r="A350">
        <v>272.70020299999999</v>
      </c>
      <c r="B350">
        <v>170.072552</v>
      </c>
      <c r="C350">
        <v>-142.48037325000001</v>
      </c>
      <c r="D350">
        <v>-108.2616385</v>
      </c>
      <c r="E350">
        <v>115.99445325000001</v>
      </c>
      <c r="F350">
        <v>6.2839787500000002</v>
      </c>
      <c r="G350">
        <v>292.30501550000002</v>
      </c>
      <c r="H350">
        <v>16</v>
      </c>
      <c r="I350">
        <v>-32</v>
      </c>
      <c r="J350">
        <v>1.1299999999999999</v>
      </c>
      <c r="K350">
        <v>22.499582499999999</v>
      </c>
      <c r="L350">
        <v>1.720134799688757</v>
      </c>
      <c r="M350">
        <v>1.153166422225832</v>
      </c>
      <c r="N350">
        <v>-0.7304725461234034</v>
      </c>
      <c r="O350">
        <v>-0.54546081906374155</v>
      </c>
    </row>
    <row r="351" spans="1:15" x14ac:dyDescent="0.25">
      <c r="A351">
        <v>280.50711825000002</v>
      </c>
      <c r="B351">
        <v>201.88986575000001</v>
      </c>
      <c r="C351">
        <v>-97.557781000000006</v>
      </c>
      <c r="D351">
        <v>-67.920301249999994</v>
      </c>
      <c r="E351">
        <v>163.83324825</v>
      </c>
      <c r="F351">
        <v>6.3326915000000001</v>
      </c>
      <c r="G351">
        <v>306.846115</v>
      </c>
      <c r="H351">
        <v>16</v>
      </c>
      <c r="I351">
        <v>-28</v>
      </c>
      <c r="J351">
        <v>1.1299999999999999</v>
      </c>
      <c r="K351">
        <v>23.062558249999999</v>
      </c>
      <c r="L351">
        <v>1.533294080153478</v>
      </c>
      <c r="M351">
        <v>1.094234830756609</v>
      </c>
      <c r="N351">
        <v>-0.58001748247124651</v>
      </c>
      <c r="O351">
        <v>-0.36123264336025429</v>
      </c>
    </row>
    <row r="352" spans="1:15" x14ac:dyDescent="0.25">
      <c r="A352">
        <v>282.80857850000001</v>
      </c>
      <c r="B352">
        <v>228.06169525000001</v>
      </c>
      <c r="C352">
        <v>-50.921284499999999</v>
      </c>
      <c r="D352">
        <v>-24.650611000000001</v>
      </c>
      <c r="E352">
        <v>205.58502974999999</v>
      </c>
      <c r="F352">
        <v>6.6736807499999999</v>
      </c>
      <c r="G352">
        <v>319.99123400000002</v>
      </c>
      <c r="H352">
        <v>16</v>
      </c>
      <c r="I352">
        <v>-24</v>
      </c>
      <c r="J352">
        <v>1.1299999999999999</v>
      </c>
      <c r="K352">
        <v>23.548762750000002</v>
      </c>
      <c r="L352">
        <v>1.371278505199929</v>
      </c>
      <c r="M352">
        <v>1.0383850404205719</v>
      </c>
      <c r="N352">
        <v>-0.47009561627305302</v>
      </c>
      <c r="O352">
        <v>-0.18268256170748121</v>
      </c>
    </row>
    <row r="353" spans="1:15" x14ac:dyDescent="0.25">
      <c r="A353">
        <v>277.52875525000002</v>
      </c>
      <c r="B353">
        <v>253.305668</v>
      </c>
      <c r="C353">
        <v>-1.8492230000000001</v>
      </c>
      <c r="D353">
        <v>8.4562877499999995</v>
      </c>
      <c r="E353">
        <v>241.46500025</v>
      </c>
      <c r="F353">
        <v>6.624968</v>
      </c>
      <c r="G353">
        <v>329.89257850000001</v>
      </c>
      <c r="H353">
        <v>16</v>
      </c>
      <c r="I353">
        <v>-20</v>
      </c>
      <c r="J353">
        <v>1.1299999999999999</v>
      </c>
      <c r="K353">
        <v>23.91976025</v>
      </c>
      <c r="L353">
        <v>1.1730807131388299</v>
      </c>
      <c r="M353">
        <v>1.028085962426043</v>
      </c>
      <c r="N353">
        <v>-0.37130388530434438</v>
      </c>
      <c r="O353">
        <v>-1.39381813010389E-2</v>
      </c>
    </row>
    <row r="354" spans="1:15" x14ac:dyDescent="0.25">
      <c r="A354">
        <v>270.53413399999999</v>
      </c>
      <c r="B354">
        <v>275.61654650000003</v>
      </c>
      <c r="C354">
        <v>44.936334500000001</v>
      </c>
      <c r="D354">
        <v>28.567431750000001</v>
      </c>
      <c r="E354">
        <v>272.97797400000002</v>
      </c>
      <c r="F354">
        <v>6.9659572499999998</v>
      </c>
      <c r="G354">
        <v>340.57558425000002</v>
      </c>
      <c r="H354">
        <v>16</v>
      </c>
      <c r="I354">
        <v>-16</v>
      </c>
      <c r="J354">
        <v>1.1299999999999999</v>
      </c>
      <c r="K354">
        <v>24.299364749999999</v>
      </c>
      <c r="L354">
        <v>0.95502564321295647</v>
      </c>
      <c r="M354">
        <v>1.045826478627093</v>
      </c>
      <c r="N354">
        <v>-0.28616641548528399</v>
      </c>
      <c r="O354">
        <v>0.12609001135626621</v>
      </c>
    </row>
    <row r="355" spans="1:15" x14ac:dyDescent="0.25">
      <c r="A355">
        <v>244.85708224999999</v>
      </c>
      <c r="B355">
        <v>283.66638175000003</v>
      </c>
      <c r="C355">
        <v>84.227382500000004</v>
      </c>
      <c r="D355">
        <v>35.794815</v>
      </c>
      <c r="E355">
        <v>287.10273749999999</v>
      </c>
      <c r="F355">
        <v>7.0146699999999997</v>
      </c>
      <c r="G355">
        <v>335.77423099999999</v>
      </c>
      <c r="H355">
        <v>16</v>
      </c>
      <c r="I355">
        <v>-12</v>
      </c>
      <c r="J355">
        <v>1.1299999999999999</v>
      </c>
      <c r="K355">
        <v>24.12202125</v>
      </c>
      <c r="L355">
        <v>0.70736543204079239</v>
      </c>
      <c r="M355">
        <v>1.0915022577369879</v>
      </c>
      <c r="N355">
        <v>-0.21433843713453049</v>
      </c>
      <c r="O355">
        <v>0.23336913581682239</v>
      </c>
    </row>
    <row r="356" spans="1:15" x14ac:dyDescent="0.25">
      <c r="A356">
        <v>202.52829750000001</v>
      </c>
      <c r="B356">
        <v>266.83586150000002</v>
      </c>
      <c r="C356">
        <v>103.8277415</v>
      </c>
      <c r="D356">
        <v>31.724178500000001</v>
      </c>
      <c r="E356">
        <v>270.73345925000001</v>
      </c>
      <c r="F356">
        <v>6.2839790000000004</v>
      </c>
      <c r="G356">
        <v>306.78825399999999</v>
      </c>
      <c r="H356">
        <v>16</v>
      </c>
      <c r="I356">
        <v>-8</v>
      </c>
      <c r="J356">
        <v>1.1299999999999999</v>
      </c>
      <c r="K356">
        <v>23.0621945</v>
      </c>
      <c r="L356">
        <v>0.4862857997088188</v>
      </c>
      <c r="M356">
        <v>1.1584070952589129</v>
      </c>
      <c r="N356">
        <v>-0.17763729056540489</v>
      </c>
      <c r="O356">
        <v>0.30299832022162981</v>
      </c>
    </row>
    <row r="357" spans="1:15" x14ac:dyDescent="0.25">
      <c r="A357">
        <v>166.923393</v>
      </c>
      <c r="B357">
        <v>251.73647299999999</v>
      </c>
      <c r="C357">
        <v>121.62162025000001</v>
      </c>
      <c r="D357">
        <v>30.539149999999999</v>
      </c>
      <c r="E357">
        <v>258.15450675</v>
      </c>
      <c r="F357">
        <v>6.0404157499999993</v>
      </c>
      <c r="G357">
        <v>286.58382425000002</v>
      </c>
      <c r="H357">
        <v>16</v>
      </c>
      <c r="I357">
        <v>-4</v>
      </c>
      <c r="J357">
        <v>1.1299999999999999</v>
      </c>
      <c r="K357">
        <v>22.283093000000001</v>
      </c>
      <c r="L357">
        <v>0.2488297071108112</v>
      </c>
      <c r="M357">
        <v>1.2148850511266409</v>
      </c>
      <c r="N357">
        <v>-0.15616591780827049</v>
      </c>
      <c r="O357">
        <v>0.38467071517311241</v>
      </c>
    </row>
    <row r="358" spans="1:15" x14ac:dyDescent="0.25">
      <c r="A358">
        <v>133.07842274999999</v>
      </c>
      <c r="B358">
        <v>235.97895449999999</v>
      </c>
      <c r="C358">
        <v>134.58314899999999</v>
      </c>
      <c r="D358">
        <v>30.278185499999999</v>
      </c>
      <c r="E358">
        <v>241.36227400000001</v>
      </c>
      <c r="F358">
        <v>5.4071502499999999</v>
      </c>
      <c r="G358">
        <v>267.11496775000001</v>
      </c>
      <c r="H358">
        <v>16</v>
      </c>
      <c r="I358">
        <v>0</v>
      </c>
      <c r="J358">
        <v>1.1299999999999999</v>
      </c>
      <c r="K358">
        <v>21.5220685</v>
      </c>
      <c r="L358">
        <v>-9.3759899188473276E-3</v>
      </c>
      <c r="M358">
        <v>1.287934901575658</v>
      </c>
      <c r="N358">
        <v>-0.16127242445885831</v>
      </c>
      <c r="O358">
        <v>0.47737878001989908</v>
      </c>
    </row>
    <row r="359" spans="1:15" x14ac:dyDescent="0.25">
      <c r="A359">
        <v>115.97542975</v>
      </c>
      <c r="B359">
        <v>251.88073725000001</v>
      </c>
      <c r="C359">
        <v>165.880493</v>
      </c>
      <c r="D359">
        <v>31.80980375</v>
      </c>
      <c r="E359">
        <v>256.15439225</v>
      </c>
      <c r="F359">
        <v>5.6994259999999999</v>
      </c>
      <c r="G359">
        <v>286.4236985</v>
      </c>
      <c r="H359">
        <v>16</v>
      </c>
      <c r="I359">
        <v>4</v>
      </c>
      <c r="J359">
        <v>1.1299999999999999</v>
      </c>
      <c r="K359">
        <v>22.29026575</v>
      </c>
      <c r="L359">
        <v>-0.27382518448143822</v>
      </c>
      <c r="M359">
        <v>1.207452203051373</v>
      </c>
      <c r="N359">
        <v>-0.16609123896462349</v>
      </c>
      <c r="O359">
        <v>0.37414939558342553</v>
      </c>
    </row>
    <row r="360" spans="1:15" x14ac:dyDescent="0.25">
      <c r="A360">
        <v>91.607045749999997</v>
      </c>
      <c r="B360">
        <v>264.36487575000001</v>
      </c>
      <c r="C360">
        <v>198.577877</v>
      </c>
      <c r="D360">
        <v>33.6083505</v>
      </c>
      <c r="E360">
        <v>264.05519075000001</v>
      </c>
      <c r="F360">
        <v>6.0891284999999993</v>
      </c>
      <c r="G360">
        <v>303.32996400000002</v>
      </c>
      <c r="H360">
        <v>16</v>
      </c>
      <c r="I360">
        <v>8</v>
      </c>
      <c r="J360">
        <v>1.1299999999999999</v>
      </c>
      <c r="K360">
        <v>22.936640000000001</v>
      </c>
      <c r="L360">
        <v>-0.53101441891912127</v>
      </c>
      <c r="M360">
        <v>1.1454842808570751</v>
      </c>
      <c r="N360">
        <v>-0.1949700382215073</v>
      </c>
      <c r="O360">
        <v>0.28059517554157359</v>
      </c>
    </row>
    <row r="361" spans="1:15" x14ac:dyDescent="0.25">
      <c r="A361">
        <v>61.146571999999999</v>
      </c>
      <c r="B361">
        <v>268.61508175</v>
      </c>
      <c r="C361">
        <v>228.29455575</v>
      </c>
      <c r="D361">
        <v>33.956713499999999</v>
      </c>
      <c r="E361">
        <v>262.29476175000002</v>
      </c>
      <c r="F361">
        <v>6.3326915000000001</v>
      </c>
      <c r="G361">
        <v>315.09182750000002</v>
      </c>
      <c r="H361">
        <v>16</v>
      </c>
      <c r="I361">
        <v>12</v>
      </c>
      <c r="J361">
        <v>1.1299999999999999</v>
      </c>
      <c r="K361">
        <v>23.376825749999998</v>
      </c>
      <c r="L361">
        <v>-0.77838262014094073</v>
      </c>
      <c r="M361">
        <v>1.0927342676786569</v>
      </c>
      <c r="N361">
        <v>-0.24587942756935269</v>
      </c>
      <c r="O361">
        <v>0.191947464130824</v>
      </c>
    </row>
    <row r="362" spans="1:15" x14ac:dyDescent="0.25">
      <c r="A362">
        <v>26.5344485</v>
      </c>
      <c r="B362">
        <v>269.14405075000002</v>
      </c>
      <c r="C362">
        <v>256.29506674999999</v>
      </c>
      <c r="D362">
        <v>29.533280000000001</v>
      </c>
      <c r="E362">
        <v>252.56688675000001</v>
      </c>
      <c r="F362">
        <v>6.8198189999999999</v>
      </c>
      <c r="G362">
        <v>326.99281274999998</v>
      </c>
      <c r="H362">
        <v>16</v>
      </c>
      <c r="I362">
        <v>16</v>
      </c>
      <c r="J362">
        <v>1.1299999999999999</v>
      </c>
      <c r="K362">
        <v>23.80499125</v>
      </c>
      <c r="L362">
        <v>-1.023292655120599</v>
      </c>
      <c r="M362">
        <v>1.067161253437823</v>
      </c>
      <c r="N362">
        <v>-0.33148516336590278</v>
      </c>
      <c r="O362">
        <v>9.4487421497396862E-2</v>
      </c>
    </row>
    <row r="363" spans="1:15" x14ac:dyDescent="0.25">
      <c r="A363">
        <v>-17.972565750000001</v>
      </c>
      <c r="B363">
        <v>265.58558625000001</v>
      </c>
      <c r="C363">
        <v>281.08908100000002</v>
      </c>
      <c r="D363">
        <v>-2.8409385</v>
      </c>
      <c r="E363">
        <v>230.78193675</v>
      </c>
      <c r="F363">
        <v>6.9172444999999998</v>
      </c>
      <c r="G363">
        <v>337.99520875000002</v>
      </c>
      <c r="H363">
        <v>16</v>
      </c>
      <c r="I363">
        <v>20</v>
      </c>
      <c r="J363">
        <v>1.1299999999999999</v>
      </c>
      <c r="K363">
        <v>24.206991500000001</v>
      </c>
      <c r="L363">
        <v>-1.239947438376013</v>
      </c>
      <c r="M363">
        <v>1.112937720421161</v>
      </c>
      <c r="N363">
        <v>-0.4445249241394289</v>
      </c>
      <c r="O363">
        <v>-7.1830823628459828E-2</v>
      </c>
    </row>
    <row r="364" spans="1:15" x14ac:dyDescent="0.25">
      <c r="A364">
        <v>-67.385860500000007</v>
      </c>
      <c r="B364">
        <v>255.6315305</v>
      </c>
      <c r="C364">
        <v>300.96041100000002</v>
      </c>
      <c r="D364">
        <v>-49.432343250000002</v>
      </c>
      <c r="E364">
        <v>196.61901125</v>
      </c>
      <c r="F364">
        <v>7.1608084999999999</v>
      </c>
      <c r="G364">
        <v>346.77732099999997</v>
      </c>
      <c r="H364">
        <v>16</v>
      </c>
      <c r="I364">
        <v>24</v>
      </c>
      <c r="J364">
        <v>1.1299999999999999</v>
      </c>
      <c r="K364">
        <v>24.517154000000001</v>
      </c>
      <c r="L364">
        <v>-1.4443338561129631</v>
      </c>
      <c r="M364">
        <v>1.196196884291145</v>
      </c>
      <c r="N364">
        <v>-0.58879366824487356</v>
      </c>
      <c r="O364">
        <v>-0.25710591008824207</v>
      </c>
    </row>
    <row r="365" spans="1:15" x14ac:dyDescent="0.25">
      <c r="A365">
        <v>-109.00654025</v>
      </c>
      <c r="B365">
        <v>217.73882699999999</v>
      </c>
      <c r="C365">
        <v>285.06335474999997</v>
      </c>
      <c r="D365">
        <v>-94.668834500000003</v>
      </c>
      <c r="E365">
        <v>136.60951625000001</v>
      </c>
      <c r="F365">
        <v>6.57625525</v>
      </c>
      <c r="G365">
        <v>318.84947975</v>
      </c>
      <c r="H365">
        <v>16</v>
      </c>
      <c r="I365">
        <v>28</v>
      </c>
      <c r="J365">
        <v>1.1299999999999999</v>
      </c>
      <c r="K365">
        <v>23.509454999999999</v>
      </c>
      <c r="L365">
        <v>-1.652667085359468</v>
      </c>
      <c r="M365">
        <v>1.310169880525079</v>
      </c>
      <c r="N365">
        <v>-0.76428536244110179</v>
      </c>
      <c r="O365">
        <v>-0.45465976715127998</v>
      </c>
    </row>
    <row r="366" spans="1:15" x14ac:dyDescent="0.25">
      <c r="A366">
        <v>-145.176895</v>
      </c>
      <c r="B366">
        <v>179.49705125</v>
      </c>
      <c r="C366">
        <v>265.59848</v>
      </c>
      <c r="D366">
        <v>-137.588875</v>
      </c>
      <c r="E366">
        <v>76.748454999999993</v>
      </c>
      <c r="F366">
        <v>6.1378409999999999</v>
      </c>
      <c r="G366">
        <v>293.36233499999997</v>
      </c>
      <c r="H366">
        <v>16</v>
      </c>
      <c r="I366">
        <v>32</v>
      </c>
      <c r="J366">
        <v>1.1299999999999999</v>
      </c>
      <c r="K366">
        <v>22.546855000000001</v>
      </c>
      <c r="L366">
        <v>-1.8831913922089889</v>
      </c>
      <c r="M366">
        <v>1.4536989134516209</v>
      </c>
      <c r="N366">
        <v>-0.99311482177468124</v>
      </c>
      <c r="O366">
        <v>-0.67631722286887741</v>
      </c>
    </row>
    <row r="367" spans="1:15" x14ac:dyDescent="0.25">
      <c r="A367">
        <v>-176.212219</v>
      </c>
      <c r="B367">
        <v>146.56976299999999</v>
      </c>
      <c r="C367">
        <v>249.38526924999999</v>
      </c>
      <c r="D367">
        <v>-175.48263549999999</v>
      </c>
      <c r="E367">
        <v>21.77003625</v>
      </c>
      <c r="F367">
        <v>5.5045752500000003</v>
      </c>
      <c r="G367">
        <v>275.02115624999999</v>
      </c>
      <c r="H367">
        <v>16</v>
      </c>
      <c r="I367">
        <v>36</v>
      </c>
      <c r="J367">
        <v>1.1299999999999999</v>
      </c>
      <c r="K367">
        <v>21.840779250000001</v>
      </c>
      <c r="L367">
        <v>-2.1536697083591752</v>
      </c>
      <c r="M367">
        <v>1.6296984760552871</v>
      </c>
      <c r="N367">
        <v>-1.281565518754205</v>
      </c>
      <c r="O367">
        <v>-0.91771588044354035</v>
      </c>
    </row>
    <row r="368" spans="1:15" x14ac:dyDescent="0.25">
      <c r="A368">
        <v>-218.59865199999999</v>
      </c>
      <c r="B368">
        <v>121.26757225</v>
      </c>
      <c r="C368">
        <v>247.57878124999999</v>
      </c>
      <c r="D368">
        <v>-221.28732299999999</v>
      </c>
      <c r="E368">
        <v>-35.849773249999998</v>
      </c>
      <c r="F368">
        <v>5.4558627499999997</v>
      </c>
      <c r="G368">
        <v>275.98139950000001</v>
      </c>
      <c r="H368">
        <v>16</v>
      </c>
      <c r="I368">
        <v>40</v>
      </c>
      <c r="J368">
        <v>1.1299999999999999</v>
      </c>
      <c r="K368">
        <v>21.881623999999999</v>
      </c>
      <c r="L368">
        <v>-2.532449581436532</v>
      </c>
      <c r="M368">
        <v>1.860840904324693</v>
      </c>
      <c r="N368">
        <v>-1.6940738006858751</v>
      </c>
      <c r="O368">
        <v>-1.2244311800361951</v>
      </c>
    </row>
    <row r="369" spans="1:15" x14ac:dyDescent="0.25">
      <c r="A369">
        <v>-270.84971624999997</v>
      </c>
      <c r="B369">
        <v>98.908447249999995</v>
      </c>
      <c r="C369">
        <v>252.23048025</v>
      </c>
      <c r="D369">
        <v>-276.4452435</v>
      </c>
      <c r="E369">
        <v>-101.93106825</v>
      </c>
      <c r="F369">
        <v>6.0404157499999993</v>
      </c>
      <c r="G369">
        <v>292.04196150000001</v>
      </c>
      <c r="H369">
        <v>16</v>
      </c>
      <c r="I369">
        <v>44</v>
      </c>
      <c r="J369">
        <v>1.1299999999999999</v>
      </c>
      <c r="K369">
        <v>22.498817249999998</v>
      </c>
      <c r="L369">
        <v>-3.0461803211165832</v>
      </c>
      <c r="M369">
        <v>2.1859213720928858</v>
      </c>
      <c r="N369">
        <v>-2.294352215878551</v>
      </c>
      <c r="O369">
        <v>-1.62877488710903</v>
      </c>
    </row>
    <row r="370" spans="1:15" x14ac:dyDescent="0.25">
      <c r="A370">
        <v>272.56481925000003</v>
      </c>
      <c r="B370">
        <v>116.12249575</v>
      </c>
      <c r="C370">
        <v>-314.18746924999999</v>
      </c>
      <c r="D370">
        <v>-299.43500499999999</v>
      </c>
      <c r="E370">
        <v>-48.516289999999998</v>
      </c>
      <c r="F370">
        <v>6.4301170000000001</v>
      </c>
      <c r="G370">
        <v>311.767494</v>
      </c>
      <c r="H370">
        <v>20</v>
      </c>
      <c r="I370">
        <v>-44</v>
      </c>
      <c r="J370">
        <v>1.1299999999999999</v>
      </c>
      <c r="K370">
        <v>23.24692975</v>
      </c>
      <c r="L370">
        <v>2.271643678440046</v>
      </c>
      <c r="M370">
        <v>1.6088467769086761</v>
      </c>
      <c r="N370">
        <v>-1.3948558595544001</v>
      </c>
      <c r="O370">
        <v>-1.212727266645012</v>
      </c>
    </row>
    <row r="371" spans="1:15" x14ac:dyDescent="0.25">
      <c r="A371">
        <v>287.63712325</v>
      </c>
      <c r="B371">
        <v>153.09903324999999</v>
      </c>
      <c r="C371">
        <v>-280.27001925000002</v>
      </c>
      <c r="D371">
        <v>-263.33322149999998</v>
      </c>
      <c r="E371">
        <v>7.33119225</v>
      </c>
      <c r="F371">
        <v>6.6736807499999999</v>
      </c>
      <c r="G371">
        <v>323.93090825000002</v>
      </c>
      <c r="H371">
        <v>20</v>
      </c>
      <c r="I371">
        <v>-40</v>
      </c>
      <c r="J371">
        <v>1.1299999999999999</v>
      </c>
      <c r="K371">
        <v>23.696347500000002</v>
      </c>
      <c r="L371">
        <v>2.034534293694569</v>
      </c>
      <c r="M371">
        <v>1.491887559841413</v>
      </c>
      <c r="N371">
        <v>-1.1342355952648031</v>
      </c>
      <c r="O371">
        <v>-0.99764915327411485</v>
      </c>
    </row>
    <row r="372" spans="1:15" x14ac:dyDescent="0.25">
      <c r="A372">
        <v>298.82852174999999</v>
      </c>
      <c r="B372">
        <v>188.35754775000001</v>
      </c>
      <c r="C372">
        <v>-243.1051405</v>
      </c>
      <c r="D372">
        <v>-226.53212775</v>
      </c>
      <c r="E372">
        <v>58.965910749999999</v>
      </c>
      <c r="F372">
        <v>6.6736807499999999</v>
      </c>
      <c r="G372">
        <v>334.05376475000003</v>
      </c>
      <c r="H372">
        <v>20</v>
      </c>
      <c r="I372">
        <v>-36</v>
      </c>
      <c r="J372">
        <v>1.1299999999999999</v>
      </c>
      <c r="K372">
        <v>24.071426249999998</v>
      </c>
      <c r="L372">
        <v>1.844664335976655</v>
      </c>
      <c r="M372">
        <v>1.4122153605072829</v>
      </c>
      <c r="N372">
        <v>-0.93635570080043951</v>
      </c>
      <c r="O372">
        <v>-0.8219956713486305</v>
      </c>
    </row>
    <row r="373" spans="1:15" x14ac:dyDescent="0.25">
      <c r="A373">
        <v>304.96574425</v>
      </c>
      <c r="B373">
        <v>222.24353400000001</v>
      </c>
      <c r="C373">
        <v>-196.152939</v>
      </c>
      <c r="D373">
        <v>-180.11555475</v>
      </c>
      <c r="E373">
        <v>112.07543925</v>
      </c>
      <c r="F373">
        <v>7.063383</v>
      </c>
      <c r="G373">
        <v>344.55665549999998</v>
      </c>
      <c r="H373">
        <v>20</v>
      </c>
      <c r="I373">
        <v>-32</v>
      </c>
      <c r="J373">
        <v>1.1299999999999999</v>
      </c>
      <c r="K373">
        <v>24.440397749999999</v>
      </c>
      <c r="L373">
        <v>1.6692277780888649</v>
      </c>
      <c r="M373">
        <v>1.3402580947010221</v>
      </c>
      <c r="N373">
        <v>-0.77439589259063801</v>
      </c>
      <c r="O373">
        <v>-0.6502027480415159</v>
      </c>
    </row>
    <row r="374" spans="1:15" x14ac:dyDescent="0.25">
      <c r="A374">
        <v>277.34825899999998</v>
      </c>
      <c r="B374">
        <v>228.20586800000001</v>
      </c>
      <c r="C374">
        <v>-130.88890075</v>
      </c>
      <c r="D374">
        <v>-117.2215255</v>
      </c>
      <c r="E374">
        <v>143.52907575</v>
      </c>
      <c r="F374">
        <v>6.8198189999999999</v>
      </c>
      <c r="G374">
        <v>319.572563</v>
      </c>
      <c r="H374">
        <v>20</v>
      </c>
      <c r="I374">
        <v>-28</v>
      </c>
      <c r="J374">
        <v>1.1299999999999999</v>
      </c>
      <c r="K374">
        <v>23.527481000000002</v>
      </c>
      <c r="L374">
        <v>1.525634297675897</v>
      </c>
      <c r="M374">
        <v>1.290895470327533</v>
      </c>
      <c r="N374">
        <v>-0.65788515031024142</v>
      </c>
      <c r="O374">
        <v>-0.48908445459539213</v>
      </c>
    </row>
    <row r="375" spans="1:15" x14ac:dyDescent="0.25">
      <c r="A375">
        <v>245.62422950000001</v>
      </c>
      <c r="B375">
        <v>226.6349525</v>
      </c>
      <c r="C375">
        <v>-72.029483749999997</v>
      </c>
      <c r="D375">
        <v>-65.035655750000004</v>
      </c>
      <c r="E375">
        <v>164.67191700000001</v>
      </c>
      <c r="F375">
        <v>6.0891284999999993</v>
      </c>
      <c r="G375">
        <v>293.92843625</v>
      </c>
      <c r="H375">
        <v>20</v>
      </c>
      <c r="I375">
        <v>-24</v>
      </c>
      <c r="J375">
        <v>1.1299999999999999</v>
      </c>
      <c r="K375">
        <v>22.570984750000001</v>
      </c>
      <c r="L375">
        <v>1.3621201729341561</v>
      </c>
      <c r="M375">
        <v>1.250694269562205</v>
      </c>
      <c r="N375">
        <v>-0.55426441675963789</v>
      </c>
      <c r="O375">
        <v>-0.31997225980418342</v>
      </c>
    </row>
    <row r="376" spans="1:15" x14ac:dyDescent="0.25">
      <c r="A376">
        <v>219.76667424999999</v>
      </c>
      <c r="B376">
        <v>226.49069225</v>
      </c>
      <c r="C376">
        <v>-21.69454125</v>
      </c>
      <c r="D376">
        <v>-31.993347750000002</v>
      </c>
      <c r="E376">
        <v>180.104805</v>
      </c>
      <c r="F376">
        <v>5.4558627499999997</v>
      </c>
      <c r="G376">
        <v>275.445221</v>
      </c>
      <c r="H376">
        <v>20</v>
      </c>
      <c r="I376">
        <v>-20</v>
      </c>
      <c r="J376">
        <v>1.1299999999999999</v>
      </c>
      <c r="K376">
        <v>21.859931249999999</v>
      </c>
      <c r="L376">
        <v>1.1667708671446511</v>
      </c>
      <c r="M376">
        <v>1.2490264180104671</v>
      </c>
      <c r="N376">
        <v>-0.46069771412866262</v>
      </c>
      <c r="O376">
        <v>-0.15607896994271181</v>
      </c>
    </row>
    <row r="377" spans="1:15" x14ac:dyDescent="0.25">
      <c r="A377">
        <v>206.86045849999999</v>
      </c>
      <c r="B377">
        <v>238.89719024999999</v>
      </c>
      <c r="C377">
        <v>17.6584115</v>
      </c>
      <c r="D377">
        <v>-13.680214749999999</v>
      </c>
      <c r="E377">
        <v>199.61369725</v>
      </c>
      <c r="F377">
        <v>5.6994259999999999</v>
      </c>
      <c r="G377">
        <v>276.59763325</v>
      </c>
      <c r="H377">
        <v>20</v>
      </c>
      <c r="I377">
        <v>-16</v>
      </c>
      <c r="J377">
        <v>1.1299999999999999</v>
      </c>
      <c r="K377">
        <v>21.896684749999999</v>
      </c>
      <c r="L377">
        <v>0.95738743465236509</v>
      </c>
      <c r="M377">
        <v>1.278065994475428</v>
      </c>
      <c r="N377">
        <v>-0.38955074579654719</v>
      </c>
      <c r="O377">
        <v>-1.8773090937691691E-2</v>
      </c>
    </row>
    <row r="378" spans="1:15" x14ac:dyDescent="0.25">
      <c r="A378">
        <v>200.4976005</v>
      </c>
      <c r="B378">
        <v>262.98889150000002</v>
      </c>
      <c r="C378">
        <v>51.620328999999998</v>
      </c>
      <c r="D378">
        <v>-10.3147935</v>
      </c>
      <c r="E378">
        <v>228.10004050000001</v>
      </c>
      <c r="F378">
        <v>5.8455649999999997</v>
      </c>
      <c r="G378">
        <v>294.585533</v>
      </c>
      <c r="H378">
        <v>20</v>
      </c>
      <c r="I378">
        <v>-12</v>
      </c>
      <c r="J378">
        <v>1.1299999999999999</v>
      </c>
      <c r="K378">
        <v>22.606269000000001</v>
      </c>
      <c r="L378">
        <v>0.71767834979751255</v>
      </c>
      <c r="M378">
        <v>1.3174566081155179</v>
      </c>
      <c r="N378">
        <v>-0.32049459100549621</v>
      </c>
      <c r="O378">
        <v>7.1386101245425382E-2</v>
      </c>
    </row>
    <row r="379" spans="1:15" x14ac:dyDescent="0.25">
      <c r="A379">
        <v>187.90726849999999</v>
      </c>
      <c r="B379">
        <v>282.368019</v>
      </c>
      <c r="C379">
        <v>82.059602749999996</v>
      </c>
      <c r="D379">
        <v>-11.145222499999999</v>
      </c>
      <c r="E379">
        <v>249.28738425</v>
      </c>
      <c r="F379">
        <v>6.4301170000000001</v>
      </c>
      <c r="G379">
        <v>309.388893</v>
      </c>
      <c r="H379">
        <v>20</v>
      </c>
      <c r="I379">
        <v>-8</v>
      </c>
      <c r="J379">
        <v>1.1299999999999999</v>
      </c>
      <c r="K379">
        <v>23.156207500000001</v>
      </c>
      <c r="L379">
        <v>0.49501895320163508</v>
      </c>
      <c r="M379">
        <v>1.3726590346133121</v>
      </c>
      <c r="N379">
        <v>-0.28107926366304548</v>
      </c>
      <c r="O379">
        <v>0.13574713409143749</v>
      </c>
    </row>
    <row r="380" spans="1:15" x14ac:dyDescent="0.25">
      <c r="A380">
        <v>168.50282675</v>
      </c>
      <c r="B380">
        <v>296.55374925000001</v>
      </c>
      <c r="C380">
        <v>111.82143775</v>
      </c>
      <c r="D380">
        <v>-10.62074275</v>
      </c>
      <c r="E380">
        <v>264.24451425000001</v>
      </c>
      <c r="F380">
        <v>6.7711062499999999</v>
      </c>
      <c r="G380">
        <v>320.35128025</v>
      </c>
      <c r="H380">
        <v>20</v>
      </c>
      <c r="I380">
        <v>-4</v>
      </c>
      <c r="J380">
        <v>1.1299999999999999</v>
      </c>
      <c r="K380">
        <v>23.558621500000001</v>
      </c>
      <c r="L380">
        <v>0.26528438795024989</v>
      </c>
      <c r="M380">
        <v>1.4377882375265909</v>
      </c>
      <c r="N380">
        <v>-0.26262418673061921</v>
      </c>
      <c r="O380">
        <v>0.2051675191945653</v>
      </c>
    </row>
    <row r="381" spans="1:15" x14ac:dyDescent="0.25">
      <c r="A381">
        <v>144.81134775000001</v>
      </c>
      <c r="B381">
        <v>308.28702525</v>
      </c>
      <c r="C381">
        <v>143.97687525000001</v>
      </c>
      <c r="D381">
        <v>-8.8724707499999997</v>
      </c>
      <c r="E381">
        <v>274.78374474999998</v>
      </c>
      <c r="F381">
        <v>7.0146699999999997</v>
      </c>
      <c r="G381">
        <v>331.75525649999997</v>
      </c>
      <c r="H381">
        <v>20</v>
      </c>
      <c r="I381">
        <v>0</v>
      </c>
      <c r="J381">
        <v>1.1299999999999999</v>
      </c>
      <c r="K381">
        <v>23.974190750000002</v>
      </c>
      <c r="L381">
        <v>4.0423766780775146E-3</v>
      </c>
      <c r="M381">
        <v>1.530027512966522</v>
      </c>
      <c r="N381">
        <v>-0.27485024180839601</v>
      </c>
      <c r="O381">
        <v>0.29176037873152072</v>
      </c>
    </row>
    <row r="382" spans="1:15" x14ac:dyDescent="0.25">
      <c r="A382">
        <v>115.61441050000001</v>
      </c>
      <c r="B382">
        <v>316.41374200000001</v>
      </c>
      <c r="C382">
        <v>176.49359899999999</v>
      </c>
      <c r="D382">
        <v>-10.839276</v>
      </c>
      <c r="E382">
        <v>278.80702174999999</v>
      </c>
      <c r="F382">
        <v>6.9172444999999998</v>
      </c>
      <c r="G382">
        <v>341.95613850000001</v>
      </c>
      <c r="H382">
        <v>20</v>
      </c>
      <c r="I382">
        <v>4</v>
      </c>
      <c r="J382">
        <v>1.1299999999999999</v>
      </c>
      <c r="K382">
        <v>24.35135975</v>
      </c>
      <c r="L382">
        <v>-0.26886266720524332</v>
      </c>
      <c r="M382">
        <v>1.445367898038675</v>
      </c>
      <c r="N382">
        <v>-0.27892935859808582</v>
      </c>
      <c r="O382">
        <v>0.2008421866156023</v>
      </c>
    </row>
    <row r="383" spans="1:15" x14ac:dyDescent="0.25">
      <c r="A383">
        <v>79.016716250000002</v>
      </c>
      <c r="B383">
        <v>302.66082</v>
      </c>
      <c r="C383">
        <v>196.72623824999999</v>
      </c>
      <c r="D383">
        <v>-11.93194375</v>
      </c>
      <c r="E383">
        <v>262.89315025000002</v>
      </c>
      <c r="F383">
        <v>7.0633827499999997</v>
      </c>
      <c r="G383">
        <v>330.15502900000001</v>
      </c>
      <c r="H383">
        <v>20</v>
      </c>
      <c r="I383">
        <v>8</v>
      </c>
      <c r="J383">
        <v>1.1299999999999999</v>
      </c>
      <c r="K383">
        <v>23.913209250000001</v>
      </c>
      <c r="L383">
        <v>-0.51324510466390949</v>
      </c>
      <c r="M383">
        <v>1.3716961039125211</v>
      </c>
      <c r="N383">
        <v>-0.29330292305024092</v>
      </c>
      <c r="O383">
        <v>0.1154469232374505</v>
      </c>
    </row>
    <row r="384" spans="1:15" x14ac:dyDescent="0.25">
      <c r="A384">
        <v>40.433450749999999</v>
      </c>
      <c r="B384">
        <v>274.81832874999998</v>
      </c>
      <c r="C384">
        <v>203.45539099999999</v>
      </c>
      <c r="D384">
        <v>-11.407463249999999</v>
      </c>
      <c r="E384">
        <v>228.9640885</v>
      </c>
      <c r="F384">
        <v>5.9917029999999993</v>
      </c>
      <c r="G384">
        <v>304.5077665</v>
      </c>
      <c r="H384">
        <v>20</v>
      </c>
      <c r="I384">
        <v>12</v>
      </c>
      <c r="J384">
        <v>1.1299999999999999</v>
      </c>
      <c r="K384">
        <v>22.985778249999999</v>
      </c>
      <c r="L384">
        <v>-0.76016969113515098</v>
      </c>
      <c r="M384">
        <v>1.3346995260211241</v>
      </c>
      <c r="N384">
        <v>-0.35227200619972743</v>
      </c>
      <c r="O384">
        <v>3.9735265979266882E-2</v>
      </c>
    </row>
    <row r="385" spans="1:15" x14ac:dyDescent="0.25">
      <c r="A385">
        <v>6.0469590000000002</v>
      </c>
      <c r="B385">
        <v>246.35069675</v>
      </c>
      <c r="C385">
        <v>205.89413825</v>
      </c>
      <c r="D385">
        <v>-12.0630655</v>
      </c>
      <c r="E385">
        <v>195.09938450000001</v>
      </c>
      <c r="F385">
        <v>5.7481390000000001</v>
      </c>
      <c r="G385">
        <v>281.42996199999999</v>
      </c>
      <c r="H385">
        <v>20</v>
      </c>
      <c r="I385">
        <v>16</v>
      </c>
      <c r="J385">
        <v>1.1299999999999999</v>
      </c>
      <c r="K385">
        <v>22.08916825</v>
      </c>
      <c r="L385">
        <v>-1.008797646435398</v>
      </c>
      <c r="M385">
        <v>1.3044685229931909</v>
      </c>
      <c r="N385">
        <v>-0.43584027407869652</v>
      </c>
      <c r="O385">
        <v>-4.4208356324254648E-2</v>
      </c>
    </row>
    <row r="386" spans="1:15" x14ac:dyDescent="0.25">
      <c r="A386">
        <v>-28.017381749999998</v>
      </c>
      <c r="B386">
        <v>225.72129824999999</v>
      </c>
      <c r="C386">
        <v>207.9715995</v>
      </c>
      <c r="D386">
        <v>-37.019624750000013</v>
      </c>
      <c r="E386">
        <v>162.08972975</v>
      </c>
      <c r="F386">
        <v>5.6994267499999998</v>
      </c>
      <c r="G386">
        <v>267.75514225000001</v>
      </c>
      <c r="H386">
        <v>20</v>
      </c>
      <c r="I386">
        <v>20</v>
      </c>
      <c r="J386">
        <v>1.1299999999999999</v>
      </c>
      <c r="K386">
        <v>21.5363635</v>
      </c>
      <c r="L386">
        <v>-1.212632511500447</v>
      </c>
      <c r="M386">
        <v>1.3501191998247251</v>
      </c>
      <c r="N386">
        <v>-0.54299571865548502</v>
      </c>
      <c r="O386">
        <v>-0.19638089760627331</v>
      </c>
    </row>
    <row r="387" spans="1:15" x14ac:dyDescent="0.25">
      <c r="A387">
        <v>-69.998412999999999</v>
      </c>
      <c r="B387">
        <v>229.32783125</v>
      </c>
      <c r="C387">
        <v>234.03015124999999</v>
      </c>
      <c r="D387">
        <v>-76.617948499999997</v>
      </c>
      <c r="E387">
        <v>141.96464549999999</v>
      </c>
      <c r="F387">
        <v>5.7481390000000001</v>
      </c>
      <c r="G387">
        <v>287.66400149999998</v>
      </c>
      <c r="H387">
        <v>20</v>
      </c>
      <c r="I387">
        <v>24</v>
      </c>
      <c r="J387">
        <v>1.1299999999999999</v>
      </c>
      <c r="K387">
        <v>22.337525750000001</v>
      </c>
      <c r="L387">
        <v>-1.4123123128576049</v>
      </c>
      <c r="M387">
        <v>1.421212486017617</v>
      </c>
      <c r="N387">
        <v>-0.67684660111131301</v>
      </c>
      <c r="O387">
        <v>-0.36724278098041357</v>
      </c>
    </row>
    <row r="388" spans="1:15" x14ac:dyDescent="0.25">
      <c r="A388">
        <v>-117.79012299999999</v>
      </c>
      <c r="B388">
        <v>223.55737325000001</v>
      </c>
      <c r="C388">
        <v>252.45629099999999</v>
      </c>
      <c r="D388">
        <v>-125.91917599999999</v>
      </c>
      <c r="E388">
        <v>109.2894745</v>
      </c>
      <c r="F388">
        <v>6.0891284999999993</v>
      </c>
      <c r="G388">
        <v>301.88970949999998</v>
      </c>
      <c r="H388">
        <v>20</v>
      </c>
      <c r="I388">
        <v>28</v>
      </c>
      <c r="J388">
        <v>1.1299999999999999</v>
      </c>
      <c r="K388">
        <v>22.881005250000001</v>
      </c>
      <c r="L388">
        <v>-1.6018020328682709</v>
      </c>
      <c r="M388">
        <v>1.5119527984655821</v>
      </c>
      <c r="N388">
        <v>-0.83326650818573167</v>
      </c>
      <c r="O388">
        <v>-0.55351900033127321</v>
      </c>
    </row>
    <row r="389" spans="1:15" x14ac:dyDescent="0.25">
      <c r="A389">
        <v>-175.13116425000001</v>
      </c>
      <c r="B389">
        <v>212.78584649999999</v>
      </c>
      <c r="C389">
        <v>267.13399500000003</v>
      </c>
      <c r="D389">
        <v>-187.06493</v>
      </c>
      <c r="E389">
        <v>64.01320475</v>
      </c>
      <c r="F389">
        <v>6.4788297500000001</v>
      </c>
      <c r="G389">
        <v>315.171875</v>
      </c>
      <c r="H389">
        <v>20</v>
      </c>
      <c r="I389">
        <v>32</v>
      </c>
      <c r="J389">
        <v>1.1299999999999999</v>
      </c>
      <c r="K389">
        <v>23.374321500000001</v>
      </c>
      <c r="L389">
        <v>-1.804368484049002</v>
      </c>
      <c r="M389">
        <v>1.63136868042371</v>
      </c>
      <c r="N389">
        <v>-1.0247378892973129</v>
      </c>
      <c r="O389">
        <v>-0.76530724374232151</v>
      </c>
    </row>
    <row r="390" spans="1:15" x14ac:dyDescent="0.25">
      <c r="A390">
        <v>-232.83255399999999</v>
      </c>
      <c r="B390">
        <v>194.60887925</v>
      </c>
      <c r="C390">
        <v>278.92129525000001</v>
      </c>
      <c r="D390">
        <v>-251.18274700000001</v>
      </c>
      <c r="E390">
        <v>8.6275449999999996</v>
      </c>
      <c r="F390">
        <v>6.7711062499999999</v>
      </c>
      <c r="G390">
        <v>327.432907</v>
      </c>
      <c r="H390">
        <v>20</v>
      </c>
      <c r="I390">
        <v>36</v>
      </c>
      <c r="J390">
        <v>1.1299999999999999</v>
      </c>
      <c r="K390">
        <v>23.823155249999999</v>
      </c>
      <c r="L390">
        <v>-2.041889239319032</v>
      </c>
      <c r="M390">
        <v>1.7786562748816499</v>
      </c>
      <c r="N390">
        <v>-1.272069564810415</v>
      </c>
      <c r="O390">
        <v>-0.99259605876226042</v>
      </c>
    </row>
    <row r="391" spans="1:15" x14ac:dyDescent="0.25">
      <c r="A391">
        <v>-290.35378274999999</v>
      </c>
      <c r="B391">
        <v>170.32484475000001</v>
      </c>
      <c r="C391">
        <v>282.57943749999998</v>
      </c>
      <c r="D391">
        <v>-314.64495075000002</v>
      </c>
      <c r="E391">
        <v>-58.110843750000001</v>
      </c>
      <c r="F391">
        <v>6.7223934999999999</v>
      </c>
      <c r="G391">
        <v>336.89545450000003</v>
      </c>
      <c r="H391">
        <v>20</v>
      </c>
      <c r="I391">
        <v>40</v>
      </c>
      <c r="J391">
        <v>1.1299999999999999</v>
      </c>
      <c r="K391">
        <v>24.173887499999999</v>
      </c>
      <c r="L391">
        <v>-2.344474346033159</v>
      </c>
      <c r="M391">
        <v>1.9845821240907211</v>
      </c>
      <c r="N391">
        <v>-1.616517891286708</v>
      </c>
      <c r="O391">
        <v>-1.2653881246716749</v>
      </c>
    </row>
    <row r="392" spans="1:15" x14ac:dyDescent="0.25">
      <c r="A392">
        <v>-345.2624515</v>
      </c>
      <c r="B392">
        <v>141.17423650000001</v>
      </c>
      <c r="C392">
        <v>279.73421474999998</v>
      </c>
      <c r="D392">
        <v>-372.51269524999998</v>
      </c>
      <c r="E392">
        <v>-131.10095974999999</v>
      </c>
      <c r="F392">
        <v>7.063383</v>
      </c>
      <c r="G392">
        <v>345.61698174999998</v>
      </c>
      <c r="H392">
        <v>20</v>
      </c>
      <c r="I392">
        <v>44</v>
      </c>
      <c r="J392">
        <v>1.1299999999999999</v>
      </c>
      <c r="K392">
        <v>24.478746749999999</v>
      </c>
      <c r="L392">
        <v>-2.7438129370363828</v>
      </c>
      <c r="M392">
        <v>2.2551995815262469</v>
      </c>
      <c r="N392">
        <v>-2.0928977331987491</v>
      </c>
      <c r="O392">
        <v>-1.6065808318059269</v>
      </c>
    </row>
    <row r="393" spans="1:15" x14ac:dyDescent="0.25">
      <c r="A393">
        <v>247.293903</v>
      </c>
      <c r="B393">
        <v>133.39387099999999</v>
      </c>
      <c r="C393">
        <v>-325.59852599999999</v>
      </c>
      <c r="D393">
        <v>-332.30249049999998</v>
      </c>
      <c r="E393">
        <v>-68.533704749999998</v>
      </c>
      <c r="F393">
        <v>6.1378409999999999</v>
      </c>
      <c r="G393">
        <v>303.92998499999999</v>
      </c>
      <c r="H393">
        <v>24</v>
      </c>
      <c r="I393">
        <v>-44</v>
      </c>
      <c r="J393">
        <v>1.1299999999999999</v>
      </c>
      <c r="K393">
        <v>22.957891750000002</v>
      </c>
      <c r="L393">
        <v>2.1999080866841538</v>
      </c>
      <c r="M393">
        <v>1.788270857200436</v>
      </c>
      <c r="N393">
        <v>-1.430260325397273</v>
      </c>
      <c r="O393">
        <v>-1.2867345856730781</v>
      </c>
    </row>
    <row r="394" spans="1:15" x14ac:dyDescent="0.25">
      <c r="A394">
        <v>235.47074125</v>
      </c>
      <c r="B394">
        <v>151.76318749999999</v>
      </c>
      <c r="C394">
        <v>-264.75458524999999</v>
      </c>
      <c r="D394">
        <v>-269.71440899999999</v>
      </c>
      <c r="E394">
        <v>-15.339737250000001</v>
      </c>
      <c r="F394">
        <v>5.7968517500000001</v>
      </c>
      <c r="G394">
        <v>284.086792</v>
      </c>
      <c r="H394">
        <v>24</v>
      </c>
      <c r="I394">
        <v>-40</v>
      </c>
      <c r="J394">
        <v>1.1299999999999999</v>
      </c>
      <c r="K394">
        <v>22.19341425</v>
      </c>
      <c r="L394">
        <v>1.9858569585725361</v>
      </c>
      <c r="M394">
        <v>1.6732111897043089</v>
      </c>
      <c r="N394">
        <v>-1.1887021115705469</v>
      </c>
      <c r="O394">
        <v>-1.083902861952148</v>
      </c>
    </row>
    <row r="395" spans="1:15" x14ac:dyDescent="0.25">
      <c r="A395">
        <v>221.66199125</v>
      </c>
      <c r="B395">
        <v>165.46803299999999</v>
      </c>
      <c r="C395">
        <v>-213.51758950000001</v>
      </c>
      <c r="D395">
        <v>-216.39215849999999</v>
      </c>
      <c r="E395">
        <v>24.763405500000001</v>
      </c>
      <c r="F395">
        <v>5.261012</v>
      </c>
      <c r="G395">
        <v>266.53934475</v>
      </c>
      <c r="H395">
        <v>24</v>
      </c>
      <c r="I395">
        <v>-36</v>
      </c>
      <c r="J395">
        <v>1.1299999999999999</v>
      </c>
      <c r="K395">
        <v>21.504366749999999</v>
      </c>
      <c r="L395">
        <v>1.8153848899863361</v>
      </c>
      <c r="M395">
        <v>1.5929504755755091</v>
      </c>
      <c r="N395">
        <v>-1.0085970768819761</v>
      </c>
      <c r="O395">
        <v>-0.91864759385133943</v>
      </c>
    </row>
    <row r="396" spans="1:15" x14ac:dyDescent="0.25">
      <c r="A396">
        <v>231.54473125000001</v>
      </c>
      <c r="B396">
        <v>196.0995825</v>
      </c>
      <c r="C396">
        <v>-187.2676505</v>
      </c>
      <c r="D396">
        <v>-188.59466175</v>
      </c>
      <c r="E396">
        <v>63.342837250000002</v>
      </c>
      <c r="F396">
        <v>5.8455647499999994</v>
      </c>
      <c r="G396">
        <v>281.26265699999999</v>
      </c>
      <c r="H396">
        <v>24</v>
      </c>
      <c r="I396">
        <v>-32</v>
      </c>
      <c r="J396">
        <v>1.1299999999999999</v>
      </c>
      <c r="K396">
        <v>22.078558749999999</v>
      </c>
      <c r="L396">
        <v>1.666761064486626</v>
      </c>
      <c r="M396">
        <v>1.5309793443410591</v>
      </c>
      <c r="N396">
        <v>-0.86726886345383203</v>
      </c>
      <c r="O396">
        <v>-0.77118160644775346</v>
      </c>
    </row>
    <row r="397" spans="1:15" x14ac:dyDescent="0.25">
      <c r="A397">
        <v>240.02852999999999</v>
      </c>
      <c r="B397">
        <v>228.12565225</v>
      </c>
      <c r="C397">
        <v>-152.89916249999999</v>
      </c>
      <c r="D397">
        <v>-156.73243725</v>
      </c>
      <c r="E397">
        <v>104.627224</v>
      </c>
      <c r="F397">
        <v>6.1378409999999999</v>
      </c>
      <c r="G397">
        <v>298.22641775</v>
      </c>
      <c r="H397">
        <v>24</v>
      </c>
      <c r="I397">
        <v>-28</v>
      </c>
      <c r="J397">
        <v>1.1299999999999999</v>
      </c>
      <c r="K397">
        <v>22.736986000000002</v>
      </c>
      <c r="L397">
        <v>1.5145119207064059</v>
      </c>
      <c r="M397">
        <v>1.4833913070022331</v>
      </c>
      <c r="N397">
        <v>-0.74621615325374369</v>
      </c>
      <c r="O397">
        <v>-0.62037478729791673</v>
      </c>
    </row>
    <row r="398" spans="1:15" x14ac:dyDescent="0.25">
      <c r="A398">
        <v>243.36789675</v>
      </c>
      <c r="B398">
        <v>255.29492550000001</v>
      </c>
      <c r="C398">
        <v>-107.34513275</v>
      </c>
      <c r="D398">
        <v>-121.98556499999999</v>
      </c>
      <c r="E398">
        <v>143.04672249999999</v>
      </c>
      <c r="F398">
        <v>6.5275425</v>
      </c>
      <c r="G398">
        <v>312.11324300000001</v>
      </c>
      <c r="H398">
        <v>24</v>
      </c>
      <c r="I398">
        <v>-24</v>
      </c>
      <c r="J398">
        <v>1.1299999999999999</v>
      </c>
      <c r="K398">
        <v>23.25638575</v>
      </c>
      <c r="L398">
        <v>1.3608740595534381</v>
      </c>
      <c r="M398">
        <v>1.4639606338198681</v>
      </c>
      <c r="N398">
        <v>-0.65603402661375187</v>
      </c>
      <c r="O398">
        <v>-0.47026028077252707</v>
      </c>
    </row>
    <row r="399" spans="1:15" x14ac:dyDescent="0.25">
      <c r="A399">
        <v>238.62960050000001</v>
      </c>
      <c r="B399">
        <v>279.5308685</v>
      </c>
      <c r="C399">
        <v>-57.190597500000003</v>
      </c>
      <c r="D399">
        <v>-93.139105000000001</v>
      </c>
      <c r="E399">
        <v>177.02032875</v>
      </c>
      <c r="F399">
        <v>6.9172444999999998</v>
      </c>
      <c r="G399">
        <v>323.13313275000002</v>
      </c>
      <c r="H399">
        <v>24</v>
      </c>
      <c r="I399">
        <v>-20</v>
      </c>
      <c r="J399">
        <v>1.1299999999999999</v>
      </c>
      <c r="K399">
        <v>23.657424750000001</v>
      </c>
      <c r="L399">
        <v>1.1730221826461209</v>
      </c>
      <c r="M399">
        <v>1.4777497555347781</v>
      </c>
      <c r="N399">
        <v>-0.57938888848908132</v>
      </c>
      <c r="O399">
        <v>-0.32546623464722479</v>
      </c>
    </row>
    <row r="400" spans="1:15" x14ac:dyDescent="0.25">
      <c r="A400">
        <v>228.792</v>
      </c>
      <c r="B400">
        <v>302.32420350000001</v>
      </c>
      <c r="C400">
        <v>-15.154606749999999</v>
      </c>
      <c r="D400">
        <v>-73.645888999999997</v>
      </c>
      <c r="E400">
        <v>206.68909099999999</v>
      </c>
      <c r="F400">
        <v>6.7711062499999999</v>
      </c>
      <c r="G400">
        <v>334.495003</v>
      </c>
      <c r="H400">
        <v>24</v>
      </c>
      <c r="I400">
        <v>-16</v>
      </c>
      <c r="J400">
        <v>1.1299999999999999</v>
      </c>
      <c r="K400">
        <v>24.084058500000001</v>
      </c>
      <c r="L400">
        <v>0.97155912469567762</v>
      </c>
      <c r="M400">
        <v>1.497358718561937</v>
      </c>
      <c r="N400">
        <v>-0.50900840024365945</v>
      </c>
      <c r="O400">
        <v>-0.20379770517373691</v>
      </c>
    </row>
    <row r="401" spans="1:15" x14ac:dyDescent="0.25">
      <c r="A401">
        <v>213.94533575</v>
      </c>
      <c r="B401">
        <v>319.20281249999999</v>
      </c>
      <c r="C401">
        <v>23.5746495</v>
      </c>
      <c r="D401">
        <v>-66.827634750000001</v>
      </c>
      <c r="E401">
        <v>230.14115899999999</v>
      </c>
      <c r="F401">
        <v>7.1608082499999997</v>
      </c>
      <c r="G401">
        <v>344.1566085</v>
      </c>
      <c r="H401">
        <v>24</v>
      </c>
      <c r="I401">
        <v>-12</v>
      </c>
      <c r="J401">
        <v>1.1299999999999999</v>
      </c>
      <c r="K401">
        <v>24.4223775</v>
      </c>
      <c r="L401">
        <v>0.75613589238312617</v>
      </c>
      <c r="M401">
        <v>1.533272032754452</v>
      </c>
      <c r="N401">
        <v>-0.4528581868400593</v>
      </c>
      <c r="O401">
        <v>-0.11432575172786889</v>
      </c>
    </row>
    <row r="402" spans="1:15" x14ac:dyDescent="0.25">
      <c r="A402">
        <v>176.2646025</v>
      </c>
      <c r="B402">
        <v>304.44004074999998</v>
      </c>
      <c r="C402">
        <v>53.155841000000002</v>
      </c>
      <c r="D402">
        <v>-57.430681</v>
      </c>
      <c r="E402">
        <v>226.22259174999999</v>
      </c>
      <c r="F402">
        <v>6.624968</v>
      </c>
      <c r="G402">
        <v>321.71419524999999</v>
      </c>
      <c r="H402">
        <v>24</v>
      </c>
      <c r="I402">
        <v>-8</v>
      </c>
      <c r="J402">
        <v>1.1299999999999999</v>
      </c>
      <c r="K402">
        <v>23.615203000000001</v>
      </c>
      <c r="L402">
        <v>0.53908752801861159</v>
      </c>
      <c r="M402">
        <v>1.584647137605274</v>
      </c>
      <c r="N402">
        <v>-0.4181496852937136</v>
      </c>
      <c r="O402">
        <v>-3.8358409723778172E-2</v>
      </c>
    </row>
    <row r="403" spans="1:15" x14ac:dyDescent="0.25">
      <c r="A403">
        <v>138.35823425000001</v>
      </c>
      <c r="B403">
        <v>286.11882774999998</v>
      </c>
      <c r="C403">
        <v>77.949846250000007</v>
      </c>
      <c r="D403">
        <v>-48.645621249999998</v>
      </c>
      <c r="E403">
        <v>215.49491524999999</v>
      </c>
      <c r="F403">
        <v>6.0404157499999993</v>
      </c>
      <c r="G403">
        <v>298.831772</v>
      </c>
      <c r="H403">
        <v>24</v>
      </c>
      <c r="I403">
        <v>-4</v>
      </c>
      <c r="J403">
        <v>1.1299999999999999</v>
      </c>
      <c r="K403">
        <v>22.764315249999999</v>
      </c>
      <c r="L403">
        <v>0.300780175997996</v>
      </c>
      <c r="M403">
        <v>1.666807513704492</v>
      </c>
      <c r="N403">
        <v>-0.41494827219018843</v>
      </c>
      <c r="O403">
        <v>4.2873931231230671E-2</v>
      </c>
    </row>
    <row r="404" spans="1:15" x14ac:dyDescent="0.25">
      <c r="A404">
        <v>102.302057</v>
      </c>
      <c r="B404">
        <v>265.68177025</v>
      </c>
      <c r="C404">
        <v>99.763156750000007</v>
      </c>
      <c r="D404">
        <v>-41.302886999999998</v>
      </c>
      <c r="E404">
        <v>201.51699074999999</v>
      </c>
      <c r="F404">
        <v>5.6020004999999999</v>
      </c>
      <c r="G404">
        <v>276.27753424999997</v>
      </c>
      <c r="H404">
        <v>24</v>
      </c>
      <c r="I404">
        <v>0</v>
      </c>
      <c r="J404">
        <v>1.1299999999999999</v>
      </c>
      <c r="K404">
        <v>21.887689000000002</v>
      </c>
      <c r="L404">
        <v>1.47425127783819E-2</v>
      </c>
      <c r="M404">
        <v>1.7818368655019829</v>
      </c>
      <c r="N404">
        <v>-0.4339408698535337</v>
      </c>
      <c r="O404">
        <v>0.13714287876113229</v>
      </c>
    </row>
    <row r="405" spans="1:15" x14ac:dyDescent="0.25">
      <c r="A405">
        <v>73.736899999999991</v>
      </c>
      <c r="B405">
        <v>262.21948250000003</v>
      </c>
      <c r="C405">
        <v>122.20872900000001</v>
      </c>
      <c r="D405">
        <v>-43.094859999999997</v>
      </c>
      <c r="E405">
        <v>196.00598550000001</v>
      </c>
      <c r="F405">
        <v>5.4071499999999997</v>
      </c>
      <c r="G405">
        <v>273.24492650000002</v>
      </c>
      <c r="H405">
        <v>24</v>
      </c>
      <c r="I405">
        <v>4</v>
      </c>
      <c r="J405">
        <v>1.1299999999999999</v>
      </c>
      <c r="K405">
        <v>21.772652000000001</v>
      </c>
      <c r="L405">
        <v>-0.26826458873795539</v>
      </c>
      <c r="M405">
        <v>1.68976528752193</v>
      </c>
      <c r="N405">
        <v>-0.42748106007997921</v>
      </c>
      <c r="O405">
        <v>5.4870632690401412E-2</v>
      </c>
    </row>
    <row r="406" spans="1:15" x14ac:dyDescent="0.25">
      <c r="A406">
        <v>44.17895875</v>
      </c>
      <c r="B406">
        <v>278.56912975</v>
      </c>
      <c r="C406">
        <v>155.08675375000001</v>
      </c>
      <c r="D406">
        <v>-50.918374</v>
      </c>
      <c r="E406">
        <v>202.09825925000001</v>
      </c>
      <c r="F406">
        <v>5.7968517500000001</v>
      </c>
      <c r="G406">
        <v>292.12802875</v>
      </c>
      <c r="H406">
        <v>24</v>
      </c>
      <c r="I406">
        <v>8</v>
      </c>
      <c r="J406">
        <v>1.1299999999999999</v>
      </c>
      <c r="K406">
        <v>22.511782</v>
      </c>
      <c r="L406">
        <v>-0.53976416850570219</v>
      </c>
      <c r="M406">
        <v>1.603623648892458</v>
      </c>
      <c r="N406">
        <v>-0.43819889442074222</v>
      </c>
      <c r="O406">
        <v>-4.4603821406027228E-2</v>
      </c>
    </row>
    <row r="407" spans="1:15" x14ac:dyDescent="0.25">
      <c r="A407">
        <v>9.3412027500000008</v>
      </c>
      <c r="B407">
        <v>286.64777350000003</v>
      </c>
      <c r="C407">
        <v>183.94535450000001</v>
      </c>
      <c r="D407">
        <v>-59.965673500000001</v>
      </c>
      <c r="E407">
        <v>198.16432950000001</v>
      </c>
      <c r="F407">
        <v>6.3326915000000001</v>
      </c>
      <c r="G407">
        <v>305.47254175</v>
      </c>
      <c r="H407">
        <v>24</v>
      </c>
      <c r="I407">
        <v>12</v>
      </c>
      <c r="J407">
        <v>1.1299999999999999</v>
      </c>
      <c r="K407">
        <v>23.009793500000001</v>
      </c>
      <c r="L407">
        <v>-0.78131118323516102</v>
      </c>
      <c r="M407">
        <v>1.551046264501355</v>
      </c>
      <c r="N407">
        <v>-0.48023311933773738</v>
      </c>
      <c r="O407">
        <v>-0.1415953954858169</v>
      </c>
    </row>
    <row r="408" spans="1:15" x14ac:dyDescent="0.25">
      <c r="A408">
        <v>-30.810112499999999</v>
      </c>
      <c r="B408">
        <v>292.46633150000002</v>
      </c>
      <c r="C408">
        <v>210.27487149999999</v>
      </c>
      <c r="D408">
        <v>-71.679082749999992</v>
      </c>
      <c r="E408">
        <v>187.65946224999999</v>
      </c>
      <c r="F408">
        <v>6.6736807499999999</v>
      </c>
      <c r="G408">
        <v>318.53236399999997</v>
      </c>
      <c r="H408">
        <v>24</v>
      </c>
      <c r="I408">
        <v>16</v>
      </c>
      <c r="J408">
        <v>1.1299999999999999</v>
      </c>
      <c r="K408">
        <v>23.493862</v>
      </c>
      <c r="L408">
        <v>-1.009098258506324</v>
      </c>
      <c r="M408">
        <v>1.52424849665596</v>
      </c>
      <c r="N408">
        <v>-0.54780853954753839</v>
      </c>
      <c r="O408">
        <v>-0.24242493178595459</v>
      </c>
    </row>
    <row r="409" spans="1:15" x14ac:dyDescent="0.25">
      <c r="A409">
        <v>-77.655899000000005</v>
      </c>
      <c r="B409">
        <v>291.50458524999999</v>
      </c>
      <c r="C409">
        <v>234.34627900000001</v>
      </c>
      <c r="D409">
        <v>-97.466070250000001</v>
      </c>
      <c r="E409">
        <v>166.37028900000001</v>
      </c>
      <c r="F409">
        <v>6.6736807499999999</v>
      </c>
      <c r="G409">
        <v>330.17432400000001</v>
      </c>
      <c r="H409">
        <v>24</v>
      </c>
      <c r="I409">
        <v>20</v>
      </c>
      <c r="J409">
        <v>1.1299999999999999</v>
      </c>
      <c r="K409">
        <v>23.928379</v>
      </c>
      <c r="L409">
        <v>-1.228669648645861</v>
      </c>
      <c r="M409">
        <v>1.5317906611265359</v>
      </c>
      <c r="N409">
        <v>-0.6450666541557919</v>
      </c>
      <c r="O409">
        <v>-0.37109111667004357</v>
      </c>
    </row>
    <row r="410" spans="1:15" x14ac:dyDescent="0.25">
      <c r="A410">
        <v>-127.24937075</v>
      </c>
      <c r="B410">
        <v>284.96472925</v>
      </c>
      <c r="C410">
        <v>253.26921849999999</v>
      </c>
      <c r="D410">
        <v>-139.249729</v>
      </c>
      <c r="E410">
        <v>135.58161924999999</v>
      </c>
      <c r="F410">
        <v>7.2095212499999999</v>
      </c>
      <c r="G410">
        <v>339.63561225000001</v>
      </c>
      <c r="H410">
        <v>24</v>
      </c>
      <c r="I410">
        <v>24</v>
      </c>
      <c r="J410">
        <v>1.1299999999999999</v>
      </c>
      <c r="K410">
        <v>24.2562295</v>
      </c>
      <c r="L410">
        <v>-1.4154515609945679</v>
      </c>
      <c r="M410">
        <v>1.57801596041216</v>
      </c>
      <c r="N410">
        <v>-0.75906920093116925</v>
      </c>
      <c r="O410">
        <v>-0.52247693394258055</v>
      </c>
    </row>
    <row r="411" spans="1:15" x14ac:dyDescent="0.25">
      <c r="A411">
        <v>-178.23921225000001</v>
      </c>
      <c r="B411">
        <v>262.9888765</v>
      </c>
      <c r="C411">
        <v>256.79185875000002</v>
      </c>
      <c r="D411">
        <v>-188.33242425</v>
      </c>
      <c r="E411">
        <v>89.666377999999995</v>
      </c>
      <c r="F411">
        <v>6.7711062499999999</v>
      </c>
      <c r="G411">
        <v>334.7145385</v>
      </c>
      <c r="H411">
        <v>24</v>
      </c>
      <c r="I411">
        <v>28</v>
      </c>
      <c r="J411">
        <v>1.1299999999999999</v>
      </c>
      <c r="K411">
        <v>24.092078749999999</v>
      </c>
      <c r="L411">
        <v>-1.5938334848465019</v>
      </c>
      <c r="M411">
        <v>1.653533547451268</v>
      </c>
      <c r="N411">
        <v>-0.89782488432595398</v>
      </c>
      <c r="O411">
        <v>-0.69632863548294766</v>
      </c>
    </row>
    <row r="412" spans="1:15" x14ac:dyDescent="0.25">
      <c r="A412">
        <v>-205.98632050000001</v>
      </c>
      <c r="B412">
        <v>219.66231525000001</v>
      </c>
      <c r="C412">
        <v>238.09473825000001</v>
      </c>
      <c r="D412">
        <v>-216.129921</v>
      </c>
      <c r="E412">
        <v>39.648253250000003</v>
      </c>
      <c r="F412">
        <v>6.1865537499999999</v>
      </c>
      <c r="G412">
        <v>305.14788049999999</v>
      </c>
      <c r="H412">
        <v>24</v>
      </c>
      <c r="I412">
        <v>32</v>
      </c>
      <c r="J412">
        <v>1.1299999999999999</v>
      </c>
      <c r="K412">
        <v>23.002915999999999</v>
      </c>
      <c r="L412">
        <v>-1.7713284171060479</v>
      </c>
      <c r="M412">
        <v>1.73825171381772</v>
      </c>
      <c r="N412">
        <v>-1.059010763598242</v>
      </c>
      <c r="O412">
        <v>-0.86651609525402551</v>
      </c>
    </row>
    <row r="413" spans="1:15" x14ac:dyDescent="0.25">
      <c r="A413">
        <v>-232.517258</v>
      </c>
      <c r="B413">
        <v>184.60674275</v>
      </c>
      <c r="C413">
        <v>222.55896000000001</v>
      </c>
      <c r="D413">
        <v>-248.90999199999999</v>
      </c>
      <c r="E413">
        <v>-11.59393925</v>
      </c>
      <c r="F413">
        <v>5.6994259999999999</v>
      </c>
      <c r="G413">
        <v>285.92701749999998</v>
      </c>
      <c r="H413">
        <v>24</v>
      </c>
      <c r="I413">
        <v>36</v>
      </c>
      <c r="J413">
        <v>1.1299999999999999</v>
      </c>
      <c r="K413">
        <v>22.270543499999999</v>
      </c>
      <c r="L413">
        <v>-1.9862097858303831</v>
      </c>
      <c r="M413">
        <v>1.892125086358295</v>
      </c>
      <c r="N413">
        <v>-1.298579267217983</v>
      </c>
      <c r="O413">
        <v>-1.0754870229275839</v>
      </c>
    </row>
    <row r="414" spans="1:15" x14ac:dyDescent="0.25">
      <c r="A414">
        <v>-253.28255075000001</v>
      </c>
      <c r="B414">
        <v>150.84953725</v>
      </c>
      <c r="C414">
        <v>205.57800674999999</v>
      </c>
      <c r="D414">
        <v>-274.60957350000001</v>
      </c>
      <c r="E414">
        <v>-59.084535500000001</v>
      </c>
      <c r="F414">
        <v>5.4558627499999997</v>
      </c>
      <c r="G414">
        <v>267.26847824999999</v>
      </c>
      <c r="H414">
        <v>24</v>
      </c>
      <c r="I414">
        <v>40</v>
      </c>
      <c r="J414">
        <v>1.1299999999999999</v>
      </c>
      <c r="K414">
        <v>21.526373499999998</v>
      </c>
      <c r="L414">
        <v>-2.2398531054973412</v>
      </c>
      <c r="M414">
        <v>2.0768286517365939</v>
      </c>
      <c r="N414">
        <v>-1.5930630892282349</v>
      </c>
      <c r="O414">
        <v>-1.3150362351893781</v>
      </c>
    </row>
    <row r="415" spans="1:15" x14ac:dyDescent="0.25">
      <c r="A415">
        <v>-300.62381749999997</v>
      </c>
      <c r="B415">
        <v>132.624481</v>
      </c>
      <c r="C415">
        <v>206.57157125000001</v>
      </c>
      <c r="D415">
        <v>-327.45104199999997</v>
      </c>
      <c r="E415">
        <v>-117.77540575</v>
      </c>
      <c r="F415">
        <v>5.6020004999999999</v>
      </c>
      <c r="G415">
        <v>280.50248725</v>
      </c>
      <c r="H415">
        <v>24</v>
      </c>
      <c r="I415">
        <v>44</v>
      </c>
      <c r="J415">
        <v>1.1299999999999999</v>
      </c>
      <c r="K415">
        <v>22.057854750000001</v>
      </c>
      <c r="L415">
        <v>-2.5843048298402009</v>
      </c>
      <c r="M415">
        <v>2.3442054840611082</v>
      </c>
      <c r="N415">
        <v>-2.0293531802624551</v>
      </c>
      <c r="O415">
        <v>-1.6286492879755461</v>
      </c>
    </row>
    <row r="416" spans="1:15" x14ac:dyDescent="0.25">
      <c r="A416">
        <v>223.015793</v>
      </c>
      <c r="B416">
        <v>150.22440349999999</v>
      </c>
      <c r="C416">
        <v>-346.97734824999998</v>
      </c>
      <c r="D416">
        <v>-363.24687175000003</v>
      </c>
      <c r="E416">
        <v>-93.37591175</v>
      </c>
      <c r="F416">
        <v>5.9917032499999996</v>
      </c>
      <c r="G416">
        <v>301.54711924999998</v>
      </c>
      <c r="H416">
        <v>28</v>
      </c>
      <c r="I416">
        <v>-44</v>
      </c>
      <c r="J416">
        <v>1.1299999999999999</v>
      </c>
      <c r="K416">
        <v>22.871523249999999</v>
      </c>
      <c r="L416">
        <v>2.1777470067946778</v>
      </c>
      <c r="M416">
        <v>1.9618025285000049</v>
      </c>
      <c r="N416">
        <v>-1.508870100525193</v>
      </c>
      <c r="O416">
        <v>-1.3796572640502649</v>
      </c>
    </row>
    <row r="417" spans="1:15" x14ac:dyDescent="0.25">
      <c r="A417">
        <v>237.45630675000001</v>
      </c>
      <c r="B417">
        <v>184.1258775</v>
      </c>
      <c r="C417">
        <v>-321.4039535</v>
      </c>
      <c r="D417">
        <v>-338.85850525000001</v>
      </c>
      <c r="E417">
        <v>-46.598846500000001</v>
      </c>
      <c r="F417">
        <v>6.2352660000000002</v>
      </c>
      <c r="G417">
        <v>313.97163375000002</v>
      </c>
      <c r="H417">
        <v>28</v>
      </c>
      <c r="I417">
        <v>-40</v>
      </c>
      <c r="J417">
        <v>1.1299999999999999</v>
      </c>
      <c r="K417">
        <v>23.33807775</v>
      </c>
      <c r="L417">
        <v>1.971083242921946</v>
      </c>
      <c r="M417">
        <v>1.8445346981716291</v>
      </c>
      <c r="N417">
        <v>-1.2717288831381131</v>
      </c>
      <c r="O417">
        <v>-1.186347239382229</v>
      </c>
    </row>
    <row r="418" spans="1:15" x14ac:dyDescent="0.25">
      <c r="A418">
        <v>246.39137625000001</v>
      </c>
      <c r="B418">
        <v>216.82516874999999</v>
      </c>
      <c r="C418">
        <v>-296.50708774999998</v>
      </c>
      <c r="D418">
        <v>-309.09418499999998</v>
      </c>
      <c r="E418">
        <v>-2.5417515000000002</v>
      </c>
      <c r="F418">
        <v>6.624968</v>
      </c>
      <c r="G418">
        <v>324.712242</v>
      </c>
      <c r="H418">
        <v>28</v>
      </c>
      <c r="I418">
        <v>-36</v>
      </c>
      <c r="J418">
        <v>1.1299999999999999</v>
      </c>
      <c r="K418">
        <v>23.727328750000002</v>
      </c>
      <c r="L418">
        <v>1.8080877638878421</v>
      </c>
      <c r="M418">
        <v>1.751543723133465</v>
      </c>
      <c r="N418">
        <v>-1.089903770465521</v>
      </c>
      <c r="O418">
        <v>-1.0305160143251759</v>
      </c>
    </row>
    <row r="419" spans="1:15" x14ac:dyDescent="0.25">
      <c r="A419">
        <v>253.11525349999999</v>
      </c>
      <c r="B419">
        <v>247.45670675</v>
      </c>
      <c r="C419">
        <v>-264.21333325000001</v>
      </c>
      <c r="D419">
        <v>-272.336815</v>
      </c>
      <c r="E419">
        <v>40.720965499999998</v>
      </c>
      <c r="F419">
        <v>6.7223934999999999</v>
      </c>
      <c r="G419">
        <v>335.83577724999998</v>
      </c>
      <c r="H419">
        <v>28</v>
      </c>
      <c r="I419">
        <v>-32</v>
      </c>
      <c r="J419">
        <v>1.1299999999999999</v>
      </c>
      <c r="K419">
        <v>24.135063500000001</v>
      </c>
      <c r="L419">
        <v>1.674234387777507</v>
      </c>
      <c r="M419">
        <v>1.68221380027165</v>
      </c>
      <c r="N419">
        <v>-0.95509155289414505</v>
      </c>
      <c r="O419">
        <v>-0.88997706104175778</v>
      </c>
    </row>
    <row r="420" spans="1:15" x14ac:dyDescent="0.25">
      <c r="A420">
        <v>252.70911774999999</v>
      </c>
      <c r="B420">
        <v>275.53963475</v>
      </c>
      <c r="C420">
        <v>-218.92994675</v>
      </c>
      <c r="D420">
        <v>-230.90280150000001</v>
      </c>
      <c r="E420">
        <v>80.766122999999993</v>
      </c>
      <c r="F420">
        <v>7.1120954999999997</v>
      </c>
      <c r="G420">
        <v>344.9366685</v>
      </c>
      <c r="H420">
        <v>28</v>
      </c>
      <c r="I420">
        <v>-28</v>
      </c>
      <c r="J420">
        <v>1.1299999999999999</v>
      </c>
      <c r="K420">
        <v>24.452390999999999</v>
      </c>
      <c r="L420">
        <v>1.5429131182726901</v>
      </c>
      <c r="M420">
        <v>1.6567622985547961</v>
      </c>
      <c r="N420">
        <v>-0.8642118014616853</v>
      </c>
      <c r="O420">
        <v>-0.75905534216021275</v>
      </c>
    </row>
    <row r="421" spans="1:15" x14ac:dyDescent="0.25">
      <c r="A421">
        <v>224.09882350000001</v>
      </c>
      <c r="B421">
        <v>270.49047875000002</v>
      </c>
      <c r="C421">
        <v>-145.00613824999999</v>
      </c>
      <c r="D421">
        <v>-168.00878549999999</v>
      </c>
      <c r="E421">
        <v>107.2779445</v>
      </c>
      <c r="F421">
        <v>6.5275425</v>
      </c>
      <c r="G421">
        <v>317.63061525000001</v>
      </c>
      <c r="H421">
        <v>28</v>
      </c>
      <c r="I421">
        <v>-24</v>
      </c>
      <c r="J421">
        <v>1.1299999999999999</v>
      </c>
      <c r="K421">
        <v>23.465366499999998</v>
      </c>
      <c r="L421">
        <v>1.399269617231466</v>
      </c>
      <c r="M421">
        <v>1.662336029674462</v>
      </c>
      <c r="N421">
        <v>-0.79744448035866422</v>
      </c>
      <c r="O421">
        <v>-0.6180658884400233</v>
      </c>
    </row>
    <row r="422" spans="1:15" x14ac:dyDescent="0.25">
      <c r="A422">
        <v>196.436207</v>
      </c>
      <c r="B422">
        <v>264.33532700000001</v>
      </c>
      <c r="C422">
        <v>-88.582284749999999</v>
      </c>
      <c r="D422">
        <v>-127.6237335</v>
      </c>
      <c r="E422">
        <v>124.50342775</v>
      </c>
      <c r="F422">
        <v>6.0891284999999993</v>
      </c>
      <c r="G422">
        <v>295.19143674999998</v>
      </c>
      <c r="H422">
        <v>28</v>
      </c>
      <c r="I422">
        <v>-20</v>
      </c>
      <c r="J422">
        <v>1.1299999999999999</v>
      </c>
      <c r="K422">
        <v>22.6204255</v>
      </c>
      <c r="L422">
        <v>1.225331128509801</v>
      </c>
      <c r="M422">
        <v>1.685071786745288</v>
      </c>
      <c r="N422">
        <v>-0.73381333660571957</v>
      </c>
      <c r="O422">
        <v>-0.49092709468977092</v>
      </c>
    </row>
    <row r="423" spans="1:15" x14ac:dyDescent="0.25">
      <c r="A423">
        <v>167.78079600000001</v>
      </c>
      <c r="B423">
        <v>254.81404875000001</v>
      </c>
      <c r="C423">
        <v>-46.681603500000001</v>
      </c>
      <c r="D423">
        <v>-103.27907175</v>
      </c>
      <c r="E423">
        <v>133.57854850000001</v>
      </c>
      <c r="F423">
        <v>5.7481390000000001</v>
      </c>
      <c r="G423">
        <v>273.38914475000001</v>
      </c>
      <c r="H423">
        <v>28</v>
      </c>
      <c r="I423">
        <v>-16</v>
      </c>
      <c r="J423">
        <v>1.1299999999999999</v>
      </c>
      <c r="K423">
        <v>21.764651000000001</v>
      </c>
      <c r="L423">
        <v>1.0283049485128739</v>
      </c>
      <c r="M423">
        <v>1.7169844203893729</v>
      </c>
      <c r="N423">
        <v>-0.6703774434413402</v>
      </c>
      <c r="O423">
        <v>-0.38706360445478533</v>
      </c>
    </row>
    <row r="424" spans="1:15" x14ac:dyDescent="0.25">
      <c r="A424">
        <v>152.57312375000001</v>
      </c>
      <c r="B424">
        <v>265.1047135</v>
      </c>
      <c r="C424">
        <v>-14.974195249999999</v>
      </c>
      <c r="D424">
        <v>-97.029007249999992</v>
      </c>
      <c r="E424">
        <v>149.33038350000001</v>
      </c>
      <c r="F424">
        <v>5.7481390000000001</v>
      </c>
      <c r="G424">
        <v>277.07776625000002</v>
      </c>
      <c r="H424">
        <v>28</v>
      </c>
      <c r="I424">
        <v>-12</v>
      </c>
      <c r="J424">
        <v>1.1299999999999999</v>
      </c>
      <c r="K424">
        <v>21.914112249999999</v>
      </c>
      <c r="L424">
        <v>0.81599796541438741</v>
      </c>
      <c r="M424">
        <v>1.763662303592707</v>
      </c>
      <c r="N424">
        <v>-0.62216570850607844</v>
      </c>
      <c r="O424">
        <v>-0.30073483837455772</v>
      </c>
    </row>
    <row r="425" spans="1:15" x14ac:dyDescent="0.25">
      <c r="A425">
        <v>138.85462150000001</v>
      </c>
      <c r="B425">
        <v>286.02264400000001</v>
      </c>
      <c r="C425">
        <v>13.955117</v>
      </c>
      <c r="D425">
        <v>-97.728309499999995</v>
      </c>
      <c r="E425">
        <v>167.37675125000001</v>
      </c>
      <c r="F425">
        <v>5.7968519999999986</v>
      </c>
      <c r="G425">
        <v>294.64269999999999</v>
      </c>
      <c r="H425">
        <v>28</v>
      </c>
      <c r="I425">
        <v>-8</v>
      </c>
      <c r="J425">
        <v>1.1299999999999999</v>
      </c>
      <c r="K425">
        <v>22.61042175</v>
      </c>
      <c r="L425">
        <v>0.59687257045866304</v>
      </c>
      <c r="M425">
        <v>1.8338474252004759</v>
      </c>
      <c r="N425">
        <v>-0.60819188905004706</v>
      </c>
      <c r="O425">
        <v>-0.22787999722848751</v>
      </c>
    </row>
    <row r="426" spans="1:15" x14ac:dyDescent="0.25">
      <c r="A426">
        <v>117.69023525</v>
      </c>
      <c r="B426">
        <v>301.79523449999999</v>
      </c>
      <c r="C426">
        <v>48.142846000000013</v>
      </c>
      <c r="D426">
        <v>-96.067457250000004</v>
      </c>
      <c r="E426">
        <v>181.67863875</v>
      </c>
      <c r="F426">
        <v>6.1378409999999999</v>
      </c>
      <c r="G426">
        <v>307.86850724999999</v>
      </c>
      <c r="H426">
        <v>28</v>
      </c>
      <c r="I426">
        <v>-4</v>
      </c>
      <c r="J426">
        <v>1.1299999999999999</v>
      </c>
      <c r="K426">
        <v>23.109225500000001</v>
      </c>
      <c r="L426">
        <v>0.338193546663137</v>
      </c>
      <c r="M426">
        <v>1.934749540803093</v>
      </c>
      <c r="N426">
        <v>-0.61364492703366558</v>
      </c>
      <c r="O426">
        <v>-0.1463641781276924</v>
      </c>
    </row>
    <row r="427" spans="1:15" x14ac:dyDescent="0.25">
      <c r="A427">
        <v>89.756855000000002</v>
      </c>
      <c r="B427">
        <v>315.06730675</v>
      </c>
      <c r="C427">
        <v>82.330574249999998</v>
      </c>
      <c r="D427">
        <v>-99.47657774999999</v>
      </c>
      <c r="E427">
        <v>189.49998500000001</v>
      </c>
      <c r="F427">
        <v>6.7223934999999999</v>
      </c>
      <c r="G427">
        <v>320.69278700000001</v>
      </c>
      <c r="H427">
        <v>28</v>
      </c>
      <c r="I427">
        <v>0</v>
      </c>
      <c r="J427">
        <v>1.1299999999999999</v>
      </c>
      <c r="K427">
        <v>23.573281999999999</v>
      </c>
      <c r="L427">
        <v>3.748751892681404E-2</v>
      </c>
      <c r="M427">
        <v>2.0928685390440469</v>
      </c>
      <c r="N427">
        <v>-0.66234521167941862</v>
      </c>
      <c r="O427">
        <v>-7.7199160179256099E-2</v>
      </c>
    </row>
    <row r="428" spans="1:15" x14ac:dyDescent="0.25">
      <c r="A428">
        <v>56.588782500000001</v>
      </c>
      <c r="B428">
        <v>324.63667275</v>
      </c>
      <c r="C428">
        <v>116.69895200000001</v>
      </c>
      <c r="D428">
        <v>-105.46440699999999</v>
      </c>
      <c r="E428">
        <v>192.83221075</v>
      </c>
      <c r="F428">
        <v>6.9172444999999998</v>
      </c>
      <c r="G428">
        <v>331.51528174999999</v>
      </c>
      <c r="H428">
        <v>28</v>
      </c>
      <c r="I428">
        <v>4</v>
      </c>
      <c r="J428">
        <v>1.1299999999999999</v>
      </c>
      <c r="K428">
        <v>23.968931999999999</v>
      </c>
      <c r="L428">
        <v>-0.27665661374861938</v>
      </c>
      <c r="M428">
        <v>1.979590163824396</v>
      </c>
      <c r="N428">
        <v>-0.63831441850074677</v>
      </c>
      <c r="O428">
        <v>-0.14431648192700691</v>
      </c>
    </row>
    <row r="429" spans="1:15" x14ac:dyDescent="0.25">
      <c r="A429">
        <v>15.027157750000001</v>
      </c>
      <c r="B429">
        <v>332.5229645</v>
      </c>
      <c r="C429">
        <v>150.61570374999999</v>
      </c>
      <c r="D429">
        <v>-115.86661549999999</v>
      </c>
      <c r="E429">
        <v>191.210667</v>
      </c>
      <c r="F429">
        <v>7.0146699999999997</v>
      </c>
      <c r="G429">
        <v>341.03591899999998</v>
      </c>
      <c r="H429">
        <v>28</v>
      </c>
      <c r="I429">
        <v>8</v>
      </c>
      <c r="J429">
        <v>1.1299999999999999</v>
      </c>
      <c r="K429">
        <v>24.314352499999998</v>
      </c>
      <c r="L429">
        <v>-0.56112649844523377</v>
      </c>
      <c r="M429">
        <v>1.8557176341933681</v>
      </c>
      <c r="N429">
        <v>-0.62009074322327695</v>
      </c>
      <c r="O429">
        <v>-0.23769818463303971</v>
      </c>
    </row>
    <row r="430" spans="1:15" x14ac:dyDescent="0.25">
      <c r="A430">
        <v>-28.738087499999999</v>
      </c>
      <c r="B430">
        <v>316.12522875000002</v>
      </c>
      <c r="C430">
        <v>169.13217549999999</v>
      </c>
      <c r="D430">
        <v>-120.84918399999999</v>
      </c>
      <c r="E430">
        <v>169.29856150000001</v>
      </c>
      <c r="F430">
        <v>6.9172444999999998</v>
      </c>
      <c r="G430">
        <v>328.47307575000002</v>
      </c>
      <c r="H430">
        <v>28</v>
      </c>
      <c r="I430">
        <v>12</v>
      </c>
      <c r="J430">
        <v>1.1299999999999999</v>
      </c>
      <c r="K430">
        <v>23.856318250000001</v>
      </c>
      <c r="L430">
        <v>-0.81063340291394703</v>
      </c>
      <c r="M430">
        <v>1.7902044589118491</v>
      </c>
      <c r="N430">
        <v>-0.65210776660538838</v>
      </c>
      <c r="O430">
        <v>-0.33475511861542112</v>
      </c>
    </row>
    <row r="431" spans="1:15" x14ac:dyDescent="0.25">
      <c r="A431">
        <v>-64.322867500000001</v>
      </c>
      <c r="B431">
        <v>283.76254275000002</v>
      </c>
      <c r="C431">
        <v>174.10001</v>
      </c>
      <c r="D431">
        <v>-117.44005975</v>
      </c>
      <c r="E431">
        <v>139.3630565</v>
      </c>
      <c r="F431">
        <v>6.1865534999999996</v>
      </c>
      <c r="G431">
        <v>300.61452500000001</v>
      </c>
      <c r="H431">
        <v>28</v>
      </c>
      <c r="I431">
        <v>16</v>
      </c>
      <c r="J431">
        <v>1.1299999999999999</v>
      </c>
      <c r="K431">
        <v>22.827839999999998</v>
      </c>
      <c r="L431">
        <v>-1.035519544546752</v>
      </c>
      <c r="M431">
        <v>1.74251708450191</v>
      </c>
      <c r="N431">
        <v>-0.70036168735000381</v>
      </c>
      <c r="O431">
        <v>-0.42157979758162289</v>
      </c>
    </row>
    <row r="432" spans="1:15" x14ac:dyDescent="0.25">
      <c r="A432">
        <v>-98.466238250000004</v>
      </c>
      <c r="B432">
        <v>256.88180549999998</v>
      </c>
      <c r="C432">
        <v>176.62908924999999</v>
      </c>
      <c r="D432">
        <v>-122.59746</v>
      </c>
      <c r="E432">
        <v>108.29905125000001</v>
      </c>
      <c r="F432">
        <v>5.6020004999999999</v>
      </c>
      <c r="G432">
        <v>281.07888025</v>
      </c>
      <c r="H432">
        <v>28</v>
      </c>
      <c r="I432">
        <v>20</v>
      </c>
      <c r="J432">
        <v>1.1299999999999999</v>
      </c>
      <c r="K432">
        <v>22.080952499999999</v>
      </c>
      <c r="L432">
        <v>-1.257111624541988</v>
      </c>
      <c r="M432">
        <v>1.734120763216626</v>
      </c>
      <c r="N432">
        <v>-0.78955563573214738</v>
      </c>
      <c r="O432">
        <v>-0.53069129637136303</v>
      </c>
    </row>
    <row r="433" spans="1:15" x14ac:dyDescent="0.25">
      <c r="A433">
        <v>-131.75376900000001</v>
      </c>
      <c r="B433">
        <v>232.74202349999999</v>
      </c>
      <c r="C433">
        <v>177.30651850000001</v>
      </c>
      <c r="D433">
        <v>-143.75153324999999</v>
      </c>
      <c r="E433">
        <v>76.306462999999994</v>
      </c>
      <c r="F433">
        <v>5.4558627499999997</v>
      </c>
      <c r="G433">
        <v>267.12395450000002</v>
      </c>
      <c r="H433">
        <v>28</v>
      </c>
      <c r="I433">
        <v>24</v>
      </c>
      <c r="J433">
        <v>1.1299999999999999</v>
      </c>
      <c r="K433">
        <v>21.520427250000001</v>
      </c>
      <c r="L433">
        <v>-1.4438214011295529</v>
      </c>
      <c r="M433">
        <v>1.7588377914090489</v>
      </c>
      <c r="N433">
        <v>-0.89145389361748595</v>
      </c>
      <c r="O433">
        <v>-0.66900296889419353</v>
      </c>
    </row>
    <row r="434" spans="1:15" x14ac:dyDescent="0.25">
      <c r="A434">
        <v>-184.13996900000001</v>
      </c>
      <c r="B434">
        <v>232.21306250000001</v>
      </c>
      <c r="C434">
        <v>194.51329425</v>
      </c>
      <c r="D434">
        <v>-191.56672275</v>
      </c>
      <c r="E434">
        <v>46.490123750000002</v>
      </c>
      <c r="F434">
        <v>5.7481387499999999</v>
      </c>
      <c r="G434">
        <v>284.03015125000002</v>
      </c>
      <c r="H434">
        <v>28</v>
      </c>
      <c r="I434">
        <v>28</v>
      </c>
      <c r="J434">
        <v>1.1299999999999999</v>
      </c>
      <c r="K434">
        <v>22.193092750000002</v>
      </c>
      <c r="L434">
        <v>-1.6158131118576711</v>
      </c>
      <c r="M434">
        <v>1.808404297479119</v>
      </c>
      <c r="N434">
        <v>-1.0136821989044409</v>
      </c>
      <c r="O434">
        <v>-0.82615233037026847</v>
      </c>
    </row>
    <row r="435" spans="1:15" x14ac:dyDescent="0.25">
      <c r="A435">
        <v>-236.39104825000001</v>
      </c>
      <c r="B435">
        <v>226.73112900000001</v>
      </c>
      <c r="C435">
        <v>209.190979</v>
      </c>
      <c r="D435">
        <v>-245.54456725</v>
      </c>
      <c r="E435">
        <v>9.2525705000000009</v>
      </c>
      <c r="F435">
        <v>5.99170275</v>
      </c>
      <c r="G435">
        <v>300.12942500000003</v>
      </c>
      <c r="H435">
        <v>28</v>
      </c>
      <c r="I435">
        <v>32</v>
      </c>
      <c r="J435">
        <v>1.1299999999999999</v>
      </c>
      <c r="K435">
        <v>22.81660325</v>
      </c>
      <c r="L435">
        <v>-1.780785993720595</v>
      </c>
      <c r="M435">
        <v>1.887469223787908</v>
      </c>
      <c r="N435">
        <v>-1.1625235940717451</v>
      </c>
      <c r="O435">
        <v>-0.98698391609061198</v>
      </c>
    </row>
    <row r="436" spans="1:15" x14ac:dyDescent="0.25">
      <c r="A436">
        <v>-291.34475700000002</v>
      </c>
      <c r="B436">
        <v>215.38254524999999</v>
      </c>
      <c r="C436">
        <v>218.539547</v>
      </c>
      <c r="D436">
        <v>-302.71300500000001</v>
      </c>
      <c r="E436">
        <v>-39.154494249999999</v>
      </c>
      <c r="F436">
        <v>6.2839787500000002</v>
      </c>
      <c r="G436">
        <v>313.83338900000001</v>
      </c>
      <c r="H436">
        <v>28</v>
      </c>
      <c r="I436">
        <v>36</v>
      </c>
      <c r="J436">
        <v>1.1299999999999999</v>
      </c>
      <c r="K436">
        <v>23.330988250000001</v>
      </c>
      <c r="L436">
        <v>-1.9772709869373499</v>
      </c>
      <c r="M436">
        <v>2.0091191475603289</v>
      </c>
      <c r="N436">
        <v>-1.36886530658445</v>
      </c>
      <c r="O436">
        <v>-1.1762125975315789</v>
      </c>
    </row>
    <row r="437" spans="1:15" x14ac:dyDescent="0.25">
      <c r="A437">
        <v>-342.64988725000001</v>
      </c>
      <c r="B437">
        <v>198.21541975</v>
      </c>
      <c r="C437">
        <v>222.558964</v>
      </c>
      <c r="D437">
        <v>-358.08946225</v>
      </c>
      <c r="E437">
        <v>-95.070568000000009</v>
      </c>
      <c r="F437">
        <v>6.7223934999999999</v>
      </c>
      <c r="G437">
        <v>324.35452275</v>
      </c>
      <c r="H437">
        <v>28</v>
      </c>
      <c r="I437">
        <v>40</v>
      </c>
      <c r="J437">
        <v>1.1299999999999999</v>
      </c>
      <c r="K437">
        <v>23.710342499999999</v>
      </c>
      <c r="L437">
        <v>-2.213929373996212</v>
      </c>
      <c r="M437">
        <v>2.1790595409759059</v>
      </c>
      <c r="N437">
        <v>-1.642909227580537</v>
      </c>
      <c r="O437">
        <v>-1.3987379799131201</v>
      </c>
    </row>
    <row r="438" spans="1:15" x14ac:dyDescent="0.25">
      <c r="A438">
        <v>-392.73886099999999</v>
      </c>
      <c r="B438">
        <v>176.383835</v>
      </c>
      <c r="C438">
        <v>220.1202165</v>
      </c>
      <c r="D438">
        <v>-416.17576600000001</v>
      </c>
      <c r="E438">
        <v>-159.10492325000001</v>
      </c>
      <c r="F438">
        <v>6.8198189999999999</v>
      </c>
      <c r="G438">
        <v>335.65517425000002</v>
      </c>
      <c r="H438">
        <v>28</v>
      </c>
      <c r="I438">
        <v>44</v>
      </c>
      <c r="J438">
        <v>1.1299999999999999</v>
      </c>
      <c r="K438">
        <v>24.124860999999999</v>
      </c>
      <c r="L438">
        <v>-2.497984962791254</v>
      </c>
      <c r="M438">
        <v>2.4153285671544782</v>
      </c>
      <c r="N438">
        <v>-2.0167478248475228</v>
      </c>
      <c r="O438">
        <v>-1.6763679111137271</v>
      </c>
    </row>
    <row r="439" spans="1:15" x14ac:dyDescent="0.25">
      <c r="A439">
        <v>219.13489150000001</v>
      </c>
      <c r="B439">
        <v>181.43298725</v>
      </c>
      <c r="C439">
        <v>-411.74523925</v>
      </c>
      <c r="D439">
        <v>-428.67588024999998</v>
      </c>
      <c r="E439">
        <v>-133.67862675000001</v>
      </c>
      <c r="F439">
        <v>6.8198189999999999</v>
      </c>
      <c r="G439">
        <v>335.21619425</v>
      </c>
      <c r="H439">
        <v>32</v>
      </c>
      <c r="I439">
        <v>-44</v>
      </c>
      <c r="J439">
        <v>1.1299999999999999</v>
      </c>
      <c r="K439">
        <v>24.108697500000002</v>
      </c>
      <c r="L439">
        <v>2.2017939817804448</v>
      </c>
      <c r="M439">
        <v>2.1292755283170788</v>
      </c>
      <c r="N439">
        <v>-1.636457347469412</v>
      </c>
      <c r="O439">
        <v>-1.490339432993139</v>
      </c>
    </row>
    <row r="440" spans="1:15" x14ac:dyDescent="0.25">
      <c r="A440">
        <v>205.91279625000001</v>
      </c>
      <c r="B440">
        <v>191.14660275</v>
      </c>
      <c r="C440">
        <v>-341.92581174999998</v>
      </c>
      <c r="D440">
        <v>-352.97577675000002</v>
      </c>
      <c r="E440">
        <v>-79.156389249999989</v>
      </c>
      <c r="F440">
        <v>6.3814042500000001</v>
      </c>
      <c r="G440">
        <v>306.89056399999998</v>
      </c>
      <c r="H440">
        <v>32</v>
      </c>
      <c r="I440">
        <v>-40</v>
      </c>
      <c r="J440">
        <v>1.1299999999999999</v>
      </c>
      <c r="K440">
        <v>23.0623775</v>
      </c>
      <c r="L440">
        <v>2.0419083976533412</v>
      </c>
      <c r="M440">
        <v>2.0280692686182258</v>
      </c>
      <c r="N440">
        <v>-1.438880367372291</v>
      </c>
      <c r="O440">
        <v>-1.318804646820829</v>
      </c>
    </row>
    <row r="441" spans="1:15" x14ac:dyDescent="0.25">
      <c r="A441">
        <v>192.555317</v>
      </c>
      <c r="B441">
        <v>198.5520325</v>
      </c>
      <c r="C441">
        <v>-290.41819025000001</v>
      </c>
      <c r="D441">
        <v>-295.50138874999999</v>
      </c>
      <c r="E441">
        <v>-36.436511250000002</v>
      </c>
      <c r="F441">
        <v>5.7481390000000001</v>
      </c>
      <c r="G441">
        <v>285.08682275000001</v>
      </c>
      <c r="H441">
        <v>32</v>
      </c>
      <c r="I441">
        <v>-36</v>
      </c>
      <c r="J441">
        <v>1.1299999999999999</v>
      </c>
      <c r="K441">
        <v>22.235151500000001</v>
      </c>
      <c r="L441">
        <v>1.882797836164956</v>
      </c>
      <c r="M441">
        <v>1.926012397450501</v>
      </c>
      <c r="N441">
        <v>-1.2534730939051879</v>
      </c>
      <c r="O441">
        <v>-1.1644801425676261</v>
      </c>
    </row>
    <row r="442" spans="1:15" x14ac:dyDescent="0.25">
      <c r="A442">
        <v>178.52093124999999</v>
      </c>
      <c r="B442">
        <v>203.31266400000001</v>
      </c>
      <c r="C442">
        <v>-241.03041099999999</v>
      </c>
      <c r="D442">
        <v>-242.00431850000001</v>
      </c>
      <c r="E442">
        <v>-2.14065525</v>
      </c>
      <c r="F442">
        <v>5.1635859999999996</v>
      </c>
      <c r="G442">
        <v>267.25945274999998</v>
      </c>
      <c r="H442">
        <v>32</v>
      </c>
      <c r="I442">
        <v>-32</v>
      </c>
      <c r="J442">
        <v>1.1299999999999999</v>
      </c>
      <c r="K442">
        <v>21.538017750000002</v>
      </c>
      <c r="L442">
        <v>1.752682333241256</v>
      </c>
      <c r="M442">
        <v>1.86032164147623</v>
      </c>
      <c r="N442">
        <v>-1.1254286172240839</v>
      </c>
      <c r="O442">
        <v>-1.0305123356973649</v>
      </c>
    </row>
    <row r="443" spans="1:15" x14ac:dyDescent="0.25">
      <c r="A443">
        <v>186.192463</v>
      </c>
      <c r="B443">
        <v>236.060036</v>
      </c>
      <c r="C443">
        <v>-215.18640124999999</v>
      </c>
      <c r="D443">
        <v>-221.5932655</v>
      </c>
      <c r="E443">
        <v>29.901814000000002</v>
      </c>
      <c r="F443">
        <v>5.7481387499999999</v>
      </c>
      <c r="G443">
        <v>286.34371175000001</v>
      </c>
      <c r="H443">
        <v>32</v>
      </c>
      <c r="I443">
        <v>-28</v>
      </c>
      <c r="J443">
        <v>1.1299999999999999</v>
      </c>
      <c r="K443">
        <v>22.285165500000002</v>
      </c>
      <c r="L443">
        <v>1.616562420848906</v>
      </c>
      <c r="M443">
        <v>1.8432068518159641</v>
      </c>
      <c r="N443">
        <v>-1.0328250834048069</v>
      </c>
      <c r="O443">
        <v>-0.90271779653952833</v>
      </c>
    </row>
    <row r="444" spans="1:15" x14ac:dyDescent="0.25">
      <c r="A444">
        <v>187.54626475000001</v>
      </c>
      <c r="B444">
        <v>263.90254199999998</v>
      </c>
      <c r="C444">
        <v>-180.99832950000001</v>
      </c>
      <c r="D444">
        <v>-201.00738924999999</v>
      </c>
      <c r="E444">
        <v>58.287602499999998</v>
      </c>
      <c r="F444">
        <v>6.3326915000000001</v>
      </c>
      <c r="G444">
        <v>302.23220850000001</v>
      </c>
      <c r="H444">
        <v>32</v>
      </c>
      <c r="I444">
        <v>-24</v>
      </c>
      <c r="J444">
        <v>1.1299999999999999</v>
      </c>
      <c r="K444">
        <v>22.884834000000001</v>
      </c>
      <c r="L444">
        <v>1.478402749001392</v>
      </c>
      <c r="M444">
        <v>1.8649620010965151</v>
      </c>
      <c r="N444">
        <v>-0.97859271928723579</v>
      </c>
      <c r="O444">
        <v>-0.79160747650891006</v>
      </c>
    </row>
    <row r="445" spans="1:15" x14ac:dyDescent="0.25">
      <c r="A445">
        <v>181.9505575</v>
      </c>
      <c r="B445">
        <v>287.27291074999999</v>
      </c>
      <c r="C445">
        <v>-141.53321475000001</v>
      </c>
      <c r="D445">
        <v>-186.67156625000001</v>
      </c>
      <c r="E445">
        <v>85.057003000000009</v>
      </c>
      <c r="F445">
        <v>6.3814042500000001</v>
      </c>
      <c r="G445">
        <v>314.69520575000001</v>
      </c>
      <c r="H445">
        <v>32</v>
      </c>
      <c r="I445">
        <v>-20</v>
      </c>
      <c r="J445">
        <v>1.1299999999999999</v>
      </c>
      <c r="K445">
        <v>23.359962249999999</v>
      </c>
      <c r="L445">
        <v>1.298308806574112</v>
      </c>
      <c r="M445">
        <v>1.9021846671119189</v>
      </c>
      <c r="N445">
        <v>-0.92166628909185622</v>
      </c>
      <c r="O445">
        <v>-0.68424840026222244</v>
      </c>
    </row>
    <row r="446" spans="1:15" x14ac:dyDescent="0.25">
      <c r="A446">
        <v>172.29346100000001</v>
      </c>
      <c r="B446">
        <v>309.34493250000003</v>
      </c>
      <c r="C446">
        <v>-104.45854</v>
      </c>
      <c r="D446">
        <v>-177.79910275</v>
      </c>
      <c r="E446">
        <v>108.58845325</v>
      </c>
      <c r="F446">
        <v>6.8685317499999998</v>
      </c>
      <c r="G446">
        <v>326.83480824999998</v>
      </c>
      <c r="H446">
        <v>32</v>
      </c>
      <c r="I446">
        <v>-16</v>
      </c>
      <c r="J446">
        <v>1.1299999999999999</v>
      </c>
      <c r="K446">
        <v>23.797301999999998</v>
      </c>
      <c r="L446">
        <v>1.1082652166478899</v>
      </c>
      <c r="M446">
        <v>1.9508107061689219</v>
      </c>
      <c r="N446">
        <v>-0.87399869480706827</v>
      </c>
      <c r="O446">
        <v>-0.59266401923087653</v>
      </c>
    </row>
    <row r="447" spans="1:15" x14ac:dyDescent="0.25">
      <c r="A447">
        <v>154.42331325000001</v>
      </c>
      <c r="B447">
        <v>327.71423349999998</v>
      </c>
      <c r="C447">
        <v>-67.970214999999996</v>
      </c>
      <c r="D447">
        <v>-177.40573875000001</v>
      </c>
      <c r="E447">
        <v>127.92086974999999</v>
      </c>
      <c r="F447">
        <v>6.9659572499999998</v>
      </c>
      <c r="G447">
        <v>336.93454724999998</v>
      </c>
      <c r="H447">
        <v>32</v>
      </c>
      <c r="I447">
        <v>-12</v>
      </c>
      <c r="J447">
        <v>1.1299999999999999</v>
      </c>
      <c r="K447">
        <v>24.16639975</v>
      </c>
      <c r="L447">
        <v>0.8874159415661117</v>
      </c>
      <c r="M447">
        <v>2.0155686517031159</v>
      </c>
      <c r="N447">
        <v>-0.83402592923108121</v>
      </c>
      <c r="O447">
        <v>-0.51735660780758475</v>
      </c>
    </row>
    <row r="448" spans="1:15" x14ac:dyDescent="0.25">
      <c r="A448">
        <v>129.19752475000001</v>
      </c>
      <c r="B448">
        <v>337.95682525000001</v>
      </c>
      <c r="C448">
        <v>-28.865918000000001</v>
      </c>
      <c r="D448">
        <v>-172.16091900000001</v>
      </c>
      <c r="E448">
        <v>141.7318995</v>
      </c>
      <c r="F448">
        <v>7.01467025</v>
      </c>
      <c r="G448">
        <v>343.11640925</v>
      </c>
      <c r="H448">
        <v>32</v>
      </c>
      <c r="I448">
        <v>-8</v>
      </c>
      <c r="J448">
        <v>1.1299999999999999</v>
      </c>
      <c r="K448">
        <v>24.3898945</v>
      </c>
      <c r="L448">
        <v>0.65250086475413571</v>
      </c>
      <c r="M448">
        <v>2.1057651556770569</v>
      </c>
      <c r="N448">
        <v>-0.83132945369723232</v>
      </c>
      <c r="O448">
        <v>-0.44384467331379868</v>
      </c>
    </row>
    <row r="449" spans="1:15" x14ac:dyDescent="0.25">
      <c r="A449">
        <v>89.350715250000007</v>
      </c>
      <c r="B449">
        <v>310.59520700000002</v>
      </c>
      <c r="C449">
        <v>9.8453637500000006</v>
      </c>
      <c r="D449">
        <v>-149.21487825</v>
      </c>
      <c r="E449">
        <v>133.91857899999999</v>
      </c>
      <c r="F449">
        <v>6.3814042500000001</v>
      </c>
      <c r="G449">
        <v>313.61164100000002</v>
      </c>
      <c r="H449">
        <v>32</v>
      </c>
      <c r="I449">
        <v>-4</v>
      </c>
      <c r="J449">
        <v>1.1299999999999999</v>
      </c>
      <c r="K449">
        <v>23.318862500000002</v>
      </c>
      <c r="L449">
        <v>0.39051647312390958</v>
      </c>
      <c r="M449">
        <v>2.2583823395793412</v>
      </c>
      <c r="N449">
        <v>-0.88258884859960962</v>
      </c>
      <c r="O449">
        <v>-0.37362016087888211</v>
      </c>
    </row>
    <row r="450" spans="1:15" x14ac:dyDescent="0.25">
      <c r="A450">
        <v>51.489473500000003</v>
      </c>
      <c r="B450">
        <v>286.88822175000001</v>
      </c>
      <c r="C450">
        <v>43.220174749999998</v>
      </c>
      <c r="D450">
        <v>-134.79163750000001</v>
      </c>
      <c r="E450">
        <v>124.93441</v>
      </c>
      <c r="F450">
        <v>5.7968517500000001</v>
      </c>
      <c r="G450">
        <v>288.66426849999999</v>
      </c>
      <c r="H450">
        <v>32</v>
      </c>
      <c r="I450">
        <v>0</v>
      </c>
      <c r="J450">
        <v>1.1299999999999999</v>
      </c>
      <c r="K450">
        <v>22.375183499999999</v>
      </c>
      <c r="L450">
        <v>4.8435749697319938E-2</v>
      </c>
      <c r="M450">
        <v>2.4700111774986251</v>
      </c>
      <c r="N450">
        <v>-0.95905696198781021</v>
      </c>
      <c r="O450">
        <v>-0.30214812603116381</v>
      </c>
    </row>
    <row r="451" spans="1:15" x14ac:dyDescent="0.25">
      <c r="A451">
        <v>17.102982999999998</v>
      </c>
      <c r="B451">
        <v>270.87519075</v>
      </c>
      <c r="C451">
        <v>69.007745999999997</v>
      </c>
      <c r="D451">
        <v>-128.279335</v>
      </c>
      <c r="E451">
        <v>115.62941725</v>
      </c>
      <c r="F451">
        <v>5.6507137500000004</v>
      </c>
      <c r="G451">
        <v>272.59651200000002</v>
      </c>
      <c r="H451">
        <v>32</v>
      </c>
      <c r="I451">
        <v>4</v>
      </c>
      <c r="J451">
        <v>1.1299999999999999</v>
      </c>
      <c r="K451">
        <v>21.736377999999998</v>
      </c>
      <c r="L451">
        <v>-0.303135972822133</v>
      </c>
      <c r="M451">
        <v>2.3313534970684811</v>
      </c>
      <c r="N451">
        <v>-0.91684391581539615</v>
      </c>
      <c r="O451">
        <v>-0.35769398453853157</v>
      </c>
    </row>
    <row r="452" spans="1:15" x14ac:dyDescent="0.25">
      <c r="A452">
        <v>-16.846466499999998</v>
      </c>
      <c r="B452">
        <v>272.51013949999998</v>
      </c>
      <c r="C452">
        <v>94.795316749999998</v>
      </c>
      <c r="D452">
        <v>-135.75319300000001</v>
      </c>
      <c r="E452">
        <v>110.76441225000001</v>
      </c>
      <c r="F452">
        <v>5.6020009999999996</v>
      </c>
      <c r="G452">
        <v>276.36544774999999</v>
      </c>
      <c r="H452">
        <v>32</v>
      </c>
      <c r="I452">
        <v>8</v>
      </c>
      <c r="J452">
        <v>1.1299999999999999</v>
      </c>
      <c r="K452">
        <v>21.891245999999999</v>
      </c>
      <c r="L452">
        <v>-0.59682524159389383</v>
      </c>
      <c r="M452">
        <v>2.1825540619920978</v>
      </c>
      <c r="N452">
        <v>-0.88533746589851914</v>
      </c>
      <c r="O452">
        <v>-0.43785929020452058</v>
      </c>
    </row>
    <row r="453" spans="1:15" x14ac:dyDescent="0.25">
      <c r="A453">
        <v>-57.791484750000002</v>
      </c>
      <c r="B453">
        <v>284.86857600000002</v>
      </c>
      <c r="C453">
        <v>120.447401</v>
      </c>
      <c r="D453">
        <v>-152.66770550000001</v>
      </c>
      <c r="E453">
        <v>105.1325415</v>
      </c>
      <c r="F453">
        <v>5.9429904999999996</v>
      </c>
      <c r="G453">
        <v>290.96784200000002</v>
      </c>
      <c r="H453">
        <v>32</v>
      </c>
      <c r="I453">
        <v>12</v>
      </c>
      <c r="J453">
        <v>1.1299999999999999</v>
      </c>
      <c r="K453">
        <v>22.460369249999999</v>
      </c>
      <c r="L453">
        <v>-0.84728107209460024</v>
      </c>
      <c r="M453">
        <v>2.0799531315275348</v>
      </c>
      <c r="N453">
        <v>-0.88344169004421547</v>
      </c>
      <c r="O453">
        <v>-0.52847662625034009</v>
      </c>
    </row>
    <row r="454" spans="1:15" x14ac:dyDescent="0.25">
      <c r="A454">
        <v>-104.4120485</v>
      </c>
      <c r="B454">
        <v>292.61058050000003</v>
      </c>
      <c r="C454">
        <v>145.46722025</v>
      </c>
      <c r="D454">
        <v>-165.99826825</v>
      </c>
      <c r="E454">
        <v>94.091989499999997</v>
      </c>
      <c r="F454">
        <v>6.4788297500000001</v>
      </c>
      <c r="G454">
        <v>304.51235174999999</v>
      </c>
      <c r="H454">
        <v>32</v>
      </c>
      <c r="I454">
        <v>16</v>
      </c>
      <c r="J454">
        <v>1.1299999999999999</v>
      </c>
      <c r="K454">
        <v>22.96721075</v>
      </c>
      <c r="L454">
        <v>-1.089782407097597</v>
      </c>
      <c r="M454">
        <v>2.0001246952856069</v>
      </c>
      <c r="N454">
        <v>-0.91773877898979062</v>
      </c>
      <c r="O454">
        <v>-0.61793648803793499</v>
      </c>
    </row>
    <row r="455" spans="1:15" x14ac:dyDescent="0.25">
      <c r="A455">
        <v>-154.23074349999999</v>
      </c>
      <c r="B455">
        <v>293.908951</v>
      </c>
      <c r="C455">
        <v>166.28696450000001</v>
      </c>
      <c r="D455">
        <v>-192.13491049999999</v>
      </c>
      <c r="E455">
        <v>72.805526499999999</v>
      </c>
      <c r="F455">
        <v>6.4788297500000001</v>
      </c>
      <c r="G455">
        <v>316.29198474999998</v>
      </c>
      <c r="H455">
        <v>32</v>
      </c>
      <c r="I455">
        <v>20</v>
      </c>
      <c r="J455">
        <v>1.1299999999999999</v>
      </c>
      <c r="K455">
        <v>23.416698749999998</v>
      </c>
      <c r="L455">
        <v>-1.3029849334660299</v>
      </c>
      <c r="M455">
        <v>1.9758851334800489</v>
      </c>
      <c r="N455">
        <v>-0.9898406354379875</v>
      </c>
      <c r="O455">
        <v>-0.73036912977582635</v>
      </c>
    </row>
    <row r="456" spans="1:15" x14ac:dyDescent="0.25">
      <c r="A456">
        <v>-204.99535</v>
      </c>
      <c r="B456">
        <v>291.21605675000001</v>
      </c>
      <c r="C456">
        <v>182.77113725000001</v>
      </c>
      <c r="D456">
        <v>-227.537384</v>
      </c>
      <c r="E456">
        <v>46.758374250000003</v>
      </c>
      <c r="F456">
        <v>6.7711062499999999</v>
      </c>
      <c r="G456">
        <v>326.49370549999998</v>
      </c>
      <c r="H456">
        <v>32</v>
      </c>
      <c r="I456">
        <v>24</v>
      </c>
      <c r="J456">
        <v>1.1299999999999999</v>
      </c>
      <c r="K456">
        <v>23.78823925</v>
      </c>
      <c r="L456">
        <v>-1.4742498349470801</v>
      </c>
      <c r="M456">
        <v>1.9722776153648209</v>
      </c>
      <c r="N456">
        <v>-1.0635506909376931</v>
      </c>
      <c r="O456">
        <v>-0.84796586732035562</v>
      </c>
    </row>
    <row r="457" spans="1:15" x14ac:dyDescent="0.25">
      <c r="A457">
        <v>-260.3094175</v>
      </c>
      <c r="B457">
        <v>283.13741299999998</v>
      </c>
      <c r="C457">
        <v>197.22301475</v>
      </c>
      <c r="D457">
        <v>-271.4626695</v>
      </c>
      <c r="E457">
        <v>12.42650875</v>
      </c>
      <c r="F457">
        <v>6.8198189999999999</v>
      </c>
      <c r="G457">
        <v>336.97537999999997</v>
      </c>
      <c r="H457">
        <v>32</v>
      </c>
      <c r="I457">
        <v>28</v>
      </c>
      <c r="J457">
        <v>1.1299999999999999</v>
      </c>
      <c r="K457">
        <v>24.173242999999999</v>
      </c>
      <c r="L457">
        <v>-1.6439616305604849</v>
      </c>
      <c r="M457">
        <v>1.992728389397421</v>
      </c>
      <c r="N457">
        <v>-1.16614387766103</v>
      </c>
      <c r="O457">
        <v>-0.97985295618526402</v>
      </c>
    </row>
    <row r="458" spans="1:15" x14ac:dyDescent="0.25">
      <c r="A458">
        <v>-313.77667224999999</v>
      </c>
      <c r="B458">
        <v>269.28830725</v>
      </c>
      <c r="C458">
        <v>203.9973335</v>
      </c>
      <c r="D458">
        <v>-319.3652725</v>
      </c>
      <c r="E458">
        <v>-31.129268249999999</v>
      </c>
      <c r="F458">
        <v>7.0146699999999997</v>
      </c>
      <c r="G458">
        <v>343.47664624999999</v>
      </c>
      <c r="H458">
        <v>32</v>
      </c>
      <c r="I458">
        <v>32</v>
      </c>
      <c r="J458">
        <v>1.1299999999999999</v>
      </c>
      <c r="K458">
        <v>24.402974749999998</v>
      </c>
      <c r="L458">
        <v>-1.8139764326660719</v>
      </c>
      <c r="M458">
        <v>2.0623143561208299</v>
      </c>
      <c r="N458">
        <v>-1.312443456336494</v>
      </c>
      <c r="O458">
        <v>-1.1336631928602201</v>
      </c>
    </row>
    <row r="459" spans="1:15" x14ac:dyDescent="0.25">
      <c r="A459">
        <v>-323.23591625</v>
      </c>
      <c r="B459">
        <v>222.5956305</v>
      </c>
      <c r="C459">
        <v>185.43570299999999</v>
      </c>
      <c r="D459">
        <v>-326.00870524999999</v>
      </c>
      <c r="E459">
        <v>-71.793388499999992</v>
      </c>
      <c r="F459">
        <v>6.4301170000000001</v>
      </c>
      <c r="G459">
        <v>311.29504400000002</v>
      </c>
      <c r="H459">
        <v>32</v>
      </c>
      <c r="I459">
        <v>36</v>
      </c>
      <c r="J459">
        <v>1.1299999999999999</v>
      </c>
      <c r="K459">
        <v>23.228905999999998</v>
      </c>
      <c r="L459">
        <v>-2.0119200862253188</v>
      </c>
      <c r="M459">
        <v>2.1698737430513408</v>
      </c>
      <c r="N459">
        <v>-1.515222461704552</v>
      </c>
      <c r="O459">
        <v>-1.30939662082038</v>
      </c>
    </row>
    <row r="460" spans="1:15" x14ac:dyDescent="0.25">
      <c r="A460">
        <v>-330.487999</v>
      </c>
      <c r="B460">
        <v>186.38596749999999</v>
      </c>
      <c r="C460">
        <v>170.53219974999999</v>
      </c>
      <c r="D460">
        <v>-337.50358575000001</v>
      </c>
      <c r="E460">
        <v>-110.00893425</v>
      </c>
      <c r="F460">
        <v>5.7481390000000001</v>
      </c>
      <c r="G460">
        <v>289.92763500000001</v>
      </c>
      <c r="H460">
        <v>32</v>
      </c>
      <c r="I460">
        <v>40</v>
      </c>
      <c r="J460">
        <v>1.1299999999999999</v>
      </c>
      <c r="K460">
        <v>22.427025749999999</v>
      </c>
      <c r="L460">
        <v>-2.236851056624614</v>
      </c>
      <c r="M460">
        <v>2.3389393163753391</v>
      </c>
      <c r="N460">
        <v>-1.78556923224757</v>
      </c>
      <c r="O460">
        <v>-1.516801672320689</v>
      </c>
    </row>
    <row r="461" spans="1:15" x14ac:dyDescent="0.25">
      <c r="A461">
        <v>-332.42489625000002</v>
      </c>
      <c r="B461">
        <v>150.41674424999999</v>
      </c>
      <c r="C461">
        <v>151.38346075000001</v>
      </c>
      <c r="D461">
        <v>-342.57357050000002</v>
      </c>
      <c r="E461">
        <v>-145.11221325</v>
      </c>
      <c r="F461">
        <v>5.30972475</v>
      </c>
      <c r="G461">
        <v>268.45974749999999</v>
      </c>
      <c r="H461">
        <v>32</v>
      </c>
      <c r="I461">
        <v>44</v>
      </c>
      <c r="J461">
        <v>1.1299999999999999</v>
      </c>
      <c r="K461">
        <v>21.581271000000001</v>
      </c>
      <c r="L461">
        <v>-2.5148441231866538</v>
      </c>
      <c r="M461">
        <v>2.5625611842626368</v>
      </c>
      <c r="N461">
        <v>-2.1498085893808798</v>
      </c>
      <c r="O461">
        <v>-1.7819319473829089</v>
      </c>
    </row>
    <row r="462" spans="1:15" x14ac:dyDescent="0.25">
      <c r="A462">
        <v>161.86920925000001</v>
      </c>
      <c r="B462">
        <v>163.35219950000001</v>
      </c>
      <c r="C462">
        <v>-375.39224224999998</v>
      </c>
      <c r="D462">
        <v>-384.40094749999997</v>
      </c>
      <c r="E462">
        <v>-146.20821375</v>
      </c>
      <c r="F462">
        <v>6.0404157499999993</v>
      </c>
      <c r="G462">
        <v>289.52757274999999</v>
      </c>
      <c r="H462">
        <v>36</v>
      </c>
      <c r="I462">
        <v>-44</v>
      </c>
      <c r="J462">
        <v>1.1299999999999999</v>
      </c>
      <c r="K462">
        <v>22.399699250000001</v>
      </c>
      <c r="L462">
        <v>2.2990573793179969</v>
      </c>
      <c r="M462">
        <v>2.3439488064693368</v>
      </c>
      <c r="N462">
        <v>-1.8646111271339909</v>
      </c>
      <c r="O462">
        <v>-1.65151068501705</v>
      </c>
    </row>
    <row r="463" spans="1:15" x14ac:dyDescent="0.25">
      <c r="A463">
        <v>175.04618099999999</v>
      </c>
      <c r="B463">
        <v>195.61871350000001</v>
      </c>
      <c r="C463">
        <v>-366.86775975</v>
      </c>
      <c r="D463">
        <v>-371.68226625</v>
      </c>
      <c r="E463">
        <v>-113.88833225</v>
      </c>
      <c r="F463">
        <v>6.2839787500000002</v>
      </c>
      <c r="G463">
        <v>304.09468824999999</v>
      </c>
      <c r="H463">
        <v>36</v>
      </c>
      <c r="I463">
        <v>-40</v>
      </c>
      <c r="J463">
        <v>1.1299999999999999</v>
      </c>
      <c r="K463">
        <v>22.95862275</v>
      </c>
      <c r="L463">
        <v>2.1219296529506129</v>
      </c>
      <c r="M463">
        <v>2.2213408478542611</v>
      </c>
      <c r="N463">
        <v>-1.63667200417422</v>
      </c>
      <c r="O463">
        <v>-1.4705466160282581</v>
      </c>
    </row>
    <row r="464" spans="1:15" x14ac:dyDescent="0.25">
      <c r="A464">
        <v>183.57512249999999</v>
      </c>
      <c r="B464">
        <v>225.76938250000001</v>
      </c>
      <c r="C464">
        <v>-355.5018235</v>
      </c>
      <c r="D464">
        <v>-355.11740874999998</v>
      </c>
      <c r="E464">
        <v>-81.162906750000005</v>
      </c>
      <c r="F464">
        <v>6.4788297500000001</v>
      </c>
      <c r="G464">
        <v>316.45204949999999</v>
      </c>
      <c r="H464">
        <v>36</v>
      </c>
      <c r="I464">
        <v>-36</v>
      </c>
      <c r="J464">
        <v>1.1299999999999999</v>
      </c>
      <c r="K464">
        <v>23.422740000000001</v>
      </c>
      <c r="L464">
        <v>1.966388148080453</v>
      </c>
      <c r="M464">
        <v>2.1188889267893791</v>
      </c>
      <c r="N464">
        <v>-1.450390321091535</v>
      </c>
      <c r="O464">
        <v>-1.3196941649211611</v>
      </c>
    </row>
    <row r="465" spans="1:15" x14ac:dyDescent="0.25">
      <c r="A465">
        <v>187.23037325000001</v>
      </c>
      <c r="B465">
        <v>255.67963025</v>
      </c>
      <c r="C465">
        <v>-335.92711624999998</v>
      </c>
      <c r="D465">
        <v>-331.60317225</v>
      </c>
      <c r="E465">
        <v>-47.356933499999997</v>
      </c>
      <c r="F465">
        <v>6.7711062499999999</v>
      </c>
      <c r="G465">
        <v>328.6558685</v>
      </c>
      <c r="H465">
        <v>36</v>
      </c>
      <c r="I465">
        <v>-32</v>
      </c>
      <c r="J465">
        <v>1.1299999999999999</v>
      </c>
      <c r="K465">
        <v>23.86854125</v>
      </c>
      <c r="L465">
        <v>1.8266077350756611</v>
      </c>
      <c r="M465">
        <v>2.0505079771170061</v>
      </c>
      <c r="N465">
        <v>-1.3128668009709441</v>
      </c>
      <c r="O465">
        <v>-1.1889800581752441</v>
      </c>
    </row>
    <row r="466" spans="1:15" x14ac:dyDescent="0.25">
      <c r="A466">
        <v>185.425308</v>
      </c>
      <c r="B466">
        <v>281.64671349999998</v>
      </c>
      <c r="C466">
        <v>-300.70166775000001</v>
      </c>
      <c r="D466">
        <v>-305.20429200000001</v>
      </c>
      <c r="E466">
        <v>-16.32284825</v>
      </c>
      <c r="F466">
        <v>6.9659572499999998</v>
      </c>
      <c r="G466">
        <v>338.11600499999997</v>
      </c>
      <c r="H466">
        <v>36</v>
      </c>
      <c r="I466">
        <v>-28</v>
      </c>
      <c r="J466">
        <v>1.1299999999999999</v>
      </c>
      <c r="K466">
        <v>24.209629750000001</v>
      </c>
      <c r="L466">
        <v>1.696017765012872</v>
      </c>
      <c r="M466">
        <v>2.047435334700507</v>
      </c>
      <c r="N466">
        <v>-1.236605091349035</v>
      </c>
      <c r="O466">
        <v>-1.081263694874375</v>
      </c>
    </row>
    <row r="467" spans="1:15" x14ac:dyDescent="0.25">
      <c r="A467">
        <v>175.00105275000001</v>
      </c>
      <c r="B467">
        <v>297.17886325000001</v>
      </c>
      <c r="C467">
        <v>-248.56260275</v>
      </c>
      <c r="D467">
        <v>-272.11827825</v>
      </c>
      <c r="E467">
        <v>13.8558415</v>
      </c>
      <c r="F467">
        <v>6.9172444999999998</v>
      </c>
      <c r="G467">
        <v>336.09623725</v>
      </c>
      <c r="H467">
        <v>36</v>
      </c>
      <c r="I467">
        <v>-24</v>
      </c>
      <c r="J467">
        <v>1.1299999999999999</v>
      </c>
      <c r="K467">
        <v>24.137412000000001</v>
      </c>
      <c r="L467">
        <v>1.5447644037629089</v>
      </c>
      <c r="M467">
        <v>2.0762518611446148</v>
      </c>
      <c r="N467">
        <v>-1.175263745044101</v>
      </c>
      <c r="O467">
        <v>-0.97469887743379979</v>
      </c>
    </row>
    <row r="468" spans="1:15" x14ac:dyDescent="0.25">
      <c r="A468">
        <v>147.2933045</v>
      </c>
      <c r="B468">
        <v>284.43577549999998</v>
      </c>
      <c r="C468">
        <v>-184.87719325</v>
      </c>
      <c r="D468">
        <v>-229.460476</v>
      </c>
      <c r="E468">
        <v>32.185428999999999</v>
      </c>
      <c r="F468">
        <v>6.2352660000000002</v>
      </c>
      <c r="G468">
        <v>308.07280700000001</v>
      </c>
      <c r="H468">
        <v>36</v>
      </c>
      <c r="I468">
        <v>-20</v>
      </c>
      <c r="J468">
        <v>1.1299999999999999</v>
      </c>
      <c r="K468">
        <v>23.113259500000002</v>
      </c>
      <c r="L468">
        <v>1.387772371901185</v>
      </c>
      <c r="M468">
        <v>2.1470227216807518</v>
      </c>
      <c r="N468">
        <v>-1.1526490724921989</v>
      </c>
      <c r="O468">
        <v>-0.89158510813333947</v>
      </c>
    </row>
    <row r="469" spans="1:15" x14ac:dyDescent="0.25">
      <c r="A469">
        <v>121.34549525</v>
      </c>
      <c r="B469">
        <v>272.07736225000002</v>
      </c>
      <c r="C469">
        <v>-133.82059874999999</v>
      </c>
      <c r="D469">
        <v>-199.25912074999999</v>
      </c>
      <c r="E469">
        <v>45.411384499999997</v>
      </c>
      <c r="F469">
        <v>5.6507129999999997</v>
      </c>
      <c r="G469">
        <v>284.86341125000001</v>
      </c>
      <c r="H469">
        <v>36</v>
      </c>
      <c r="I469">
        <v>-16</v>
      </c>
      <c r="J469">
        <v>1.1299999999999999</v>
      </c>
      <c r="K469">
        <v>22.230178250000002</v>
      </c>
      <c r="L469">
        <v>1.2038938907190551</v>
      </c>
      <c r="M469">
        <v>2.2238038908713471</v>
      </c>
      <c r="N469">
        <v>-1.129757307272067</v>
      </c>
      <c r="O469">
        <v>-0.81240665026682923</v>
      </c>
    </row>
    <row r="470" spans="1:15" x14ac:dyDescent="0.25">
      <c r="A470">
        <v>96.345342500000001</v>
      </c>
      <c r="B470">
        <v>261.73860925000002</v>
      </c>
      <c r="C470">
        <v>-93.318098000000006</v>
      </c>
      <c r="D470">
        <v>-182.69425175000001</v>
      </c>
      <c r="E470">
        <v>53.229818999999999</v>
      </c>
      <c r="F470">
        <v>5.4558627499999997</v>
      </c>
      <c r="G470">
        <v>267.94848624999997</v>
      </c>
      <c r="H470">
        <v>36</v>
      </c>
      <c r="I470">
        <v>-12</v>
      </c>
      <c r="J470">
        <v>1.1299999999999999</v>
      </c>
      <c r="K470">
        <v>21.554301250000002</v>
      </c>
      <c r="L470">
        <v>0.99183536905185632</v>
      </c>
      <c r="M470">
        <v>2.3240357737822062</v>
      </c>
      <c r="N470">
        <v>-1.122861260161953</v>
      </c>
      <c r="O470">
        <v>-0.75020661922259135</v>
      </c>
    </row>
    <row r="471" spans="1:15" x14ac:dyDescent="0.25">
      <c r="A471">
        <v>78.249563249999994</v>
      </c>
      <c r="B471">
        <v>280.05982975000001</v>
      </c>
      <c r="C471">
        <v>-63.910948750000003</v>
      </c>
      <c r="D471">
        <v>-186.58415600000001</v>
      </c>
      <c r="E471">
        <v>63.611103249999999</v>
      </c>
      <c r="F471">
        <v>5.6994259999999999</v>
      </c>
      <c r="G471">
        <v>283.19010924999998</v>
      </c>
      <c r="H471">
        <v>36</v>
      </c>
      <c r="I471">
        <v>-8</v>
      </c>
      <c r="J471">
        <v>1.1554500000000001</v>
      </c>
      <c r="K471">
        <v>21.919585250000001</v>
      </c>
      <c r="L471">
        <v>0.75272937438166365</v>
      </c>
      <c r="M471">
        <v>2.4708517441971498</v>
      </c>
      <c r="N471">
        <v>-1.1626599095111569</v>
      </c>
      <c r="O471">
        <v>-0.69334430420096416</v>
      </c>
    </row>
    <row r="472" spans="1:15" x14ac:dyDescent="0.25">
      <c r="A472">
        <v>53.790931749999999</v>
      </c>
      <c r="B472">
        <v>296.84226224999998</v>
      </c>
      <c r="C472">
        <v>-30.12880075</v>
      </c>
      <c r="D472">
        <v>-191.78525925</v>
      </c>
      <c r="E472">
        <v>72.229310999999996</v>
      </c>
      <c r="F472">
        <v>6.2839790000000004</v>
      </c>
      <c r="G472">
        <v>298.47169524999998</v>
      </c>
      <c r="H472">
        <v>36</v>
      </c>
      <c r="I472">
        <v>-4</v>
      </c>
      <c r="J472">
        <v>1.18</v>
      </c>
      <c r="K472">
        <v>22.253823000000001</v>
      </c>
      <c r="L472">
        <v>0.45814838019885912</v>
      </c>
      <c r="M472">
        <v>2.6674639595016738</v>
      </c>
      <c r="N472">
        <v>-1.2351249629667069</v>
      </c>
      <c r="O472">
        <v>-0.6400357867862857</v>
      </c>
    </row>
    <row r="473" spans="1:15" x14ac:dyDescent="0.25">
      <c r="A473">
        <v>22.969444750000001</v>
      </c>
      <c r="B473">
        <v>310.450943</v>
      </c>
      <c r="C473">
        <v>7.5420952499999991</v>
      </c>
      <c r="D473">
        <v>-198.47239300000001</v>
      </c>
      <c r="E473">
        <v>75.670808500000007</v>
      </c>
      <c r="F473">
        <v>6.624968</v>
      </c>
      <c r="G473">
        <v>312.50952925000001</v>
      </c>
      <c r="H473">
        <v>36</v>
      </c>
      <c r="I473">
        <v>0</v>
      </c>
      <c r="J473">
        <v>1.18</v>
      </c>
      <c r="K473">
        <v>22.769451249999999</v>
      </c>
      <c r="L473">
        <v>9.0124283039710817E-2</v>
      </c>
      <c r="M473">
        <v>2.973797883230537</v>
      </c>
      <c r="N473">
        <v>-1.3839259813631291</v>
      </c>
      <c r="O473">
        <v>-0.59652526633108005</v>
      </c>
    </row>
    <row r="474" spans="1:15" x14ac:dyDescent="0.25">
      <c r="A474">
        <v>-15.720364999999999</v>
      </c>
      <c r="B474">
        <v>322.80935675000001</v>
      </c>
      <c r="C474">
        <v>42.0459575</v>
      </c>
      <c r="D474">
        <v>-206.99521250000001</v>
      </c>
      <c r="E474">
        <v>76.743717000000004</v>
      </c>
      <c r="F474">
        <v>6.7223934999999999</v>
      </c>
      <c r="G474">
        <v>323.815651</v>
      </c>
      <c r="H474">
        <v>36</v>
      </c>
      <c r="I474">
        <v>4</v>
      </c>
      <c r="J474">
        <v>1.18</v>
      </c>
      <c r="K474">
        <v>23.18287875</v>
      </c>
      <c r="L474">
        <v>-0.30699225826645421</v>
      </c>
      <c r="M474">
        <v>2.8168873767118341</v>
      </c>
      <c r="N474">
        <v>-1.313722431493656</v>
      </c>
      <c r="O474">
        <v>-0.62779665182847377</v>
      </c>
    </row>
    <row r="475" spans="1:15" x14ac:dyDescent="0.25">
      <c r="A475">
        <v>-62.340930999999998</v>
      </c>
      <c r="B475">
        <v>331.51313025000002</v>
      </c>
      <c r="C475">
        <v>73.885253750000004</v>
      </c>
      <c r="D475">
        <v>-220.76283674999999</v>
      </c>
      <c r="E475">
        <v>71.782388749999996</v>
      </c>
      <c r="F475">
        <v>7.0633827499999997</v>
      </c>
      <c r="G475">
        <v>334.11557775</v>
      </c>
      <c r="H475">
        <v>36</v>
      </c>
      <c r="I475">
        <v>8</v>
      </c>
      <c r="J475">
        <v>1.18</v>
      </c>
      <c r="K475">
        <v>23.54411575</v>
      </c>
      <c r="L475">
        <v>-0.63850784344066447</v>
      </c>
      <c r="M475">
        <v>2.588917176910531</v>
      </c>
      <c r="N475">
        <v>-1.2297827036775419</v>
      </c>
      <c r="O475">
        <v>-0.69665615626305044</v>
      </c>
    </row>
    <row r="476" spans="1:15" x14ac:dyDescent="0.25">
      <c r="A476">
        <v>-112.38484200000001</v>
      </c>
      <c r="B476">
        <v>338.82238799999999</v>
      </c>
      <c r="C476">
        <v>102.563204</v>
      </c>
      <c r="D476">
        <v>-234.26820749999999</v>
      </c>
      <c r="E476">
        <v>61.372027250000002</v>
      </c>
      <c r="F476">
        <v>7.2582339999999999</v>
      </c>
      <c r="G476">
        <v>344.5366515</v>
      </c>
      <c r="H476">
        <v>36</v>
      </c>
      <c r="I476">
        <v>12</v>
      </c>
      <c r="J476">
        <v>1.18</v>
      </c>
      <c r="K476">
        <v>23.909375499999999</v>
      </c>
      <c r="L476">
        <v>-0.91584667159597677</v>
      </c>
      <c r="M476">
        <v>2.4418210988395028</v>
      </c>
      <c r="N476">
        <v>-1.206518893626952</v>
      </c>
      <c r="O476">
        <v>-0.76942818349384989</v>
      </c>
    </row>
    <row r="477" spans="1:15" x14ac:dyDescent="0.25">
      <c r="A477">
        <v>-144.81653600000001</v>
      </c>
      <c r="B477">
        <v>301.36247225</v>
      </c>
      <c r="C477">
        <v>111.77627750000001</v>
      </c>
      <c r="D477">
        <v>-217.83448425</v>
      </c>
      <c r="E477">
        <v>41.212674249999999</v>
      </c>
      <c r="F477">
        <v>6.2352662499999996</v>
      </c>
      <c r="G477">
        <v>311.97507474999998</v>
      </c>
      <c r="H477">
        <v>36</v>
      </c>
      <c r="I477">
        <v>16</v>
      </c>
      <c r="J477">
        <v>1.18</v>
      </c>
      <c r="K477">
        <v>22.764040250000001</v>
      </c>
      <c r="L477">
        <v>-1.1530422619286971</v>
      </c>
      <c r="M477">
        <v>2.3330647062548722</v>
      </c>
      <c r="N477">
        <v>-1.2167116600314449</v>
      </c>
      <c r="O477">
        <v>-0.84281189095844311</v>
      </c>
    </row>
    <row r="478" spans="1:15" x14ac:dyDescent="0.25">
      <c r="A478">
        <v>-175.3113405</v>
      </c>
      <c r="B478">
        <v>272.70249174999998</v>
      </c>
      <c r="C478">
        <v>118.86673374999999</v>
      </c>
      <c r="D478">
        <v>-217.13518149999999</v>
      </c>
      <c r="E478">
        <v>20.33548175</v>
      </c>
      <c r="F478">
        <v>5.6020009999999996</v>
      </c>
      <c r="G478">
        <v>290.28769675000001</v>
      </c>
      <c r="H478">
        <v>36</v>
      </c>
      <c r="I478">
        <v>20</v>
      </c>
      <c r="J478">
        <v>1.18</v>
      </c>
      <c r="K478">
        <v>21.966270000000002</v>
      </c>
      <c r="L478">
        <v>-1.3584396222080151</v>
      </c>
      <c r="M478">
        <v>2.261944494197905</v>
      </c>
      <c r="N478">
        <v>-1.246593475968699</v>
      </c>
      <c r="O478">
        <v>-0.93198220674586252</v>
      </c>
    </row>
    <row r="479" spans="1:15" x14ac:dyDescent="0.25">
      <c r="A479">
        <v>-202.60802475</v>
      </c>
      <c r="B479">
        <v>244.95617275000001</v>
      </c>
      <c r="C479">
        <v>119.67965125000001</v>
      </c>
      <c r="D479">
        <v>-223.3415335</v>
      </c>
      <c r="E479">
        <v>-5.0392457500000001</v>
      </c>
      <c r="F479">
        <v>5.4071499999999997</v>
      </c>
      <c r="G479">
        <v>271.38894649999997</v>
      </c>
      <c r="H479">
        <v>36</v>
      </c>
      <c r="I479">
        <v>24</v>
      </c>
      <c r="J479">
        <v>1.18</v>
      </c>
      <c r="K479">
        <v>21.232408499999998</v>
      </c>
      <c r="L479">
        <v>-1.549935305076835</v>
      </c>
      <c r="M479">
        <v>2.2522009625616981</v>
      </c>
      <c r="N479">
        <v>-1.329447432654326</v>
      </c>
      <c r="O479">
        <v>-1.050264764882388</v>
      </c>
    </row>
    <row r="480" spans="1:15" x14ac:dyDescent="0.25">
      <c r="A480">
        <v>-248.1024855</v>
      </c>
      <c r="B480">
        <v>239.28188700000001</v>
      </c>
      <c r="C480">
        <v>130.383072</v>
      </c>
      <c r="D480">
        <v>-255.50971225000001</v>
      </c>
      <c r="E480">
        <v>-32.469395749999997</v>
      </c>
      <c r="F480">
        <v>5.6994259999999999</v>
      </c>
      <c r="G480">
        <v>279.72600549999999</v>
      </c>
      <c r="H480">
        <v>36</v>
      </c>
      <c r="I480">
        <v>28</v>
      </c>
      <c r="J480">
        <v>1.18</v>
      </c>
      <c r="K480">
        <v>21.551127000000001</v>
      </c>
      <c r="L480">
        <v>-1.7255908099924699</v>
      </c>
      <c r="M480">
        <v>2.255867385655407</v>
      </c>
      <c r="N480">
        <v>-1.423379915012845</v>
      </c>
      <c r="O480">
        <v>-1.1740226246983361</v>
      </c>
    </row>
    <row r="481" spans="1:15" x14ac:dyDescent="0.25">
      <c r="A481">
        <v>-304.09220125000002</v>
      </c>
      <c r="B481">
        <v>238.07970424999999</v>
      </c>
      <c r="C481">
        <v>142.938141</v>
      </c>
      <c r="D481">
        <v>-303.49972524999998</v>
      </c>
      <c r="E481">
        <v>-67.115844749999994</v>
      </c>
      <c r="F481">
        <v>5.8942777499999996</v>
      </c>
      <c r="G481">
        <v>297.24881749999997</v>
      </c>
      <c r="H481">
        <v>36</v>
      </c>
      <c r="I481">
        <v>32</v>
      </c>
      <c r="J481">
        <v>1.18</v>
      </c>
      <c r="K481">
        <v>22.222073999999999</v>
      </c>
      <c r="L481">
        <v>-1.888768401088659</v>
      </c>
      <c r="M481">
        <v>2.2882747319277921</v>
      </c>
      <c r="N481">
        <v>-1.539516670319234</v>
      </c>
      <c r="O481">
        <v>-1.3085078919970869</v>
      </c>
    </row>
    <row r="482" spans="1:15" x14ac:dyDescent="0.25">
      <c r="A482">
        <v>-354.67664324999998</v>
      </c>
      <c r="B482">
        <v>229.42400749999999</v>
      </c>
      <c r="C482">
        <v>150.0737575</v>
      </c>
      <c r="D482">
        <v>-353.06319424999998</v>
      </c>
      <c r="E482">
        <v>-110.63307374999999</v>
      </c>
      <c r="F482">
        <v>6.2352664999999998</v>
      </c>
      <c r="G482">
        <v>311.17504124999999</v>
      </c>
      <c r="H482">
        <v>36</v>
      </c>
      <c r="I482">
        <v>36</v>
      </c>
      <c r="J482">
        <v>1.18</v>
      </c>
      <c r="K482">
        <v>22.734269999999999</v>
      </c>
      <c r="L482">
        <v>-2.075164950669095</v>
      </c>
      <c r="M482">
        <v>2.3947752338675561</v>
      </c>
      <c r="N482">
        <v>-1.7342023246812019</v>
      </c>
      <c r="O482">
        <v>-1.480502292829045</v>
      </c>
    </row>
    <row r="483" spans="1:15" x14ac:dyDescent="0.25">
      <c r="A483">
        <v>-403.77462750000001</v>
      </c>
      <c r="B483">
        <v>214.661247</v>
      </c>
      <c r="C483">
        <v>152.15121825</v>
      </c>
      <c r="D483">
        <v>-404.11269349999998</v>
      </c>
      <c r="E483">
        <v>-161.15615099999999</v>
      </c>
      <c r="F483">
        <v>6.7223934999999999</v>
      </c>
      <c r="G483">
        <v>322.35425574999999</v>
      </c>
      <c r="H483">
        <v>36</v>
      </c>
      <c r="I483">
        <v>40</v>
      </c>
      <c r="J483">
        <v>1.18</v>
      </c>
      <c r="K483">
        <v>23.129395500000001</v>
      </c>
      <c r="L483">
        <v>-2.2897574646113492</v>
      </c>
      <c r="M483">
        <v>2.54862721707405</v>
      </c>
      <c r="N483">
        <v>-1.991502062183387</v>
      </c>
      <c r="O483">
        <v>-1.691459899924721</v>
      </c>
    </row>
    <row r="484" spans="1:15" x14ac:dyDescent="0.25">
      <c r="A484">
        <v>-456.56619275000003</v>
      </c>
      <c r="B484">
        <v>196.00340650000001</v>
      </c>
      <c r="C484">
        <v>152.01573174999999</v>
      </c>
      <c r="D484">
        <v>-456.77934249999998</v>
      </c>
      <c r="E484">
        <v>-217.75769025</v>
      </c>
      <c r="F484">
        <v>6.9172444999999998</v>
      </c>
      <c r="G484">
        <v>333.69493125000002</v>
      </c>
      <c r="H484">
        <v>36</v>
      </c>
      <c r="I484">
        <v>44</v>
      </c>
      <c r="J484">
        <v>1.18</v>
      </c>
      <c r="K484">
        <v>23.534234999999999</v>
      </c>
      <c r="L484">
        <v>-2.5472982610989572</v>
      </c>
      <c r="M484">
        <v>2.7323169310049011</v>
      </c>
      <c r="N484">
        <v>-2.3082057298904002</v>
      </c>
      <c r="O484">
        <v>-1.940409544757475</v>
      </c>
    </row>
    <row r="485" spans="1:15" x14ac:dyDescent="0.25">
      <c r="A485">
        <v>155.14534</v>
      </c>
      <c r="B485">
        <v>196.147671</v>
      </c>
      <c r="C485">
        <v>-474.75414275000003</v>
      </c>
      <c r="D485">
        <v>-480.81803150000002</v>
      </c>
      <c r="E485">
        <v>-213.49341974999999</v>
      </c>
      <c r="F485">
        <v>7.2582339999999999</v>
      </c>
      <c r="G485">
        <v>340.71613300000001</v>
      </c>
      <c r="H485">
        <v>40</v>
      </c>
      <c r="I485">
        <v>-44</v>
      </c>
      <c r="J485">
        <v>1.18</v>
      </c>
      <c r="K485">
        <v>23.773490750000001</v>
      </c>
      <c r="L485">
        <v>2.3834143533581709</v>
      </c>
      <c r="M485">
        <v>2.5615083100482949</v>
      </c>
      <c r="N485">
        <v>-2.0970725051791939</v>
      </c>
      <c r="O485">
        <v>-1.8353318271359229</v>
      </c>
    </row>
    <row r="486" spans="1:15" x14ac:dyDescent="0.25">
      <c r="A486">
        <v>144.36008075000001</v>
      </c>
      <c r="B486">
        <v>201.24491474999999</v>
      </c>
      <c r="C486">
        <v>-405.70144649999997</v>
      </c>
      <c r="D486">
        <v>-406.07949824999997</v>
      </c>
      <c r="E486">
        <v>-159.18368924999999</v>
      </c>
      <c r="F486">
        <v>6.2839787500000002</v>
      </c>
      <c r="G486">
        <v>310.45105749999999</v>
      </c>
      <c r="H486">
        <v>40</v>
      </c>
      <c r="I486">
        <v>-40</v>
      </c>
      <c r="J486">
        <v>1.18</v>
      </c>
      <c r="K486">
        <v>22.705418250000001</v>
      </c>
      <c r="L486">
        <v>2.2296302685849061</v>
      </c>
      <c r="M486">
        <v>2.4617402920532192</v>
      </c>
      <c r="N486">
        <v>-1.9036418903459891</v>
      </c>
      <c r="O486">
        <v>-1.670711192121012</v>
      </c>
    </row>
    <row r="487" spans="1:15" x14ac:dyDescent="0.25">
      <c r="A487">
        <v>134.65784475000001</v>
      </c>
      <c r="B487">
        <v>205.86128249999999</v>
      </c>
      <c r="C487">
        <v>-349.50311275000001</v>
      </c>
      <c r="D487">
        <v>-344.40925575</v>
      </c>
      <c r="E487">
        <v>-115.27820199999999</v>
      </c>
      <c r="F487">
        <v>5.6994259999999999</v>
      </c>
      <c r="G487">
        <v>287.270645</v>
      </c>
      <c r="H487">
        <v>40</v>
      </c>
      <c r="I487">
        <v>-36</v>
      </c>
      <c r="J487">
        <v>1.18</v>
      </c>
      <c r="K487">
        <v>21.845766000000001</v>
      </c>
      <c r="L487">
        <v>2.08984002615848</v>
      </c>
      <c r="M487">
        <v>2.375181724194416</v>
      </c>
      <c r="N487">
        <v>-1.737598192744527</v>
      </c>
      <c r="O487">
        <v>-1.5222090042262919</v>
      </c>
    </row>
    <row r="488" spans="1:15" x14ac:dyDescent="0.25">
      <c r="A488">
        <v>123.466448</v>
      </c>
      <c r="B488">
        <v>209.32356275000001</v>
      </c>
      <c r="C488">
        <v>-301.06250749999998</v>
      </c>
      <c r="D488">
        <v>-294.10277550000001</v>
      </c>
      <c r="E488">
        <v>-81.029327499999994</v>
      </c>
      <c r="F488">
        <v>5.3584375</v>
      </c>
      <c r="G488">
        <v>268.81298850000002</v>
      </c>
      <c r="H488">
        <v>40</v>
      </c>
      <c r="I488">
        <v>-32</v>
      </c>
      <c r="J488">
        <v>1.18</v>
      </c>
      <c r="K488">
        <v>21.131305749999999</v>
      </c>
      <c r="L488">
        <v>1.960392489902393</v>
      </c>
      <c r="M488">
        <v>2.3247242213181591</v>
      </c>
      <c r="N488">
        <v>-1.6155075565953161</v>
      </c>
      <c r="O488">
        <v>-1.398927504933499</v>
      </c>
    </row>
    <row r="489" spans="1:15" x14ac:dyDescent="0.25">
      <c r="A489">
        <v>124.007969</v>
      </c>
      <c r="B489">
        <v>235.96387874999999</v>
      </c>
      <c r="C489">
        <v>-282.07414249999999</v>
      </c>
      <c r="D489">
        <v>-283.13238525000003</v>
      </c>
      <c r="E489">
        <v>-59.675889249999997</v>
      </c>
      <c r="F489">
        <v>5.6507135000000002</v>
      </c>
      <c r="G489">
        <v>282.68640149999999</v>
      </c>
      <c r="H489">
        <v>40</v>
      </c>
      <c r="I489">
        <v>-28</v>
      </c>
      <c r="J489">
        <v>1.18</v>
      </c>
      <c r="K489">
        <v>21.669132000000001</v>
      </c>
      <c r="L489">
        <v>1.821619744576092</v>
      </c>
      <c r="M489">
        <v>2.328598903245668</v>
      </c>
      <c r="N489">
        <v>-1.5358254362736179</v>
      </c>
      <c r="O489">
        <v>-1.2930757357782749</v>
      </c>
    </row>
    <row r="490" spans="1:15" x14ac:dyDescent="0.25">
      <c r="A490">
        <v>121.11985925</v>
      </c>
      <c r="B490">
        <v>263.5178295</v>
      </c>
      <c r="C490">
        <v>-262.49943524999998</v>
      </c>
      <c r="D490">
        <v>-280.68479925000003</v>
      </c>
      <c r="E490">
        <v>-43.215362749999997</v>
      </c>
      <c r="F490">
        <v>5.9429904999999996</v>
      </c>
      <c r="G490">
        <v>299.48928825000002</v>
      </c>
      <c r="H490">
        <v>40</v>
      </c>
      <c r="I490">
        <v>-24</v>
      </c>
      <c r="J490">
        <v>1.18</v>
      </c>
      <c r="K490">
        <v>22.30550075</v>
      </c>
      <c r="L490">
        <v>1.679780331507551</v>
      </c>
      <c r="M490">
        <v>2.3829241690296241</v>
      </c>
      <c r="N490">
        <v>-1.5006299860470811</v>
      </c>
      <c r="O490">
        <v>-1.2152491293903149</v>
      </c>
    </row>
    <row r="491" spans="1:15" x14ac:dyDescent="0.25">
      <c r="A491">
        <v>112.81656275</v>
      </c>
      <c r="B491">
        <v>286.69586175000001</v>
      </c>
      <c r="C491">
        <v>-231.69409575</v>
      </c>
      <c r="D491">
        <v>-275.65853099999998</v>
      </c>
      <c r="E491">
        <v>-24.93022775</v>
      </c>
      <c r="F491">
        <v>6.0891284999999993</v>
      </c>
      <c r="G491">
        <v>311.31307974999999</v>
      </c>
      <c r="H491">
        <v>40</v>
      </c>
      <c r="I491">
        <v>-20</v>
      </c>
      <c r="J491">
        <v>1.18</v>
      </c>
      <c r="K491">
        <v>22.744854</v>
      </c>
      <c r="L491">
        <v>1.5061127685355129</v>
      </c>
      <c r="M491">
        <v>2.4584434663219028</v>
      </c>
      <c r="N491">
        <v>-1.469987211256002</v>
      </c>
      <c r="O491">
        <v>-1.1356151355104389</v>
      </c>
    </row>
    <row r="492" spans="1:15" x14ac:dyDescent="0.25">
      <c r="A492">
        <v>99.865219249999996</v>
      </c>
      <c r="B492">
        <v>306.94057475</v>
      </c>
      <c r="C492">
        <v>-202.87328725</v>
      </c>
      <c r="D492">
        <v>-276.05187975000001</v>
      </c>
      <c r="E492">
        <v>-12.35354925</v>
      </c>
      <c r="F492">
        <v>6.9659572499999998</v>
      </c>
      <c r="G492">
        <v>323.17314149999999</v>
      </c>
      <c r="H492">
        <v>40</v>
      </c>
      <c r="I492">
        <v>-16</v>
      </c>
      <c r="J492">
        <v>1.18</v>
      </c>
      <c r="K492">
        <v>23.150466250000001</v>
      </c>
      <c r="L492">
        <v>1.3330969798468439</v>
      </c>
      <c r="M492">
        <v>2.5671017026683409</v>
      </c>
      <c r="N492">
        <v>-1.4775143540443121</v>
      </c>
      <c r="O492">
        <v>-1.0851330619165911</v>
      </c>
    </row>
    <row r="493" spans="1:15" x14ac:dyDescent="0.25">
      <c r="A493">
        <v>80.370515999999995</v>
      </c>
      <c r="B493">
        <v>323.00171649999999</v>
      </c>
      <c r="C493">
        <v>-167.46743000000001</v>
      </c>
      <c r="D493">
        <v>-278.58687574999999</v>
      </c>
      <c r="E493">
        <v>-1.0258205</v>
      </c>
      <c r="F493">
        <v>6.9659572499999998</v>
      </c>
      <c r="G493">
        <v>332.81608575000001</v>
      </c>
      <c r="H493">
        <v>40</v>
      </c>
      <c r="I493">
        <v>-12</v>
      </c>
      <c r="J493">
        <v>1.18</v>
      </c>
      <c r="K493">
        <v>23.500810999999999</v>
      </c>
      <c r="L493">
        <v>1.1163640275931079</v>
      </c>
      <c r="M493">
        <v>2.709874401233582</v>
      </c>
      <c r="N493">
        <v>-1.5038209236223501</v>
      </c>
      <c r="O493">
        <v>-1.0360059465392379</v>
      </c>
    </row>
    <row r="494" spans="1:15" x14ac:dyDescent="0.25">
      <c r="A494">
        <v>54.016565749999998</v>
      </c>
      <c r="B494">
        <v>337.09125525000002</v>
      </c>
      <c r="C494">
        <v>-131.11441425000001</v>
      </c>
      <c r="D494">
        <v>-284.09394075</v>
      </c>
      <c r="E494">
        <v>7.0172067499999997</v>
      </c>
      <c r="F494">
        <v>7.1608082499999997</v>
      </c>
      <c r="G494">
        <v>342.21653750000002</v>
      </c>
      <c r="H494">
        <v>40</v>
      </c>
      <c r="I494">
        <v>-8</v>
      </c>
      <c r="J494">
        <v>1.18</v>
      </c>
      <c r="K494">
        <v>23.830461249999999</v>
      </c>
      <c r="L494">
        <v>0.86259072782815083</v>
      </c>
      <c r="M494">
        <v>2.8944017151066501</v>
      </c>
      <c r="N494">
        <v>-1.561875395618127</v>
      </c>
      <c r="O494">
        <v>-1.000679385858037</v>
      </c>
    </row>
    <row r="495" spans="1:15" x14ac:dyDescent="0.25">
      <c r="A495">
        <v>20.758239750000001</v>
      </c>
      <c r="B495">
        <v>320.64542399999999</v>
      </c>
      <c r="C495">
        <v>-80.373538999999994</v>
      </c>
      <c r="D495">
        <v>-262.63390349999997</v>
      </c>
      <c r="E495">
        <v>11.70965625</v>
      </c>
      <c r="F495">
        <v>6.7223934999999999</v>
      </c>
      <c r="G495">
        <v>322.85559074999998</v>
      </c>
      <c r="H495">
        <v>40</v>
      </c>
      <c r="I495">
        <v>-4</v>
      </c>
      <c r="J495">
        <v>1.18</v>
      </c>
      <c r="K495">
        <v>23.14771575</v>
      </c>
      <c r="L495">
        <v>0.55201363332387299</v>
      </c>
      <c r="M495">
        <v>3.183599320894666</v>
      </c>
      <c r="N495">
        <v>-1.698278436836625</v>
      </c>
      <c r="O495">
        <v>-0.97279124732521205</v>
      </c>
    </row>
    <row r="496" spans="1:15" x14ac:dyDescent="0.25">
      <c r="A496">
        <v>-12.74745875</v>
      </c>
      <c r="B496">
        <v>293.37998199999998</v>
      </c>
      <c r="C496">
        <v>-34.458689</v>
      </c>
      <c r="D496">
        <v>-235.75425325</v>
      </c>
      <c r="E496">
        <v>9.9227642500000002</v>
      </c>
      <c r="F496">
        <v>6.0404157499999993</v>
      </c>
      <c r="G496">
        <v>295.29427325</v>
      </c>
      <c r="H496">
        <v>40</v>
      </c>
      <c r="I496">
        <v>0</v>
      </c>
      <c r="J496">
        <v>1.18</v>
      </c>
      <c r="K496">
        <v>22.141812000000002</v>
      </c>
      <c r="L496">
        <v>0.149665079538749</v>
      </c>
      <c r="M496">
        <v>3.6486078343792872</v>
      </c>
      <c r="N496">
        <v>-1.9677941892718369</v>
      </c>
      <c r="O496">
        <v>-0.97327774629256347</v>
      </c>
    </row>
    <row r="497" spans="1:15" x14ac:dyDescent="0.25">
      <c r="A497">
        <v>-44.728715750000013</v>
      </c>
      <c r="B497">
        <v>274.86641700000001</v>
      </c>
      <c r="C497">
        <v>0.63234449999999998</v>
      </c>
      <c r="D497">
        <v>-218.62120075000001</v>
      </c>
      <c r="E497">
        <v>10.59310775</v>
      </c>
      <c r="F497">
        <v>5.6507135000000002</v>
      </c>
      <c r="G497">
        <v>276.62948625000001</v>
      </c>
      <c r="H497">
        <v>40</v>
      </c>
      <c r="I497">
        <v>4</v>
      </c>
      <c r="J497">
        <v>1.18</v>
      </c>
      <c r="K497">
        <v>21.430940499999998</v>
      </c>
      <c r="L497">
        <v>-0.31881724565315261</v>
      </c>
      <c r="M497">
        <v>3.4689335204899039</v>
      </c>
      <c r="N497">
        <v>-1.870156567165467</v>
      </c>
      <c r="O497">
        <v>-0.96531383557624517</v>
      </c>
    </row>
    <row r="498" spans="1:15" x14ac:dyDescent="0.25">
      <c r="A498">
        <v>-79.637832500000002</v>
      </c>
      <c r="B498">
        <v>269.86534875000001</v>
      </c>
      <c r="C498">
        <v>23.80046025</v>
      </c>
      <c r="D498">
        <v>-219.01456475000001</v>
      </c>
      <c r="E498">
        <v>3.8436189999999999</v>
      </c>
      <c r="F498">
        <v>5.4558629999999999</v>
      </c>
      <c r="G498">
        <v>272.14894125000001</v>
      </c>
      <c r="H498">
        <v>40</v>
      </c>
      <c r="I498">
        <v>8</v>
      </c>
      <c r="J498">
        <v>1.18</v>
      </c>
      <c r="K498">
        <v>21.260795000000002</v>
      </c>
      <c r="L498">
        <v>-0.67531699849319515</v>
      </c>
      <c r="M498">
        <v>3.191865242683019</v>
      </c>
      <c r="N498">
        <v>-1.7517927369871289</v>
      </c>
      <c r="O498">
        <v>-1.010565797271014</v>
      </c>
    </row>
    <row r="499" spans="1:15" x14ac:dyDescent="0.25">
      <c r="A499">
        <v>-123.826019</v>
      </c>
      <c r="B499">
        <v>282.75272374999997</v>
      </c>
      <c r="C499">
        <v>45.929900250000003</v>
      </c>
      <c r="D499">
        <v>-235.31718050000001</v>
      </c>
      <c r="E499">
        <v>-6.1995155000000004</v>
      </c>
      <c r="F499">
        <v>6.0891284999999993</v>
      </c>
      <c r="G499">
        <v>289.15074950000002</v>
      </c>
      <c r="H499">
        <v>40</v>
      </c>
      <c r="I499">
        <v>12</v>
      </c>
      <c r="J499">
        <v>1.18</v>
      </c>
      <c r="K499">
        <v>21.903538999999999</v>
      </c>
      <c r="L499">
        <v>-0.97914655513167603</v>
      </c>
      <c r="M499">
        <v>2.9883073364522019</v>
      </c>
      <c r="N499">
        <v>-1.7036571794989599</v>
      </c>
      <c r="O499">
        <v>-1.0709276568465249</v>
      </c>
    </row>
    <row r="500" spans="1:15" x14ac:dyDescent="0.25">
      <c r="A500">
        <v>-176.07709125</v>
      </c>
      <c r="B500">
        <v>292.56250025000003</v>
      </c>
      <c r="C500">
        <v>67.427074250000004</v>
      </c>
      <c r="D500">
        <v>-257.25797249999999</v>
      </c>
      <c r="E500">
        <v>-20.870423250000002</v>
      </c>
      <c r="F500">
        <v>6.1378409999999999</v>
      </c>
      <c r="G500">
        <v>304.45471199999997</v>
      </c>
      <c r="H500">
        <v>40</v>
      </c>
      <c r="I500">
        <v>16</v>
      </c>
      <c r="J500">
        <v>1.18</v>
      </c>
      <c r="K500">
        <v>22.486022999999999</v>
      </c>
      <c r="L500">
        <v>-1.243654885920378</v>
      </c>
      <c r="M500">
        <v>2.808268348277259</v>
      </c>
      <c r="N500">
        <v>-1.6617129722221951</v>
      </c>
      <c r="O500">
        <v>-1.137968211746788</v>
      </c>
    </row>
    <row r="501" spans="1:15" x14ac:dyDescent="0.25">
      <c r="A501">
        <v>-226.93179724999999</v>
      </c>
      <c r="B501">
        <v>296.21714025</v>
      </c>
      <c r="C501">
        <v>86.756460250000003</v>
      </c>
      <c r="D501">
        <v>-282.73900600000002</v>
      </c>
      <c r="E501">
        <v>-38.884154250000002</v>
      </c>
      <c r="F501">
        <v>6.624968</v>
      </c>
      <c r="G501">
        <v>316.95373549999999</v>
      </c>
      <c r="H501">
        <v>40</v>
      </c>
      <c r="I501">
        <v>20</v>
      </c>
      <c r="J501">
        <v>1.18</v>
      </c>
      <c r="K501">
        <v>22.93426625</v>
      </c>
      <c r="L501">
        <v>-1.4525860859420621</v>
      </c>
      <c r="M501">
        <v>2.6811555977249371</v>
      </c>
      <c r="N501">
        <v>-1.6479507310906529</v>
      </c>
      <c r="O501">
        <v>-1.2108101245821099</v>
      </c>
    </row>
    <row r="502" spans="1:15" x14ac:dyDescent="0.25">
      <c r="A502">
        <v>-282.15576924999999</v>
      </c>
      <c r="B502">
        <v>295.64008324999998</v>
      </c>
      <c r="C502">
        <v>100.66639725</v>
      </c>
      <c r="D502">
        <v>-314.68865225000002</v>
      </c>
      <c r="E502">
        <v>-65.246615250000005</v>
      </c>
      <c r="F502">
        <v>6.7711062499999999</v>
      </c>
      <c r="G502">
        <v>327.65387724999999</v>
      </c>
      <c r="H502">
        <v>40</v>
      </c>
      <c r="I502">
        <v>24</v>
      </c>
      <c r="J502">
        <v>1.18</v>
      </c>
      <c r="K502">
        <v>23.320988499999999</v>
      </c>
      <c r="L502">
        <v>-1.6418293911594859</v>
      </c>
      <c r="M502">
        <v>2.6175079538305259</v>
      </c>
      <c r="N502">
        <v>-1.685059224755924</v>
      </c>
      <c r="O502">
        <v>-1.308885089840583</v>
      </c>
    </row>
    <row r="503" spans="1:15" x14ac:dyDescent="0.25">
      <c r="A503">
        <v>-337.42478949999997</v>
      </c>
      <c r="B503">
        <v>289.62918074999999</v>
      </c>
      <c r="C503">
        <v>112.9053325</v>
      </c>
      <c r="D503">
        <v>-348.21173874999999</v>
      </c>
      <c r="E503">
        <v>-97.134176249999996</v>
      </c>
      <c r="F503">
        <v>7.0633827499999997</v>
      </c>
      <c r="G503">
        <v>338.79605874999999</v>
      </c>
      <c r="H503">
        <v>40</v>
      </c>
      <c r="I503">
        <v>28</v>
      </c>
      <c r="J503">
        <v>1.18</v>
      </c>
      <c r="K503">
        <v>23.7119915</v>
      </c>
      <c r="L503">
        <v>-1.8329552650935419</v>
      </c>
      <c r="M503">
        <v>2.5962372555853568</v>
      </c>
      <c r="N503">
        <v>-1.774400701486849</v>
      </c>
      <c r="O503">
        <v>-1.424102860189008</v>
      </c>
    </row>
    <row r="504" spans="1:15" x14ac:dyDescent="0.25">
      <c r="A504">
        <v>-372.46903974999998</v>
      </c>
      <c r="B504">
        <v>265.92219525000002</v>
      </c>
      <c r="C504">
        <v>114.44084375</v>
      </c>
      <c r="D504">
        <v>-370.19624325000001</v>
      </c>
      <c r="E504">
        <v>-129.9584275</v>
      </c>
      <c r="F504">
        <v>6.7223934999999999</v>
      </c>
      <c r="G504">
        <v>331.05599975000001</v>
      </c>
      <c r="H504">
        <v>40</v>
      </c>
      <c r="I504">
        <v>32</v>
      </c>
      <c r="J504">
        <v>1.18</v>
      </c>
      <c r="K504">
        <v>23.446019249999999</v>
      </c>
      <c r="L504">
        <v>-2.01720355737173</v>
      </c>
      <c r="M504">
        <v>2.6354230400617902</v>
      </c>
      <c r="N504">
        <v>-1.909969779305023</v>
      </c>
      <c r="O504">
        <v>-1.5662418369669731</v>
      </c>
    </row>
    <row r="505" spans="1:15" x14ac:dyDescent="0.25">
      <c r="A505">
        <v>-376.47795875000003</v>
      </c>
      <c r="B505">
        <v>225.04807650000001</v>
      </c>
      <c r="C505">
        <v>107.84717575000001</v>
      </c>
      <c r="D505">
        <v>-366.61228175000002</v>
      </c>
      <c r="E505">
        <v>-153.0154115</v>
      </c>
      <c r="F505">
        <v>6.1865534999999996</v>
      </c>
      <c r="G505">
        <v>303.67237849999998</v>
      </c>
      <c r="H505">
        <v>40</v>
      </c>
      <c r="I505">
        <v>36</v>
      </c>
      <c r="J505">
        <v>1.18</v>
      </c>
      <c r="K505">
        <v>22.45467275</v>
      </c>
      <c r="L505">
        <v>-2.2163530453994822</v>
      </c>
      <c r="M505">
        <v>2.7075446805716221</v>
      </c>
      <c r="N505">
        <v>-2.0899342860839889</v>
      </c>
      <c r="O505">
        <v>-1.7285678362454731</v>
      </c>
    </row>
    <row r="506" spans="1:15" x14ac:dyDescent="0.25">
      <c r="A506">
        <v>-377.87432100000001</v>
      </c>
      <c r="B506">
        <v>191.38704300000001</v>
      </c>
      <c r="C506">
        <v>99.447021250000006</v>
      </c>
      <c r="D506">
        <v>-369.89028925000002</v>
      </c>
      <c r="E506">
        <v>-177.03072750000001</v>
      </c>
      <c r="F506">
        <v>5.6020009999999996</v>
      </c>
      <c r="G506">
        <v>283.56671125000003</v>
      </c>
      <c r="H506">
        <v>40</v>
      </c>
      <c r="I506">
        <v>40</v>
      </c>
      <c r="J506">
        <v>1.18</v>
      </c>
      <c r="K506">
        <v>21.705388750000001</v>
      </c>
      <c r="L506">
        <v>-2.4247762563658282</v>
      </c>
      <c r="M506">
        <v>2.8512705909132339</v>
      </c>
      <c r="N506">
        <v>-2.339819962706418</v>
      </c>
      <c r="O506">
        <v>-1.9277613243059</v>
      </c>
    </row>
    <row r="507" spans="1:15" x14ac:dyDescent="0.25">
      <c r="A507">
        <v>-381.70306399999998</v>
      </c>
      <c r="B507">
        <v>160.99592949999999</v>
      </c>
      <c r="C507">
        <v>89.601676999999995</v>
      </c>
      <c r="D507">
        <v>-379.11241899999999</v>
      </c>
      <c r="E507">
        <v>-204.78023525</v>
      </c>
      <c r="F507">
        <v>5.4071502499999999</v>
      </c>
      <c r="G507">
        <v>268.93298349999998</v>
      </c>
      <c r="H507">
        <v>40</v>
      </c>
      <c r="I507">
        <v>44</v>
      </c>
      <c r="J507">
        <v>1.18</v>
      </c>
      <c r="K507">
        <v>21.134171500000001</v>
      </c>
      <c r="L507">
        <v>-2.6836275074059319</v>
      </c>
      <c r="M507">
        <v>3.0753607383880111</v>
      </c>
      <c r="N507">
        <v>-2.697378750268876</v>
      </c>
      <c r="O507">
        <v>-2.1968267137040018</v>
      </c>
    </row>
    <row r="508" spans="1:15" x14ac:dyDescent="0.25">
      <c r="A508">
        <v>99.098068249999997</v>
      </c>
      <c r="B508">
        <v>169.45928175</v>
      </c>
      <c r="C508">
        <v>-422.56996924999999</v>
      </c>
      <c r="D508">
        <v>-422.29467775000001</v>
      </c>
      <c r="E508">
        <v>-221.7568205</v>
      </c>
      <c r="F508">
        <v>6.1378409999999999</v>
      </c>
      <c r="G508">
        <v>294.77424624999998</v>
      </c>
      <c r="H508">
        <v>44</v>
      </c>
      <c r="I508">
        <v>-44</v>
      </c>
      <c r="J508">
        <v>1.18</v>
      </c>
      <c r="K508">
        <v>22.118174750000001</v>
      </c>
      <c r="L508">
        <v>2.59960184968411</v>
      </c>
      <c r="M508">
        <v>2.9488653668445481</v>
      </c>
      <c r="N508">
        <v>-2.5740511760686791</v>
      </c>
      <c r="O508">
        <v>-2.1356894317873318</v>
      </c>
    </row>
    <row r="509" spans="1:15" x14ac:dyDescent="0.25">
      <c r="A509">
        <v>106.995226</v>
      </c>
      <c r="B509">
        <v>198.93672574999999</v>
      </c>
      <c r="C509">
        <v>-423.65244300000001</v>
      </c>
      <c r="D509">
        <v>-422.29470075</v>
      </c>
      <c r="E509">
        <v>-202.78685024999999</v>
      </c>
      <c r="F509">
        <v>6.2839787500000002</v>
      </c>
      <c r="G509">
        <v>308.53490449999998</v>
      </c>
      <c r="H509">
        <v>44</v>
      </c>
      <c r="I509">
        <v>-40</v>
      </c>
      <c r="J509">
        <v>1.18</v>
      </c>
      <c r="K509">
        <v>22.633813249999999</v>
      </c>
      <c r="L509">
        <v>2.4100146490581111</v>
      </c>
      <c r="M509">
        <v>2.8214170515266579</v>
      </c>
      <c r="N509">
        <v>-2.322268437150421</v>
      </c>
      <c r="O509">
        <v>-1.949545259537107</v>
      </c>
    </row>
    <row r="510" spans="1:15" x14ac:dyDescent="0.25">
      <c r="A510">
        <v>110.0187055</v>
      </c>
      <c r="B510">
        <v>226.87538549999999</v>
      </c>
      <c r="C510">
        <v>-418.64601149999999</v>
      </c>
      <c r="D510">
        <v>-413.81558224999998</v>
      </c>
      <c r="E510">
        <v>-181.84679800000001</v>
      </c>
      <c r="F510">
        <v>6.5275425</v>
      </c>
      <c r="G510">
        <v>320.49548325000001</v>
      </c>
      <c r="H510">
        <v>44</v>
      </c>
      <c r="I510">
        <v>-36</v>
      </c>
      <c r="J510">
        <v>1.18</v>
      </c>
      <c r="K510">
        <v>23.068351750000001</v>
      </c>
      <c r="L510">
        <v>2.255572868828176</v>
      </c>
      <c r="M510">
        <v>2.7335341256406909</v>
      </c>
      <c r="N510">
        <v>-2.1432884658108788</v>
      </c>
      <c r="O510">
        <v>-1.8037199729523541</v>
      </c>
    </row>
    <row r="511" spans="1:15" x14ac:dyDescent="0.25">
      <c r="A511">
        <v>110.92124</v>
      </c>
      <c r="B511">
        <v>255.77579850000001</v>
      </c>
      <c r="C511">
        <v>-403.04036724999997</v>
      </c>
      <c r="D511">
        <v>-398.168564</v>
      </c>
      <c r="E511">
        <v>-156.67255025</v>
      </c>
      <c r="F511">
        <v>6.6736807499999999</v>
      </c>
      <c r="G511">
        <v>332.63541400000003</v>
      </c>
      <c r="H511">
        <v>44</v>
      </c>
      <c r="I511">
        <v>-32</v>
      </c>
      <c r="J511">
        <v>1.18</v>
      </c>
      <c r="K511">
        <v>23.504830500000001</v>
      </c>
      <c r="L511">
        <v>2.1070421928186081</v>
      </c>
      <c r="M511">
        <v>2.680905771195579</v>
      </c>
      <c r="N511">
        <v>-2.0060091327330318</v>
      </c>
      <c r="O511">
        <v>-1.669681100189556</v>
      </c>
    </row>
    <row r="512" spans="1:15" x14ac:dyDescent="0.25">
      <c r="A512">
        <v>107.08547975</v>
      </c>
      <c r="B512">
        <v>280.20410149999998</v>
      </c>
      <c r="C512">
        <v>-382.24789425</v>
      </c>
      <c r="D512">
        <v>-384.26981375000003</v>
      </c>
      <c r="E512">
        <v>-137.49525424999999</v>
      </c>
      <c r="F512">
        <v>7.1120954999999997</v>
      </c>
      <c r="G512">
        <v>341.57650000000001</v>
      </c>
      <c r="H512">
        <v>44</v>
      </c>
      <c r="I512">
        <v>-28</v>
      </c>
      <c r="J512">
        <v>1.18</v>
      </c>
      <c r="K512">
        <v>23.80942275</v>
      </c>
      <c r="L512">
        <v>1.991069137613853</v>
      </c>
      <c r="M512">
        <v>2.70371837133849</v>
      </c>
      <c r="N512">
        <v>-1.949326948904021</v>
      </c>
      <c r="O512">
        <v>-1.588398003110572</v>
      </c>
    </row>
    <row r="513" spans="1:15" x14ac:dyDescent="0.25">
      <c r="A513">
        <v>90.659387499999994</v>
      </c>
      <c r="B513">
        <v>279.33850899999999</v>
      </c>
      <c r="C513">
        <v>-322.3511125</v>
      </c>
      <c r="D513">
        <v>-341.30607624999999</v>
      </c>
      <c r="E513">
        <v>-108.59619499999999</v>
      </c>
      <c r="F513">
        <v>6.8685317499999998</v>
      </c>
      <c r="G513">
        <v>323.09561150000002</v>
      </c>
      <c r="H513">
        <v>44</v>
      </c>
      <c r="I513">
        <v>-24</v>
      </c>
      <c r="J513">
        <v>1.18</v>
      </c>
      <c r="K513">
        <v>23.151165500000001</v>
      </c>
      <c r="L513">
        <v>1.850374726994533</v>
      </c>
      <c r="M513">
        <v>2.780576351180001</v>
      </c>
      <c r="N513">
        <v>-1.9341892109087639</v>
      </c>
      <c r="O513">
        <v>-1.51745919383407</v>
      </c>
    </row>
    <row r="514" spans="1:15" x14ac:dyDescent="0.25">
      <c r="A514">
        <v>70.217023749999996</v>
      </c>
      <c r="B514">
        <v>268.85552200000001</v>
      </c>
      <c r="C514">
        <v>-262.31902300000002</v>
      </c>
      <c r="D514">
        <v>-300.52767949999998</v>
      </c>
      <c r="E514">
        <v>-85.767364499999999</v>
      </c>
      <c r="F514">
        <v>6.2352660000000002</v>
      </c>
      <c r="G514">
        <v>298.13439199999999</v>
      </c>
      <c r="H514">
        <v>44</v>
      </c>
      <c r="I514">
        <v>-20</v>
      </c>
      <c r="J514">
        <v>1.18</v>
      </c>
      <c r="K514">
        <v>22.24279525</v>
      </c>
      <c r="L514">
        <v>1.6996112417131271</v>
      </c>
      <c r="M514">
        <v>2.9101220733793038</v>
      </c>
      <c r="N514">
        <v>-1.9621390069000231</v>
      </c>
      <c r="O514">
        <v>-1.470234100421651</v>
      </c>
    </row>
    <row r="515" spans="1:15" x14ac:dyDescent="0.25">
      <c r="A515">
        <v>50.677194749999998</v>
      </c>
      <c r="B515">
        <v>259.19000249999999</v>
      </c>
      <c r="C515">
        <v>-209.45832425</v>
      </c>
      <c r="D515">
        <v>-269.53956599999998</v>
      </c>
      <c r="E515">
        <v>-66.455213749999999</v>
      </c>
      <c r="F515">
        <v>5.6020004999999999</v>
      </c>
      <c r="G515">
        <v>277.22951525000002</v>
      </c>
      <c r="H515">
        <v>44</v>
      </c>
      <c r="I515">
        <v>-16</v>
      </c>
      <c r="J515">
        <v>1.18</v>
      </c>
      <c r="K515">
        <v>21.4565795</v>
      </c>
      <c r="L515">
        <v>1.503311655637785</v>
      </c>
      <c r="M515">
        <v>3.055546913293953</v>
      </c>
      <c r="N515">
        <v>-1.986196418730326</v>
      </c>
      <c r="O515">
        <v>-1.4164539047373419</v>
      </c>
    </row>
    <row r="516" spans="1:15" x14ac:dyDescent="0.25">
      <c r="A516">
        <v>31.769138250000001</v>
      </c>
      <c r="B516">
        <v>260.48834225000002</v>
      </c>
      <c r="C516">
        <v>-171.88752375000001</v>
      </c>
      <c r="D516">
        <v>-261.49753575</v>
      </c>
      <c r="E516">
        <v>-56.01862225</v>
      </c>
      <c r="F516">
        <v>5.6020004999999999</v>
      </c>
      <c r="G516">
        <v>272.10894024999999</v>
      </c>
      <c r="H516">
        <v>44</v>
      </c>
      <c r="I516">
        <v>-12</v>
      </c>
      <c r="J516">
        <v>1.18</v>
      </c>
      <c r="K516">
        <v>21.25337</v>
      </c>
      <c r="L516">
        <v>1.26760432450823</v>
      </c>
      <c r="M516">
        <v>3.2489081355690921</v>
      </c>
      <c r="N516">
        <v>-2.042389897274647</v>
      </c>
      <c r="O516">
        <v>-1.3836170665661329</v>
      </c>
    </row>
    <row r="517" spans="1:15" x14ac:dyDescent="0.25">
      <c r="A517">
        <v>10.92063525</v>
      </c>
      <c r="B517">
        <v>280.97349550000001</v>
      </c>
      <c r="C517">
        <v>-148.43396749999999</v>
      </c>
      <c r="D517">
        <v>-275.61481474999999</v>
      </c>
      <c r="E517">
        <v>-54.944463749999997</v>
      </c>
      <c r="F517">
        <v>5.9917029999999993</v>
      </c>
      <c r="G517">
        <v>289.65397625000003</v>
      </c>
      <c r="H517">
        <v>44</v>
      </c>
      <c r="I517">
        <v>-8</v>
      </c>
      <c r="J517">
        <v>1.18</v>
      </c>
      <c r="K517">
        <v>21.926762499999999</v>
      </c>
      <c r="L517">
        <v>1.014578902709494</v>
      </c>
      <c r="M517">
        <v>3.543625670642736</v>
      </c>
      <c r="N517">
        <v>-2.1941068001891941</v>
      </c>
      <c r="O517">
        <v>-1.3880835862960059</v>
      </c>
    </row>
    <row r="518" spans="1:15" x14ac:dyDescent="0.25">
      <c r="A518">
        <v>-18.513093749999999</v>
      </c>
      <c r="B518">
        <v>297.37123100000002</v>
      </c>
      <c r="C518">
        <v>-117.22269075</v>
      </c>
      <c r="D518">
        <v>-286.93486799999999</v>
      </c>
      <c r="E518">
        <v>-56.282430750000003</v>
      </c>
      <c r="F518">
        <v>6.2839787500000002</v>
      </c>
      <c r="G518">
        <v>304.11234250000001</v>
      </c>
      <c r="H518">
        <v>44</v>
      </c>
      <c r="I518">
        <v>-4</v>
      </c>
      <c r="J518">
        <v>1.18</v>
      </c>
      <c r="K518">
        <v>22.467603499999999</v>
      </c>
      <c r="L518">
        <v>0.67707242607379037</v>
      </c>
      <c r="M518">
        <v>4.0078016961596141</v>
      </c>
      <c r="N518">
        <v>-2.4720109808328319</v>
      </c>
      <c r="O518">
        <v>-1.4292066111359569</v>
      </c>
    </row>
    <row r="519" spans="1:15" x14ac:dyDescent="0.25">
      <c r="A519">
        <v>-51.215056500000003</v>
      </c>
      <c r="B519">
        <v>310.9798965</v>
      </c>
      <c r="C519">
        <v>-85.650590750000006</v>
      </c>
      <c r="D519">
        <v>-296.33181775000003</v>
      </c>
      <c r="E519">
        <v>-57.713452500000002</v>
      </c>
      <c r="F519">
        <v>6.7223934999999999</v>
      </c>
      <c r="G519">
        <v>317.252205</v>
      </c>
      <c r="H519">
        <v>44</v>
      </c>
      <c r="I519">
        <v>0</v>
      </c>
      <c r="J519">
        <v>1.18</v>
      </c>
      <c r="K519">
        <v>22.941689</v>
      </c>
      <c r="L519">
        <v>0.25836307728752178</v>
      </c>
      <c r="M519">
        <v>4.5568092906554281</v>
      </c>
      <c r="N519">
        <v>-2.8134659213847528</v>
      </c>
      <c r="O519">
        <v>-1.483506264628998</v>
      </c>
    </row>
    <row r="520" spans="1:15" x14ac:dyDescent="0.25">
      <c r="A520">
        <v>-92.79068925</v>
      </c>
      <c r="B520">
        <v>322.08804300000003</v>
      </c>
      <c r="C520">
        <v>-53.762771499999999</v>
      </c>
      <c r="D520">
        <v>-308.65711950000002</v>
      </c>
      <c r="E520">
        <v>-63.466958249999998</v>
      </c>
      <c r="F520">
        <v>6.624968</v>
      </c>
      <c r="G520">
        <v>328.21585825</v>
      </c>
      <c r="H520">
        <v>44</v>
      </c>
      <c r="I520">
        <v>4</v>
      </c>
      <c r="J520">
        <v>1.18</v>
      </c>
      <c r="K520">
        <v>23.346714500000001</v>
      </c>
      <c r="L520">
        <v>-0.28420184971300039</v>
      </c>
      <c r="M520">
        <v>4.5960660807830527</v>
      </c>
      <c r="N520">
        <v>-2.8542553704599731</v>
      </c>
      <c r="O520">
        <v>-1.5109041373190659</v>
      </c>
    </row>
    <row r="521" spans="1:15" x14ac:dyDescent="0.25">
      <c r="A521">
        <v>-138.8707235</v>
      </c>
      <c r="B521">
        <v>329.97433475000003</v>
      </c>
      <c r="C521">
        <v>-23.182940250000001</v>
      </c>
      <c r="D521">
        <v>-319.88976274999999</v>
      </c>
      <c r="E521">
        <v>-70.157081750000003</v>
      </c>
      <c r="F521">
        <v>6.8198189999999999</v>
      </c>
      <c r="G521">
        <v>338.29635624999997</v>
      </c>
      <c r="H521">
        <v>44</v>
      </c>
      <c r="I521">
        <v>8</v>
      </c>
      <c r="J521">
        <v>1.18</v>
      </c>
      <c r="K521">
        <v>23.7028325</v>
      </c>
      <c r="L521">
        <v>-0.72645641423053908</v>
      </c>
      <c r="M521">
        <v>4.0819830467690847</v>
      </c>
      <c r="N521">
        <v>-2.565711484669094</v>
      </c>
      <c r="O521">
        <v>-1.48361059567293</v>
      </c>
    </row>
    <row r="522" spans="1:15" x14ac:dyDescent="0.25">
      <c r="A522">
        <v>-182.11299124999999</v>
      </c>
      <c r="B522">
        <v>320.59733575000001</v>
      </c>
      <c r="C522">
        <v>2.39361325</v>
      </c>
      <c r="D522">
        <v>-318.75337999999999</v>
      </c>
      <c r="E522">
        <v>-80.147663249999994</v>
      </c>
      <c r="F522">
        <v>6.7223934999999999</v>
      </c>
      <c r="G522">
        <v>333.17488075</v>
      </c>
      <c r="H522">
        <v>44</v>
      </c>
      <c r="I522">
        <v>12</v>
      </c>
      <c r="J522">
        <v>1.18</v>
      </c>
      <c r="K522">
        <v>23.522495500000002</v>
      </c>
      <c r="L522">
        <v>-1.083539756797697</v>
      </c>
      <c r="M522">
        <v>3.7546689951198169</v>
      </c>
      <c r="N522">
        <v>-2.427314781311245</v>
      </c>
      <c r="O522">
        <v>-1.51017532472344</v>
      </c>
    </row>
    <row r="523" spans="1:15" x14ac:dyDescent="0.25">
      <c r="A523">
        <v>-205.40074924999999</v>
      </c>
      <c r="B523">
        <v>286.31116500000002</v>
      </c>
      <c r="C523">
        <v>21.858488999999999</v>
      </c>
      <c r="D523">
        <v>-296.15697475000002</v>
      </c>
      <c r="E523">
        <v>-83.966983749999997</v>
      </c>
      <c r="F523">
        <v>6.1378409999999999</v>
      </c>
      <c r="G523">
        <v>303.43221249999999</v>
      </c>
      <c r="H523">
        <v>44</v>
      </c>
      <c r="I523">
        <v>16</v>
      </c>
      <c r="J523">
        <v>1.18</v>
      </c>
      <c r="K523">
        <v>22.447442250000002</v>
      </c>
      <c r="L523">
        <v>-1.3623433757905581</v>
      </c>
      <c r="M523">
        <v>3.4918787116527432</v>
      </c>
      <c r="N523">
        <v>-2.3224700459196321</v>
      </c>
      <c r="O523">
        <v>-1.5401866357779439</v>
      </c>
    </row>
    <row r="524" spans="1:15" x14ac:dyDescent="0.25">
      <c r="A524">
        <v>-228.82364625</v>
      </c>
      <c r="B524">
        <v>259.57469175</v>
      </c>
      <c r="C524">
        <v>34.458721250000004</v>
      </c>
      <c r="D524">
        <v>-286.67261500000001</v>
      </c>
      <c r="E524">
        <v>-93.438707249999993</v>
      </c>
      <c r="F524">
        <v>5.6994259999999999</v>
      </c>
      <c r="G524">
        <v>283.67021149999999</v>
      </c>
      <c r="H524">
        <v>44</v>
      </c>
      <c r="I524">
        <v>20</v>
      </c>
      <c r="J524">
        <v>1.18</v>
      </c>
      <c r="K524">
        <v>21.705666749999999</v>
      </c>
      <c r="L524">
        <v>-1.6023845736871589</v>
      </c>
      <c r="M524">
        <v>3.3248857470992501</v>
      </c>
      <c r="N524">
        <v>-2.295471172481983</v>
      </c>
      <c r="O524">
        <v>-1.6034856718670769</v>
      </c>
    </row>
    <row r="525" spans="1:15" x14ac:dyDescent="0.25">
      <c r="A525">
        <v>-250.3096425</v>
      </c>
      <c r="B525">
        <v>234.76168824999999</v>
      </c>
      <c r="C525">
        <v>43.355660999999998</v>
      </c>
      <c r="D525">
        <v>-281.16557299999999</v>
      </c>
      <c r="E525">
        <v>-104.218626</v>
      </c>
      <c r="F525">
        <v>5.4558627499999997</v>
      </c>
      <c r="G525">
        <v>266.18833124999998</v>
      </c>
      <c r="H525">
        <v>44</v>
      </c>
      <c r="I525">
        <v>24</v>
      </c>
      <c r="J525">
        <v>1.18</v>
      </c>
      <c r="K525">
        <v>21.021876750000001</v>
      </c>
      <c r="L525">
        <v>-1.818192936392298</v>
      </c>
      <c r="M525">
        <v>3.1943458704634979</v>
      </c>
      <c r="N525">
        <v>-2.293430385444351</v>
      </c>
      <c r="O525">
        <v>-1.679081105859928</v>
      </c>
    </row>
    <row r="526" spans="1:15" x14ac:dyDescent="0.25">
      <c r="A526">
        <v>-305.84891525</v>
      </c>
      <c r="B526">
        <v>237.59884249999999</v>
      </c>
      <c r="C526">
        <v>54.4655415</v>
      </c>
      <c r="D526">
        <v>-317.39848325000003</v>
      </c>
      <c r="E526">
        <v>-133.74910349999999</v>
      </c>
      <c r="F526">
        <v>5.6994262500000001</v>
      </c>
      <c r="G526">
        <v>283.53370649999999</v>
      </c>
      <c r="H526">
        <v>44</v>
      </c>
      <c r="I526">
        <v>28</v>
      </c>
      <c r="J526">
        <v>1.18</v>
      </c>
      <c r="K526">
        <v>21.700331250000001</v>
      </c>
      <c r="L526">
        <v>-2.0257177508257378</v>
      </c>
      <c r="M526">
        <v>3.1201971485398068</v>
      </c>
      <c r="N526">
        <v>-2.3460097679508638</v>
      </c>
      <c r="O526">
        <v>-1.783957608524279</v>
      </c>
    </row>
    <row r="527" spans="1:15" x14ac:dyDescent="0.25">
      <c r="A527">
        <v>-360.66750324999998</v>
      </c>
      <c r="B527">
        <v>237.50266300000001</v>
      </c>
      <c r="C527">
        <v>60.968887500000001</v>
      </c>
      <c r="D527">
        <v>-358.570244</v>
      </c>
      <c r="E527">
        <v>-168.85868049999999</v>
      </c>
      <c r="F527">
        <v>5.9429904999999996</v>
      </c>
      <c r="G527">
        <v>300.2545015</v>
      </c>
      <c r="H527">
        <v>44</v>
      </c>
      <c r="I527">
        <v>32</v>
      </c>
      <c r="J527">
        <v>1.18</v>
      </c>
      <c r="K527">
        <v>22.334556500000001</v>
      </c>
      <c r="L527">
        <v>-2.2103379976412572</v>
      </c>
      <c r="M527">
        <v>3.1248904029461331</v>
      </c>
      <c r="N527">
        <v>-2.4593467545622558</v>
      </c>
      <c r="O527">
        <v>-1.916405379345308</v>
      </c>
    </row>
    <row r="528" spans="1:15" x14ac:dyDescent="0.25">
      <c r="A528">
        <v>-411.16184974999999</v>
      </c>
      <c r="B528">
        <v>228.9912415</v>
      </c>
      <c r="C528">
        <v>65.530263000000005</v>
      </c>
      <c r="D528">
        <v>-399.52348325000003</v>
      </c>
      <c r="E528">
        <v>-209.57921974999999</v>
      </c>
      <c r="F528">
        <v>6.2839787500000002</v>
      </c>
      <c r="G528">
        <v>313.41513824999998</v>
      </c>
      <c r="H528">
        <v>44</v>
      </c>
      <c r="I528">
        <v>36</v>
      </c>
      <c r="J528">
        <v>1.18</v>
      </c>
      <c r="K528">
        <v>22.815805999999998</v>
      </c>
      <c r="L528">
        <v>-2.4350472843539692</v>
      </c>
      <c r="M528">
        <v>3.2106404691209778</v>
      </c>
      <c r="N528">
        <v>-2.6716226309095679</v>
      </c>
      <c r="O528">
        <v>-2.1027020603631459</v>
      </c>
    </row>
    <row r="529" spans="1:15" x14ac:dyDescent="0.25">
      <c r="A529">
        <v>-457.19681550000001</v>
      </c>
      <c r="B529">
        <v>216.584732</v>
      </c>
      <c r="C529">
        <v>68.375477000000004</v>
      </c>
      <c r="D529">
        <v>-438.6410295</v>
      </c>
      <c r="E529">
        <v>-249.88198875</v>
      </c>
      <c r="F529">
        <v>6.6736807499999999</v>
      </c>
      <c r="G529">
        <v>323.69565575000001</v>
      </c>
      <c r="H529">
        <v>44</v>
      </c>
      <c r="I529">
        <v>40</v>
      </c>
      <c r="J529">
        <v>1.18</v>
      </c>
      <c r="K529">
        <v>23.1802755</v>
      </c>
      <c r="L529">
        <v>-2.654138763629692</v>
      </c>
      <c r="M529">
        <v>3.308913436916296</v>
      </c>
      <c r="N529">
        <v>-2.8967166921527752</v>
      </c>
      <c r="O529">
        <v>-2.2957136920915371</v>
      </c>
    </row>
    <row r="530" spans="1:15" x14ac:dyDescent="0.25">
      <c r="A530">
        <v>-496.61033624999999</v>
      </c>
      <c r="B530">
        <v>199.22525024999999</v>
      </c>
      <c r="C530">
        <v>67.83353425</v>
      </c>
      <c r="D530">
        <v>-479.5068665</v>
      </c>
      <c r="E530">
        <v>-296.40416725</v>
      </c>
      <c r="F530">
        <v>6.9172444999999998</v>
      </c>
      <c r="G530">
        <v>333.835533</v>
      </c>
      <c r="H530">
        <v>44</v>
      </c>
      <c r="I530">
        <v>44</v>
      </c>
      <c r="J530">
        <v>1.18</v>
      </c>
      <c r="K530">
        <v>23.53929625</v>
      </c>
      <c r="L530">
        <v>-2.945396570291118</v>
      </c>
      <c r="M530">
        <v>3.5418858856529361</v>
      </c>
      <c r="N530">
        <v>-3.2889418864271631</v>
      </c>
      <c r="O530">
        <v>-2.582935435982157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C5BB-E57F-4158-BCB1-7E9806E21ED8}">
  <dimension ref="A1:O530"/>
  <sheetViews>
    <sheetView topLeftCell="A495" workbookViewId="0">
      <selection activeCell="A2" sqref="A2:O530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72.505475750000002</v>
      </c>
      <c r="B2">
        <v>-364.12597649999998</v>
      </c>
      <c r="C2">
        <v>-382.69892874999999</v>
      </c>
      <c r="D2">
        <v>172.36664200000001</v>
      </c>
      <c r="E2">
        <v>-162.92435424999999</v>
      </c>
      <c r="F2">
        <v>5.3602189999999998</v>
      </c>
      <c r="G2">
        <v>275.30275725000001</v>
      </c>
      <c r="H2">
        <v>-44</v>
      </c>
      <c r="I2">
        <v>-44</v>
      </c>
      <c r="J2">
        <v>1.1599999999999999</v>
      </c>
      <c r="K2">
        <v>21.718154250000001</v>
      </c>
      <c r="L2">
        <v>2.162614840804324</v>
      </c>
      <c r="M2">
        <v>-2.548807299440206</v>
      </c>
      <c r="N2">
        <v>-2.081969135458333</v>
      </c>
      <c r="O2">
        <v>-1.7994964590970299</v>
      </c>
    </row>
    <row r="3" spans="1:15" x14ac:dyDescent="0.25">
      <c r="A3">
        <v>78.871116499999999</v>
      </c>
      <c r="B3">
        <v>-366.90959950000001</v>
      </c>
      <c r="C3">
        <v>-388.47212224999998</v>
      </c>
      <c r="D3">
        <v>202.709755</v>
      </c>
      <c r="E3">
        <v>-146.90851975000001</v>
      </c>
      <c r="F3">
        <v>5.5072272500000006</v>
      </c>
      <c r="G3">
        <v>292.15394600000002</v>
      </c>
      <c r="H3">
        <v>-44</v>
      </c>
      <c r="I3">
        <v>-40</v>
      </c>
      <c r="J3">
        <v>1.1599999999999999</v>
      </c>
      <c r="K3">
        <v>22.231012750000001</v>
      </c>
      <c r="L3">
        <v>2.025047709844531</v>
      </c>
      <c r="M3">
        <v>-2.468219418961354</v>
      </c>
      <c r="N3">
        <v>-1.9025018522471979</v>
      </c>
      <c r="O3">
        <v>-1.6604321792902239</v>
      </c>
    </row>
    <row r="4" spans="1:15" x14ac:dyDescent="0.25">
      <c r="A4">
        <v>84.379148749999999</v>
      </c>
      <c r="B4">
        <v>-365.75776674999997</v>
      </c>
      <c r="C4">
        <v>-382.96955124999999</v>
      </c>
      <c r="D4">
        <v>233.1950645</v>
      </c>
      <c r="E4">
        <v>-129.95582225000001</v>
      </c>
      <c r="F4">
        <v>5.9945907500000004</v>
      </c>
      <c r="G4">
        <v>307.54636375000001</v>
      </c>
      <c r="H4">
        <v>-44</v>
      </c>
      <c r="I4">
        <v>-36</v>
      </c>
      <c r="J4">
        <v>1.17</v>
      </c>
      <c r="K4">
        <v>22.704020750000002</v>
      </c>
      <c r="L4">
        <v>1.912167793953935</v>
      </c>
      <c r="M4">
        <v>-2.4506318357898791</v>
      </c>
      <c r="N4">
        <v>-1.7900539814622509</v>
      </c>
      <c r="O4">
        <v>-1.5562434134565299</v>
      </c>
    </row>
    <row r="5" spans="1:15" x14ac:dyDescent="0.25">
      <c r="A5">
        <v>84.514608500000008</v>
      </c>
      <c r="B5">
        <v>-361.91827375000003</v>
      </c>
      <c r="C5">
        <v>-366.41674799999998</v>
      </c>
      <c r="D5">
        <v>261.66551950000002</v>
      </c>
      <c r="E5">
        <v>-114.74300375</v>
      </c>
      <c r="F5">
        <v>6.2382410000000004</v>
      </c>
      <c r="G5">
        <v>321.69638075</v>
      </c>
      <c r="H5">
        <v>-44</v>
      </c>
      <c r="I5">
        <v>-32</v>
      </c>
      <c r="J5">
        <v>1.17</v>
      </c>
      <c r="K5">
        <v>23.22163475</v>
      </c>
      <c r="L5">
        <v>1.807909629698488</v>
      </c>
      <c r="M5">
        <v>-2.50012676494033</v>
      </c>
      <c r="N5">
        <v>-1.7498233265782499</v>
      </c>
      <c r="O5">
        <v>-1.485057616431704</v>
      </c>
    </row>
    <row r="6" spans="1:15" x14ac:dyDescent="0.25">
      <c r="A6">
        <v>79.774171999999993</v>
      </c>
      <c r="B6">
        <v>-356.11107625</v>
      </c>
      <c r="C6">
        <v>-336.96448525</v>
      </c>
      <c r="D6">
        <v>287.34008025000003</v>
      </c>
      <c r="E6">
        <v>-98.637939500000002</v>
      </c>
      <c r="F6">
        <v>6.2382249999999999</v>
      </c>
      <c r="G6">
        <v>332.34383400000002</v>
      </c>
      <c r="H6">
        <v>-44</v>
      </c>
      <c r="I6">
        <v>-28</v>
      </c>
      <c r="J6">
        <v>1.17</v>
      </c>
      <c r="K6">
        <v>23.610276750000001</v>
      </c>
      <c r="L6">
        <v>1.681089115193017</v>
      </c>
      <c r="M6">
        <v>-2.5956261632929212</v>
      </c>
      <c r="N6">
        <v>-1.738551687963904</v>
      </c>
      <c r="O6">
        <v>-1.423068734070783</v>
      </c>
    </row>
    <row r="7" spans="1:15" x14ac:dyDescent="0.25">
      <c r="A7">
        <v>68.668153499999988</v>
      </c>
      <c r="B7">
        <v>-352.41558075</v>
      </c>
      <c r="C7">
        <v>-301.82925425000002</v>
      </c>
      <c r="D7">
        <v>311.29614249999997</v>
      </c>
      <c r="E7">
        <v>-85.075784749999997</v>
      </c>
      <c r="F7">
        <v>6.7743092499999999</v>
      </c>
      <c r="G7">
        <v>343.74875624999999</v>
      </c>
      <c r="H7">
        <v>-44</v>
      </c>
      <c r="I7">
        <v>-24</v>
      </c>
      <c r="J7">
        <v>1.17</v>
      </c>
      <c r="K7">
        <v>24.00050075</v>
      </c>
      <c r="L7">
        <v>1.530732545130129</v>
      </c>
      <c r="M7">
        <v>-2.7422229941051728</v>
      </c>
      <c r="N7">
        <v>-1.7718012710315021</v>
      </c>
      <c r="O7">
        <v>-1.3795695187822159</v>
      </c>
    </row>
    <row r="8" spans="1:15" x14ac:dyDescent="0.25">
      <c r="A8">
        <v>48.30698125</v>
      </c>
      <c r="B8">
        <v>-307.87770825000001</v>
      </c>
      <c r="C8">
        <v>-232.10002125</v>
      </c>
      <c r="D8">
        <v>295.20474250000001</v>
      </c>
      <c r="E8">
        <v>-63.840294999999998</v>
      </c>
      <c r="F8">
        <v>6.0432635000000001</v>
      </c>
      <c r="G8">
        <v>314.63462824999999</v>
      </c>
      <c r="H8">
        <v>-44</v>
      </c>
      <c r="I8">
        <v>-20</v>
      </c>
      <c r="J8">
        <v>1.17</v>
      </c>
      <c r="K8">
        <v>22.967476250000001</v>
      </c>
      <c r="L8">
        <v>1.360160592926912</v>
      </c>
      <c r="M8">
        <v>-2.925553007624059</v>
      </c>
      <c r="N8">
        <v>-1.8360032005289879</v>
      </c>
      <c r="O8">
        <v>-1.338977680709073</v>
      </c>
    </row>
    <row r="9" spans="1:15" x14ac:dyDescent="0.25">
      <c r="A9">
        <v>26.1850925</v>
      </c>
      <c r="B9">
        <v>-276.87395475</v>
      </c>
      <c r="C9">
        <v>-172.60916900000001</v>
      </c>
      <c r="D9">
        <v>280.40296925000001</v>
      </c>
      <c r="E9">
        <v>-51.081156750000012</v>
      </c>
      <c r="F9">
        <v>5.6526195000000001</v>
      </c>
      <c r="G9">
        <v>291.10296625000001</v>
      </c>
      <c r="H9">
        <v>-44</v>
      </c>
      <c r="I9">
        <v>-16</v>
      </c>
      <c r="J9">
        <v>1.17</v>
      </c>
      <c r="K9">
        <v>22.089547499999998</v>
      </c>
      <c r="L9">
        <v>1.144732539989745</v>
      </c>
      <c r="M9">
        <v>-3.2090241627644369</v>
      </c>
      <c r="N9">
        <v>-1.9704338424313419</v>
      </c>
      <c r="O9">
        <v>-1.3267067304705189</v>
      </c>
    </row>
    <row r="10" spans="1:15" x14ac:dyDescent="0.25">
      <c r="A10">
        <v>4.7403987499999998</v>
      </c>
      <c r="B10">
        <v>-254.17308025</v>
      </c>
      <c r="C10">
        <v>-123.71751974999999</v>
      </c>
      <c r="D10">
        <v>266.73973849999999</v>
      </c>
      <c r="E10">
        <v>-39.705003750000003</v>
      </c>
      <c r="F10">
        <v>5.1656525000000002</v>
      </c>
      <c r="G10">
        <v>272.72569275000001</v>
      </c>
      <c r="H10">
        <v>-44</v>
      </c>
      <c r="I10">
        <v>-12</v>
      </c>
      <c r="J10">
        <v>1.17</v>
      </c>
      <c r="K10">
        <v>21.386136749999999</v>
      </c>
      <c r="L10">
        <v>0.86069797249636826</v>
      </c>
      <c r="M10">
        <v>-3.490536985887478</v>
      </c>
      <c r="N10">
        <v>-2.0935596592444639</v>
      </c>
      <c r="O10">
        <v>-1.3006955763218659</v>
      </c>
    </row>
    <row r="11" spans="1:15" x14ac:dyDescent="0.25">
      <c r="A11">
        <v>-18.6579835</v>
      </c>
      <c r="B11">
        <v>-252.20534900000001</v>
      </c>
      <c r="C11">
        <v>-87.184093499999989</v>
      </c>
      <c r="D11">
        <v>272.03884875</v>
      </c>
      <c r="E11">
        <v>-32.879314000000001</v>
      </c>
      <c r="F11">
        <v>5.2136909999999999</v>
      </c>
      <c r="G11">
        <v>274.78302000000002</v>
      </c>
      <c r="H11">
        <v>-44</v>
      </c>
      <c r="I11">
        <v>-8</v>
      </c>
      <c r="J11">
        <v>1.17</v>
      </c>
      <c r="K11">
        <v>21.466271500000001</v>
      </c>
      <c r="L11">
        <v>0.50074371904747905</v>
      </c>
      <c r="M11">
        <v>-3.8325340452733712</v>
      </c>
      <c r="N11">
        <v>-2.2492963170166198</v>
      </c>
      <c r="O11">
        <v>-1.278675977006287</v>
      </c>
    </row>
    <row r="12" spans="1:15" x14ac:dyDescent="0.25">
      <c r="A12">
        <v>-48.132186750000002</v>
      </c>
      <c r="B12">
        <v>-268.33113075</v>
      </c>
      <c r="C12">
        <v>-57.100393250000003</v>
      </c>
      <c r="D12">
        <v>291.39511874999999</v>
      </c>
      <c r="E12">
        <v>-31.496329750000001</v>
      </c>
      <c r="F12">
        <v>5.6518389999999998</v>
      </c>
      <c r="G12">
        <v>293.51551074999998</v>
      </c>
      <c r="H12">
        <v>-44</v>
      </c>
      <c r="I12">
        <v>-4</v>
      </c>
      <c r="J12">
        <v>1.17</v>
      </c>
      <c r="K12">
        <v>22.182741750000002</v>
      </c>
      <c r="L12">
        <v>6.8309122819178156E-2</v>
      </c>
      <c r="M12">
        <v>-4.2657434434058903</v>
      </c>
      <c r="N12">
        <v>-2.4769831233218089</v>
      </c>
      <c r="O12">
        <v>-1.283146368544859</v>
      </c>
    </row>
    <row r="13" spans="1:15" x14ac:dyDescent="0.25">
      <c r="A13">
        <v>-85.538288250000008</v>
      </c>
      <c r="B13">
        <v>-285.12882999999999</v>
      </c>
      <c r="C13">
        <v>-25.122369750000001</v>
      </c>
      <c r="D13">
        <v>306.76628099999999</v>
      </c>
      <c r="E13">
        <v>-31.228656999999998</v>
      </c>
      <c r="F13">
        <v>6.0416109999999996</v>
      </c>
      <c r="G13">
        <v>309.6465455</v>
      </c>
      <c r="H13">
        <v>-44</v>
      </c>
      <c r="I13">
        <v>0</v>
      </c>
      <c r="J13">
        <v>1.17</v>
      </c>
      <c r="K13">
        <v>22.781182999999999</v>
      </c>
      <c r="L13">
        <v>-0.39208403140171982</v>
      </c>
      <c r="M13">
        <v>-3.8409562989747159</v>
      </c>
      <c r="N13">
        <v>-2.2120449186736262</v>
      </c>
      <c r="O13">
        <v>-1.241874898270265</v>
      </c>
    </row>
    <row r="14" spans="1:15" x14ac:dyDescent="0.25">
      <c r="A14">
        <v>-128.3525065</v>
      </c>
      <c r="B14">
        <v>-301.87853250000001</v>
      </c>
      <c r="C14">
        <v>6.9128959999999999</v>
      </c>
      <c r="D14">
        <v>317.49560550000001</v>
      </c>
      <c r="E14">
        <v>-31.67477925</v>
      </c>
      <c r="F14">
        <v>6.3826700000000001</v>
      </c>
      <c r="G14">
        <v>321.77462750000001</v>
      </c>
      <c r="H14">
        <v>-44</v>
      </c>
      <c r="I14">
        <v>4</v>
      </c>
      <c r="J14">
        <v>1.17</v>
      </c>
      <c r="K14">
        <v>23.21920175</v>
      </c>
      <c r="L14">
        <v>-0.73741062912457789</v>
      </c>
      <c r="M14">
        <v>-3.3764875392089468</v>
      </c>
      <c r="N14">
        <v>-1.926827152765753</v>
      </c>
      <c r="O14">
        <v>-1.2074835215449109</v>
      </c>
    </row>
    <row r="15" spans="1:15" x14ac:dyDescent="0.25">
      <c r="A15">
        <v>-175.67347724999999</v>
      </c>
      <c r="B15">
        <v>-318.15200824999999</v>
      </c>
      <c r="C15">
        <v>37.230247499999997</v>
      </c>
      <c r="D15">
        <v>326.51676950000001</v>
      </c>
      <c r="E15">
        <v>-35.77911675</v>
      </c>
      <c r="F15">
        <v>6.6262809999999996</v>
      </c>
      <c r="G15">
        <v>333.78263850000002</v>
      </c>
      <c r="H15">
        <v>-44</v>
      </c>
      <c r="I15">
        <v>8</v>
      </c>
      <c r="J15">
        <v>1.1775</v>
      </c>
      <c r="K15">
        <v>23.572940249999998</v>
      </c>
      <c r="L15">
        <v>-1.0084133224366729</v>
      </c>
      <c r="M15">
        <v>-3.053516971385605</v>
      </c>
      <c r="N15">
        <v>-1.7505143484530941</v>
      </c>
      <c r="O15">
        <v>-1.200926543756021</v>
      </c>
    </row>
    <row r="16" spans="1:15" x14ac:dyDescent="0.25">
      <c r="A16">
        <v>-225.38302999999999</v>
      </c>
      <c r="B16">
        <v>-331.37136075000001</v>
      </c>
      <c r="C16">
        <v>64.836636499999997</v>
      </c>
      <c r="D16">
        <v>328.26854700000001</v>
      </c>
      <c r="E16">
        <v>-42.024846250000003</v>
      </c>
      <c r="F16">
        <v>6.6262809999999996</v>
      </c>
      <c r="G16">
        <v>341.82819375000003</v>
      </c>
      <c r="H16">
        <v>-44</v>
      </c>
      <c r="I16">
        <v>12</v>
      </c>
      <c r="J16">
        <v>1.18</v>
      </c>
      <c r="K16">
        <v>23.835578000000002</v>
      </c>
      <c r="L16">
        <v>-1.227875044843417</v>
      </c>
      <c r="M16">
        <v>-2.791023021641875</v>
      </c>
      <c r="N16">
        <v>-1.624160938801867</v>
      </c>
      <c r="O16">
        <v>-1.205858944414516</v>
      </c>
    </row>
    <row r="17" spans="1:15" x14ac:dyDescent="0.25">
      <c r="A17">
        <v>-243.09458925000001</v>
      </c>
      <c r="B17">
        <v>-303.56969450000003</v>
      </c>
      <c r="C17">
        <v>77.804029249999999</v>
      </c>
      <c r="D17">
        <v>289.64380649999998</v>
      </c>
      <c r="E17">
        <v>-47.289105250000013</v>
      </c>
      <c r="F17">
        <v>5.8954399999999998</v>
      </c>
      <c r="G17">
        <v>308.76605224999997</v>
      </c>
      <c r="H17">
        <v>-44</v>
      </c>
      <c r="I17">
        <v>16</v>
      </c>
      <c r="J17">
        <v>1.18</v>
      </c>
      <c r="K17">
        <v>22.656980999999998</v>
      </c>
      <c r="L17">
        <v>-1.4196427504146549</v>
      </c>
      <c r="M17">
        <v>-2.6243915659450319</v>
      </c>
      <c r="N17">
        <v>-1.5752256967227589</v>
      </c>
      <c r="O17">
        <v>-1.2353119181304459</v>
      </c>
    </row>
    <row r="18" spans="1:15" x14ac:dyDescent="0.25">
      <c r="A18">
        <v>-260.31040174999998</v>
      </c>
      <c r="B18">
        <v>-290.84765625</v>
      </c>
      <c r="C18">
        <v>86.61456475</v>
      </c>
      <c r="D18">
        <v>260.47792075000001</v>
      </c>
      <c r="E18">
        <v>-55.007045499999997</v>
      </c>
      <c r="F18">
        <v>5.6518269999999999</v>
      </c>
      <c r="G18">
        <v>288.11247250000002</v>
      </c>
      <c r="H18">
        <v>-44</v>
      </c>
      <c r="I18">
        <v>20</v>
      </c>
      <c r="J18">
        <v>1.18</v>
      </c>
      <c r="K18">
        <v>21.880263500000002</v>
      </c>
      <c r="L18">
        <v>-1.572846788276187</v>
      </c>
      <c r="M18">
        <v>-2.4995471366833439</v>
      </c>
      <c r="N18">
        <v>-1.5556066231817951</v>
      </c>
      <c r="O18">
        <v>-1.2750128823001949</v>
      </c>
    </row>
    <row r="19" spans="1:15" x14ac:dyDescent="0.25">
      <c r="A19">
        <v>-276.85021975000001</v>
      </c>
      <c r="B19">
        <v>-287.30446625000002</v>
      </c>
      <c r="C19">
        <v>90.952097249999994</v>
      </c>
      <c r="D19">
        <v>233.98354724999999</v>
      </c>
      <c r="E19">
        <v>-68.256919999999994</v>
      </c>
      <c r="F19">
        <v>5.21332225</v>
      </c>
      <c r="G19">
        <v>270.30057499999998</v>
      </c>
      <c r="H19">
        <v>-44</v>
      </c>
      <c r="I19">
        <v>24</v>
      </c>
      <c r="J19">
        <v>1.18</v>
      </c>
      <c r="K19">
        <v>21.196692500000001</v>
      </c>
      <c r="L19">
        <v>-1.720141561530196</v>
      </c>
      <c r="M19">
        <v>-2.4379656563003449</v>
      </c>
      <c r="N19">
        <v>-1.5833678937466029</v>
      </c>
      <c r="O19">
        <v>-1.343603369864661</v>
      </c>
    </row>
    <row r="20" spans="1:15" x14ac:dyDescent="0.25">
      <c r="A20">
        <v>-317.75080874999998</v>
      </c>
      <c r="B20">
        <v>-316.8304215</v>
      </c>
      <c r="C20">
        <v>99.76274875</v>
      </c>
      <c r="D20">
        <v>227.76507925000001</v>
      </c>
      <c r="E20">
        <v>-93.150623499999995</v>
      </c>
      <c r="F20">
        <v>5.4081989999999998</v>
      </c>
      <c r="G20">
        <v>279.06644449999999</v>
      </c>
      <c r="H20">
        <v>-44</v>
      </c>
      <c r="I20">
        <v>28</v>
      </c>
      <c r="J20">
        <v>1.18</v>
      </c>
      <c r="K20">
        <v>21.536630500000001</v>
      </c>
      <c r="L20">
        <v>-1.8627709084181321</v>
      </c>
      <c r="M20">
        <v>-2.429822915362601</v>
      </c>
      <c r="N20">
        <v>-1.660760159419413</v>
      </c>
      <c r="O20">
        <v>-1.439777063804822</v>
      </c>
    </row>
    <row r="21" spans="1:15" x14ac:dyDescent="0.25">
      <c r="A21">
        <v>-366.28546125000003</v>
      </c>
      <c r="B21">
        <v>-361.81969450000003</v>
      </c>
      <c r="C21">
        <v>110.74207125</v>
      </c>
      <c r="D21">
        <v>225.79441474999999</v>
      </c>
      <c r="E21">
        <v>-126.96679525</v>
      </c>
      <c r="F21">
        <v>5.6030972499999994</v>
      </c>
      <c r="G21">
        <v>295.87766275000001</v>
      </c>
      <c r="H21">
        <v>-44</v>
      </c>
      <c r="I21">
        <v>32</v>
      </c>
      <c r="J21">
        <v>1.18</v>
      </c>
      <c r="K21">
        <v>22.180849250000001</v>
      </c>
      <c r="L21">
        <v>-2.0120456903517452</v>
      </c>
      <c r="M21">
        <v>-2.4784748198693149</v>
      </c>
      <c r="N21">
        <v>-1.7835109640654121</v>
      </c>
      <c r="O21">
        <v>-1.5591605809338549</v>
      </c>
    </row>
    <row r="22" spans="1:15" x14ac:dyDescent="0.25">
      <c r="A22">
        <v>-408.61932374999998</v>
      </c>
      <c r="B22">
        <v>-401.91693099999998</v>
      </c>
      <c r="C22">
        <v>117.38388075</v>
      </c>
      <c r="D22">
        <v>216.5543175</v>
      </c>
      <c r="E22">
        <v>-170.46384800000001</v>
      </c>
      <c r="F22">
        <v>5.9928749999999997</v>
      </c>
      <c r="G22">
        <v>309.20656574999998</v>
      </c>
      <c r="H22">
        <v>-44</v>
      </c>
      <c r="I22">
        <v>36</v>
      </c>
      <c r="J22">
        <v>1.18</v>
      </c>
      <c r="K22">
        <v>22.669828249999998</v>
      </c>
      <c r="L22">
        <v>-2.2402450979306141</v>
      </c>
      <c r="M22">
        <v>-2.634058183976784</v>
      </c>
      <c r="N22">
        <v>-2.0429589702900501</v>
      </c>
      <c r="O22">
        <v>-1.7515544974400901</v>
      </c>
    </row>
    <row r="23" spans="1:15" x14ac:dyDescent="0.25">
      <c r="A23">
        <v>-454.04140475000003</v>
      </c>
      <c r="B23">
        <v>-443.26711275000002</v>
      </c>
      <c r="C23">
        <v>121.40518375000001</v>
      </c>
      <c r="D23">
        <v>203.28523250000001</v>
      </c>
      <c r="E23">
        <v>-217.26220325</v>
      </c>
      <c r="F23">
        <v>6.5775447499999986</v>
      </c>
      <c r="G23">
        <v>321.41465025000002</v>
      </c>
      <c r="H23">
        <v>-44</v>
      </c>
      <c r="I23">
        <v>40</v>
      </c>
      <c r="J23">
        <v>1.18</v>
      </c>
      <c r="K23">
        <v>23.10025675</v>
      </c>
      <c r="L23">
        <v>-2.486887554551187</v>
      </c>
      <c r="M23">
        <v>-2.7942193211153401</v>
      </c>
      <c r="N23">
        <v>-2.3280169281686018</v>
      </c>
      <c r="O23">
        <v>-1.9673664450562329</v>
      </c>
    </row>
    <row r="24" spans="1:15" x14ac:dyDescent="0.25">
      <c r="A24">
        <v>-496.48966224999998</v>
      </c>
      <c r="B24">
        <v>-486.45553575000002</v>
      </c>
      <c r="C24">
        <v>119.778614</v>
      </c>
      <c r="D24">
        <v>184.1595725</v>
      </c>
      <c r="E24">
        <v>-272.00156399999997</v>
      </c>
      <c r="F24">
        <v>6.7237334999999998</v>
      </c>
      <c r="G24">
        <v>333.54289999999997</v>
      </c>
      <c r="H24">
        <v>-44</v>
      </c>
      <c r="I24">
        <v>44</v>
      </c>
      <c r="J24">
        <v>1.18</v>
      </c>
      <c r="K24">
        <v>23.535724250000001</v>
      </c>
      <c r="L24">
        <v>-2.8081503835375679</v>
      </c>
      <c r="M24">
        <v>-3.0558370728348119</v>
      </c>
      <c r="N24">
        <v>-2.7594059895360079</v>
      </c>
      <c r="O24">
        <v>-2.2701614262810539</v>
      </c>
    </row>
    <row r="25" spans="1:15" x14ac:dyDescent="0.25">
      <c r="A25">
        <v>134.5376665</v>
      </c>
      <c r="B25">
        <v>-457.08939325</v>
      </c>
      <c r="C25">
        <v>-471.95776375000003</v>
      </c>
      <c r="D25">
        <v>211.89557625</v>
      </c>
      <c r="E25">
        <v>-154.671074</v>
      </c>
      <c r="F25">
        <v>6.6750107500000002</v>
      </c>
      <c r="G25">
        <v>340.66786975000002</v>
      </c>
      <c r="H25">
        <v>-40</v>
      </c>
      <c r="I25">
        <v>-44</v>
      </c>
      <c r="J25">
        <v>1.18</v>
      </c>
      <c r="K25">
        <v>23.79255925</v>
      </c>
      <c r="L25">
        <v>1.957358671896458</v>
      </c>
      <c r="M25">
        <v>-2.1590407500729749</v>
      </c>
      <c r="N25">
        <v>-1.5986254171700589</v>
      </c>
      <c r="O25">
        <v>-1.520710698159915</v>
      </c>
    </row>
    <row r="26" spans="1:15" x14ac:dyDescent="0.25">
      <c r="A26">
        <v>124.1088735</v>
      </c>
      <c r="B26">
        <v>-382.01705149999998</v>
      </c>
      <c r="C26">
        <v>-400.42440825</v>
      </c>
      <c r="D26">
        <v>214.55091874999999</v>
      </c>
      <c r="E26">
        <v>-110.77250650000001</v>
      </c>
      <c r="F26">
        <v>6.0416435000000002</v>
      </c>
      <c r="G26">
        <v>309.00688924999997</v>
      </c>
      <c r="H26">
        <v>-40</v>
      </c>
      <c r="I26">
        <v>-40</v>
      </c>
      <c r="J26">
        <v>1.18</v>
      </c>
      <c r="K26">
        <v>22.660504</v>
      </c>
      <c r="L26">
        <v>1.870344966259158</v>
      </c>
      <c r="M26">
        <v>-2.1272176870879989</v>
      </c>
      <c r="N26">
        <v>-1.4968463654139119</v>
      </c>
      <c r="O26">
        <v>-1.4165435013268179</v>
      </c>
    </row>
    <row r="27" spans="1:15" x14ac:dyDescent="0.25">
      <c r="A27">
        <v>114.44750225</v>
      </c>
      <c r="B27">
        <v>-320.45538349999998</v>
      </c>
      <c r="C27">
        <v>-336.15263349999998</v>
      </c>
      <c r="D27">
        <v>217.00399400000001</v>
      </c>
      <c r="E27">
        <v>-74.011911499999997</v>
      </c>
      <c r="F27">
        <v>5.6518800000000002</v>
      </c>
      <c r="G27">
        <v>285.35105125000001</v>
      </c>
      <c r="H27">
        <v>-40</v>
      </c>
      <c r="I27">
        <v>-36</v>
      </c>
      <c r="J27">
        <v>1.18</v>
      </c>
      <c r="K27">
        <v>21.773038499999998</v>
      </c>
      <c r="L27">
        <v>1.771991211172407</v>
      </c>
      <c r="M27">
        <v>-2.1135657282000251</v>
      </c>
      <c r="N27">
        <v>-1.413202559065452</v>
      </c>
      <c r="O27">
        <v>-1.3132867945407689</v>
      </c>
    </row>
    <row r="28" spans="1:15" x14ac:dyDescent="0.25">
      <c r="A28">
        <v>105.7792225</v>
      </c>
      <c r="B28">
        <v>-277.7757795</v>
      </c>
      <c r="C28">
        <v>-281.39759824999999</v>
      </c>
      <c r="D28">
        <v>219.32559574999999</v>
      </c>
      <c r="E28">
        <v>-47.556780750000001</v>
      </c>
      <c r="F28">
        <v>5.2133652500000007</v>
      </c>
      <c r="G28">
        <v>267.77941874999999</v>
      </c>
      <c r="H28">
        <v>-40</v>
      </c>
      <c r="I28">
        <v>-32</v>
      </c>
      <c r="J28">
        <v>1.18</v>
      </c>
      <c r="K28">
        <v>21.095649999999999</v>
      </c>
      <c r="L28">
        <v>1.6686558307033761</v>
      </c>
      <c r="M28">
        <v>-2.1424231872578599</v>
      </c>
      <c r="N28">
        <v>-1.3590520102319339</v>
      </c>
      <c r="O28">
        <v>-1.2274295650841469</v>
      </c>
    </row>
    <row r="29" spans="1:15" x14ac:dyDescent="0.25">
      <c r="A29">
        <v>107.08852175</v>
      </c>
      <c r="B29">
        <v>-274.77196524999999</v>
      </c>
      <c r="C29">
        <v>-259.83837149999999</v>
      </c>
      <c r="D29">
        <v>248.32376099999999</v>
      </c>
      <c r="E29">
        <v>-28.819588249999999</v>
      </c>
      <c r="F29">
        <v>5.4569887499999998</v>
      </c>
      <c r="G29">
        <v>285.03105149999999</v>
      </c>
      <c r="H29">
        <v>-40</v>
      </c>
      <c r="I29">
        <v>-28</v>
      </c>
      <c r="J29">
        <v>1.18</v>
      </c>
      <c r="K29">
        <v>21.768174999999999</v>
      </c>
      <c r="L29">
        <v>1.538576882709964</v>
      </c>
      <c r="M29">
        <v>-2.1934337408845539</v>
      </c>
      <c r="N29">
        <v>-1.316042753099306</v>
      </c>
      <c r="O29">
        <v>-1.143745794978273</v>
      </c>
    </row>
    <row r="30" spans="1:15" x14ac:dyDescent="0.25">
      <c r="A30">
        <v>101.39999775</v>
      </c>
      <c r="B30">
        <v>-270.25086199999998</v>
      </c>
      <c r="C30">
        <v>-231.87450774999999</v>
      </c>
      <c r="D30">
        <v>273.86151124999998</v>
      </c>
      <c r="E30">
        <v>-14.766693249999999</v>
      </c>
      <c r="F30">
        <v>5.846781</v>
      </c>
      <c r="G30">
        <v>299.88109600000001</v>
      </c>
      <c r="H30">
        <v>-40</v>
      </c>
      <c r="I30">
        <v>-24</v>
      </c>
      <c r="J30">
        <v>1.18</v>
      </c>
      <c r="K30">
        <v>22.324035500000001</v>
      </c>
      <c r="L30">
        <v>1.41039610098656</v>
      </c>
      <c r="M30">
        <v>-2.3027152408359131</v>
      </c>
      <c r="N30">
        <v>-1.3316256904807291</v>
      </c>
      <c r="O30">
        <v>-1.087252594098385</v>
      </c>
    </row>
    <row r="31" spans="1:15" x14ac:dyDescent="0.25">
      <c r="A31">
        <v>91.242004250000008</v>
      </c>
      <c r="B31">
        <v>-266.69935600000002</v>
      </c>
      <c r="C31">
        <v>-196.28824225</v>
      </c>
      <c r="D31">
        <v>297.9099885</v>
      </c>
      <c r="E31">
        <v>0.85006150000000003</v>
      </c>
      <c r="F31">
        <v>6.0416247500000004</v>
      </c>
      <c r="G31">
        <v>314.05076600000001</v>
      </c>
      <c r="H31">
        <v>-40</v>
      </c>
      <c r="I31">
        <v>-20</v>
      </c>
      <c r="J31">
        <v>1.18</v>
      </c>
      <c r="K31">
        <v>22.848390250000001</v>
      </c>
      <c r="L31">
        <v>1.2375104517652471</v>
      </c>
      <c r="M31">
        <v>-2.430095100916525</v>
      </c>
      <c r="N31">
        <v>-1.3480445002810491</v>
      </c>
      <c r="O31">
        <v>-1.022346213110872</v>
      </c>
    </row>
    <row r="32" spans="1:15" x14ac:dyDescent="0.25">
      <c r="A32">
        <v>74.808542250000002</v>
      </c>
      <c r="B32">
        <v>-268.81106575000001</v>
      </c>
      <c r="C32">
        <v>-158.80765550000001</v>
      </c>
      <c r="D32">
        <v>317.31518575000001</v>
      </c>
      <c r="E32">
        <v>12.162019000000001</v>
      </c>
      <c r="F32">
        <v>6.3339622499999999</v>
      </c>
      <c r="G32">
        <v>326.25897950000001</v>
      </c>
      <c r="H32">
        <v>-40</v>
      </c>
      <c r="I32">
        <v>-16</v>
      </c>
      <c r="J32">
        <v>1.18</v>
      </c>
      <c r="K32">
        <v>23.28616525</v>
      </c>
      <c r="L32">
        <v>1.033812889821446</v>
      </c>
      <c r="M32">
        <v>-2.5939046388410039</v>
      </c>
      <c r="N32">
        <v>-1.390065737583801</v>
      </c>
      <c r="O32">
        <v>-0.97424440767164733</v>
      </c>
    </row>
    <row r="33" spans="1:15" x14ac:dyDescent="0.25">
      <c r="A33">
        <v>52.596245750000001</v>
      </c>
      <c r="B33">
        <v>-269.62694575</v>
      </c>
      <c r="C33">
        <v>-115.64408125</v>
      </c>
      <c r="D33">
        <v>331.68265524999998</v>
      </c>
      <c r="E33">
        <v>21.77536825</v>
      </c>
      <c r="F33">
        <v>6.7724522500000006</v>
      </c>
      <c r="G33">
        <v>335.90563200000003</v>
      </c>
      <c r="H33">
        <v>-40</v>
      </c>
      <c r="I33">
        <v>-12</v>
      </c>
      <c r="J33">
        <v>1.18</v>
      </c>
      <c r="K33">
        <v>23.618906500000001</v>
      </c>
      <c r="L33">
        <v>0.78467112243181458</v>
      </c>
      <c r="M33">
        <v>-2.8045563366726318</v>
      </c>
      <c r="N33">
        <v>-1.4651649048865429</v>
      </c>
      <c r="O33">
        <v>-0.93005285360971723</v>
      </c>
    </row>
    <row r="34" spans="1:15" x14ac:dyDescent="0.25">
      <c r="A34">
        <v>25.327490999999998</v>
      </c>
      <c r="B34">
        <v>-268.66708375000002</v>
      </c>
      <c r="C34">
        <v>-71.849073500000003</v>
      </c>
      <c r="D34">
        <v>336.93959050000001</v>
      </c>
      <c r="E34">
        <v>28.795391250000002</v>
      </c>
      <c r="F34">
        <v>6.9186212499999993</v>
      </c>
      <c r="G34">
        <v>338.98771675</v>
      </c>
      <c r="H34">
        <v>-40</v>
      </c>
      <c r="I34">
        <v>-8</v>
      </c>
      <c r="J34">
        <v>1.18</v>
      </c>
      <c r="K34">
        <v>23.723932250000001</v>
      </c>
      <c r="L34">
        <v>0.48818755631079458</v>
      </c>
      <c r="M34">
        <v>-3.0425469109455738</v>
      </c>
      <c r="N34">
        <v>-1.5584495427129741</v>
      </c>
      <c r="O34">
        <v>-0.89010589910608107</v>
      </c>
    </row>
    <row r="35" spans="1:15" x14ac:dyDescent="0.25">
      <c r="A35">
        <v>-9.1030525000000004</v>
      </c>
      <c r="B35">
        <v>-240.87665200000001</v>
      </c>
      <c r="C35">
        <v>-21.73964475</v>
      </c>
      <c r="D35">
        <v>307.02153750000002</v>
      </c>
      <c r="E35">
        <v>32.014751500000003</v>
      </c>
      <c r="F35">
        <v>5.9441822499999999</v>
      </c>
      <c r="G35">
        <v>307.52666499999998</v>
      </c>
      <c r="H35">
        <v>-40</v>
      </c>
      <c r="I35">
        <v>-4</v>
      </c>
      <c r="J35">
        <v>1.18</v>
      </c>
      <c r="K35">
        <v>22.608731250000002</v>
      </c>
      <c r="L35">
        <v>7.735053501982779E-2</v>
      </c>
      <c r="M35">
        <v>-3.3547619304712741</v>
      </c>
      <c r="N35">
        <v>-1.6869641854512181</v>
      </c>
      <c r="O35">
        <v>-0.84038849444778174</v>
      </c>
    </row>
    <row r="36" spans="1:15" x14ac:dyDescent="0.25">
      <c r="A36">
        <v>-40.603422999999999</v>
      </c>
      <c r="B36">
        <v>-224.41802974999999</v>
      </c>
      <c r="C36">
        <v>13.3288745</v>
      </c>
      <c r="D36">
        <v>285.16355125000001</v>
      </c>
      <c r="E36">
        <v>30.986383249999999</v>
      </c>
      <c r="F36">
        <v>5.4082495000000002</v>
      </c>
      <c r="G36">
        <v>285.031723</v>
      </c>
      <c r="H36">
        <v>-40</v>
      </c>
      <c r="I36">
        <v>0</v>
      </c>
      <c r="J36">
        <v>1.18</v>
      </c>
      <c r="K36">
        <v>21.770101749999998</v>
      </c>
      <c r="L36">
        <v>-0.32987316258391158</v>
      </c>
      <c r="M36">
        <v>-3.1168054544047341</v>
      </c>
      <c r="N36">
        <v>-1.5538594764477771</v>
      </c>
      <c r="O36">
        <v>-0.84356081029325769</v>
      </c>
    </row>
    <row r="37" spans="1:15" x14ac:dyDescent="0.25">
      <c r="A37">
        <v>-70.125171750000007</v>
      </c>
      <c r="B37">
        <v>-211.73590475</v>
      </c>
      <c r="C37">
        <v>40.754755750000001</v>
      </c>
      <c r="D37">
        <v>266.15263349999998</v>
      </c>
      <c r="E37">
        <v>29.242561500000001</v>
      </c>
      <c r="F37">
        <v>5.0184657499999998</v>
      </c>
      <c r="G37">
        <v>267.45998374999999</v>
      </c>
      <c r="H37">
        <v>-40</v>
      </c>
      <c r="I37">
        <v>4</v>
      </c>
      <c r="J37">
        <v>1.18</v>
      </c>
      <c r="K37">
        <v>21.090646249999999</v>
      </c>
      <c r="L37">
        <v>-0.65157192453074742</v>
      </c>
      <c r="M37">
        <v>-2.8082585432007732</v>
      </c>
      <c r="N37">
        <v>-1.3998680297812069</v>
      </c>
      <c r="O37">
        <v>-0.85761562381670187</v>
      </c>
    </row>
    <row r="38" spans="1:15" x14ac:dyDescent="0.25">
      <c r="A38">
        <v>-109.59010499999999</v>
      </c>
      <c r="B38">
        <v>-226.56172549999999</v>
      </c>
      <c r="C38">
        <v>67.367321250000003</v>
      </c>
      <c r="D38">
        <v>277.67321025000001</v>
      </c>
      <c r="E38">
        <v>27.990624499999999</v>
      </c>
      <c r="F38">
        <v>5.3108317500000002</v>
      </c>
      <c r="G38">
        <v>280.78909299999998</v>
      </c>
      <c r="H38">
        <v>-40</v>
      </c>
      <c r="I38">
        <v>8</v>
      </c>
      <c r="J38">
        <v>1.18</v>
      </c>
      <c r="K38">
        <v>21.60813675</v>
      </c>
      <c r="L38">
        <v>-0.9025529573342328</v>
      </c>
      <c r="M38">
        <v>-2.5718259773893859</v>
      </c>
      <c r="N38">
        <v>-1.2893998678795979</v>
      </c>
      <c r="O38">
        <v>-0.88434911665543292</v>
      </c>
    </row>
    <row r="39" spans="1:15" x14ac:dyDescent="0.25">
      <c r="A39">
        <v>-155.16772075</v>
      </c>
      <c r="B39">
        <v>-246.31592175</v>
      </c>
      <c r="C39">
        <v>94.341405750000007</v>
      </c>
      <c r="D39">
        <v>289.675499</v>
      </c>
      <c r="E39">
        <v>25.084253499999999</v>
      </c>
      <c r="F39">
        <v>5.7006255000000001</v>
      </c>
      <c r="G39">
        <v>297.00001500000002</v>
      </c>
      <c r="H39">
        <v>-40</v>
      </c>
      <c r="I39">
        <v>12</v>
      </c>
      <c r="J39">
        <v>1.18</v>
      </c>
      <c r="K39">
        <v>22.219973750000001</v>
      </c>
      <c r="L39">
        <v>-1.104880156321544</v>
      </c>
      <c r="M39">
        <v>-2.3736137132234298</v>
      </c>
      <c r="N39">
        <v>-1.204220457121278</v>
      </c>
      <c r="O39">
        <v>-0.91422731619567532</v>
      </c>
    </row>
    <row r="40" spans="1:15" x14ac:dyDescent="0.25">
      <c r="A40">
        <v>-204.83220274999999</v>
      </c>
      <c r="B40">
        <v>-262.26552574999999</v>
      </c>
      <c r="C40">
        <v>117.971943</v>
      </c>
      <c r="D40">
        <v>296.59668749999997</v>
      </c>
      <c r="E40">
        <v>14.62132525</v>
      </c>
      <c r="F40">
        <v>6.0416869999999996</v>
      </c>
      <c r="G40">
        <v>311.73008750000002</v>
      </c>
      <c r="H40">
        <v>-40</v>
      </c>
      <c r="I40">
        <v>16</v>
      </c>
      <c r="J40">
        <v>1.18</v>
      </c>
      <c r="K40">
        <v>22.762148499999999</v>
      </c>
      <c r="L40">
        <v>-1.300730956850124</v>
      </c>
      <c r="M40">
        <v>-2.2519532233727531</v>
      </c>
      <c r="N40">
        <v>-1.197219019608379</v>
      </c>
      <c r="O40">
        <v>-0.96541486908926033</v>
      </c>
    </row>
    <row r="41" spans="1:15" x14ac:dyDescent="0.25">
      <c r="A41">
        <v>-254.00096124999999</v>
      </c>
      <c r="B41">
        <v>-286.2806855</v>
      </c>
      <c r="C41">
        <v>137.53611025000001</v>
      </c>
      <c r="D41">
        <v>295.80829625000001</v>
      </c>
      <c r="E41">
        <v>-1.9183317499999999</v>
      </c>
      <c r="F41">
        <v>6.2365729999999999</v>
      </c>
      <c r="G41">
        <v>323.09774800000002</v>
      </c>
      <c r="H41">
        <v>-40</v>
      </c>
      <c r="I41">
        <v>20</v>
      </c>
      <c r="J41">
        <v>1.18</v>
      </c>
      <c r="K41">
        <v>23.174398</v>
      </c>
      <c r="L41">
        <v>-1.4597853183243119</v>
      </c>
      <c r="M41">
        <v>-2.1702984502183491</v>
      </c>
      <c r="N41">
        <v>-1.211863259514387</v>
      </c>
      <c r="O41">
        <v>-1.0304394370691741</v>
      </c>
    </row>
    <row r="42" spans="1:15" x14ac:dyDescent="0.25">
      <c r="A42">
        <v>-305.55828874999997</v>
      </c>
      <c r="B42">
        <v>-319.59127825000002</v>
      </c>
      <c r="C42">
        <v>154.11815250000001</v>
      </c>
      <c r="D42">
        <v>291.86601250000001</v>
      </c>
      <c r="E42">
        <v>-25.384437999999999</v>
      </c>
      <c r="F42">
        <v>6.6263532500000002</v>
      </c>
      <c r="G42">
        <v>334.00576799999999</v>
      </c>
      <c r="H42">
        <v>-40</v>
      </c>
      <c r="I42">
        <v>24</v>
      </c>
      <c r="J42">
        <v>1.18</v>
      </c>
      <c r="K42">
        <v>23.555891750000001</v>
      </c>
      <c r="L42">
        <v>-1.6006346309758019</v>
      </c>
      <c r="M42">
        <v>-2.1291896341209422</v>
      </c>
      <c r="N42">
        <v>-1.2515011139711909</v>
      </c>
      <c r="O42">
        <v>-1.111481017565497</v>
      </c>
    </row>
    <row r="43" spans="1:15" x14ac:dyDescent="0.25">
      <c r="A43">
        <v>-354.54676074999998</v>
      </c>
      <c r="B43">
        <v>-358.21897899999999</v>
      </c>
      <c r="C43">
        <v>164.23912050000001</v>
      </c>
      <c r="D43">
        <v>282.88619249999999</v>
      </c>
      <c r="E43">
        <v>-60.494365250000001</v>
      </c>
      <c r="F43">
        <v>6.67507625</v>
      </c>
      <c r="G43">
        <v>343.19152050000002</v>
      </c>
      <c r="H43">
        <v>-40</v>
      </c>
      <c r="I43">
        <v>28</v>
      </c>
      <c r="J43">
        <v>1.18</v>
      </c>
      <c r="K43">
        <v>23.8823185</v>
      </c>
      <c r="L43">
        <v>-1.7533455204477959</v>
      </c>
      <c r="M43">
        <v>-2.1667169882582828</v>
      </c>
      <c r="N43">
        <v>-1.3643481823328609</v>
      </c>
      <c r="O43">
        <v>-1.2270259133533059</v>
      </c>
    </row>
    <row r="44" spans="1:15" x14ac:dyDescent="0.25">
      <c r="A44">
        <v>-352.2032395</v>
      </c>
      <c r="B44">
        <v>-349.96687300000002</v>
      </c>
      <c r="C44">
        <v>154.0730475</v>
      </c>
      <c r="D44">
        <v>238.80449675</v>
      </c>
      <c r="E44">
        <v>-88.957053999999999</v>
      </c>
      <c r="F44">
        <v>6.0903907500000001</v>
      </c>
      <c r="G44">
        <v>310.13732900000002</v>
      </c>
      <c r="H44">
        <v>-40</v>
      </c>
      <c r="I44">
        <v>32</v>
      </c>
      <c r="J44">
        <v>1.18</v>
      </c>
      <c r="K44">
        <v>22.700937249999999</v>
      </c>
      <c r="L44">
        <v>-1.931465696638752</v>
      </c>
      <c r="M44">
        <v>-2.2461332856540839</v>
      </c>
      <c r="N44">
        <v>-1.522547812080598</v>
      </c>
      <c r="O44">
        <v>-1.3625939673530381</v>
      </c>
    </row>
    <row r="45" spans="1:15" x14ac:dyDescent="0.25">
      <c r="A45">
        <v>-355.89878075000001</v>
      </c>
      <c r="B45">
        <v>-351.26293175000001</v>
      </c>
      <c r="C45">
        <v>144.62990575000001</v>
      </c>
      <c r="D45">
        <v>203.44381325000001</v>
      </c>
      <c r="E45">
        <v>-122.01481775000001</v>
      </c>
      <c r="F45">
        <v>5.6518792499999986</v>
      </c>
      <c r="G45">
        <v>289.04163349999999</v>
      </c>
      <c r="H45">
        <v>-40</v>
      </c>
      <c r="I45">
        <v>36</v>
      </c>
      <c r="J45">
        <v>1.18</v>
      </c>
      <c r="K45">
        <v>21.916221</v>
      </c>
      <c r="L45">
        <v>-2.1615075258641512</v>
      </c>
      <c r="M45">
        <v>-2.3954725956923939</v>
      </c>
      <c r="N45">
        <v>-1.775132324578331</v>
      </c>
      <c r="O45">
        <v>-1.551320642292858</v>
      </c>
    </row>
    <row r="46" spans="1:15" x14ac:dyDescent="0.25">
      <c r="A46">
        <v>-355.58330549999999</v>
      </c>
      <c r="B46">
        <v>-349.03171524999999</v>
      </c>
      <c r="C46">
        <v>131.8884085</v>
      </c>
      <c r="D46">
        <v>168.394417</v>
      </c>
      <c r="E46">
        <v>-151.14669025000001</v>
      </c>
      <c r="F46">
        <v>5.0672015000000004</v>
      </c>
      <c r="G46">
        <v>268.31006624999998</v>
      </c>
      <c r="H46">
        <v>-40</v>
      </c>
      <c r="I46">
        <v>40</v>
      </c>
      <c r="J46">
        <v>1.18</v>
      </c>
      <c r="K46">
        <v>21.1228075</v>
      </c>
      <c r="L46">
        <v>-2.423319945660356</v>
      </c>
      <c r="M46">
        <v>-2.572222950536081</v>
      </c>
      <c r="N46">
        <v>-2.085200546828109</v>
      </c>
      <c r="O46">
        <v>-1.7765757373796911</v>
      </c>
    </row>
    <row r="47" spans="1:15" x14ac:dyDescent="0.25">
      <c r="A47">
        <v>-404.34644300000002</v>
      </c>
      <c r="B47">
        <v>-397.81736775000002</v>
      </c>
      <c r="C47">
        <v>132.63917524999999</v>
      </c>
      <c r="D47">
        <v>153.58189400000001</v>
      </c>
      <c r="E47">
        <v>-205.03842900000001</v>
      </c>
      <c r="F47">
        <v>5.5057029999999996</v>
      </c>
      <c r="G47">
        <v>282.21428650000001</v>
      </c>
      <c r="H47">
        <v>-40</v>
      </c>
      <c r="I47">
        <v>44</v>
      </c>
      <c r="J47">
        <v>1.18</v>
      </c>
      <c r="K47">
        <v>21.656332500000001</v>
      </c>
      <c r="L47">
        <v>-2.739155471297567</v>
      </c>
      <c r="M47">
        <v>-2.8126717564009831</v>
      </c>
      <c r="N47">
        <v>-2.4854659065024829</v>
      </c>
      <c r="O47">
        <v>-2.073984804784192</v>
      </c>
    </row>
    <row r="48" spans="1:15" x14ac:dyDescent="0.25">
      <c r="A48">
        <v>156.38998025000001</v>
      </c>
      <c r="B48">
        <v>-391.24226375000001</v>
      </c>
      <c r="C48">
        <v>-391.06868750000001</v>
      </c>
      <c r="D48">
        <v>184.9815025</v>
      </c>
      <c r="E48">
        <v>-98.637937750000006</v>
      </c>
      <c r="F48">
        <v>5.7493094999999999</v>
      </c>
      <c r="G48">
        <v>304.7661665</v>
      </c>
      <c r="H48">
        <v>-36</v>
      </c>
      <c r="I48">
        <v>-44</v>
      </c>
      <c r="J48">
        <v>1.18</v>
      </c>
      <c r="K48">
        <v>22.51238</v>
      </c>
      <c r="L48">
        <v>1.8715405695367111</v>
      </c>
      <c r="M48">
        <v>-1.969888654935388</v>
      </c>
      <c r="N48">
        <v>-1.379080637714752</v>
      </c>
      <c r="O48">
        <v>-1.3568579053017189</v>
      </c>
    </row>
    <row r="49" spans="1:15" x14ac:dyDescent="0.25">
      <c r="A49">
        <v>166.00637025</v>
      </c>
      <c r="B49">
        <v>-373.38871749999998</v>
      </c>
      <c r="C49">
        <v>-379.054619</v>
      </c>
      <c r="D49">
        <v>215.89934525000001</v>
      </c>
      <c r="E49">
        <v>-67.230833500000003</v>
      </c>
      <c r="F49">
        <v>6.0903712499999996</v>
      </c>
      <c r="G49">
        <v>316.61425800000001</v>
      </c>
      <c r="H49">
        <v>-36</v>
      </c>
      <c r="I49">
        <v>-40</v>
      </c>
      <c r="J49">
        <v>1.18</v>
      </c>
      <c r="K49">
        <v>22.941479999999999</v>
      </c>
      <c r="L49">
        <v>1.7640112633074321</v>
      </c>
      <c r="M49">
        <v>-1.9071545705880131</v>
      </c>
      <c r="N49">
        <v>-1.2422710636608569</v>
      </c>
      <c r="O49">
        <v>-1.237298956321421</v>
      </c>
    </row>
    <row r="50" spans="1:15" x14ac:dyDescent="0.25">
      <c r="A50">
        <v>173.27513500000001</v>
      </c>
      <c r="B50">
        <v>-351.52718325000001</v>
      </c>
      <c r="C50">
        <v>-362.76816574999998</v>
      </c>
      <c r="D50">
        <v>246.55462249999999</v>
      </c>
      <c r="E50">
        <v>-34.3961325</v>
      </c>
      <c r="F50">
        <v>6.4801572500000004</v>
      </c>
      <c r="G50">
        <v>328.42225674999997</v>
      </c>
      <c r="H50">
        <v>-36</v>
      </c>
      <c r="I50">
        <v>-36</v>
      </c>
      <c r="J50">
        <v>1.18</v>
      </c>
      <c r="K50">
        <v>23.3594525</v>
      </c>
      <c r="L50">
        <v>1.6608596790534269</v>
      </c>
      <c r="M50">
        <v>-1.8530872323812471</v>
      </c>
      <c r="N50">
        <v>-1.1241565964838389</v>
      </c>
      <c r="O50">
        <v>-1.126658447365313</v>
      </c>
    </row>
    <row r="51" spans="1:15" x14ac:dyDescent="0.25">
      <c r="A51">
        <v>175.71318400000001</v>
      </c>
      <c r="B51">
        <v>-330.86853774999997</v>
      </c>
      <c r="C51">
        <v>-329.60878774999998</v>
      </c>
      <c r="D51">
        <v>276.59671774999998</v>
      </c>
      <c r="E51">
        <v>-5.1750352499999996</v>
      </c>
      <c r="F51">
        <v>6.4314439999999999</v>
      </c>
      <c r="G51">
        <v>339.83025325</v>
      </c>
      <c r="H51">
        <v>-36</v>
      </c>
      <c r="I51">
        <v>-32</v>
      </c>
      <c r="J51">
        <v>1.18</v>
      </c>
      <c r="K51">
        <v>23.771464999999999</v>
      </c>
      <c r="L51">
        <v>1.5545387573436391</v>
      </c>
      <c r="M51">
        <v>-1.868778092202257</v>
      </c>
      <c r="N51">
        <v>-1.061365629369615</v>
      </c>
      <c r="O51">
        <v>-1.035715909715905</v>
      </c>
    </row>
    <row r="52" spans="1:15" x14ac:dyDescent="0.25">
      <c r="A52">
        <v>163.16228525</v>
      </c>
      <c r="B52">
        <v>-284.609329</v>
      </c>
      <c r="C52">
        <v>-265.00437925</v>
      </c>
      <c r="D52">
        <v>283.69117</v>
      </c>
      <c r="E52">
        <v>21.864951000000001</v>
      </c>
      <c r="F52">
        <v>6.2853042500000003</v>
      </c>
      <c r="G52">
        <v>326.66150675</v>
      </c>
      <c r="H52">
        <v>-36</v>
      </c>
      <c r="I52">
        <v>-28</v>
      </c>
      <c r="J52">
        <v>1.18</v>
      </c>
      <c r="K52">
        <v>23.30254175</v>
      </c>
      <c r="L52">
        <v>1.443208492242775</v>
      </c>
      <c r="M52">
        <v>-1.915602555701104</v>
      </c>
      <c r="N52">
        <v>-1.027394789052132</v>
      </c>
      <c r="O52">
        <v>-0.9474829473675801</v>
      </c>
    </row>
    <row r="53" spans="1:15" x14ac:dyDescent="0.25">
      <c r="A53">
        <v>140.137291</v>
      </c>
      <c r="B53">
        <v>-234.43047325000001</v>
      </c>
      <c r="C53">
        <v>-198.00889574999999</v>
      </c>
      <c r="D53">
        <v>274.59965525000001</v>
      </c>
      <c r="E53">
        <v>40.242255</v>
      </c>
      <c r="F53">
        <v>5.7980619999999998</v>
      </c>
      <c r="G53">
        <v>301.52453624999998</v>
      </c>
      <c r="H53">
        <v>-36</v>
      </c>
      <c r="I53">
        <v>-24</v>
      </c>
      <c r="J53">
        <v>1.18</v>
      </c>
      <c r="K53">
        <v>22.3881595</v>
      </c>
      <c r="L53">
        <v>1.318512678988504</v>
      </c>
      <c r="M53">
        <v>-1.9848224821636271</v>
      </c>
      <c r="N53">
        <v>-1.0188051641061751</v>
      </c>
      <c r="O53">
        <v>-0.86569753020413431</v>
      </c>
    </row>
    <row r="54" spans="1:15" x14ac:dyDescent="0.25">
      <c r="A54">
        <v>115.98347075</v>
      </c>
      <c r="B54">
        <v>-197.83553724999999</v>
      </c>
      <c r="C54">
        <v>-141.11911749999999</v>
      </c>
      <c r="D54">
        <v>264.06179049999997</v>
      </c>
      <c r="E54">
        <v>51.77842425</v>
      </c>
      <c r="F54">
        <v>5.2621094999999993</v>
      </c>
      <c r="G54">
        <v>278.62908149999998</v>
      </c>
      <c r="H54">
        <v>-36</v>
      </c>
      <c r="I54">
        <v>-20</v>
      </c>
      <c r="J54">
        <v>1.18</v>
      </c>
      <c r="K54">
        <v>21.525165250000001</v>
      </c>
      <c r="L54">
        <v>1.162014634929277</v>
      </c>
      <c r="M54">
        <v>-2.0876233109719751</v>
      </c>
      <c r="N54">
        <v>-1.025288479613206</v>
      </c>
      <c r="O54">
        <v>-0.78975491732924175</v>
      </c>
    </row>
    <row r="55" spans="1:15" x14ac:dyDescent="0.25">
      <c r="A55">
        <v>94.854526249999992</v>
      </c>
      <c r="B55">
        <v>-181.73840325</v>
      </c>
      <c r="C55">
        <v>-97.177297750000008</v>
      </c>
      <c r="D55">
        <v>261.27544375000002</v>
      </c>
      <c r="E55">
        <v>60.81055825</v>
      </c>
      <c r="F55">
        <v>5.1159397499999999</v>
      </c>
      <c r="G55">
        <v>268.90261075000001</v>
      </c>
      <c r="H55">
        <v>-36</v>
      </c>
      <c r="I55">
        <v>-16</v>
      </c>
      <c r="J55">
        <v>1.18</v>
      </c>
      <c r="K55">
        <v>21.144618250000001</v>
      </c>
      <c r="L55">
        <v>0.95885962049968998</v>
      </c>
      <c r="M55">
        <v>-2.2120995036359208</v>
      </c>
      <c r="N55">
        <v>-1.039055369926974</v>
      </c>
      <c r="O55">
        <v>-0.72189013586950734</v>
      </c>
    </row>
    <row r="56" spans="1:15" x14ac:dyDescent="0.25">
      <c r="A56">
        <v>81.942474500000003</v>
      </c>
      <c r="B56">
        <v>-188.61409374999999</v>
      </c>
      <c r="C56">
        <v>-62.799812250000002</v>
      </c>
      <c r="D56">
        <v>285.42834475000001</v>
      </c>
      <c r="E56">
        <v>75.029522</v>
      </c>
      <c r="F56">
        <v>5.6522912500000002</v>
      </c>
      <c r="G56">
        <v>288.79620375000002</v>
      </c>
      <c r="H56">
        <v>-36</v>
      </c>
      <c r="I56">
        <v>-12</v>
      </c>
      <c r="J56">
        <v>1.18</v>
      </c>
      <c r="K56">
        <v>21.906709750000001</v>
      </c>
      <c r="L56">
        <v>0.72104940368003212</v>
      </c>
      <c r="M56">
        <v>-2.361564956961538</v>
      </c>
      <c r="N56">
        <v>-1.0649404249489569</v>
      </c>
      <c r="O56">
        <v>-0.65439557741869014</v>
      </c>
    </row>
    <row r="57" spans="1:15" x14ac:dyDescent="0.25">
      <c r="A57">
        <v>60.768343999999999</v>
      </c>
      <c r="B57">
        <v>-195.52514650000001</v>
      </c>
      <c r="C57">
        <v>-25.805669999999999</v>
      </c>
      <c r="D57">
        <v>301.94280225</v>
      </c>
      <c r="E57">
        <v>84.777139750000003</v>
      </c>
      <c r="F57">
        <v>5.7984747499999996</v>
      </c>
      <c r="G57">
        <v>303.44616724999997</v>
      </c>
      <c r="H57">
        <v>-36</v>
      </c>
      <c r="I57">
        <v>-8</v>
      </c>
      <c r="J57">
        <v>1.18</v>
      </c>
      <c r="K57">
        <v>22.46079275</v>
      </c>
      <c r="L57">
        <v>0.44295314513428541</v>
      </c>
      <c r="M57">
        <v>-2.5453372423212062</v>
      </c>
      <c r="N57">
        <v>-1.118830592951773</v>
      </c>
      <c r="O57">
        <v>-0.59588167178051088</v>
      </c>
    </row>
    <row r="58" spans="1:15" x14ac:dyDescent="0.25">
      <c r="A58">
        <v>32.867295499999997</v>
      </c>
      <c r="B58">
        <v>-200.28268424999999</v>
      </c>
      <c r="C58">
        <v>15.67437325</v>
      </c>
      <c r="D58">
        <v>315.171425</v>
      </c>
      <c r="E58">
        <v>95.150729999999996</v>
      </c>
      <c r="F58">
        <v>5.8967535</v>
      </c>
      <c r="G58">
        <v>315.45461275000002</v>
      </c>
      <c r="H58">
        <v>-36</v>
      </c>
      <c r="I58">
        <v>-4</v>
      </c>
      <c r="J58">
        <v>1.18</v>
      </c>
      <c r="K58">
        <v>22.905764999999999</v>
      </c>
      <c r="L58">
        <v>9.172059093337015E-2</v>
      </c>
      <c r="M58">
        <v>-2.749778246360739</v>
      </c>
      <c r="N58">
        <v>-1.175274707417673</v>
      </c>
      <c r="O58">
        <v>-0.52388409704195227</v>
      </c>
    </row>
    <row r="59" spans="1:15" x14ac:dyDescent="0.25">
      <c r="A59">
        <v>-3.4698864999999999</v>
      </c>
      <c r="B59">
        <v>-209.60600675000001</v>
      </c>
      <c r="C59">
        <v>54.069844250000003</v>
      </c>
      <c r="D59">
        <v>327.26168074999998</v>
      </c>
      <c r="E59">
        <v>99.398571000000004</v>
      </c>
      <c r="F59">
        <v>6.1896157500000006</v>
      </c>
      <c r="G59">
        <v>327.06250749999998</v>
      </c>
      <c r="H59">
        <v>-36</v>
      </c>
      <c r="I59">
        <v>0</v>
      </c>
      <c r="J59">
        <v>1.18</v>
      </c>
      <c r="K59">
        <v>23.320636749999998</v>
      </c>
      <c r="L59">
        <v>-0.27939305522304841</v>
      </c>
      <c r="M59">
        <v>-2.607003928883624</v>
      </c>
      <c r="N59">
        <v>-1.105550334560049</v>
      </c>
      <c r="O59">
        <v>-0.54740147671378236</v>
      </c>
    </row>
    <row r="60" spans="1:15" x14ac:dyDescent="0.25">
      <c r="A60">
        <v>-42.625584500000002</v>
      </c>
      <c r="B60">
        <v>-215.63727549999999</v>
      </c>
      <c r="C60">
        <v>88.761297499999998</v>
      </c>
      <c r="D60">
        <v>334.00743849999998</v>
      </c>
      <c r="E60">
        <v>100.695303</v>
      </c>
      <c r="F60">
        <v>6.4820584999999999</v>
      </c>
      <c r="G60">
        <v>335.86879725</v>
      </c>
      <c r="H60">
        <v>-36</v>
      </c>
      <c r="I60">
        <v>4</v>
      </c>
      <c r="J60">
        <v>1.18</v>
      </c>
      <c r="K60">
        <v>23.628002500000001</v>
      </c>
      <c r="L60">
        <v>-0.5716794485521326</v>
      </c>
      <c r="M60">
        <v>-2.3916181752903962</v>
      </c>
      <c r="N60">
        <v>-1.0233086570136329</v>
      </c>
      <c r="O60">
        <v>-0.59008933064620983</v>
      </c>
    </row>
    <row r="61" spans="1:15" x14ac:dyDescent="0.25">
      <c r="A61">
        <v>-87.791668000000001</v>
      </c>
      <c r="B61">
        <v>-223.47439175</v>
      </c>
      <c r="C61">
        <v>120.787674</v>
      </c>
      <c r="D61">
        <v>335.54106899999999</v>
      </c>
      <c r="E61">
        <v>98.236082249999995</v>
      </c>
      <c r="F61">
        <v>6.38456475</v>
      </c>
      <c r="G61">
        <v>339.67137124999999</v>
      </c>
      <c r="H61">
        <v>-36</v>
      </c>
      <c r="I61">
        <v>8</v>
      </c>
      <c r="J61">
        <v>1.18</v>
      </c>
      <c r="K61">
        <v>23.767405249999999</v>
      </c>
      <c r="L61">
        <v>-0.82159480727462431</v>
      </c>
      <c r="M61">
        <v>-2.2020893931645782</v>
      </c>
      <c r="N61">
        <v>-0.95110680100377654</v>
      </c>
      <c r="O61">
        <v>-0.63822756450520546</v>
      </c>
    </row>
    <row r="62" spans="1:15" x14ac:dyDescent="0.25">
      <c r="A62">
        <v>-118.72980149999999</v>
      </c>
      <c r="B62">
        <v>-209.26997</v>
      </c>
      <c r="C62">
        <v>132.62255475000001</v>
      </c>
      <c r="D62">
        <v>301.37385549999999</v>
      </c>
      <c r="E62">
        <v>83.569997999999998</v>
      </c>
      <c r="F62">
        <v>5.6535359999999999</v>
      </c>
      <c r="G62">
        <v>309.01057424999999</v>
      </c>
      <c r="H62">
        <v>-36</v>
      </c>
      <c r="I62">
        <v>12</v>
      </c>
      <c r="J62">
        <v>1.18</v>
      </c>
      <c r="K62">
        <v>22.675154750000001</v>
      </c>
      <c r="L62">
        <v>-1.015295590237286</v>
      </c>
      <c r="M62">
        <v>-2.0626513217174889</v>
      </c>
      <c r="N62">
        <v>-0.91064197230104504</v>
      </c>
      <c r="O62">
        <v>-0.68528423386063497</v>
      </c>
    </row>
    <row r="63" spans="1:15" x14ac:dyDescent="0.25">
      <c r="A63">
        <v>-147.19731150000001</v>
      </c>
      <c r="B63">
        <v>-193.36543649999999</v>
      </c>
      <c r="C63">
        <v>139.578945</v>
      </c>
      <c r="D63">
        <v>271.36795024999998</v>
      </c>
      <c r="E63">
        <v>64.656161249999997</v>
      </c>
      <c r="F63">
        <v>5.2636349999999998</v>
      </c>
      <c r="G63">
        <v>286.07502725000001</v>
      </c>
      <c r="H63">
        <v>-36</v>
      </c>
      <c r="I63">
        <v>16</v>
      </c>
      <c r="J63">
        <v>1.18</v>
      </c>
      <c r="K63">
        <v>21.816294500000001</v>
      </c>
      <c r="L63">
        <v>-1.2206501591596319</v>
      </c>
      <c r="M63">
        <v>-1.978120191212863</v>
      </c>
      <c r="N63">
        <v>-0.94246438022357604</v>
      </c>
      <c r="O63">
        <v>-0.74719739851420375</v>
      </c>
    </row>
    <row r="64" spans="1:15" x14ac:dyDescent="0.25">
      <c r="A64">
        <v>-171.84283425000001</v>
      </c>
      <c r="B64">
        <v>-195.81310250000001</v>
      </c>
      <c r="C64">
        <v>144.2316515</v>
      </c>
      <c r="D64">
        <v>246.74977100000001</v>
      </c>
      <c r="E64">
        <v>44.534924500000002</v>
      </c>
      <c r="F64">
        <v>4.9224682499999997</v>
      </c>
      <c r="G64">
        <v>269.14379874999997</v>
      </c>
      <c r="H64">
        <v>-36</v>
      </c>
      <c r="I64">
        <v>20</v>
      </c>
      <c r="J64">
        <v>1.18</v>
      </c>
      <c r="K64">
        <v>21.162044000000002</v>
      </c>
      <c r="L64">
        <v>-1.384076895814359</v>
      </c>
      <c r="M64">
        <v>-1.937991792549087</v>
      </c>
      <c r="N64">
        <v>-0.98356395634527105</v>
      </c>
      <c r="O64">
        <v>-0.82652448263544587</v>
      </c>
    </row>
    <row r="65" spans="1:15" x14ac:dyDescent="0.25">
      <c r="A65">
        <v>-212.93372350000001</v>
      </c>
      <c r="B65">
        <v>-225.71298949999999</v>
      </c>
      <c r="C65">
        <v>157.73788825</v>
      </c>
      <c r="D65">
        <v>240.31081399999999</v>
      </c>
      <c r="E65">
        <v>21.507347750000001</v>
      </c>
      <c r="F65">
        <v>4.9224649999999999</v>
      </c>
      <c r="G65">
        <v>275.86839300000003</v>
      </c>
      <c r="H65">
        <v>-36</v>
      </c>
      <c r="I65">
        <v>24</v>
      </c>
      <c r="J65">
        <v>1.18</v>
      </c>
      <c r="K65">
        <v>21.429635000000001</v>
      </c>
      <c r="L65">
        <v>-1.539127453583214</v>
      </c>
      <c r="M65">
        <v>-1.9350732834267459</v>
      </c>
      <c r="N65">
        <v>-1.056186406989376</v>
      </c>
      <c r="O65">
        <v>-0.93113180757644276</v>
      </c>
    </row>
    <row r="66" spans="1:15" x14ac:dyDescent="0.25">
      <c r="A66">
        <v>-265.55890649999998</v>
      </c>
      <c r="B66">
        <v>-270.29886625</v>
      </c>
      <c r="C66">
        <v>174.31587999999999</v>
      </c>
      <c r="D66">
        <v>240.398571</v>
      </c>
      <c r="E66">
        <v>-10.394681500000001</v>
      </c>
      <c r="F66">
        <v>5.361097</v>
      </c>
      <c r="G66">
        <v>293.720665</v>
      </c>
      <c r="H66">
        <v>-36</v>
      </c>
      <c r="I66">
        <v>28</v>
      </c>
      <c r="J66">
        <v>1.18</v>
      </c>
      <c r="K66">
        <v>22.107561</v>
      </c>
      <c r="L66">
        <v>-1.708027411944683</v>
      </c>
      <c r="M66">
        <v>-1.98306122653427</v>
      </c>
      <c r="N66">
        <v>-1.180913563246234</v>
      </c>
      <c r="O66">
        <v>-1.0611859778569499</v>
      </c>
    </row>
    <row r="67" spans="1:15" x14ac:dyDescent="0.25">
      <c r="A67">
        <v>-317.01264950000001</v>
      </c>
      <c r="B67">
        <v>-314.89300524999999</v>
      </c>
      <c r="C67">
        <v>187.23480599999999</v>
      </c>
      <c r="D67">
        <v>233.25838100000001</v>
      </c>
      <c r="E67">
        <v>-51.973405999999997</v>
      </c>
      <c r="F67">
        <v>5.7509844999999986</v>
      </c>
      <c r="G67">
        <v>308.93122075000002</v>
      </c>
      <c r="H67">
        <v>-36</v>
      </c>
      <c r="I67">
        <v>32</v>
      </c>
      <c r="J67">
        <v>1.18</v>
      </c>
      <c r="K67">
        <v>22.668575749999999</v>
      </c>
      <c r="L67">
        <v>-1.9102041046974301</v>
      </c>
      <c r="M67">
        <v>-2.0765289319574132</v>
      </c>
      <c r="N67">
        <v>-1.3672172451548601</v>
      </c>
      <c r="O67">
        <v>-1.2186799543576481</v>
      </c>
    </row>
    <row r="68" spans="1:15" x14ac:dyDescent="0.25">
      <c r="A68">
        <v>-363.28493500000002</v>
      </c>
      <c r="B68">
        <v>-358.77162175000001</v>
      </c>
      <c r="C68">
        <v>196.04330825</v>
      </c>
      <c r="D68">
        <v>220.68676400000001</v>
      </c>
      <c r="E68">
        <v>-97.879524250000003</v>
      </c>
      <c r="F68">
        <v>6.1408932500000004</v>
      </c>
      <c r="G68">
        <v>320.69926425</v>
      </c>
      <c r="H68">
        <v>-36</v>
      </c>
      <c r="I68">
        <v>36</v>
      </c>
      <c r="J68">
        <v>1.18</v>
      </c>
      <c r="K68">
        <v>23.090033250000001</v>
      </c>
      <c r="L68">
        <v>-2.125756636849363</v>
      </c>
      <c r="M68">
        <v>-2.2022894720039372</v>
      </c>
      <c r="N68">
        <v>-1.591010867518444</v>
      </c>
      <c r="O68">
        <v>-1.3954449465415</v>
      </c>
    </row>
    <row r="69" spans="1:15" x14ac:dyDescent="0.25">
      <c r="A69">
        <v>-408.29570000000001</v>
      </c>
      <c r="B69">
        <v>-404.81595625</v>
      </c>
      <c r="C69">
        <v>199.92808925</v>
      </c>
      <c r="D69">
        <v>202.68314724999999</v>
      </c>
      <c r="E69">
        <v>-153.55575924999999</v>
      </c>
      <c r="F69">
        <v>6.238378</v>
      </c>
      <c r="G69">
        <v>331.266594</v>
      </c>
      <c r="H69">
        <v>-36</v>
      </c>
      <c r="I69">
        <v>40</v>
      </c>
      <c r="J69">
        <v>1.18</v>
      </c>
      <c r="K69">
        <v>23.471148750000001</v>
      </c>
      <c r="L69">
        <v>-2.4041279195137362</v>
      </c>
      <c r="M69">
        <v>-2.401282389639293</v>
      </c>
      <c r="N69">
        <v>-1.916412372535262</v>
      </c>
      <c r="O69">
        <v>-1.6316677318047359</v>
      </c>
    </row>
    <row r="70" spans="1:15" x14ac:dyDescent="0.25">
      <c r="A70">
        <v>-464.20994574999997</v>
      </c>
      <c r="B70">
        <v>-465.44007099999999</v>
      </c>
      <c r="C70">
        <v>198.07616824999999</v>
      </c>
      <c r="D70">
        <v>181.21905874999999</v>
      </c>
      <c r="E70">
        <v>-219.44822300000001</v>
      </c>
      <c r="F70">
        <v>6.2871252499999999</v>
      </c>
      <c r="G70">
        <v>343.01513675000001</v>
      </c>
      <c r="H70">
        <v>-36</v>
      </c>
      <c r="I70">
        <v>44</v>
      </c>
      <c r="J70">
        <v>1.18</v>
      </c>
      <c r="K70">
        <v>23.889849999999999</v>
      </c>
      <c r="L70">
        <v>-2.6991346438989838</v>
      </c>
      <c r="M70">
        <v>-2.6354466738821261</v>
      </c>
      <c r="N70">
        <v>-2.2923639872042738</v>
      </c>
      <c r="O70">
        <v>-1.9200322353459041</v>
      </c>
    </row>
    <row r="71" spans="1:15" x14ac:dyDescent="0.25">
      <c r="A71">
        <v>187.76897425000001</v>
      </c>
      <c r="B71">
        <v>-368.01344325000002</v>
      </c>
      <c r="C71">
        <v>-362.09144574999999</v>
      </c>
      <c r="D71">
        <v>176.0502395</v>
      </c>
      <c r="E71">
        <v>-66.873933749999992</v>
      </c>
      <c r="F71">
        <v>5.604006</v>
      </c>
      <c r="G71">
        <v>303.87525950000003</v>
      </c>
      <c r="H71">
        <v>-32</v>
      </c>
      <c r="I71">
        <v>-44</v>
      </c>
      <c r="J71">
        <v>1.18</v>
      </c>
      <c r="K71">
        <v>22.484290999999999</v>
      </c>
      <c r="L71">
        <v>1.8440690261545569</v>
      </c>
      <c r="M71">
        <v>-1.8246280629459051</v>
      </c>
      <c r="N71">
        <v>-1.2433869839224421</v>
      </c>
      <c r="O71">
        <v>-1.243065864580241</v>
      </c>
    </row>
    <row r="72" spans="1:15" x14ac:dyDescent="0.25">
      <c r="A72">
        <v>178.64919275</v>
      </c>
      <c r="B72">
        <v>-313.23122375000003</v>
      </c>
      <c r="C72">
        <v>-312.01400749999999</v>
      </c>
      <c r="D72">
        <v>185.20543275</v>
      </c>
      <c r="E72">
        <v>-27.035093249999999</v>
      </c>
      <c r="F72">
        <v>5.1657935000000004</v>
      </c>
      <c r="G72">
        <v>283.42493424999998</v>
      </c>
      <c r="H72">
        <v>-32</v>
      </c>
      <c r="I72">
        <v>-40</v>
      </c>
      <c r="J72">
        <v>1.18</v>
      </c>
      <c r="K72">
        <v>21.716928249999999</v>
      </c>
      <c r="L72">
        <v>1.7180868372049689</v>
      </c>
      <c r="M72">
        <v>-1.745304566731205</v>
      </c>
      <c r="N72">
        <v>-1.0870939024330351</v>
      </c>
      <c r="O72">
        <v>-1.112753135113616</v>
      </c>
    </row>
    <row r="73" spans="1:15" x14ac:dyDescent="0.25">
      <c r="A73">
        <v>167.31709649999999</v>
      </c>
      <c r="B73">
        <v>-261.38377374999999</v>
      </c>
      <c r="C73">
        <v>-262.47795074999999</v>
      </c>
      <c r="D73">
        <v>192.082798</v>
      </c>
      <c r="E73">
        <v>7.02009025</v>
      </c>
      <c r="F73">
        <v>4.7265157499999999</v>
      </c>
      <c r="G73">
        <v>265.04642475000003</v>
      </c>
      <c r="H73">
        <v>-32</v>
      </c>
      <c r="I73">
        <v>-36</v>
      </c>
      <c r="J73">
        <v>1.18</v>
      </c>
      <c r="K73">
        <v>21.005229249999999</v>
      </c>
      <c r="L73">
        <v>1.598043621727574</v>
      </c>
      <c r="M73">
        <v>-1.6860673442179011</v>
      </c>
      <c r="N73">
        <v>-0.959387563834178</v>
      </c>
      <c r="O73">
        <v>-0.9914723516720545</v>
      </c>
    </row>
    <row r="74" spans="1:15" x14ac:dyDescent="0.25">
      <c r="A74">
        <v>178.152626</v>
      </c>
      <c r="B74">
        <v>-247.64221574999999</v>
      </c>
      <c r="C74">
        <v>-240.95819474999999</v>
      </c>
      <c r="D74">
        <v>225.72478100000001</v>
      </c>
      <c r="E74">
        <v>36.754880999999997</v>
      </c>
      <c r="F74">
        <v>5.2621297499999997</v>
      </c>
      <c r="G74">
        <v>285.595932</v>
      </c>
      <c r="H74">
        <v>-32</v>
      </c>
      <c r="I74">
        <v>-32</v>
      </c>
      <c r="J74">
        <v>1.18</v>
      </c>
      <c r="K74">
        <v>21.797730999999999</v>
      </c>
      <c r="L74">
        <v>1.4911936770115419</v>
      </c>
      <c r="M74">
        <v>-1.6842618827007929</v>
      </c>
      <c r="N74">
        <v>-0.88540312432277712</v>
      </c>
      <c r="O74">
        <v>-0.88795221687533221</v>
      </c>
    </row>
    <row r="75" spans="1:15" x14ac:dyDescent="0.25">
      <c r="A75">
        <v>183.20925875</v>
      </c>
      <c r="B75">
        <v>-226.08195125</v>
      </c>
      <c r="C75">
        <v>-205.407715</v>
      </c>
      <c r="D75">
        <v>257.30799875000002</v>
      </c>
      <c r="E75">
        <v>67.160394499999995</v>
      </c>
      <c r="F75">
        <v>5.45704425</v>
      </c>
      <c r="G75">
        <v>302.56767274999999</v>
      </c>
      <c r="H75">
        <v>-32</v>
      </c>
      <c r="I75">
        <v>-28</v>
      </c>
      <c r="J75">
        <v>1.18</v>
      </c>
      <c r="K75">
        <v>22.4405155</v>
      </c>
      <c r="L75">
        <v>1.373666224693566</v>
      </c>
      <c r="M75">
        <v>-1.708676135977363</v>
      </c>
      <c r="N75">
        <v>-0.83211421468052815</v>
      </c>
      <c r="O75">
        <v>-0.78189520446464966</v>
      </c>
    </row>
    <row r="76" spans="1:15" x14ac:dyDescent="0.25">
      <c r="A76">
        <v>181.08731075</v>
      </c>
      <c r="B76">
        <v>-204.21725875000001</v>
      </c>
      <c r="C76">
        <v>-166.2931825</v>
      </c>
      <c r="D76">
        <v>282.27659625000001</v>
      </c>
      <c r="E76">
        <v>93.318080750000007</v>
      </c>
      <c r="F76">
        <v>5.7981094999999998</v>
      </c>
      <c r="G76">
        <v>315.01641074999998</v>
      </c>
      <c r="H76">
        <v>-32</v>
      </c>
      <c r="I76">
        <v>-24</v>
      </c>
      <c r="J76">
        <v>1.18</v>
      </c>
      <c r="K76">
        <v>22.893198000000002</v>
      </c>
      <c r="L76">
        <v>1.24700119206321</v>
      </c>
      <c r="M76">
        <v>-1.7464107031374141</v>
      </c>
      <c r="N76">
        <v>-0.79587087553492064</v>
      </c>
      <c r="O76">
        <v>-0.68584331474018623</v>
      </c>
    </row>
    <row r="77" spans="1:15" x14ac:dyDescent="0.25">
      <c r="A77">
        <v>173.41242575000001</v>
      </c>
      <c r="B77">
        <v>-185.33766524999999</v>
      </c>
      <c r="C77">
        <v>-123.298771</v>
      </c>
      <c r="D77">
        <v>305.47366349999999</v>
      </c>
      <c r="E77">
        <v>117.28479950000001</v>
      </c>
      <c r="F77">
        <v>6.0904587499999998</v>
      </c>
      <c r="G77">
        <v>326.86453999999998</v>
      </c>
      <c r="H77">
        <v>-32</v>
      </c>
      <c r="I77">
        <v>-20</v>
      </c>
      <c r="J77">
        <v>1.18</v>
      </c>
      <c r="K77">
        <v>23.317044500000002</v>
      </c>
      <c r="L77">
        <v>1.0924385134994909</v>
      </c>
      <c r="M77">
        <v>-1.807101216880131</v>
      </c>
      <c r="N77">
        <v>-0.77164358826412738</v>
      </c>
      <c r="O77">
        <v>-0.59060047392978965</v>
      </c>
    </row>
    <row r="78" spans="1:15" x14ac:dyDescent="0.25">
      <c r="A78">
        <v>158.73959350000001</v>
      </c>
      <c r="B78">
        <v>-179.15939324999999</v>
      </c>
      <c r="C78">
        <v>-79.627637750000005</v>
      </c>
      <c r="D78">
        <v>326.80513024999999</v>
      </c>
      <c r="E78">
        <v>137.361603</v>
      </c>
      <c r="F78">
        <v>6.3340709999999998</v>
      </c>
      <c r="G78">
        <v>338.67276025000001</v>
      </c>
      <c r="H78">
        <v>-32</v>
      </c>
      <c r="I78">
        <v>-16</v>
      </c>
      <c r="J78">
        <v>1.18</v>
      </c>
      <c r="K78">
        <v>23.733639499999999</v>
      </c>
      <c r="L78">
        <v>0.89358230523364979</v>
      </c>
      <c r="M78">
        <v>-1.896746565913932</v>
      </c>
      <c r="N78">
        <v>-0.75468198224734362</v>
      </c>
      <c r="O78">
        <v>-0.50881167641362968</v>
      </c>
    </row>
    <row r="79" spans="1:15" x14ac:dyDescent="0.25">
      <c r="A79">
        <v>132.50861374999999</v>
      </c>
      <c r="B79">
        <v>-167.16245674999999</v>
      </c>
      <c r="C79">
        <v>-32.482660500000001</v>
      </c>
      <c r="D79">
        <v>325.27454375000002</v>
      </c>
      <c r="E79">
        <v>145.72303375000001</v>
      </c>
      <c r="F79">
        <v>6.0904497499999994</v>
      </c>
      <c r="G79">
        <v>331.10786450000001</v>
      </c>
      <c r="H79">
        <v>-32</v>
      </c>
      <c r="I79">
        <v>-12</v>
      </c>
      <c r="J79">
        <v>1.18</v>
      </c>
      <c r="K79">
        <v>23.470706499999999</v>
      </c>
      <c r="L79">
        <v>0.67193418440665609</v>
      </c>
      <c r="M79">
        <v>-2.005488815648492</v>
      </c>
      <c r="N79">
        <v>-0.75500159746987971</v>
      </c>
      <c r="O79">
        <v>-0.43134308636362129</v>
      </c>
    </row>
    <row r="80" spans="1:15" x14ac:dyDescent="0.25">
      <c r="A80">
        <v>96.571179999999998</v>
      </c>
      <c r="B80">
        <v>-148.60458</v>
      </c>
      <c r="C80">
        <v>11.1121775</v>
      </c>
      <c r="D80">
        <v>301.099289</v>
      </c>
      <c r="E80">
        <v>139.91029750000001</v>
      </c>
      <c r="F80">
        <v>5.6519360000000001</v>
      </c>
      <c r="G80">
        <v>304.52957149999997</v>
      </c>
      <c r="H80">
        <v>-32</v>
      </c>
      <c r="I80">
        <v>-8</v>
      </c>
      <c r="J80">
        <v>1.18</v>
      </c>
      <c r="K80">
        <v>22.50712875</v>
      </c>
      <c r="L80">
        <v>0.40958430041730132</v>
      </c>
      <c r="M80">
        <v>-2.1552404843430799</v>
      </c>
      <c r="N80">
        <v>-0.7889576816035565</v>
      </c>
      <c r="O80">
        <v>-0.35656989161312852</v>
      </c>
    </row>
    <row r="81" spans="1:15" x14ac:dyDescent="0.25">
      <c r="A81">
        <v>63.477838499999997</v>
      </c>
      <c r="B81">
        <v>-134.44006725</v>
      </c>
      <c r="C81">
        <v>43.951850749999998</v>
      </c>
      <c r="D81">
        <v>279.80641175</v>
      </c>
      <c r="E81">
        <v>133.33744824999999</v>
      </c>
      <c r="F81">
        <v>5.2621390000000003</v>
      </c>
      <c r="G81">
        <v>281.8340455</v>
      </c>
      <c r="H81">
        <v>-32</v>
      </c>
      <c r="I81">
        <v>-4</v>
      </c>
      <c r="J81">
        <v>1.18</v>
      </c>
      <c r="K81">
        <v>21.650976750000002</v>
      </c>
      <c r="L81">
        <v>0.10932821974971341</v>
      </c>
      <c r="M81">
        <v>-2.319665003605158</v>
      </c>
      <c r="N81">
        <v>-0.83155268607023358</v>
      </c>
      <c r="O81">
        <v>-0.28281346482876968</v>
      </c>
    </row>
    <row r="82" spans="1:15" x14ac:dyDescent="0.25">
      <c r="A82">
        <v>33.319098500000003</v>
      </c>
      <c r="B82">
        <v>-125.899624</v>
      </c>
      <c r="C82">
        <v>71.551664250000002</v>
      </c>
      <c r="D82">
        <v>264.79916400000002</v>
      </c>
      <c r="E82">
        <v>127.70343425</v>
      </c>
      <c r="F82">
        <v>4.7749017499999997</v>
      </c>
      <c r="G82">
        <v>266.38362875000001</v>
      </c>
      <c r="H82">
        <v>-32</v>
      </c>
      <c r="I82">
        <v>0</v>
      </c>
      <c r="J82">
        <v>1.18</v>
      </c>
      <c r="K82">
        <v>21.0571685</v>
      </c>
      <c r="L82">
        <v>-0.2197203185110787</v>
      </c>
      <c r="M82">
        <v>-2.2454821292392091</v>
      </c>
      <c r="N82">
        <v>-0.7970622236509618</v>
      </c>
      <c r="O82">
        <v>-0.29349540363766352</v>
      </c>
    </row>
    <row r="83" spans="1:15" x14ac:dyDescent="0.25">
      <c r="A83">
        <v>3.656968</v>
      </c>
      <c r="B83">
        <v>-135.73552724999999</v>
      </c>
      <c r="C83">
        <v>104.39134824999999</v>
      </c>
      <c r="D83">
        <v>282.32109075</v>
      </c>
      <c r="E83">
        <v>136.06504824999999</v>
      </c>
      <c r="F83">
        <v>5.2134082500000014</v>
      </c>
      <c r="G83">
        <v>285.91700774999998</v>
      </c>
      <c r="H83">
        <v>-32</v>
      </c>
      <c r="I83">
        <v>4</v>
      </c>
      <c r="J83">
        <v>1.18</v>
      </c>
      <c r="K83">
        <v>21.812108500000001</v>
      </c>
      <c r="L83">
        <v>-0.49842136391869007</v>
      </c>
      <c r="M83">
        <v>-2.068522415557529</v>
      </c>
      <c r="N83">
        <v>-0.74146131055256015</v>
      </c>
      <c r="O83">
        <v>-0.35255158230325878</v>
      </c>
    </row>
    <row r="84" spans="1:15" x14ac:dyDescent="0.25">
      <c r="A84">
        <v>-35.062585749999997</v>
      </c>
      <c r="B84">
        <v>-147.922451</v>
      </c>
      <c r="C84">
        <v>136.68904499999999</v>
      </c>
      <c r="D84">
        <v>295.19980600000002</v>
      </c>
      <c r="E84">
        <v>139.32918175</v>
      </c>
      <c r="F84">
        <v>5.6032182500000003</v>
      </c>
      <c r="G84">
        <v>301.16783900000001</v>
      </c>
      <c r="H84">
        <v>-32</v>
      </c>
      <c r="I84">
        <v>8</v>
      </c>
      <c r="J84">
        <v>1.18</v>
      </c>
      <c r="K84">
        <v>22.382061749999998</v>
      </c>
      <c r="L84">
        <v>-0.7440799879986969</v>
      </c>
      <c r="M84">
        <v>-1.9197691602871909</v>
      </c>
      <c r="N84">
        <v>-0.70114808489612701</v>
      </c>
      <c r="O84">
        <v>-0.42065167776792611</v>
      </c>
    </row>
    <row r="85" spans="1:15" x14ac:dyDescent="0.25">
      <c r="A85">
        <v>-74.631933250000003</v>
      </c>
      <c r="B85">
        <v>-158.87292500000001</v>
      </c>
      <c r="C85">
        <v>165.91510775</v>
      </c>
      <c r="D85">
        <v>302.47145825000001</v>
      </c>
      <c r="E85">
        <v>138.21135724999999</v>
      </c>
      <c r="F85">
        <v>5.7493895000000004</v>
      </c>
      <c r="G85">
        <v>313.81670400000002</v>
      </c>
      <c r="H85">
        <v>-32</v>
      </c>
      <c r="I85">
        <v>12</v>
      </c>
      <c r="J85">
        <v>1.18</v>
      </c>
      <c r="K85">
        <v>22.850545</v>
      </c>
      <c r="L85">
        <v>-0.94345621359117604</v>
      </c>
      <c r="M85">
        <v>-1.8094524415108599</v>
      </c>
      <c r="N85">
        <v>-0.68875535621248951</v>
      </c>
      <c r="O85">
        <v>-0.48046565756406773</v>
      </c>
    </row>
    <row r="86" spans="1:15" x14ac:dyDescent="0.25">
      <c r="A86">
        <v>-122.04304125</v>
      </c>
      <c r="B86">
        <v>-168.38550975000001</v>
      </c>
      <c r="C86">
        <v>191.57261299999999</v>
      </c>
      <c r="D86">
        <v>306.23876975000002</v>
      </c>
      <c r="E86">
        <v>126.04919624999999</v>
      </c>
      <c r="F86">
        <v>6.13920975</v>
      </c>
      <c r="G86">
        <v>326.42540750000001</v>
      </c>
      <c r="H86">
        <v>-32</v>
      </c>
      <c r="I86">
        <v>16</v>
      </c>
      <c r="J86">
        <v>1.18</v>
      </c>
      <c r="K86">
        <v>23.299307249999998</v>
      </c>
      <c r="L86">
        <v>-1.1561188662810049</v>
      </c>
      <c r="M86">
        <v>-1.7496921877829279</v>
      </c>
      <c r="N86">
        <v>-0.73868825879845201</v>
      </c>
      <c r="O86">
        <v>-0.55794716399304545</v>
      </c>
    </row>
    <row r="87" spans="1:15" x14ac:dyDescent="0.25">
      <c r="A87">
        <v>-170.22029875000001</v>
      </c>
      <c r="B87">
        <v>-193.68787775000001</v>
      </c>
      <c r="C87">
        <v>213.16467650000001</v>
      </c>
      <c r="D87">
        <v>302.34033199999999</v>
      </c>
      <c r="E87">
        <v>105.70429575</v>
      </c>
      <c r="F87">
        <v>6.3341052500000004</v>
      </c>
      <c r="G87">
        <v>335.91195699999997</v>
      </c>
      <c r="H87">
        <v>-32</v>
      </c>
      <c r="I87">
        <v>20</v>
      </c>
      <c r="J87">
        <v>1.18</v>
      </c>
      <c r="K87">
        <v>23.634848999999999</v>
      </c>
      <c r="L87">
        <v>-1.3327912992463991</v>
      </c>
      <c r="M87">
        <v>-1.7244120135810499</v>
      </c>
      <c r="N87">
        <v>-0.80031247830022034</v>
      </c>
      <c r="O87">
        <v>-0.65456433706301786</v>
      </c>
    </row>
    <row r="88" spans="1:15" x14ac:dyDescent="0.25">
      <c r="A88">
        <v>-216.91032425</v>
      </c>
      <c r="B88">
        <v>-230.43214424999999</v>
      </c>
      <c r="C88">
        <v>226.08375175</v>
      </c>
      <c r="D88">
        <v>288.58572375</v>
      </c>
      <c r="E88">
        <v>72.392268999999999</v>
      </c>
      <c r="F88">
        <v>6.2854012499999996</v>
      </c>
      <c r="G88">
        <v>338.47393049999999</v>
      </c>
      <c r="H88">
        <v>-32</v>
      </c>
      <c r="I88">
        <v>24</v>
      </c>
      <c r="J88">
        <v>1.18</v>
      </c>
      <c r="K88">
        <v>23.728206749999998</v>
      </c>
      <c r="L88">
        <v>-1.49628307884874</v>
      </c>
      <c r="M88">
        <v>-1.7530521608508149</v>
      </c>
      <c r="N88">
        <v>-0.89872329794761185</v>
      </c>
      <c r="O88">
        <v>-0.77671093819516224</v>
      </c>
    </row>
    <row r="89" spans="1:15" x14ac:dyDescent="0.25">
      <c r="A89">
        <v>-236.830208</v>
      </c>
      <c r="B89">
        <v>-243.67662799999999</v>
      </c>
      <c r="C89">
        <v>213.25521449999999</v>
      </c>
      <c r="D89">
        <v>245.78870025000001</v>
      </c>
      <c r="E89">
        <v>27.141565750000002</v>
      </c>
      <c r="F89">
        <v>5.6519842499999999</v>
      </c>
      <c r="G89">
        <v>308.45335399999999</v>
      </c>
      <c r="H89">
        <v>-32</v>
      </c>
      <c r="I89">
        <v>28</v>
      </c>
      <c r="J89">
        <v>1.18</v>
      </c>
      <c r="K89">
        <v>22.654356249999999</v>
      </c>
      <c r="L89">
        <v>-1.6832344981699749</v>
      </c>
      <c r="M89">
        <v>-1.83051364103005</v>
      </c>
      <c r="N89">
        <v>-1.0520840991236531</v>
      </c>
      <c r="O89">
        <v>-0.91964802192681649</v>
      </c>
    </row>
    <row r="90" spans="1:15" x14ac:dyDescent="0.25">
      <c r="A90">
        <v>-256.75007649999998</v>
      </c>
      <c r="B90">
        <v>-261.20332324999998</v>
      </c>
      <c r="C90">
        <v>200.11027150000001</v>
      </c>
      <c r="D90">
        <v>208.55462249999999</v>
      </c>
      <c r="E90">
        <v>-16.238902</v>
      </c>
      <c r="F90">
        <v>5.2134372500000001</v>
      </c>
      <c r="G90">
        <v>286.11788925000002</v>
      </c>
      <c r="H90">
        <v>-32</v>
      </c>
      <c r="I90">
        <v>32</v>
      </c>
      <c r="J90">
        <v>1.18</v>
      </c>
      <c r="K90">
        <v>21.819901250000001</v>
      </c>
      <c r="L90">
        <v>-1.8821135084030081</v>
      </c>
      <c r="M90">
        <v>-1.9352602427944869</v>
      </c>
      <c r="N90">
        <v>-1.2456126049309291</v>
      </c>
      <c r="O90">
        <v>-1.0883749979478421</v>
      </c>
    </row>
    <row r="91" spans="1:15" x14ac:dyDescent="0.25">
      <c r="A91">
        <v>-273.60536174999999</v>
      </c>
      <c r="B91">
        <v>-279.18669875000001</v>
      </c>
      <c r="C91">
        <v>188.094673</v>
      </c>
      <c r="D91">
        <v>178.24180575</v>
      </c>
      <c r="E91">
        <v>-56.256193000000003</v>
      </c>
      <c r="F91">
        <v>4.7749055</v>
      </c>
      <c r="G91">
        <v>269.26639575000002</v>
      </c>
      <c r="H91">
        <v>-32</v>
      </c>
      <c r="I91">
        <v>36</v>
      </c>
      <c r="J91">
        <v>1.18</v>
      </c>
      <c r="K91">
        <v>21.17285425</v>
      </c>
      <c r="L91">
        <v>-2.0973245119906969</v>
      </c>
      <c r="M91">
        <v>-2.077906544605296</v>
      </c>
      <c r="N91">
        <v>-1.478738719196766</v>
      </c>
      <c r="O91">
        <v>-1.2772435162187801</v>
      </c>
    </row>
    <row r="92" spans="1:15" x14ac:dyDescent="0.25">
      <c r="A92">
        <v>-314.25631700000002</v>
      </c>
      <c r="B92">
        <v>-321.79580650000003</v>
      </c>
      <c r="C92">
        <v>191.48265824999999</v>
      </c>
      <c r="D92">
        <v>160.50089650000001</v>
      </c>
      <c r="E92">
        <v>-105.106728</v>
      </c>
      <c r="F92">
        <v>4.9698010000000004</v>
      </c>
      <c r="G92">
        <v>278.03263099999998</v>
      </c>
      <c r="H92">
        <v>-32</v>
      </c>
      <c r="I92">
        <v>40</v>
      </c>
      <c r="J92">
        <v>1.18</v>
      </c>
      <c r="K92">
        <v>21.513195</v>
      </c>
      <c r="L92">
        <v>-2.3754338456861981</v>
      </c>
      <c r="M92">
        <v>-2.2653225546642148</v>
      </c>
      <c r="N92">
        <v>-1.7996927839025929</v>
      </c>
      <c r="O92">
        <v>-1.517069363398607</v>
      </c>
    </row>
    <row r="93" spans="1:15" x14ac:dyDescent="0.25">
      <c r="A93">
        <v>-362.31959525000002</v>
      </c>
      <c r="B93">
        <v>-377.46347824999998</v>
      </c>
      <c r="C93">
        <v>196.49679950000001</v>
      </c>
      <c r="D93">
        <v>144.68742</v>
      </c>
      <c r="E93">
        <v>-164.262722</v>
      </c>
      <c r="F93">
        <v>5.50579325</v>
      </c>
      <c r="G93">
        <v>294.52423099999999</v>
      </c>
      <c r="H93">
        <v>-32</v>
      </c>
      <c r="I93">
        <v>44</v>
      </c>
      <c r="J93">
        <v>1.18</v>
      </c>
      <c r="K93">
        <v>22.132807</v>
      </c>
      <c r="L93">
        <v>-2.7180028354561681</v>
      </c>
      <c r="M93">
        <v>-2.5396457705164099</v>
      </c>
      <c r="N93">
        <v>-2.2316303590872879</v>
      </c>
      <c r="O93">
        <v>-1.8258806374509979</v>
      </c>
    </row>
    <row r="94" spans="1:15" x14ac:dyDescent="0.25">
      <c r="A94">
        <v>222.26517125000001</v>
      </c>
      <c r="B94">
        <v>-367.14620200000002</v>
      </c>
      <c r="C94">
        <v>-353.92566675</v>
      </c>
      <c r="D94">
        <v>167.68513100000001</v>
      </c>
      <c r="E94">
        <v>-43.541670000000003</v>
      </c>
      <c r="F94">
        <v>5.7981375000000002</v>
      </c>
      <c r="G94">
        <v>314.65827925000002</v>
      </c>
      <c r="H94">
        <v>-28</v>
      </c>
      <c r="I94">
        <v>-44</v>
      </c>
      <c r="J94">
        <v>1.18</v>
      </c>
      <c r="K94">
        <v>22.8799335</v>
      </c>
      <c r="L94">
        <v>1.8176856401304251</v>
      </c>
      <c r="M94">
        <v>-1.687207874479689</v>
      </c>
      <c r="N94">
        <v>-1.130012936468777</v>
      </c>
      <c r="O94">
        <v>-1.1556575207645541</v>
      </c>
    </row>
    <row r="95" spans="1:15" x14ac:dyDescent="0.25">
      <c r="A95">
        <v>234.07721699999999</v>
      </c>
      <c r="B95">
        <v>-338.88301825000002</v>
      </c>
      <c r="C95">
        <v>-330.51108575000001</v>
      </c>
      <c r="D95">
        <v>200.976776</v>
      </c>
      <c r="E95">
        <v>0.49197550000000001</v>
      </c>
      <c r="F95">
        <v>6.0905205000000002</v>
      </c>
      <c r="G95">
        <v>325.2256165</v>
      </c>
      <c r="H95">
        <v>-28</v>
      </c>
      <c r="I95">
        <v>-40</v>
      </c>
      <c r="J95">
        <v>1.18</v>
      </c>
      <c r="K95">
        <v>23.257398250000001</v>
      </c>
      <c r="L95">
        <v>1.6843778805463421</v>
      </c>
      <c r="M95">
        <v>-1.6106139276965561</v>
      </c>
      <c r="N95">
        <v>-0.96880982578083163</v>
      </c>
      <c r="O95">
        <v>-1.016694799328316</v>
      </c>
    </row>
    <row r="96" spans="1:15" x14ac:dyDescent="0.25">
      <c r="A96">
        <v>243.04531075</v>
      </c>
      <c r="B96">
        <v>-303.85756674999999</v>
      </c>
      <c r="C96">
        <v>-301.23157500000002</v>
      </c>
      <c r="D96">
        <v>231.15841275</v>
      </c>
      <c r="E96">
        <v>43.272277750000001</v>
      </c>
      <c r="F96">
        <v>6.0905110000000002</v>
      </c>
      <c r="G96">
        <v>335.11255675000001</v>
      </c>
      <c r="H96">
        <v>-28</v>
      </c>
      <c r="I96">
        <v>-36</v>
      </c>
      <c r="J96">
        <v>1.18</v>
      </c>
      <c r="K96">
        <v>23.614915</v>
      </c>
      <c r="L96">
        <v>1.573886872385585</v>
      </c>
      <c r="M96">
        <v>-1.547104743821885</v>
      </c>
      <c r="N96">
        <v>-0.8439175628912492</v>
      </c>
      <c r="O96">
        <v>-0.89247755057309952</v>
      </c>
    </row>
    <row r="97" spans="1:15" x14ac:dyDescent="0.25">
      <c r="A97">
        <v>242.79021075</v>
      </c>
      <c r="B97">
        <v>-259.66796900000003</v>
      </c>
      <c r="C97">
        <v>-249.7104645</v>
      </c>
      <c r="D97">
        <v>257.44149399999998</v>
      </c>
      <c r="E97">
        <v>84.309404499999999</v>
      </c>
      <c r="F97">
        <v>6.4803220000000001</v>
      </c>
      <c r="G97">
        <v>338.53634625000001</v>
      </c>
      <c r="H97">
        <v>-28</v>
      </c>
      <c r="I97">
        <v>-32</v>
      </c>
      <c r="J97">
        <v>1.18</v>
      </c>
      <c r="K97">
        <v>23.723489749999999</v>
      </c>
      <c r="L97">
        <v>1.4528078740299839</v>
      </c>
      <c r="M97">
        <v>-1.5254230741549739</v>
      </c>
      <c r="N97">
        <v>-0.74995527797072481</v>
      </c>
      <c r="O97">
        <v>-0.7704199257648876</v>
      </c>
    </row>
    <row r="98" spans="1:15" x14ac:dyDescent="0.25">
      <c r="A98">
        <v>220.18723650000001</v>
      </c>
      <c r="B98">
        <v>-197.29391874999999</v>
      </c>
      <c r="C98">
        <v>-175.63195425000001</v>
      </c>
      <c r="D98">
        <v>258.05481724999999</v>
      </c>
      <c r="E98">
        <v>109.25354775</v>
      </c>
      <c r="F98">
        <v>5.9930785000000002</v>
      </c>
      <c r="G98">
        <v>314.22540275</v>
      </c>
      <c r="H98">
        <v>-28</v>
      </c>
      <c r="I98">
        <v>-28</v>
      </c>
      <c r="J98">
        <v>1.18</v>
      </c>
      <c r="K98">
        <v>22.856656000000001</v>
      </c>
      <c r="L98">
        <v>1.3385088204975519</v>
      </c>
      <c r="M98">
        <v>-1.5398182439358321</v>
      </c>
      <c r="N98">
        <v>-0.69313765324770837</v>
      </c>
      <c r="O98">
        <v>-0.65081098490890121</v>
      </c>
    </row>
    <row r="99" spans="1:15" x14ac:dyDescent="0.25">
      <c r="A99">
        <v>197.25819375</v>
      </c>
      <c r="B99">
        <v>-148.69013175000001</v>
      </c>
      <c r="C99">
        <v>-113.373516</v>
      </c>
      <c r="D99">
        <v>257.13485700000001</v>
      </c>
      <c r="E99">
        <v>128.537092</v>
      </c>
      <c r="F99">
        <v>5.5058280000000002</v>
      </c>
      <c r="G99">
        <v>294.43347925</v>
      </c>
      <c r="H99">
        <v>-28</v>
      </c>
      <c r="I99">
        <v>-24</v>
      </c>
      <c r="J99">
        <v>1.18</v>
      </c>
      <c r="K99">
        <v>22.129325000000001</v>
      </c>
      <c r="L99">
        <v>1.196728489128754</v>
      </c>
      <c r="M99">
        <v>-1.5634612412017279</v>
      </c>
      <c r="N99">
        <v>-0.63913242387012692</v>
      </c>
      <c r="O99">
        <v>-0.52602313986945237</v>
      </c>
    </row>
    <row r="100" spans="1:15" x14ac:dyDescent="0.25">
      <c r="A100">
        <v>172.55609150000001</v>
      </c>
      <c r="B100">
        <v>-116.07179625000001</v>
      </c>
      <c r="C100">
        <v>-66.454107499999992</v>
      </c>
      <c r="D100">
        <v>252.75457775000001</v>
      </c>
      <c r="E100">
        <v>138.319309</v>
      </c>
      <c r="F100">
        <v>4.9698630000000001</v>
      </c>
      <c r="G100">
        <v>276.59255975000002</v>
      </c>
      <c r="H100">
        <v>-28</v>
      </c>
      <c r="I100">
        <v>-20</v>
      </c>
      <c r="J100">
        <v>1.18</v>
      </c>
      <c r="K100">
        <v>21.456395000000001</v>
      </c>
      <c r="L100">
        <v>1.0410521588785819</v>
      </c>
      <c r="M100">
        <v>-1.6065088611117271</v>
      </c>
      <c r="N100">
        <v>-0.60228555967393893</v>
      </c>
      <c r="O100">
        <v>-0.41915429707383339</v>
      </c>
    </row>
    <row r="101" spans="1:15" x14ac:dyDescent="0.25">
      <c r="A101">
        <v>153.86490624999999</v>
      </c>
      <c r="B101">
        <v>-99.284482999999994</v>
      </c>
      <c r="C101">
        <v>-26.707967</v>
      </c>
      <c r="D101">
        <v>255.68964</v>
      </c>
      <c r="E101">
        <v>150.54364774999999</v>
      </c>
      <c r="F101">
        <v>4.8240262500000002</v>
      </c>
      <c r="G101">
        <v>270.70845800000001</v>
      </c>
      <c r="H101">
        <v>-28</v>
      </c>
      <c r="I101">
        <v>-16</v>
      </c>
      <c r="J101">
        <v>1.18</v>
      </c>
      <c r="K101">
        <v>21.22853125</v>
      </c>
      <c r="L101">
        <v>0.84560657246339077</v>
      </c>
      <c r="M101">
        <v>-1.66233243803435</v>
      </c>
      <c r="N101">
        <v>-0.56272355959083054</v>
      </c>
      <c r="O101">
        <v>-0.31759040243415482</v>
      </c>
    </row>
    <row r="102" spans="1:15" x14ac:dyDescent="0.25">
      <c r="A102">
        <v>146.27999500000001</v>
      </c>
      <c r="B102">
        <v>-97.090660249999999</v>
      </c>
      <c r="C102">
        <v>8.4471489999999996</v>
      </c>
      <c r="D102">
        <v>278.73111725000001</v>
      </c>
      <c r="E102">
        <v>172.105816</v>
      </c>
      <c r="F102">
        <v>5.1167204999999996</v>
      </c>
      <c r="G102">
        <v>289.84193425000001</v>
      </c>
      <c r="H102">
        <v>-28</v>
      </c>
      <c r="I102">
        <v>-12</v>
      </c>
      <c r="J102">
        <v>1.18</v>
      </c>
      <c r="K102">
        <v>21.967797999999998</v>
      </c>
      <c r="L102">
        <v>0.63686303581322679</v>
      </c>
      <c r="M102">
        <v>-1.73647318868748</v>
      </c>
      <c r="N102">
        <v>-0.54400356068963063</v>
      </c>
      <c r="O102">
        <v>-0.22843153418255549</v>
      </c>
    </row>
    <row r="103" spans="1:15" x14ac:dyDescent="0.25">
      <c r="A103">
        <v>130.47809225</v>
      </c>
      <c r="B103">
        <v>-100.87504025</v>
      </c>
      <c r="C103">
        <v>43.952249500000001</v>
      </c>
      <c r="D103">
        <v>299.36318975</v>
      </c>
      <c r="E103">
        <v>188.38197324999999</v>
      </c>
      <c r="F103">
        <v>5.5560879999999999</v>
      </c>
      <c r="G103">
        <v>307.53425600000003</v>
      </c>
      <c r="H103">
        <v>-28</v>
      </c>
      <c r="I103">
        <v>-8</v>
      </c>
      <c r="J103">
        <v>1.18</v>
      </c>
      <c r="K103">
        <v>22.623583</v>
      </c>
      <c r="L103">
        <v>0.39904043954780383</v>
      </c>
      <c r="M103">
        <v>-1.845738951716215</v>
      </c>
      <c r="N103">
        <v>-0.54948804176962929</v>
      </c>
      <c r="O103">
        <v>-0.15687934477217741</v>
      </c>
    </row>
    <row r="104" spans="1:15" x14ac:dyDescent="0.25">
      <c r="A104">
        <v>106.23361199999999</v>
      </c>
      <c r="B104">
        <v>-106.6191425</v>
      </c>
      <c r="C104">
        <v>81.670760749999999</v>
      </c>
      <c r="D104">
        <v>318.024269</v>
      </c>
      <c r="E104">
        <v>201.39386775</v>
      </c>
      <c r="F104">
        <v>5.9460119999999996</v>
      </c>
      <c r="G104">
        <v>324.38619225000002</v>
      </c>
      <c r="H104">
        <v>-28</v>
      </c>
      <c r="I104">
        <v>-4</v>
      </c>
      <c r="J104">
        <v>1.18</v>
      </c>
      <c r="K104">
        <v>23.2320615</v>
      </c>
      <c r="L104">
        <v>0.1148424025506571</v>
      </c>
      <c r="M104">
        <v>-1.9855325957019769</v>
      </c>
      <c r="N104">
        <v>-0.57507464535817676</v>
      </c>
      <c r="O104">
        <v>-8.6118584359320044E-2</v>
      </c>
    </row>
    <row r="105" spans="1:15" x14ac:dyDescent="0.25">
      <c r="A105">
        <v>78.512750750000009</v>
      </c>
      <c r="B105">
        <v>-107.66720775</v>
      </c>
      <c r="C105">
        <v>120.47336749999999</v>
      </c>
      <c r="D105">
        <v>328.49385074999998</v>
      </c>
      <c r="E105">
        <v>211.58895874999999</v>
      </c>
      <c r="F105">
        <v>6.0434782499999997</v>
      </c>
      <c r="G105">
        <v>335.55397025000002</v>
      </c>
      <c r="H105">
        <v>-28</v>
      </c>
      <c r="I105">
        <v>0</v>
      </c>
      <c r="J105">
        <v>1.18</v>
      </c>
      <c r="K105">
        <v>23.63243975</v>
      </c>
      <c r="L105">
        <v>-0.1855231244756943</v>
      </c>
      <c r="M105">
        <v>-1.928509281887014</v>
      </c>
      <c r="N105">
        <v>-0.54811966250714983</v>
      </c>
      <c r="O105">
        <v>-9.1170902658783248E-2</v>
      </c>
    </row>
    <row r="106" spans="1:15" x14ac:dyDescent="0.25">
      <c r="A106">
        <v>40.317369499999998</v>
      </c>
      <c r="B106">
        <v>-111.1217595</v>
      </c>
      <c r="C106">
        <v>156.47550974999999</v>
      </c>
      <c r="D106">
        <v>334.01345850000001</v>
      </c>
      <c r="E106">
        <v>214.27169000000001</v>
      </c>
      <c r="F106">
        <v>6.2871984999999997</v>
      </c>
      <c r="G106">
        <v>342.35912324999998</v>
      </c>
      <c r="H106">
        <v>-28</v>
      </c>
      <c r="I106">
        <v>4</v>
      </c>
      <c r="J106">
        <v>1.18</v>
      </c>
      <c r="K106">
        <v>23.8665445</v>
      </c>
      <c r="L106">
        <v>-0.46523738351436539</v>
      </c>
      <c r="M106">
        <v>-1.782877079178502</v>
      </c>
      <c r="N106">
        <v>-0.51302522084698143</v>
      </c>
      <c r="O106">
        <v>-0.16697872699279889</v>
      </c>
    </row>
    <row r="107" spans="1:15" x14ac:dyDescent="0.25">
      <c r="A107">
        <v>3.43129025</v>
      </c>
      <c r="B107">
        <v>-100.3062245</v>
      </c>
      <c r="C107">
        <v>168.40088274999999</v>
      </c>
      <c r="D107">
        <v>299.62107824999998</v>
      </c>
      <c r="E107">
        <v>189.90255375000001</v>
      </c>
      <c r="F107">
        <v>5.7998279999999998</v>
      </c>
      <c r="G107">
        <v>311.29733275000001</v>
      </c>
      <c r="H107">
        <v>-28</v>
      </c>
      <c r="I107">
        <v>8</v>
      </c>
      <c r="J107">
        <v>1.18</v>
      </c>
      <c r="K107">
        <v>22.75502925</v>
      </c>
      <c r="L107">
        <v>-0.69216049000644997</v>
      </c>
      <c r="M107">
        <v>-1.6779724509876199</v>
      </c>
      <c r="N107">
        <v>-0.50933103450488004</v>
      </c>
      <c r="O107">
        <v>-0.22754503868596321</v>
      </c>
    </row>
    <row r="108" spans="1:15" x14ac:dyDescent="0.25">
      <c r="A108">
        <v>-30.052222</v>
      </c>
      <c r="B108">
        <v>-94.869854000000004</v>
      </c>
      <c r="C108">
        <v>174.40892775</v>
      </c>
      <c r="D108">
        <v>270.399292</v>
      </c>
      <c r="E108">
        <v>165.48850250000001</v>
      </c>
      <c r="F108">
        <v>5.3124760000000002</v>
      </c>
      <c r="G108">
        <v>286.52020275000001</v>
      </c>
      <c r="H108">
        <v>-28</v>
      </c>
      <c r="I108">
        <v>12</v>
      </c>
      <c r="J108">
        <v>1.18</v>
      </c>
      <c r="K108">
        <v>21.831678499999999</v>
      </c>
      <c r="L108">
        <v>-0.89695501499565888</v>
      </c>
      <c r="M108">
        <v>-1.6024167937038409</v>
      </c>
      <c r="N108">
        <v>-0.53096122078214159</v>
      </c>
      <c r="O108">
        <v>-0.29731626608862372</v>
      </c>
    </row>
    <row r="109" spans="1:15" x14ac:dyDescent="0.25">
      <c r="A109">
        <v>-61.27589425</v>
      </c>
      <c r="B109">
        <v>-92.908779250000009</v>
      </c>
      <c r="C109">
        <v>179.87469100000001</v>
      </c>
      <c r="D109">
        <v>246.187645</v>
      </c>
      <c r="E109">
        <v>140.67197024999999</v>
      </c>
      <c r="F109">
        <v>4.7763485000000001</v>
      </c>
      <c r="G109">
        <v>268.98801400000002</v>
      </c>
      <c r="H109">
        <v>-28</v>
      </c>
      <c r="I109">
        <v>16</v>
      </c>
      <c r="J109">
        <v>1.18</v>
      </c>
      <c r="K109">
        <v>21.161647500000001</v>
      </c>
      <c r="L109">
        <v>-1.1073959402321421</v>
      </c>
      <c r="M109">
        <v>-1.5571709372358229</v>
      </c>
      <c r="N109">
        <v>-0.58924800872713112</v>
      </c>
      <c r="O109">
        <v>-0.37594996822419419</v>
      </c>
    </row>
    <row r="110" spans="1:15" x14ac:dyDescent="0.25">
      <c r="A110">
        <v>-100.33927724999999</v>
      </c>
      <c r="B110">
        <v>-114.29637925</v>
      </c>
      <c r="C110">
        <v>199.75040075000001</v>
      </c>
      <c r="D110">
        <v>245.0642775</v>
      </c>
      <c r="E110">
        <v>121.62356749999999</v>
      </c>
      <c r="F110">
        <v>5.020016</v>
      </c>
      <c r="G110">
        <v>279.6354675</v>
      </c>
      <c r="H110">
        <v>-28</v>
      </c>
      <c r="I110">
        <v>20</v>
      </c>
      <c r="J110">
        <v>1.18</v>
      </c>
      <c r="K110">
        <v>21.574269999999999</v>
      </c>
      <c r="L110">
        <v>-1.3107822836950349</v>
      </c>
      <c r="M110">
        <v>-1.569671042428241</v>
      </c>
      <c r="N110">
        <v>-0.69020236345211972</v>
      </c>
      <c r="O110">
        <v>-0.49069432468418261</v>
      </c>
    </row>
    <row r="111" spans="1:15" x14ac:dyDescent="0.25">
      <c r="A111">
        <v>-141.65543725000001</v>
      </c>
      <c r="B111">
        <v>-151.04115675</v>
      </c>
      <c r="C111">
        <v>220.71031550000001</v>
      </c>
      <c r="D111">
        <v>244.49472825000001</v>
      </c>
      <c r="E111">
        <v>97.746080250000006</v>
      </c>
      <c r="F111">
        <v>5.263706</v>
      </c>
      <c r="G111">
        <v>294.64618675000003</v>
      </c>
      <c r="H111">
        <v>-28</v>
      </c>
      <c r="I111">
        <v>24</v>
      </c>
      <c r="J111">
        <v>1.18</v>
      </c>
      <c r="K111">
        <v>22.146739499999999</v>
      </c>
      <c r="L111">
        <v>-1.4845301812386431</v>
      </c>
      <c r="M111">
        <v>-1.6204185298268881</v>
      </c>
      <c r="N111">
        <v>-0.80665668926787371</v>
      </c>
      <c r="O111">
        <v>-0.62111159962593698</v>
      </c>
    </row>
    <row r="112" spans="1:15" x14ac:dyDescent="0.25">
      <c r="A112">
        <v>-191.7700385</v>
      </c>
      <c r="B112">
        <v>-201.75606149999999</v>
      </c>
      <c r="C112">
        <v>237.33361049999999</v>
      </c>
      <c r="D112">
        <v>237.74715</v>
      </c>
      <c r="E112">
        <v>61.795555</v>
      </c>
      <c r="F112">
        <v>5.6048567499999997</v>
      </c>
      <c r="G112">
        <v>309.09643549999998</v>
      </c>
      <c r="H112">
        <v>-28</v>
      </c>
      <c r="I112">
        <v>28</v>
      </c>
      <c r="J112">
        <v>1.18</v>
      </c>
      <c r="K112">
        <v>22.680216250000001</v>
      </c>
      <c r="L112">
        <v>-1.659600744597497</v>
      </c>
      <c r="M112">
        <v>-1.699843200804994</v>
      </c>
      <c r="N112">
        <v>-0.95647807168807308</v>
      </c>
      <c r="O112">
        <v>-0.7826772588908627</v>
      </c>
    </row>
    <row r="113" spans="1:15" x14ac:dyDescent="0.25">
      <c r="A113">
        <v>-244.05424500000001</v>
      </c>
      <c r="B113">
        <v>-254.63006225000001</v>
      </c>
      <c r="C113">
        <v>251.24672674999999</v>
      </c>
      <c r="D113">
        <v>224.79292275</v>
      </c>
      <c r="E113">
        <v>16.141976499999998</v>
      </c>
      <c r="F113">
        <v>5.6535787499999994</v>
      </c>
      <c r="G113">
        <v>321.70535274999997</v>
      </c>
      <c r="H113">
        <v>-28</v>
      </c>
      <c r="I113">
        <v>32</v>
      </c>
      <c r="J113">
        <v>1.18</v>
      </c>
      <c r="K113">
        <v>23.1447805</v>
      </c>
      <c r="L113">
        <v>-1.865646446979357</v>
      </c>
      <c r="M113">
        <v>-1.8058423704894291</v>
      </c>
      <c r="N113">
        <v>-1.15097469499438</v>
      </c>
      <c r="O113">
        <v>-0.96049154892516642</v>
      </c>
    </row>
    <row r="114" spans="1:15" x14ac:dyDescent="0.25">
      <c r="A114">
        <v>-296.91773975000001</v>
      </c>
      <c r="B114">
        <v>-311.55605300000002</v>
      </c>
      <c r="C114">
        <v>258.56465924999998</v>
      </c>
      <c r="D114">
        <v>205.69147475</v>
      </c>
      <c r="E114">
        <v>-40.463417999999997</v>
      </c>
      <c r="F114">
        <v>6.1409805000000004</v>
      </c>
      <c r="G114">
        <v>331.75239549999998</v>
      </c>
      <c r="H114">
        <v>-28</v>
      </c>
      <c r="I114">
        <v>36</v>
      </c>
      <c r="J114">
        <v>1.18</v>
      </c>
      <c r="K114">
        <v>23.492201250000001</v>
      </c>
      <c r="L114">
        <v>-2.1059606938571611</v>
      </c>
      <c r="M114">
        <v>-1.9610124700422391</v>
      </c>
      <c r="N114">
        <v>-1.411203864162031</v>
      </c>
      <c r="O114">
        <v>-1.176717436699602</v>
      </c>
    </row>
    <row r="115" spans="1:15" x14ac:dyDescent="0.25">
      <c r="A115">
        <v>-349.67894725000002</v>
      </c>
      <c r="B115">
        <v>-369.61962875</v>
      </c>
      <c r="C115">
        <v>264.25645424999999</v>
      </c>
      <c r="D115">
        <v>183.33633800000001</v>
      </c>
      <c r="E115">
        <v>-103.58991075</v>
      </c>
      <c r="F115">
        <v>6.2384767500000002</v>
      </c>
      <c r="G115">
        <v>342.56006624999998</v>
      </c>
      <c r="H115">
        <v>-28</v>
      </c>
      <c r="I115">
        <v>40</v>
      </c>
      <c r="J115">
        <v>1.18</v>
      </c>
      <c r="K115">
        <v>23.875432499999999</v>
      </c>
      <c r="L115">
        <v>-2.3976378856954099</v>
      </c>
      <c r="M115">
        <v>-2.1594896700552262</v>
      </c>
      <c r="N115">
        <v>-1.742380243598586</v>
      </c>
      <c r="O115">
        <v>-1.4289141454371881</v>
      </c>
    </row>
    <row r="116" spans="1:15" x14ac:dyDescent="0.25">
      <c r="A116">
        <v>-358.78311150000002</v>
      </c>
      <c r="B116">
        <v>-381.97441874999998</v>
      </c>
      <c r="C116">
        <v>236.74669274999999</v>
      </c>
      <c r="D116">
        <v>139.47586050000001</v>
      </c>
      <c r="E116">
        <v>-157.12475225</v>
      </c>
      <c r="F116">
        <v>5.7023567499999999</v>
      </c>
      <c r="G116">
        <v>316.66209425</v>
      </c>
      <c r="H116">
        <v>-28</v>
      </c>
      <c r="I116">
        <v>44</v>
      </c>
      <c r="J116">
        <v>1.18</v>
      </c>
      <c r="K116">
        <v>22.9575435</v>
      </c>
      <c r="L116">
        <v>-2.792788338731329</v>
      </c>
      <c r="M116">
        <v>-2.445388135512836</v>
      </c>
      <c r="N116">
        <v>-2.2219254115795328</v>
      </c>
      <c r="O116">
        <v>-1.7636397632024059</v>
      </c>
    </row>
    <row r="117" spans="1:15" x14ac:dyDescent="0.25">
      <c r="A117">
        <v>225.38061149999999</v>
      </c>
      <c r="B117">
        <v>-311.4292145</v>
      </c>
      <c r="C117">
        <v>-301.95341500000001</v>
      </c>
      <c r="D117">
        <v>135.445751</v>
      </c>
      <c r="E117">
        <v>-25.830558750000002</v>
      </c>
      <c r="F117">
        <v>5.1175174999999999</v>
      </c>
      <c r="G117">
        <v>286.72135950000001</v>
      </c>
      <c r="H117">
        <v>-24</v>
      </c>
      <c r="I117">
        <v>-44</v>
      </c>
      <c r="J117">
        <v>1.18</v>
      </c>
      <c r="K117">
        <v>21.847057750000001</v>
      </c>
      <c r="L117">
        <v>1.8775894504833841</v>
      </c>
      <c r="M117">
        <v>-1.59109778991708</v>
      </c>
      <c r="N117">
        <v>-1.1128550881963959</v>
      </c>
      <c r="O117">
        <v>-1.1101996471157389</v>
      </c>
    </row>
    <row r="118" spans="1:15" x14ac:dyDescent="0.25">
      <c r="A118">
        <v>214.40980124999999</v>
      </c>
      <c r="B118">
        <v>-245.42100925</v>
      </c>
      <c r="C118">
        <v>-244.97341549999999</v>
      </c>
      <c r="D118">
        <v>150.471058</v>
      </c>
      <c r="E118">
        <v>18.154135749999998</v>
      </c>
      <c r="F118">
        <v>4.63015475</v>
      </c>
      <c r="G118">
        <v>267.66797624999998</v>
      </c>
      <c r="H118">
        <v>-24</v>
      </c>
      <c r="I118">
        <v>-40</v>
      </c>
      <c r="J118">
        <v>1.18</v>
      </c>
      <c r="K118">
        <v>21.114561999999999</v>
      </c>
      <c r="L118">
        <v>1.744377966931101</v>
      </c>
      <c r="M118">
        <v>-1.503275631611003</v>
      </c>
      <c r="N118">
        <v>-0.9474551534572897</v>
      </c>
      <c r="O118">
        <v>-0.94864441514805709</v>
      </c>
    </row>
    <row r="119" spans="1:15" x14ac:dyDescent="0.25">
      <c r="A119">
        <v>225.29051974999999</v>
      </c>
      <c r="B119">
        <v>-209.79777525</v>
      </c>
      <c r="C119">
        <v>-218.94216900000001</v>
      </c>
      <c r="D119">
        <v>181.266201</v>
      </c>
      <c r="E119">
        <v>60.007136500000001</v>
      </c>
      <c r="F119">
        <v>5.0200487499999999</v>
      </c>
      <c r="G119">
        <v>280.51708975000003</v>
      </c>
      <c r="H119">
        <v>-24</v>
      </c>
      <c r="I119">
        <v>-36</v>
      </c>
      <c r="J119">
        <v>1.18</v>
      </c>
      <c r="K119">
        <v>21.608846750000001</v>
      </c>
      <c r="L119">
        <v>1.6190602079489791</v>
      </c>
      <c r="M119">
        <v>-1.425277553295794</v>
      </c>
      <c r="N119">
        <v>-0.80367687121781617</v>
      </c>
      <c r="O119">
        <v>-0.79959354218226875</v>
      </c>
    </row>
    <row r="120" spans="1:15" x14ac:dyDescent="0.25">
      <c r="A120">
        <v>237.11965574999999</v>
      </c>
      <c r="B120">
        <v>-176.13472375000001</v>
      </c>
      <c r="C120">
        <v>-189.25662224999999</v>
      </c>
      <c r="D120">
        <v>213.68222424999999</v>
      </c>
      <c r="E120">
        <v>102.35200125</v>
      </c>
      <c r="F120">
        <v>5.1662710000000001</v>
      </c>
      <c r="G120">
        <v>297.92958099999998</v>
      </c>
      <c r="H120">
        <v>-24</v>
      </c>
      <c r="I120">
        <v>-32</v>
      </c>
      <c r="J120">
        <v>1.18</v>
      </c>
      <c r="K120">
        <v>22.2757285</v>
      </c>
      <c r="L120">
        <v>1.4958073660829609</v>
      </c>
      <c r="M120">
        <v>-1.3675399632726859</v>
      </c>
      <c r="N120">
        <v>-0.68612180287115854</v>
      </c>
      <c r="O120">
        <v>-0.65904822400951635</v>
      </c>
    </row>
    <row r="121" spans="1:15" x14ac:dyDescent="0.25">
      <c r="A121">
        <v>243.03383625000001</v>
      </c>
      <c r="B121">
        <v>-144.82412325000001</v>
      </c>
      <c r="C121">
        <v>-140.80331799999999</v>
      </c>
      <c r="D121">
        <v>243.07549675000001</v>
      </c>
      <c r="E121">
        <v>141.43279649999999</v>
      </c>
      <c r="F121">
        <v>5.5074315</v>
      </c>
      <c r="G121">
        <v>311.69918074999998</v>
      </c>
      <c r="H121">
        <v>-24</v>
      </c>
      <c r="I121">
        <v>-28</v>
      </c>
      <c r="J121">
        <v>1.18</v>
      </c>
      <c r="K121">
        <v>22.78088125</v>
      </c>
      <c r="L121">
        <v>1.3503706810342491</v>
      </c>
      <c r="M121">
        <v>-1.3646479511524341</v>
      </c>
      <c r="N121">
        <v>-0.59900476624464938</v>
      </c>
      <c r="O121">
        <v>-0.521791209134292</v>
      </c>
    </row>
    <row r="122" spans="1:15" x14ac:dyDescent="0.25">
      <c r="A122">
        <v>241.77001949999999</v>
      </c>
      <c r="B122">
        <v>-116.02390475</v>
      </c>
      <c r="C122">
        <v>-80.575042999999994</v>
      </c>
      <c r="D122">
        <v>270.32267775000003</v>
      </c>
      <c r="E122">
        <v>178.0987475</v>
      </c>
      <c r="F122">
        <v>5.7023817499999998</v>
      </c>
      <c r="G122">
        <v>323.30761725000002</v>
      </c>
      <c r="H122">
        <v>-24</v>
      </c>
      <c r="I122">
        <v>-24</v>
      </c>
      <c r="J122">
        <v>1.18</v>
      </c>
      <c r="K122">
        <v>23.201588000000001</v>
      </c>
      <c r="L122">
        <v>1.1662359756288281</v>
      </c>
      <c r="M122">
        <v>-1.397778331032399</v>
      </c>
      <c r="N122">
        <v>-0.52536449039629307</v>
      </c>
      <c r="O122">
        <v>-0.37626720053606688</v>
      </c>
    </row>
    <row r="123" spans="1:15" x14ac:dyDescent="0.25">
      <c r="A123">
        <v>234.54626074999999</v>
      </c>
      <c r="B123">
        <v>-94.204399249999994</v>
      </c>
      <c r="C123">
        <v>-34.242137749999998</v>
      </c>
      <c r="D123">
        <v>295.24774925000003</v>
      </c>
      <c r="E123">
        <v>208.63908000000001</v>
      </c>
      <c r="F123">
        <v>6.0435409999999994</v>
      </c>
      <c r="G123">
        <v>334.9157945</v>
      </c>
      <c r="H123">
        <v>-24</v>
      </c>
      <c r="I123">
        <v>-20</v>
      </c>
      <c r="J123">
        <v>1.18</v>
      </c>
      <c r="K123">
        <v>23.609540750000001</v>
      </c>
      <c r="L123">
        <v>0.98507848371265794</v>
      </c>
      <c r="M123">
        <v>-1.427283077814862</v>
      </c>
      <c r="N123">
        <v>-0.46279652783246361</v>
      </c>
      <c r="O123">
        <v>-0.25751533785757852</v>
      </c>
    </row>
    <row r="124" spans="1:15" x14ac:dyDescent="0.25">
      <c r="A124">
        <v>222.26581200000001</v>
      </c>
      <c r="B124">
        <v>-75.973560500000005</v>
      </c>
      <c r="C124">
        <v>8.3568794999999998</v>
      </c>
      <c r="D124">
        <v>313.64606474999999</v>
      </c>
      <c r="E124">
        <v>232.1143835</v>
      </c>
      <c r="F124">
        <v>6.3359679999999994</v>
      </c>
      <c r="G124">
        <v>343.44178749999998</v>
      </c>
      <c r="H124">
        <v>-24</v>
      </c>
      <c r="I124">
        <v>-16</v>
      </c>
      <c r="J124">
        <v>1.18</v>
      </c>
      <c r="K124">
        <v>23.90325575</v>
      </c>
      <c r="L124">
        <v>0.80440581653059606</v>
      </c>
      <c r="M124">
        <v>-1.4651678421644001</v>
      </c>
      <c r="N124">
        <v>-0.4186596931713702</v>
      </c>
      <c r="O124">
        <v>-0.15095995308460741</v>
      </c>
    </row>
    <row r="125" spans="1:15" x14ac:dyDescent="0.25">
      <c r="A125">
        <v>186.19243599999999</v>
      </c>
      <c r="B125">
        <v>-60.655098750000001</v>
      </c>
      <c r="C125">
        <v>45.081899499999999</v>
      </c>
      <c r="D125">
        <v>297.21923075000001</v>
      </c>
      <c r="E125">
        <v>226.83814225</v>
      </c>
      <c r="F125">
        <v>5.8481595000000004</v>
      </c>
      <c r="G125">
        <v>317.82696549999997</v>
      </c>
      <c r="H125">
        <v>-24</v>
      </c>
      <c r="I125">
        <v>-12</v>
      </c>
      <c r="J125">
        <v>1.18</v>
      </c>
      <c r="K125">
        <v>22.995134</v>
      </c>
      <c r="L125">
        <v>0.6014190430190488</v>
      </c>
      <c r="M125">
        <v>-1.525313966360285</v>
      </c>
      <c r="N125">
        <v>-0.38780770093751421</v>
      </c>
      <c r="O125">
        <v>-5.8111957575260782E-2</v>
      </c>
    </row>
    <row r="126" spans="1:15" x14ac:dyDescent="0.25">
      <c r="A126">
        <v>149.8029555</v>
      </c>
      <c r="B126">
        <v>-53.501459250000003</v>
      </c>
      <c r="C126">
        <v>72.365921</v>
      </c>
      <c r="D126">
        <v>280.31065374999997</v>
      </c>
      <c r="E126">
        <v>217.58223325</v>
      </c>
      <c r="F126">
        <v>5.3120787500000004</v>
      </c>
      <c r="G126">
        <v>295.49972524999998</v>
      </c>
      <c r="H126">
        <v>-24</v>
      </c>
      <c r="I126">
        <v>-8</v>
      </c>
      <c r="J126">
        <v>1.18</v>
      </c>
      <c r="K126">
        <v>22.177508750000001</v>
      </c>
      <c r="L126">
        <v>0.37202986568370983</v>
      </c>
      <c r="M126">
        <v>-1.603711191866269</v>
      </c>
      <c r="N126">
        <v>-0.37433317132632399</v>
      </c>
      <c r="O126">
        <v>1.9791742540002061E-2</v>
      </c>
    </row>
    <row r="127" spans="1:15" x14ac:dyDescent="0.25">
      <c r="A127">
        <v>115.30944650000001</v>
      </c>
      <c r="B127">
        <v>-46.975786249999999</v>
      </c>
      <c r="C127">
        <v>93.235515500000005</v>
      </c>
      <c r="D127">
        <v>260.86106100000001</v>
      </c>
      <c r="E127">
        <v>204.57034325000001</v>
      </c>
      <c r="F127">
        <v>4.97058175</v>
      </c>
      <c r="G127">
        <v>273.48115524999997</v>
      </c>
      <c r="H127">
        <v>-24</v>
      </c>
      <c r="I127">
        <v>-4</v>
      </c>
      <c r="J127">
        <v>1.18</v>
      </c>
      <c r="K127">
        <v>21.333124999999999</v>
      </c>
      <c r="L127">
        <v>0.1216595348303469</v>
      </c>
      <c r="M127">
        <v>-1.6966211371137701</v>
      </c>
      <c r="N127">
        <v>-0.37979683084250182</v>
      </c>
      <c r="O127">
        <v>0.10009603043570491</v>
      </c>
    </row>
    <row r="128" spans="1:15" x14ac:dyDescent="0.25">
      <c r="A128">
        <v>90.297159250000007</v>
      </c>
      <c r="B128">
        <v>-46.732557499999999</v>
      </c>
      <c r="C128">
        <v>120.2484815</v>
      </c>
      <c r="D128">
        <v>262.61341850000002</v>
      </c>
      <c r="E128">
        <v>207.47674175</v>
      </c>
      <c r="F128">
        <v>4.7262734999999996</v>
      </c>
      <c r="G128">
        <v>274.593887</v>
      </c>
      <c r="H128">
        <v>-24</v>
      </c>
      <c r="I128">
        <v>0</v>
      </c>
      <c r="J128">
        <v>1.18</v>
      </c>
      <c r="K128">
        <v>21.3869565</v>
      </c>
      <c r="L128">
        <v>-0.16129327407063501</v>
      </c>
      <c r="M128">
        <v>-1.6659022019165599</v>
      </c>
      <c r="N128">
        <v>-0.36145141416111781</v>
      </c>
      <c r="O128">
        <v>9.1849257918978203E-2</v>
      </c>
    </row>
    <row r="129" spans="1:15" x14ac:dyDescent="0.25">
      <c r="A129">
        <v>67.587396249999998</v>
      </c>
      <c r="B129">
        <v>-49.131556500000002</v>
      </c>
      <c r="C129">
        <v>153.31471625</v>
      </c>
      <c r="D129">
        <v>277.15666950000002</v>
      </c>
      <c r="E129">
        <v>218.0296515</v>
      </c>
      <c r="F129">
        <v>5.2135385000000003</v>
      </c>
      <c r="G129">
        <v>292.14923075000002</v>
      </c>
      <c r="H129">
        <v>-24</v>
      </c>
      <c r="I129">
        <v>4</v>
      </c>
      <c r="J129">
        <v>1.18</v>
      </c>
      <c r="K129">
        <v>22.05292</v>
      </c>
      <c r="L129">
        <v>-0.41057150273443532</v>
      </c>
      <c r="M129">
        <v>-1.562666937810256</v>
      </c>
      <c r="N129">
        <v>-0.35498014318582799</v>
      </c>
      <c r="O129">
        <v>1.922653620999697E-2</v>
      </c>
    </row>
    <row r="130" spans="1:15" x14ac:dyDescent="0.25">
      <c r="A130">
        <v>39.00839225</v>
      </c>
      <c r="B130">
        <v>-49.515397249999999</v>
      </c>
      <c r="C130">
        <v>185.79357924999999</v>
      </c>
      <c r="D130">
        <v>285.61133575000002</v>
      </c>
      <c r="E130">
        <v>223.12713650000001</v>
      </c>
      <c r="F130">
        <v>5.5058860000000003</v>
      </c>
      <c r="G130">
        <v>305.29575375000002</v>
      </c>
      <c r="H130">
        <v>-24</v>
      </c>
      <c r="I130">
        <v>8</v>
      </c>
      <c r="J130">
        <v>1.18</v>
      </c>
      <c r="K130">
        <v>22.541465250000002</v>
      </c>
      <c r="L130">
        <v>-0.64271067535209458</v>
      </c>
      <c r="M130">
        <v>-1.467405834332457</v>
      </c>
      <c r="N130">
        <v>-0.35979456558109679</v>
      </c>
      <c r="O130">
        <v>-4.710564372094532E-2</v>
      </c>
    </row>
    <row r="131" spans="1:15" x14ac:dyDescent="0.25">
      <c r="A131">
        <v>8.5331072500000005</v>
      </c>
      <c r="B131">
        <v>-47.740136</v>
      </c>
      <c r="C131">
        <v>216.375328</v>
      </c>
      <c r="D131">
        <v>290.86823275</v>
      </c>
      <c r="E131">
        <v>222.81415175000001</v>
      </c>
      <c r="F131">
        <v>5.7982525000000003</v>
      </c>
      <c r="G131">
        <v>318.22506700000002</v>
      </c>
      <c r="H131">
        <v>-24</v>
      </c>
      <c r="I131">
        <v>12</v>
      </c>
      <c r="J131">
        <v>1.18</v>
      </c>
      <c r="K131">
        <v>23.011664249999999</v>
      </c>
      <c r="L131">
        <v>-0.85736564656114467</v>
      </c>
      <c r="M131">
        <v>-1.3967880071780061</v>
      </c>
      <c r="N131">
        <v>-0.39358332443501032</v>
      </c>
      <c r="O131">
        <v>-0.1047589722006072</v>
      </c>
    </row>
    <row r="132" spans="1:15" x14ac:dyDescent="0.25">
      <c r="A132">
        <v>-31.315776750000001</v>
      </c>
      <c r="B132">
        <v>-58.151808750000001</v>
      </c>
      <c r="C132">
        <v>242.25904850000001</v>
      </c>
      <c r="D132">
        <v>290.693016</v>
      </c>
      <c r="E132">
        <v>208.68443275000001</v>
      </c>
      <c r="F132">
        <v>5.8469774999999986</v>
      </c>
      <c r="G132">
        <v>329.27288075000001</v>
      </c>
      <c r="H132">
        <v>-24</v>
      </c>
      <c r="I132">
        <v>16</v>
      </c>
      <c r="J132">
        <v>1.18</v>
      </c>
      <c r="K132">
        <v>23.413227500000001</v>
      </c>
      <c r="L132">
        <v>-1.07953335923778</v>
      </c>
      <c r="M132">
        <v>-1.3765589111982719</v>
      </c>
      <c r="N132">
        <v>-0.47585492021691161</v>
      </c>
      <c r="O132">
        <v>-0.19959364436389429</v>
      </c>
    </row>
    <row r="133" spans="1:15" x14ac:dyDescent="0.25">
      <c r="A133">
        <v>-69.61121575</v>
      </c>
      <c r="B133">
        <v>-81.949907249999995</v>
      </c>
      <c r="C133">
        <v>265.07127374999999</v>
      </c>
      <c r="D133">
        <v>284.25361650000002</v>
      </c>
      <c r="E133">
        <v>184.8961985</v>
      </c>
      <c r="F133">
        <v>6.2854902499999996</v>
      </c>
      <c r="G133">
        <v>338.71957400000002</v>
      </c>
      <c r="H133">
        <v>-24</v>
      </c>
      <c r="I133">
        <v>20</v>
      </c>
      <c r="J133">
        <v>1.18</v>
      </c>
      <c r="K133">
        <v>23.737045250000001</v>
      </c>
      <c r="L133">
        <v>-1.283900473417211</v>
      </c>
      <c r="M133">
        <v>-1.4048153650802471</v>
      </c>
      <c r="N133">
        <v>-0.59009982332752919</v>
      </c>
      <c r="O133">
        <v>-0.31481204396145901</v>
      </c>
    </row>
    <row r="134" spans="1:15" x14ac:dyDescent="0.25">
      <c r="A134">
        <v>-111.46805575</v>
      </c>
      <c r="B134">
        <v>-120.57383725</v>
      </c>
      <c r="C134">
        <v>273.87997424999998</v>
      </c>
      <c r="D134">
        <v>264.602127</v>
      </c>
      <c r="E134">
        <v>145.32349775</v>
      </c>
      <c r="F134">
        <v>6.1880375000000001</v>
      </c>
      <c r="G134">
        <v>336.23792275</v>
      </c>
      <c r="H134">
        <v>-24</v>
      </c>
      <c r="I134">
        <v>24</v>
      </c>
      <c r="J134">
        <v>1.18</v>
      </c>
      <c r="K134">
        <v>23.6517175</v>
      </c>
      <c r="L134">
        <v>-1.474458228127389</v>
      </c>
      <c r="M134">
        <v>-1.473809856161004</v>
      </c>
      <c r="N134">
        <v>-0.73049968185807668</v>
      </c>
      <c r="O134">
        <v>-0.46753349142838491</v>
      </c>
    </row>
    <row r="135" spans="1:15" x14ac:dyDescent="0.25">
      <c r="A135">
        <v>-145.485195</v>
      </c>
      <c r="B135">
        <v>-152.76844424999999</v>
      </c>
      <c r="C135">
        <v>255.72075649999999</v>
      </c>
      <c r="D135">
        <v>222.19566725000001</v>
      </c>
      <c r="E135">
        <v>89.385170000000002</v>
      </c>
      <c r="F135">
        <v>5.50589175</v>
      </c>
      <c r="G135">
        <v>305.45641325000003</v>
      </c>
      <c r="H135">
        <v>-24</v>
      </c>
      <c r="I135">
        <v>28</v>
      </c>
      <c r="J135">
        <v>1.18</v>
      </c>
      <c r="K135">
        <v>22.547481999999999</v>
      </c>
      <c r="L135">
        <v>-1.6822315691896499</v>
      </c>
      <c r="M135">
        <v>-1.572181654160224</v>
      </c>
      <c r="N135">
        <v>-0.90605787886476041</v>
      </c>
      <c r="O135">
        <v>-0.64835984459637219</v>
      </c>
    </row>
    <row r="136" spans="1:15" x14ac:dyDescent="0.25">
      <c r="A136">
        <v>-175.17696749999999</v>
      </c>
      <c r="B136">
        <v>-182.61202625000001</v>
      </c>
      <c r="C136">
        <v>240.452572</v>
      </c>
      <c r="D136">
        <v>184.98226174999999</v>
      </c>
      <c r="E136">
        <v>37.560531750000003</v>
      </c>
      <c r="F136">
        <v>4.8237747500000001</v>
      </c>
      <c r="G136">
        <v>283.44089524999998</v>
      </c>
      <c r="H136">
        <v>-24</v>
      </c>
      <c r="I136">
        <v>32</v>
      </c>
      <c r="J136">
        <v>1.18</v>
      </c>
      <c r="K136">
        <v>21.730893250000001</v>
      </c>
      <c r="L136">
        <v>-1.9201968975836761</v>
      </c>
      <c r="M136">
        <v>-1.6982866311127469</v>
      </c>
      <c r="N136">
        <v>-1.135990661129034</v>
      </c>
      <c r="O136">
        <v>-0.84876903379082924</v>
      </c>
    </row>
    <row r="137" spans="1:15" x14ac:dyDescent="0.25">
      <c r="A137">
        <v>-200.72360599999999</v>
      </c>
      <c r="B137">
        <v>-211.87984449999999</v>
      </c>
      <c r="C137">
        <v>225.9973985</v>
      </c>
      <c r="D137">
        <v>151.59607700000001</v>
      </c>
      <c r="E137">
        <v>-12.17917675</v>
      </c>
      <c r="F137">
        <v>4.3365084999999999</v>
      </c>
      <c r="G137">
        <v>265.90855425000001</v>
      </c>
      <c r="H137">
        <v>-24</v>
      </c>
      <c r="I137">
        <v>36</v>
      </c>
      <c r="J137">
        <v>1.18</v>
      </c>
      <c r="K137">
        <v>21.0556755</v>
      </c>
      <c r="L137">
        <v>-2.1982848968499602</v>
      </c>
      <c r="M137">
        <v>-1.8724528862997281</v>
      </c>
      <c r="N137">
        <v>-1.432675225491977</v>
      </c>
      <c r="O137">
        <v>-1.085081152038013</v>
      </c>
    </row>
    <row r="138" spans="1:15" x14ac:dyDescent="0.25">
      <c r="A138">
        <v>-248.34759525000001</v>
      </c>
      <c r="B138">
        <v>-263.75341824999998</v>
      </c>
      <c r="C138">
        <v>234.44470200000001</v>
      </c>
      <c r="D138">
        <v>133.421795</v>
      </c>
      <c r="E138">
        <v>-64.107971000000006</v>
      </c>
      <c r="F138">
        <v>4.7263347499999986</v>
      </c>
      <c r="G138">
        <v>278.71763600000003</v>
      </c>
      <c r="H138">
        <v>-24</v>
      </c>
      <c r="I138">
        <v>40</v>
      </c>
      <c r="J138">
        <v>1.18</v>
      </c>
      <c r="K138">
        <v>21.549734749999999</v>
      </c>
      <c r="L138">
        <v>-2.515329483670071</v>
      </c>
      <c r="M138">
        <v>-2.0692691168829969</v>
      </c>
      <c r="N138">
        <v>-1.786122821701053</v>
      </c>
      <c r="O138">
        <v>-1.3586492133694099</v>
      </c>
    </row>
    <row r="139" spans="1:15" x14ac:dyDescent="0.25">
      <c r="A139">
        <v>-304.89262374999998</v>
      </c>
      <c r="B139">
        <v>-322.27574175000001</v>
      </c>
      <c r="C139">
        <v>241.22075624999999</v>
      </c>
      <c r="D139">
        <v>111.73265075</v>
      </c>
      <c r="E139">
        <v>-128.34977325</v>
      </c>
      <c r="F139">
        <v>5.3109830000000002</v>
      </c>
      <c r="G139">
        <v>295.04930100000001</v>
      </c>
      <c r="H139">
        <v>-24</v>
      </c>
      <c r="I139">
        <v>44</v>
      </c>
      <c r="J139">
        <v>1.18</v>
      </c>
      <c r="K139">
        <v>22.160358250000002</v>
      </c>
      <c r="L139">
        <v>-2.9483663297802898</v>
      </c>
      <c r="M139">
        <v>-2.343085176238314</v>
      </c>
      <c r="N139">
        <v>-2.2858968955132579</v>
      </c>
      <c r="O139">
        <v>-1.7216370860161161</v>
      </c>
    </row>
    <row r="140" spans="1:15" x14ac:dyDescent="0.25">
      <c r="A140">
        <v>267.09989174999998</v>
      </c>
      <c r="B140">
        <v>-296.05076600000001</v>
      </c>
      <c r="C140">
        <v>-303.46743025000001</v>
      </c>
      <c r="D140">
        <v>126.23601925</v>
      </c>
      <c r="E140">
        <v>-11.91150225</v>
      </c>
      <c r="F140">
        <v>5.6033317500000006</v>
      </c>
      <c r="G140">
        <v>312.66195675</v>
      </c>
      <c r="H140">
        <v>-20</v>
      </c>
      <c r="I140">
        <v>-44</v>
      </c>
      <c r="J140">
        <v>1.18</v>
      </c>
      <c r="K140">
        <v>22.81310925</v>
      </c>
      <c r="L140">
        <v>1.982219242629804</v>
      </c>
      <c r="M140">
        <v>-1.4670436976606149</v>
      </c>
      <c r="N140">
        <v>-1.127617895969141</v>
      </c>
      <c r="O140">
        <v>-1.0608571548397669</v>
      </c>
    </row>
    <row r="141" spans="1:15" x14ac:dyDescent="0.25">
      <c r="A141">
        <v>281.23178100000001</v>
      </c>
      <c r="B141">
        <v>-254.61751150000001</v>
      </c>
      <c r="C141">
        <v>-266.54851524999998</v>
      </c>
      <c r="D141">
        <v>161.5086325</v>
      </c>
      <c r="E141">
        <v>39.885787000000001</v>
      </c>
      <c r="F141">
        <v>5.7982250000000004</v>
      </c>
      <c r="G141">
        <v>323.54988900000001</v>
      </c>
      <c r="H141">
        <v>-20</v>
      </c>
      <c r="I141">
        <v>-40</v>
      </c>
      <c r="J141">
        <v>1.18</v>
      </c>
      <c r="K141">
        <v>23.206934749999999</v>
      </c>
      <c r="L141">
        <v>1.823100331743416</v>
      </c>
      <c r="M141">
        <v>-1.384919020072312</v>
      </c>
      <c r="N141">
        <v>-0.94408080324895471</v>
      </c>
      <c r="O141">
        <v>-0.88654869952846072</v>
      </c>
    </row>
    <row r="142" spans="1:15" x14ac:dyDescent="0.25">
      <c r="A142">
        <v>291.25469199999998</v>
      </c>
      <c r="B142">
        <v>-205.35456099999999</v>
      </c>
      <c r="C142">
        <v>-225.99554424999999</v>
      </c>
      <c r="D142">
        <v>196.16760249999999</v>
      </c>
      <c r="E142">
        <v>92.381309250000001</v>
      </c>
      <c r="F142">
        <v>6.3341975000000001</v>
      </c>
      <c r="G142">
        <v>334.91796125000002</v>
      </c>
      <c r="H142">
        <v>-20</v>
      </c>
      <c r="I142">
        <v>-36</v>
      </c>
      <c r="J142">
        <v>1.18</v>
      </c>
      <c r="K142">
        <v>23.599179500000002</v>
      </c>
      <c r="L142">
        <v>1.6790874771362549</v>
      </c>
      <c r="M142">
        <v>-1.3034007379764241</v>
      </c>
      <c r="N142">
        <v>-0.78731775931952841</v>
      </c>
      <c r="O142">
        <v>-0.72066987717300501</v>
      </c>
    </row>
    <row r="143" spans="1:15" x14ac:dyDescent="0.25">
      <c r="A143">
        <v>296.13074525000002</v>
      </c>
      <c r="B143">
        <v>-150.36943425000001</v>
      </c>
      <c r="C143">
        <v>-181.63220974999999</v>
      </c>
      <c r="D143">
        <v>228.50430700000001</v>
      </c>
      <c r="E143">
        <v>143.35647574999999</v>
      </c>
      <c r="F143">
        <v>6.3342277500000002</v>
      </c>
      <c r="G143">
        <v>343.68418874999998</v>
      </c>
      <c r="H143">
        <v>-20</v>
      </c>
      <c r="I143">
        <v>-32</v>
      </c>
      <c r="J143">
        <v>1.18</v>
      </c>
      <c r="K143">
        <v>23.911911499999999</v>
      </c>
      <c r="L143">
        <v>1.5443773327764929</v>
      </c>
      <c r="M143">
        <v>-1.224711213715014</v>
      </c>
      <c r="N143">
        <v>-0.64756181646661881</v>
      </c>
      <c r="O143">
        <v>-0.55707340456959742</v>
      </c>
    </row>
    <row r="144" spans="1:15" x14ac:dyDescent="0.25">
      <c r="A144">
        <v>273.73703</v>
      </c>
      <c r="B144">
        <v>-98.790895500000005</v>
      </c>
      <c r="C144">
        <v>-117.97521775</v>
      </c>
      <c r="D144">
        <v>236.52302925000001</v>
      </c>
      <c r="E144">
        <v>172.60019675000001</v>
      </c>
      <c r="F144">
        <v>5.9931542499999999</v>
      </c>
      <c r="G144">
        <v>323.87039950000002</v>
      </c>
      <c r="H144">
        <v>-20</v>
      </c>
      <c r="I144">
        <v>-28</v>
      </c>
      <c r="J144">
        <v>1.18</v>
      </c>
      <c r="K144">
        <v>23.211484500000001</v>
      </c>
      <c r="L144">
        <v>1.3940673156653851</v>
      </c>
      <c r="M144">
        <v>-1.1933553888695581</v>
      </c>
      <c r="N144">
        <v>-0.5383515442218163</v>
      </c>
      <c r="O144">
        <v>-0.40704887959059571</v>
      </c>
    </row>
    <row r="145" spans="1:15" x14ac:dyDescent="0.25">
      <c r="A145">
        <v>243.938919</v>
      </c>
      <c r="B145">
        <v>-55.225022500000001</v>
      </c>
      <c r="C145">
        <v>-51.069962500000003</v>
      </c>
      <c r="D145">
        <v>235.03332549999999</v>
      </c>
      <c r="E145">
        <v>189.10007074999999</v>
      </c>
      <c r="F145">
        <v>5.5059157499999998</v>
      </c>
      <c r="G145">
        <v>298.85267649999997</v>
      </c>
      <c r="H145">
        <v>-20</v>
      </c>
      <c r="I145">
        <v>-24</v>
      </c>
      <c r="J145">
        <v>1.18</v>
      </c>
      <c r="K145">
        <v>22.297885749999999</v>
      </c>
      <c r="L145">
        <v>1.2177786146855809</v>
      </c>
      <c r="M145">
        <v>-1.19819407002725</v>
      </c>
      <c r="N145">
        <v>-0.45305152814586708</v>
      </c>
      <c r="O145">
        <v>-0.24210788262443789</v>
      </c>
    </row>
    <row r="146" spans="1:15" x14ac:dyDescent="0.25">
      <c r="A146">
        <v>214.27637475</v>
      </c>
      <c r="B146">
        <v>-35.217348999999999</v>
      </c>
      <c r="C146">
        <v>0.99378900000000003</v>
      </c>
      <c r="D146">
        <v>231.87852075000001</v>
      </c>
      <c r="E146">
        <v>196.92529675</v>
      </c>
      <c r="F146">
        <v>4.8725205000000003</v>
      </c>
      <c r="G146">
        <v>277.7977065</v>
      </c>
      <c r="H146">
        <v>-20</v>
      </c>
      <c r="I146">
        <v>-20</v>
      </c>
      <c r="J146">
        <v>1.18</v>
      </c>
      <c r="K146">
        <v>21.507775250000002</v>
      </c>
      <c r="L146">
        <v>0.99650149367161567</v>
      </c>
      <c r="M146">
        <v>-1.2479012007309509</v>
      </c>
      <c r="N146">
        <v>-0.37786114069230992</v>
      </c>
      <c r="O146">
        <v>-0.10271727228532</v>
      </c>
    </row>
    <row r="147" spans="1:15" x14ac:dyDescent="0.25">
      <c r="A147">
        <v>192.87588500000001</v>
      </c>
      <c r="B147">
        <v>-16.553113499999998</v>
      </c>
      <c r="C147">
        <v>35.144245249999997</v>
      </c>
      <c r="D147">
        <v>233.98180024999999</v>
      </c>
      <c r="E147">
        <v>207.2993505</v>
      </c>
      <c r="F147">
        <v>4.6776210000000003</v>
      </c>
      <c r="G147">
        <v>269.27179725000002</v>
      </c>
      <c r="H147">
        <v>-20</v>
      </c>
      <c r="I147">
        <v>-16</v>
      </c>
      <c r="J147">
        <v>1.18</v>
      </c>
      <c r="K147">
        <v>21.176953999999999</v>
      </c>
      <c r="L147">
        <v>0.79659733737684546</v>
      </c>
      <c r="M147">
        <v>-1.2653046004712469</v>
      </c>
      <c r="N147">
        <v>-0.31298825712331452</v>
      </c>
      <c r="O147">
        <v>2.3327749277140521E-2</v>
      </c>
    </row>
    <row r="148" spans="1:15" x14ac:dyDescent="0.25">
      <c r="A148">
        <v>187.27742749999999</v>
      </c>
      <c r="B148">
        <v>-9.8838877499999995</v>
      </c>
      <c r="C148">
        <v>65.545377999999999</v>
      </c>
      <c r="D148">
        <v>256.5475275</v>
      </c>
      <c r="E148">
        <v>232.56340399999999</v>
      </c>
      <c r="F148">
        <v>5.1164965000000002</v>
      </c>
      <c r="G148">
        <v>286.92445350000003</v>
      </c>
      <c r="H148">
        <v>-20</v>
      </c>
      <c r="I148">
        <v>-12</v>
      </c>
      <c r="J148">
        <v>1.18</v>
      </c>
      <c r="K148">
        <v>21.854979499999999</v>
      </c>
      <c r="L148">
        <v>0.59460757730730085</v>
      </c>
      <c r="M148">
        <v>-1.301365533713946</v>
      </c>
      <c r="N148">
        <v>-0.26552887939946013</v>
      </c>
      <c r="O148">
        <v>0.1109436454845952</v>
      </c>
    </row>
    <row r="149" spans="1:15" x14ac:dyDescent="0.25">
      <c r="A149">
        <v>173.86832050000001</v>
      </c>
      <c r="B149">
        <v>-8.0126664999999999</v>
      </c>
      <c r="C149">
        <v>97.07584374999999</v>
      </c>
      <c r="D149">
        <v>274.02223950000001</v>
      </c>
      <c r="E149">
        <v>252.32756800000001</v>
      </c>
      <c r="F149">
        <v>5.3605010000000002</v>
      </c>
      <c r="G149">
        <v>301.41487100000001</v>
      </c>
      <c r="H149">
        <v>-20</v>
      </c>
      <c r="I149">
        <v>-8</v>
      </c>
      <c r="J149">
        <v>1.18</v>
      </c>
      <c r="K149">
        <v>22.4005945</v>
      </c>
      <c r="L149">
        <v>0.3695603479595666</v>
      </c>
      <c r="M149">
        <v>-1.3572721291840939</v>
      </c>
      <c r="N149">
        <v>-0.23623167211607091</v>
      </c>
      <c r="O149">
        <v>0.1885115097619581</v>
      </c>
    </row>
    <row r="150" spans="1:15" x14ac:dyDescent="0.25">
      <c r="A150">
        <v>155.62821925</v>
      </c>
      <c r="B150">
        <v>-9.0202475</v>
      </c>
      <c r="C150">
        <v>130.00669475000001</v>
      </c>
      <c r="D150">
        <v>287.07712574999999</v>
      </c>
      <c r="E150">
        <v>265.33976749999999</v>
      </c>
      <c r="F150">
        <v>5.3117760000000001</v>
      </c>
      <c r="G150">
        <v>314.86462375000002</v>
      </c>
      <c r="H150">
        <v>-20</v>
      </c>
      <c r="I150">
        <v>-4</v>
      </c>
      <c r="J150">
        <v>1.18</v>
      </c>
      <c r="K150">
        <v>22.90558175</v>
      </c>
      <c r="L150">
        <v>0.12506557253862491</v>
      </c>
      <c r="M150">
        <v>-1.4454744331058449</v>
      </c>
      <c r="N150">
        <v>-0.24177128748267279</v>
      </c>
      <c r="O150">
        <v>0.26938090654883229</v>
      </c>
    </row>
    <row r="151" spans="1:15" x14ac:dyDescent="0.25">
      <c r="A151">
        <v>132.7828715</v>
      </c>
      <c r="B151">
        <v>-8.7803467499999996</v>
      </c>
      <c r="C151">
        <v>163.84105299999999</v>
      </c>
      <c r="D151">
        <v>297.52851099999998</v>
      </c>
      <c r="E151">
        <v>276.20568075</v>
      </c>
      <c r="F151">
        <v>5.4587462499999999</v>
      </c>
      <c r="G151">
        <v>325.55223825000002</v>
      </c>
      <c r="H151">
        <v>-20</v>
      </c>
      <c r="I151">
        <v>0</v>
      </c>
      <c r="J151">
        <v>1.18</v>
      </c>
      <c r="K151">
        <v>23.292295500000002</v>
      </c>
      <c r="L151">
        <v>-0.14498883342373969</v>
      </c>
      <c r="M151">
        <v>-1.4299857261385429</v>
      </c>
      <c r="N151">
        <v>-0.2303721656452111</v>
      </c>
      <c r="O151">
        <v>0.26396801045586532</v>
      </c>
    </row>
    <row r="152" spans="1:15" x14ac:dyDescent="0.25">
      <c r="A152">
        <v>106.5063285</v>
      </c>
      <c r="B152">
        <v>-4.8459835</v>
      </c>
      <c r="C152">
        <v>197.85602925000001</v>
      </c>
      <c r="D152">
        <v>305.36981200000002</v>
      </c>
      <c r="E152">
        <v>283.44954675000002</v>
      </c>
      <c r="F152">
        <v>5.9461440000000003</v>
      </c>
      <c r="G152">
        <v>335.83975225</v>
      </c>
      <c r="H152">
        <v>-20</v>
      </c>
      <c r="I152">
        <v>4</v>
      </c>
      <c r="J152">
        <v>1.18</v>
      </c>
      <c r="K152">
        <v>23.646174250000001</v>
      </c>
      <c r="L152">
        <v>-0.39269792949059618</v>
      </c>
      <c r="M152">
        <v>-1.333578663449029</v>
      </c>
      <c r="N152">
        <v>-0.2252360712683677</v>
      </c>
      <c r="O152">
        <v>0.19295498341691261</v>
      </c>
    </row>
    <row r="153" spans="1:15" x14ac:dyDescent="0.25">
      <c r="A153">
        <v>76.256547999999995</v>
      </c>
      <c r="B153">
        <v>-1.3434412499999999</v>
      </c>
      <c r="C153">
        <v>229.83830624999999</v>
      </c>
      <c r="D153">
        <v>309.04949950000002</v>
      </c>
      <c r="E153">
        <v>283.98618325000001</v>
      </c>
      <c r="F153">
        <v>6.0923604999999998</v>
      </c>
      <c r="G153">
        <v>346.12712850000003</v>
      </c>
      <c r="H153">
        <v>-20</v>
      </c>
      <c r="I153">
        <v>8</v>
      </c>
      <c r="J153">
        <v>1.18</v>
      </c>
      <c r="K153">
        <v>24.006875749999999</v>
      </c>
      <c r="L153">
        <v>-0.62298032689646565</v>
      </c>
      <c r="M153">
        <v>-1.2590500565308209</v>
      </c>
      <c r="N153">
        <v>-0.25207609719356711</v>
      </c>
      <c r="O153">
        <v>0.12723005339824631</v>
      </c>
    </row>
    <row r="154" spans="1:15" x14ac:dyDescent="0.25">
      <c r="A154">
        <v>39.911680250000003</v>
      </c>
      <c r="B154">
        <v>10.921583500000001</v>
      </c>
      <c r="C154">
        <v>230.33527375</v>
      </c>
      <c r="D154">
        <v>272.34052274999999</v>
      </c>
      <c r="E154">
        <v>246.69385149999999</v>
      </c>
      <c r="F154">
        <v>5.4100372500000002</v>
      </c>
      <c r="G154">
        <v>313.03115824999998</v>
      </c>
      <c r="H154">
        <v>-20</v>
      </c>
      <c r="I154">
        <v>12</v>
      </c>
      <c r="J154">
        <v>1.18</v>
      </c>
      <c r="K154">
        <v>22.833961500000001</v>
      </c>
      <c r="L154">
        <v>-0.86058054042655496</v>
      </c>
      <c r="M154">
        <v>-1.1814175147389641</v>
      </c>
      <c r="N154">
        <v>-0.29981503508095131</v>
      </c>
      <c r="O154">
        <v>9.042354939813152E-2</v>
      </c>
    </row>
    <row r="155" spans="1:15" x14ac:dyDescent="0.25">
      <c r="A155">
        <v>8.6685707500000007</v>
      </c>
      <c r="B155">
        <v>7.1201889999999999</v>
      </c>
      <c r="C155">
        <v>230.4257585</v>
      </c>
      <c r="D155">
        <v>243.07819724999999</v>
      </c>
      <c r="E155">
        <v>211.27959425</v>
      </c>
      <c r="F155">
        <v>4.8739065000000004</v>
      </c>
      <c r="G155">
        <v>291.38069899999999</v>
      </c>
      <c r="H155">
        <v>-20</v>
      </c>
      <c r="I155">
        <v>16</v>
      </c>
      <c r="J155">
        <v>1.18</v>
      </c>
      <c r="K155">
        <v>22.036422250000001</v>
      </c>
      <c r="L155">
        <v>-1.090325254212225</v>
      </c>
      <c r="M155">
        <v>-1.1601578358916289</v>
      </c>
      <c r="N155">
        <v>-0.39384048312237258</v>
      </c>
      <c r="O155">
        <v>1.484842761510584E-2</v>
      </c>
    </row>
    <row r="156" spans="1:15" x14ac:dyDescent="0.25">
      <c r="A156">
        <v>-24.15464875</v>
      </c>
      <c r="B156">
        <v>-19.1946625</v>
      </c>
      <c r="C156">
        <v>227.4443665</v>
      </c>
      <c r="D156">
        <v>215.08648324999999</v>
      </c>
      <c r="E156">
        <v>172.42204275</v>
      </c>
      <c r="F156">
        <v>4.5327270000000004</v>
      </c>
      <c r="G156">
        <v>271.94693749999999</v>
      </c>
      <c r="H156">
        <v>-20</v>
      </c>
      <c r="I156">
        <v>20</v>
      </c>
      <c r="J156">
        <v>1.18</v>
      </c>
      <c r="K156">
        <v>21.289505500000001</v>
      </c>
      <c r="L156">
        <v>-1.2962548734482049</v>
      </c>
      <c r="M156">
        <v>-1.2070368191535881</v>
      </c>
      <c r="N156">
        <v>-0.51275999257500471</v>
      </c>
      <c r="O156">
        <v>-0.13502287253615941</v>
      </c>
    </row>
    <row r="157" spans="1:15" x14ac:dyDescent="0.25">
      <c r="A157">
        <v>-60.5668115</v>
      </c>
      <c r="B157">
        <v>-54.228875000000002</v>
      </c>
      <c r="C157">
        <v>242.66760650000001</v>
      </c>
      <c r="D157">
        <v>204.96745300000001</v>
      </c>
      <c r="E157">
        <v>144.87744900000001</v>
      </c>
      <c r="F157">
        <v>4.5327230000000007</v>
      </c>
      <c r="G157">
        <v>277.58266450000002</v>
      </c>
      <c r="H157">
        <v>-20</v>
      </c>
      <c r="I157">
        <v>24</v>
      </c>
      <c r="J157">
        <v>1.18</v>
      </c>
      <c r="K157">
        <v>21.512688749999999</v>
      </c>
      <c r="L157">
        <v>-1.499116781539424</v>
      </c>
      <c r="M157">
        <v>-1.2813929624935341</v>
      </c>
      <c r="N157">
        <v>-0.65605936632722739</v>
      </c>
      <c r="O157">
        <v>-0.30616499667205788</v>
      </c>
    </row>
    <row r="158" spans="1:15" x14ac:dyDescent="0.25">
      <c r="A158">
        <v>-104.13733875</v>
      </c>
      <c r="B158">
        <v>-101.02612275</v>
      </c>
      <c r="C158">
        <v>263.40201574999998</v>
      </c>
      <c r="D158">
        <v>197.78324125</v>
      </c>
      <c r="E158">
        <v>111.92245124999999</v>
      </c>
      <c r="F158">
        <v>5.0201122500000004</v>
      </c>
      <c r="G158">
        <v>295.0568925</v>
      </c>
      <c r="H158">
        <v>-20</v>
      </c>
      <c r="I158">
        <v>28</v>
      </c>
      <c r="J158">
        <v>1.18</v>
      </c>
      <c r="K158">
        <v>22.171760249999998</v>
      </c>
      <c r="L158">
        <v>-1.7134194787261701</v>
      </c>
      <c r="M158">
        <v>-1.393027863616916</v>
      </c>
      <c r="N158">
        <v>-0.8537499467343872</v>
      </c>
      <c r="O158">
        <v>-0.50161852732021806</v>
      </c>
    </row>
    <row r="159" spans="1:15" x14ac:dyDescent="0.25">
      <c r="A159">
        <v>-155.52825924999999</v>
      </c>
      <c r="B159">
        <v>-156.35163875000001</v>
      </c>
      <c r="C159">
        <v>279.34803025000002</v>
      </c>
      <c r="D159">
        <v>183.67787525</v>
      </c>
      <c r="E159">
        <v>65.731540499999994</v>
      </c>
      <c r="F159">
        <v>5.1663250000000014</v>
      </c>
      <c r="G159">
        <v>309.02133175</v>
      </c>
      <c r="H159">
        <v>-20</v>
      </c>
      <c r="I159">
        <v>32</v>
      </c>
      <c r="J159">
        <v>1.18</v>
      </c>
      <c r="K159">
        <v>22.693791000000001</v>
      </c>
      <c r="L159">
        <v>-1.961824145471599</v>
      </c>
      <c r="M159">
        <v>-1.533967710920028</v>
      </c>
      <c r="N159">
        <v>-1.097552133186273</v>
      </c>
      <c r="O159">
        <v>-0.72678448588494471</v>
      </c>
    </row>
    <row r="160" spans="1:15" x14ac:dyDescent="0.25">
      <c r="A160">
        <v>-212.97567375</v>
      </c>
      <c r="B160">
        <v>-214.56376275</v>
      </c>
      <c r="C160">
        <v>290.82192225</v>
      </c>
      <c r="D160">
        <v>163.08922175000001</v>
      </c>
      <c r="E160">
        <v>7.9146407500000002</v>
      </c>
      <c r="F160">
        <v>5.55622975</v>
      </c>
      <c r="G160">
        <v>320.90983575000001</v>
      </c>
      <c r="H160">
        <v>-20</v>
      </c>
      <c r="I160">
        <v>36</v>
      </c>
      <c r="J160">
        <v>1.18</v>
      </c>
      <c r="K160">
        <v>23.119196250000002</v>
      </c>
      <c r="L160">
        <v>-2.2726034135183899</v>
      </c>
      <c r="M160">
        <v>-1.703553404764494</v>
      </c>
      <c r="N160">
        <v>-1.411904322059397</v>
      </c>
      <c r="O160">
        <v>-0.98936348720333733</v>
      </c>
    </row>
    <row r="161" spans="1:15" x14ac:dyDescent="0.25">
      <c r="A161">
        <v>-275.81365975</v>
      </c>
      <c r="B161">
        <v>-273.29431175000002</v>
      </c>
      <c r="C161">
        <v>297.95928924999998</v>
      </c>
      <c r="D161">
        <v>136.41152600000001</v>
      </c>
      <c r="E161">
        <v>-57.773013249999998</v>
      </c>
      <c r="F161">
        <v>5.8486599999999997</v>
      </c>
      <c r="G161">
        <v>332.99868774999999</v>
      </c>
      <c r="H161">
        <v>-20</v>
      </c>
      <c r="I161">
        <v>40</v>
      </c>
      <c r="J161">
        <v>1.18</v>
      </c>
      <c r="K161">
        <v>23.547642249999999</v>
      </c>
      <c r="L161">
        <v>-2.6469550624099361</v>
      </c>
      <c r="M161">
        <v>-1.8900483517139799</v>
      </c>
      <c r="N161">
        <v>-1.802791948883818</v>
      </c>
      <c r="O161">
        <v>-1.293540661519236</v>
      </c>
    </row>
    <row r="162" spans="1:15" x14ac:dyDescent="0.25">
      <c r="A162">
        <v>-334.22126774999998</v>
      </c>
      <c r="B162">
        <v>-332.59764074999998</v>
      </c>
      <c r="C162">
        <v>298.90799724999999</v>
      </c>
      <c r="D162">
        <v>104.91511925</v>
      </c>
      <c r="E162">
        <v>-133.92632275</v>
      </c>
      <c r="F162">
        <v>5.9461349999999999</v>
      </c>
      <c r="G162">
        <v>342.84573349999999</v>
      </c>
      <c r="H162">
        <v>-20</v>
      </c>
      <c r="I162">
        <v>44</v>
      </c>
      <c r="J162">
        <v>1.18</v>
      </c>
      <c r="K162">
        <v>23.895942250000001</v>
      </c>
      <c r="L162">
        <v>-3.174538945201189</v>
      </c>
      <c r="M162">
        <v>-2.193634152551958</v>
      </c>
      <c r="N162">
        <v>-2.3907818146745212</v>
      </c>
      <c r="O162">
        <v>-1.701514585965207</v>
      </c>
    </row>
    <row r="163" spans="1:15" x14ac:dyDescent="0.25">
      <c r="A163">
        <v>287.01277924999999</v>
      </c>
      <c r="B163">
        <v>-256.83715050000001</v>
      </c>
      <c r="C163">
        <v>-291.9830475</v>
      </c>
      <c r="D163">
        <v>101.1040745</v>
      </c>
      <c r="E163">
        <v>-3.0336425</v>
      </c>
      <c r="F163">
        <v>5.4100010000000003</v>
      </c>
      <c r="G163">
        <v>316.82734675</v>
      </c>
      <c r="H163">
        <v>-16</v>
      </c>
      <c r="I163">
        <v>-44</v>
      </c>
      <c r="J163">
        <v>1.18</v>
      </c>
      <c r="K163">
        <v>22.974442249999999</v>
      </c>
      <c r="L163">
        <v>2.1335571567017229</v>
      </c>
      <c r="M163">
        <v>-1.3189814254973771</v>
      </c>
      <c r="N163">
        <v>-1.1786621065568501</v>
      </c>
      <c r="O163">
        <v>-1.031115366628828</v>
      </c>
    </row>
    <row r="164" spans="1:15" x14ac:dyDescent="0.25">
      <c r="A164">
        <v>268.9532165</v>
      </c>
      <c r="B164">
        <v>-186.83425875</v>
      </c>
      <c r="C164">
        <v>-223.85968374999999</v>
      </c>
      <c r="D164">
        <v>122.70039174999999</v>
      </c>
      <c r="E164">
        <v>48.471451000000002</v>
      </c>
      <c r="F164">
        <v>5.0200852500000002</v>
      </c>
      <c r="G164">
        <v>292.73013275</v>
      </c>
      <c r="H164">
        <v>-16</v>
      </c>
      <c r="I164">
        <v>-40</v>
      </c>
      <c r="J164">
        <v>1.18</v>
      </c>
      <c r="K164">
        <v>22.082634500000001</v>
      </c>
      <c r="L164">
        <v>1.9415756197728311</v>
      </c>
      <c r="M164">
        <v>-1.2195245261504659</v>
      </c>
      <c r="N164">
        <v>-0.96234267019874464</v>
      </c>
      <c r="O164">
        <v>-0.8288022510998132</v>
      </c>
    </row>
    <row r="165" spans="1:15" x14ac:dyDescent="0.25">
      <c r="A165">
        <v>253.06058874999999</v>
      </c>
      <c r="B165">
        <v>-128.6344795</v>
      </c>
      <c r="C165">
        <v>-166.56386574999999</v>
      </c>
      <c r="D165">
        <v>140.81026075</v>
      </c>
      <c r="E165">
        <v>88.983644499999997</v>
      </c>
      <c r="F165">
        <v>4.727652</v>
      </c>
      <c r="G165">
        <v>273.996826</v>
      </c>
      <c r="H165">
        <v>-16</v>
      </c>
      <c r="I165">
        <v>-36</v>
      </c>
      <c r="J165">
        <v>1.18</v>
      </c>
      <c r="K165">
        <v>21.363231750000001</v>
      </c>
      <c r="L165">
        <v>1.773687763410815</v>
      </c>
      <c r="M165">
        <v>-1.138905443480335</v>
      </c>
      <c r="N165">
        <v>-0.78202213667167675</v>
      </c>
      <c r="O165">
        <v>-0.64386368011532347</v>
      </c>
    </row>
    <row r="166" spans="1:15" x14ac:dyDescent="0.25">
      <c r="A166">
        <v>250.938793</v>
      </c>
      <c r="B166">
        <v>-84.300928499999998</v>
      </c>
      <c r="C166">
        <v>-120.59187350000001</v>
      </c>
      <c r="D166">
        <v>163.67989324999999</v>
      </c>
      <c r="E166">
        <v>128.15436575000001</v>
      </c>
      <c r="F166">
        <v>4.4839667499999996</v>
      </c>
      <c r="G166">
        <v>273.39639299999999</v>
      </c>
      <c r="H166">
        <v>-16</v>
      </c>
      <c r="I166">
        <v>-32</v>
      </c>
      <c r="J166">
        <v>1.18</v>
      </c>
      <c r="K166">
        <v>21.349058500000002</v>
      </c>
      <c r="L166">
        <v>1.6111254602352409</v>
      </c>
      <c r="M166">
        <v>-1.0753678751840701</v>
      </c>
      <c r="N166">
        <v>-0.62983288252109948</v>
      </c>
      <c r="O166">
        <v>-0.46369299436234662</v>
      </c>
    </row>
    <row r="167" spans="1:15" x14ac:dyDescent="0.25">
      <c r="A167">
        <v>260.78159325000001</v>
      </c>
      <c r="B167">
        <v>-50.475001250000012</v>
      </c>
      <c r="C167">
        <v>-81.116424749999993</v>
      </c>
      <c r="D167">
        <v>193.6030465</v>
      </c>
      <c r="E167">
        <v>171.79654675</v>
      </c>
      <c r="F167">
        <v>4.9713859999999999</v>
      </c>
      <c r="G167">
        <v>290.64878099999999</v>
      </c>
      <c r="H167">
        <v>-16</v>
      </c>
      <c r="I167">
        <v>-28</v>
      </c>
      <c r="J167">
        <v>1.18</v>
      </c>
      <c r="K167">
        <v>22.00451125</v>
      </c>
      <c r="L167">
        <v>1.4390168042856291</v>
      </c>
      <c r="M167">
        <v>-1.027303068643628</v>
      </c>
      <c r="N167">
        <v>-0.50023738600344281</v>
      </c>
      <c r="O167">
        <v>-0.29785167086009889</v>
      </c>
    </row>
    <row r="168" spans="1:15" x14ac:dyDescent="0.25">
      <c r="A168">
        <v>264.30300875</v>
      </c>
      <c r="B168">
        <v>-14.441991</v>
      </c>
      <c r="C168">
        <v>-35.550468500000001</v>
      </c>
      <c r="D168">
        <v>222.664421</v>
      </c>
      <c r="E168">
        <v>213.38203050000001</v>
      </c>
      <c r="F168">
        <v>5.2638199999999999</v>
      </c>
      <c r="G168">
        <v>305.33953074999999</v>
      </c>
      <c r="H168">
        <v>-16</v>
      </c>
      <c r="I168">
        <v>-24</v>
      </c>
      <c r="J168">
        <v>1.18</v>
      </c>
      <c r="K168">
        <v>22.55221225</v>
      </c>
      <c r="L168">
        <v>1.2579335240444149</v>
      </c>
      <c r="M168">
        <v>-0.99466279590933948</v>
      </c>
      <c r="N168">
        <v>-0.38579556967057099</v>
      </c>
      <c r="O168">
        <v>-0.12695119313919939</v>
      </c>
    </row>
    <row r="169" spans="1:15" x14ac:dyDescent="0.25">
      <c r="A169">
        <v>262.76815775</v>
      </c>
      <c r="B169">
        <v>8.1791935000000002</v>
      </c>
      <c r="C169">
        <v>12.558055</v>
      </c>
      <c r="D169">
        <v>247.37562525000001</v>
      </c>
      <c r="E169">
        <v>249.78039575</v>
      </c>
      <c r="F169">
        <v>5.8487177499999996</v>
      </c>
      <c r="G169">
        <v>318.98924249999999</v>
      </c>
      <c r="H169">
        <v>-16</v>
      </c>
      <c r="I169">
        <v>-20</v>
      </c>
      <c r="J169">
        <v>1.18</v>
      </c>
      <c r="K169">
        <v>23.037933249999998</v>
      </c>
      <c r="L169">
        <v>1.0451086955896369</v>
      </c>
      <c r="M169">
        <v>-0.99909384563450021</v>
      </c>
      <c r="N169">
        <v>-0.28908007784782053</v>
      </c>
      <c r="O169">
        <v>1.888424142696242E-2</v>
      </c>
    </row>
    <row r="170" spans="1:15" x14ac:dyDescent="0.25">
      <c r="A170">
        <v>253.828472</v>
      </c>
      <c r="B170">
        <v>24.729995500000001</v>
      </c>
      <c r="C170">
        <v>58.72473325</v>
      </c>
      <c r="D170">
        <v>267.54733299999998</v>
      </c>
      <c r="E170">
        <v>276.69922624999998</v>
      </c>
      <c r="F170">
        <v>5.8974375000000014</v>
      </c>
      <c r="G170">
        <v>329.67723849999999</v>
      </c>
      <c r="H170">
        <v>-16</v>
      </c>
      <c r="I170">
        <v>-16</v>
      </c>
      <c r="J170">
        <v>1.18</v>
      </c>
      <c r="K170">
        <v>23.4260345</v>
      </c>
      <c r="L170">
        <v>0.83032932421833971</v>
      </c>
      <c r="M170">
        <v>-1.033390552143733</v>
      </c>
      <c r="N170">
        <v>-0.2254693267501334</v>
      </c>
      <c r="O170">
        <v>0.15248796492297939</v>
      </c>
    </row>
    <row r="171" spans="1:15" x14ac:dyDescent="0.25">
      <c r="A171">
        <v>238.884468</v>
      </c>
      <c r="B171">
        <v>36.277069999999988</v>
      </c>
      <c r="C171">
        <v>100.1483175</v>
      </c>
      <c r="D171">
        <v>286.34503174999998</v>
      </c>
      <c r="E171">
        <v>299.59346775</v>
      </c>
      <c r="F171">
        <v>6.1898914999999999</v>
      </c>
      <c r="G171">
        <v>340.04478449999999</v>
      </c>
      <c r="H171">
        <v>-16</v>
      </c>
      <c r="I171">
        <v>-12</v>
      </c>
      <c r="J171">
        <v>1.18</v>
      </c>
      <c r="K171">
        <v>23.787722250000002</v>
      </c>
      <c r="L171">
        <v>0.5995950533684653</v>
      </c>
      <c r="M171">
        <v>-1.08077840117269</v>
      </c>
      <c r="N171">
        <v>-0.17483610006602451</v>
      </c>
      <c r="O171">
        <v>0.26805881101043882</v>
      </c>
    </row>
    <row r="172" spans="1:15" x14ac:dyDescent="0.25">
      <c r="A172">
        <v>211.97547524999999</v>
      </c>
      <c r="B172">
        <v>40.414788250000001</v>
      </c>
      <c r="C172">
        <v>129.78174225000001</v>
      </c>
      <c r="D172">
        <v>286.91464975000002</v>
      </c>
      <c r="E172">
        <v>302.50012974999999</v>
      </c>
      <c r="F172">
        <v>5.9949447500000002</v>
      </c>
      <c r="G172">
        <v>334.72103874999999</v>
      </c>
      <c r="H172">
        <v>-16</v>
      </c>
      <c r="I172">
        <v>-8</v>
      </c>
      <c r="J172">
        <v>1.18</v>
      </c>
      <c r="K172">
        <v>23.604237999999999</v>
      </c>
      <c r="L172">
        <v>0.37808272906080942</v>
      </c>
      <c r="M172">
        <v>-1.133815244224271</v>
      </c>
      <c r="N172">
        <v>-0.14822046941954339</v>
      </c>
      <c r="O172">
        <v>0.36389727141954498</v>
      </c>
    </row>
    <row r="173" spans="1:15" x14ac:dyDescent="0.25">
      <c r="A173">
        <v>168.9483755</v>
      </c>
      <c r="B173">
        <v>36.950664500000002</v>
      </c>
      <c r="C173">
        <v>145.00504674999999</v>
      </c>
      <c r="D173">
        <v>263.69179524999998</v>
      </c>
      <c r="E173">
        <v>279.20344549999999</v>
      </c>
      <c r="F173">
        <v>5.3125650000000002</v>
      </c>
      <c r="G173">
        <v>304.65946200000002</v>
      </c>
      <c r="H173">
        <v>-16</v>
      </c>
      <c r="I173">
        <v>-4</v>
      </c>
      <c r="J173">
        <v>1.18</v>
      </c>
      <c r="K173">
        <v>22.52479825</v>
      </c>
      <c r="L173">
        <v>0.12720944013516691</v>
      </c>
      <c r="M173">
        <v>-1.2046197063763231</v>
      </c>
      <c r="N173">
        <v>-0.13523717645894209</v>
      </c>
      <c r="O173">
        <v>0.45512346277867682</v>
      </c>
    </row>
    <row r="174" spans="1:15" x14ac:dyDescent="0.25">
      <c r="A174">
        <v>134.72538</v>
      </c>
      <c r="B174">
        <v>37.426555499999999</v>
      </c>
      <c r="C174">
        <v>159.68629475</v>
      </c>
      <c r="D174">
        <v>247.04132849999999</v>
      </c>
      <c r="E174">
        <v>262.65879849999999</v>
      </c>
      <c r="F174">
        <v>4.7764182499999999</v>
      </c>
      <c r="G174">
        <v>285.80596174999999</v>
      </c>
      <c r="H174">
        <v>-16</v>
      </c>
      <c r="I174">
        <v>0</v>
      </c>
      <c r="J174">
        <v>1.18</v>
      </c>
      <c r="K174">
        <v>21.8247675</v>
      </c>
      <c r="L174">
        <v>-0.14133551061767871</v>
      </c>
      <c r="M174">
        <v>-1.1870642948352119</v>
      </c>
      <c r="N174">
        <v>-0.1311012263391319</v>
      </c>
      <c r="O174">
        <v>0.46042824907372792</v>
      </c>
    </row>
    <row r="175" spans="1:15" x14ac:dyDescent="0.25">
      <c r="A175">
        <v>102.30825075</v>
      </c>
      <c r="B175">
        <v>39.636711249999998</v>
      </c>
      <c r="C175">
        <v>169.8954885</v>
      </c>
      <c r="D175">
        <v>228.68193425000001</v>
      </c>
      <c r="E175">
        <v>242.31339625000001</v>
      </c>
      <c r="F175">
        <v>4.4839834999999999</v>
      </c>
      <c r="G175">
        <v>265.59146125000001</v>
      </c>
      <c r="H175">
        <v>-16</v>
      </c>
      <c r="I175">
        <v>4</v>
      </c>
      <c r="J175">
        <v>1.18</v>
      </c>
      <c r="K175">
        <v>21.036985000000001</v>
      </c>
      <c r="L175">
        <v>-0.39446877720665208</v>
      </c>
      <c r="M175">
        <v>-1.103324916960386</v>
      </c>
      <c r="N175">
        <v>-0.1358704943987559</v>
      </c>
      <c r="O175">
        <v>0.38805980190437761</v>
      </c>
    </row>
    <row r="176" spans="1:15" x14ac:dyDescent="0.25">
      <c r="A176">
        <v>84.564592250000004</v>
      </c>
      <c r="B176">
        <v>50.215851000000001</v>
      </c>
      <c r="C176">
        <v>201.29075225</v>
      </c>
      <c r="D176">
        <v>237.75221625</v>
      </c>
      <c r="E176">
        <v>252.06145100000001</v>
      </c>
      <c r="F176">
        <v>4.8251410000000003</v>
      </c>
      <c r="G176">
        <v>282.52374275</v>
      </c>
      <c r="H176">
        <v>-16</v>
      </c>
      <c r="I176">
        <v>8</v>
      </c>
      <c r="J176">
        <v>1.18</v>
      </c>
      <c r="K176">
        <v>21.695040250000002</v>
      </c>
      <c r="L176">
        <v>-0.63205189028184028</v>
      </c>
      <c r="M176">
        <v>-1.015493253737118</v>
      </c>
      <c r="N176">
        <v>-0.1649545825444467</v>
      </c>
      <c r="O176">
        <v>0.33883330684910762</v>
      </c>
    </row>
    <row r="177" spans="1:15" x14ac:dyDescent="0.25">
      <c r="A177">
        <v>60.409709999999997</v>
      </c>
      <c r="B177">
        <v>53.686408</v>
      </c>
      <c r="C177">
        <v>232.8214035</v>
      </c>
      <c r="D177">
        <v>243.31700900000001</v>
      </c>
      <c r="E177">
        <v>255.05754875</v>
      </c>
      <c r="F177">
        <v>5.1175759999999997</v>
      </c>
      <c r="G177">
        <v>298.85568224999997</v>
      </c>
      <c r="H177">
        <v>-16</v>
      </c>
      <c r="I177">
        <v>12</v>
      </c>
      <c r="J177">
        <v>1.18</v>
      </c>
      <c r="K177">
        <v>22.31278975</v>
      </c>
      <c r="L177">
        <v>-0.87072636419609295</v>
      </c>
      <c r="M177">
        <v>-0.95767399805828746</v>
      </c>
      <c r="N177">
        <v>-0.22119372453952341</v>
      </c>
      <c r="O177">
        <v>0.26227036385036778</v>
      </c>
    </row>
    <row r="178" spans="1:15" x14ac:dyDescent="0.25">
      <c r="A178">
        <v>30.92726575</v>
      </c>
      <c r="B178">
        <v>45.749039499999988</v>
      </c>
      <c r="C178">
        <v>260.28664400000002</v>
      </c>
      <c r="D178">
        <v>242.48455050000001</v>
      </c>
      <c r="E178">
        <v>245.846138</v>
      </c>
      <c r="F178">
        <v>5.7512045000000001</v>
      </c>
      <c r="G178">
        <v>311.86507399999999</v>
      </c>
      <c r="H178">
        <v>-16</v>
      </c>
      <c r="I178">
        <v>16</v>
      </c>
      <c r="J178">
        <v>1.18</v>
      </c>
      <c r="K178">
        <v>22.777988499999999</v>
      </c>
      <c r="L178">
        <v>-1.1052918379218899</v>
      </c>
      <c r="M178">
        <v>-0.94807295898690258</v>
      </c>
      <c r="N178">
        <v>-0.31816468203500747</v>
      </c>
      <c r="O178">
        <v>0.1570590134371721</v>
      </c>
    </row>
    <row r="179" spans="1:15" x14ac:dyDescent="0.25">
      <c r="A179">
        <v>-4.9110827500000003</v>
      </c>
      <c r="B179">
        <v>17.125901500000001</v>
      </c>
      <c r="C179">
        <v>284.09301749999997</v>
      </c>
      <c r="D179">
        <v>235.51773075</v>
      </c>
      <c r="E179">
        <v>227.51276425</v>
      </c>
      <c r="F179">
        <v>5.7024852500000014</v>
      </c>
      <c r="G179">
        <v>323.2733915</v>
      </c>
      <c r="H179">
        <v>-16</v>
      </c>
      <c r="I179">
        <v>20</v>
      </c>
      <c r="J179">
        <v>1.18</v>
      </c>
      <c r="K179">
        <v>23.200330749999999</v>
      </c>
      <c r="L179">
        <v>-1.305291883855082</v>
      </c>
      <c r="M179">
        <v>-0.98638773676725189</v>
      </c>
      <c r="N179">
        <v>-0.43251142068237969</v>
      </c>
      <c r="O179">
        <v>1.8470332933432469E-3</v>
      </c>
    </row>
    <row r="180" spans="1:15" x14ac:dyDescent="0.25">
      <c r="A180">
        <v>-55.328525499999998</v>
      </c>
      <c r="B180">
        <v>-27.108721750000001</v>
      </c>
      <c r="C180">
        <v>305.05321475</v>
      </c>
      <c r="D180">
        <v>225.00165924999999</v>
      </c>
      <c r="E180">
        <v>195.00463875</v>
      </c>
      <c r="F180">
        <v>6.0924187500000002</v>
      </c>
      <c r="G180">
        <v>334.9219895</v>
      </c>
      <c r="H180">
        <v>-16</v>
      </c>
      <c r="I180">
        <v>24</v>
      </c>
      <c r="J180">
        <v>1.18</v>
      </c>
      <c r="K180">
        <v>23.607995500000001</v>
      </c>
      <c r="L180">
        <v>-1.525685014482804</v>
      </c>
      <c r="M180">
        <v>-1.0673502575123339</v>
      </c>
      <c r="N180">
        <v>-0.59243379752827519</v>
      </c>
      <c r="O180">
        <v>-0.20032532770180331</v>
      </c>
    </row>
    <row r="181" spans="1:15" x14ac:dyDescent="0.25">
      <c r="A181">
        <v>-113.58567600000001</v>
      </c>
      <c r="B181">
        <v>-77.007961499999993</v>
      </c>
      <c r="C181">
        <v>322.17395800000003</v>
      </c>
      <c r="D181">
        <v>206.55464175</v>
      </c>
      <c r="E181">
        <v>151.85413750000001</v>
      </c>
      <c r="F181">
        <v>6.0924284999999996</v>
      </c>
      <c r="G181">
        <v>344.20869475000001</v>
      </c>
      <c r="H181">
        <v>-16</v>
      </c>
      <c r="I181">
        <v>28</v>
      </c>
      <c r="J181">
        <v>1.18</v>
      </c>
      <c r="K181">
        <v>23.939053000000001</v>
      </c>
      <c r="L181">
        <v>-1.763164402544795</v>
      </c>
      <c r="M181">
        <v>-1.147323040383005</v>
      </c>
      <c r="N181">
        <v>-0.77830695954168749</v>
      </c>
      <c r="O181">
        <v>-0.41024140065794301</v>
      </c>
    </row>
    <row r="182" spans="1:15" x14ac:dyDescent="0.25">
      <c r="A182">
        <v>-154.22601700000001</v>
      </c>
      <c r="B182">
        <v>-120.046055</v>
      </c>
      <c r="C182">
        <v>305.36966699999999</v>
      </c>
      <c r="D182">
        <v>167.16302899999999</v>
      </c>
      <c r="E182">
        <v>87.284839500000004</v>
      </c>
      <c r="F182">
        <v>5.7999937500000014</v>
      </c>
      <c r="G182">
        <v>323.15379324999998</v>
      </c>
      <c r="H182">
        <v>-16</v>
      </c>
      <c r="I182">
        <v>32</v>
      </c>
      <c r="J182">
        <v>1.18</v>
      </c>
      <c r="K182">
        <v>23.192361500000001</v>
      </c>
      <c r="L182">
        <v>-2.0479147578635661</v>
      </c>
      <c r="M182">
        <v>-1.2797667368740531</v>
      </c>
      <c r="N182">
        <v>-1.0510158128654641</v>
      </c>
      <c r="O182">
        <v>-0.63689640520683322</v>
      </c>
    </row>
    <row r="183" spans="1:15" x14ac:dyDescent="0.25">
      <c r="A183">
        <v>-188.243145</v>
      </c>
      <c r="B183">
        <v>-157.4225045</v>
      </c>
      <c r="C183">
        <v>283.68683625</v>
      </c>
      <c r="D183">
        <v>127.81507875</v>
      </c>
      <c r="E183">
        <v>23.07325475</v>
      </c>
      <c r="F183">
        <v>5.2151292500000004</v>
      </c>
      <c r="G183">
        <v>299.33645625000003</v>
      </c>
      <c r="H183">
        <v>-16</v>
      </c>
      <c r="I183">
        <v>36</v>
      </c>
      <c r="J183">
        <v>1.18</v>
      </c>
      <c r="K183">
        <v>22.327306249999999</v>
      </c>
      <c r="L183">
        <v>-2.4089535839965621</v>
      </c>
      <c r="M183">
        <v>-1.456034345931378</v>
      </c>
      <c r="N183">
        <v>-1.4102119267029849</v>
      </c>
      <c r="O183">
        <v>-0.90884856065036757</v>
      </c>
    </row>
    <row r="184" spans="1:15" x14ac:dyDescent="0.25">
      <c r="A184">
        <v>-215.9524725</v>
      </c>
      <c r="B184">
        <v>-186.78628549999999</v>
      </c>
      <c r="C184">
        <v>261.50665275</v>
      </c>
      <c r="D184">
        <v>90.482820750000002</v>
      </c>
      <c r="E184">
        <v>-38.009737000000001</v>
      </c>
      <c r="F184">
        <v>4.6790010000000004</v>
      </c>
      <c r="G184">
        <v>278.00128925000001</v>
      </c>
      <c r="H184">
        <v>-16</v>
      </c>
      <c r="I184">
        <v>40</v>
      </c>
      <c r="J184">
        <v>1.18</v>
      </c>
      <c r="K184">
        <v>21.523409999999998</v>
      </c>
      <c r="L184">
        <v>-2.9228259383072892</v>
      </c>
      <c r="M184">
        <v>-1.6973703953071579</v>
      </c>
      <c r="N184">
        <v>-1.9345413139642409</v>
      </c>
      <c r="O184">
        <v>-1.26135631001947</v>
      </c>
    </row>
    <row r="185" spans="1:15" x14ac:dyDescent="0.25">
      <c r="A185">
        <v>-248.84320825</v>
      </c>
      <c r="B185">
        <v>-219.4127235</v>
      </c>
      <c r="C185">
        <v>247.59355174999999</v>
      </c>
      <c r="D185">
        <v>57.532173</v>
      </c>
      <c r="E185">
        <v>-97.611854749999992</v>
      </c>
      <c r="F185">
        <v>4.5815149999999996</v>
      </c>
      <c r="G185">
        <v>269.07482900000002</v>
      </c>
      <c r="H185">
        <v>-16</v>
      </c>
      <c r="I185">
        <v>44</v>
      </c>
      <c r="J185">
        <v>1.18</v>
      </c>
      <c r="K185">
        <v>21.172920749999999</v>
      </c>
      <c r="L185">
        <v>-3.6368218997715971</v>
      </c>
      <c r="M185">
        <v>-2.0289267486294169</v>
      </c>
      <c r="N185">
        <v>-2.686438416924096</v>
      </c>
      <c r="O185">
        <v>-1.748785991124411</v>
      </c>
    </row>
    <row r="186" spans="1:15" x14ac:dyDescent="0.25">
      <c r="A186">
        <v>276.404495</v>
      </c>
      <c r="B186">
        <v>-194.41511525000001</v>
      </c>
      <c r="C186">
        <v>-265.09462000000002</v>
      </c>
      <c r="D186">
        <v>64.236255</v>
      </c>
      <c r="E186">
        <v>1.16262025</v>
      </c>
      <c r="F186">
        <v>4.9226867500000004</v>
      </c>
      <c r="G186">
        <v>292.53181475000002</v>
      </c>
      <c r="H186">
        <v>-12</v>
      </c>
      <c r="I186">
        <v>-44</v>
      </c>
      <c r="J186">
        <v>1.18</v>
      </c>
      <c r="K186">
        <v>22.078780250000001</v>
      </c>
      <c r="L186">
        <v>2.34500940841265</v>
      </c>
      <c r="M186">
        <v>-1.1201014657274651</v>
      </c>
      <c r="N186">
        <v>-1.2618063595150151</v>
      </c>
      <c r="O186">
        <v>-1.016291855058209</v>
      </c>
    </row>
    <row r="187" spans="1:15" x14ac:dyDescent="0.25">
      <c r="A187">
        <v>294.01283999999998</v>
      </c>
      <c r="B187">
        <v>-152.09672175</v>
      </c>
      <c r="C187">
        <v>-233.55936800000001</v>
      </c>
      <c r="D187">
        <v>99.809673500000002</v>
      </c>
      <c r="E187">
        <v>57.459657749999998</v>
      </c>
      <c r="F187">
        <v>5.2634740000000004</v>
      </c>
      <c r="G187">
        <v>306.96896375</v>
      </c>
      <c r="H187">
        <v>-12</v>
      </c>
      <c r="I187">
        <v>-40</v>
      </c>
      <c r="J187">
        <v>1.18</v>
      </c>
      <c r="K187">
        <v>22.61337675</v>
      </c>
      <c r="L187">
        <v>2.1078581782350572</v>
      </c>
      <c r="M187">
        <v>-1.0064672098942431</v>
      </c>
      <c r="N187">
        <v>-0.99689133457977519</v>
      </c>
      <c r="O187">
        <v>-0.79145335212239432</v>
      </c>
    </row>
    <row r="188" spans="1:15" x14ac:dyDescent="0.25">
      <c r="A188">
        <v>307.42213450000003</v>
      </c>
      <c r="B188">
        <v>-108.00306875</v>
      </c>
      <c r="C188">
        <v>-193.94855125000001</v>
      </c>
      <c r="D188">
        <v>136.61395250000001</v>
      </c>
      <c r="E188">
        <v>113.75673449999999</v>
      </c>
      <c r="F188">
        <v>5.7016884999999986</v>
      </c>
      <c r="G188">
        <v>320.61652350000003</v>
      </c>
      <c r="H188">
        <v>-12</v>
      </c>
      <c r="I188">
        <v>-36</v>
      </c>
      <c r="J188">
        <v>1.18</v>
      </c>
      <c r="K188">
        <v>23.103104500000001</v>
      </c>
      <c r="L188">
        <v>1.8938665189240329</v>
      </c>
      <c r="M188">
        <v>-0.92401658645481044</v>
      </c>
      <c r="N188">
        <v>-0.78139257571590615</v>
      </c>
      <c r="O188">
        <v>-0.59183223785580319</v>
      </c>
    </row>
    <row r="189" spans="1:15" x14ac:dyDescent="0.25">
      <c r="A189">
        <v>314.82659925000002</v>
      </c>
      <c r="B189">
        <v>-63.621531750000003</v>
      </c>
      <c r="C189">
        <v>-146.26219925000001</v>
      </c>
      <c r="D189">
        <v>170.13191975000001</v>
      </c>
      <c r="E189">
        <v>166.11889274999999</v>
      </c>
      <c r="F189">
        <v>5.8970297499999997</v>
      </c>
      <c r="G189">
        <v>330.60292075000001</v>
      </c>
      <c r="H189">
        <v>-12</v>
      </c>
      <c r="I189">
        <v>-32</v>
      </c>
      <c r="J189">
        <v>1.18</v>
      </c>
      <c r="K189">
        <v>23.459513250000001</v>
      </c>
      <c r="L189">
        <v>1.701064836607787</v>
      </c>
      <c r="M189">
        <v>-0.86236590512575029</v>
      </c>
      <c r="N189">
        <v>-0.60682243768479116</v>
      </c>
      <c r="O189">
        <v>-0.40891181881158112</v>
      </c>
    </row>
    <row r="190" spans="1:15" x14ac:dyDescent="0.25">
      <c r="A190">
        <v>318.75514199999998</v>
      </c>
      <c r="B190">
        <v>-18.520294750000001</v>
      </c>
      <c r="C190">
        <v>-95.82385450000001</v>
      </c>
      <c r="D190">
        <v>200.42627350000001</v>
      </c>
      <c r="E190">
        <v>215.93219725</v>
      </c>
      <c r="F190">
        <v>6.1885607499999997</v>
      </c>
      <c r="G190">
        <v>341.12811299999998</v>
      </c>
      <c r="H190">
        <v>-12</v>
      </c>
      <c r="I190">
        <v>-28</v>
      </c>
      <c r="J190">
        <v>1.18</v>
      </c>
      <c r="K190">
        <v>23.826329250000001</v>
      </c>
      <c r="L190">
        <v>1.5180152322246381</v>
      </c>
      <c r="M190">
        <v>-0.80169154631642292</v>
      </c>
      <c r="N190">
        <v>-0.45841295922390551</v>
      </c>
      <c r="O190">
        <v>-0.23198017046057939</v>
      </c>
    </row>
    <row r="191" spans="1:15" x14ac:dyDescent="0.25">
      <c r="A191">
        <v>298.70893100000001</v>
      </c>
      <c r="B191">
        <v>20.303718499999999</v>
      </c>
      <c r="C191">
        <v>-37.35506075</v>
      </c>
      <c r="D191">
        <v>215.00114450000001</v>
      </c>
      <c r="E191">
        <v>244.77384175</v>
      </c>
      <c r="F191">
        <v>6.0419610000000006</v>
      </c>
      <c r="G191">
        <v>330.18199924999999</v>
      </c>
      <c r="H191">
        <v>-12</v>
      </c>
      <c r="I191">
        <v>-24</v>
      </c>
      <c r="J191">
        <v>1.18</v>
      </c>
      <c r="K191">
        <v>23.439012999999999</v>
      </c>
      <c r="L191">
        <v>1.3268150426916521</v>
      </c>
      <c r="M191">
        <v>-0.76865527689894009</v>
      </c>
      <c r="N191">
        <v>-0.33722560728631468</v>
      </c>
      <c r="O191">
        <v>-5.7506433362057852E-2</v>
      </c>
    </row>
    <row r="192" spans="1:15" x14ac:dyDescent="0.25">
      <c r="A192">
        <v>261.37039950000002</v>
      </c>
      <c r="B192">
        <v>41.665934249999999</v>
      </c>
      <c r="C192">
        <v>11.9257215</v>
      </c>
      <c r="D192">
        <v>211.71578975</v>
      </c>
      <c r="E192">
        <v>249.290188</v>
      </c>
      <c r="F192">
        <v>5.2623610000000003</v>
      </c>
      <c r="G192">
        <v>302.68204500000002</v>
      </c>
      <c r="H192">
        <v>-12</v>
      </c>
      <c r="I192">
        <v>-20</v>
      </c>
      <c r="J192">
        <v>1.18</v>
      </c>
      <c r="K192">
        <v>22.452169000000001</v>
      </c>
      <c r="L192">
        <v>1.1211019370959221</v>
      </c>
      <c r="M192">
        <v>-0.76429417903462582</v>
      </c>
      <c r="N192">
        <v>-0.23996738358391581</v>
      </c>
      <c r="O192">
        <v>9.6797797752282769E-2</v>
      </c>
    </row>
    <row r="193" spans="1:15" x14ac:dyDescent="0.25">
      <c r="A193">
        <v>230.17223724999999</v>
      </c>
      <c r="B193">
        <v>55.570633749999999</v>
      </c>
      <c r="C193">
        <v>52.175064999999996</v>
      </c>
      <c r="D193">
        <v>210.44534675</v>
      </c>
      <c r="E193">
        <v>251.16836549999999</v>
      </c>
      <c r="F193">
        <v>4.9212812499999998</v>
      </c>
      <c r="G193">
        <v>283.60592674999998</v>
      </c>
      <c r="H193">
        <v>-12</v>
      </c>
      <c r="I193">
        <v>-16</v>
      </c>
      <c r="J193">
        <v>1.18</v>
      </c>
      <c r="K193">
        <v>21.733533250000001</v>
      </c>
      <c r="L193">
        <v>0.90218941688688448</v>
      </c>
      <c r="M193">
        <v>-0.78499049328911297</v>
      </c>
      <c r="N193">
        <v>-0.16441181301835411</v>
      </c>
      <c r="O193">
        <v>0.24811296706075539</v>
      </c>
    </row>
    <row r="194" spans="1:15" x14ac:dyDescent="0.25">
      <c r="A194">
        <v>199.74134425</v>
      </c>
      <c r="B194">
        <v>63.701811500000012</v>
      </c>
      <c r="C194">
        <v>84.880401500000005</v>
      </c>
      <c r="D194">
        <v>205.97728724999999</v>
      </c>
      <c r="E194">
        <v>246.11556225000001</v>
      </c>
      <c r="F194">
        <v>4.5314762500000008</v>
      </c>
      <c r="G194">
        <v>266.11353300000002</v>
      </c>
      <c r="H194">
        <v>-12</v>
      </c>
      <c r="I194">
        <v>-12</v>
      </c>
      <c r="J194">
        <v>1.18</v>
      </c>
      <c r="K194">
        <v>21.056082750000002</v>
      </c>
      <c r="L194">
        <v>0.66848374187964132</v>
      </c>
      <c r="M194">
        <v>-0.82802710193740114</v>
      </c>
      <c r="N194">
        <v>-0.1163861320768005</v>
      </c>
      <c r="O194">
        <v>0.40599249000797089</v>
      </c>
    </row>
    <row r="195" spans="1:15" x14ac:dyDescent="0.25">
      <c r="A195">
        <v>193.60112749999999</v>
      </c>
      <c r="B195">
        <v>74.527271249999998</v>
      </c>
      <c r="C195">
        <v>120.65763875</v>
      </c>
      <c r="D195">
        <v>226.610119</v>
      </c>
      <c r="E195">
        <v>270.97744749999998</v>
      </c>
      <c r="F195">
        <v>4.8238492500000003</v>
      </c>
      <c r="G195">
        <v>284.92697149999998</v>
      </c>
      <c r="H195">
        <v>-12</v>
      </c>
      <c r="I195">
        <v>-8</v>
      </c>
      <c r="J195">
        <v>1.18</v>
      </c>
      <c r="K195">
        <v>21.788764749999999</v>
      </c>
      <c r="L195">
        <v>0.42071111039466058</v>
      </c>
      <c r="M195">
        <v>-0.87713506700458277</v>
      </c>
      <c r="N195">
        <v>-8.0460988473451844E-2</v>
      </c>
      <c r="O195">
        <v>0.53503720962920798</v>
      </c>
    </row>
    <row r="196" spans="1:15" x14ac:dyDescent="0.25">
      <c r="A196">
        <v>181.817173</v>
      </c>
      <c r="B196">
        <v>80.348982000000007</v>
      </c>
      <c r="C196">
        <v>154.0406265</v>
      </c>
      <c r="D196">
        <v>241.94226075</v>
      </c>
      <c r="E196">
        <v>290.51840974999999</v>
      </c>
      <c r="F196">
        <v>5.3111160000000002</v>
      </c>
      <c r="G196">
        <v>301.81941225000003</v>
      </c>
      <c r="H196">
        <v>-12</v>
      </c>
      <c r="I196">
        <v>-4</v>
      </c>
      <c r="J196">
        <v>1.18</v>
      </c>
      <c r="K196">
        <v>22.417760749999999</v>
      </c>
      <c r="L196">
        <v>0.16025503287713941</v>
      </c>
      <c r="M196">
        <v>-0.93232258412378954</v>
      </c>
      <c r="N196">
        <v>-6.5204730398381108E-2</v>
      </c>
      <c r="O196">
        <v>0.6455196486521495</v>
      </c>
    </row>
    <row r="197" spans="1:15" x14ac:dyDescent="0.25">
      <c r="A197">
        <v>163.080162</v>
      </c>
      <c r="B197">
        <v>85.112249250000005</v>
      </c>
      <c r="C197">
        <v>185.70710775000001</v>
      </c>
      <c r="D197">
        <v>252.06170650000001</v>
      </c>
      <c r="E197">
        <v>303.03882599999997</v>
      </c>
      <c r="F197">
        <v>5.5547440000000003</v>
      </c>
      <c r="G197">
        <v>314.54885849999999</v>
      </c>
      <c r="H197">
        <v>-12</v>
      </c>
      <c r="I197">
        <v>0</v>
      </c>
      <c r="J197">
        <v>1.18</v>
      </c>
      <c r="K197">
        <v>22.884898</v>
      </c>
      <c r="L197">
        <v>-0.12642757390441331</v>
      </c>
      <c r="M197">
        <v>-0.93297617365945917</v>
      </c>
      <c r="N197">
        <v>-6.4334142494635232E-2</v>
      </c>
      <c r="O197">
        <v>0.66247198758570158</v>
      </c>
    </row>
    <row r="198" spans="1:15" x14ac:dyDescent="0.25">
      <c r="A198">
        <v>140.68603899999999</v>
      </c>
      <c r="B198">
        <v>93.387697250000002</v>
      </c>
      <c r="C198">
        <v>219.72266375000001</v>
      </c>
      <c r="D198">
        <v>260.69155124999997</v>
      </c>
      <c r="E198">
        <v>312.60817724999998</v>
      </c>
      <c r="F198">
        <v>5.7983820000000001</v>
      </c>
      <c r="G198">
        <v>326.357643</v>
      </c>
      <c r="H198">
        <v>-12</v>
      </c>
      <c r="I198">
        <v>4</v>
      </c>
      <c r="J198">
        <v>1.18</v>
      </c>
      <c r="K198">
        <v>23.309231</v>
      </c>
      <c r="L198">
        <v>-0.40413663875929029</v>
      </c>
      <c r="M198">
        <v>-0.85545610704416031</v>
      </c>
      <c r="N198">
        <v>-7.0307761028076787E-2</v>
      </c>
      <c r="O198">
        <v>0.56879163114913522</v>
      </c>
    </row>
    <row r="199" spans="1:15" x14ac:dyDescent="0.25">
      <c r="A199">
        <v>113.641493</v>
      </c>
      <c r="B199">
        <v>106.18583125000001</v>
      </c>
      <c r="C199">
        <v>253.51224525000001</v>
      </c>
      <c r="D199">
        <v>263.14466099999999</v>
      </c>
      <c r="E199">
        <v>318.868561</v>
      </c>
      <c r="F199">
        <v>5.9445560000000004</v>
      </c>
      <c r="G199">
        <v>338.20626824999999</v>
      </c>
      <c r="H199">
        <v>-12</v>
      </c>
      <c r="I199">
        <v>8</v>
      </c>
      <c r="J199">
        <v>1.18</v>
      </c>
      <c r="K199">
        <v>23.73088375</v>
      </c>
      <c r="L199">
        <v>-0.66940527977767239</v>
      </c>
      <c r="M199">
        <v>-0.75118090361536438</v>
      </c>
      <c r="N199">
        <v>-9.256808376692463E-2</v>
      </c>
      <c r="O199">
        <v>0.49757644938776208</v>
      </c>
    </row>
    <row r="200" spans="1:15" x14ac:dyDescent="0.25">
      <c r="A200">
        <v>83.436462500000005</v>
      </c>
      <c r="B200">
        <v>99.725017500000007</v>
      </c>
      <c r="C200">
        <v>280.93232725000001</v>
      </c>
      <c r="D200">
        <v>258.57813249999998</v>
      </c>
      <c r="E200">
        <v>312.47410600000001</v>
      </c>
      <c r="F200">
        <v>6.1394527500000002</v>
      </c>
      <c r="G200">
        <v>346.17207324999998</v>
      </c>
      <c r="H200">
        <v>-12</v>
      </c>
      <c r="I200">
        <v>12</v>
      </c>
      <c r="J200">
        <v>1.18</v>
      </c>
      <c r="K200">
        <v>24.00679775</v>
      </c>
      <c r="L200">
        <v>-0.89405894986220469</v>
      </c>
      <c r="M200">
        <v>-0.71915806307139107</v>
      </c>
      <c r="N200">
        <v>-0.152570970810954</v>
      </c>
      <c r="O200">
        <v>0.38681004067398689</v>
      </c>
    </row>
    <row r="201" spans="1:15" x14ac:dyDescent="0.25">
      <c r="A201">
        <v>39.731647500000001</v>
      </c>
      <c r="B201">
        <v>76.532140749999996</v>
      </c>
      <c r="C201">
        <v>272.75613399999997</v>
      </c>
      <c r="D201">
        <v>222.38942725000001</v>
      </c>
      <c r="E201">
        <v>265.56735225</v>
      </c>
      <c r="F201">
        <v>5.5060219999999997</v>
      </c>
      <c r="G201">
        <v>315.58989724999998</v>
      </c>
      <c r="H201">
        <v>-12</v>
      </c>
      <c r="I201">
        <v>16</v>
      </c>
      <c r="J201">
        <v>1.18</v>
      </c>
      <c r="K201">
        <v>22.92519325</v>
      </c>
      <c r="L201">
        <v>-1.123342186734408</v>
      </c>
      <c r="M201">
        <v>-0.70314804253351426</v>
      </c>
      <c r="N201">
        <v>-0.24115006757055549</v>
      </c>
      <c r="O201">
        <v>0.25370444656837021</v>
      </c>
    </row>
    <row r="202" spans="1:15" x14ac:dyDescent="0.25">
      <c r="A202">
        <v>-2.2527902499999999</v>
      </c>
      <c r="B202">
        <v>44.059435999999998</v>
      </c>
      <c r="C202">
        <v>265.57380675000002</v>
      </c>
      <c r="D202">
        <v>191.50201799999999</v>
      </c>
      <c r="E202">
        <v>219.5102995</v>
      </c>
      <c r="F202">
        <v>5.1162089999999996</v>
      </c>
      <c r="G202">
        <v>291.69273375</v>
      </c>
      <c r="H202">
        <v>-12</v>
      </c>
      <c r="I202">
        <v>20</v>
      </c>
      <c r="J202">
        <v>1.18</v>
      </c>
      <c r="K202">
        <v>22.03909075</v>
      </c>
      <c r="L202">
        <v>-1.3485291342814021</v>
      </c>
      <c r="M202">
        <v>-0.74238632867754106</v>
      </c>
      <c r="N202">
        <v>-0.36344733021295678</v>
      </c>
      <c r="O202">
        <v>7.9491989414870678E-2</v>
      </c>
    </row>
    <row r="203" spans="1:15" x14ac:dyDescent="0.25">
      <c r="A203">
        <v>-42.4931755</v>
      </c>
      <c r="B203">
        <v>11.11105875</v>
      </c>
      <c r="C203">
        <v>256.0873335</v>
      </c>
      <c r="D203">
        <v>161.949703</v>
      </c>
      <c r="E203">
        <v>173.05038074999999</v>
      </c>
      <c r="F203">
        <v>4.4349559999999997</v>
      </c>
      <c r="G203">
        <v>272.35855850000002</v>
      </c>
      <c r="H203">
        <v>-12</v>
      </c>
      <c r="I203">
        <v>24</v>
      </c>
      <c r="J203">
        <v>1.18</v>
      </c>
      <c r="K203">
        <v>21.309790499999998</v>
      </c>
      <c r="L203">
        <v>-1.581951513554295</v>
      </c>
      <c r="M203">
        <v>-0.7991196093148426</v>
      </c>
      <c r="N203">
        <v>-0.52617209310249047</v>
      </c>
      <c r="O203">
        <v>-0.1065837047100672</v>
      </c>
    </row>
    <row r="204" spans="1:15" x14ac:dyDescent="0.25">
      <c r="A204">
        <v>-90.444774499999994</v>
      </c>
      <c r="B204">
        <v>-24.613760249999999</v>
      </c>
      <c r="C204">
        <v>264.444481</v>
      </c>
      <c r="D204">
        <v>142.494877</v>
      </c>
      <c r="E204">
        <v>133.96866600000001</v>
      </c>
      <c r="F204">
        <v>4.1428437499999999</v>
      </c>
      <c r="G204">
        <v>275.40085599999998</v>
      </c>
      <c r="H204">
        <v>-12</v>
      </c>
      <c r="I204">
        <v>28</v>
      </c>
      <c r="J204">
        <v>1.18</v>
      </c>
      <c r="K204">
        <v>21.441970000000001</v>
      </c>
      <c r="L204">
        <v>-1.853262484667298</v>
      </c>
      <c r="M204">
        <v>-0.87265580628827788</v>
      </c>
      <c r="N204">
        <v>-0.73860530331250751</v>
      </c>
      <c r="O204">
        <v>-0.32204925764034248</v>
      </c>
    </row>
    <row r="205" spans="1:15" x14ac:dyDescent="0.25">
      <c r="A205">
        <v>-145.82906700000001</v>
      </c>
      <c r="B205">
        <v>-68.323571999999999</v>
      </c>
      <c r="C205">
        <v>283.14636250000001</v>
      </c>
      <c r="D205">
        <v>124.61714575000001</v>
      </c>
      <c r="E205">
        <v>88.537477499999994</v>
      </c>
      <c r="F205">
        <v>4.6299142500000006</v>
      </c>
      <c r="G205">
        <v>291.77296424999997</v>
      </c>
      <c r="H205">
        <v>-12</v>
      </c>
      <c r="I205">
        <v>32</v>
      </c>
      <c r="J205">
        <v>1.18</v>
      </c>
      <c r="K205">
        <v>22.060886499999999</v>
      </c>
      <c r="L205">
        <v>-2.1929967365979488</v>
      </c>
      <c r="M205">
        <v>-0.98634049887461095</v>
      </c>
      <c r="N205">
        <v>-1.0389968655994579</v>
      </c>
      <c r="O205">
        <v>-0.57105328030144986</v>
      </c>
    </row>
    <row r="206" spans="1:15" x14ac:dyDescent="0.25">
      <c r="A206">
        <v>-201.213562</v>
      </c>
      <c r="B206">
        <v>-114.4803715</v>
      </c>
      <c r="C206">
        <v>298.00844575000002</v>
      </c>
      <c r="D206">
        <v>100.73672474999999</v>
      </c>
      <c r="E206">
        <v>32.419029249999987</v>
      </c>
      <c r="F206">
        <v>4.9226770000000002</v>
      </c>
      <c r="G206">
        <v>305.66301725</v>
      </c>
      <c r="H206">
        <v>-12</v>
      </c>
      <c r="I206">
        <v>36</v>
      </c>
      <c r="J206">
        <v>1.18</v>
      </c>
      <c r="K206">
        <v>22.577175749999999</v>
      </c>
      <c r="L206">
        <v>-2.623982354240225</v>
      </c>
      <c r="M206">
        <v>-1.1312467245593301</v>
      </c>
      <c r="N206">
        <v>-1.4363399838885731</v>
      </c>
      <c r="O206">
        <v>-0.85554497544407349</v>
      </c>
    </row>
    <row r="207" spans="1:15" x14ac:dyDescent="0.25">
      <c r="A207">
        <v>-255.319771</v>
      </c>
      <c r="B207">
        <v>-163.56394599999999</v>
      </c>
      <c r="C207">
        <v>308.44357300000001</v>
      </c>
      <c r="D207">
        <v>70.020589999999999</v>
      </c>
      <c r="E207">
        <v>-36.8052025</v>
      </c>
      <c r="F207">
        <v>5.4100727500000003</v>
      </c>
      <c r="G207">
        <v>318.71284474999999</v>
      </c>
      <c r="H207">
        <v>-12</v>
      </c>
      <c r="I207">
        <v>40</v>
      </c>
      <c r="J207">
        <v>1.18</v>
      </c>
      <c r="K207">
        <v>23.043897749999999</v>
      </c>
      <c r="L207">
        <v>-3.2659137605071171</v>
      </c>
      <c r="M207">
        <v>-1.3530918738918021</v>
      </c>
      <c r="N207">
        <v>-2.0596226355755438</v>
      </c>
      <c r="O207">
        <v>-1.244645346495882</v>
      </c>
    </row>
    <row r="208" spans="1:15" x14ac:dyDescent="0.25">
      <c r="A208">
        <v>-307.99675000000002</v>
      </c>
      <c r="B208">
        <v>-214.61470399999999</v>
      </c>
      <c r="C208">
        <v>312.14786525</v>
      </c>
      <c r="D208">
        <v>34.265406499999997</v>
      </c>
      <c r="E208">
        <v>-114.29688075</v>
      </c>
      <c r="F208">
        <v>5.6050409999999999</v>
      </c>
      <c r="G208">
        <v>329.04031375</v>
      </c>
      <c r="H208">
        <v>-12</v>
      </c>
      <c r="I208">
        <v>44</v>
      </c>
      <c r="J208">
        <v>1.18</v>
      </c>
      <c r="K208">
        <v>23.4135685</v>
      </c>
      <c r="L208">
        <v>-4.2194751941786279</v>
      </c>
      <c r="M208">
        <v>-1.693549378136765</v>
      </c>
      <c r="N208">
        <v>-3.0169334575588889</v>
      </c>
      <c r="O208">
        <v>-1.816122259371276</v>
      </c>
    </row>
    <row r="209" spans="1:15" x14ac:dyDescent="0.25">
      <c r="A209">
        <v>333.15959149999998</v>
      </c>
      <c r="B209">
        <v>-176.08674250000001</v>
      </c>
      <c r="C209">
        <v>-316.57062524999998</v>
      </c>
      <c r="D209">
        <v>37.902272250000003</v>
      </c>
      <c r="E209">
        <v>3.3089835000000001</v>
      </c>
      <c r="F209">
        <v>5.8000302499999998</v>
      </c>
      <c r="G209">
        <v>342.89051074999998</v>
      </c>
      <c r="H209">
        <v>-8</v>
      </c>
      <c r="I209">
        <v>-44</v>
      </c>
      <c r="J209">
        <v>1.18</v>
      </c>
      <c r="K209">
        <v>23.902712749999999</v>
      </c>
      <c r="L209">
        <v>2.6026904107634379</v>
      </c>
      <c r="M209">
        <v>-0.85721624650146189</v>
      </c>
      <c r="N209">
        <v>-1.36031545815368</v>
      </c>
      <c r="O209">
        <v>-1.0099857163515129</v>
      </c>
    </row>
    <row r="210" spans="1:15" x14ac:dyDescent="0.25">
      <c r="A210">
        <v>318.57622524999999</v>
      </c>
      <c r="B210">
        <v>-116.639471</v>
      </c>
      <c r="C210">
        <v>-252.50758350000001</v>
      </c>
      <c r="D210">
        <v>72.211494250000001</v>
      </c>
      <c r="E210">
        <v>63.317790250000002</v>
      </c>
      <c r="F210">
        <v>5.5075917499999996</v>
      </c>
      <c r="G210">
        <v>323.87689949999998</v>
      </c>
      <c r="H210">
        <v>-8</v>
      </c>
      <c r="I210">
        <v>-40</v>
      </c>
      <c r="J210">
        <v>1.18</v>
      </c>
      <c r="K210">
        <v>23.229420000000001</v>
      </c>
      <c r="L210">
        <v>2.3037665842620312</v>
      </c>
      <c r="M210">
        <v>-0.76183321528340819</v>
      </c>
      <c r="N210">
        <v>-1.051097529466096</v>
      </c>
      <c r="O210">
        <v>-0.76679421008643489</v>
      </c>
    </row>
    <row r="211" spans="1:15" x14ac:dyDescent="0.25">
      <c r="A211">
        <v>292.84117125</v>
      </c>
      <c r="B211">
        <v>-60.742728</v>
      </c>
      <c r="C211">
        <v>-182.44428250000001</v>
      </c>
      <c r="D211">
        <v>99.685165499999997</v>
      </c>
      <c r="E211">
        <v>112.81845275000001</v>
      </c>
      <c r="F211">
        <v>4.9227132500000002</v>
      </c>
      <c r="G211">
        <v>298.97850799999998</v>
      </c>
      <c r="H211">
        <v>-8</v>
      </c>
      <c r="I211">
        <v>-36</v>
      </c>
      <c r="J211">
        <v>1.18</v>
      </c>
      <c r="K211">
        <v>22.324841500000002</v>
      </c>
      <c r="L211">
        <v>2.0275797819778139</v>
      </c>
      <c r="M211">
        <v>-0.68438433595976822</v>
      </c>
      <c r="N211">
        <v>-0.79416800954418387</v>
      </c>
      <c r="O211">
        <v>-0.53972341332694584</v>
      </c>
    </row>
    <row r="212" spans="1:15" x14ac:dyDescent="0.25">
      <c r="A212">
        <v>274.69079599999998</v>
      </c>
      <c r="B212">
        <v>-17.608673750000001</v>
      </c>
      <c r="C212">
        <v>-124.78755575</v>
      </c>
      <c r="D212">
        <v>119.79752525000001</v>
      </c>
      <c r="E212">
        <v>149.61970925</v>
      </c>
      <c r="F212">
        <v>4.6790090000000006</v>
      </c>
      <c r="G212">
        <v>282.00633225000001</v>
      </c>
      <c r="H212">
        <v>-8</v>
      </c>
      <c r="I212">
        <v>-32</v>
      </c>
      <c r="J212">
        <v>1.18</v>
      </c>
      <c r="K212">
        <v>21.680536249999999</v>
      </c>
      <c r="L212">
        <v>1.8090886040437879</v>
      </c>
      <c r="M212">
        <v>-0.6222670401067395</v>
      </c>
      <c r="N212">
        <v>-0.5995330560954617</v>
      </c>
      <c r="O212">
        <v>-0.34361593115988548</v>
      </c>
    </row>
    <row r="213" spans="1:15" x14ac:dyDescent="0.25">
      <c r="A213">
        <v>254.96052524999999</v>
      </c>
      <c r="B213">
        <v>14.8670285</v>
      </c>
      <c r="C213">
        <v>-73.040868500000002</v>
      </c>
      <c r="D213">
        <v>134.69557574999999</v>
      </c>
      <c r="E213">
        <v>175.912712</v>
      </c>
      <c r="F213">
        <v>4.3865679999999996</v>
      </c>
      <c r="G213">
        <v>266.39492050000001</v>
      </c>
      <c r="H213">
        <v>-8</v>
      </c>
      <c r="I213">
        <v>-28</v>
      </c>
      <c r="J213">
        <v>1.18</v>
      </c>
      <c r="K213">
        <v>21.073244500000001</v>
      </c>
      <c r="L213">
        <v>1.6000256036669189</v>
      </c>
      <c r="M213">
        <v>-0.58452731413964054</v>
      </c>
      <c r="N213">
        <v>-0.44138729643576619</v>
      </c>
      <c r="O213">
        <v>-0.16328897374654711</v>
      </c>
    </row>
    <row r="214" spans="1:15" x14ac:dyDescent="0.25">
      <c r="A214">
        <v>263.90017675000001</v>
      </c>
      <c r="B214">
        <v>47.006782749999999</v>
      </c>
      <c r="C214">
        <v>-34.963977499999999</v>
      </c>
      <c r="D214">
        <v>160.54804999999999</v>
      </c>
      <c r="E214">
        <v>218.48239525</v>
      </c>
      <c r="F214">
        <v>4.7277485000000006</v>
      </c>
      <c r="G214">
        <v>284.16809849999999</v>
      </c>
      <c r="H214">
        <v>-8</v>
      </c>
      <c r="I214">
        <v>-24</v>
      </c>
      <c r="J214">
        <v>1.18</v>
      </c>
      <c r="K214">
        <v>21.762968499999999</v>
      </c>
      <c r="L214">
        <v>1.4066950559434299</v>
      </c>
      <c r="M214">
        <v>-0.53440385376829314</v>
      </c>
      <c r="N214">
        <v>-0.30917463512535792</v>
      </c>
      <c r="O214">
        <v>6.0940513210943894E-3</v>
      </c>
    </row>
    <row r="215" spans="1:15" x14ac:dyDescent="0.25">
      <c r="A215">
        <v>267.15096275000002</v>
      </c>
      <c r="B215">
        <v>72.314432249999996</v>
      </c>
      <c r="C215">
        <v>6.0532187500000001</v>
      </c>
      <c r="D215">
        <v>184.910698</v>
      </c>
      <c r="E215">
        <v>254.836727</v>
      </c>
      <c r="F215">
        <v>4.8252247500000003</v>
      </c>
      <c r="G215">
        <v>299.81966399999999</v>
      </c>
      <c r="H215">
        <v>-8</v>
      </c>
      <c r="I215">
        <v>-20</v>
      </c>
      <c r="J215">
        <v>1.18</v>
      </c>
      <c r="K215">
        <v>22.360460750000001</v>
      </c>
      <c r="L215">
        <v>1.210762937076862</v>
      </c>
      <c r="M215">
        <v>-0.52213040891984119</v>
      </c>
      <c r="N215">
        <v>-0.20861751485959121</v>
      </c>
      <c r="O215">
        <v>0.15932077056704819</v>
      </c>
    </row>
    <row r="216" spans="1:15" x14ac:dyDescent="0.25">
      <c r="A216">
        <v>260.92058550000002</v>
      </c>
      <c r="B216">
        <v>94.109833000000009</v>
      </c>
      <c r="C216">
        <v>52.084978249999999</v>
      </c>
      <c r="D216">
        <v>206.07476075</v>
      </c>
      <c r="E216">
        <v>283.27603925</v>
      </c>
      <c r="F216">
        <v>5.0201764999999998</v>
      </c>
      <c r="G216">
        <v>311.22790524999999</v>
      </c>
      <c r="H216">
        <v>-8</v>
      </c>
      <c r="I216">
        <v>-16</v>
      </c>
      <c r="J216">
        <v>1.18</v>
      </c>
      <c r="K216">
        <v>22.781482</v>
      </c>
      <c r="L216">
        <v>0.99363694121536017</v>
      </c>
      <c r="M216">
        <v>-0.53270266246820897</v>
      </c>
      <c r="N216">
        <v>-0.13300655785448301</v>
      </c>
      <c r="O216">
        <v>0.3239023494583893</v>
      </c>
    </row>
    <row r="217" spans="1:15" x14ac:dyDescent="0.25">
      <c r="A217">
        <v>251.52943024999999</v>
      </c>
      <c r="B217">
        <v>112.58543225</v>
      </c>
      <c r="C217">
        <v>98.658846249999996</v>
      </c>
      <c r="D217">
        <v>224.78499249999999</v>
      </c>
      <c r="E217">
        <v>306.21536250000003</v>
      </c>
      <c r="F217">
        <v>5.6537899999999999</v>
      </c>
      <c r="G217">
        <v>322.2361755</v>
      </c>
      <c r="H217">
        <v>-8</v>
      </c>
      <c r="I217">
        <v>-12</v>
      </c>
      <c r="J217">
        <v>1.18</v>
      </c>
      <c r="K217">
        <v>23.164189</v>
      </c>
      <c r="L217">
        <v>0.7621281376021124</v>
      </c>
      <c r="M217">
        <v>-0.55935692581950813</v>
      </c>
      <c r="N217">
        <v>-7.9914748849211348E-2</v>
      </c>
      <c r="O217">
        <v>0.49835605508622322</v>
      </c>
    </row>
    <row r="218" spans="1:15" x14ac:dyDescent="0.25">
      <c r="A218">
        <v>236.67527375</v>
      </c>
      <c r="B218">
        <v>124.99869175000001</v>
      </c>
      <c r="C218">
        <v>142.88375475000001</v>
      </c>
      <c r="D218">
        <v>240.25272749999999</v>
      </c>
      <c r="E218">
        <v>325.71175375000001</v>
      </c>
      <c r="F218">
        <v>5.9949645</v>
      </c>
      <c r="G218">
        <v>333.40443425000001</v>
      </c>
      <c r="H218">
        <v>-8</v>
      </c>
      <c r="I218">
        <v>-8</v>
      </c>
      <c r="J218">
        <v>1.18</v>
      </c>
      <c r="K218">
        <v>23.556974</v>
      </c>
      <c r="L218">
        <v>0.48908450201675119</v>
      </c>
      <c r="M218">
        <v>-0.60099756308413632</v>
      </c>
      <c r="N218">
        <v>-4.0116118442643303E-2</v>
      </c>
      <c r="O218">
        <v>0.66719969793443479</v>
      </c>
    </row>
    <row r="219" spans="1:15" x14ac:dyDescent="0.25">
      <c r="A219">
        <v>215.99654000000001</v>
      </c>
      <c r="B219">
        <v>130.77244974999999</v>
      </c>
      <c r="C219">
        <v>177.66730125000001</v>
      </c>
      <c r="D219">
        <v>248.7095525</v>
      </c>
      <c r="E219">
        <v>336.84603125000001</v>
      </c>
      <c r="F219">
        <v>5.8974852499999999</v>
      </c>
      <c r="G219">
        <v>341.7306365</v>
      </c>
      <c r="H219">
        <v>-8</v>
      </c>
      <c r="I219">
        <v>-4</v>
      </c>
      <c r="J219">
        <v>1.18</v>
      </c>
      <c r="K219">
        <v>23.858091000000002</v>
      </c>
      <c r="L219">
        <v>0.2098773071493247</v>
      </c>
      <c r="M219">
        <v>-0.64579220947090377</v>
      </c>
      <c r="N219">
        <v>-2.6766613472018249E-2</v>
      </c>
      <c r="O219">
        <v>0.81217648367856865</v>
      </c>
    </row>
    <row r="220" spans="1:15" x14ac:dyDescent="0.25">
      <c r="A220">
        <v>180.68956374999999</v>
      </c>
      <c r="B220">
        <v>128.94413349999999</v>
      </c>
      <c r="C220">
        <v>200.66065225</v>
      </c>
      <c r="D220">
        <v>241.786419</v>
      </c>
      <c r="E220">
        <v>326.29322050000002</v>
      </c>
      <c r="F220">
        <v>5.4101075000000014</v>
      </c>
      <c r="G220">
        <v>330.08208474999998</v>
      </c>
      <c r="H220">
        <v>-8</v>
      </c>
      <c r="I220">
        <v>0</v>
      </c>
      <c r="J220">
        <v>1.18</v>
      </c>
      <c r="K220">
        <v>23.458248000000001</v>
      </c>
      <c r="L220">
        <v>-0.1164411563524312</v>
      </c>
      <c r="M220">
        <v>-0.65804120563278212</v>
      </c>
      <c r="N220">
        <v>-2.2085372467784289E-2</v>
      </c>
      <c r="O220">
        <v>0.87135010400426083</v>
      </c>
    </row>
    <row r="221" spans="1:15" x14ac:dyDescent="0.25">
      <c r="A221">
        <v>137.21040725</v>
      </c>
      <c r="B221">
        <v>122.151653</v>
      </c>
      <c r="C221">
        <v>208.2498095</v>
      </c>
      <c r="D221">
        <v>218.60699475000001</v>
      </c>
      <c r="E221">
        <v>297.94307724999999</v>
      </c>
      <c r="F221">
        <v>4.8252502499999999</v>
      </c>
      <c r="G221">
        <v>302.02144625</v>
      </c>
      <c r="H221">
        <v>-8</v>
      </c>
      <c r="I221">
        <v>4</v>
      </c>
      <c r="J221">
        <v>1.18</v>
      </c>
      <c r="K221">
        <v>22.443724</v>
      </c>
      <c r="L221">
        <v>-0.42217236788336188</v>
      </c>
      <c r="M221">
        <v>-0.57328134055837909</v>
      </c>
      <c r="N221">
        <v>-2.4285521015103121E-2</v>
      </c>
      <c r="O221">
        <v>0.74207772547924178</v>
      </c>
    </row>
    <row r="222" spans="1:15" x14ac:dyDescent="0.25">
      <c r="A222">
        <v>99.871478999999994</v>
      </c>
      <c r="B222">
        <v>115.512451</v>
      </c>
      <c r="C222">
        <v>214.66450125</v>
      </c>
      <c r="D222">
        <v>198.01252349999999</v>
      </c>
      <c r="E222">
        <v>273.03649925000002</v>
      </c>
      <c r="F222">
        <v>4.5815510000000002</v>
      </c>
      <c r="G222">
        <v>281.03006725</v>
      </c>
      <c r="H222">
        <v>-8</v>
      </c>
      <c r="I222">
        <v>8</v>
      </c>
      <c r="J222">
        <v>1.18</v>
      </c>
      <c r="K222">
        <v>21.646153999999999</v>
      </c>
      <c r="L222">
        <v>-0.69424444225977711</v>
      </c>
      <c r="M222">
        <v>-0.49894284412169371</v>
      </c>
      <c r="N222">
        <v>-4.8379818283821353E-2</v>
      </c>
      <c r="O222">
        <v>0.62365416473801194</v>
      </c>
    </row>
    <row r="223" spans="1:15" x14ac:dyDescent="0.25">
      <c r="A223">
        <v>64.835159000000004</v>
      </c>
      <c r="B223">
        <v>99.422864750000002</v>
      </c>
      <c r="C223">
        <v>219.72409049999999</v>
      </c>
      <c r="D223">
        <v>178.86424249999999</v>
      </c>
      <c r="E223">
        <v>247.50360125</v>
      </c>
      <c r="F223">
        <v>4.2891030000000008</v>
      </c>
      <c r="G223">
        <v>265.66890725000002</v>
      </c>
      <c r="H223">
        <v>-8</v>
      </c>
      <c r="I223">
        <v>12</v>
      </c>
      <c r="J223">
        <v>1.18</v>
      </c>
      <c r="K223">
        <v>21.047957749999998</v>
      </c>
      <c r="L223">
        <v>-0.93659371036700745</v>
      </c>
      <c r="M223">
        <v>-0.48038173668404699</v>
      </c>
      <c r="N223">
        <v>-0.1098541349414892</v>
      </c>
      <c r="O223">
        <v>0.47069548177850662</v>
      </c>
    </row>
    <row r="224" spans="1:15" x14ac:dyDescent="0.25">
      <c r="A224">
        <v>32.823958249999997</v>
      </c>
      <c r="B224">
        <v>91.8230535</v>
      </c>
      <c r="C224">
        <v>249.13206475000001</v>
      </c>
      <c r="D224">
        <v>176.36663425</v>
      </c>
      <c r="E224">
        <v>246.16225825000001</v>
      </c>
      <c r="F224">
        <v>4.7277675000000006</v>
      </c>
      <c r="G224">
        <v>281.77423850000002</v>
      </c>
      <c r="H224">
        <v>-8</v>
      </c>
      <c r="I224">
        <v>16</v>
      </c>
      <c r="J224">
        <v>1.18</v>
      </c>
      <c r="K224">
        <v>21.669553000000001</v>
      </c>
      <c r="L224">
        <v>-1.1766276889686</v>
      </c>
      <c r="M224">
        <v>-0.45994133535300152</v>
      </c>
      <c r="N224">
        <v>-0.19380877568291399</v>
      </c>
      <c r="O224">
        <v>0.31331456649483802</v>
      </c>
    </row>
    <row r="225" spans="1:15" x14ac:dyDescent="0.25">
      <c r="A225">
        <v>-7.6594867499999992</v>
      </c>
      <c r="B225">
        <v>73.405870499999992</v>
      </c>
      <c r="C225">
        <v>275.24245474999998</v>
      </c>
      <c r="D225">
        <v>169.18062950000001</v>
      </c>
      <c r="E225">
        <v>233.10528575000001</v>
      </c>
      <c r="F225">
        <v>5.1664285000000003</v>
      </c>
      <c r="G225">
        <v>297.26944750000001</v>
      </c>
      <c r="H225">
        <v>-8</v>
      </c>
      <c r="I225">
        <v>20</v>
      </c>
      <c r="J225">
        <v>1.18</v>
      </c>
      <c r="K225">
        <v>22.250604249999999</v>
      </c>
      <c r="L225">
        <v>-1.412880770509906</v>
      </c>
      <c r="M225">
        <v>-0.47831022146122321</v>
      </c>
      <c r="N225">
        <v>-0.32046591368504201</v>
      </c>
      <c r="O225">
        <v>0.13837870852210951</v>
      </c>
    </row>
    <row r="226" spans="1:15" x14ac:dyDescent="0.25">
      <c r="A226">
        <v>-55.643917999999999</v>
      </c>
      <c r="B226">
        <v>45.028029500000002</v>
      </c>
      <c r="C226">
        <v>298.00982675</v>
      </c>
      <c r="D226">
        <v>157.744213</v>
      </c>
      <c r="E226">
        <v>206.40962974999999</v>
      </c>
      <c r="F226">
        <v>5.3613759999999999</v>
      </c>
      <c r="G226">
        <v>311.516617</v>
      </c>
      <c r="H226">
        <v>-8</v>
      </c>
      <c r="I226">
        <v>24</v>
      </c>
      <c r="J226">
        <v>1.18</v>
      </c>
      <c r="K226">
        <v>22.779526000000001</v>
      </c>
      <c r="L226">
        <v>-1.6704442746293551</v>
      </c>
      <c r="M226">
        <v>-0.53239376766937463</v>
      </c>
      <c r="N226">
        <v>-0.49649665998890641</v>
      </c>
      <c r="O226">
        <v>-5.0403957380547648E-2</v>
      </c>
    </row>
    <row r="227" spans="1:15" x14ac:dyDescent="0.25">
      <c r="A227">
        <v>-107.59326</v>
      </c>
      <c r="B227">
        <v>11.161454000000001</v>
      </c>
      <c r="C227">
        <v>313.91114049999999</v>
      </c>
      <c r="D227">
        <v>136.14195649999999</v>
      </c>
      <c r="E227">
        <v>164.6450385</v>
      </c>
      <c r="F227">
        <v>5.4588557499999997</v>
      </c>
      <c r="G227">
        <v>321.74053924999998</v>
      </c>
      <c r="H227">
        <v>-8</v>
      </c>
      <c r="I227">
        <v>28</v>
      </c>
      <c r="J227">
        <v>1.18</v>
      </c>
      <c r="K227">
        <v>23.153196749999999</v>
      </c>
      <c r="L227">
        <v>-1.9802013113759609</v>
      </c>
      <c r="M227">
        <v>-0.58711721708735409</v>
      </c>
      <c r="N227">
        <v>-0.73802480149373995</v>
      </c>
      <c r="O227">
        <v>-0.2521429721379701</v>
      </c>
    </row>
    <row r="228" spans="1:15" x14ac:dyDescent="0.25">
      <c r="A228">
        <v>-163.23717475000001</v>
      </c>
      <c r="B228">
        <v>-29.891564249999998</v>
      </c>
      <c r="C228">
        <v>327.3277665</v>
      </c>
      <c r="D228">
        <v>108.93116375</v>
      </c>
      <c r="E228">
        <v>110.89614125</v>
      </c>
      <c r="F228">
        <v>5.6538240000000002</v>
      </c>
      <c r="G228">
        <v>332.14517949999998</v>
      </c>
      <c r="H228">
        <v>-8</v>
      </c>
      <c r="I228">
        <v>32</v>
      </c>
      <c r="J228">
        <v>1.18</v>
      </c>
      <c r="K228">
        <v>23.523923750000002</v>
      </c>
      <c r="L228">
        <v>-2.364701612000045</v>
      </c>
      <c r="M228">
        <v>-0.66914384651673253</v>
      </c>
      <c r="N228">
        <v>-1.066539548823354</v>
      </c>
      <c r="O228">
        <v>-0.49272105381004822</v>
      </c>
    </row>
    <row r="229" spans="1:15" x14ac:dyDescent="0.25">
      <c r="A229">
        <v>-223.34161374999999</v>
      </c>
      <c r="B229">
        <v>-77.871606749999998</v>
      </c>
      <c r="C229">
        <v>339.29885074999999</v>
      </c>
      <c r="D229">
        <v>76.243068750000006</v>
      </c>
      <c r="E229">
        <v>41.764951749999987</v>
      </c>
      <c r="F229">
        <v>5.8975327499999999</v>
      </c>
      <c r="G229">
        <v>343.07259375000001</v>
      </c>
      <c r="H229">
        <v>-8</v>
      </c>
      <c r="I229">
        <v>36</v>
      </c>
      <c r="J229">
        <v>1.18</v>
      </c>
      <c r="K229">
        <v>23.905712749999999</v>
      </c>
      <c r="L229">
        <v>-2.9248655183587928</v>
      </c>
      <c r="M229">
        <v>-0.80120774298671427</v>
      </c>
      <c r="N229">
        <v>-1.5664272868640421</v>
      </c>
      <c r="O229">
        <v>-0.81358916929242953</v>
      </c>
    </row>
    <row r="230" spans="1:15" x14ac:dyDescent="0.25">
      <c r="A230">
        <v>-261.99948875000001</v>
      </c>
      <c r="B230">
        <v>-116.92735475000001</v>
      </c>
      <c r="C230">
        <v>322.81056975000001</v>
      </c>
      <c r="D230">
        <v>32.688137500000003</v>
      </c>
      <c r="E230">
        <v>-35.199156000000002</v>
      </c>
      <c r="F230">
        <v>5.2639232499999986</v>
      </c>
      <c r="G230">
        <v>327.24259975000001</v>
      </c>
      <c r="H230">
        <v>-8</v>
      </c>
      <c r="I230">
        <v>40</v>
      </c>
      <c r="J230">
        <v>1.18</v>
      </c>
      <c r="K230">
        <v>23.3607485</v>
      </c>
      <c r="L230">
        <v>-3.7913106158793539</v>
      </c>
      <c r="M230">
        <v>-0.96980387269911006</v>
      </c>
      <c r="N230">
        <v>-2.349833045858869</v>
      </c>
      <c r="O230">
        <v>-1.2623529575364929</v>
      </c>
    </row>
    <row r="231" spans="1:15" x14ac:dyDescent="0.25">
      <c r="A231">
        <v>-278.67014325000002</v>
      </c>
      <c r="B231">
        <v>-145.81135175</v>
      </c>
      <c r="C231">
        <v>291.77637499999997</v>
      </c>
      <c r="D231">
        <v>-6.07524</v>
      </c>
      <c r="E231">
        <v>-101.71619225000001</v>
      </c>
      <c r="F231">
        <v>4.9714840000000002</v>
      </c>
      <c r="G231">
        <v>302.06263725000002</v>
      </c>
      <c r="H231">
        <v>-8</v>
      </c>
      <c r="I231">
        <v>44</v>
      </c>
      <c r="J231">
        <v>1.18</v>
      </c>
      <c r="K231">
        <v>22.4397655</v>
      </c>
      <c r="L231">
        <v>-5.1621394878153328</v>
      </c>
      <c r="M231">
        <v>-1.264411970586768</v>
      </c>
      <c r="N231">
        <v>-3.6540775922294189</v>
      </c>
      <c r="O231">
        <v>-1.965659972828544</v>
      </c>
    </row>
    <row r="232" spans="1:15" x14ac:dyDescent="0.25">
      <c r="A232">
        <v>267.60366825</v>
      </c>
      <c r="B232">
        <v>-96.679788500000001</v>
      </c>
      <c r="C232">
        <v>-251.37971874999999</v>
      </c>
      <c r="D232">
        <v>-3.0594725</v>
      </c>
      <c r="E232">
        <v>1.1626405</v>
      </c>
      <c r="F232">
        <v>4.4840909999999994</v>
      </c>
      <c r="G232">
        <v>272.88113399999997</v>
      </c>
      <c r="H232">
        <v>-4</v>
      </c>
      <c r="I232">
        <v>-44</v>
      </c>
      <c r="J232">
        <v>1.18</v>
      </c>
      <c r="K232">
        <v>21.328609749999998</v>
      </c>
      <c r="L232">
        <v>2.9623553556017521</v>
      </c>
      <c r="M232">
        <v>-0.5343864562911762</v>
      </c>
      <c r="N232">
        <v>-1.5509665110576349</v>
      </c>
      <c r="O232">
        <v>-1.018950126353982</v>
      </c>
    </row>
    <row r="233" spans="1:15" x14ac:dyDescent="0.25">
      <c r="A233">
        <v>269.86146550000001</v>
      </c>
      <c r="B233">
        <v>-56.664430500000002</v>
      </c>
      <c r="C233">
        <v>-212.039593</v>
      </c>
      <c r="D233">
        <v>28.914262749999999</v>
      </c>
      <c r="E233">
        <v>53.346476750000001</v>
      </c>
      <c r="F233">
        <v>4.2891252499999997</v>
      </c>
      <c r="G233">
        <v>272.00040424999997</v>
      </c>
      <c r="H233">
        <v>-4</v>
      </c>
      <c r="I233">
        <v>-40</v>
      </c>
      <c r="J233">
        <v>1.18</v>
      </c>
      <c r="K233">
        <v>21.301325500000001</v>
      </c>
      <c r="L233">
        <v>2.5674210034097391</v>
      </c>
      <c r="M233">
        <v>-0.45594011696443709</v>
      </c>
      <c r="N233">
        <v>-1.16491953622332</v>
      </c>
      <c r="O233">
        <v>-0.73863827344791799</v>
      </c>
    </row>
    <row r="234" spans="1:15" x14ac:dyDescent="0.25">
      <c r="A234">
        <v>288.95974725000002</v>
      </c>
      <c r="B234">
        <v>-19.719795999999999</v>
      </c>
      <c r="C234">
        <v>-180.82014849999999</v>
      </c>
      <c r="D234">
        <v>63.707141749999998</v>
      </c>
      <c r="E234">
        <v>109.64424925</v>
      </c>
      <c r="F234">
        <v>4.92275025</v>
      </c>
      <c r="G234">
        <v>290.85445425</v>
      </c>
      <c r="H234">
        <v>-4</v>
      </c>
      <c r="I234">
        <v>-36</v>
      </c>
      <c r="J234">
        <v>1.18</v>
      </c>
      <c r="K234">
        <v>22.014303000000002</v>
      </c>
      <c r="L234">
        <v>2.237954362158256</v>
      </c>
      <c r="M234">
        <v>-0.39743079515711582</v>
      </c>
      <c r="N234">
        <v>-0.86325102640078932</v>
      </c>
      <c r="O234">
        <v>-0.50111566700924037</v>
      </c>
    </row>
    <row r="235" spans="1:15" x14ac:dyDescent="0.25">
      <c r="A235">
        <v>300.47325124999998</v>
      </c>
      <c r="B235">
        <v>18.475620750000001</v>
      </c>
      <c r="C235">
        <v>-136.96855925</v>
      </c>
      <c r="D235">
        <v>96.912950500000008</v>
      </c>
      <c r="E235">
        <v>163.48262025</v>
      </c>
      <c r="F235">
        <v>5.0202242500000001</v>
      </c>
      <c r="G235">
        <v>304.18435699999998</v>
      </c>
      <c r="H235">
        <v>-4</v>
      </c>
      <c r="I235">
        <v>-32</v>
      </c>
      <c r="J235">
        <v>1.18</v>
      </c>
      <c r="K235">
        <v>22.517935250000001</v>
      </c>
      <c r="L235">
        <v>1.964021082582013</v>
      </c>
      <c r="M235">
        <v>-0.35215361585116051</v>
      </c>
      <c r="N235">
        <v>-0.63171693382016203</v>
      </c>
      <c r="O235">
        <v>-0.28853610333066593</v>
      </c>
    </row>
    <row r="236" spans="1:15" x14ac:dyDescent="0.25">
      <c r="A236">
        <v>307.51652524999997</v>
      </c>
      <c r="B236">
        <v>54.175995749999998</v>
      </c>
      <c r="C236">
        <v>-92.620695249999997</v>
      </c>
      <c r="D236">
        <v>127.17111975</v>
      </c>
      <c r="E236">
        <v>212.938793</v>
      </c>
      <c r="F236">
        <v>5.3614005000000002</v>
      </c>
      <c r="G236">
        <v>316.95378875</v>
      </c>
      <c r="H236">
        <v>-4</v>
      </c>
      <c r="I236">
        <v>-28</v>
      </c>
      <c r="J236">
        <v>1.18</v>
      </c>
      <c r="K236">
        <v>22.980908500000002</v>
      </c>
      <c r="L236">
        <v>1.7235391378482059</v>
      </c>
      <c r="M236">
        <v>-0.31441321199577232</v>
      </c>
      <c r="N236">
        <v>-0.44803106411322108</v>
      </c>
      <c r="O236">
        <v>-0.1058909053116163</v>
      </c>
    </row>
    <row r="237" spans="1:15" x14ac:dyDescent="0.25">
      <c r="A237">
        <v>310.09020225</v>
      </c>
      <c r="B237">
        <v>87.230100500000006</v>
      </c>
      <c r="C237">
        <v>-48.723993</v>
      </c>
      <c r="D237">
        <v>153.36758825000001</v>
      </c>
      <c r="E237">
        <v>257.11845375000001</v>
      </c>
      <c r="F237">
        <v>5.5563517500000001</v>
      </c>
      <c r="G237">
        <v>328.80252825000002</v>
      </c>
      <c r="H237">
        <v>-4</v>
      </c>
      <c r="I237">
        <v>-24</v>
      </c>
      <c r="J237">
        <v>1.18</v>
      </c>
      <c r="K237">
        <v>23.40672275</v>
      </c>
      <c r="L237">
        <v>1.5084855634793239</v>
      </c>
      <c r="M237">
        <v>-0.27803493158462472</v>
      </c>
      <c r="N237">
        <v>-0.30136660343647947</v>
      </c>
      <c r="O237">
        <v>5.7584626769778498E-2</v>
      </c>
    </row>
    <row r="238" spans="1:15" x14ac:dyDescent="0.25">
      <c r="A238">
        <v>307.20056925</v>
      </c>
      <c r="B238">
        <v>114.8473625</v>
      </c>
      <c r="C238">
        <v>-2.6617734999999998</v>
      </c>
      <c r="D238">
        <v>178.634308</v>
      </c>
      <c r="E238">
        <v>292.89152524999997</v>
      </c>
      <c r="F238">
        <v>5.8487917500000002</v>
      </c>
      <c r="G238">
        <v>338.40988924999999</v>
      </c>
      <c r="H238">
        <v>-4</v>
      </c>
      <c r="I238">
        <v>-20</v>
      </c>
      <c r="J238">
        <v>1.18</v>
      </c>
      <c r="K238">
        <v>23.741583250000001</v>
      </c>
      <c r="L238">
        <v>1.308554191590853</v>
      </c>
      <c r="M238">
        <v>-0.26937548940243539</v>
      </c>
      <c r="N238">
        <v>-0.1922292953046234</v>
      </c>
      <c r="O238">
        <v>0.21217759556096219</v>
      </c>
    </row>
    <row r="239" spans="1:15" x14ac:dyDescent="0.25">
      <c r="A239">
        <v>292.34650399999998</v>
      </c>
      <c r="B239">
        <v>135.92121900000001</v>
      </c>
      <c r="C239">
        <v>44.179926000000002</v>
      </c>
      <c r="D239">
        <v>196.59861749999999</v>
      </c>
      <c r="E239">
        <v>314.71306600000003</v>
      </c>
      <c r="F239">
        <v>6.0437510000000003</v>
      </c>
      <c r="G239">
        <v>340.21112825</v>
      </c>
      <c r="H239">
        <v>-4</v>
      </c>
      <c r="I239">
        <v>-16</v>
      </c>
      <c r="J239">
        <v>1.18</v>
      </c>
      <c r="K239">
        <v>23.79878325</v>
      </c>
      <c r="L239">
        <v>1.104634253453783</v>
      </c>
      <c r="M239">
        <v>-0.27007809445523118</v>
      </c>
      <c r="N239">
        <v>-0.1134979756666665</v>
      </c>
      <c r="O239">
        <v>0.37392161765432119</v>
      </c>
    </row>
    <row r="240" spans="1:15" x14ac:dyDescent="0.25">
      <c r="A240">
        <v>246.65478525</v>
      </c>
      <c r="B240">
        <v>139.33725749999999</v>
      </c>
      <c r="C240">
        <v>86.372223000000005</v>
      </c>
      <c r="D240">
        <v>190.30895225</v>
      </c>
      <c r="E240">
        <v>298.79425025</v>
      </c>
      <c r="F240">
        <v>5.1664384999999999</v>
      </c>
      <c r="G240">
        <v>309.06839000000002</v>
      </c>
      <c r="H240">
        <v>-4</v>
      </c>
      <c r="I240">
        <v>-12</v>
      </c>
      <c r="J240">
        <v>1.18</v>
      </c>
      <c r="K240">
        <v>22.69553075</v>
      </c>
      <c r="L240">
        <v>0.86202603795682098</v>
      </c>
      <c r="M240">
        <v>-0.27409462967658649</v>
      </c>
      <c r="N240">
        <v>-5.5261111964318023E-2</v>
      </c>
      <c r="O240">
        <v>0.57916781754794977</v>
      </c>
    </row>
    <row r="241" spans="1:15" x14ac:dyDescent="0.25">
      <c r="A241">
        <v>209.54154224999999</v>
      </c>
      <c r="B241">
        <v>137.220291</v>
      </c>
      <c r="C241">
        <v>118.9424915</v>
      </c>
      <c r="D241">
        <v>183.45403300000001</v>
      </c>
      <c r="E241">
        <v>284.75347900000003</v>
      </c>
      <c r="F241">
        <v>4.5328272500000004</v>
      </c>
      <c r="G241">
        <v>288.25293699999997</v>
      </c>
      <c r="H241">
        <v>-4</v>
      </c>
      <c r="I241">
        <v>-8</v>
      </c>
      <c r="J241">
        <v>1.18</v>
      </c>
      <c r="K241">
        <v>21.928994249999999</v>
      </c>
      <c r="L241">
        <v>0.57828406260471676</v>
      </c>
      <c r="M241">
        <v>-0.29509519501068182</v>
      </c>
      <c r="N241">
        <v>-2.2342485319707572E-2</v>
      </c>
      <c r="O241">
        <v>0.78858455984194298</v>
      </c>
    </row>
    <row r="242" spans="1:15" x14ac:dyDescent="0.25">
      <c r="A242">
        <v>176.80762100000001</v>
      </c>
      <c r="B242">
        <v>131.92784474999999</v>
      </c>
      <c r="C242">
        <v>140.67102825000001</v>
      </c>
      <c r="D242">
        <v>175.31560924999999</v>
      </c>
      <c r="E242">
        <v>269.81816850000001</v>
      </c>
      <c r="F242">
        <v>4.2891450000000004</v>
      </c>
      <c r="G242">
        <v>271.40048975000002</v>
      </c>
      <c r="H242">
        <v>-4</v>
      </c>
      <c r="I242">
        <v>-4</v>
      </c>
      <c r="J242">
        <v>1.18</v>
      </c>
      <c r="K242">
        <v>21.27745925</v>
      </c>
      <c r="L242">
        <v>0.27066927703771998</v>
      </c>
      <c r="M242">
        <v>-0.3249382540052162</v>
      </c>
      <c r="N242">
        <v>-1.185317244489126E-2</v>
      </c>
      <c r="O242">
        <v>0.98870405847572818</v>
      </c>
    </row>
    <row r="243" spans="1:15" x14ac:dyDescent="0.25">
      <c r="A243">
        <v>154.86485675</v>
      </c>
      <c r="B243">
        <v>136.54673</v>
      </c>
      <c r="C243">
        <v>168.49818024999999</v>
      </c>
      <c r="D243">
        <v>178.3828695</v>
      </c>
      <c r="E243">
        <v>274.24529274999998</v>
      </c>
      <c r="F243">
        <v>4.7765182499999996</v>
      </c>
      <c r="G243">
        <v>274.76318350000003</v>
      </c>
      <c r="H243">
        <v>-4</v>
      </c>
      <c r="I243">
        <v>0</v>
      </c>
      <c r="J243">
        <v>1.18</v>
      </c>
      <c r="K243">
        <v>21.391671500000001</v>
      </c>
      <c r="L243">
        <v>-0.1060625722273678</v>
      </c>
      <c r="M243">
        <v>-0.32550992834420461</v>
      </c>
      <c r="N243">
        <v>-4.0923957636658567E-3</v>
      </c>
      <c r="O243">
        <v>1.096442226385629</v>
      </c>
    </row>
    <row r="244" spans="1:15" x14ac:dyDescent="0.25">
      <c r="A244">
        <v>135.99206525</v>
      </c>
      <c r="B244">
        <v>146.9772375</v>
      </c>
      <c r="C244">
        <v>203.10123050000001</v>
      </c>
      <c r="D244">
        <v>187.45318225</v>
      </c>
      <c r="E244">
        <v>290.83498374999999</v>
      </c>
      <c r="F244">
        <v>4.8740074999999994</v>
      </c>
      <c r="G244">
        <v>292.65641775</v>
      </c>
      <c r="H244">
        <v>-4</v>
      </c>
      <c r="I244">
        <v>4</v>
      </c>
      <c r="J244">
        <v>1.18</v>
      </c>
      <c r="K244">
        <v>22.085430250000002</v>
      </c>
      <c r="L244">
        <v>-0.44931610552212958</v>
      </c>
      <c r="M244">
        <v>-0.27099554030843831</v>
      </c>
      <c r="N244">
        <v>-1.219807489932548E-2</v>
      </c>
      <c r="O244">
        <v>0.91473237578488131</v>
      </c>
    </row>
    <row r="245" spans="1:15" x14ac:dyDescent="0.25">
      <c r="A245">
        <v>108.08941274999999</v>
      </c>
      <c r="B245">
        <v>152.83610899999999</v>
      </c>
      <c r="C245">
        <v>237.93032825</v>
      </c>
      <c r="D245">
        <v>192.62369899999999</v>
      </c>
      <c r="E245">
        <v>302.86383050000001</v>
      </c>
      <c r="F245">
        <v>5.2639467499999997</v>
      </c>
      <c r="G245">
        <v>308.10794075000001</v>
      </c>
      <c r="H245">
        <v>-4</v>
      </c>
      <c r="I245">
        <v>8</v>
      </c>
      <c r="J245">
        <v>1.18</v>
      </c>
      <c r="K245">
        <v>22.656006250000001</v>
      </c>
      <c r="L245">
        <v>-0.75313235334750794</v>
      </c>
      <c r="M245">
        <v>-0.23079566331033291</v>
      </c>
      <c r="N245">
        <v>-3.0434992533719871E-2</v>
      </c>
      <c r="O245">
        <v>0.72622075065817393</v>
      </c>
    </row>
    <row r="246" spans="1:15" x14ac:dyDescent="0.25">
      <c r="A246">
        <v>72.330543500000005</v>
      </c>
      <c r="B246">
        <v>146.67833325000001</v>
      </c>
      <c r="C246">
        <v>265.35088350000001</v>
      </c>
      <c r="D246">
        <v>188.06663499999999</v>
      </c>
      <c r="E246">
        <v>301.47762299999999</v>
      </c>
      <c r="F246">
        <v>5.4588987500000004</v>
      </c>
      <c r="G246">
        <v>317.47478475000003</v>
      </c>
      <c r="H246">
        <v>-4</v>
      </c>
      <c r="I246">
        <v>12</v>
      </c>
      <c r="J246">
        <v>1.18</v>
      </c>
      <c r="K246">
        <v>22.9965245</v>
      </c>
      <c r="L246">
        <v>-1.00545267218269</v>
      </c>
      <c r="M246">
        <v>-0.2155824861881537</v>
      </c>
      <c r="N246">
        <v>-8.3339299712884882E-2</v>
      </c>
      <c r="O246">
        <v>0.54200306097327777</v>
      </c>
    </row>
    <row r="247" spans="1:15" x14ac:dyDescent="0.25">
      <c r="A247">
        <v>33.09506425</v>
      </c>
      <c r="B247">
        <v>136.22963725</v>
      </c>
      <c r="C247">
        <v>292.41007999999999</v>
      </c>
      <c r="D247">
        <v>179.47831725</v>
      </c>
      <c r="E247">
        <v>292.8028185</v>
      </c>
      <c r="F247">
        <v>5.5563815000000014</v>
      </c>
      <c r="G247">
        <v>329.48394000000002</v>
      </c>
      <c r="H247">
        <v>-4</v>
      </c>
      <c r="I247">
        <v>16</v>
      </c>
      <c r="J247">
        <v>1.18</v>
      </c>
      <c r="K247">
        <v>23.431379249999999</v>
      </c>
      <c r="L247">
        <v>-1.245869692251248</v>
      </c>
      <c r="M247">
        <v>-0.2077882179146095</v>
      </c>
      <c r="N247">
        <v>-0.17623528365153179</v>
      </c>
      <c r="O247">
        <v>0.3800631878779131</v>
      </c>
    </row>
    <row r="248" spans="1:15" x14ac:dyDescent="0.25">
      <c r="A248">
        <v>-14.5079695</v>
      </c>
      <c r="B248">
        <v>115.36088574999999</v>
      </c>
      <c r="C248">
        <v>313.41569550000003</v>
      </c>
      <c r="D248">
        <v>162.47695924999999</v>
      </c>
      <c r="E248">
        <v>268.96900175000002</v>
      </c>
      <c r="F248">
        <v>5.8975617500000004</v>
      </c>
      <c r="G248">
        <v>337.20974725000002</v>
      </c>
      <c r="H248">
        <v>-4</v>
      </c>
      <c r="I248">
        <v>20</v>
      </c>
      <c r="J248">
        <v>1.18</v>
      </c>
      <c r="K248">
        <v>23.696963</v>
      </c>
      <c r="L248">
        <v>-1.5004947042051959</v>
      </c>
      <c r="M248">
        <v>-0.21559421404427009</v>
      </c>
      <c r="N248">
        <v>-0.31225362461534317</v>
      </c>
      <c r="O248">
        <v>0.2037612773541802</v>
      </c>
    </row>
    <row r="249" spans="1:15" x14ac:dyDescent="0.25">
      <c r="A249">
        <v>-66.997986749999995</v>
      </c>
      <c r="B249">
        <v>88.481387999999995</v>
      </c>
      <c r="C249">
        <v>333.33744074999998</v>
      </c>
      <c r="D249">
        <v>140.48034699999999</v>
      </c>
      <c r="E249">
        <v>233.8667145</v>
      </c>
      <c r="F249">
        <v>5.9950367500000006</v>
      </c>
      <c r="G249">
        <v>345.93620275000001</v>
      </c>
      <c r="H249">
        <v>-4</v>
      </c>
      <c r="I249">
        <v>24</v>
      </c>
      <c r="J249">
        <v>1.18</v>
      </c>
      <c r="K249">
        <v>24.00355175</v>
      </c>
      <c r="L249">
        <v>-1.7941920293129039</v>
      </c>
      <c r="M249">
        <v>-0.2330363748549186</v>
      </c>
      <c r="N249">
        <v>-0.50226859225665133</v>
      </c>
      <c r="O249">
        <v>2.1302421286882131E-2</v>
      </c>
    </row>
    <row r="250" spans="1:15" x14ac:dyDescent="0.25">
      <c r="A250">
        <v>-104.98002624999999</v>
      </c>
      <c r="B250">
        <v>50.223867249999998</v>
      </c>
      <c r="C250">
        <v>307.40786000000003</v>
      </c>
      <c r="D250">
        <v>98.853301999999999</v>
      </c>
      <c r="E250">
        <v>164.28805550000001</v>
      </c>
      <c r="F250">
        <v>5.3614160000000002</v>
      </c>
      <c r="G250">
        <v>313.03202049999999</v>
      </c>
      <c r="H250">
        <v>-4</v>
      </c>
      <c r="I250">
        <v>28</v>
      </c>
      <c r="J250">
        <v>1.18</v>
      </c>
      <c r="K250">
        <v>22.835783750000001</v>
      </c>
      <c r="L250">
        <v>-2.1516904750956569</v>
      </c>
      <c r="M250">
        <v>-0.25372277628073608</v>
      </c>
      <c r="N250">
        <v>-0.77618056832009408</v>
      </c>
      <c r="O250">
        <v>-0.17081591419883471</v>
      </c>
    </row>
    <row r="251" spans="1:15" x14ac:dyDescent="0.25">
      <c r="A251">
        <v>-142.24116875000001</v>
      </c>
      <c r="B251">
        <v>16.069038750000001</v>
      </c>
      <c r="C251">
        <v>288.07363125000001</v>
      </c>
      <c r="D251">
        <v>59.986776499999998</v>
      </c>
      <c r="E251">
        <v>98.107849250000001</v>
      </c>
      <c r="F251">
        <v>4.7277864999999997</v>
      </c>
      <c r="G251">
        <v>291.17573575</v>
      </c>
      <c r="H251">
        <v>-4</v>
      </c>
      <c r="I251">
        <v>32</v>
      </c>
      <c r="J251">
        <v>1.18</v>
      </c>
      <c r="K251">
        <v>22.034153750000002</v>
      </c>
      <c r="L251">
        <v>-2.6696392518134591</v>
      </c>
      <c r="M251">
        <v>-0.27238479924099102</v>
      </c>
      <c r="N251">
        <v>-1.197805911535426</v>
      </c>
      <c r="O251">
        <v>-0.42068897560922153</v>
      </c>
    </row>
    <row r="252" spans="1:15" x14ac:dyDescent="0.25">
      <c r="A252">
        <v>-173.1945115</v>
      </c>
      <c r="B252">
        <v>-17.320793999999999</v>
      </c>
      <c r="C252">
        <v>270.13968649999998</v>
      </c>
      <c r="D252">
        <v>25.764962000000001</v>
      </c>
      <c r="E252">
        <v>36.443914499999998</v>
      </c>
      <c r="F252">
        <v>4.4840859999999996</v>
      </c>
      <c r="G252">
        <v>271.88159925000002</v>
      </c>
      <c r="H252">
        <v>-4</v>
      </c>
      <c r="I252">
        <v>36</v>
      </c>
      <c r="J252">
        <v>1.18</v>
      </c>
      <c r="K252">
        <v>21.288852500000001</v>
      </c>
      <c r="L252">
        <v>-3.3662465658038339</v>
      </c>
      <c r="M252">
        <v>-0.32705872583052331</v>
      </c>
      <c r="N252">
        <v>-1.7877200523072601</v>
      </c>
      <c r="O252">
        <v>-0.7572987996992846</v>
      </c>
    </row>
    <row r="253" spans="1:15" x14ac:dyDescent="0.25">
      <c r="A253">
        <v>-215.72717675000001</v>
      </c>
      <c r="B253">
        <v>-52.730064249999998</v>
      </c>
      <c r="C253">
        <v>272.985634</v>
      </c>
      <c r="D253">
        <v>-8.65393875</v>
      </c>
      <c r="E253">
        <v>-27.347380999999999</v>
      </c>
      <c r="F253">
        <v>4.6790462499999999</v>
      </c>
      <c r="G253">
        <v>276.36499774999999</v>
      </c>
      <c r="H253">
        <v>-4</v>
      </c>
      <c r="I253">
        <v>40</v>
      </c>
      <c r="J253">
        <v>1.18</v>
      </c>
      <c r="K253">
        <v>21.458875750000001</v>
      </c>
      <c r="L253">
        <v>-4.5728565553631331</v>
      </c>
      <c r="M253">
        <v>-0.41227420559852201</v>
      </c>
      <c r="N253">
        <v>-2.8418566294671939</v>
      </c>
      <c r="O253">
        <v>-1.29969814872768</v>
      </c>
    </row>
    <row r="254" spans="1:15" x14ac:dyDescent="0.25">
      <c r="A254">
        <v>-265.28855874999999</v>
      </c>
      <c r="B254">
        <v>-92.601480500000008</v>
      </c>
      <c r="C254">
        <v>283.51112375000002</v>
      </c>
      <c r="D254">
        <v>-46.809939499999999</v>
      </c>
      <c r="E254">
        <v>-97.388794000000004</v>
      </c>
      <c r="F254">
        <v>5.0202204999999998</v>
      </c>
      <c r="G254">
        <v>291.49630724999997</v>
      </c>
      <c r="H254">
        <v>-4</v>
      </c>
      <c r="I254">
        <v>44</v>
      </c>
      <c r="J254">
        <v>1.18</v>
      </c>
      <c r="K254">
        <v>22.0352465</v>
      </c>
      <c r="L254">
        <v>-6.7302577934191197</v>
      </c>
      <c r="M254">
        <v>-0.56161601308476705</v>
      </c>
      <c r="N254">
        <v>-4.7693156326116881</v>
      </c>
      <c r="O254">
        <v>-2.2561173471291212</v>
      </c>
    </row>
    <row r="255" spans="1:15" x14ac:dyDescent="0.25">
      <c r="A255">
        <v>305.98291024999997</v>
      </c>
      <c r="B255">
        <v>-61.606375749999998</v>
      </c>
      <c r="C255">
        <v>-286.43392175000002</v>
      </c>
      <c r="D255">
        <v>-46.809939249999999</v>
      </c>
      <c r="E255">
        <v>0.13529674999999999</v>
      </c>
      <c r="F255">
        <v>5.2639212500000001</v>
      </c>
      <c r="G255">
        <v>310.35047924999998</v>
      </c>
      <c r="H255">
        <v>0</v>
      </c>
      <c r="I255">
        <v>-44</v>
      </c>
      <c r="J255">
        <v>1.18</v>
      </c>
      <c r="K255">
        <v>22.739735249999999</v>
      </c>
      <c r="L255">
        <v>3.4017428573603139</v>
      </c>
      <c r="M255">
        <v>-8.4929427304672497E-2</v>
      </c>
      <c r="N255">
        <v>-1.7813125488159911</v>
      </c>
      <c r="O255">
        <v>-1.0294774822919781</v>
      </c>
    </row>
    <row r="256" spans="1:15" x14ac:dyDescent="0.25">
      <c r="A256">
        <v>319.66324600000002</v>
      </c>
      <c r="B256">
        <v>-20.151618500000001</v>
      </c>
      <c r="C256">
        <v>-253.48361975</v>
      </c>
      <c r="D256">
        <v>-7.8235115000000004</v>
      </c>
      <c r="E256">
        <v>63.363258500000001</v>
      </c>
      <c r="F256">
        <v>5.7025930000000002</v>
      </c>
      <c r="G256">
        <v>322.23937999999998</v>
      </c>
      <c r="H256">
        <v>0</v>
      </c>
      <c r="I256">
        <v>-40</v>
      </c>
      <c r="J256">
        <v>1.18</v>
      </c>
      <c r="K256">
        <v>23.162526</v>
      </c>
      <c r="L256">
        <v>2.8632979108041732</v>
      </c>
      <c r="M256">
        <v>-6.1504689957114757E-2</v>
      </c>
      <c r="N256">
        <v>-1.2933108308437271</v>
      </c>
      <c r="O256">
        <v>-0.7119926636018743</v>
      </c>
    </row>
    <row r="257" spans="1:15" x14ac:dyDescent="0.25">
      <c r="A257">
        <v>331.22195449999998</v>
      </c>
      <c r="B257">
        <v>20.352204499999999</v>
      </c>
      <c r="C257">
        <v>-210.76630424999999</v>
      </c>
      <c r="D257">
        <v>30.190575500000001</v>
      </c>
      <c r="E257">
        <v>122.79149275</v>
      </c>
      <c r="F257">
        <v>5.8488037500000001</v>
      </c>
      <c r="G257">
        <v>332.28685000000002</v>
      </c>
      <c r="H257">
        <v>0</v>
      </c>
      <c r="I257">
        <v>-36</v>
      </c>
      <c r="J257">
        <v>1.18</v>
      </c>
      <c r="K257">
        <v>23.521998</v>
      </c>
      <c r="L257">
        <v>2.4861955823957369</v>
      </c>
      <c r="M257">
        <v>-4.5125370219375308E-2</v>
      </c>
      <c r="N257">
        <v>-0.96099346277882614</v>
      </c>
      <c r="O257">
        <v>-0.46355858000888078</v>
      </c>
    </row>
    <row r="258" spans="1:15" x14ac:dyDescent="0.25">
      <c r="A258">
        <v>339.14722449999999</v>
      </c>
      <c r="B258">
        <v>62.163178500000001</v>
      </c>
      <c r="C258">
        <v>-156.29212200000001</v>
      </c>
      <c r="D258">
        <v>69.100914000000003</v>
      </c>
      <c r="E258">
        <v>184.99210350000001</v>
      </c>
      <c r="F258">
        <v>5.9950547500000004</v>
      </c>
      <c r="G258">
        <v>343.17484300000001</v>
      </c>
      <c r="H258">
        <v>0</v>
      </c>
      <c r="I258">
        <v>-32</v>
      </c>
      <c r="J258">
        <v>1.18</v>
      </c>
      <c r="K258">
        <v>23.905876750000001</v>
      </c>
      <c r="L258">
        <v>2.135033502207099</v>
      </c>
      <c r="M258">
        <v>-2.987643229627153E-2</v>
      </c>
      <c r="N258">
        <v>-0.68168138208955864</v>
      </c>
      <c r="O258">
        <v>-0.2286472555977396</v>
      </c>
    </row>
    <row r="259" spans="1:15" x14ac:dyDescent="0.25">
      <c r="A259">
        <v>311.94735700000001</v>
      </c>
      <c r="B259">
        <v>90.069295749999995</v>
      </c>
      <c r="C259">
        <v>-93.149946</v>
      </c>
      <c r="D259">
        <v>92.499692499999995</v>
      </c>
      <c r="E259">
        <v>214.72861474999999</v>
      </c>
      <c r="F259">
        <v>5.6051427500000006</v>
      </c>
      <c r="G259">
        <v>320.47808824999998</v>
      </c>
      <c r="H259">
        <v>0</v>
      </c>
      <c r="I259">
        <v>-28</v>
      </c>
      <c r="J259">
        <v>1.18</v>
      </c>
      <c r="K259">
        <v>23.101535500000001</v>
      </c>
      <c r="L259">
        <v>1.8731226886120851</v>
      </c>
      <c r="M259">
        <v>-1.121984010539091E-2</v>
      </c>
      <c r="N259">
        <v>-0.4889780261219705</v>
      </c>
      <c r="O259">
        <v>-3.303186529797305E-2</v>
      </c>
    </row>
    <row r="260" spans="1:15" x14ac:dyDescent="0.25">
      <c r="A260">
        <v>280.27425375000001</v>
      </c>
      <c r="B260">
        <v>107.7271425</v>
      </c>
      <c r="C260">
        <v>-41.500168000000002</v>
      </c>
      <c r="D260">
        <v>108.05506124999999</v>
      </c>
      <c r="E260">
        <v>231.0054245</v>
      </c>
      <c r="F260">
        <v>4.9227792499999996</v>
      </c>
      <c r="G260">
        <v>295.85993975000002</v>
      </c>
      <c r="H260">
        <v>0</v>
      </c>
      <c r="I260">
        <v>-24</v>
      </c>
      <c r="J260">
        <v>1.18</v>
      </c>
      <c r="K260">
        <v>22.206148750000001</v>
      </c>
      <c r="L260">
        <v>1.624725938253972</v>
      </c>
      <c r="M260">
        <v>-1.661774497721311E-3</v>
      </c>
      <c r="N260">
        <v>-0.32748040223140218</v>
      </c>
      <c r="O260">
        <v>0.14155904824297311</v>
      </c>
    </row>
    <row r="261" spans="1:15" x14ac:dyDescent="0.25">
      <c r="A261">
        <v>254.17461424999999</v>
      </c>
      <c r="B261">
        <v>119.75559075</v>
      </c>
      <c r="C261">
        <v>-0.67625899999999994</v>
      </c>
      <c r="D261">
        <v>121.22883775</v>
      </c>
      <c r="E261">
        <v>240.21716325</v>
      </c>
      <c r="F261">
        <v>4.7765519999999997</v>
      </c>
      <c r="G261">
        <v>277.92662050000001</v>
      </c>
      <c r="H261">
        <v>0</v>
      </c>
      <c r="I261">
        <v>-20</v>
      </c>
      <c r="J261">
        <v>1.18</v>
      </c>
      <c r="K261">
        <v>21.516618749999999</v>
      </c>
      <c r="L261">
        <v>1.409967445321036</v>
      </c>
      <c r="M261">
        <v>-8.1008395624905059E-3</v>
      </c>
      <c r="N261">
        <v>-0.20865370240266451</v>
      </c>
      <c r="O261">
        <v>0.30255659232958793</v>
      </c>
    </row>
    <row r="262" spans="1:15" x14ac:dyDescent="0.25">
      <c r="A262">
        <v>235.24713525000001</v>
      </c>
      <c r="B262">
        <v>132.60208524999999</v>
      </c>
      <c r="C262">
        <v>36.500575750000003</v>
      </c>
      <c r="D262">
        <v>133.10196325000001</v>
      </c>
      <c r="E262">
        <v>252.335419</v>
      </c>
      <c r="F262">
        <v>4.5328512500000002</v>
      </c>
      <c r="G262">
        <v>272.042305</v>
      </c>
      <c r="H262">
        <v>0</v>
      </c>
      <c r="I262">
        <v>-16</v>
      </c>
      <c r="J262">
        <v>1.18</v>
      </c>
      <c r="K262">
        <v>21.293303999999999</v>
      </c>
      <c r="L262">
        <v>1.184282944682546</v>
      </c>
      <c r="M262">
        <v>-2.9773071376514E-3</v>
      </c>
      <c r="N262">
        <v>-0.1174535701227027</v>
      </c>
      <c r="O262">
        <v>0.47652070230922328</v>
      </c>
    </row>
    <row r="263" spans="1:15" x14ac:dyDescent="0.25">
      <c r="A263">
        <v>234.660473</v>
      </c>
      <c r="B263">
        <v>156.03360774999999</v>
      </c>
      <c r="C263">
        <v>79.235151250000001</v>
      </c>
      <c r="D263">
        <v>152.87115125</v>
      </c>
      <c r="E263">
        <v>281.53532374999998</v>
      </c>
      <c r="F263">
        <v>5.0689934999999986</v>
      </c>
      <c r="G263">
        <v>290.61618824999999</v>
      </c>
      <c r="H263">
        <v>0</v>
      </c>
      <c r="I263">
        <v>-12</v>
      </c>
      <c r="J263">
        <v>1.18</v>
      </c>
      <c r="K263">
        <v>21.99949075</v>
      </c>
      <c r="L263">
        <v>0.93925226988429866</v>
      </c>
      <c r="M263">
        <v>1.9078163664346781E-2</v>
      </c>
      <c r="N263">
        <v>-5.4915718380571243E-2</v>
      </c>
      <c r="O263">
        <v>0.67071512280316437</v>
      </c>
    </row>
    <row r="264" spans="1:15" x14ac:dyDescent="0.25">
      <c r="A264">
        <v>225.1801375</v>
      </c>
      <c r="B264">
        <v>174.26887149999999</v>
      </c>
      <c r="C264">
        <v>126.080557</v>
      </c>
      <c r="D264">
        <v>167.16673675000001</v>
      </c>
      <c r="E264">
        <v>303.93839274999999</v>
      </c>
      <c r="F264">
        <v>5.2639482500000003</v>
      </c>
      <c r="G264">
        <v>306.21474449999999</v>
      </c>
      <c r="H264">
        <v>0</v>
      </c>
      <c r="I264">
        <v>-8</v>
      </c>
      <c r="J264">
        <v>1.18</v>
      </c>
      <c r="K264">
        <v>22.585077999999999</v>
      </c>
      <c r="L264">
        <v>0.6299429872474549</v>
      </c>
      <c r="M264">
        <v>4.5130045001306421E-2</v>
      </c>
      <c r="N264">
        <v>-1.446700571413413E-2</v>
      </c>
      <c r="O264">
        <v>0.89860381220579832</v>
      </c>
    </row>
    <row r="265" spans="1:15" x14ac:dyDescent="0.25">
      <c r="A265">
        <v>207.58736024999999</v>
      </c>
      <c r="B265">
        <v>184.85395424999999</v>
      </c>
      <c r="C265">
        <v>165.1560365</v>
      </c>
      <c r="D265">
        <v>176.67281374999999</v>
      </c>
      <c r="E265">
        <v>316.03611775000002</v>
      </c>
      <c r="F265">
        <v>5.5556047500000014</v>
      </c>
      <c r="G265">
        <v>316.67900100000003</v>
      </c>
      <c r="H265">
        <v>0</v>
      </c>
      <c r="I265">
        <v>-4</v>
      </c>
      <c r="J265">
        <v>1.18</v>
      </c>
      <c r="K265">
        <v>22.963617750000001</v>
      </c>
      <c r="L265">
        <v>0.29241881996286773</v>
      </c>
      <c r="M265">
        <v>5.6339122175035151E-2</v>
      </c>
      <c r="N265">
        <v>-4.4777071342540194E-3</v>
      </c>
      <c r="O265">
        <v>1.13951959427113</v>
      </c>
    </row>
    <row r="266" spans="1:15" x14ac:dyDescent="0.25">
      <c r="A266">
        <v>184.86611174999999</v>
      </c>
      <c r="B266">
        <v>195.631531</v>
      </c>
      <c r="C266">
        <v>202.46973424999999</v>
      </c>
      <c r="D266">
        <v>183.41026675000001</v>
      </c>
      <c r="E266">
        <v>327.97473174999999</v>
      </c>
      <c r="F266">
        <v>5.7988654999999998</v>
      </c>
      <c r="G266">
        <v>329.04674525000001</v>
      </c>
      <c r="H266">
        <v>0</v>
      </c>
      <c r="I266">
        <v>0</v>
      </c>
      <c r="J266">
        <v>1.18</v>
      </c>
      <c r="K266">
        <v>23.406785500000002</v>
      </c>
      <c r="L266">
        <v>-0.1223355427361892</v>
      </c>
      <c r="M266">
        <v>8.4951972819098595E-2</v>
      </c>
      <c r="N266">
        <v>-7.4909439221085266E-3</v>
      </c>
      <c r="O266">
        <v>1.2399422539541589</v>
      </c>
    </row>
    <row r="267" spans="1:15" x14ac:dyDescent="0.25">
      <c r="A267">
        <v>156.76178375000001</v>
      </c>
      <c r="B267">
        <v>202.07880399999999</v>
      </c>
      <c r="C267">
        <v>236.75678275000001</v>
      </c>
      <c r="D267">
        <v>189.03828425</v>
      </c>
      <c r="E267">
        <v>338.17041799999998</v>
      </c>
      <c r="F267">
        <v>5.9458855000000002</v>
      </c>
      <c r="G267">
        <v>339.61416624999998</v>
      </c>
      <c r="H267">
        <v>0</v>
      </c>
      <c r="I267">
        <v>4</v>
      </c>
      <c r="J267">
        <v>1.18</v>
      </c>
      <c r="K267">
        <v>23.781066249999999</v>
      </c>
      <c r="L267">
        <v>-0.48398386777768371</v>
      </c>
      <c r="M267">
        <v>7.8882465468789104E-2</v>
      </c>
      <c r="N267">
        <v>-8.7417197644530167E-3</v>
      </c>
      <c r="O267">
        <v>1.010243335007736</v>
      </c>
    </row>
    <row r="268" spans="1:15" x14ac:dyDescent="0.25">
      <c r="A268">
        <v>115.8104745</v>
      </c>
      <c r="B268">
        <v>196.25701524999999</v>
      </c>
      <c r="C268">
        <v>261.24107350000003</v>
      </c>
      <c r="D268">
        <v>182.66531749999999</v>
      </c>
      <c r="E268">
        <v>332.76068125</v>
      </c>
      <c r="F268">
        <v>6.0420850000000002</v>
      </c>
      <c r="G268">
        <v>338.57363900000001</v>
      </c>
      <c r="H268">
        <v>0</v>
      </c>
      <c r="I268">
        <v>8</v>
      </c>
      <c r="J268">
        <v>1.18</v>
      </c>
      <c r="K268">
        <v>23.740465</v>
      </c>
      <c r="L268">
        <v>-0.79241982702539093</v>
      </c>
      <c r="M268">
        <v>7.4068738875929255E-2</v>
      </c>
      <c r="N268">
        <v>-3.1667455181942548E-2</v>
      </c>
      <c r="O268">
        <v>0.78026554550988503</v>
      </c>
    </row>
    <row r="269" spans="1:15" x14ac:dyDescent="0.25">
      <c r="A269">
        <v>68.40267575</v>
      </c>
      <c r="B269">
        <v>169.79430375000001</v>
      </c>
      <c r="C269">
        <v>259.02754974999999</v>
      </c>
      <c r="D269">
        <v>158.4793665</v>
      </c>
      <c r="E269">
        <v>294.91885424999998</v>
      </c>
      <c r="F269">
        <v>5.3111864999999998</v>
      </c>
      <c r="G269">
        <v>310.51528925000002</v>
      </c>
      <c r="H269">
        <v>0</v>
      </c>
      <c r="I269">
        <v>12</v>
      </c>
      <c r="J269">
        <v>1.18</v>
      </c>
      <c r="K269">
        <v>22.7441</v>
      </c>
      <c r="L269">
        <v>-1.050413640767623</v>
      </c>
      <c r="M269">
        <v>6.2353878095437042E-2</v>
      </c>
      <c r="N269">
        <v>-8.5954059713775455E-2</v>
      </c>
      <c r="O269">
        <v>0.59583501055241461</v>
      </c>
    </row>
    <row r="270" spans="1:15" x14ac:dyDescent="0.25">
      <c r="A270">
        <v>26.548362749999999</v>
      </c>
      <c r="B270">
        <v>142.377861</v>
      </c>
      <c r="C270">
        <v>254.60049824999999</v>
      </c>
      <c r="D270">
        <v>133.2503815</v>
      </c>
      <c r="E270">
        <v>255.53375975</v>
      </c>
      <c r="F270">
        <v>4.7267989999999998</v>
      </c>
      <c r="G270">
        <v>286.60362225</v>
      </c>
      <c r="H270">
        <v>0</v>
      </c>
      <c r="I270">
        <v>16</v>
      </c>
      <c r="J270">
        <v>1.18</v>
      </c>
      <c r="K270">
        <v>21.85763575</v>
      </c>
      <c r="L270">
        <v>-1.298465387502437</v>
      </c>
      <c r="M270">
        <v>5.1953783937174161E-2</v>
      </c>
      <c r="N270">
        <v>-0.1769240960918147</v>
      </c>
      <c r="O270">
        <v>0.42801790676915408</v>
      </c>
    </row>
    <row r="271" spans="1:15" x14ac:dyDescent="0.25">
      <c r="A271">
        <v>-11.984844750000001</v>
      </c>
      <c r="B271">
        <v>117.36553775</v>
      </c>
      <c r="C271">
        <v>251.03175350000001</v>
      </c>
      <c r="D271">
        <v>107.3977965</v>
      </c>
      <c r="E271">
        <v>216.38626475000001</v>
      </c>
      <c r="F271">
        <v>4.0448477499999997</v>
      </c>
      <c r="G271">
        <v>269.02484125000001</v>
      </c>
      <c r="H271">
        <v>0</v>
      </c>
      <c r="I271">
        <v>20</v>
      </c>
      <c r="J271">
        <v>1.18</v>
      </c>
      <c r="K271">
        <v>21.192412749999999</v>
      </c>
      <c r="L271">
        <v>-1.55927767331444</v>
      </c>
      <c r="M271">
        <v>5.9096804725002491E-2</v>
      </c>
      <c r="N271">
        <v>-0.31207492635842632</v>
      </c>
      <c r="O271">
        <v>0.25885173631907687</v>
      </c>
    </row>
    <row r="272" spans="1:15" x14ac:dyDescent="0.25">
      <c r="A272">
        <v>-50.597669750000001</v>
      </c>
      <c r="B272">
        <v>102.55766125</v>
      </c>
      <c r="C272">
        <v>269.10134900000003</v>
      </c>
      <c r="D272">
        <v>86.584271999999999</v>
      </c>
      <c r="E272">
        <v>190.63449499999999</v>
      </c>
      <c r="F272">
        <v>4.6299932500000001</v>
      </c>
      <c r="G272">
        <v>279.69589224999999</v>
      </c>
      <c r="H272">
        <v>0</v>
      </c>
      <c r="I272">
        <v>24</v>
      </c>
      <c r="J272">
        <v>1.18</v>
      </c>
      <c r="K272">
        <v>21.5919585</v>
      </c>
      <c r="L272">
        <v>-1.8518317695560109</v>
      </c>
      <c r="M272">
        <v>9.2529439595927063E-2</v>
      </c>
      <c r="N272">
        <v>-0.51590498603372803</v>
      </c>
      <c r="O272">
        <v>7.7408071060695527E-2</v>
      </c>
    </row>
    <row r="273" spans="1:15" x14ac:dyDescent="0.25">
      <c r="A273">
        <v>-96.599653500000002</v>
      </c>
      <c r="B273">
        <v>84.572654999999997</v>
      </c>
      <c r="C273">
        <v>290.01689149999999</v>
      </c>
      <c r="D273">
        <v>60.687865500000001</v>
      </c>
      <c r="E273">
        <v>156.41863649999999</v>
      </c>
      <c r="F273">
        <v>4.8249405000000003</v>
      </c>
      <c r="G273">
        <v>294.73958575</v>
      </c>
      <c r="H273">
        <v>0</v>
      </c>
      <c r="I273">
        <v>28</v>
      </c>
      <c r="J273">
        <v>1.18</v>
      </c>
      <c r="K273">
        <v>22.167097250000001</v>
      </c>
      <c r="L273">
        <v>-2.2171898924538782</v>
      </c>
      <c r="M273">
        <v>0.13699367548687119</v>
      </c>
      <c r="N273">
        <v>-0.79329266118834718</v>
      </c>
      <c r="O273">
        <v>-0.13065144262324699</v>
      </c>
    </row>
    <row r="274" spans="1:15" x14ac:dyDescent="0.25">
      <c r="A274">
        <v>-150.17100124999999</v>
      </c>
      <c r="B274">
        <v>59.128154500000001</v>
      </c>
      <c r="C274">
        <v>306.234352</v>
      </c>
      <c r="D274">
        <v>24.099878499999999</v>
      </c>
      <c r="E274">
        <v>106.38075825</v>
      </c>
      <c r="F274">
        <v>4.9227652499999994</v>
      </c>
      <c r="G274">
        <v>309.07025924999999</v>
      </c>
      <c r="H274">
        <v>0</v>
      </c>
      <c r="I274">
        <v>32</v>
      </c>
      <c r="J274">
        <v>1.18</v>
      </c>
      <c r="K274">
        <v>22.704709250000001</v>
      </c>
      <c r="L274">
        <v>-2.694042699924784</v>
      </c>
      <c r="M274">
        <v>0.2067525869847685</v>
      </c>
      <c r="N274">
        <v>-1.1964507006247169</v>
      </c>
      <c r="O274">
        <v>-0.40112186749277479</v>
      </c>
    </row>
    <row r="275" spans="1:15" x14ac:dyDescent="0.25">
      <c r="A275">
        <v>-205.54459</v>
      </c>
      <c r="B275">
        <v>26.9419705</v>
      </c>
      <c r="C275">
        <v>320.41897575000002</v>
      </c>
      <c r="D275">
        <v>-17.176756000000001</v>
      </c>
      <c r="E275">
        <v>44.224687500000002</v>
      </c>
      <c r="F275">
        <v>5.4589097500000001</v>
      </c>
      <c r="G275">
        <v>321.99990074999999</v>
      </c>
      <c r="H275">
        <v>0</v>
      </c>
      <c r="I275">
        <v>36</v>
      </c>
      <c r="J275">
        <v>1.18</v>
      </c>
      <c r="K275">
        <v>23.162686000000001</v>
      </c>
      <c r="L275">
        <v>-3.3808837959588538</v>
      </c>
      <c r="M275">
        <v>0.28343067966521418</v>
      </c>
      <c r="N275">
        <v>-1.785587325195013</v>
      </c>
      <c r="O275">
        <v>-0.75093512061429912</v>
      </c>
    </row>
    <row r="276" spans="1:15" x14ac:dyDescent="0.25">
      <c r="A276">
        <v>-257.98954025</v>
      </c>
      <c r="B276">
        <v>-12.330870000000001</v>
      </c>
      <c r="C276">
        <v>327.91786949999999</v>
      </c>
      <c r="D276">
        <v>-61.32058825</v>
      </c>
      <c r="E276">
        <v>-31.184041499999999</v>
      </c>
      <c r="F276">
        <v>5.6538709999999996</v>
      </c>
      <c r="G276">
        <v>332.04738600000002</v>
      </c>
      <c r="H276">
        <v>0</v>
      </c>
      <c r="I276">
        <v>40</v>
      </c>
      <c r="J276">
        <v>1.18</v>
      </c>
      <c r="K276">
        <v>23.520397750000001</v>
      </c>
      <c r="L276">
        <v>-4.5608896876721738</v>
      </c>
      <c r="M276">
        <v>0.38127425066576481</v>
      </c>
      <c r="N276">
        <v>-2.827566346232989</v>
      </c>
      <c r="O276">
        <v>-1.286799769433594</v>
      </c>
    </row>
    <row r="277" spans="1:15" x14ac:dyDescent="0.25">
      <c r="A277">
        <v>-309.89382899999998</v>
      </c>
      <c r="B277">
        <v>-56.808363</v>
      </c>
      <c r="C277">
        <v>333.47425874999999</v>
      </c>
      <c r="D277">
        <v>-111.3648225</v>
      </c>
      <c r="E277">
        <v>-116.88439</v>
      </c>
      <c r="F277">
        <v>5.7026112500000004</v>
      </c>
      <c r="G277">
        <v>342.81540699999999</v>
      </c>
      <c r="H277">
        <v>0</v>
      </c>
      <c r="I277">
        <v>44</v>
      </c>
      <c r="J277">
        <v>1.18</v>
      </c>
      <c r="K277">
        <v>23.9034975</v>
      </c>
      <c r="L277">
        <v>-6.8643543289882114</v>
      </c>
      <c r="M277">
        <v>0.58246113147108736</v>
      </c>
      <c r="N277">
        <v>-4.9052950880387538</v>
      </c>
      <c r="O277">
        <v>-2.3082528506837492</v>
      </c>
    </row>
    <row r="278" spans="1:15" x14ac:dyDescent="0.25">
      <c r="A278">
        <v>308.28617100000002</v>
      </c>
      <c r="B278">
        <v>-16.217253249999999</v>
      </c>
      <c r="C278">
        <v>-290.49424749999997</v>
      </c>
      <c r="D278">
        <v>-96.591936250000003</v>
      </c>
      <c r="E278">
        <v>-3.8812734999999998</v>
      </c>
      <c r="F278">
        <v>5.2152077500000003</v>
      </c>
      <c r="G278">
        <v>312.35271449999999</v>
      </c>
      <c r="H278">
        <v>4</v>
      </c>
      <c r="I278">
        <v>-44</v>
      </c>
      <c r="J278">
        <v>1.18</v>
      </c>
      <c r="K278">
        <v>22.816010500000001</v>
      </c>
      <c r="L278">
        <v>3.1571040527931382</v>
      </c>
      <c r="M278">
        <v>0.42378640791451072</v>
      </c>
      <c r="N278">
        <v>-1.66736871513235</v>
      </c>
      <c r="O278">
        <v>-1.0479711527701321</v>
      </c>
    </row>
    <row r="279" spans="1:15" x14ac:dyDescent="0.25">
      <c r="A279">
        <v>289.54879775000001</v>
      </c>
      <c r="B279">
        <v>20.689029000000001</v>
      </c>
      <c r="C279">
        <v>-230.17573924999999</v>
      </c>
      <c r="D279">
        <v>-49.73828975</v>
      </c>
      <c r="E279">
        <v>51.826519750000003</v>
      </c>
      <c r="F279">
        <v>4.7278042500000002</v>
      </c>
      <c r="G279">
        <v>290.69660199999998</v>
      </c>
      <c r="H279">
        <v>4</v>
      </c>
      <c r="I279">
        <v>-40</v>
      </c>
      <c r="J279">
        <v>1.18</v>
      </c>
      <c r="K279">
        <v>22.015718</v>
      </c>
      <c r="L279">
        <v>2.7099471464499989</v>
      </c>
      <c r="M279">
        <v>0.36721605369831051</v>
      </c>
      <c r="N279">
        <v>-1.2455221672869221</v>
      </c>
      <c r="O279">
        <v>-0.75441452266632991</v>
      </c>
    </row>
    <row r="280" spans="1:15" x14ac:dyDescent="0.25">
      <c r="A280">
        <v>270.04388425000002</v>
      </c>
      <c r="B280">
        <v>52.68488</v>
      </c>
      <c r="C280">
        <v>-168.323353</v>
      </c>
      <c r="D280">
        <v>-12.10677175</v>
      </c>
      <c r="E280">
        <v>98.510652749999991</v>
      </c>
      <c r="F280">
        <v>4.2404004999999998</v>
      </c>
      <c r="G280">
        <v>272.0426865</v>
      </c>
      <c r="H280">
        <v>4</v>
      </c>
      <c r="I280">
        <v>-36</v>
      </c>
      <c r="J280">
        <v>1.18</v>
      </c>
      <c r="K280">
        <v>21.304943000000002</v>
      </c>
      <c r="L280">
        <v>2.3227536969130198</v>
      </c>
      <c r="M280">
        <v>0.34331768903851501</v>
      </c>
      <c r="N280">
        <v>-0.91948015065813893</v>
      </c>
      <c r="O280">
        <v>-0.50048122615552204</v>
      </c>
    </row>
    <row r="281" spans="1:15" x14ac:dyDescent="0.25">
      <c r="A281">
        <v>274.06221799999997</v>
      </c>
      <c r="B281">
        <v>82.034458000000001</v>
      </c>
      <c r="C281">
        <v>-124.96802125000001</v>
      </c>
      <c r="D281">
        <v>19.893355</v>
      </c>
      <c r="E281">
        <v>144.65821074999999</v>
      </c>
      <c r="F281">
        <v>4.3378817500000002</v>
      </c>
      <c r="G281">
        <v>277.84703825000003</v>
      </c>
      <c r="H281">
        <v>4</v>
      </c>
      <c r="I281">
        <v>-32</v>
      </c>
      <c r="J281">
        <v>1.18</v>
      </c>
      <c r="K281">
        <v>21.530757999999999</v>
      </c>
      <c r="L281">
        <v>2.0235592152180222</v>
      </c>
      <c r="M281">
        <v>0.31513568252970697</v>
      </c>
      <c r="N281">
        <v>-0.67543880176170268</v>
      </c>
      <c r="O281">
        <v>-0.28843391979822841</v>
      </c>
    </row>
    <row r="282" spans="1:15" x14ac:dyDescent="0.25">
      <c r="A282">
        <v>288.37490874999997</v>
      </c>
      <c r="B282">
        <v>115.8586445</v>
      </c>
      <c r="C282">
        <v>-84.454921999999996</v>
      </c>
      <c r="D282">
        <v>51.310823499999998</v>
      </c>
      <c r="E282">
        <v>194.561924</v>
      </c>
      <c r="F282">
        <v>4.7278042500000002</v>
      </c>
      <c r="G282">
        <v>295.62025475000002</v>
      </c>
      <c r="H282">
        <v>4</v>
      </c>
      <c r="I282">
        <v>-28</v>
      </c>
      <c r="J282">
        <v>1.18</v>
      </c>
      <c r="K282">
        <v>22.2044465</v>
      </c>
      <c r="L282">
        <v>1.765843516430684</v>
      </c>
      <c r="M282">
        <v>0.30571945513342302</v>
      </c>
      <c r="N282">
        <v>-0.47864512727434061</v>
      </c>
      <c r="O282">
        <v>-0.10088317930380369</v>
      </c>
    </row>
    <row r="283" spans="1:15" x14ac:dyDescent="0.25">
      <c r="A283">
        <v>294.37989049999999</v>
      </c>
      <c r="B283">
        <v>142.465721</v>
      </c>
      <c r="C283">
        <v>-44.483201999999999</v>
      </c>
      <c r="D283">
        <v>81.150841</v>
      </c>
      <c r="E283">
        <v>237.22159199999999</v>
      </c>
      <c r="F283">
        <v>5.2639469999999999</v>
      </c>
      <c r="G283">
        <v>309.95096599999999</v>
      </c>
      <c r="H283">
        <v>4</v>
      </c>
      <c r="I283">
        <v>-24</v>
      </c>
      <c r="J283">
        <v>1.18</v>
      </c>
      <c r="K283">
        <v>22.724838500000001</v>
      </c>
      <c r="L283">
        <v>1.5481279414391329</v>
      </c>
      <c r="M283">
        <v>0.28011505584811691</v>
      </c>
      <c r="N283">
        <v>-0.33229007008672878</v>
      </c>
      <c r="O283">
        <v>5.9709079229925917E-2</v>
      </c>
    </row>
    <row r="284" spans="1:15" x14ac:dyDescent="0.25">
      <c r="A284">
        <v>292.98020150000002</v>
      </c>
      <c r="B284">
        <v>168.73600775</v>
      </c>
      <c r="C284">
        <v>1.0390664999999999</v>
      </c>
      <c r="D284">
        <v>109.85159299999999</v>
      </c>
      <c r="E284">
        <v>275.23068999999998</v>
      </c>
      <c r="F284">
        <v>5.4101685000000002</v>
      </c>
      <c r="G284">
        <v>321.55962375000001</v>
      </c>
      <c r="H284">
        <v>4</v>
      </c>
      <c r="I284">
        <v>-20</v>
      </c>
      <c r="J284">
        <v>1.18</v>
      </c>
      <c r="K284">
        <v>23.148351000000002</v>
      </c>
      <c r="L284">
        <v>1.3283031453032439</v>
      </c>
      <c r="M284">
        <v>0.26792126936205402</v>
      </c>
      <c r="N284">
        <v>-0.21079317989176699</v>
      </c>
      <c r="O284">
        <v>0.22765545694664971</v>
      </c>
    </row>
    <row r="285" spans="1:15" x14ac:dyDescent="0.25">
      <c r="A285">
        <v>286.88493375000002</v>
      </c>
      <c r="B285">
        <v>192.55246725000001</v>
      </c>
      <c r="C285">
        <v>51.317637249999997</v>
      </c>
      <c r="D285">
        <v>134.08292399999999</v>
      </c>
      <c r="E285">
        <v>306.3534775</v>
      </c>
      <c r="F285">
        <v>5.7026104999999996</v>
      </c>
      <c r="G285">
        <v>332.52776349999999</v>
      </c>
      <c r="H285">
        <v>4</v>
      </c>
      <c r="I285">
        <v>-16</v>
      </c>
      <c r="J285">
        <v>1.18</v>
      </c>
      <c r="K285">
        <v>23.53594275</v>
      </c>
      <c r="L285">
        <v>1.102583734404087</v>
      </c>
      <c r="M285">
        <v>0.27366224665432509</v>
      </c>
      <c r="N285">
        <v>-0.1225236191714002</v>
      </c>
      <c r="O285">
        <v>0.4071892818593264</v>
      </c>
    </row>
    <row r="286" spans="1:15" x14ac:dyDescent="0.25">
      <c r="A286">
        <v>274.82980350000003</v>
      </c>
      <c r="B286">
        <v>213.57831200000001</v>
      </c>
      <c r="C286">
        <v>100.737959</v>
      </c>
      <c r="D286">
        <v>150.68992249999999</v>
      </c>
      <c r="E286">
        <v>330.00850650000001</v>
      </c>
      <c r="F286">
        <v>5.7026110000000001</v>
      </c>
      <c r="G286">
        <v>342.45513899999997</v>
      </c>
      <c r="H286">
        <v>4</v>
      </c>
      <c r="I286">
        <v>-12</v>
      </c>
      <c r="J286">
        <v>1.18</v>
      </c>
      <c r="K286">
        <v>23.890726749999999</v>
      </c>
      <c r="L286">
        <v>0.85216624191182255</v>
      </c>
      <c r="M286">
        <v>0.30782354200236411</v>
      </c>
      <c r="N286">
        <v>-6.0931174400002348E-2</v>
      </c>
      <c r="O286">
        <v>0.58747126982485931</v>
      </c>
    </row>
    <row r="287" spans="1:15" x14ac:dyDescent="0.25">
      <c r="A287">
        <v>239.43195349999999</v>
      </c>
      <c r="B287">
        <v>213.0971835</v>
      </c>
      <c r="C287">
        <v>135.88330450000001</v>
      </c>
      <c r="D287">
        <v>148.49902324999999</v>
      </c>
      <c r="E287">
        <v>322.09362800000002</v>
      </c>
      <c r="F287">
        <v>5.6538702499999998</v>
      </c>
      <c r="G287">
        <v>327.08367924999999</v>
      </c>
      <c r="H287">
        <v>4</v>
      </c>
      <c r="I287">
        <v>-8</v>
      </c>
      <c r="J287">
        <v>1.18</v>
      </c>
      <c r="K287">
        <v>23.340836750000001</v>
      </c>
      <c r="L287">
        <v>0.57566000794148864</v>
      </c>
      <c r="M287">
        <v>0.35906405456656548</v>
      </c>
      <c r="N287">
        <v>-2.777464486718665E-2</v>
      </c>
      <c r="O287">
        <v>0.75896032374154676</v>
      </c>
    </row>
    <row r="288" spans="1:15" x14ac:dyDescent="0.25">
      <c r="A288">
        <v>197.03583549999999</v>
      </c>
      <c r="B288">
        <v>202.993225</v>
      </c>
      <c r="C288">
        <v>157.61198400000001</v>
      </c>
      <c r="D288">
        <v>138.81525425000001</v>
      </c>
      <c r="E288">
        <v>300.85330974999999</v>
      </c>
      <c r="F288">
        <v>5.1177264999999998</v>
      </c>
      <c r="G288">
        <v>303.02577200000002</v>
      </c>
      <c r="H288">
        <v>4</v>
      </c>
      <c r="I288">
        <v>-4</v>
      </c>
      <c r="J288">
        <v>1.18</v>
      </c>
      <c r="K288">
        <v>22.470599</v>
      </c>
      <c r="L288">
        <v>0.25825542305168547</v>
      </c>
      <c r="M288">
        <v>0.42045907135133559</v>
      </c>
      <c r="N288">
        <v>-1.4243500810104689E-2</v>
      </c>
      <c r="O288">
        <v>0.93750637991252372</v>
      </c>
    </row>
    <row r="289" spans="1:15" x14ac:dyDescent="0.25">
      <c r="A289">
        <v>156.62633149999999</v>
      </c>
      <c r="B289">
        <v>190.60134875</v>
      </c>
      <c r="C289">
        <v>170.71244050000001</v>
      </c>
      <c r="D289">
        <v>128.82476424999999</v>
      </c>
      <c r="E289">
        <v>280.32834650000001</v>
      </c>
      <c r="F289">
        <v>4.5815835000000007</v>
      </c>
      <c r="G289">
        <v>281.52973200000002</v>
      </c>
      <c r="H289">
        <v>4</v>
      </c>
      <c r="I289">
        <v>0</v>
      </c>
      <c r="J289">
        <v>1.18</v>
      </c>
      <c r="K289">
        <v>21.665706749999998</v>
      </c>
      <c r="L289">
        <v>-0.1023497902238803</v>
      </c>
      <c r="M289">
        <v>0.44893407794878371</v>
      </c>
      <c r="N289">
        <v>-8.7324301688935357E-3</v>
      </c>
      <c r="O289">
        <v>1.0039541588006231</v>
      </c>
    </row>
    <row r="290" spans="1:15" x14ac:dyDescent="0.25">
      <c r="A290">
        <v>122.04121225</v>
      </c>
      <c r="B290">
        <v>179.06794375000001</v>
      </c>
      <c r="C290">
        <v>183.13528074999999</v>
      </c>
      <c r="D290">
        <v>123.8295155</v>
      </c>
      <c r="E290">
        <v>264.27507774999998</v>
      </c>
      <c r="F290">
        <v>4.2404014999999999</v>
      </c>
      <c r="G290">
        <v>266.43849175000003</v>
      </c>
      <c r="H290">
        <v>4</v>
      </c>
      <c r="I290">
        <v>4</v>
      </c>
      <c r="J290">
        <v>1.18</v>
      </c>
      <c r="K290">
        <v>21.080864250000001</v>
      </c>
      <c r="L290">
        <v>-0.43222317214850992</v>
      </c>
      <c r="M290">
        <v>0.39082640220108539</v>
      </c>
      <c r="N290">
        <v>-1.5317657568836251E-2</v>
      </c>
      <c r="O290">
        <v>0.8397942331558963</v>
      </c>
    </row>
    <row r="291" spans="1:15" x14ac:dyDescent="0.25">
      <c r="A291">
        <v>97.208558999999994</v>
      </c>
      <c r="B291">
        <v>184.08112725000001</v>
      </c>
      <c r="C291">
        <v>212.58871074999999</v>
      </c>
      <c r="D291">
        <v>126.04817774999999</v>
      </c>
      <c r="E291">
        <v>273.26310725000002</v>
      </c>
      <c r="F291">
        <v>4.2891414999999986</v>
      </c>
      <c r="G291">
        <v>279.72840124999999</v>
      </c>
      <c r="H291">
        <v>4</v>
      </c>
      <c r="I291">
        <v>8</v>
      </c>
      <c r="J291">
        <v>1.18</v>
      </c>
      <c r="K291">
        <v>21.606617</v>
      </c>
      <c r="L291">
        <v>-0.71383462562595201</v>
      </c>
      <c r="M291">
        <v>0.35904278857841138</v>
      </c>
      <c r="N291">
        <v>-4.0004816501393509E-2</v>
      </c>
      <c r="O291">
        <v>0.66408210163649717</v>
      </c>
    </row>
    <row r="292" spans="1:15" x14ac:dyDescent="0.25">
      <c r="A292">
        <v>65.869960750000004</v>
      </c>
      <c r="B292">
        <v>184.34728999999999</v>
      </c>
      <c r="C292">
        <v>242.58422100000001</v>
      </c>
      <c r="D292">
        <v>126.100027</v>
      </c>
      <c r="E292">
        <v>276.03553025000002</v>
      </c>
      <c r="F292">
        <v>4.6790640000000003</v>
      </c>
      <c r="G292">
        <v>293.69881450000003</v>
      </c>
      <c r="H292">
        <v>4</v>
      </c>
      <c r="I292">
        <v>12</v>
      </c>
      <c r="J292">
        <v>1.18</v>
      </c>
      <c r="K292">
        <v>22.132866499999999</v>
      </c>
      <c r="L292">
        <v>-0.98147329041457043</v>
      </c>
      <c r="M292">
        <v>0.32350988869590908</v>
      </c>
      <c r="N292">
        <v>-9.8133001974379436E-2</v>
      </c>
      <c r="O292">
        <v>0.5071362647412323</v>
      </c>
    </row>
    <row r="293" spans="1:15" x14ac:dyDescent="0.25">
      <c r="A293">
        <v>27.17506375</v>
      </c>
      <c r="B293">
        <v>179.043148</v>
      </c>
      <c r="C293">
        <v>270.77277375</v>
      </c>
      <c r="D293">
        <v>116.59212100000001</v>
      </c>
      <c r="E293">
        <v>270.62483200000003</v>
      </c>
      <c r="F293">
        <v>5.1664669999999999</v>
      </c>
      <c r="G293">
        <v>307.18885799999998</v>
      </c>
      <c r="H293">
        <v>4</v>
      </c>
      <c r="I293">
        <v>16</v>
      </c>
      <c r="J293">
        <v>1.18</v>
      </c>
      <c r="K293">
        <v>22.625250250000001</v>
      </c>
      <c r="L293">
        <v>-1.2257060204794701</v>
      </c>
      <c r="M293">
        <v>0.31424133424316902</v>
      </c>
      <c r="N293">
        <v>-0.18398737543168769</v>
      </c>
      <c r="O293">
        <v>0.33569608749128133</v>
      </c>
    </row>
    <row r="294" spans="1:15" x14ac:dyDescent="0.25">
      <c r="A294">
        <v>-14.23763475</v>
      </c>
      <c r="B294">
        <v>170.23997875000001</v>
      </c>
      <c r="C294">
        <v>294.94084950000001</v>
      </c>
      <c r="D294">
        <v>98.928278000000006</v>
      </c>
      <c r="E294">
        <v>253.85611</v>
      </c>
      <c r="F294">
        <v>5.3614290000000002</v>
      </c>
      <c r="G294">
        <v>319.07770525000001</v>
      </c>
      <c r="H294">
        <v>4</v>
      </c>
      <c r="I294">
        <v>20</v>
      </c>
      <c r="J294">
        <v>1.18</v>
      </c>
      <c r="K294">
        <v>23.059104749999999</v>
      </c>
      <c r="L294">
        <v>-1.4617585331771561</v>
      </c>
      <c r="M294">
        <v>0.33714397812485858</v>
      </c>
      <c r="N294">
        <v>-0.30836357728331443</v>
      </c>
      <c r="O294">
        <v>0.17486650020722599</v>
      </c>
    </row>
    <row r="295" spans="1:15" x14ac:dyDescent="0.25">
      <c r="A295">
        <v>-60.735225749999998</v>
      </c>
      <c r="B295">
        <v>156.72276274999999</v>
      </c>
      <c r="C295">
        <v>314.00426475</v>
      </c>
      <c r="D295">
        <v>67.466718499999999</v>
      </c>
      <c r="E295">
        <v>221.61545150000001</v>
      </c>
      <c r="F295">
        <v>5.5563905</v>
      </c>
      <c r="G295">
        <v>329.20526100000001</v>
      </c>
      <c r="H295">
        <v>4</v>
      </c>
      <c r="I295">
        <v>24</v>
      </c>
      <c r="J295">
        <v>1.18</v>
      </c>
      <c r="K295">
        <v>23.421291</v>
      </c>
      <c r="L295">
        <v>-1.717011291942705</v>
      </c>
      <c r="M295">
        <v>0.4089497428141613</v>
      </c>
      <c r="N295">
        <v>-0.49296839142066218</v>
      </c>
      <c r="O295">
        <v>-1.0019941274812479E-2</v>
      </c>
    </row>
    <row r="296" spans="1:15" x14ac:dyDescent="0.25">
      <c r="A296">
        <v>-110.61200525</v>
      </c>
      <c r="B296">
        <v>137.48111700000001</v>
      </c>
      <c r="C296">
        <v>330.08619700000003</v>
      </c>
      <c r="D296">
        <v>25.190570000000001</v>
      </c>
      <c r="E296">
        <v>176.76468249999999</v>
      </c>
      <c r="F296">
        <v>5.6538709999999996</v>
      </c>
      <c r="G296">
        <v>338.55258149999997</v>
      </c>
      <c r="H296">
        <v>4</v>
      </c>
      <c r="I296">
        <v>28</v>
      </c>
      <c r="J296">
        <v>1.18</v>
      </c>
      <c r="K296">
        <v>23.753632</v>
      </c>
      <c r="L296">
        <v>-2.007979097183525</v>
      </c>
      <c r="M296">
        <v>0.51161754999618902</v>
      </c>
      <c r="N296">
        <v>-0.73718089901934469</v>
      </c>
      <c r="O296">
        <v>-0.22036058295986319</v>
      </c>
    </row>
    <row r="297" spans="1:15" x14ac:dyDescent="0.25">
      <c r="A297">
        <v>-160.80416475000001</v>
      </c>
      <c r="B297">
        <v>107.96795849999999</v>
      </c>
      <c r="C297">
        <v>333.38390325</v>
      </c>
      <c r="D297">
        <v>-21.547432499999999</v>
      </c>
      <c r="E297">
        <v>115.41351525</v>
      </c>
      <c r="F297">
        <v>5.9950527500000002</v>
      </c>
      <c r="G297">
        <v>338.33262624999998</v>
      </c>
      <c r="H297">
        <v>4</v>
      </c>
      <c r="I297">
        <v>32</v>
      </c>
      <c r="J297">
        <v>1.18</v>
      </c>
      <c r="K297">
        <v>23.733546</v>
      </c>
      <c r="L297">
        <v>-2.392308573161753</v>
      </c>
      <c r="M297">
        <v>0.62686495468014658</v>
      </c>
      <c r="N297">
        <v>-1.0792387772168961</v>
      </c>
      <c r="O297">
        <v>-0.47036687152352752</v>
      </c>
    </row>
    <row r="298" spans="1:15" x14ac:dyDescent="0.25">
      <c r="A298">
        <v>-192.52346424999999</v>
      </c>
      <c r="B298">
        <v>68.562547499999994</v>
      </c>
      <c r="C298">
        <v>306.03871900000001</v>
      </c>
      <c r="D298">
        <v>-63.025144500000003</v>
      </c>
      <c r="E298">
        <v>41.45225825</v>
      </c>
      <c r="F298">
        <v>5.1664672500000002</v>
      </c>
      <c r="G298">
        <v>308.45616899999999</v>
      </c>
      <c r="H298">
        <v>4</v>
      </c>
      <c r="I298">
        <v>36</v>
      </c>
      <c r="J298">
        <v>1.18</v>
      </c>
      <c r="K298">
        <v>22.672660499999999</v>
      </c>
      <c r="L298">
        <v>-2.946306145321461</v>
      </c>
      <c r="M298">
        <v>0.77754120278224736</v>
      </c>
      <c r="N298">
        <v>-1.5779420000102431</v>
      </c>
      <c r="O298">
        <v>-0.78558742869918197</v>
      </c>
    </row>
    <row r="299" spans="1:15" x14ac:dyDescent="0.25">
      <c r="A299">
        <v>-219.51189049999999</v>
      </c>
      <c r="B299">
        <v>30.359980499999999</v>
      </c>
      <c r="C299">
        <v>283.33911899999998</v>
      </c>
      <c r="D299">
        <v>-99.389167999999998</v>
      </c>
      <c r="E299">
        <v>-27.838113750000002</v>
      </c>
      <c r="F299">
        <v>4.6790640000000003</v>
      </c>
      <c r="G299">
        <v>288.32463050000001</v>
      </c>
      <c r="H299">
        <v>4</v>
      </c>
      <c r="I299">
        <v>40</v>
      </c>
      <c r="J299">
        <v>1.18</v>
      </c>
      <c r="K299">
        <v>21.9261035</v>
      </c>
      <c r="L299">
        <v>-3.820733045036119</v>
      </c>
      <c r="M299">
        <v>0.9858585119029496</v>
      </c>
      <c r="N299">
        <v>-2.4023150378018778</v>
      </c>
      <c r="O299">
        <v>-1.2470626246658849</v>
      </c>
    </row>
    <row r="300" spans="1:15" x14ac:dyDescent="0.25">
      <c r="A300">
        <v>-237.33839825000001</v>
      </c>
      <c r="B300">
        <v>-3.2146625000000002</v>
      </c>
      <c r="C300">
        <v>257.39575200000002</v>
      </c>
      <c r="D300">
        <v>-129.328304</v>
      </c>
      <c r="E300">
        <v>-89.403176999999999</v>
      </c>
      <c r="F300">
        <v>4.09418025</v>
      </c>
      <c r="G300">
        <v>267.457176</v>
      </c>
      <c r="H300">
        <v>4</v>
      </c>
      <c r="I300">
        <v>44</v>
      </c>
      <c r="J300">
        <v>1.18</v>
      </c>
      <c r="K300">
        <v>21.127647499999998</v>
      </c>
      <c r="L300">
        <v>-5.2675295841501359</v>
      </c>
      <c r="M300">
        <v>1.342690293025234</v>
      </c>
      <c r="N300">
        <v>-3.7995926615106361</v>
      </c>
      <c r="O300">
        <v>-1.9955768459940491</v>
      </c>
    </row>
    <row r="301" spans="1:15" x14ac:dyDescent="0.25">
      <c r="A301">
        <v>281.61054975000002</v>
      </c>
      <c r="B301">
        <v>21.940018500000001</v>
      </c>
      <c r="C301">
        <v>-267.72138999999999</v>
      </c>
      <c r="D301">
        <v>-137.02069474999999</v>
      </c>
      <c r="E301">
        <v>-8.7440214999999988</v>
      </c>
      <c r="F301">
        <v>4.7278042500000002</v>
      </c>
      <c r="G301">
        <v>288.10776499999997</v>
      </c>
      <c r="H301">
        <v>8</v>
      </c>
      <c r="I301">
        <v>-44</v>
      </c>
      <c r="J301">
        <v>1.18</v>
      </c>
      <c r="K301">
        <v>21.91583825</v>
      </c>
      <c r="L301">
        <v>2.83717900781508</v>
      </c>
      <c r="M301">
        <v>0.82088697738419381</v>
      </c>
      <c r="N301">
        <v>-1.5331708196642939</v>
      </c>
      <c r="O301">
        <v>-1.069583254641427</v>
      </c>
    </row>
    <row r="302" spans="1:15" x14ac:dyDescent="0.25">
      <c r="A302">
        <v>299.448486</v>
      </c>
      <c r="B302">
        <v>59.2765305</v>
      </c>
      <c r="C302">
        <v>-238.54976300000001</v>
      </c>
      <c r="D302">
        <v>-101.53080575</v>
      </c>
      <c r="E302">
        <v>48.428045249999997</v>
      </c>
      <c r="F302">
        <v>4.8740249999999996</v>
      </c>
      <c r="G302">
        <v>303.03541575000003</v>
      </c>
      <c r="H302">
        <v>8</v>
      </c>
      <c r="I302">
        <v>-40</v>
      </c>
      <c r="J302">
        <v>1.18</v>
      </c>
      <c r="K302">
        <v>22.480168750000001</v>
      </c>
      <c r="L302">
        <v>2.462623937721212</v>
      </c>
      <c r="M302">
        <v>0.73603188953089715</v>
      </c>
      <c r="N302">
        <v>-1.1654301738625841</v>
      </c>
      <c r="O302">
        <v>-0.80063026736449672</v>
      </c>
    </row>
    <row r="303" spans="1:15" x14ac:dyDescent="0.25">
      <c r="A303">
        <v>311.68102275000001</v>
      </c>
      <c r="B303">
        <v>96.180015749999995</v>
      </c>
      <c r="C303">
        <v>-198.90422425</v>
      </c>
      <c r="D303">
        <v>-65.560134750000003</v>
      </c>
      <c r="E303">
        <v>105.21812825000001</v>
      </c>
      <c r="F303">
        <v>5.2639480000000001</v>
      </c>
      <c r="G303">
        <v>315.56184374999998</v>
      </c>
      <c r="H303">
        <v>8</v>
      </c>
      <c r="I303">
        <v>-36</v>
      </c>
      <c r="J303">
        <v>1.18</v>
      </c>
      <c r="K303">
        <v>22.933122999999998</v>
      </c>
      <c r="L303">
        <v>2.1502771043954638</v>
      </c>
      <c r="M303">
        <v>0.68114424861984846</v>
      </c>
      <c r="N303">
        <v>-0.88583960977163567</v>
      </c>
      <c r="O303">
        <v>-0.57904747517689859</v>
      </c>
    </row>
    <row r="304" spans="1:15" x14ac:dyDescent="0.25">
      <c r="A304">
        <v>320.07351675000001</v>
      </c>
      <c r="B304">
        <v>131.88065750000001</v>
      </c>
      <c r="C304">
        <v>-148.93010699999999</v>
      </c>
      <c r="D304">
        <v>-25.69957475</v>
      </c>
      <c r="E304">
        <v>161.471611</v>
      </c>
      <c r="F304">
        <v>5.5563905</v>
      </c>
      <c r="G304">
        <v>326.60751349999998</v>
      </c>
      <c r="H304">
        <v>8</v>
      </c>
      <c r="I304">
        <v>-32</v>
      </c>
      <c r="J304">
        <v>1.18</v>
      </c>
      <c r="K304">
        <v>23.32710775</v>
      </c>
      <c r="L304">
        <v>1.885200769831064</v>
      </c>
      <c r="M304">
        <v>0.63335951338921825</v>
      </c>
      <c r="N304">
        <v>-0.66378093824439999</v>
      </c>
      <c r="O304">
        <v>-0.37329638662043058</v>
      </c>
    </row>
    <row r="305" spans="1:15" x14ac:dyDescent="0.25">
      <c r="A305">
        <v>325.06340799999998</v>
      </c>
      <c r="B305">
        <v>163.29913325000001</v>
      </c>
      <c r="C305">
        <v>-99.233177250000011</v>
      </c>
      <c r="D305">
        <v>14.02174875</v>
      </c>
      <c r="E305">
        <v>211.77778649999999</v>
      </c>
      <c r="F305">
        <v>5.7513515000000002</v>
      </c>
      <c r="G305">
        <v>336.89279175000001</v>
      </c>
      <c r="H305">
        <v>8</v>
      </c>
      <c r="I305">
        <v>-28</v>
      </c>
      <c r="J305">
        <v>1.18</v>
      </c>
      <c r="K305">
        <v>23.690852</v>
      </c>
      <c r="L305">
        <v>1.6679819025360709</v>
      </c>
      <c r="M305">
        <v>0.58681063750760354</v>
      </c>
      <c r="N305">
        <v>-0.49186149183573269</v>
      </c>
      <c r="O305">
        <v>-0.1900921437583685</v>
      </c>
    </row>
    <row r="306" spans="1:15" x14ac:dyDescent="0.25">
      <c r="A306">
        <v>324.36226649999998</v>
      </c>
      <c r="B306">
        <v>190.19489675</v>
      </c>
      <c r="C306">
        <v>-46.146392749999997</v>
      </c>
      <c r="D306">
        <v>55.3420725</v>
      </c>
      <c r="E306">
        <v>257.97003174999998</v>
      </c>
      <c r="F306">
        <v>6.0925332499999998</v>
      </c>
      <c r="G306">
        <v>345.6773455</v>
      </c>
      <c r="H306">
        <v>8</v>
      </c>
      <c r="I306">
        <v>-24</v>
      </c>
      <c r="J306">
        <v>1.18</v>
      </c>
      <c r="K306">
        <v>23.990983249999999</v>
      </c>
      <c r="L306">
        <v>1.4623787996770581</v>
      </c>
      <c r="M306">
        <v>0.53223203067493197</v>
      </c>
      <c r="N306">
        <v>-0.3462025957555469</v>
      </c>
      <c r="O306">
        <v>-5.9080198490598246E-3</v>
      </c>
    </row>
    <row r="307" spans="1:15" x14ac:dyDescent="0.25">
      <c r="A307">
        <v>284.77050774999998</v>
      </c>
      <c r="B307">
        <v>193.0817375</v>
      </c>
      <c r="C307">
        <v>9.2606485000000003</v>
      </c>
      <c r="D307">
        <v>78.828491499999998</v>
      </c>
      <c r="E307">
        <v>263.87261949999998</v>
      </c>
      <c r="F307">
        <v>5.2639480000000001</v>
      </c>
      <c r="G307">
        <v>316.21716300000003</v>
      </c>
      <c r="H307">
        <v>8</v>
      </c>
      <c r="I307">
        <v>-20</v>
      </c>
      <c r="J307">
        <v>1.18</v>
      </c>
      <c r="K307">
        <v>22.957274000000002</v>
      </c>
      <c r="L307">
        <v>1.253286730197664</v>
      </c>
      <c r="M307">
        <v>0.51973573188905675</v>
      </c>
      <c r="N307">
        <v>-0.238111705749463</v>
      </c>
      <c r="O307">
        <v>0.17641275713787119</v>
      </c>
    </row>
    <row r="308" spans="1:15" x14ac:dyDescent="0.25">
      <c r="A308">
        <v>248.90964500000001</v>
      </c>
      <c r="B308">
        <v>192.5524825</v>
      </c>
      <c r="C308">
        <v>50.143092250000002</v>
      </c>
      <c r="D308">
        <v>90.00206575</v>
      </c>
      <c r="E308">
        <v>262.79941574999998</v>
      </c>
      <c r="F308">
        <v>4.8252847499999998</v>
      </c>
      <c r="G308">
        <v>291.60037225000002</v>
      </c>
      <c r="H308">
        <v>8</v>
      </c>
      <c r="I308">
        <v>-16</v>
      </c>
      <c r="J308">
        <v>1.18</v>
      </c>
      <c r="K308">
        <v>22.046733</v>
      </c>
      <c r="L308">
        <v>1.031347534560457</v>
      </c>
      <c r="M308">
        <v>0.53209317045336524</v>
      </c>
      <c r="N308">
        <v>-0.14944860487959599</v>
      </c>
      <c r="O308">
        <v>0.33855353893427709</v>
      </c>
    </row>
    <row r="309" spans="1:15" x14ac:dyDescent="0.25">
      <c r="A309">
        <v>217.8214495</v>
      </c>
      <c r="B309">
        <v>192.31191999999999</v>
      </c>
      <c r="C309">
        <v>81.900394250000005</v>
      </c>
      <c r="D309">
        <v>93.726591499999998</v>
      </c>
      <c r="E309">
        <v>259.311554</v>
      </c>
      <c r="F309">
        <v>4.4353622499999998</v>
      </c>
      <c r="G309">
        <v>274.15647875000002</v>
      </c>
      <c r="H309">
        <v>8</v>
      </c>
      <c r="I309">
        <v>-12</v>
      </c>
      <c r="J309">
        <v>1.18</v>
      </c>
      <c r="K309">
        <v>21.381158249999999</v>
      </c>
      <c r="L309">
        <v>0.7925336881795112</v>
      </c>
      <c r="M309">
        <v>0.57483796957148292</v>
      </c>
      <c r="N309">
        <v>-8.6555711015964959E-2</v>
      </c>
      <c r="O309">
        <v>0.48619357361276949</v>
      </c>
    </row>
    <row r="310" spans="1:15" x14ac:dyDescent="0.25">
      <c r="A310">
        <v>195.45561599999999</v>
      </c>
      <c r="B310">
        <v>197.02708799999999</v>
      </c>
      <c r="C310">
        <v>111.08277525</v>
      </c>
      <c r="D310">
        <v>95.216400249999992</v>
      </c>
      <c r="E310">
        <v>262.08403025000001</v>
      </c>
      <c r="F310">
        <v>4.2404012499999997</v>
      </c>
      <c r="G310">
        <v>270.68168624999998</v>
      </c>
      <c r="H310">
        <v>8</v>
      </c>
      <c r="I310">
        <v>-8</v>
      </c>
      <c r="J310">
        <v>1.18</v>
      </c>
      <c r="K310">
        <v>21.25075975</v>
      </c>
      <c r="L310">
        <v>0.53086255812315064</v>
      </c>
      <c r="M310">
        <v>0.64058100436232712</v>
      </c>
      <c r="N310">
        <v>-5.4095304944436123E-2</v>
      </c>
      <c r="O310">
        <v>0.62232888930998576</v>
      </c>
    </row>
    <row r="311" spans="1:15" x14ac:dyDescent="0.25">
      <c r="A311">
        <v>183.83985525</v>
      </c>
      <c r="B311">
        <v>213.59650024999999</v>
      </c>
      <c r="C311">
        <v>145.32463799999999</v>
      </c>
      <c r="D311">
        <v>101.35091224999999</v>
      </c>
      <c r="E311">
        <v>282.78778075000002</v>
      </c>
      <c r="F311">
        <v>4.6303235000000003</v>
      </c>
      <c r="G311">
        <v>287.65435774999997</v>
      </c>
      <c r="H311">
        <v>8</v>
      </c>
      <c r="I311">
        <v>-4</v>
      </c>
      <c r="J311">
        <v>1.18</v>
      </c>
      <c r="K311">
        <v>21.902078750000001</v>
      </c>
      <c r="L311">
        <v>0.24154346575134991</v>
      </c>
      <c r="M311">
        <v>0.70393745430233201</v>
      </c>
      <c r="N311">
        <v>-3.052286600546688E-2</v>
      </c>
      <c r="O311">
        <v>0.74448884134745597</v>
      </c>
    </row>
    <row r="312" spans="1:15" x14ac:dyDescent="0.25">
      <c r="A312">
        <v>166.96578199999999</v>
      </c>
      <c r="B312">
        <v>227.80422225000001</v>
      </c>
      <c r="C312">
        <v>178.34682475</v>
      </c>
      <c r="D312">
        <v>106.740522</v>
      </c>
      <c r="E312">
        <v>298.84107999999998</v>
      </c>
      <c r="F312">
        <v>5.1664665000000003</v>
      </c>
      <c r="G312">
        <v>303.50616450000001</v>
      </c>
      <c r="H312">
        <v>8</v>
      </c>
      <c r="I312">
        <v>0</v>
      </c>
      <c r="J312">
        <v>1.18</v>
      </c>
      <c r="K312">
        <v>22.4868895</v>
      </c>
      <c r="L312">
        <v>-7.0253687434515072E-2</v>
      </c>
      <c r="M312">
        <v>0.74738111387468342</v>
      </c>
      <c r="N312">
        <v>-2.8830383312414519E-2</v>
      </c>
      <c r="O312">
        <v>0.81296463391953078</v>
      </c>
    </row>
    <row r="313" spans="1:15" x14ac:dyDescent="0.25">
      <c r="A313">
        <v>143.39733899999999</v>
      </c>
      <c r="B313">
        <v>236.303314</v>
      </c>
      <c r="C313">
        <v>209.87825025000001</v>
      </c>
      <c r="D313">
        <v>112.48066725</v>
      </c>
      <c r="E313">
        <v>308.63401800000003</v>
      </c>
      <c r="F313">
        <v>5.2632079999999997</v>
      </c>
      <c r="G313">
        <v>316.03547674999999</v>
      </c>
      <c r="H313">
        <v>8</v>
      </c>
      <c r="I313">
        <v>4</v>
      </c>
      <c r="J313">
        <v>1.18</v>
      </c>
      <c r="K313">
        <v>22.950653249999998</v>
      </c>
      <c r="L313">
        <v>-0.36791230486011511</v>
      </c>
      <c r="M313">
        <v>0.68526476561832383</v>
      </c>
      <c r="N313">
        <v>-4.096664570146976E-2</v>
      </c>
      <c r="O313">
        <v>0.67891789474555608</v>
      </c>
    </row>
    <row r="314" spans="1:15" x14ac:dyDescent="0.25">
      <c r="A314">
        <v>113.90658725</v>
      </c>
      <c r="B314">
        <v>240.47179399999999</v>
      </c>
      <c r="C314">
        <v>242.49385100000001</v>
      </c>
      <c r="D314">
        <v>115.46029475</v>
      </c>
      <c r="E314">
        <v>313.75605775000002</v>
      </c>
      <c r="F314">
        <v>5.6043352500000001</v>
      </c>
      <c r="G314">
        <v>327.08371749999998</v>
      </c>
      <c r="H314">
        <v>8</v>
      </c>
      <c r="I314">
        <v>8</v>
      </c>
      <c r="J314">
        <v>1.18</v>
      </c>
      <c r="K314">
        <v>23.342666000000001</v>
      </c>
      <c r="L314">
        <v>-0.6459114590192041</v>
      </c>
      <c r="M314">
        <v>0.62798619029100688</v>
      </c>
      <c r="N314">
        <v>-6.6955544702992115E-2</v>
      </c>
      <c r="O314">
        <v>0.5479460783358403</v>
      </c>
    </row>
    <row r="315" spans="1:15" x14ac:dyDescent="0.25">
      <c r="A315">
        <v>77.16186725</v>
      </c>
      <c r="B315">
        <v>239.10824199999999</v>
      </c>
      <c r="C315">
        <v>273.392853</v>
      </c>
      <c r="D315">
        <v>114.67157175</v>
      </c>
      <c r="E315">
        <v>311.92280599999998</v>
      </c>
      <c r="F315">
        <v>5.9446399999999997</v>
      </c>
      <c r="G315">
        <v>338.57226550000001</v>
      </c>
      <c r="H315">
        <v>8</v>
      </c>
      <c r="I315">
        <v>12</v>
      </c>
      <c r="J315">
        <v>1.18</v>
      </c>
      <c r="K315">
        <v>23.743952749999998</v>
      </c>
      <c r="L315">
        <v>-0.90844875208711717</v>
      </c>
      <c r="M315">
        <v>0.57608556492612639</v>
      </c>
      <c r="N315">
        <v>-0.1233765009436784</v>
      </c>
      <c r="O315">
        <v>0.41653084928412998</v>
      </c>
    </row>
    <row r="316" spans="1:15" x14ac:dyDescent="0.25">
      <c r="A316">
        <v>32.643687499999999</v>
      </c>
      <c r="B316">
        <v>224.06854625</v>
      </c>
      <c r="C316">
        <v>288.88752749999998</v>
      </c>
      <c r="D316">
        <v>98.020750249999992</v>
      </c>
      <c r="E316">
        <v>288.22428124999999</v>
      </c>
      <c r="F316">
        <v>5.7501452500000001</v>
      </c>
      <c r="G316">
        <v>334.92954250000003</v>
      </c>
      <c r="H316">
        <v>8</v>
      </c>
      <c r="I316">
        <v>16</v>
      </c>
      <c r="J316">
        <v>1.18</v>
      </c>
      <c r="K316">
        <v>23.620510249999999</v>
      </c>
      <c r="L316">
        <v>-1.1496324599880241</v>
      </c>
      <c r="M316">
        <v>0.56552765353201084</v>
      </c>
      <c r="N316">
        <v>-0.2095826543388617</v>
      </c>
      <c r="O316">
        <v>0.26731839500238741</v>
      </c>
    </row>
    <row r="317" spans="1:15" x14ac:dyDescent="0.25">
      <c r="A317">
        <v>-11.03784675</v>
      </c>
      <c r="B317">
        <v>190.44372175000001</v>
      </c>
      <c r="C317">
        <v>277.09711475</v>
      </c>
      <c r="D317">
        <v>67.654909000000004</v>
      </c>
      <c r="E317">
        <v>236.01306149999999</v>
      </c>
      <c r="F317">
        <v>5.1653852499999999</v>
      </c>
      <c r="G317">
        <v>306.58840175</v>
      </c>
      <c r="H317">
        <v>8</v>
      </c>
      <c r="I317">
        <v>20</v>
      </c>
      <c r="J317">
        <v>1.18</v>
      </c>
      <c r="K317">
        <v>22.602766750000001</v>
      </c>
      <c r="L317">
        <v>-1.3872276670228609</v>
      </c>
      <c r="M317">
        <v>0.59117120484359253</v>
      </c>
      <c r="N317">
        <v>-0.33981956874716779</v>
      </c>
      <c r="O317">
        <v>0.1114578844153488</v>
      </c>
    </row>
    <row r="318" spans="1:15" x14ac:dyDescent="0.25">
      <c r="A318">
        <v>-47.578926250000002</v>
      </c>
      <c r="B318">
        <v>163.87885274999999</v>
      </c>
      <c r="C318">
        <v>268.10749850000002</v>
      </c>
      <c r="D318">
        <v>29.533299499999998</v>
      </c>
      <c r="E318">
        <v>186.86688599999999</v>
      </c>
      <c r="F318">
        <v>4.8726570000000002</v>
      </c>
      <c r="G318">
        <v>285.93301400000001</v>
      </c>
      <c r="H318">
        <v>8</v>
      </c>
      <c r="I318">
        <v>24</v>
      </c>
      <c r="J318">
        <v>1.18</v>
      </c>
      <c r="K318">
        <v>21.825935000000001</v>
      </c>
      <c r="L318">
        <v>-1.6115793913982781</v>
      </c>
      <c r="M318">
        <v>0.68581707442152173</v>
      </c>
      <c r="N318">
        <v>-0.50577365530894469</v>
      </c>
      <c r="O318">
        <v>-7.091514866787027E-2</v>
      </c>
    </row>
    <row r="319" spans="1:15" x14ac:dyDescent="0.25">
      <c r="A319">
        <v>-82.902677499999996</v>
      </c>
      <c r="B319">
        <v>135.268383</v>
      </c>
      <c r="C319">
        <v>255.77500175</v>
      </c>
      <c r="D319">
        <v>-11.7134125</v>
      </c>
      <c r="E319">
        <v>135.27732449999999</v>
      </c>
      <c r="F319">
        <v>4.2392114999999997</v>
      </c>
      <c r="G319">
        <v>266.35843649999998</v>
      </c>
      <c r="H319">
        <v>8</v>
      </c>
      <c r="I319">
        <v>28</v>
      </c>
      <c r="J319">
        <v>1.18</v>
      </c>
      <c r="K319">
        <v>21.077693750000002</v>
      </c>
      <c r="L319">
        <v>-1.8548998890051089</v>
      </c>
      <c r="M319">
        <v>0.80501829099069022</v>
      </c>
      <c r="N319">
        <v>-0.71793060900951189</v>
      </c>
      <c r="O319">
        <v>-0.28232105414414471</v>
      </c>
    </row>
    <row r="320" spans="1:15" x14ac:dyDescent="0.25">
      <c r="A320">
        <v>-131.29260625000001</v>
      </c>
      <c r="B320">
        <v>119.988077</v>
      </c>
      <c r="C320">
        <v>274.47702025000001</v>
      </c>
      <c r="D320">
        <v>-57.081029000000001</v>
      </c>
      <c r="E320">
        <v>91.779367249999993</v>
      </c>
      <c r="F320">
        <v>4.7264767499999998</v>
      </c>
      <c r="G320">
        <v>282.0501175</v>
      </c>
      <c r="H320">
        <v>8</v>
      </c>
      <c r="I320">
        <v>32</v>
      </c>
      <c r="J320">
        <v>1.18</v>
      </c>
      <c r="K320">
        <v>21.680393250000002</v>
      </c>
      <c r="L320">
        <v>-2.181970333270896</v>
      </c>
      <c r="M320">
        <v>0.95215679163477795</v>
      </c>
      <c r="N320">
        <v>-1.02316889704131</v>
      </c>
      <c r="O320">
        <v>-0.53188163742766592</v>
      </c>
    </row>
    <row r="321" spans="1:15" x14ac:dyDescent="0.25">
      <c r="A321">
        <v>-181.75511549999999</v>
      </c>
      <c r="B321">
        <v>100.9291115</v>
      </c>
      <c r="C321">
        <v>290.10722325</v>
      </c>
      <c r="D321">
        <v>-108.17423049999999</v>
      </c>
      <c r="E321">
        <v>36.568701750000002</v>
      </c>
      <c r="F321">
        <v>4.8726570000000002</v>
      </c>
      <c r="G321">
        <v>298.30224625</v>
      </c>
      <c r="H321">
        <v>8</v>
      </c>
      <c r="I321">
        <v>36</v>
      </c>
      <c r="J321">
        <v>1.18</v>
      </c>
      <c r="K321">
        <v>22.301071499999999</v>
      </c>
      <c r="L321">
        <v>-2.599319022437804</v>
      </c>
      <c r="M321">
        <v>1.151897174679736</v>
      </c>
      <c r="N321">
        <v>-1.441817322480903</v>
      </c>
      <c r="O321">
        <v>-0.82540870177706038</v>
      </c>
    </row>
    <row r="322" spans="1:15" x14ac:dyDescent="0.25">
      <c r="A322">
        <v>-233.83963025</v>
      </c>
      <c r="B322">
        <v>70.920107000000002</v>
      </c>
      <c r="C322">
        <v>297.65126824999999</v>
      </c>
      <c r="D322">
        <v>-159.39855175</v>
      </c>
      <c r="E322">
        <v>-32.477800999999999</v>
      </c>
      <c r="F322">
        <v>5.0675625000000002</v>
      </c>
      <c r="G322">
        <v>308.229645</v>
      </c>
      <c r="H322">
        <v>8</v>
      </c>
      <c r="I322">
        <v>40</v>
      </c>
      <c r="J322">
        <v>1.18</v>
      </c>
      <c r="K322">
        <v>22.667897499999999</v>
      </c>
      <c r="L322">
        <v>-3.2381364396533399</v>
      </c>
      <c r="M322">
        <v>1.4031480815818549</v>
      </c>
      <c r="N322">
        <v>-2.0758218705734541</v>
      </c>
      <c r="O322">
        <v>-1.228773482317483</v>
      </c>
    </row>
    <row r="323" spans="1:15" x14ac:dyDescent="0.25">
      <c r="A323">
        <v>-287.23076624999999</v>
      </c>
      <c r="B323">
        <v>36.8553505</v>
      </c>
      <c r="C323">
        <v>303.11732475000002</v>
      </c>
      <c r="D323">
        <v>-214.03199375</v>
      </c>
      <c r="E323">
        <v>-109.55379125</v>
      </c>
      <c r="F323">
        <v>5.5061014999999998</v>
      </c>
      <c r="G323">
        <v>320.95912175000001</v>
      </c>
      <c r="H323">
        <v>8</v>
      </c>
      <c r="I323">
        <v>44</v>
      </c>
      <c r="J323">
        <v>1.18</v>
      </c>
      <c r="K323">
        <v>23.1228415</v>
      </c>
      <c r="L323">
        <v>-4.1846980709181576</v>
      </c>
      <c r="M323">
        <v>1.778382113478137</v>
      </c>
      <c r="N323">
        <v>-3.0517614035594378</v>
      </c>
      <c r="O323">
        <v>-1.815615380658778</v>
      </c>
    </row>
    <row r="324" spans="1:15" x14ac:dyDescent="0.25">
      <c r="A324">
        <v>320.38645150000002</v>
      </c>
      <c r="B324">
        <v>62.211464999999997</v>
      </c>
      <c r="C324">
        <v>-315.17204275</v>
      </c>
      <c r="D324">
        <v>-218.09671399999999</v>
      </c>
      <c r="E324">
        <v>-20.562290999999998</v>
      </c>
      <c r="F324">
        <v>5.7984605</v>
      </c>
      <c r="G324">
        <v>335.48994425000001</v>
      </c>
      <c r="H324">
        <v>12</v>
      </c>
      <c r="I324">
        <v>-44</v>
      </c>
      <c r="J324">
        <v>1.18</v>
      </c>
      <c r="K324">
        <v>23.6389295</v>
      </c>
      <c r="L324">
        <v>2.582818971252467</v>
      </c>
      <c r="M324">
        <v>1.13913469988812</v>
      </c>
      <c r="N324">
        <v>-1.4469557836031901</v>
      </c>
      <c r="O324">
        <v>-1.1071323950770839</v>
      </c>
    </row>
    <row r="325" spans="1:15" x14ac:dyDescent="0.25">
      <c r="A325">
        <v>332.35127275000002</v>
      </c>
      <c r="B325">
        <v>104.07069575</v>
      </c>
      <c r="C325">
        <v>-274.29803450000003</v>
      </c>
      <c r="D325">
        <v>-176.00711824999999</v>
      </c>
      <c r="E325">
        <v>44.308271499999996</v>
      </c>
      <c r="F325">
        <v>5.7021950000000006</v>
      </c>
      <c r="G325">
        <v>343.0155565</v>
      </c>
      <c r="H325">
        <v>12</v>
      </c>
      <c r="I325">
        <v>-40</v>
      </c>
      <c r="J325">
        <v>1.18</v>
      </c>
      <c r="K325">
        <v>23.910552500000001</v>
      </c>
      <c r="L325">
        <v>2.2513738506216181</v>
      </c>
      <c r="M325">
        <v>1.039409543031377</v>
      </c>
      <c r="N325">
        <v>-1.1085622451037569</v>
      </c>
      <c r="O325">
        <v>-0.85674821728459705</v>
      </c>
    </row>
    <row r="326" spans="1:15" x14ac:dyDescent="0.25">
      <c r="A326">
        <v>301.69422924999998</v>
      </c>
      <c r="B326">
        <v>126.97298975</v>
      </c>
      <c r="C326">
        <v>-195.4824715</v>
      </c>
      <c r="D326">
        <v>-113.899822</v>
      </c>
      <c r="E326">
        <v>93.982004000000003</v>
      </c>
      <c r="F326">
        <v>4.9715179999999997</v>
      </c>
      <c r="G326">
        <v>311.75226574999999</v>
      </c>
      <c r="H326">
        <v>12</v>
      </c>
      <c r="I326">
        <v>-36</v>
      </c>
      <c r="J326">
        <v>1.18</v>
      </c>
      <c r="K326">
        <v>22.802746249999998</v>
      </c>
      <c r="L326">
        <v>1.999330783854673</v>
      </c>
      <c r="M326">
        <v>0.9686251454471253</v>
      </c>
      <c r="N326">
        <v>-0.87573427113547364</v>
      </c>
      <c r="O326">
        <v>-0.64206472077921961</v>
      </c>
    </row>
    <row r="327" spans="1:15" x14ac:dyDescent="0.25">
      <c r="A327">
        <v>278.26123799999999</v>
      </c>
      <c r="B327">
        <v>142.70629124999999</v>
      </c>
      <c r="C327">
        <v>-131.23898324999999</v>
      </c>
      <c r="D327">
        <v>-62.981440499999998</v>
      </c>
      <c r="E327">
        <v>131.6733055</v>
      </c>
      <c r="F327">
        <v>4.5812644999999996</v>
      </c>
      <c r="G327">
        <v>289.13540649999999</v>
      </c>
      <c r="H327">
        <v>12</v>
      </c>
      <c r="I327">
        <v>-32</v>
      </c>
      <c r="J327">
        <v>1.18</v>
      </c>
      <c r="K327">
        <v>21.9612035</v>
      </c>
      <c r="L327">
        <v>1.7899126455267751</v>
      </c>
      <c r="M327">
        <v>0.89903723703056304</v>
      </c>
      <c r="N327">
        <v>-0.688262194987044</v>
      </c>
      <c r="O327">
        <v>-0.44448628537153428</v>
      </c>
    </row>
    <row r="328" spans="1:15" x14ac:dyDescent="0.25">
      <c r="A328">
        <v>258.03391275000001</v>
      </c>
      <c r="B328">
        <v>156.0338825</v>
      </c>
      <c r="C328">
        <v>-77.326779999999999</v>
      </c>
      <c r="D328">
        <v>-22.29044725</v>
      </c>
      <c r="E328">
        <v>161.38222500000001</v>
      </c>
      <c r="F328">
        <v>4.0938887499999996</v>
      </c>
      <c r="G328">
        <v>273.6438675</v>
      </c>
      <c r="H328">
        <v>12</v>
      </c>
      <c r="I328">
        <v>-28</v>
      </c>
      <c r="J328">
        <v>1.18</v>
      </c>
      <c r="K328">
        <v>21.374377500000001</v>
      </c>
      <c r="L328">
        <v>1.5879539542036429</v>
      </c>
      <c r="M328">
        <v>0.84438707954755143</v>
      </c>
      <c r="N328">
        <v>-0.53157047369732713</v>
      </c>
      <c r="O328">
        <v>-0.25523448671915477</v>
      </c>
    </row>
    <row r="329" spans="1:15" x14ac:dyDescent="0.25">
      <c r="A329">
        <v>247.6330145</v>
      </c>
      <c r="B329">
        <v>172.48888775</v>
      </c>
      <c r="C329">
        <v>-31.264563500000001</v>
      </c>
      <c r="D329">
        <v>13.448672999999999</v>
      </c>
      <c r="E329">
        <v>190.70400975000001</v>
      </c>
      <c r="F329">
        <v>4.0451482499999996</v>
      </c>
      <c r="G329">
        <v>270.42572775000002</v>
      </c>
      <c r="H329">
        <v>12</v>
      </c>
      <c r="I329">
        <v>-24</v>
      </c>
      <c r="J329">
        <v>1.18</v>
      </c>
      <c r="K329">
        <v>21.248337500000002</v>
      </c>
      <c r="L329">
        <v>1.397183566583222</v>
      </c>
      <c r="M329">
        <v>0.79674320797299369</v>
      </c>
      <c r="N329">
        <v>-0.3993753456332364</v>
      </c>
      <c r="O329">
        <v>-6.487743644462203E-2</v>
      </c>
    </row>
    <row r="330" spans="1:15" x14ac:dyDescent="0.25">
      <c r="A330">
        <v>251.01914600000001</v>
      </c>
      <c r="B330">
        <v>198.56671900000001</v>
      </c>
      <c r="C330">
        <v>10.07313325</v>
      </c>
      <c r="D330">
        <v>41.879288500000001</v>
      </c>
      <c r="E330">
        <v>228.32297149999999</v>
      </c>
      <c r="F330">
        <v>4.4841152500000003</v>
      </c>
      <c r="G330">
        <v>286.43682100000001</v>
      </c>
      <c r="H330">
        <v>12</v>
      </c>
      <c r="I330">
        <v>-20</v>
      </c>
      <c r="J330">
        <v>1.18</v>
      </c>
      <c r="K330">
        <v>21.860590250000001</v>
      </c>
      <c r="L330">
        <v>1.1907673106034451</v>
      </c>
      <c r="M330">
        <v>0.77434590700090866</v>
      </c>
      <c r="N330">
        <v>-0.28719945042841483</v>
      </c>
      <c r="O330">
        <v>0.10622166607252589</v>
      </c>
    </row>
    <row r="331" spans="1:15" x14ac:dyDescent="0.25">
      <c r="A331">
        <v>249.164276</v>
      </c>
      <c r="B331">
        <v>220.79540625000001</v>
      </c>
      <c r="C331">
        <v>49.768665499999997</v>
      </c>
      <c r="D331">
        <v>61.110474500000002</v>
      </c>
      <c r="E331">
        <v>258.46196750000001</v>
      </c>
      <c r="F331">
        <v>4.7278165000000003</v>
      </c>
      <c r="G331">
        <v>300.91434475</v>
      </c>
      <c r="H331">
        <v>12</v>
      </c>
      <c r="I331">
        <v>-16</v>
      </c>
      <c r="J331">
        <v>1.18</v>
      </c>
      <c r="K331">
        <v>22.40559575</v>
      </c>
      <c r="L331">
        <v>0.98214042787295652</v>
      </c>
      <c r="M331">
        <v>0.78654975906983693</v>
      </c>
      <c r="N331">
        <v>-0.2091109976710564</v>
      </c>
      <c r="O331">
        <v>0.24978462147122599</v>
      </c>
    </row>
    <row r="332" spans="1:15" x14ac:dyDescent="0.25">
      <c r="A332">
        <v>240.13659625</v>
      </c>
      <c r="B332">
        <v>241.09954825</v>
      </c>
      <c r="C332">
        <v>88.472608500000007</v>
      </c>
      <c r="D332">
        <v>72.325014250000009</v>
      </c>
      <c r="E332">
        <v>282.69835649999999</v>
      </c>
      <c r="F332">
        <v>5.0689987500000004</v>
      </c>
      <c r="G332">
        <v>312.77855675000001</v>
      </c>
      <c r="H332">
        <v>12</v>
      </c>
      <c r="I332">
        <v>-12</v>
      </c>
      <c r="J332">
        <v>1.18</v>
      </c>
      <c r="K332">
        <v>22.837282250000001</v>
      </c>
      <c r="L332">
        <v>0.74970904047863896</v>
      </c>
      <c r="M332">
        <v>0.83427712501079898</v>
      </c>
      <c r="N332">
        <v>-0.14869491020450901</v>
      </c>
      <c r="O332">
        <v>0.3723689453356811</v>
      </c>
    </row>
    <row r="333" spans="1:15" x14ac:dyDescent="0.25">
      <c r="A333">
        <v>226.15850075</v>
      </c>
      <c r="B333">
        <v>258.03569025000002</v>
      </c>
      <c r="C333">
        <v>124.33946025</v>
      </c>
      <c r="D333">
        <v>77.143764500000003</v>
      </c>
      <c r="E333">
        <v>302.7761155</v>
      </c>
      <c r="F333">
        <v>5.4101807500000003</v>
      </c>
      <c r="G333">
        <v>323.70480350000003</v>
      </c>
      <c r="H333">
        <v>12</v>
      </c>
      <c r="I333">
        <v>-8</v>
      </c>
      <c r="J333">
        <v>1.18</v>
      </c>
      <c r="K333">
        <v>23.226752999999999</v>
      </c>
      <c r="L333">
        <v>0.50397832453682845</v>
      </c>
      <c r="M333">
        <v>0.89534503848630931</v>
      </c>
      <c r="N333">
        <v>-0.1035941327320645</v>
      </c>
      <c r="O333">
        <v>0.4718677129074369</v>
      </c>
    </row>
    <row r="334" spans="1:15" x14ac:dyDescent="0.25">
      <c r="A334">
        <v>208.5670355</v>
      </c>
      <c r="B334">
        <v>272.18123624999998</v>
      </c>
      <c r="C334">
        <v>157.67137875</v>
      </c>
      <c r="D334">
        <v>76.880922249999998</v>
      </c>
      <c r="E334">
        <v>318.15862275000001</v>
      </c>
      <c r="F334">
        <v>5.6538830000000004</v>
      </c>
      <c r="G334">
        <v>335.23135374999998</v>
      </c>
      <c r="H334">
        <v>12</v>
      </c>
      <c r="I334">
        <v>-4</v>
      </c>
      <c r="J334">
        <v>1.18</v>
      </c>
      <c r="K334">
        <v>23.634842500000001</v>
      </c>
      <c r="L334">
        <v>0.25336185321139199</v>
      </c>
      <c r="M334">
        <v>0.97220750837766257</v>
      </c>
      <c r="N334">
        <v>-8.4999154681482822E-2</v>
      </c>
      <c r="O334">
        <v>0.55567401610391265</v>
      </c>
    </row>
    <row r="335" spans="1:15" x14ac:dyDescent="0.25">
      <c r="A335">
        <v>183.76168849999999</v>
      </c>
      <c r="B335">
        <v>280.36964399999999</v>
      </c>
      <c r="C335">
        <v>190.33822649999999</v>
      </c>
      <c r="D335">
        <v>80.560695500000008</v>
      </c>
      <c r="E335">
        <v>327.59382625000001</v>
      </c>
      <c r="F335">
        <v>5.5564020000000003</v>
      </c>
      <c r="G335">
        <v>343.43606575000001</v>
      </c>
      <c r="H335">
        <v>12</v>
      </c>
      <c r="I335">
        <v>0</v>
      </c>
      <c r="J335">
        <v>1.18</v>
      </c>
      <c r="K335">
        <v>23.93067375</v>
      </c>
      <c r="L335">
        <v>-3.3583930989726063E-2</v>
      </c>
      <c r="M335">
        <v>1.022431012085695</v>
      </c>
      <c r="N335">
        <v>-8.1108901417145218E-2</v>
      </c>
      <c r="O335">
        <v>0.64792039077880226</v>
      </c>
    </row>
    <row r="336" spans="1:15" x14ac:dyDescent="0.25">
      <c r="A336">
        <v>138.0785405</v>
      </c>
      <c r="B336">
        <v>255.49809275000001</v>
      </c>
      <c r="C336">
        <v>198.3520585</v>
      </c>
      <c r="D336">
        <v>74.997228750000005</v>
      </c>
      <c r="E336">
        <v>296.91823575000001</v>
      </c>
      <c r="F336">
        <v>5.1177390000000003</v>
      </c>
      <c r="G336">
        <v>313.88099675000001</v>
      </c>
      <c r="H336">
        <v>12</v>
      </c>
      <c r="I336">
        <v>4</v>
      </c>
      <c r="J336">
        <v>1.18</v>
      </c>
      <c r="K336">
        <v>22.87632125</v>
      </c>
      <c r="L336">
        <v>-0.31660207771337628</v>
      </c>
      <c r="M336">
        <v>0.94812745501047735</v>
      </c>
      <c r="N336">
        <v>-8.9142236994483176E-2</v>
      </c>
      <c r="O336">
        <v>0.53276204607977928</v>
      </c>
    </row>
    <row r="337" spans="1:15" x14ac:dyDescent="0.25">
      <c r="A337">
        <v>97.189447250000001</v>
      </c>
      <c r="B337">
        <v>231.58874524999999</v>
      </c>
      <c r="C337">
        <v>204.13280075</v>
      </c>
      <c r="D337">
        <v>69.574031750000003</v>
      </c>
      <c r="E337">
        <v>267.40528849999998</v>
      </c>
      <c r="F337">
        <v>4.4841152500000003</v>
      </c>
      <c r="G337">
        <v>289.94872299999997</v>
      </c>
      <c r="H337">
        <v>12</v>
      </c>
      <c r="I337">
        <v>8</v>
      </c>
      <c r="J337">
        <v>1.18</v>
      </c>
      <c r="K337">
        <v>21.996281249999999</v>
      </c>
      <c r="L337">
        <v>-0.58113847532525642</v>
      </c>
      <c r="M337">
        <v>0.88040976354241629</v>
      </c>
      <c r="N337">
        <v>-0.12250743192504431</v>
      </c>
      <c r="O337">
        <v>0.4287344757304693</v>
      </c>
    </row>
    <row r="338" spans="1:15" x14ac:dyDescent="0.25">
      <c r="A338">
        <v>60.124429499999998</v>
      </c>
      <c r="B338">
        <v>209.38204949999999</v>
      </c>
      <c r="C338">
        <v>207.79093549999999</v>
      </c>
      <c r="D338">
        <v>63.089734999999997</v>
      </c>
      <c r="E338">
        <v>239.23383325</v>
      </c>
      <c r="F338">
        <v>4.1916735000000003</v>
      </c>
      <c r="G338">
        <v>270.09854124999998</v>
      </c>
      <c r="H338">
        <v>12</v>
      </c>
      <c r="I338">
        <v>12</v>
      </c>
      <c r="J338">
        <v>1.18</v>
      </c>
      <c r="K338">
        <v>21.229438250000001</v>
      </c>
      <c r="L338">
        <v>-0.83136186407564039</v>
      </c>
      <c r="M338">
        <v>0.82357104299062944</v>
      </c>
      <c r="N338">
        <v>-0.17376440333689061</v>
      </c>
      <c r="O338">
        <v>0.32324081348200923</v>
      </c>
    </row>
    <row r="339" spans="1:15" x14ac:dyDescent="0.25">
      <c r="A339">
        <v>27.624742999999999</v>
      </c>
      <c r="B339">
        <v>205.69264225000001</v>
      </c>
      <c r="C339">
        <v>229.24294275</v>
      </c>
      <c r="D339">
        <v>55.469950500000003</v>
      </c>
      <c r="E339">
        <v>228.36768724999999</v>
      </c>
      <c r="F339">
        <v>4.2404137500000001</v>
      </c>
      <c r="G339">
        <v>276.90203100000002</v>
      </c>
      <c r="H339">
        <v>12</v>
      </c>
      <c r="I339">
        <v>16</v>
      </c>
      <c r="J339">
        <v>1.18</v>
      </c>
      <c r="K339">
        <v>21.497379500000001</v>
      </c>
      <c r="L339">
        <v>-1.079201822625548</v>
      </c>
      <c r="M339">
        <v>0.80410815223435761</v>
      </c>
      <c r="N339">
        <v>-0.25979528915403249</v>
      </c>
      <c r="O339">
        <v>0.19970080142010191</v>
      </c>
    </row>
    <row r="340" spans="1:15" x14ac:dyDescent="0.25">
      <c r="A340">
        <v>-8.7858800000000006</v>
      </c>
      <c r="B340">
        <v>206.25550824999999</v>
      </c>
      <c r="C340">
        <v>255.57246000000001</v>
      </c>
      <c r="D340">
        <v>35.487982000000002</v>
      </c>
      <c r="E340">
        <v>215.80232649999999</v>
      </c>
      <c r="F340">
        <v>4.63033625</v>
      </c>
      <c r="G340">
        <v>292.83018475</v>
      </c>
      <c r="H340">
        <v>12</v>
      </c>
      <c r="I340">
        <v>20</v>
      </c>
      <c r="J340">
        <v>1.18</v>
      </c>
      <c r="K340">
        <v>22.101447749999998</v>
      </c>
      <c r="L340">
        <v>-1.3057564936655699</v>
      </c>
      <c r="M340">
        <v>0.8436050884483246</v>
      </c>
      <c r="N340">
        <v>-0.38054208983868282</v>
      </c>
      <c r="O340">
        <v>4.3085331642023522E-2</v>
      </c>
    </row>
    <row r="341" spans="1:15" x14ac:dyDescent="0.25">
      <c r="A341">
        <v>-51.453726000000003</v>
      </c>
      <c r="B341">
        <v>200.16073975</v>
      </c>
      <c r="C341">
        <v>277.92771900000002</v>
      </c>
      <c r="D341">
        <v>-3.8024877500000001</v>
      </c>
      <c r="E341">
        <v>189.68783199999999</v>
      </c>
      <c r="F341">
        <v>5.1177390000000003</v>
      </c>
      <c r="G341">
        <v>306.317116</v>
      </c>
      <c r="H341">
        <v>12</v>
      </c>
      <c r="I341">
        <v>24</v>
      </c>
      <c r="J341">
        <v>1.18</v>
      </c>
      <c r="K341">
        <v>22.594404000000001</v>
      </c>
      <c r="L341">
        <v>-1.5156927604168779</v>
      </c>
      <c r="M341">
        <v>0.93856325151392106</v>
      </c>
      <c r="N341">
        <v>-0.53669594476945648</v>
      </c>
      <c r="O341">
        <v>-0.15068180316895299</v>
      </c>
    </row>
    <row r="342" spans="1:15" x14ac:dyDescent="0.25">
      <c r="A342">
        <v>-102.2766685</v>
      </c>
      <c r="B342">
        <v>189.33738725000001</v>
      </c>
      <c r="C342">
        <v>297.88936625000002</v>
      </c>
      <c r="D342">
        <v>-55.857239750000012</v>
      </c>
      <c r="E342">
        <v>151.32099149999999</v>
      </c>
      <c r="F342">
        <v>5.3127005</v>
      </c>
      <c r="G342">
        <v>319.08367149999998</v>
      </c>
      <c r="H342">
        <v>12</v>
      </c>
      <c r="I342">
        <v>28</v>
      </c>
      <c r="J342">
        <v>1.18</v>
      </c>
      <c r="K342">
        <v>23.061106500000001</v>
      </c>
      <c r="L342">
        <v>-1.736934668034503</v>
      </c>
      <c r="M342">
        <v>1.0642821907796529</v>
      </c>
      <c r="N342">
        <v>-0.72818965931756574</v>
      </c>
      <c r="O342">
        <v>-0.36625852104332562</v>
      </c>
    </row>
    <row r="343" spans="1:15" x14ac:dyDescent="0.25">
      <c r="A343">
        <v>-154.00072850000001</v>
      </c>
      <c r="B343">
        <v>171.7192575</v>
      </c>
      <c r="C343">
        <v>310.67026525</v>
      </c>
      <c r="D343">
        <v>-114.905069</v>
      </c>
      <c r="E343">
        <v>97.839937250000006</v>
      </c>
      <c r="F343">
        <v>5.3127002499999998</v>
      </c>
      <c r="G343">
        <v>329.16883100000001</v>
      </c>
      <c r="H343">
        <v>12</v>
      </c>
      <c r="I343">
        <v>32</v>
      </c>
      <c r="J343">
        <v>1.18</v>
      </c>
      <c r="K343">
        <v>23.428795749999999</v>
      </c>
      <c r="L343">
        <v>-2.0004099694940818</v>
      </c>
      <c r="M343">
        <v>1.233929095449809</v>
      </c>
      <c r="N343">
        <v>-0.99592016588742949</v>
      </c>
      <c r="O343">
        <v>-0.6016923024805686</v>
      </c>
    </row>
    <row r="344" spans="1:15" x14ac:dyDescent="0.25">
      <c r="A344">
        <v>-206.9413035</v>
      </c>
      <c r="B344">
        <v>147.60359174999999</v>
      </c>
      <c r="C344">
        <v>321.23818975</v>
      </c>
      <c r="D344">
        <v>-173.95290374999999</v>
      </c>
      <c r="E344">
        <v>35.862729000000002</v>
      </c>
      <c r="F344">
        <v>5.8001040000000001</v>
      </c>
      <c r="G344">
        <v>339.09391775</v>
      </c>
      <c r="H344">
        <v>12</v>
      </c>
      <c r="I344">
        <v>36</v>
      </c>
      <c r="J344">
        <v>1.18</v>
      </c>
      <c r="K344">
        <v>23.76771875</v>
      </c>
      <c r="L344">
        <v>-2.3339050799515162</v>
      </c>
      <c r="M344">
        <v>1.4208518655713549</v>
      </c>
      <c r="N344">
        <v>-1.3399178057050321</v>
      </c>
      <c r="O344">
        <v>-0.86715788355018142</v>
      </c>
    </row>
    <row r="345" spans="1:15" x14ac:dyDescent="0.25">
      <c r="A345">
        <v>-246.410202</v>
      </c>
      <c r="B345">
        <v>110.173481</v>
      </c>
      <c r="C345">
        <v>304.81909150000001</v>
      </c>
      <c r="D345">
        <v>-218.88344950000001</v>
      </c>
      <c r="E345">
        <v>-38.098956999999999</v>
      </c>
      <c r="F345">
        <v>5.2152197500000002</v>
      </c>
      <c r="G345">
        <v>325.44692225</v>
      </c>
      <c r="H345">
        <v>12</v>
      </c>
      <c r="I345">
        <v>40</v>
      </c>
      <c r="J345">
        <v>1.18</v>
      </c>
      <c r="K345">
        <v>23.297276</v>
      </c>
      <c r="L345">
        <v>-2.8335377776011099</v>
      </c>
      <c r="M345">
        <v>1.6914200248466611</v>
      </c>
      <c r="N345">
        <v>-1.868807262356551</v>
      </c>
      <c r="O345">
        <v>-1.2226781486798519</v>
      </c>
    </row>
    <row r="346" spans="1:15" x14ac:dyDescent="0.25">
      <c r="A346">
        <v>-265.82925425000002</v>
      </c>
      <c r="B346">
        <v>69.139913750000005</v>
      </c>
      <c r="C346">
        <v>270.78234099999997</v>
      </c>
      <c r="D346">
        <v>-243.00957875</v>
      </c>
      <c r="E346">
        <v>-102.474602</v>
      </c>
      <c r="F346">
        <v>4.5815960000000002</v>
      </c>
      <c r="G346">
        <v>297.7527235</v>
      </c>
      <c r="H346">
        <v>12</v>
      </c>
      <c r="I346">
        <v>44</v>
      </c>
      <c r="J346">
        <v>1.18</v>
      </c>
      <c r="K346">
        <v>22.291227249999999</v>
      </c>
      <c r="L346">
        <v>-3.5320046779594931</v>
      </c>
      <c r="M346">
        <v>2.0546540709331009</v>
      </c>
      <c r="N346">
        <v>-2.6345127046205921</v>
      </c>
      <c r="O346">
        <v>-1.704763713287615</v>
      </c>
    </row>
    <row r="347" spans="1:15" x14ac:dyDescent="0.25">
      <c r="A347">
        <v>251.46634299999999</v>
      </c>
      <c r="B347">
        <v>77.31930349999999</v>
      </c>
      <c r="C347">
        <v>-261.32676700000002</v>
      </c>
      <c r="D347">
        <v>-220.93766425000001</v>
      </c>
      <c r="E347">
        <v>-27.570440749999999</v>
      </c>
      <c r="F347">
        <v>4.1429332499999996</v>
      </c>
      <c r="G347">
        <v>273.34020199999998</v>
      </c>
      <c r="H347">
        <v>16</v>
      </c>
      <c r="I347">
        <v>-44</v>
      </c>
      <c r="J347">
        <v>1.18</v>
      </c>
      <c r="K347">
        <v>21.360378499999999</v>
      </c>
      <c r="L347">
        <v>2.40114934217151</v>
      </c>
      <c r="M347">
        <v>1.396594530788221</v>
      </c>
      <c r="N347">
        <v>-1.4090199355665269</v>
      </c>
      <c r="O347">
        <v>-1.148504090471042</v>
      </c>
    </row>
    <row r="348" spans="1:15" x14ac:dyDescent="0.25">
      <c r="A348">
        <v>255.257969</v>
      </c>
      <c r="B348">
        <v>104.84054949999999</v>
      </c>
      <c r="C348">
        <v>-220.68895699999999</v>
      </c>
      <c r="D348">
        <v>-179.85331325000001</v>
      </c>
      <c r="E348">
        <v>22.358317499999998</v>
      </c>
      <c r="F348">
        <v>3.9479715</v>
      </c>
      <c r="G348">
        <v>272.09956349999999</v>
      </c>
      <c r="H348">
        <v>16</v>
      </c>
      <c r="I348">
        <v>-40</v>
      </c>
      <c r="J348">
        <v>1.18</v>
      </c>
      <c r="K348">
        <v>21.31884325</v>
      </c>
      <c r="L348">
        <v>2.1378658399436681</v>
      </c>
      <c r="M348">
        <v>1.2787619091061779</v>
      </c>
      <c r="N348">
        <v>-1.12179239185515</v>
      </c>
      <c r="O348">
        <v>-0.91729820944648377</v>
      </c>
    </row>
    <row r="349" spans="1:15" x14ac:dyDescent="0.25">
      <c r="A349">
        <v>271.64323450000001</v>
      </c>
      <c r="B349">
        <v>139.81946925</v>
      </c>
      <c r="C349">
        <v>-190.4699555</v>
      </c>
      <c r="D349">
        <v>-152.14323425000001</v>
      </c>
      <c r="E349">
        <v>69.892061249999998</v>
      </c>
      <c r="F349">
        <v>4.4353750000000014</v>
      </c>
      <c r="G349">
        <v>289.70858724999999</v>
      </c>
      <c r="H349">
        <v>16</v>
      </c>
      <c r="I349">
        <v>-36</v>
      </c>
      <c r="J349">
        <v>1.18</v>
      </c>
      <c r="K349">
        <v>21.98893975</v>
      </c>
      <c r="L349">
        <v>1.915904695343646</v>
      </c>
      <c r="M349">
        <v>1.210447715944774</v>
      </c>
      <c r="N349">
        <v>-0.9113514363467321</v>
      </c>
      <c r="O349">
        <v>-0.72859529287513047</v>
      </c>
    </row>
    <row r="350" spans="1:15" x14ac:dyDescent="0.25">
      <c r="A350">
        <v>284.64309674999998</v>
      </c>
      <c r="B350">
        <v>174.75027825000001</v>
      </c>
      <c r="C350">
        <v>-149.51643375</v>
      </c>
      <c r="D350">
        <v>-114.24946774999999</v>
      </c>
      <c r="E350">
        <v>121.00313375</v>
      </c>
      <c r="F350">
        <v>4.6790760000000002</v>
      </c>
      <c r="G350">
        <v>305.39665224999999</v>
      </c>
      <c r="H350">
        <v>16</v>
      </c>
      <c r="I350">
        <v>-32</v>
      </c>
      <c r="J350">
        <v>1.18</v>
      </c>
      <c r="K350">
        <v>22.57631975</v>
      </c>
      <c r="L350">
        <v>1.7168419815058009</v>
      </c>
      <c r="M350">
        <v>1.1428251202419291</v>
      </c>
      <c r="N350">
        <v>-0.72918589999691963</v>
      </c>
      <c r="O350">
        <v>-0.54001513154266689</v>
      </c>
    </row>
    <row r="351" spans="1:15" x14ac:dyDescent="0.25">
      <c r="A351">
        <v>288.29931599999998</v>
      </c>
      <c r="B351">
        <v>205.49516299999999</v>
      </c>
      <c r="C351">
        <v>-101.3013345</v>
      </c>
      <c r="D351">
        <v>-72.378394999999998</v>
      </c>
      <c r="E351">
        <v>167.91084649999999</v>
      </c>
      <c r="F351">
        <v>5.1177392499999996</v>
      </c>
      <c r="G351">
        <v>316.96257000000003</v>
      </c>
      <c r="H351">
        <v>16</v>
      </c>
      <c r="I351">
        <v>-28</v>
      </c>
      <c r="J351">
        <v>1.18</v>
      </c>
      <c r="K351">
        <v>22.990222249999999</v>
      </c>
      <c r="L351">
        <v>1.529350734717972</v>
      </c>
      <c r="M351">
        <v>1.0907629526010669</v>
      </c>
      <c r="N351">
        <v>-0.58509835969066959</v>
      </c>
      <c r="O351">
        <v>-0.3609613630623284</v>
      </c>
    </row>
    <row r="352" spans="1:15" x14ac:dyDescent="0.25">
      <c r="A352">
        <v>286.08753174999998</v>
      </c>
      <c r="B352">
        <v>228.34933874999999</v>
      </c>
      <c r="C352">
        <v>-52.815608999999988</v>
      </c>
      <c r="D352">
        <v>-27.710083999999998</v>
      </c>
      <c r="E352">
        <v>207.70862600000001</v>
      </c>
      <c r="F352">
        <v>4.9715179999999997</v>
      </c>
      <c r="G352">
        <v>324.76657875000001</v>
      </c>
      <c r="H352">
        <v>16</v>
      </c>
      <c r="I352">
        <v>-24</v>
      </c>
      <c r="J352">
        <v>1.18</v>
      </c>
      <c r="K352">
        <v>23.28143875</v>
      </c>
      <c r="L352">
        <v>1.366725359883062</v>
      </c>
      <c r="M352">
        <v>1.0326141822154431</v>
      </c>
      <c r="N352">
        <v>-0.47207034076857912</v>
      </c>
      <c r="O352">
        <v>-0.18240830169756631</v>
      </c>
    </row>
    <row r="353" spans="1:15" x14ac:dyDescent="0.25">
      <c r="A353">
        <v>279.47046649999999</v>
      </c>
      <c r="B353">
        <v>251.73278024999999</v>
      </c>
      <c r="C353">
        <v>-2.11970875</v>
      </c>
      <c r="D353">
        <v>7.3614185000000001</v>
      </c>
      <c r="E353">
        <v>243.66075875000001</v>
      </c>
      <c r="F353">
        <v>5.4589212500000004</v>
      </c>
      <c r="G353">
        <v>332.97077949999999</v>
      </c>
      <c r="H353">
        <v>16</v>
      </c>
      <c r="I353">
        <v>-20</v>
      </c>
      <c r="J353">
        <v>1.18</v>
      </c>
      <c r="K353">
        <v>23.560658750000002</v>
      </c>
      <c r="L353">
        <v>1.16822748488763</v>
      </c>
      <c r="M353">
        <v>1.0138125767770561</v>
      </c>
      <c r="N353">
        <v>-0.37051563842666668</v>
      </c>
      <c r="O353">
        <v>-1.1766452847423271E-2</v>
      </c>
    </row>
    <row r="354" spans="1:15" x14ac:dyDescent="0.25">
      <c r="A354">
        <v>267.29985799999997</v>
      </c>
      <c r="B354">
        <v>270.93029024999998</v>
      </c>
      <c r="C354">
        <v>44.586669000000001</v>
      </c>
      <c r="D354">
        <v>26.991857499999998</v>
      </c>
      <c r="E354">
        <v>271.11677550000002</v>
      </c>
      <c r="F354">
        <v>5.6538830000000004</v>
      </c>
      <c r="G354">
        <v>338.4936065</v>
      </c>
      <c r="H354">
        <v>16</v>
      </c>
      <c r="I354">
        <v>-16</v>
      </c>
      <c r="J354">
        <v>1.18</v>
      </c>
      <c r="K354">
        <v>23.751527249999999</v>
      </c>
      <c r="L354">
        <v>0.94641978809142269</v>
      </c>
      <c r="M354">
        <v>1.0366124612604231</v>
      </c>
      <c r="N354">
        <v>-0.28632977989888542</v>
      </c>
      <c r="O354">
        <v>0.12804847783435189</v>
      </c>
    </row>
    <row r="355" spans="1:15" x14ac:dyDescent="0.25">
      <c r="A355">
        <v>233.75764475</v>
      </c>
      <c r="B355">
        <v>267.89910125</v>
      </c>
      <c r="C355">
        <v>79.189930000000004</v>
      </c>
      <c r="D355">
        <v>32.162376000000002</v>
      </c>
      <c r="E355">
        <v>273.66561875000002</v>
      </c>
      <c r="F355">
        <v>5.2152197500000002</v>
      </c>
      <c r="G355">
        <v>321.36482999999998</v>
      </c>
      <c r="H355">
        <v>16</v>
      </c>
      <c r="I355">
        <v>-12</v>
      </c>
      <c r="J355">
        <v>1.18</v>
      </c>
      <c r="K355">
        <v>23.148316000000001</v>
      </c>
      <c r="L355">
        <v>0.7090886592981952</v>
      </c>
      <c r="M355">
        <v>1.081407964384959</v>
      </c>
      <c r="N355">
        <v>-0.21881725475190411</v>
      </c>
      <c r="O355">
        <v>0.23149579009665811</v>
      </c>
    </row>
    <row r="356" spans="1:15" x14ac:dyDescent="0.25">
      <c r="A356">
        <v>192.61843099999999</v>
      </c>
      <c r="B356">
        <v>251.74568550000001</v>
      </c>
      <c r="C356">
        <v>98.930952250000004</v>
      </c>
      <c r="D356">
        <v>29.664752249999999</v>
      </c>
      <c r="E356">
        <v>258.41725150000002</v>
      </c>
      <c r="F356">
        <v>4.7765570000000004</v>
      </c>
      <c r="G356">
        <v>293.31044774999998</v>
      </c>
      <c r="H356">
        <v>16</v>
      </c>
      <c r="I356">
        <v>-8</v>
      </c>
      <c r="J356">
        <v>1.18</v>
      </c>
      <c r="K356">
        <v>22.114228000000001</v>
      </c>
      <c r="L356">
        <v>0.48265207985649322</v>
      </c>
      <c r="M356">
        <v>1.1440390239665239</v>
      </c>
      <c r="N356">
        <v>-0.1797685806425022</v>
      </c>
      <c r="O356">
        <v>0.30661526781283799</v>
      </c>
    </row>
    <row r="357" spans="1:15" x14ac:dyDescent="0.25">
      <c r="A357">
        <v>158.10601025</v>
      </c>
      <c r="B357">
        <v>236.12742225</v>
      </c>
      <c r="C357">
        <v>114.651493</v>
      </c>
      <c r="D357">
        <v>27.473855499999999</v>
      </c>
      <c r="E357">
        <v>244.8233985</v>
      </c>
      <c r="F357">
        <v>4.2891542500000002</v>
      </c>
      <c r="G357">
        <v>272.38716125000002</v>
      </c>
      <c r="H357">
        <v>16</v>
      </c>
      <c r="I357">
        <v>-4</v>
      </c>
      <c r="J357">
        <v>1.18</v>
      </c>
      <c r="K357">
        <v>21.316718250000001</v>
      </c>
      <c r="L357">
        <v>0.25009338227259381</v>
      </c>
      <c r="M357">
        <v>1.200814838348885</v>
      </c>
      <c r="N357">
        <v>-0.1586516362676347</v>
      </c>
      <c r="O357">
        <v>0.38427823318450782</v>
      </c>
    </row>
    <row r="358" spans="1:15" x14ac:dyDescent="0.25">
      <c r="A358">
        <v>133.99720775</v>
      </c>
      <c r="B358">
        <v>236.22346874999999</v>
      </c>
      <c r="C358">
        <v>136.56086725</v>
      </c>
      <c r="D358">
        <v>29.268526250000001</v>
      </c>
      <c r="E358">
        <v>244.68925475</v>
      </c>
      <c r="F358">
        <v>3.996712</v>
      </c>
      <c r="G358">
        <v>271.42639924999997</v>
      </c>
      <c r="H358">
        <v>16</v>
      </c>
      <c r="I358">
        <v>0</v>
      </c>
      <c r="J358">
        <v>1.18</v>
      </c>
      <c r="K358">
        <v>21.290128500000002</v>
      </c>
      <c r="L358">
        <v>-1.5728650608312751E-2</v>
      </c>
      <c r="M358">
        <v>1.2692103337545879</v>
      </c>
      <c r="N358">
        <v>-0.16396696974147379</v>
      </c>
      <c r="O358">
        <v>0.47614341832612123</v>
      </c>
    </row>
    <row r="359" spans="1:15" x14ac:dyDescent="0.25">
      <c r="A359">
        <v>114.08730300000001</v>
      </c>
      <c r="B359">
        <v>246.917698</v>
      </c>
      <c r="C359">
        <v>164.79459750000001</v>
      </c>
      <c r="D359">
        <v>30.841919749999999</v>
      </c>
      <c r="E359">
        <v>253.49842849999999</v>
      </c>
      <c r="F359">
        <v>4.6303365000000003</v>
      </c>
      <c r="G359">
        <v>284.33183274999999</v>
      </c>
      <c r="H359">
        <v>16</v>
      </c>
      <c r="I359">
        <v>4</v>
      </c>
      <c r="J359">
        <v>1.18</v>
      </c>
      <c r="K359">
        <v>21.773146499999999</v>
      </c>
      <c r="L359">
        <v>-0.28005799247522639</v>
      </c>
      <c r="M359">
        <v>1.1936106056702129</v>
      </c>
      <c r="N359">
        <v>-0.17035356546740241</v>
      </c>
      <c r="O359">
        <v>0.37472226453281021</v>
      </c>
    </row>
    <row r="360" spans="1:15" x14ac:dyDescent="0.25">
      <c r="A360">
        <v>88.257261</v>
      </c>
      <c r="B360">
        <v>254.5966075</v>
      </c>
      <c r="C360">
        <v>194.24802750000001</v>
      </c>
      <c r="D360">
        <v>32.026925249999998</v>
      </c>
      <c r="E360">
        <v>257.2546155</v>
      </c>
      <c r="F360">
        <v>4.7765570000000004</v>
      </c>
      <c r="G360">
        <v>296.42648324999999</v>
      </c>
      <c r="H360">
        <v>16</v>
      </c>
      <c r="I360">
        <v>8</v>
      </c>
      <c r="J360">
        <v>1.18</v>
      </c>
      <c r="K360">
        <v>22.233348249999999</v>
      </c>
      <c r="L360">
        <v>-0.53772112510850012</v>
      </c>
      <c r="M360">
        <v>1.1291950795670129</v>
      </c>
      <c r="N360">
        <v>-0.1987718726126064</v>
      </c>
      <c r="O360">
        <v>0.28088814432334452</v>
      </c>
    </row>
    <row r="361" spans="1:15" x14ac:dyDescent="0.25">
      <c r="A361">
        <v>59.417786</v>
      </c>
      <c r="B361">
        <v>258.51083349999999</v>
      </c>
      <c r="C361">
        <v>222.70762625</v>
      </c>
      <c r="D361">
        <v>32.990765000000003</v>
      </c>
      <c r="E361">
        <v>255.01879124999999</v>
      </c>
      <c r="F361">
        <v>4.9715177500000003</v>
      </c>
      <c r="G361">
        <v>307.82933800000001</v>
      </c>
      <c r="H361">
        <v>16</v>
      </c>
      <c r="I361">
        <v>12</v>
      </c>
      <c r="J361">
        <v>1.18</v>
      </c>
      <c r="K361">
        <v>22.65652425</v>
      </c>
      <c r="L361">
        <v>-0.78199253992581452</v>
      </c>
      <c r="M361">
        <v>1.080011314684665</v>
      </c>
      <c r="N361">
        <v>-0.25292852975322028</v>
      </c>
      <c r="O361">
        <v>0.1974671099107812</v>
      </c>
    </row>
    <row r="362" spans="1:15" x14ac:dyDescent="0.25">
      <c r="A362">
        <v>23.3864175</v>
      </c>
      <c r="B362">
        <v>257.09783950000002</v>
      </c>
      <c r="C362">
        <v>245.83669649999999</v>
      </c>
      <c r="D362">
        <v>25.758388499999999</v>
      </c>
      <c r="E362">
        <v>240.88834</v>
      </c>
      <c r="F362">
        <v>4.7278169999999999</v>
      </c>
      <c r="G362">
        <v>315.45669550000002</v>
      </c>
      <c r="H362">
        <v>16</v>
      </c>
      <c r="I362">
        <v>16</v>
      </c>
      <c r="J362">
        <v>1.18</v>
      </c>
      <c r="K362">
        <v>22.94905</v>
      </c>
      <c r="L362">
        <v>-1.0283383372582271</v>
      </c>
      <c r="M362">
        <v>1.069454404475334</v>
      </c>
      <c r="N362">
        <v>-0.34471308713715121</v>
      </c>
      <c r="O362">
        <v>9.1753149178291166E-2</v>
      </c>
    </row>
    <row r="363" spans="1:15" x14ac:dyDescent="0.25">
      <c r="A363">
        <v>-17.792388500000001</v>
      </c>
      <c r="B363">
        <v>251.42196275000001</v>
      </c>
      <c r="C363">
        <v>268.4688645</v>
      </c>
      <c r="D363">
        <v>-3.6276612500000001</v>
      </c>
      <c r="E363">
        <v>219.29021825000001</v>
      </c>
      <c r="F363">
        <v>5.2152197500000002</v>
      </c>
      <c r="G363">
        <v>323.92131024999998</v>
      </c>
      <c r="H363">
        <v>16</v>
      </c>
      <c r="I363">
        <v>20</v>
      </c>
      <c r="J363">
        <v>1.18</v>
      </c>
      <c r="K363">
        <v>23.24176525</v>
      </c>
      <c r="L363">
        <v>-1.244618869788559</v>
      </c>
      <c r="M363">
        <v>1.108906658445753</v>
      </c>
      <c r="N363">
        <v>-0.45491749558119698</v>
      </c>
      <c r="O363">
        <v>-6.923039407101382E-2</v>
      </c>
    </row>
    <row r="364" spans="1:15" x14ac:dyDescent="0.25">
      <c r="A364">
        <v>-66.894783250000003</v>
      </c>
      <c r="B364">
        <v>241.417034</v>
      </c>
      <c r="C364">
        <v>288.34541350000001</v>
      </c>
      <c r="D364">
        <v>-48.689332</v>
      </c>
      <c r="E364">
        <v>186.87068149999999</v>
      </c>
      <c r="F364">
        <v>5.7018129999999996</v>
      </c>
      <c r="G364">
        <v>332.40765399999998</v>
      </c>
      <c r="H364">
        <v>16</v>
      </c>
      <c r="I364">
        <v>24</v>
      </c>
      <c r="J364">
        <v>1.18</v>
      </c>
      <c r="K364">
        <v>23.531650500000001</v>
      </c>
      <c r="L364">
        <v>-1.451966113827186</v>
      </c>
      <c r="M364">
        <v>1.1857393026960401</v>
      </c>
      <c r="N364">
        <v>-0.59485141948522779</v>
      </c>
      <c r="O364">
        <v>-0.25951630907826873</v>
      </c>
    </row>
    <row r="365" spans="1:15" x14ac:dyDescent="0.25">
      <c r="A365">
        <v>-116.761814</v>
      </c>
      <c r="B365">
        <v>226.69824224999999</v>
      </c>
      <c r="C365">
        <v>301.58137525000001</v>
      </c>
      <c r="D365">
        <v>-101.31226725</v>
      </c>
      <c r="E365">
        <v>145.060665</v>
      </c>
      <c r="F365">
        <v>5.4094257499999996</v>
      </c>
      <c r="G365">
        <v>338.29202299999997</v>
      </c>
      <c r="H365">
        <v>16</v>
      </c>
      <c r="I365">
        <v>28</v>
      </c>
      <c r="J365">
        <v>1.18</v>
      </c>
      <c r="K365">
        <v>23.753056000000001</v>
      </c>
      <c r="L365">
        <v>-1.646376383918972</v>
      </c>
      <c r="M365">
        <v>1.2908929667506319</v>
      </c>
      <c r="N365">
        <v>-0.76046577265083404</v>
      </c>
      <c r="O365">
        <v>-0.45039185932797882</v>
      </c>
    </row>
    <row r="366" spans="1:15" x14ac:dyDescent="0.25">
      <c r="A366">
        <v>-159.722824</v>
      </c>
      <c r="B366">
        <v>191.05568299999999</v>
      </c>
      <c r="C366">
        <v>287.66780075000003</v>
      </c>
      <c r="D366">
        <v>-151.05056024999999</v>
      </c>
      <c r="E366">
        <v>83.017189000000002</v>
      </c>
      <c r="F366">
        <v>5.3614404999999996</v>
      </c>
      <c r="G366">
        <v>317.9969175</v>
      </c>
      <c r="H366">
        <v>16</v>
      </c>
      <c r="I366">
        <v>32</v>
      </c>
      <c r="J366">
        <v>1.18</v>
      </c>
      <c r="K366">
        <v>23.01929775</v>
      </c>
      <c r="L366">
        <v>-1.8766942862427081</v>
      </c>
      <c r="M366">
        <v>1.435053402957454</v>
      </c>
      <c r="N366">
        <v>-0.98576709123314765</v>
      </c>
      <c r="O366">
        <v>-0.67430531576663688</v>
      </c>
    </row>
    <row r="367" spans="1:15" x14ac:dyDescent="0.25">
      <c r="A367">
        <v>-189.95527250000001</v>
      </c>
      <c r="B367">
        <v>151.757473</v>
      </c>
      <c r="C367">
        <v>264.80976874999999</v>
      </c>
      <c r="D367">
        <v>-188.50725174999999</v>
      </c>
      <c r="E367">
        <v>21.860759250000001</v>
      </c>
      <c r="F367">
        <v>4.4834565</v>
      </c>
      <c r="G367">
        <v>291.93749224999999</v>
      </c>
      <c r="H367">
        <v>16</v>
      </c>
      <c r="I367">
        <v>36</v>
      </c>
      <c r="J367">
        <v>1.18</v>
      </c>
      <c r="K367">
        <v>22.072809249999999</v>
      </c>
      <c r="L367">
        <v>-2.154386289179854</v>
      </c>
      <c r="M367">
        <v>1.611942307031814</v>
      </c>
      <c r="N367">
        <v>-1.2794647210659209</v>
      </c>
      <c r="O367">
        <v>-0.91769456649825398</v>
      </c>
    </row>
    <row r="368" spans="1:15" x14ac:dyDescent="0.25">
      <c r="A368">
        <v>-213.02701225000001</v>
      </c>
      <c r="B368">
        <v>115.9225045</v>
      </c>
      <c r="C368">
        <v>241.18378824999999</v>
      </c>
      <c r="D368">
        <v>-216.61069499999999</v>
      </c>
      <c r="E368">
        <v>-34.173070000000003</v>
      </c>
      <c r="F368">
        <v>3.8984082500000001</v>
      </c>
      <c r="G368">
        <v>270.32138824999998</v>
      </c>
      <c r="H368">
        <v>16</v>
      </c>
      <c r="I368">
        <v>40</v>
      </c>
      <c r="J368">
        <v>1.18</v>
      </c>
      <c r="K368">
        <v>21.25001275</v>
      </c>
      <c r="L368">
        <v>-2.5144670864419192</v>
      </c>
      <c r="M368">
        <v>1.840872798865181</v>
      </c>
      <c r="N368">
        <v>-1.685695735376072</v>
      </c>
      <c r="O368">
        <v>-1.210820028009906</v>
      </c>
    </row>
    <row r="369" spans="1:15" x14ac:dyDescent="0.25">
      <c r="A369">
        <v>-255.16255975000001</v>
      </c>
      <c r="B369">
        <v>87.639335750000001</v>
      </c>
      <c r="C369">
        <v>236.35016250000001</v>
      </c>
      <c r="D369">
        <v>-259.09367374999999</v>
      </c>
      <c r="E369">
        <v>-96.228872249999995</v>
      </c>
      <c r="F369">
        <v>4.0930400000000002</v>
      </c>
      <c r="G369">
        <v>272.88329299999998</v>
      </c>
      <c r="H369">
        <v>16</v>
      </c>
      <c r="I369">
        <v>44</v>
      </c>
      <c r="J369">
        <v>1.18</v>
      </c>
      <c r="K369">
        <v>21.344220499999999</v>
      </c>
      <c r="L369">
        <v>-3.054812826259222</v>
      </c>
      <c r="M369">
        <v>2.155038780128169</v>
      </c>
      <c r="N369">
        <v>-2.2941364403845319</v>
      </c>
      <c r="O369">
        <v>-1.6235383746361449</v>
      </c>
    </row>
    <row r="370" spans="1:15" x14ac:dyDescent="0.25">
      <c r="A370">
        <v>251.71285275</v>
      </c>
      <c r="B370">
        <v>104.71505925</v>
      </c>
      <c r="C370">
        <v>-290.40401450000002</v>
      </c>
      <c r="D370">
        <v>-278.63056949999998</v>
      </c>
      <c r="E370">
        <v>-45.236936499999999</v>
      </c>
      <c r="F370">
        <v>4.7264854999999999</v>
      </c>
      <c r="G370">
        <v>289.71899424999998</v>
      </c>
      <c r="H370">
        <v>20</v>
      </c>
      <c r="I370">
        <v>-44</v>
      </c>
      <c r="J370">
        <v>1.18</v>
      </c>
      <c r="K370">
        <v>21.978122500000001</v>
      </c>
      <c r="L370">
        <v>2.265616500739335</v>
      </c>
      <c r="M370">
        <v>1.6020864197369269</v>
      </c>
      <c r="N370">
        <v>-1.399856556332548</v>
      </c>
      <c r="O370">
        <v>-1.2088081738291421</v>
      </c>
    </row>
    <row r="371" spans="1:15" x14ac:dyDescent="0.25">
      <c r="A371">
        <v>267.19940174999999</v>
      </c>
      <c r="B371">
        <v>139.34751125</v>
      </c>
      <c r="C371">
        <v>-262.25238050000002</v>
      </c>
      <c r="D371">
        <v>-246.8994825</v>
      </c>
      <c r="E371">
        <v>5.2305020000000004</v>
      </c>
      <c r="F371">
        <v>4.7752119999999998</v>
      </c>
      <c r="G371">
        <v>300.37149799999997</v>
      </c>
      <c r="H371">
        <v>20</v>
      </c>
      <c r="I371">
        <v>-40</v>
      </c>
      <c r="J371">
        <v>1.18</v>
      </c>
      <c r="K371">
        <v>22.383261749999999</v>
      </c>
      <c r="L371">
        <v>2.037890184910657</v>
      </c>
      <c r="M371">
        <v>1.486680514577672</v>
      </c>
      <c r="N371">
        <v>-1.1360216871084221</v>
      </c>
      <c r="O371">
        <v>-0.99825781890876564</v>
      </c>
    </row>
    <row r="372" spans="1:15" x14ac:dyDescent="0.25">
      <c r="A372">
        <v>274.73951749999998</v>
      </c>
      <c r="B372">
        <v>172.96984850000001</v>
      </c>
      <c r="C372">
        <v>-223.58898925</v>
      </c>
      <c r="D372">
        <v>-210.49174875</v>
      </c>
      <c r="E372">
        <v>54.540109749999999</v>
      </c>
      <c r="F372">
        <v>4.8726649999999996</v>
      </c>
      <c r="G372">
        <v>309.89694225</v>
      </c>
      <c r="H372">
        <v>20</v>
      </c>
      <c r="I372">
        <v>-36</v>
      </c>
      <c r="J372">
        <v>1.18</v>
      </c>
      <c r="K372">
        <v>22.737419249999999</v>
      </c>
      <c r="L372">
        <v>1.8349265208221039</v>
      </c>
      <c r="M372">
        <v>1.411963064325561</v>
      </c>
      <c r="N372">
        <v>-0.94027143894347454</v>
      </c>
      <c r="O372">
        <v>-0.81711611476862112</v>
      </c>
    </row>
    <row r="373" spans="1:15" x14ac:dyDescent="0.25">
      <c r="A373">
        <v>279.1190795</v>
      </c>
      <c r="B373">
        <v>201.926422</v>
      </c>
      <c r="C373">
        <v>-178.38394550000001</v>
      </c>
      <c r="D373">
        <v>-165.82344424999999</v>
      </c>
      <c r="E373">
        <v>102.86620550000001</v>
      </c>
      <c r="F373">
        <v>5.1650239999999998</v>
      </c>
      <c r="G373">
        <v>317.27960224999998</v>
      </c>
      <c r="H373">
        <v>20</v>
      </c>
      <c r="I373">
        <v>-32</v>
      </c>
      <c r="J373">
        <v>1.18</v>
      </c>
      <c r="K373">
        <v>23.000165500000001</v>
      </c>
      <c r="L373">
        <v>1.6638224522392651</v>
      </c>
      <c r="M373">
        <v>1.3374148237761989</v>
      </c>
      <c r="N373">
        <v>-0.77976285262606992</v>
      </c>
      <c r="O373">
        <v>-0.64467510935071193</v>
      </c>
    </row>
    <row r="374" spans="1:15" x14ac:dyDescent="0.25">
      <c r="A374">
        <v>281.46688849999998</v>
      </c>
      <c r="B374">
        <v>230.01718124999999</v>
      </c>
      <c r="C374">
        <v>-134.397007</v>
      </c>
      <c r="D374">
        <v>-122.16038525</v>
      </c>
      <c r="E374">
        <v>145.64888775</v>
      </c>
      <c r="F374">
        <v>5.21375075</v>
      </c>
      <c r="G374">
        <v>325.98611449999999</v>
      </c>
      <c r="H374">
        <v>20</v>
      </c>
      <c r="I374">
        <v>-28</v>
      </c>
      <c r="J374">
        <v>1.18</v>
      </c>
      <c r="K374">
        <v>23.316983749999999</v>
      </c>
      <c r="L374">
        <v>1.518154075614226</v>
      </c>
      <c r="M374">
        <v>1.2856597948794291</v>
      </c>
      <c r="N374">
        <v>-0.65833918235304156</v>
      </c>
      <c r="O374">
        <v>-0.48732248681323448</v>
      </c>
    </row>
    <row r="375" spans="1:15" x14ac:dyDescent="0.25">
      <c r="A375">
        <v>277.13246149999998</v>
      </c>
      <c r="B375">
        <v>254.2118035</v>
      </c>
      <c r="C375">
        <v>-81.612690000000001</v>
      </c>
      <c r="D375">
        <v>-75.700103999999996</v>
      </c>
      <c r="E375">
        <v>186.59865575000001</v>
      </c>
      <c r="F375">
        <v>5.5061102499999999</v>
      </c>
      <c r="G375">
        <v>333.27027900000002</v>
      </c>
      <c r="H375">
        <v>20</v>
      </c>
      <c r="I375">
        <v>-24</v>
      </c>
      <c r="J375">
        <v>1.18</v>
      </c>
      <c r="K375">
        <v>23.569733500000002</v>
      </c>
      <c r="L375">
        <v>1.352449592980046</v>
      </c>
      <c r="M375">
        <v>1.2437510481791241</v>
      </c>
      <c r="N375">
        <v>-0.55294662452012111</v>
      </c>
      <c r="O375">
        <v>-0.31728067195873533</v>
      </c>
    </row>
    <row r="376" spans="1:15" x14ac:dyDescent="0.25">
      <c r="A376">
        <v>269.89076225000002</v>
      </c>
      <c r="B376">
        <v>276.09757975000002</v>
      </c>
      <c r="C376">
        <v>-29.414856</v>
      </c>
      <c r="D376">
        <v>-43.794172250000003</v>
      </c>
      <c r="E376">
        <v>220.79797725</v>
      </c>
      <c r="F376">
        <v>5.60356275</v>
      </c>
      <c r="G376">
        <v>339.91406275000003</v>
      </c>
      <c r="H376">
        <v>20</v>
      </c>
      <c r="I376">
        <v>-20</v>
      </c>
      <c r="J376">
        <v>1.18</v>
      </c>
      <c r="K376">
        <v>23.803946499999999</v>
      </c>
      <c r="L376">
        <v>1.162791215254634</v>
      </c>
      <c r="M376">
        <v>1.2427683437728869</v>
      </c>
      <c r="N376">
        <v>-0.46276237610526127</v>
      </c>
      <c r="O376">
        <v>-0.16397685042155319</v>
      </c>
    </row>
    <row r="377" spans="1:15" x14ac:dyDescent="0.25">
      <c r="A377">
        <v>230.97361749999999</v>
      </c>
      <c r="B377">
        <v>265.65975175</v>
      </c>
      <c r="C377">
        <v>19.244071250000001</v>
      </c>
      <c r="D377">
        <v>-18.619077999999998</v>
      </c>
      <c r="E377">
        <v>224.597904</v>
      </c>
      <c r="F377">
        <v>4.9213914999999986</v>
      </c>
      <c r="G377">
        <v>311.79994225000002</v>
      </c>
      <c r="H377">
        <v>20</v>
      </c>
      <c r="I377">
        <v>-16</v>
      </c>
      <c r="J377">
        <v>1.18</v>
      </c>
      <c r="K377">
        <v>22.806391000000001</v>
      </c>
      <c r="L377">
        <v>0.94400517846408949</v>
      </c>
      <c r="M377">
        <v>1.2674706109799929</v>
      </c>
      <c r="N377">
        <v>-0.3888017521134548</v>
      </c>
      <c r="O377">
        <v>-2.0525218355043829E-2</v>
      </c>
    </row>
    <row r="378" spans="1:15" x14ac:dyDescent="0.25">
      <c r="A378">
        <v>193.80479025</v>
      </c>
      <c r="B378">
        <v>251.16833124999999</v>
      </c>
      <c r="C378">
        <v>50.184884250000003</v>
      </c>
      <c r="D378">
        <v>-10.57703525</v>
      </c>
      <c r="E378">
        <v>219.94857400000001</v>
      </c>
      <c r="F378">
        <v>4.434126</v>
      </c>
      <c r="G378">
        <v>285.26633450000003</v>
      </c>
      <c r="H378">
        <v>20</v>
      </c>
      <c r="I378">
        <v>-12</v>
      </c>
      <c r="J378">
        <v>1.18</v>
      </c>
      <c r="K378">
        <v>21.817098999999999</v>
      </c>
      <c r="L378">
        <v>0.71760885473587199</v>
      </c>
      <c r="M378">
        <v>1.3077942770742319</v>
      </c>
      <c r="N378">
        <v>-0.3263916941255679</v>
      </c>
      <c r="O378">
        <v>7.6810290670765585E-2</v>
      </c>
    </row>
    <row r="379" spans="1:15" x14ac:dyDescent="0.25">
      <c r="A379">
        <v>160.80434425000001</v>
      </c>
      <c r="B379">
        <v>239.59141525000001</v>
      </c>
      <c r="C379">
        <v>70.240878999999993</v>
      </c>
      <c r="D379">
        <v>-10.1399685</v>
      </c>
      <c r="E379">
        <v>213.77929649999999</v>
      </c>
      <c r="F379">
        <v>3.995587</v>
      </c>
      <c r="G379">
        <v>265.93642425000002</v>
      </c>
      <c r="H379">
        <v>20</v>
      </c>
      <c r="I379">
        <v>-8</v>
      </c>
      <c r="J379">
        <v>1.18</v>
      </c>
      <c r="K379">
        <v>21.070513250000001</v>
      </c>
      <c r="L379">
        <v>0.49291576300456591</v>
      </c>
      <c r="M379">
        <v>1.359226029554506</v>
      </c>
      <c r="N379">
        <v>-0.28388282868107201</v>
      </c>
      <c r="O379">
        <v>0.1418160584698436</v>
      </c>
    </row>
    <row r="380" spans="1:15" x14ac:dyDescent="0.25">
      <c r="A380">
        <v>145.81631049999999</v>
      </c>
      <c r="B380">
        <v>252.85216149999999</v>
      </c>
      <c r="C380">
        <v>96.659532249999998</v>
      </c>
      <c r="D380">
        <v>-9.2658325000000001</v>
      </c>
      <c r="E380">
        <v>227.36959074999999</v>
      </c>
      <c r="F380">
        <v>4.190493</v>
      </c>
      <c r="G380">
        <v>277.06213400000001</v>
      </c>
      <c r="H380">
        <v>20</v>
      </c>
      <c r="I380">
        <v>-4</v>
      </c>
      <c r="J380">
        <v>1.18</v>
      </c>
      <c r="K380">
        <v>21.505667500000001</v>
      </c>
      <c r="L380">
        <v>0.26763215404795659</v>
      </c>
      <c r="M380">
        <v>1.427089289685523</v>
      </c>
      <c r="N380">
        <v>-0.2705499463254713</v>
      </c>
      <c r="O380">
        <v>0.21509413390524559</v>
      </c>
    </row>
    <row r="381" spans="1:15" x14ac:dyDescent="0.25">
      <c r="A381">
        <v>125.64501</v>
      </c>
      <c r="B381">
        <v>264.33864575000001</v>
      </c>
      <c r="C381">
        <v>125.25913825000001</v>
      </c>
      <c r="D381">
        <v>-8.1294577500000003</v>
      </c>
      <c r="E381">
        <v>238.3223495</v>
      </c>
      <c r="F381">
        <v>4.5803060000000002</v>
      </c>
      <c r="G381">
        <v>288.98824324999998</v>
      </c>
      <c r="H381">
        <v>20</v>
      </c>
      <c r="I381">
        <v>0</v>
      </c>
      <c r="J381">
        <v>1.18</v>
      </c>
      <c r="K381">
        <v>21.955567500000001</v>
      </c>
      <c r="L381">
        <v>2.149899066993304E-3</v>
      </c>
      <c r="M381">
        <v>1.51512481374435</v>
      </c>
      <c r="N381">
        <v>-0.28175548117820198</v>
      </c>
      <c r="O381">
        <v>0.29978287385704461</v>
      </c>
    </row>
    <row r="382" spans="1:15" x14ac:dyDescent="0.25">
      <c r="A382">
        <v>101.258835</v>
      </c>
      <c r="B382">
        <v>275.57808675000001</v>
      </c>
      <c r="C382">
        <v>154.83619325000001</v>
      </c>
      <c r="D382">
        <v>-9.9214345000000002</v>
      </c>
      <c r="E382">
        <v>244.6257325</v>
      </c>
      <c r="F382">
        <v>4.7264854999999999</v>
      </c>
      <c r="G382">
        <v>300.95439149999999</v>
      </c>
      <c r="H382">
        <v>20</v>
      </c>
      <c r="I382">
        <v>4</v>
      </c>
      <c r="J382">
        <v>1.18</v>
      </c>
      <c r="K382">
        <v>22.407157999999999</v>
      </c>
      <c r="L382">
        <v>-0.26927448024201539</v>
      </c>
      <c r="M382">
        <v>1.435008876034978</v>
      </c>
      <c r="N382">
        <v>-0.28313411434537727</v>
      </c>
      <c r="O382">
        <v>0.20578338012123351</v>
      </c>
    </row>
    <row r="383" spans="1:15" x14ac:dyDescent="0.25">
      <c r="A383">
        <v>72.867698750000002</v>
      </c>
      <c r="B383">
        <v>281.4191285</v>
      </c>
      <c r="C383">
        <v>184.38803849999999</v>
      </c>
      <c r="D383">
        <v>-12.937201</v>
      </c>
      <c r="E383">
        <v>245.11748900000001</v>
      </c>
      <c r="F383">
        <v>4.9701179999999994</v>
      </c>
      <c r="G383">
        <v>310.67936724999998</v>
      </c>
      <c r="H383">
        <v>20</v>
      </c>
      <c r="I383">
        <v>8</v>
      </c>
      <c r="J383">
        <v>1.18</v>
      </c>
      <c r="K383">
        <v>22.76293575</v>
      </c>
      <c r="L383">
        <v>-0.51832257625289879</v>
      </c>
      <c r="M383">
        <v>1.3681461931749781</v>
      </c>
      <c r="N383">
        <v>-0.3047320810213805</v>
      </c>
      <c r="O383">
        <v>0.1161838376142089</v>
      </c>
    </row>
    <row r="384" spans="1:15" x14ac:dyDescent="0.25">
      <c r="A384">
        <v>41.933620249999997</v>
      </c>
      <c r="B384">
        <v>283.19935600000002</v>
      </c>
      <c r="C384">
        <v>211.674858</v>
      </c>
      <c r="D384">
        <v>-14.7291775</v>
      </c>
      <c r="E384">
        <v>238.05410774999999</v>
      </c>
      <c r="F384">
        <v>5.1650242500000001</v>
      </c>
      <c r="G384">
        <v>318.16320775000003</v>
      </c>
      <c r="H384">
        <v>20</v>
      </c>
      <c r="I384">
        <v>12</v>
      </c>
      <c r="J384">
        <v>1.18</v>
      </c>
      <c r="K384">
        <v>23.032701500000002</v>
      </c>
      <c r="L384">
        <v>-0.75624329326187489</v>
      </c>
      <c r="M384">
        <v>1.3273720563935321</v>
      </c>
      <c r="N384">
        <v>-0.35692962266346723</v>
      </c>
      <c r="O384">
        <v>3.7600881715520902E-2</v>
      </c>
    </row>
    <row r="385" spans="1:15" x14ac:dyDescent="0.25">
      <c r="A385">
        <v>5.8228572500000002</v>
      </c>
      <c r="B385">
        <v>282.18894949999998</v>
      </c>
      <c r="C385">
        <v>236.89085775000001</v>
      </c>
      <c r="D385">
        <v>-19.449506499999998</v>
      </c>
      <c r="E385">
        <v>224.59790425</v>
      </c>
      <c r="F385">
        <v>5.4086572500000001</v>
      </c>
      <c r="G385">
        <v>326.247345</v>
      </c>
      <c r="H385">
        <v>20</v>
      </c>
      <c r="I385">
        <v>16</v>
      </c>
      <c r="J385">
        <v>1.18</v>
      </c>
      <c r="K385">
        <v>23.319386999999999</v>
      </c>
      <c r="L385">
        <v>-0.99852657904464015</v>
      </c>
      <c r="M385">
        <v>1.3034611324316581</v>
      </c>
      <c r="N385">
        <v>-0.43926312279335622</v>
      </c>
      <c r="O385">
        <v>-5.2804181201767462E-2</v>
      </c>
    </row>
    <row r="386" spans="1:15" x14ac:dyDescent="0.25">
      <c r="A386">
        <v>-36.044642500000002</v>
      </c>
      <c r="B386">
        <v>277.89678199999997</v>
      </c>
      <c r="C386">
        <v>259.038681</v>
      </c>
      <c r="D386">
        <v>-49.650877999999999</v>
      </c>
      <c r="E386">
        <v>201.79835499999999</v>
      </c>
      <c r="F386">
        <v>5.60356275</v>
      </c>
      <c r="G386">
        <v>334.17141750000002</v>
      </c>
      <c r="H386">
        <v>20</v>
      </c>
      <c r="I386">
        <v>20</v>
      </c>
      <c r="J386">
        <v>1.18</v>
      </c>
      <c r="K386">
        <v>23.598612500000002</v>
      </c>
      <c r="L386">
        <v>-1.206124297402428</v>
      </c>
      <c r="M386">
        <v>1.3388969412392091</v>
      </c>
      <c r="N386">
        <v>-0.54109454532832535</v>
      </c>
      <c r="O386">
        <v>-0.1980213228208762</v>
      </c>
    </row>
    <row r="387" spans="1:15" x14ac:dyDescent="0.25">
      <c r="A387">
        <v>-83.848850249999998</v>
      </c>
      <c r="B387">
        <v>266.80313074999998</v>
      </c>
      <c r="C387">
        <v>274.24243174999998</v>
      </c>
      <c r="D387">
        <v>-94.144359500000007</v>
      </c>
      <c r="E387">
        <v>166.97316375</v>
      </c>
      <c r="F387">
        <v>5.7010157499999998</v>
      </c>
      <c r="G387">
        <v>338.53365324999999</v>
      </c>
      <c r="H387">
        <v>20</v>
      </c>
      <c r="I387">
        <v>24</v>
      </c>
      <c r="J387">
        <v>1.18</v>
      </c>
      <c r="K387">
        <v>23.751231749999999</v>
      </c>
      <c r="L387">
        <v>-1.3989821825167339</v>
      </c>
      <c r="M387">
        <v>1.410113146749302</v>
      </c>
      <c r="N387">
        <v>-0.67025517500265619</v>
      </c>
      <c r="O387">
        <v>-0.36996255005957701</v>
      </c>
    </row>
    <row r="388" spans="1:15" x14ac:dyDescent="0.25">
      <c r="A388">
        <v>-122.37156275</v>
      </c>
      <c r="B388">
        <v>223.79542524999999</v>
      </c>
      <c r="C388">
        <v>257.06279725000002</v>
      </c>
      <c r="D388">
        <v>-130.98915875</v>
      </c>
      <c r="E388">
        <v>109.88489325</v>
      </c>
      <c r="F388">
        <v>5.0675712500000003</v>
      </c>
      <c r="G388">
        <v>307.63780224999999</v>
      </c>
      <c r="H388">
        <v>20</v>
      </c>
      <c r="I388">
        <v>28</v>
      </c>
      <c r="J388">
        <v>1.18</v>
      </c>
      <c r="K388">
        <v>22.645747750000002</v>
      </c>
      <c r="L388">
        <v>-1.603942594707362</v>
      </c>
      <c r="M388">
        <v>1.499747762640407</v>
      </c>
      <c r="N388">
        <v>-0.83595597967269297</v>
      </c>
      <c r="O388">
        <v>-0.55693099721476869</v>
      </c>
    </row>
    <row r="389" spans="1:15" x14ac:dyDescent="0.25">
      <c r="A389">
        <v>-157.47003950000001</v>
      </c>
      <c r="B389">
        <v>186.38994199999999</v>
      </c>
      <c r="C389">
        <v>238.86245349999999</v>
      </c>
      <c r="D389">
        <v>-168.40214175</v>
      </c>
      <c r="E389">
        <v>55.929467500000001</v>
      </c>
      <c r="F389">
        <v>4.33667275</v>
      </c>
      <c r="G389">
        <v>281.50439449999999</v>
      </c>
      <c r="H389">
        <v>20</v>
      </c>
      <c r="I389">
        <v>32</v>
      </c>
      <c r="J389">
        <v>1.18</v>
      </c>
      <c r="K389">
        <v>21.674285250000001</v>
      </c>
      <c r="L389">
        <v>-1.8108694590357359</v>
      </c>
      <c r="M389">
        <v>1.621085344245158</v>
      </c>
      <c r="N389">
        <v>-1.0306982249845009</v>
      </c>
      <c r="O389">
        <v>-0.76428869327881088</v>
      </c>
    </row>
    <row r="390" spans="1:15" x14ac:dyDescent="0.25">
      <c r="A390">
        <v>-185.62990975</v>
      </c>
      <c r="B390">
        <v>153.87392449999999</v>
      </c>
      <c r="C390">
        <v>223.2815325</v>
      </c>
      <c r="D390">
        <v>-200.657726</v>
      </c>
      <c r="E390">
        <v>6.5278150000000004</v>
      </c>
      <c r="F390">
        <v>4.0930400000000002</v>
      </c>
      <c r="G390">
        <v>263.89537799999999</v>
      </c>
      <c r="H390">
        <v>20</v>
      </c>
      <c r="I390">
        <v>36</v>
      </c>
      <c r="J390">
        <v>1.18</v>
      </c>
      <c r="K390">
        <v>20.984345000000001</v>
      </c>
      <c r="L390">
        <v>-2.0479199021519778</v>
      </c>
      <c r="M390">
        <v>1.7755787292469369</v>
      </c>
      <c r="N390">
        <v>-1.2889585469493909</v>
      </c>
      <c r="O390">
        <v>-0.9878060203825082</v>
      </c>
    </row>
    <row r="391" spans="1:15" x14ac:dyDescent="0.25">
      <c r="A391">
        <v>-241.273819</v>
      </c>
      <c r="B391">
        <v>138.09692000000001</v>
      </c>
      <c r="C391">
        <v>233.39783850000001</v>
      </c>
      <c r="D391">
        <v>-261.10417174999998</v>
      </c>
      <c r="E391">
        <v>-49.028986000000003</v>
      </c>
      <c r="F391">
        <v>4.2879459999999998</v>
      </c>
      <c r="G391">
        <v>279.54340324999998</v>
      </c>
      <c r="H391">
        <v>20</v>
      </c>
      <c r="I391">
        <v>40</v>
      </c>
      <c r="J391">
        <v>1.18</v>
      </c>
      <c r="K391">
        <v>21.599410500000001</v>
      </c>
      <c r="L391">
        <v>-2.3480262567692152</v>
      </c>
      <c r="M391">
        <v>1.9746907453485409</v>
      </c>
      <c r="N391">
        <v>-1.6253495907425071</v>
      </c>
      <c r="O391">
        <v>-1.2637498712827879</v>
      </c>
    </row>
    <row r="392" spans="1:15" x14ac:dyDescent="0.25">
      <c r="A392">
        <v>-288.89780450000001</v>
      </c>
      <c r="B392">
        <v>115.7301255</v>
      </c>
      <c r="C392">
        <v>234.21076199999999</v>
      </c>
      <c r="D392">
        <v>-314.07674424999999</v>
      </c>
      <c r="E392">
        <v>-111.45743525</v>
      </c>
      <c r="F392">
        <v>4.58030575</v>
      </c>
      <c r="G392">
        <v>290.46900175000002</v>
      </c>
      <c r="H392">
        <v>20</v>
      </c>
      <c r="I392">
        <v>44</v>
      </c>
      <c r="J392">
        <v>1.18</v>
      </c>
      <c r="K392">
        <v>22.012642750000001</v>
      </c>
      <c r="L392">
        <v>-2.7529077334420662</v>
      </c>
      <c r="M392">
        <v>2.2619207663392769</v>
      </c>
      <c r="N392">
        <v>-2.1152738334111172</v>
      </c>
      <c r="O392">
        <v>-1.6107311970067479</v>
      </c>
    </row>
    <row r="393" spans="1:15" x14ac:dyDescent="0.25">
      <c r="A393">
        <v>247.90039024999999</v>
      </c>
      <c r="B393">
        <v>130.68942275000001</v>
      </c>
      <c r="C393">
        <v>-328.03410350000001</v>
      </c>
      <c r="D393">
        <v>-335.53678925000003</v>
      </c>
      <c r="E393">
        <v>-69.844875250000001</v>
      </c>
      <c r="F393">
        <v>4.9704505000000001</v>
      </c>
      <c r="G393">
        <v>305.9169235</v>
      </c>
      <c r="H393">
        <v>24</v>
      </c>
      <c r="I393">
        <v>-44</v>
      </c>
      <c r="J393">
        <v>1.18</v>
      </c>
      <c r="K393">
        <v>22.5849175</v>
      </c>
      <c r="L393">
        <v>2.1987515340480468</v>
      </c>
      <c r="M393">
        <v>1.779915652020706</v>
      </c>
      <c r="N393">
        <v>-1.434567305294415</v>
      </c>
      <c r="O393">
        <v>-1.2856391617783389</v>
      </c>
    </row>
    <row r="394" spans="1:15" x14ac:dyDescent="0.25">
      <c r="A394">
        <v>259.636391</v>
      </c>
      <c r="B394">
        <v>164.16745374999999</v>
      </c>
      <c r="C394">
        <v>-296.86791975</v>
      </c>
      <c r="D394">
        <v>-302.58190174999999</v>
      </c>
      <c r="E394">
        <v>-18.955346250000002</v>
      </c>
      <c r="F394">
        <v>4.9704505000000001</v>
      </c>
      <c r="G394">
        <v>314.32122824999999</v>
      </c>
      <c r="H394">
        <v>24</v>
      </c>
      <c r="I394">
        <v>-40</v>
      </c>
      <c r="J394">
        <v>1.18</v>
      </c>
      <c r="K394">
        <v>22.898107249999999</v>
      </c>
      <c r="L394">
        <v>1.9820710246298709</v>
      </c>
      <c r="M394">
        <v>1.6623993036746749</v>
      </c>
      <c r="N394">
        <v>-1.1870191149738369</v>
      </c>
      <c r="O394">
        <v>-1.085219992472507</v>
      </c>
    </row>
    <row r="395" spans="1:15" x14ac:dyDescent="0.25">
      <c r="A395">
        <v>267.2647935</v>
      </c>
      <c r="B395">
        <v>196.73157900000001</v>
      </c>
      <c r="C395">
        <v>-260.87574000000001</v>
      </c>
      <c r="D395">
        <v>-265.38744350000002</v>
      </c>
      <c r="E395">
        <v>29.2446685</v>
      </c>
      <c r="F395">
        <v>5.0682772500000004</v>
      </c>
      <c r="G395">
        <v>322.365364</v>
      </c>
      <c r="H395">
        <v>24</v>
      </c>
      <c r="I395">
        <v>-36</v>
      </c>
      <c r="J395">
        <v>1.18</v>
      </c>
      <c r="K395">
        <v>23.190334499999999</v>
      </c>
      <c r="L395">
        <v>1.806383908731263</v>
      </c>
      <c r="M395">
        <v>1.580551868358528</v>
      </c>
      <c r="N395">
        <v>-1.002550284370908</v>
      </c>
      <c r="O395">
        <v>-0.91730527447692656</v>
      </c>
    </row>
    <row r="396" spans="1:15" x14ac:dyDescent="0.25">
      <c r="A396">
        <v>271.55294025000001</v>
      </c>
      <c r="B396">
        <v>227.70837</v>
      </c>
      <c r="C396">
        <v>-220.8242645</v>
      </c>
      <c r="D396">
        <v>-223.64746875</v>
      </c>
      <c r="E396">
        <v>75.973514749999993</v>
      </c>
      <c r="F396">
        <v>5.2635982499999994</v>
      </c>
      <c r="G396">
        <v>331.32996374999999</v>
      </c>
      <c r="H396">
        <v>24</v>
      </c>
      <c r="I396">
        <v>-32</v>
      </c>
      <c r="J396">
        <v>1.18</v>
      </c>
      <c r="K396">
        <v>23.508606499999999</v>
      </c>
      <c r="L396">
        <v>1.651110127749003</v>
      </c>
      <c r="M396">
        <v>1.5135493840911001</v>
      </c>
      <c r="N396">
        <v>-0.85629527989063692</v>
      </c>
      <c r="O396">
        <v>-0.7628808194879626</v>
      </c>
    </row>
    <row r="397" spans="1:15" x14ac:dyDescent="0.25">
      <c r="A397">
        <v>269.38629900000001</v>
      </c>
      <c r="B397">
        <v>254.16371925000001</v>
      </c>
      <c r="C397">
        <v>-175.04473100000001</v>
      </c>
      <c r="D397">
        <v>-181.33934024999999</v>
      </c>
      <c r="E397">
        <v>117.06806775</v>
      </c>
      <c r="F397">
        <v>5.3610515000000003</v>
      </c>
      <c r="G397">
        <v>336.492615</v>
      </c>
      <c r="H397">
        <v>24</v>
      </c>
      <c r="I397">
        <v>-28</v>
      </c>
      <c r="J397">
        <v>1.18</v>
      </c>
      <c r="K397">
        <v>23.690501999999999</v>
      </c>
      <c r="L397">
        <v>1.5052278899770519</v>
      </c>
      <c r="M397">
        <v>1.4749868717940331</v>
      </c>
      <c r="N397">
        <v>-0.7431756035819993</v>
      </c>
      <c r="O397">
        <v>-0.62166945470135748</v>
      </c>
    </row>
    <row r="398" spans="1:15" x14ac:dyDescent="0.25">
      <c r="A398">
        <v>247.35872649999999</v>
      </c>
      <c r="B398">
        <v>257.14595800000001</v>
      </c>
      <c r="C398">
        <v>-109.4198705</v>
      </c>
      <c r="D398">
        <v>-125.613226</v>
      </c>
      <c r="E398">
        <v>145.46311175</v>
      </c>
      <c r="F398">
        <v>5.1664915000000002</v>
      </c>
      <c r="G398">
        <v>318.68347175000002</v>
      </c>
      <c r="H398">
        <v>24</v>
      </c>
      <c r="I398">
        <v>-24</v>
      </c>
      <c r="J398">
        <v>1.18</v>
      </c>
      <c r="K398">
        <v>23.051750250000001</v>
      </c>
      <c r="L398">
        <v>1.3566781736040481</v>
      </c>
      <c r="M398">
        <v>1.455475085431521</v>
      </c>
      <c r="N398">
        <v>-0.65868615799478925</v>
      </c>
      <c r="O398">
        <v>-0.46651428726770888</v>
      </c>
    </row>
    <row r="399" spans="1:15" x14ac:dyDescent="0.25">
      <c r="A399">
        <v>216.66457374999999</v>
      </c>
      <c r="B399">
        <v>252.09539025000001</v>
      </c>
      <c r="C399">
        <v>-51.327209500000002</v>
      </c>
      <c r="D399">
        <v>-85.621538000000001</v>
      </c>
      <c r="E399">
        <v>161.47165649999999</v>
      </c>
      <c r="F399">
        <v>4.6790890000000003</v>
      </c>
      <c r="G399">
        <v>295.51158924999999</v>
      </c>
      <c r="H399">
        <v>24</v>
      </c>
      <c r="I399">
        <v>-20</v>
      </c>
      <c r="J399">
        <v>1.18</v>
      </c>
      <c r="K399">
        <v>22.202134749999999</v>
      </c>
      <c r="L399">
        <v>1.165473438844733</v>
      </c>
      <c r="M399">
        <v>1.4686718273072259</v>
      </c>
      <c r="N399">
        <v>-0.58294098205680545</v>
      </c>
      <c r="O399">
        <v>-0.31811285386737331</v>
      </c>
    </row>
    <row r="400" spans="1:15" x14ac:dyDescent="0.25">
      <c r="A400">
        <v>188.09193425000001</v>
      </c>
      <c r="B400">
        <v>245.36130925000001</v>
      </c>
      <c r="C400">
        <v>-12.0876035</v>
      </c>
      <c r="D400">
        <v>-59.834552000000002</v>
      </c>
      <c r="E400">
        <v>168.80517975000001</v>
      </c>
      <c r="F400">
        <v>4.1916847499999994</v>
      </c>
      <c r="G400">
        <v>276.03762825000001</v>
      </c>
      <c r="H400">
        <v>24</v>
      </c>
      <c r="I400">
        <v>-16</v>
      </c>
      <c r="J400">
        <v>1.18</v>
      </c>
      <c r="K400">
        <v>21.465212000000001</v>
      </c>
      <c r="L400">
        <v>0.977594906318629</v>
      </c>
      <c r="M400">
        <v>1.490445000797231</v>
      </c>
      <c r="N400">
        <v>-0.52368295708662016</v>
      </c>
      <c r="O400">
        <v>-0.19606905824321991</v>
      </c>
    </row>
    <row r="401" spans="1:15" x14ac:dyDescent="0.25">
      <c r="A401">
        <v>168.27615750000001</v>
      </c>
      <c r="B401">
        <v>248.29544824999999</v>
      </c>
      <c r="C401">
        <v>18.430967750000001</v>
      </c>
      <c r="D401">
        <v>-51.836216749999998</v>
      </c>
      <c r="E401">
        <v>180.43149199999999</v>
      </c>
      <c r="F401">
        <v>4.0942042499999998</v>
      </c>
      <c r="G401">
        <v>270.96186075000003</v>
      </c>
      <c r="H401">
        <v>24</v>
      </c>
      <c r="I401">
        <v>-12</v>
      </c>
      <c r="J401">
        <v>1.18</v>
      </c>
      <c r="K401">
        <v>21.267746500000001</v>
      </c>
      <c r="L401">
        <v>0.7601869918677775</v>
      </c>
      <c r="M401">
        <v>1.522495443040162</v>
      </c>
      <c r="N401">
        <v>-0.45927052910721178</v>
      </c>
      <c r="O401">
        <v>-0.1054787793026648</v>
      </c>
    </row>
    <row r="402" spans="1:15" x14ac:dyDescent="0.25">
      <c r="A402">
        <v>156.63043974999999</v>
      </c>
      <c r="B402">
        <v>268.01670074999998</v>
      </c>
      <c r="C402">
        <v>47.839222749999998</v>
      </c>
      <c r="D402">
        <v>-50.874668</v>
      </c>
      <c r="E402">
        <v>200.59867875</v>
      </c>
      <c r="F402">
        <v>4.3866464999999986</v>
      </c>
      <c r="G402">
        <v>286.53346249999998</v>
      </c>
      <c r="H402">
        <v>24</v>
      </c>
      <c r="I402">
        <v>-8</v>
      </c>
      <c r="J402">
        <v>1.18</v>
      </c>
      <c r="K402">
        <v>21.868123000000001</v>
      </c>
      <c r="L402">
        <v>0.53826858584411497</v>
      </c>
      <c r="M402">
        <v>1.577758562836983</v>
      </c>
      <c r="N402">
        <v>-0.42519168437363403</v>
      </c>
      <c r="O402">
        <v>-2.9194949584840289E-2</v>
      </c>
    </row>
    <row r="403" spans="1:15" x14ac:dyDescent="0.25">
      <c r="A403">
        <v>138.21394325</v>
      </c>
      <c r="B403">
        <v>283.86168700000002</v>
      </c>
      <c r="C403">
        <v>77.970262500000004</v>
      </c>
      <c r="D403">
        <v>-50.481306250000003</v>
      </c>
      <c r="E403">
        <v>215.22101574999999</v>
      </c>
      <c r="F403">
        <v>4.5816080000000001</v>
      </c>
      <c r="G403">
        <v>300.38378125000003</v>
      </c>
      <c r="H403">
        <v>24</v>
      </c>
      <c r="I403">
        <v>-4</v>
      </c>
      <c r="J403">
        <v>1.18</v>
      </c>
      <c r="K403">
        <v>22.391031250000001</v>
      </c>
      <c r="L403">
        <v>0.29901080382059492</v>
      </c>
      <c r="M403">
        <v>1.6594671160351999</v>
      </c>
      <c r="N403">
        <v>-0.42269663771331012</v>
      </c>
      <c r="O403">
        <v>4.5475985659999427E-2</v>
      </c>
    </row>
    <row r="404" spans="1:15" x14ac:dyDescent="0.25">
      <c r="A404">
        <v>115.32874074999999</v>
      </c>
      <c r="B404">
        <v>299.34479525</v>
      </c>
      <c r="C404">
        <v>110.54068925</v>
      </c>
      <c r="D404">
        <v>-51.748801999999998</v>
      </c>
      <c r="E404">
        <v>226.57902924999999</v>
      </c>
      <c r="F404">
        <v>4.7765695000000008</v>
      </c>
      <c r="G404">
        <v>314.75793449999998</v>
      </c>
      <c r="H404">
        <v>24</v>
      </c>
      <c r="I404">
        <v>0</v>
      </c>
      <c r="J404">
        <v>1.18</v>
      </c>
      <c r="K404">
        <v>22.9214205</v>
      </c>
      <c r="L404">
        <v>2.4290042045419871E-2</v>
      </c>
      <c r="M404">
        <v>1.7805565908034251</v>
      </c>
      <c r="N404">
        <v>-0.44720979074498157</v>
      </c>
      <c r="O404">
        <v>0.12485356539911829</v>
      </c>
    </row>
    <row r="405" spans="1:15" x14ac:dyDescent="0.25">
      <c r="A405">
        <v>84.183216000000002</v>
      </c>
      <c r="B405">
        <v>308.56037900000001</v>
      </c>
      <c r="C405">
        <v>145.41499725</v>
      </c>
      <c r="D405">
        <v>-55.070515749999998</v>
      </c>
      <c r="E405">
        <v>232.07916274999999</v>
      </c>
      <c r="F405">
        <v>5.2639719999999999</v>
      </c>
      <c r="G405">
        <v>325.36240400000003</v>
      </c>
      <c r="H405">
        <v>24</v>
      </c>
      <c r="I405">
        <v>4</v>
      </c>
      <c r="J405">
        <v>1.18</v>
      </c>
      <c r="K405">
        <v>23.292477000000002</v>
      </c>
      <c r="L405">
        <v>-0.28147056174866009</v>
      </c>
      <c r="M405">
        <v>1.6716984912693631</v>
      </c>
      <c r="N405">
        <v>-0.42886289768876668</v>
      </c>
      <c r="O405">
        <v>4.2747460116908997E-2</v>
      </c>
    </row>
    <row r="406" spans="1:15" x14ac:dyDescent="0.25">
      <c r="A406">
        <v>49.426606999999997</v>
      </c>
      <c r="B406">
        <v>315.26934799999998</v>
      </c>
      <c r="C406">
        <v>175.50086200000001</v>
      </c>
      <c r="D406">
        <v>-62.282131249999999</v>
      </c>
      <c r="E406">
        <v>229.79862600000001</v>
      </c>
      <c r="F406">
        <v>5.4101935000000001</v>
      </c>
      <c r="G406">
        <v>334.62991325000002</v>
      </c>
      <c r="H406">
        <v>24</v>
      </c>
      <c r="I406">
        <v>8</v>
      </c>
      <c r="J406">
        <v>1.18</v>
      </c>
      <c r="K406">
        <v>23.622007499999999</v>
      </c>
      <c r="L406">
        <v>-0.53368331605018893</v>
      </c>
      <c r="M406">
        <v>1.5982758802199979</v>
      </c>
      <c r="N406">
        <v>-0.44378893594120827</v>
      </c>
      <c r="O406">
        <v>-5.0091869973947031E-2</v>
      </c>
    </row>
    <row r="407" spans="1:15" x14ac:dyDescent="0.25">
      <c r="A407">
        <v>8.0797802500000007</v>
      </c>
      <c r="B407">
        <v>306.19789125</v>
      </c>
      <c r="C407">
        <v>198.31371675</v>
      </c>
      <c r="D407">
        <v>-67.570648000000006</v>
      </c>
      <c r="E407">
        <v>213.4323425</v>
      </c>
      <c r="F407">
        <v>5.4101932499999998</v>
      </c>
      <c r="G407">
        <v>330.78720850000002</v>
      </c>
      <c r="H407">
        <v>24</v>
      </c>
      <c r="I407">
        <v>12</v>
      </c>
      <c r="J407">
        <v>1.18</v>
      </c>
      <c r="K407">
        <v>23.483672500000001</v>
      </c>
      <c r="L407">
        <v>-0.78227456195417</v>
      </c>
      <c r="M407">
        <v>1.5370087897658959</v>
      </c>
      <c r="N407">
        <v>-0.48258704245464312</v>
      </c>
      <c r="O407">
        <v>-0.14454990712276569</v>
      </c>
    </row>
    <row r="408" spans="1:15" x14ac:dyDescent="0.25">
      <c r="A408">
        <v>-29.462653750000001</v>
      </c>
      <c r="B408">
        <v>269.641594</v>
      </c>
      <c r="C408">
        <v>197.6361005</v>
      </c>
      <c r="D408">
        <v>-66.827634750000001</v>
      </c>
      <c r="E408">
        <v>175.06549849999999</v>
      </c>
      <c r="F408">
        <v>4.3866464999999986</v>
      </c>
      <c r="G408">
        <v>299.02808399999998</v>
      </c>
      <c r="H408">
        <v>24</v>
      </c>
      <c r="I408">
        <v>16</v>
      </c>
      <c r="J408">
        <v>1.18</v>
      </c>
      <c r="K408">
        <v>22.347064499999998</v>
      </c>
      <c r="L408">
        <v>-1.0174369329829549</v>
      </c>
      <c r="M408">
        <v>1.5073994963454569</v>
      </c>
      <c r="N408">
        <v>-0.55537167307119439</v>
      </c>
      <c r="O408">
        <v>-0.23534288885513441</v>
      </c>
    </row>
    <row r="409" spans="1:15" x14ac:dyDescent="0.25">
      <c r="A409">
        <v>-65.187298749999997</v>
      </c>
      <c r="B409">
        <v>243.8250085</v>
      </c>
      <c r="C409">
        <v>198.13301849999999</v>
      </c>
      <c r="D409">
        <v>-81.119743</v>
      </c>
      <c r="E409">
        <v>140.58900075</v>
      </c>
      <c r="F409">
        <v>4.1429442500000002</v>
      </c>
      <c r="G409">
        <v>279.99228649999998</v>
      </c>
      <c r="H409">
        <v>24</v>
      </c>
      <c r="I409">
        <v>20</v>
      </c>
      <c r="J409">
        <v>1.18</v>
      </c>
      <c r="K409">
        <v>21.6226825</v>
      </c>
      <c r="L409">
        <v>-1.231961825422228</v>
      </c>
      <c r="M409">
        <v>1.5202821153260031</v>
      </c>
      <c r="N409">
        <v>-0.65224216326764139</v>
      </c>
      <c r="O409">
        <v>-0.36161800078496598</v>
      </c>
    </row>
    <row r="410" spans="1:15" x14ac:dyDescent="0.25">
      <c r="A410">
        <v>-98.704311500000003</v>
      </c>
      <c r="B410">
        <v>219.08087900000001</v>
      </c>
      <c r="C410">
        <v>196.77780175000001</v>
      </c>
      <c r="D410">
        <v>-107.95569225</v>
      </c>
      <c r="E410">
        <v>105.30760600000001</v>
      </c>
      <c r="F410">
        <v>3.8505034999999999</v>
      </c>
      <c r="G410">
        <v>265.23760225000001</v>
      </c>
      <c r="H410">
        <v>24</v>
      </c>
      <c r="I410">
        <v>24</v>
      </c>
      <c r="J410">
        <v>1.18</v>
      </c>
      <c r="K410">
        <v>21.048243750000001</v>
      </c>
      <c r="L410">
        <v>-1.4162350963856429</v>
      </c>
      <c r="M410">
        <v>1.567496067663686</v>
      </c>
      <c r="N410">
        <v>-0.76655166979534917</v>
      </c>
      <c r="O410">
        <v>-0.51368695044560009</v>
      </c>
    </row>
    <row r="411" spans="1:15" x14ac:dyDescent="0.25">
      <c r="A411">
        <v>-148.32997125</v>
      </c>
      <c r="B411">
        <v>218.51881025</v>
      </c>
      <c r="C411">
        <v>216.47365550000001</v>
      </c>
      <c r="D411">
        <v>-156.95096975000001</v>
      </c>
      <c r="E411">
        <v>76.197099750000007</v>
      </c>
      <c r="F411">
        <v>4.4353872499999998</v>
      </c>
      <c r="G411">
        <v>282.86505125000002</v>
      </c>
      <c r="H411">
        <v>24</v>
      </c>
      <c r="I411">
        <v>28</v>
      </c>
      <c r="J411">
        <v>1.18</v>
      </c>
      <c r="K411">
        <v>21.723578</v>
      </c>
      <c r="L411">
        <v>-1.5941628784003601</v>
      </c>
      <c r="M411">
        <v>1.6407780444633739</v>
      </c>
      <c r="N411">
        <v>-0.90313080364038534</v>
      </c>
      <c r="O411">
        <v>-0.68641256838076292</v>
      </c>
    </row>
    <row r="412" spans="1:15" x14ac:dyDescent="0.25">
      <c r="A412">
        <v>-202.74315250000001</v>
      </c>
      <c r="B412">
        <v>210.22909949999999</v>
      </c>
      <c r="C412">
        <v>231.42623900000001</v>
      </c>
      <c r="D412">
        <v>-213.33269125000001</v>
      </c>
      <c r="E412">
        <v>36.57818975</v>
      </c>
      <c r="F412">
        <v>4.7278292500000001</v>
      </c>
      <c r="G412">
        <v>297.47254974999998</v>
      </c>
      <c r="H412">
        <v>24</v>
      </c>
      <c r="I412">
        <v>32</v>
      </c>
      <c r="J412">
        <v>1.18</v>
      </c>
      <c r="K412">
        <v>22.275026</v>
      </c>
      <c r="L412">
        <v>-1.7749169821453341</v>
      </c>
      <c r="M412">
        <v>1.731556250182388</v>
      </c>
      <c r="N412">
        <v>-1.0665737324548299</v>
      </c>
      <c r="O412">
        <v>-0.86979395357152944</v>
      </c>
    </row>
    <row r="413" spans="1:15" x14ac:dyDescent="0.25">
      <c r="A413">
        <v>-256.48067874999998</v>
      </c>
      <c r="B413">
        <v>197.851719</v>
      </c>
      <c r="C413">
        <v>241.50003824999999</v>
      </c>
      <c r="D413">
        <v>-274.78438575000001</v>
      </c>
      <c r="E413">
        <v>-13.603248499999999</v>
      </c>
      <c r="F413">
        <v>4.8740500000000004</v>
      </c>
      <c r="G413">
        <v>310.83940875000002</v>
      </c>
      <c r="H413">
        <v>24</v>
      </c>
      <c r="I413">
        <v>36</v>
      </c>
      <c r="J413">
        <v>1.18</v>
      </c>
      <c r="K413">
        <v>22.77245825</v>
      </c>
      <c r="L413">
        <v>-1.9758843998299149</v>
      </c>
      <c r="M413">
        <v>1.8753604518432261</v>
      </c>
      <c r="N413">
        <v>-1.28736878985408</v>
      </c>
      <c r="O413">
        <v>-1.073320785845689</v>
      </c>
    </row>
    <row r="414" spans="1:15" x14ac:dyDescent="0.25">
      <c r="A414">
        <v>-304.76786800000002</v>
      </c>
      <c r="B414">
        <v>176.72174425</v>
      </c>
      <c r="C414">
        <v>245.97225175</v>
      </c>
      <c r="D414">
        <v>-331.95283525000002</v>
      </c>
      <c r="E414">
        <v>-71.851913749999994</v>
      </c>
      <c r="F414">
        <v>5.0202710000000002</v>
      </c>
      <c r="G414">
        <v>320.20419299999998</v>
      </c>
      <c r="H414">
        <v>24</v>
      </c>
      <c r="I414">
        <v>40</v>
      </c>
      <c r="J414">
        <v>1.18</v>
      </c>
      <c r="K414">
        <v>23.11298275</v>
      </c>
      <c r="L414">
        <v>-2.2342099071360182</v>
      </c>
      <c r="M414">
        <v>2.0635592188714589</v>
      </c>
      <c r="N414">
        <v>-1.590539282208113</v>
      </c>
      <c r="O414">
        <v>-1.3118578317967879</v>
      </c>
    </row>
    <row r="415" spans="1:15" x14ac:dyDescent="0.25">
      <c r="A415">
        <v>-361.16299450000002</v>
      </c>
      <c r="B415">
        <v>153.15243125000001</v>
      </c>
      <c r="C415">
        <v>243.80389400000001</v>
      </c>
      <c r="D415">
        <v>-392.57410449999998</v>
      </c>
      <c r="E415">
        <v>-141.65219099999999</v>
      </c>
      <c r="F415">
        <v>5.2639722500000001</v>
      </c>
      <c r="G415">
        <v>332.45049275000002</v>
      </c>
      <c r="H415">
        <v>24</v>
      </c>
      <c r="I415">
        <v>44</v>
      </c>
      <c r="J415">
        <v>1.18</v>
      </c>
      <c r="K415">
        <v>23.548948750000001</v>
      </c>
      <c r="L415">
        <v>-2.572001619723427</v>
      </c>
      <c r="M415">
        <v>2.3201597613074951</v>
      </c>
      <c r="N415">
        <v>-2.015675043552275</v>
      </c>
      <c r="O415">
        <v>-1.624627745023665</v>
      </c>
    </row>
    <row r="416" spans="1:15" x14ac:dyDescent="0.25">
      <c r="A416">
        <v>237.56525049999999</v>
      </c>
      <c r="B416">
        <v>156.85618199999999</v>
      </c>
      <c r="C416">
        <v>-373.37015524999998</v>
      </c>
      <c r="D416">
        <v>-391.48143775</v>
      </c>
      <c r="E416">
        <v>-100.9316445</v>
      </c>
      <c r="F416">
        <v>5.0202707499999999</v>
      </c>
      <c r="G416">
        <v>324.08620450000001</v>
      </c>
      <c r="H416">
        <v>28</v>
      </c>
      <c r="I416">
        <v>-44</v>
      </c>
      <c r="J416">
        <v>1.18</v>
      </c>
      <c r="K416">
        <v>23.25483075</v>
      </c>
      <c r="L416">
        <v>2.170365795259491</v>
      </c>
      <c r="M416">
        <v>1.9479718313269889</v>
      </c>
      <c r="N416">
        <v>-1.509931057989953</v>
      </c>
      <c r="O416">
        <v>-1.376417444852978</v>
      </c>
    </row>
    <row r="417" spans="1:15" x14ac:dyDescent="0.25">
      <c r="A417">
        <v>224.12719724999999</v>
      </c>
      <c r="B417">
        <v>171.671177</v>
      </c>
      <c r="C417">
        <v>-306.28443149999998</v>
      </c>
      <c r="D417">
        <v>-323.86708824999999</v>
      </c>
      <c r="E417">
        <v>-46.072643499999998</v>
      </c>
      <c r="F417">
        <v>4.6303487499999996</v>
      </c>
      <c r="G417">
        <v>298.87326825000002</v>
      </c>
      <c r="H417">
        <v>28</v>
      </c>
      <c r="I417">
        <v>-40</v>
      </c>
      <c r="J417">
        <v>1.18</v>
      </c>
      <c r="K417">
        <v>22.331947499999998</v>
      </c>
      <c r="L417">
        <v>1.9717751437564861</v>
      </c>
      <c r="M417">
        <v>1.8421414633072231</v>
      </c>
      <c r="N417">
        <v>-1.2823357239183819</v>
      </c>
      <c r="O417">
        <v>-1.1884965895245181</v>
      </c>
    </row>
    <row r="418" spans="1:15" x14ac:dyDescent="0.25">
      <c r="A418">
        <v>208.79272850000001</v>
      </c>
      <c r="B418">
        <v>180.95459374999999</v>
      </c>
      <c r="C418">
        <v>-250.92855825000001</v>
      </c>
      <c r="D418">
        <v>-262.24056250000001</v>
      </c>
      <c r="E418">
        <v>-2.8544529999999999</v>
      </c>
      <c r="F418">
        <v>3.9967239999999999</v>
      </c>
      <c r="G418">
        <v>276.82196825</v>
      </c>
      <c r="H418">
        <v>28</v>
      </c>
      <c r="I418">
        <v>-36</v>
      </c>
      <c r="J418">
        <v>1.18</v>
      </c>
      <c r="K418">
        <v>21.503824250000001</v>
      </c>
      <c r="L418">
        <v>1.811844913298486</v>
      </c>
      <c r="M418">
        <v>1.746708929619003</v>
      </c>
      <c r="N418">
        <v>-1.102250851632496</v>
      </c>
      <c r="O418">
        <v>-1.026994754449309</v>
      </c>
    </row>
    <row r="419" spans="1:15" x14ac:dyDescent="0.25">
      <c r="A419">
        <v>201.46607599999999</v>
      </c>
      <c r="B419">
        <v>194.13416674999999</v>
      </c>
      <c r="C419">
        <v>-210.0545425</v>
      </c>
      <c r="D419">
        <v>-218.09671424999999</v>
      </c>
      <c r="E419">
        <v>31.340272500000001</v>
      </c>
      <c r="F419">
        <v>3.8992434999999999</v>
      </c>
      <c r="G419">
        <v>269.45819075000003</v>
      </c>
      <c r="H419">
        <v>28</v>
      </c>
      <c r="I419">
        <v>-32</v>
      </c>
      <c r="J419">
        <v>1.18</v>
      </c>
      <c r="K419">
        <v>21.2155275</v>
      </c>
      <c r="L419">
        <v>1.6768339307040261</v>
      </c>
      <c r="M419">
        <v>1.6797297808060849</v>
      </c>
      <c r="N419">
        <v>-0.97027109650284349</v>
      </c>
      <c r="O419">
        <v>-0.88819386134726575</v>
      </c>
    </row>
    <row r="420" spans="1:15" x14ac:dyDescent="0.25">
      <c r="A420">
        <v>210.46304724999999</v>
      </c>
      <c r="B420">
        <v>225.88057699999999</v>
      </c>
      <c r="C420">
        <v>-179.0606655</v>
      </c>
      <c r="D420">
        <v>-190.60517100000001</v>
      </c>
      <c r="E420">
        <v>67.330030250000007</v>
      </c>
      <c r="F420">
        <v>4.3863297499999998</v>
      </c>
      <c r="G420">
        <v>287.74756600000001</v>
      </c>
      <c r="H420">
        <v>28</v>
      </c>
      <c r="I420">
        <v>-28</v>
      </c>
      <c r="J420">
        <v>1.18</v>
      </c>
      <c r="K420">
        <v>21.915120250000001</v>
      </c>
      <c r="L420">
        <v>1.5447325170047219</v>
      </c>
      <c r="M420">
        <v>1.6516562159177151</v>
      </c>
      <c r="N420">
        <v>-0.87410967396830896</v>
      </c>
      <c r="O420">
        <v>-0.75038715908648213</v>
      </c>
    </row>
    <row r="421" spans="1:15" x14ac:dyDescent="0.25">
      <c r="A421">
        <v>211.06370175000001</v>
      </c>
      <c r="B421">
        <v>253.20173274999999</v>
      </c>
      <c r="C421">
        <v>-139.13406749999999</v>
      </c>
      <c r="D421">
        <v>-161.7587125</v>
      </c>
      <c r="E421">
        <v>99.481693500000006</v>
      </c>
      <c r="F421">
        <v>4.6297015000000004</v>
      </c>
      <c r="G421">
        <v>301.39456174999998</v>
      </c>
      <c r="H421">
        <v>28</v>
      </c>
      <c r="I421">
        <v>-24</v>
      </c>
      <c r="J421">
        <v>1.18</v>
      </c>
      <c r="K421">
        <v>22.427456750000001</v>
      </c>
      <c r="L421">
        <v>1.401174460776482</v>
      </c>
      <c r="M421">
        <v>1.6603103035286639</v>
      </c>
      <c r="N421">
        <v>-0.80787217956438195</v>
      </c>
      <c r="O421">
        <v>-0.62047017060280152</v>
      </c>
    </row>
    <row r="422" spans="1:15" x14ac:dyDescent="0.25">
      <c r="A422">
        <v>208.70241899999999</v>
      </c>
      <c r="B422">
        <v>278.02165975000003</v>
      </c>
      <c r="C422">
        <v>-97.087063000000001</v>
      </c>
      <c r="D422">
        <v>-139.46826949999999</v>
      </c>
      <c r="E422">
        <v>130.35977550000001</v>
      </c>
      <c r="F422">
        <v>4.9708145000000004</v>
      </c>
      <c r="G422">
        <v>313.96100625000003</v>
      </c>
      <c r="H422">
        <v>28</v>
      </c>
      <c r="I422">
        <v>-20</v>
      </c>
      <c r="J422">
        <v>1.18</v>
      </c>
      <c r="K422">
        <v>22.884751250000001</v>
      </c>
      <c r="L422">
        <v>1.229856340157315</v>
      </c>
      <c r="M422">
        <v>1.6791136514048419</v>
      </c>
      <c r="N422">
        <v>-0.73843359128746033</v>
      </c>
      <c r="O422">
        <v>-0.49569183835955949</v>
      </c>
    </row>
    <row r="423" spans="1:15" x14ac:dyDescent="0.25">
      <c r="A423">
        <v>199.98949450000001</v>
      </c>
      <c r="B423">
        <v>299.90742499999999</v>
      </c>
      <c r="C423">
        <v>-57.746951000000003</v>
      </c>
      <c r="D423">
        <v>-126.57477</v>
      </c>
      <c r="E423">
        <v>158.389805</v>
      </c>
      <c r="F423">
        <v>5.1657757499999999</v>
      </c>
      <c r="G423">
        <v>326.60749824999999</v>
      </c>
      <c r="H423">
        <v>28</v>
      </c>
      <c r="I423">
        <v>-16</v>
      </c>
      <c r="J423">
        <v>1.18</v>
      </c>
      <c r="K423">
        <v>23.34130025</v>
      </c>
      <c r="L423">
        <v>1.0286738619844731</v>
      </c>
      <c r="M423">
        <v>1.7021875196688201</v>
      </c>
      <c r="N423">
        <v>-0.67139814881329174</v>
      </c>
      <c r="O423">
        <v>-0.38844811796542478</v>
      </c>
    </row>
    <row r="424" spans="1:15" x14ac:dyDescent="0.25">
      <c r="A424">
        <v>182.642124</v>
      </c>
      <c r="B424">
        <v>317.22367850000001</v>
      </c>
      <c r="C424">
        <v>-20.3016635</v>
      </c>
      <c r="D424">
        <v>-121.81073575000001</v>
      </c>
      <c r="E424">
        <v>179.17763149999999</v>
      </c>
      <c r="F424">
        <v>5.2632287499999997</v>
      </c>
      <c r="G424">
        <v>336.13238525000003</v>
      </c>
      <c r="H424">
        <v>28</v>
      </c>
      <c r="I424">
        <v>-12</v>
      </c>
      <c r="J424">
        <v>1.18</v>
      </c>
      <c r="K424">
        <v>23.681106499999999</v>
      </c>
      <c r="L424">
        <v>0.81101159244823662</v>
      </c>
      <c r="M424">
        <v>1.754496502668792</v>
      </c>
      <c r="N424">
        <v>-0.62723007299704725</v>
      </c>
      <c r="O424">
        <v>-0.30498787199152461</v>
      </c>
    </row>
    <row r="425" spans="1:15" x14ac:dyDescent="0.25">
      <c r="A425">
        <v>151.76532725000001</v>
      </c>
      <c r="B425">
        <v>311.88450625000002</v>
      </c>
      <c r="C425">
        <v>14.451896250000001</v>
      </c>
      <c r="D425">
        <v>-110.88404675</v>
      </c>
      <c r="E425">
        <v>184.45281224999999</v>
      </c>
      <c r="F425">
        <v>5.1650324999999997</v>
      </c>
      <c r="G425">
        <v>324.52642049999997</v>
      </c>
      <c r="H425">
        <v>28</v>
      </c>
      <c r="I425">
        <v>-8</v>
      </c>
      <c r="J425">
        <v>1.18</v>
      </c>
      <c r="K425">
        <v>23.265611499999999</v>
      </c>
      <c r="L425">
        <v>0.59020100912740925</v>
      </c>
      <c r="M425">
        <v>1.8171021140730741</v>
      </c>
      <c r="N425">
        <v>-0.60210282704919926</v>
      </c>
      <c r="O425">
        <v>-0.22946438888791179</v>
      </c>
    </row>
    <row r="426" spans="1:15" x14ac:dyDescent="0.25">
      <c r="A426">
        <v>114.53127875</v>
      </c>
      <c r="B426">
        <v>289.277199</v>
      </c>
      <c r="C426">
        <v>45.342789499999988</v>
      </c>
      <c r="D426">
        <v>-95.499262000000002</v>
      </c>
      <c r="E426">
        <v>175.4671175</v>
      </c>
      <c r="F426">
        <v>4.6777670000000002</v>
      </c>
      <c r="G426">
        <v>299.11339575</v>
      </c>
      <c r="H426">
        <v>28</v>
      </c>
      <c r="I426">
        <v>-4</v>
      </c>
      <c r="J426">
        <v>1.18</v>
      </c>
      <c r="K426">
        <v>22.339236249999999</v>
      </c>
      <c r="L426">
        <v>0.34501768474315708</v>
      </c>
      <c r="M426">
        <v>1.918683765105706</v>
      </c>
      <c r="N426">
        <v>-0.61659161755910552</v>
      </c>
      <c r="O426">
        <v>-0.14838167936546581</v>
      </c>
    </row>
    <row r="427" spans="1:15" x14ac:dyDescent="0.25">
      <c r="A427">
        <v>77.502708750000011</v>
      </c>
      <c r="B427">
        <v>268.93064125000001</v>
      </c>
      <c r="C427">
        <v>72.485225749999998</v>
      </c>
      <c r="D427">
        <v>-85.097059250000001</v>
      </c>
      <c r="E427">
        <v>164.06734449999999</v>
      </c>
      <c r="F427">
        <v>4.2879550000000002</v>
      </c>
      <c r="G427">
        <v>278.302727</v>
      </c>
      <c r="H427">
        <v>28</v>
      </c>
      <c r="I427">
        <v>0</v>
      </c>
      <c r="J427">
        <v>1.18</v>
      </c>
      <c r="K427">
        <v>21.550661250000001</v>
      </c>
      <c r="L427">
        <v>2.943914896198379E-2</v>
      </c>
      <c r="M427">
        <v>2.077960104354668</v>
      </c>
      <c r="N427">
        <v>-0.67050596873109225</v>
      </c>
      <c r="O427">
        <v>-6.2169818001163307E-2</v>
      </c>
    </row>
    <row r="428" spans="1:15" x14ac:dyDescent="0.25">
      <c r="A428">
        <v>44.148272499999997</v>
      </c>
      <c r="B428">
        <v>258.78141775</v>
      </c>
      <c r="C428">
        <v>95.517906249999996</v>
      </c>
      <c r="D428">
        <v>-84.791112999999996</v>
      </c>
      <c r="E428">
        <v>154.99222975000001</v>
      </c>
      <c r="F428">
        <v>4.0933377499999999</v>
      </c>
      <c r="G428">
        <v>267.97742449999998</v>
      </c>
      <c r="H428">
        <v>28</v>
      </c>
      <c r="I428">
        <v>4</v>
      </c>
      <c r="J428">
        <v>1.18</v>
      </c>
      <c r="K428">
        <v>21.148524250000001</v>
      </c>
      <c r="L428">
        <v>-0.29301977068642637</v>
      </c>
      <c r="M428">
        <v>1.9597708763584469</v>
      </c>
      <c r="N428">
        <v>-0.64452240174557174</v>
      </c>
      <c r="O428">
        <v>-0.13924867962242879</v>
      </c>
    </row>
    <row r="429" spans="1:15" x14ac:dyDescent="0.25">
      <c r="A429">
        <v>13.541521749999999</v>
      </c>
      <c r="B429">
        <v>273.78880325</v>
      </c>
      <c r="C429">
        <v>125.64104450000001</v>
      </c>
      <c r="D429">
        <v>-96.023750500000006</v>
      </c>
      <c r="E429">
        <v>158.34510025</v>
      </c>
      <c r="F429">
        <v>4.385408</v>
      </c>
      <c r="G429">
        <v>284.94613674999999</v>
      </c>
      <c r="H429">
        <v>28</v>
      </c>
      <c r="I429">
        <v>8</v>
      </c>
      <c r="J429">
        <v>1.18</v>
      </c>
      <c r="K429">
        <v>21.80656025</v>
      </c>
      <c r="L429">
        <v>-0.56164073933318948</v>
      </c>
      <c r="M429">
        <v>1.852911423134419</v>
      </c>
      <c r="N429">
        <v>-0.6343327883085419</v>
      </c>
      <c r="O429">
        <v>-0.22859757429656549</v>
      </c>
    </row>
    <row r="430" spans="1:15" x14ac:dyDescent="0.25">
      <c r="A430">
        <v>-26.669572250000002</v>
      </c>
      <c r="B430">
        <v>284.32283775000002</v>
      </c>
      <c r="C430">
        <v>154.77061075</v>
      </c>
      <c r="D430">
        <v>-109.66025725</v>
      </c>
      <c r="E430">
        <v>154.18754200000001</v>
      </c>
      <c r="F430">
        <v>4.6290405000000003</v>
      </c>
      <c r="G430">
        <v>299.23345949999998</v>
      </c>
      <c r="H430">
        <v>28</v>
      </c>
      <c r="I430">
        <v>12</v>
      </c>
      <c r="J430">
        <v>1.18</v>
      </c>
      <c r="K430">
        <v>22.345674750000001</v>
      </c>
      <c r="L430">
        <v>-0.81600886373042592</v>
      </c>
      <c r="M430">
        <v>1.7719129365883339</v>
      </c>
      <c r="N430">
        <v>-0.65235673280626205</v>
      </c>
      <c r="O430">
        <v>-0.32738433258947403</v>
      </c>
    </row>
    <row r="431" spans="1:15" x14ac:dyDescent="0.25">
      <c r="A431">
        <v>-68.2011605</v>
      </c>
      <c r="B431">
        <v>291.05692299999998</v>
      </c>
      <c r="C431">
        <v>180.82915850000001</v>
      </c>
      <c r="D431">
        <v>-123.471592</v>
      </c>
      <c r="E431">
        <v>143.99479700000001</v>
      </c>
      <c r="F431">
        <v>5.0188525000000004</v>
      </c>
      <c r="G431">
        <v>312.68035125</v>
      </c>
      <c r="H431">
        <v>28</v>
      </c>
      <c r="I431">
        <v>16</v>
      </c>
      <c r="J431">
        <v>1.18</v>
      </c>
      <c r="K431">
        <v>22.835491999999999</v>
      </c>
      <c r="L431">
        <v>-1.038370611376648</v>
      </c>
      <c r="M431">
        <v>1.728437648951</v>
      </c>
      <c r="N431">
        <v>-0.7033845317686126</v>
      </c>
      <c r="O431">
        <v>-0.42053462866180108</v>
      </c>
    </row>
    <row r="432" spans="1:15" x14ac:dyDescent="0.25">
      <c r="A432">
        <v>-116.98704549999999</v>
      </c>
      <c r="B432">
        <v>291.53792549999997</v>
      </c>
      <c r="C432">
        <v>201.51341600000001</v>
      </c>
      <c r="D432">
        <v>-148.03478999999999</v>
      </c>
      <c r="E432">
        <v>121.284668</v>
      </c>
      <c r="F432">
        <v>5.2624857499999997</v>
      </c>
      <c r="G432">
        <v>323.44587749999999</v>
      </c>
      <c r="H432">
        <v>28</v>
      </c>
      <c r="I432">
        <v>20</v>
      </c>
      <c r="J432">
        <v>1.18</v>
      </c>
      <c r="K432">
        <v>23.222693</v>
      </c>
      <c r="L432">
        <v>-1.2549195135055939</v>
      </c>
      <c r="M432">
        <v>1.7320330711707701</v>
      </c>
      <c r="N432">
        <v>-0.79657246314643748</v>
      </c>
      <c r="O432">
        <v>-0.54284805481428022</v>
      </c>
    </row>
    <row r="433" spans="1:15" x14ac:dyDescent="0.25">
      <c r="A433">
        <v>-169.86101149999999</v>
      </c>
      <c r="B433">
        <v>287.11265550000002</v>
      </c>
      <c r="C433">
        <v>220.02988825</v>
      </c>
      <c r="D433">
        <v>-186.54044350000001</v>
      </c>
      <c r="E433">
        <v>93.299341249999998</v>
      </c>
      <c r="F433">
        <v>5.3112120000000003</v>
      </c>
      <c r="G433">
        <v>333.61109149999999</v>
      </c>
      <c r="H433">
        <v>28</v>
      </c>
      <c r="I433">
        <v>24</v>
      </c>
      <c r="J433">
        <v>1.18</v>
      </c>
      <c r="K433">
        <v>23.588989250000001</v>
      </c>
      <c r="L433">
        <v>-1.4360588433216981</v>
      </c>
      <c r="M433">
        <v>1.7445970669071049</v>
      </c>
      <c r="N433">
        <v>-0.88515612898536367</v>
      </c>
      <c r="O433">
        <v>-0.67591144908443046</v>
      </c>
    </row>
    <row r="434" spans="1:15" x14ac:dyDescent="0.25">
      <c r="A434">
        <v>-217.23081575</v>
      </c>
      <c r="B434">
        <v>266.3998565</v>
      </c>
      <c r="C434">
        <v>227.39131549999999</v>
      </c>
      <c r="D434">
        <v>-226.31359474999999</v>
      </c>
      <c r="E434">
        <v>54.093062500000002</v>
      </c>
      <c r="F434">
        <v>5.3599387500000004</v>
      </c>
      <c r="G434">
        <v>331.08979025000002</v>
      </c>
      <c r="H434">
        <v>28</v>
      </c>
      <c r="I434">
        <v>28</v>
      </c>
      <c r="J434">
        <v>1.18</v>
      </c>
      <c r="K434">
        <v>23.4964455</v>
      </c>
      <c r="L434">
        <v>-1.611739270983529</v>
      </c>
      <c r="M434">
        <v>1.7860701540386279</v>
      </c>
      <c r="N434">
        <v>-1.004101338667936</v>
      </c>
      <c r="O434">
        <v>-0.82334117308830479</v>
      </c>
    </row>
    <row r="435" spans="1:15" x14ac:dyDescent="0.25">
      <c r="A435">
        <v>-239.57526799999999</v>
      </c>
      <c r="B435">
        <v>223.60306550000001</v>
      </c>
      <c r="C435">
        <v>209.14581674999999</v>
      </c>
      <c r="D435">
        <v>-249.08481599999999</v>
      </c>
      <c r="E435">
        <v>7.3763432499999997</v>
      </c>
      <c r="F435">
        <v>4.5315874999999997</v>
      </c>
      <c r="G435">
        <v>301.11442575000001</v>
      </c>
      <c r="H435">
        <v>28</v>
      </c>
      <c r="I435">
        <v>32</v>
      </c>
      <c r="J435">
        <v>1.18</v>
      </c>
      <c r="K435">
        <v>22.420563749999999</v>
      </c>
      <c r="L435">
        <v>-1.7827263541975571</v>
      </c>
      <c r="M435">
        <v>1.877952443594495</v>
      </c>
      <c r="N435">
        <v>-1.16700777086943</v>
      </c>
      <c r="O435">
        <v>-0.9887045499832593</v>
      </c>
    </row>
    <row r="436" spans="1:15" x14ac:dyDescent="0.25">
      <c r="A436">
        <v>-262.73098750000003</v>
      </c>
      <c r="B436">
        <v>189.569378</v>
      </c>
      <c r="C436">
        <v>195.64233775</v>
      </c>
      <c r="D436">
        <v>-272.33681474999997</v>
      </c>
      <c r="E436">
        <v>-35.466830250000001</v>
      </c>
      <c r="F436">
        <v>4.1905017500000001</v>
      </c>
      <c r="G436">
        <v>281.46433999999999</v>
      </c>
      <c r="H436">
        <v>28</v>
      </c>
      <c r="I436">
        <v>36</v>
      </c>
      <c r="J436">
        <v>1.18</v>
      </c>
      <c r="K436">
        <v>21.678450000000002</v>
      </c>
      <c r="L436">
        <v>-1.975184568455882</v>
      </c>
      <c r="M436">
        <v>1.990418882283771</v>
      </c>
      <c r="N436">
        <v>-1.365707251972555</v>
      </c>
      <c r="O436">
        <v>-1.170888811552623</v>
      </c>
    </row>
    <row r="437" spans="1:15" x14ac:dyDescent="0.25">
      <c r="A437">
        <v>-279.39104500000002</v>
      </c>
      <c r="B437">
        <v>156.96330649999999</v>
      </c>
      <c r="C437">
        <v>179.60978324999999</v>
      </c>
      <c r="D437">
        <v>-292.35449975</v>
      </c>
      <c r="E437">
        <v>-78.874664249999995</v>
      </c>
      <c r="F437">
        <v>3.898142</v>
      </c>
      <c r="G437">
        <v>264.175476</v>
      </c>
      <c r="H437">
        <v>28</v>
      </c>
      <c r="I437">
        <v>40</v>
      </c>
      <c r="J437">
        <v>1.18</v>
      </c>
      <c r="K437">
        <v>21.00352075</v>
      </c>
      <c r="L437">
        <v>-2.2174445717230822</v>
      </c>
      <c r="M437">
        <v>2.1706828587434428</v>
      </c>
      <c r="N437">
        <v>-1.657307890451563</v>
      </c>
      <c r="O437">
        <v>-1.39989765542053</v>
      </c>
    </row>
    <row r="438" spans="1:15" x14ac:dyDescent="0.25">
      <c r="A438">
        <v>-328.14141074999998</v>
      </c>
      <c r="B438">
        <v>143.71668224999999</v>
      </c>
      <c r="C438">
        <v>183.764702</v>
      </c>
      <c r="D438">
        <v>-349.34812149999999</v>
      </c>
      <c r="E438">
        <v>-133.56941599999999</v>
      </c>
      <c r="F438">
        <v>4.0443222499999996</v>
      </c>
      <c r="G438">
        <v>281.02412425</v>
      </c>
      <c r="H438">
        <v>28</v>
      </c>
      <c r="I438">
        <v>44</v>
      </c>
      <c r="J438">
        <v>1.18</v>
      </c>
      <c r="K438">
        <v>21.6669445</v>
      </c>
      <c r="L438">
        <v>-2.495026370739915</v>
      </c>
      <c r="M438">
        <v>2.403204594709881</v>
      </c>
      <c r="N438">
        <v>-2.0207715669714781</v>
      </c>
      <c r="O438">
        <v>-1.670770200735973</v>
      </c>
    </row>
    <row r="439" spans="1:15" x14ac:dyDescent="0.25">
      <c r="A439">
        <v>196.48767475</v>
      </c>
      <c r="B439">
        <v>160.36414725</v>
      </c>
      <c r="C439">
        <v>-370.45862599999998</v>
      </c>
      <c r="D439">
        <v>-387.023346</v>
      </c>
      <c r="E439">
        <v>-121.03334599999999</v>
      </c>
      <c r="F439">
        <v>4.4828609999999998</v>
      </c>
      <c r="G439">
        <v>302.87532800000002</v>
      </c>
      <c r="H439">
        <v>32</v>
      </c>
      <c r="I439">
        <v>-44</v>
      </c>
      <c r="J439">
        <v>1.18</v>
      </c>
      <c r="K439">
        <v>22.48886925</v>
      </c>
      <c r="L439">
        <v>2.1999712328573962</v>
      </c>
      <c r="M439">
        <v>2.1241012904111201</v>
      </c>
      <c r="N439">
        <v>-1.6449605348787379</v>
      </c>
      <c r="O439">
        <v>-1.487064373531064</v>
      </c>
    </row>
    <row r="440" spans="1:15" x14ac:dyDescent="0.25">
      <c r="A440">
        <v>210.57087325000001</v>
      </c>
      <c r="B440">
        <v>192.77953725</v>
      </c>
      <c r="C440">
        <v>-352.34569549999998</v>
      </c>
      <c r="D440">
        <v>-364.47064949999998</v>
      </c>
      <c r="E440">
        <v>-81.506790249999995</v>
      </c>
      <c r="F440">
        <v>4.8726729999999998</v>
      </c>
      <c r="G440">
        <v>314.84146125000001</v>
      </c>
      <c r="H440">
        <v>32</v>
      </c>
      <c r="I440">
        <v>-40</v>
      </c>
      <c r="J440">
        <v>1.18</v>
      </c>
      <c r="K440">
        <v>22.9209605</v>
      </c>
      <c r="L440">
        <v>2.0329106304483742</v>
      </c>
      <c r="M440">
        <v>2.0124502945951321</v>
      </c>
      <c r="N440">
        <v>-1.431370385132448</v>
      </c>
      <c r="O440">
        <v>-1.3119482344762321</v>
      </c>
    </row>
    <row r="441" spans="1:15" x14ac:dyDescent="0.25">
      <c r="A441">
        <v>219.2826005</v>
      </c>
      <c r="B441">
        <v>223.34544775000001</v>
      </c>
      <c r="C441">
        <v>-333.98493200000001</v>
      </c>
      <c r="D441">
        <v>-341.13125624999998</v>
      </c>
      <c r="E441">
        <v>-42.560195</v>
      </c>
      <c r="F441">
        <v>5.3599387500000004</v>
      </c>
      <c r="G441">
        <v>326.36737049999999</v>
      </c>
      <c r="H441">
        <v>32</v>
      </c>
      <c r="I441">
        <v>-36</v>
      </c>
      <c r="J441">
        <v>1.18</v>
      </c>
      <c r="K441">
        <v>23.325525500000001</v>
      </c>
      <c r="L441">
        <v>1.875522056087531</v>
      </c>
      <c r="M441">
        <v>1.913525887658317</v>
      </c>
      <c r="N441">
        <v>-1.250665852891957</v>
      </c>
      <c r="O441">
        <v>-1.1624610538861</v>
      </c>
    </row>
    <row r="442" spans="1:15" x14ac:dyDescent="0.25">
      <c r="A442">
        <v>223.93185825</v>
      </c>
      <c r="B442">
        <v>253.30282199999999</v>
      </c>
      <c r="C442">
        <v>-307.68299100000002</v>
      </c>
      <c r="D442">
        <v>-309.92462925000001</v>
      </c>
      <c r="E442">
        <v>-3.5243767500000001</v>
      </c>
      <c r="F442">
        <v>5.4573919999999996</v>
      </c>
      <c r="G442">
        <v>337.69317649999999</v>
      </c>
      <c r="H442">
        <v>32</v>
      </c>
      <c r="I442">
        <v>-32</v>
      </c>
      <c r="J442">
        <v>1.18</v>
      </c>
      <c r="K442">
        <v>23.729967500000001</v>
      </c>
      <c r="L442">
        <v>1.7414106568551799</v>
      </c>
      <c r="M442">
        <v>1.844963544646087</v>
      </c>
      <c r="N442">
        <v>-1.1177381476565831</v>
      </c>
      <c r="O442">
        <v>-1.0294249943992031</v>
      </c>
    </row>
    <row r="443" spans="1:15" x14ac:dyDescent="0.25">
      <c r="A443">
        <v>207.95285075000001</v>
      </c>
      <c r="B443">
        <v>261.84819025000002</v>
      </c>
      <c r="C443">
        <v>-245.25732024999999</v>
      </c>
      <c r="D443">
        <v>-253.89255925000001</v>
      </c>
      <c r="E443">
        <v>31.606448499999999</v>
      </c>
      <c r="F443">
        <v>5.0675790000000003</v>
      </c>
      <c r="G443">
        <v>322.64546975000002</v>
      </c>
      <c r="H443">
        <v>32</v>
      </c>
      <c r="I443">
        <v>-28</v>
      </c>
      <c r="J443">
        <v>1.18</v>
      </c>
      <c r="K443">
        <v>23.200536499999998</v>
      </c>
      <c r="L443">
        <v>1.6117938457529619</v>
      </c>
      <c r="M443">
        <v>1.834206639354405</v>
      </c>
      <c r="N443">
        <v>-1.035078581487576</v>
      </c>
      <c r="O443">
        <v>-0.9055820123664251</v>
      </c>
    </row>
    <row r="444" spans="1:15" x14ac:dyDescent="0.25">
      <c r="A444">
        <v>183.487808</v>
      </c>
      <c r="B444">
        <v>256.12337874999997</v>
      </c>
      <c r="C444">
        <v>-178.12329475000001</v>
      </c>
      <c r="D444">
        <v>-198.99686399999999</v>
      </c>
      <c r="E444">
        <v>57.177705750000001</v>
      </c>
      <c r="F444">
        <v>4.6290405000000003</v>
      </c>
      <c r="G444">
        <v>297.83273300000002</v>
      </c>
      <c r="H444">
        <v>32</v>
      </c>
      <c r="I444">
        <v>-24</v>
      </c>
      <c r="J444">
        <v>1.18</v>
      </c>
      <c r="K444">
        <v>22.2924775</v>
      </c>
      <c r="L444">
        <v>1.471526862096834</v>
      </c>
      <c r="M444">
        <v>1.8520572651764871</v>
      </c>
      <c r="N444">
        <v>-0.97931596064774107</v>
      </c>
      <c r="O444">
        <v>-0.78615755471252746</v>
      </c>
    </row>
    <row r="445" spans="1:15" x14ac:dyDescent="0.25">
      <c r="A445">
        <v>159.74497600000001</v>
      </c>
      <c r="B445">
        <v>250.35060150000001</v>
      </c>
      <c r="C445">
        <v>-125.628252</v>
      </c>
      <c r="D445">
        <v>-164.68706125</v>
      </c>
      <c r="E445">
        <v>73.450321250000002</v>
      </c>
      <c r="F445">
        <v>4.3366815000000001</v>
      </c>
      <c r="G445">
        <v>277.06208800000002</v>
      </c>
      <c r="H445">
        <v>32</v>
      </c>
      <c r="I445">
        <v>-20</v>
      </c>
      <c r="J445">
        <v>1.18</v>
      </c>
      <c r="K445">
        <v>21.499877999999999</v>
      </c>
      <c r="L445">
        <v>1.305418770777893</v>
      </c>
      <c r="M445">
        <v>1.898561736263221</v>
      </c>
      <c r="N445">
        <v>-0.93141912139939897</v>
      </c>
      <c r="O445">
        <v>-0.68384739058275923</v>
      </c>
    </row>
    <row r="446" spans="1:15" x14ac:dyDescent="0.25">
      <c r="A446">
        <v>141.05765525000001</v>
      </c>
      <c r="B446">
        <v>251.95570000000001</v>
      </c>
      <c r="C446">
        <v>-85.340364499999993</v>
      </c>
      <c r="D446">
        <v>-146.4176405</v>
      </c>
      <c r="E446">
        <v>89.320594749999998</v>
      </c>
      <c r="F446">
        <v>3.9955954999999999</v>
      </c>
      <c r="G446">
        <v>270.05849449999999</v>
      </c>
      <c r="H446">
        <v>32</v>
      </c>
      <c r="I446">
        <v>-16</v>
      </c>
      <c r="J446">
        <v>1.18</v>
      </c>
      <c r="K446">
        <v>21.235660500000002</v>
      </c>
      <c r="L446">
        <v>1.103306662015952</v>
      </c>
      <c r="M446">
        <v>1.941402361670572</v>
      </c>
      <c r="N446">
        <v>-0.88080651771706309</v>
      </c>
      <c r="O446">
        <v>-0.58417818233864582</v>
      </c>
    </row>
    <row r="447" spans="1:15" x14ac:dyDescent="0.25">
      <c r="A447">
        <v>130.72095100000001</v>
      </c>
      <c r="B447">
        <v>275.12580850000001</v>
      </c>
      <c r="C447">
        <v>-58.100220749999998</v>
      </c>
      <c r="D447">
        <v>-151.57503525000001</v>
      </c>
      <c r="E447">
        <v>107.649641</v>
      </c>
      <c r="F447">
        <v>4.3366815000000001</v>
      </c>
      <c r="G447">
        <v>287.14726250000001</v>
      </c>
      <c r="H447">
        <v>32</v>
      </c>
      <c r="I447">
        <v>-12</v>
      </c>
      <c r="J447">
        <v>1.18</v>
      </c>
      <c r="K447">
        <v>21.893826499999999</v>
      </c>
      <c r="L447">
        <v>0.88861894680706455</v>
      </c>
      <c r="M447">
        <v>2.0081408863125052</v>
      </c>
      <c r="N447">
        <v>-0.84476630800291153</v>
      </c>
      <c r="O447">
        <v>-0.51379032006801417</v>
      </c>
    </row>
    <row r="448" spans="1:15" x14ac:dyDescent="0.25">
      <c r="A448">
        <v>113.92944325000001</v>
      </c>
      <c r="B448">
        <v>292.08745575</v>
      </c>
      <c r="C448">
        <v>-26.975146250000002</v>
      </c>
      <c r="D448">
        <v>-151.31279749999999</v>
      </c>
      <c r="E448">
        <v>122.044653</v>
      </c>
      <c r="F448">
        <v>4.8239464999999999</v>
      </c>
      <c r="G448">
        <v>300.27400225000002</v>
      </c>
      <c r="H448">
        <v>32</v>
      </c>
      <c r="I448">
        <v>-8</v>
      </c>
      <c r="J448">
        <v>1.18</v>
      </c>
      <c r="K448">
        <v>22.377719750000001</v>
      </c>
      <c r="L448">
        <v>0.66719365761138749</v>
      </c>
      <c r="M448">
        <v>2.0995622864890922</v>
      </c>
      <c r="N448">
        <v>-0.84394679788434479</v>
      </c>
      <c r="O448">
        <v>-0.44495286392665528</v>
      </c>
    </row>
    <row r="449" spans="1:15" x14ac:dyDescent="0.25">
      <c r="A449">
        <v>88.651910749999999</v>
      </c>
      <c r="B449">
        <v>305.123581</v>
      </c>
      <c r="C449">
        <v>8.9878110000000007</v>
      </c>
      <c r="D449">
        <v>-150.43865975</v>
      </c>
      <c r="E449">
        <v>131.745632</v>
      </c>
      <c r="F449">
        <v>5.0675792499999996</v>
      </c>
      <c r="G449">
        <v>312.12007125000002</v>
      </c>
      <c r="H449">
        <v>32</v>
      </c>
      <c r="I449">
        <v>-4</v>
      </c>
      <c r="J449">
        <v>1.18</v>
      </c>
      <c r="K449">
        <v>22.812873</v>
      </c>
      <c r="L449">
        <v>0.39344394953266931</v>
      </c>
      <c r="M449">
        <v>2.250010274410978</v>
      </c>
      <c r="N449">
        <v>-0.89086378630375196</v>
      </c>
      <c r="O449">
        <v>-0.37432960044082109</v>
      </c>
    </row>
    <row r="450" spans="1:15" x14ac:dyDescent="0.25">
      <c r="A450">
        <v>55.520286499999997</v>
      </c>
      <c r="B450">
        <v>317.12743375000002</v>
      </c>
      <c r="C450">
        <v>45.896718999999997</v>
      </c>
      <c r="D450">
        <v>-155.07157549999999</v>
      </c>
      <c r="E450">
        <v>136.48435950000001</v>
      </c>
      <c r="F450">
        <v>5.3599387500000004</v>
      </c>
      <c r="G450">
        <v>323.76603699999998</v>
      </c>
      <c r="H450">
        <v>32</v>
      </c>
      <c r="I450">
        <v>0</v>
      </c>
      <c r="J450">
        <v>1.18</v>
      </c>
      <c r="K450">
        <v>23.23081475</v>
      </c>
      <c r="L450">
        <v>5.036102841101435E-2</v>
      </c>
      <c r="M450">
        <v>2.4713193469399952</v>
      </c>
      <c r="N450">
        <v>-0.98017165901161984</v>
      </c>
      <c r="O450">
        <v>-0.31373500273509952</v>
      </c>
    </row>
    <row r="451" spans="1:15" x14ac:dyDescent="0.25">
      <c r="A451">
        <v>18.010228999999999</v>
      </c>
      <c r="B451">
        <v>326.52986149999998</v>
      </c>
      <c r="C451">
        <v>83.295221499999997</v>
      </c>
      <c r="D451">
        <v>-160.49121475000001</v>
      </c>
      <c r="E451">
        <v>139.56900400000001</v>
      </c>
      <c r="F451">
        <v>5.3599387500000004</v>
      </c>
      <c r="G451">
        <v>333.25090775000001</v>
      </c>
      <c r="H451">
        <v>32</v>
      </c>
      <c r="I451">
        <v>4</v>
      </c>
      <c r="J451">
        <v>1.18</v>
      </c>
      <c r="K451">
        <v>23.5742905</v>
      </c>
      <c r="L451">
        <v>-0.30964954723571958</v>
      </c>
      <c r="M451">
        <v>2.31031955144794</v>
      </c>
      <c r="N451">
        <v>-0.91880915421169829</v>
      </c>
      <c r="O451">
        <v>-0.36337234231772852</v>
      </c>
    </row>
    <row r="452" spans="1:15" x14ac:dyDescent="0.25">
      <c r="A452">
        <v>-24.330133750000002</v>
      </c>
      <c r="B452">
        <v>327.70956425000003</v>
      </c>
      <c r="C452">
        <v>114.0116845</v>
      </c>
      <c r="D452">
        <v>-170.10670099999999</v>
      </c>
      <c r="E452">
        <v>132.50561875</v>
      </c>
      <c r="F452">
        <v>5.6522984999999997</v>
      </c>
      <c r="G452">
        <v>337.01283274999997</v>
      </c>
      <c r="H452">
        <v>32</v>
      </c>
      <c r="I452">
        <v>8</v>
      </c>
      <c r="J452">
        <v>1.18</v>
      </c>
      <c r="K452">
        <v>23.69861525</v>
      </c>
      <c r="L452">
        <v>-0.60220453341492275</v>
      </c>
      <c r="M452">
        <v>2.1670047107828649</v>
      </c>
      <c r="N452">
        <v>-0.89021811914544624</v>
      </c>
      <c r="O452">
        <v>-0.4477954487479926</v>
      </c>
    </row>
    <row r="453" spans="1:15" x14ac:dyDescent="0.25">
      <c r="A453">
        <v>-62.402289250000003</v>
      </c>
      <c r="B453">
        <v>295.91506175000001</v>
      </c>
      <c r="C453">
        <v>126.478933</v>
      </c>
      <c r="D453">
        <v>-162.23948300000001</v>
      </c>
      <c r="E453">
        <v>109.393141</v>
      </c>
      <c r="F453">
        <v>4.8726729999999998</v>
      </c>
      <c r="G453">
        <v>306.91739625000002</v>
      </c>
      <c r="H453">
        <v>32</v>
      </c>
      <c r="I453">
        <v>12</v>
      </c>
      <c r="J453">
        <v>1.18</v>
      </c>
      <c r="K453">
        <v>22.626010749999999</v>
      </c>
      <c r="L453">
        <v>-0.85189623574832496</v>
      </c>
      <c r="M453">
        <v>2.0664349772124662</v>
      </c>
      <c r="N453">
        <v>-0.89089091946895171</v>
      </c>
      <c r="O453">
        <v>-0.52858235121693142</v>
      </c>
    </row>
    <row r="454" spans="1:15" x14ac:dyDescent="0.25">
      <c r="A454">
        <v>-97.816150499999992</v>
      </c>
      <c r="B454">
        <v>267.34328449999998</v>
      </c>
      <c r="C454">
        <v>133.76008225000001</v>
      </c>
      <c r="D454">
        <v>-155.33381650000001</v>
      </c>
      <c r="E454">
        <v>84.224226000000002</v>
      </c>
      <c r="F454">
        <v>4.3366815000000001</v>
      </c>
      <c r="G454">
        <v>283.22524249999998</v>
      </c>
      <c r="H454">
        <v>32</v>
      </c>
      <c r="I454">
        <v>16</v>
      </c>
      <c r="J454">
        <v>1.18</v>
      </c>
      <c r="K454">
        <v>21.741474749999998</v>
      </c>
      <c r="L454">
        <v>-1.098569067093581</v>
      </c>
      <c r="M454">
        <v>2.005119354346272</v>
      </c>
      <c r="N454">
        <v>-0.94403969764377127</v>
      </c>
      <c r="O454">
        <v>-0.62102719493645286</v>
      </c>
    </row>
    <row r="455" spans="1:15" x14ac:dyDescent="0.25">
      <c r="A455">
        <v>-127.91343275</v>
      </c>
      <c r="B455">
        <v>243.7739905</v>
      </c>
      <c r="C455">
        <v>139.99410275</v>
      </c>
      <c r="D455">
        <v>-158.43699649999999</v>
      </c>
      <c r="E455">
        <v>61.871728750000003</v>
      </c>
      <c r="F455">
        <v>3.9955954999999999</v>
      </c>
      <c r="G455">
        <v>266.09645074999997</v>
      </c>
      <c r="H455">
        <v>32</v>
      </c>
      <c r="I455">
        <v>20</v>
      </c>
      <c r="J455">
        <v>1.18</v>
      </c>
      <c r="K455">
        <v>21.076956500000001</v>
      </c>
      <c r="L455">
        <v>-1.3065611742910579</v>
      </c>
      <c r="M455">
        <v>1.961547257934833</v>
      </c>
      <c r="N455">
        <v>-0.9959816635449128</v>
      </c>
      <c r="O455">
        <v>-0.71773240233205227</v>
      </c>
    </row>
    <row r="456" spans="1:15" x14ac:dyDescent="0.25">
      <c r="A456">
        <v>-173.96046050000001</v>
      </c>
      <c r="B456">
        <v>244.59169</v>
      </c>
      <c r="C456">
        <v>156.34707275</v>
      </c>
      <c r="D456">
        <v>-192.92163074999999</v>
      </c>
      <c r="E456">
        <v>39.698053250000001</v>
      </c>
      <c r="F456">
        <v>4.3366815000000001</v>
      </c>
      <c r="G456">
        <v>279.32701874999998</v>
      </c>
      <c r="H456">
        <v>32</v>
      </c>
      <c r="I456">
        <v>24</v>
      </c>
      <c r="J456">
        <v>1.18</v>
      </c>
      <c r="K456">
        <v>21.58899675</v>
      </c>
      <c r="L456">
        <v>-1.4802683876709311</v>
      </c>
      <c r="M456">
        <v>1.960750748360724</v>
      </c>
      <c r="N456">
        <v>-1.073926114352832</v>
      </c>
      <c r="O456">
        <v>-0.84152412484128569</v>
      </c>
    </row>
    <row r="457" spans="1:15" x14ac:dyDescent="0.25">
      <c r="A457">
        <v>-226.58564000000001</v>
      </c>
      <c r="B457">
        <v>243.389183</v>
      </c>
      <c r="C457">
        <v>171.07378775000001</v>
      </c>
      <c r="D457">
        <v>-236.45356375</v>
      </c>
      <c r="E457">
        <v>9.5221827499999989</v>
      </c>
      <c r="F457">
        <v>4.6290405000000003</v>
      </c>
      <c r="G457">
        <v>293.85359175000002</v>
      </c>
      <c r="H457">
        <v>32</v>
      </c>
      <c r="I457">
        <v>28</v>
      </c>
      <c r="J457">
        <v>1.18</v>
      </c>
      <c r="K457">
        <v>22.1406995</v>
      </c>
      <c r="L457">
        <v>-1.6497592800290479</v>
      </c>
      <c r="M457">
        <v>1.990731321868848</v>
      </c>
      <c r="N457">
        <v>-1.1796331026466269</v>
      </c>
      <c r="O457">
        <v>-0.97969957990774581</v>
      </c>
    </row>
    <row r="458" spans="1:15" x14ac:dyDescent="0.25">
      <c r="A458">
        <v>-281.73394000000002</v>
      </c>
      <c r="B458">
        <v>236.41459275</v>
      </c>
      <c r="C458">
        <v>182.41246025000001</v>
      </c>
      <c r="D458">
        <v>-287.54676799999999</v>
      </c>
      <c r="E458">
        <v>-30.024121000000001</v>
      </c>
      <c r="F458">
        <v>4.8239464999999999</v>
      </c>
      <c r="G458">
        <v>307.83786774999999</v>
      </c>
      <c r="H458">
        <v>32</v>
      </c>
      <c r="I458">
        <v>32</v>
      </c>
      <c r="J458">
        <v>1.18</v>
      </c>
      <c r="K458">
        <v>22.662353499999998</v>
      </c>
      <c r="L458">
        <v>-1.822935178689512</v>
      </c>
      <c r="M458">
        <v>2.057859870266384</v>
      </c>
      <c r="N458">
        <v>-1.326957809276083</v>
      </c>
      <c r="O458">
        <v>-1.136874945471811</v>
      </c>
    </row>
    <row r="459" spans="1:15" x14ac:dyDescent="0.25">
      <c r="A459">
        <v>-331.74587250000002</v>
      </c>
      <c r="B459">
        <v>224.67803175</v>
      </c>
      <c r="C459">
        <v>191.58276774999999</v>
      </c>
      <c r="D459">
        <v>-336.45462800000001</v>
      </c>
      <c r="E459">
        <v>-72.985824750000006</v>
      </c>
      <c r="F459">
        <v>5.1163059999999998</v>
      </c>
      <c r="G459">
        <v>319.18815649999999</v>
      </c>
      <c r="H459">
        <v>32</v>
      </c>
      <c r="I459">
        <v>36</v>
      </c>
      <c r="J459">
        <v>1.18</v>
      </c>
      <c r="K459">
        <v>23.07216275</v>
      </c>
      <c r="L459">
        <v>-2.0042884193935602</v>
      </c>
      <c r="M459">
        <v>2.1490814052472711</v>
      </c>
      <c r="N459">
        <v>-1.502048694056457</v>
      </c>
      <c r="O459">
        <v>-1.2991727851245221</v>
      </c>
    </row>
    <row r="460" spans="1:15" x14ac:dyDescent="0.25">
      <c r="A460">
        <v>-379.82043449999998</v>
      </c>
      <c r="B460">
        <v>208.42002500000001</v>
      </c>
      <c r="C460">
        <v>193.34455124999999</v>
      </c>
      <c r="D460">
        <v>-387.50410449999998</v>
      </c>
      <c r="E460">
        <v>-126.56528299999999</v>
      </c>
      <c r="F460">
        <v>5.16503275</v>
      </c>
      <c r="G460">
        <v>329.2106015</v>
      </c>
      <c r="H460">
        <v>32</v>
      </c>
      <c r="I460">
        <v>40</v>
      </c>
      <c r="J460">
        <v>1.18</v>
      </c>
      <c r="K460">
        <v>23.435648749999999</v>
      </c>
      <c r="L460">
        <v>-2.2294121292192171</v>
      </c>
      <c r="M460">
        <v>2.3179584878050679</v>
      </c>
      <c r="N460">
        <v>-1.7728527222373831</v>
      </c>
      <c r="O460">
        <v>-1.512415245926779</v>
      </c>
    </row>
    <row r="461" spans="1:15" x14ac:dyDescent="0.25">
      <c r="A461">
        <v>-432.17524724999998</v>
      </c>
      <c r="B461">
        <v>185.57223124999999</v>
      </c>
      <c r="C461">
        <v>191.08585725</v>
      </c>
      <c r="D461">
        <v>-444.32293700000002</v>
      </c>
      <c r="E461">
        <v>-190.4501875</v>
      </c>
      <c r="F461">
        <v>5.4086654999999997</v>
      </c>
      <c r="G461">
        <v>339.81487299999998</v>
      </c>
      <c r="H461">
        <v>32</v>
      </c>
      <c r="I461">
        <v>44</v>
      </c>
      <c r="J461">
        <v>1.18</v>
      </c>
      <c r="K461">
        <v>23.807350750000001</v>
      </c>
      <c r="L461">
        <v>-2.5152979043863368</v>
      </c>
      <c r="M461">
        <v>2.542070677968598</v>
      </c>
      <c r="N461">
        <v>-2.1400623727529919</v>
      </c>
      <c r="O461">
        <v>-1.7904837288222739</v>
      </c>
    </row>
    <row r="462" spans="1:15" x14ac:dyDescent="0.25">
      <c r="A462">
        <v>165.65811149999999</v>
      </c>
      <c r="B462">
        <v>164.40794775000001</v>
      </c>
      <c r="C462">
        <v>-392.35097524999998</v>
      </c>
      <c r="D462">
        <v>-403.1948395</v>
      </c>
      <c r="E462">
        <v>-154.13572300000001</v>
      </c>
      <c r="F462">
        <v>4.4341344999999999</v>
      </c>
      <c r="G462">
        <v>300.83941650000003</v>
      </c>
      <c r="H462">
        <v>36</v>
      </c>
      <c r="I462">
        <v>-44</v>
      </c>
      <c r="J462">
        <v>1.18</v>
      </c>
      <c r="K462">
        <v>22.413850750000002</v>
      </c>
      <c r="L462">
        <v>2.290334960491883</v>
      </c>
      <c r="M462">
        <v>2.329710499322093</v>
      </c>
      <c r="N462">
        <v>-1.867443975656393</v>
      </c>
      <c r="O462">
        <v>-1.6508331742059621</v>
      </c>
    </row>
    <row r="463" spans="1:15" x14ac:dyDescent="0.25">
      <c r="A463">
        <v>159.83525075</v>
      </c>
      <c r="B463">
        <v>176.38500225000001</v>
      </c>
      <c r="C463">
        <v>-336.1075285</v>
      </c>
      <c r="D463">
        <v>-343.01063525000001</v>
      </c>
      <c r="E463">
        <v>-106.0882075</v>
      </c>
      <c r="F463">
        <v>4.1417752500000002</v>
      </c>
      <c r="G463">
        <v>281.37525149999999</v>
      </c>
      <c r="H463">
        <v>36</v>
      </c>
      <c r="I463">
        <v>-40</v>
      </c>
      <c r="J463">
        <v>1.18</v>
      </c>
      <c r="K463">
        <v>21.67686175</v>
      </c>
      <c r="L463">
        <v>2.1242148979497899</v>
      </c>
      <c r="M463">
        <v>2.2246650987486492</v>
      </c>
      <c r="N463">
        <v>-1.659575847255188</v>
      </c>
      <c r="O463">
        <v>-1.472132745639217</v>
      </c>
    </row>
    <row r="464" spans="1:15" x14ac:dyDescent="0.25">
      <c r="A464">
        <v>152.83879099999999</v>
      </c>
      <c r="B464">
        <v>185.57222375000001</v>
      </c>
      <c r="C464">
        <v>-295.65013875</v>
      </c>
      <c r="D464">
        <v>-296.02587925</v>
      </c>
      <c r="E464">
        <v>-68.033855500000001</v>
      </c>
      <c r="F464">
        <v>3.7519632500000002</v>
      </c>
      <c r="G464">
        <v>265.634567</v>
      </c>
      <c r="H464">
        <v>36</v>
      </c>
      <c r="I464">
        <v>-36</v>
      </c>
      <c r="J464">
        <v>1.18</v>
      </c>
      <c r="K464">
        <v>21.068175750000002</v>
      </c>
      <c r="L464">
        <v>1.968751681535323</v>
      </c>
      <c r="M464">
        <v>2.114115101181246</v>
      </c>
      <c r="N464">
        <v>-1.464744680007974</v>
      </c>
      <c r="O464">
        <v>-1.3151288893119299</v>
      </c>
    </row>
    <row r="465" spans="1:15" x14ac:dyDescent="0.25">
      <c r="A465">
        <v>160.5574685</v>
      </c>
      <c r="B465">
        <v>215.68322000000001</v>
      </c>
      <c r="C465">
        <v>-289.20040899999998</v>
      </c>
      <c r="D465">
        <v>-285.44884500000001</v>
      </c>
      <c r="E465">
        <v>-43.006316249999998</v>
      </c>
      <c r="F465">
        <v>4.2879550000000002</v>
      </c>
      <c r="G465">
        <v>283.67962599999998</v>
      </c>
      <c r="H465">
        <v>36</v>
      </c>
      <c r="I465">
        <v>-32</v>
      </c>
      <c r="J465">
        <v>1.18</v>
      </c>
      <c r="K465">
        <v>21.76107725</v>
      </c>
      <c r="L465">
        <v>1.8409119328994199</v>
      </c>
      <c r="M465">
        <v>2.051198930718372</v>
      </c>
      <c r="N465">
        <v>-1.3372193930986629</v>
      </c>
      <c r="O465">
        <v>-1.193625461459191</v>
      </c>
    </row>
    <row r="466" spans="1:15" x14ac:dyDescent="0.25">
      <c r="A466">
        <v>163.85257725</v>
      </c>
      <c r="B466">
        <v>245.84231199999999</v>
      </c>
      <c r="C466">
        <v>-264.66438299999999</v>
      </c>
      <c r="D466">
        <v>-268.79656199999999</v>
      </c>
      <c r="E466">
        <v>-14.36518075</v>
      </c>
      <c r="F466">
        <v>4.5315874999999997</v>
      </c>
      <c r="G466">
        <v>299.64410400000003</v>
      </c>
      <c r="H466">
        <v>36</v>
      </c>
      <c r="I466">
        <v>-28</v>
      </c>
      <c r="J466">
        <v>1.18</v>
      </c>
      <c r="K466">
        <v>22.364932</v>
      </c>
      <c r="L466">
        <v>1.697997135904961</v>
      </c>
      <c r="M466">
        <v>2.039262291996724</v>
      </c>
      <c r="N466">
        <v>-1.244269201744663</v>
      </c>
      <c r="O466">
        <v>-1.0748790193933151</v>
      </c>
    </row>
    <row r="467" spans="1:15" x14ac:dyDescent="0.25">
      <c r="A467">
        <v>160.46719350000001</v>
      </c>
      <c r="B467">
        <v>272.15335075000002</v>
      </c>
      <c r="C467">
        <v>-232.59614925</v>
      </c>
      <c r="D467">
        <v>-254.54816450000001</v>
      </c>
      <c r="E467">
        <v>8.8963129999999992</v>
      </c>
      <c r="F467">
        <v>4.7264935000000001</v>
      </c>
      <c r="G467">
        <v>311.72750074999999</v>
      </c>
      <c r="H467">
        <v>36</v>
      </c>
      <c r="I467">
        <v>-24</v>
      </c>
      <c r="J467">
        <v>1.18</v>
      </c>
      <c r="K467">
        <v>22.810968750000001</v>
      </c>
      <c r="L467">
        <v>1.556890746760601</v>
      </c>
      <c r="M467">
        <v>2.0862128792752488</v>
      </c>
      <c r="N467">
        <v>-1.1994914849144991</v>
      </c>
      <c r="O467">
        <v>-0.98348949988736367</v>
      </c>
    </row>
    <row r="468" spans="1:15" x14ac:dyDescent="0.25">
      <c r="A468">
        <v>153.515873</v>
      </c>
      <c r="B468">
        <v>294.47204575000001</v>
      </c>
      <c r="C468">
        <v>-196.69416425</v>
      </c>
      <c r="D468">
        <v>-244.27706925000001</v>
      </c>
      <c r="E468">
        <v>31.834135249999999</v>
      </c>
      <c r="F468">
        <v>5.1163057500000004</v>
      </c>
      <c r="G468">
        <v>322.78934500000003</v>
      </c>
      <c r="H468">
        <v>36</v>
      </c>
      <c r="I468">
        <v>-20</v>
      </c>
      <c r="J468">
        <v>1.18</v>
      </c>
      <c r="K468">
        <v>23.204063999999999</v>
      </c>
      <c r="L468">
        <v>1.387974334217895</v>
      </c>
      <c r="M468">
        <v>2.1351717235698349</v>
      </c>
      <c r="N468">
        <v>-1.153123434454455</v>
      </c>
      <c r="O468">
        <v>-0.89410747177018479</v>
      </c>
    </row>
    <row r="469" spans="1:15" x14ac:dyDescent="0.25">
      <c r="A469">
        <v>141.68959774999999</v>
      </c>
      <c r="B469">
        <v>315.10720824999999</v>
      </c>
      <c r="C469">
        <v>-160.25094974999999</v>
      </c>
      <c r="D469">
        <v>-237.63364025000001</v>
      </c>
      <c r="E469">
        <v>50.884287999999998</v>
      </c>
      <c r="F469">
        <v>5.2137589999999996</v>
      </c>
      <c r="G469">
        <v>334.23200200000002</v>
      </c>
      <c r="H469">
        <v>36</v>
      </c>
      <c r="I469">
        <v>-16</v>
      </c>
      <c r="J469">
        <v>1.18</v>
      </c>
      <c r="K469">
        <v>23.614768999999999</v>
      </c>
      <c r="L469">
        <v>1.208608338155619</v>
      </c>
      <c r="M469">
        <v>2.2125090739244961</v>
      </c>
      <c r="N469">
        <v>-1.134198826806375</v>
      </c>
      <c r="O469">
        <v>-0.81718573969609676</v>
      </c>
    </row>
    <row r="470" spans="1:15" x14ac:dyDescent="0.25">
      <c r="A470">
        <v>119.7071705</v>
      </c>
      <c r="B470">
        <v>323.957718</v>
      </c>
      <c r="C470">
        <v>-120.5603045</v>
      </c>
      <c r="D470">
        <v>-231.95176699999999</v>
      </c>
      <c r="E470">
        <v>65.045784749999996</v>
      </c>
      <c r="F470">
        <v>5.5061184999999986</v>
      </c>
      <c r="G470">
        <v>336.29439550000001</v>
      </c>
      <c r="H470">
        <v>36</v>
      </c>
      <c r="I470">
        <v>-12</v>
      </c>
      <c r="J470">
        <v>1.18</v>
      </c>
      <c r="K470">
        <v>23.678145749999999</v>
      </c>
      <c r="L470">
        <v>0.99574545246156276</v>
      </c>
      <c r="M470">
        <v>2.3038369667441021</v>
      </c>
      <c r="N470">
        <v>-1.1241643346831229</v>
      </c>
      <c r="O470">
        <v>-0.75328730455899007</v>
      </c>
    </row>
    <row r="471" spans="1:15" x14ac:dyDescent="0.25">
      <c r="A471">
        <v>83.190156999999999</v>
      </c>
      <c r="B471">
        <v>299.2339935</v>
      </c>
      <c r="C471">
        <v>-70.139781999999997</v>
      </c>
      <c r="D471">
        <v>-204.63504775000001</v>
      </c>
      <c r="E471">
        <v>69.574489749999998</v>
      </c>
      <c r="F471">
        <v>4.8239464999999999</v>
      </c>
      <c r="G471">
        <v>306.43716449999999</v>
      </c>
      <c r="H471">
        <v>36</v>
      </c>
      <c r="I471">
        <v>-8</v>
      </c>
      <c r="J471">
        <v>1.18</v>
      </c>
      <c r="K471">
        <v>22.609908000000001</v>
      </c>
      <c r="L471">
        <v>0.7408644206205971</v>
      </c>
      <c r="M471">
        <v>2.434601054625011</v>
      </c>
      <c r="N471">
        <v>-1.144487330359228</v>
      </c>
      <c r="O471">
        <v>-0.68713688870051137</v>
      </c>
    </row>
    <row r="472" spans="1:15" x14ac:dyDescent="0.25">
      <c r="A472">
        <v>50.103670000000001</v>
      </c>
      <c r="B472">
        <v>278.65604374999998</v>
      </c>
      <c r="C472">
        <v>-28.685506499999999</v>
      </c>
      <c r="D472">
        <v>-183.91803375000001</v>
      </c>
      <c r="E472">
        <v>67.830648499999995</v>
      </c>
      <c r="F472">
        <v>4.3366815000000001</v>
      </c>
      <c r="G472">
        <v>283.84901424999998</v>
      </c>
      <c r="H472">
        <v>36</v>
      </c>
      <c r="I472">
        <v>-4</v>
      </c>
      <c r="J472">
        <v>1.18</v>
      </c>
      <c r="K472">
        <v>21.7657545</v>
      </c>
      <c r="L472">
        <v>0.4524305990601421</v>
      </c>
      <c r="M472">
        <v>2.6564538529412869</v>
      </c>
      <c r="N472">
        <v>-1.240523704213401</v>
      </c>
      <c r="O472">
        <v>-0.63534450549471477</v>
      </c>
    </row>
    <row r="473" spans="1:15" x14ac:dyDescent="0.25">
      <c r="A473">
        <v>19.3192445</v>
      </c>
      <c r="B473">
        <v>260.18806475000002</v>
      </c>
      <c r="C473">
        <v>5.8725810000000003</v>
      </c>
      <c r="D473">
        <v>-168.88290799999999</v>
      </c>
      <c r="E473">
        <v>63.794044249999999</v>
      </c>
      <c r="F473">
        <v>3.8989384999999999</v>
      </c>
      <c r="G473">
        <v>265.5699535</v>
      </c>
      <c r="H473">
        <v>36</v>
      </c>
      <c r="I473">
        <v>0</v>
      </c>
      <c r="J473">
        <v>1.18</v>
      </c>
      <c r="K473">
        <v>21.059677000000001</v>
      </c>
      <c r="L473">
        <v>9.2531786910956232E-2</v>
      </c>
      <c r="M473">
        <v>2.9530494385868078</v>
      </c>
      <c r="N473">
        <v>-1.388719489366901</v>
      </c>
      <c r="O473">
        <v>-0.58776822334470946</v>
      </c>
    </row>
    <row r="474" spans="1:15" x14ac:dyDescent="0.25">
      <c r="A474">
        <v>-14.643136500000001</v>
      </c>
      <c r="B474">
        <v>277.11715724999999</v>
      </c>
      <c r="C474">
        <v>35.551879</v>
      </c>
      <c r="D474">
        <v>-181.86381900000001</v>
      </c>
      <c r="E474">
        <v>64.164152999999999</v>
      </c>
      <c r="F474">
        <v>4.4341344999999999</v>
      </c>
      <c r="G474">
        <v>282.06465900000001</v>
      </c>
      <c r="H474">
        <v>36</v>
      </c>
      <c r="I474">
        <v>4</v>
      </c>
      <c r="J474">
        <v>1.18</v>
      </c>
      <c r="K474">
        <v>21.692385250000001</v>
      </c>
      <c r="L474">
        <v>-0.30903356764926021</v>
      </c>
      <c r="M474">
        <v>2.82592771483682</v>
      </c>
      <c r="N474">
        <v>-1.3415999976141679</v>
      </c>
      <c r="O474">
        <v>-0.63221870273440173</v>
      </c>
    </row>
    <row r="475" spans="1:15" x14ac:dyDescent="0.25">
      <c r="A475">
        <v>-56.6802025</v>
      </c>
      <c r="B475">
        <v>291.40097824999998</v>
      </c>
      <c r="C475">
        <v>64.23312949999999</v>
      </c>
      <c r="D475">
        <v>-199.30281049999999</v>
      </c>
      <c r="E475">
        <v>60.631819750000012</v>
      </c>
      <c r="F475">
        <v>4.5812482499999998</v>
      </c>
      <c r="G475">
        <v>296.95230099999998</v>
      </c>
      <c r="H475">
        <v>36</v>
      </c>
      <c r="I475">
        <v>8</v>
      </c>
      <c r="J475">
        <v>1.18</v>
      </c>
      <c r="K475">
        <v>22.2608085</v>
      </c>
      <c r="L475">
        <v>-0.64101438828823176</v>
      </c>
      <c r="M475">
        <v>2.6015432395278211</v>
      </c>
      <c r="N475">
        <v>-1.2528863225345661</v>
      </c>
      <c r="O475">
        <v>-0.70285163334527279</v>
      </c>
    </row>
    <row r="476" spans="1:15" x14ac:dyDescent="0.25">
      <c r="A476">
        <v>-101.28544599999999</v>
      </c>
      <c r="B476">
        <v>300.94461074999998</v>
      </c>
      <c r="C476">
        <v>90.646482500000005</v>
      </c>
      <c r="D476">
        <v>-212.19631974999999</v>
      </c>
      <c r="E476">
        <v>53.481062250000001</v>
      </c>
      <c r="F476">
        <v>4.8733285000000004</v>
      </c>
      <c r="G476">
        <v>309.87893700000001</v>
      </c>
      <c r="H476">
        <v>36</v>
      </c>
      <c r="I476">
        <v>12</v>
      </c>
      <c r="J476">
        <v>1.18</v>
      </c>
      <c r="K476">
        <v>22.736719000000001</v>
      </c>
      <c r="L476">
        <v>-0.91296463530594085</v>
      </c>
      <c r="M476">
        <v>2.4409863974815962</v>
      </c>
      <c r="N476">
        <v>-1.2196693568212169</v>
      </c>
      <c r="O476">
        <v>-0.76878601939295521</v>
      </c>
    </row>
    <row r="477" spans="1:15" x14ac:dyDescent="0.25">
      <c r="A477">
        <v>-152.94446925</v>
      </c>
      <c r="B477">
        <v>307.41629024999997</v>
      </c>
      <c r="C477">
        <v>114.2752555</v>
      </c>
      <c r="D477">
        <v>-229.15453725</v>
      </c>
      <c r="E477">
        <v>39.440050249999999</v>
      </c>
      <c r="F477">
        <v>5.01952175</v>
      </c>
      <c r="G477">
        <v>322.04517375</v>
      </c>
      <c r="H477">
        <v>36</v>
      </c>
      <c r="I477">
        <v>16</v>
      </c>
      <c r="J477">
        <v>1.18</v>
      </c>
      <c r="K477">
        <v>23.180403999999999</v>
      </c>
      <c r="L477">
        <v>-1.159354557534287</v>
      </c>
      <c r="M477">
        <v>2.3279813909275049</v>
      </c>
      <c r="N477">
        <v>-1.2261229211662179</v>
      </c>
      <c r="O477">
        <v>-0.85066723219806883</v>
      </c>
    </row>
    <row r="478" spans="1:15" x14ac:dyDescent="0.25">
      <c r="A478">
        <v>-205.02209475000001</v>
      </c>
      <c r="B478">
        <v>307.15445699999998</v>
      </c>
      <c r="C478">
        <v>134.45641699999999</v>
      </c>
      <c r="D478">
        <v>-252.36282374999999</v>
      </c>
      <c r="E478">
        <v>19.49644675</v>
      </c>
      <c r="F478">
        <v>5.3115604999999997</v>
      </c>
      <c r="G478">
        <v>331.93023699999998</v>
      </c>
      <c r="H478">
        <v>36</v>
      </c>
      <c r="I478">
        <v>20</v>
      </c>
      <c r="J478">
        <v>1.18</v>
      </c>
      <c r="K478">
        <v>23.528511250000001</v>
      </c>
      <c r="L478">
        <v>-1.367872245375831</v>
      </c>
      <c r="M478">
        <v>2.2545232405221158</v>
      </c>
      <c r="N478">
        <v>-1.2590077359815151</v>
      </c>
      <c r="O478">
        <v>-0.94290290587716719</v>
      </c>
    </row>
    <row r="479" spans="1:15" x14ac:dyDescent="0.25">
      <c r="A479">
        <v>-258.43448625000002</v>
      </c>
      <c r="B479">
        <v>302.2761385</v>
      </c>
      <c r="C479">
        <v>150.89640825000001</v>
      </c>
      <c r="D479">
        <v>-284.35617050000002</v>
      </c>
      <c r="E479">
        <v>-6.913125</v>
      </c>
      <c r="F479">
        <v>5.4090134999999986</v>
      </c>
      <c r="G479">
        <v>339.69422150000003</v>
      </c>
      <c r="H479">
        <v>36</v>
      </c>
      <c r="I479">
        <v>24</v>
      </c>
      <c r="J479">
        <v>1.18</v>
      </c>
      <c r="K479">
        <v>23.803009500000002</v>
      </c>
      <c r="L479">
        <v>-1.5476694857684461</v>
      </c>
      <c r="M479">
        <v>2.2180608975634519</v>
      </c>
      <c r="N479">
        <v>-1.310533138527429</v>
      </c>
      <c r="O479">
        <v>-1.0465937062838639</v>
      </c>
    </row>
    <row r="480" spans="1:15" x14ac:dyDescent="0.25">
      <c r="A480">
        <v>-278.9039535</v>
      </c>
      <c r="B480">
        <v>260.02571124999997</v>
      </c>
      <c r="C480">
        <v>144.77302549999999</v>
      </c>
      <c r="D480">
        <v>-287.59046925000001</v>
      </c>
      <c r="E480">
        <v>-38.713505750000003</v>
      </c>
      <c r="F480">
        <v>4.5812482499999998</v>
      </c>
      <c r="G480">
        <v>309.83890524999998</v>
      </c>
      <c r="H480">
        <v>36</v>
      </c>
      <c r="I480">
        <v>28</v>
      </c>
      <c r="J480">
        <v>1.18</v>
      </c>
      <c r="K480">
        <v>22.746068999999999</v>
      </c>
      <c r="L480">
        <v>-1.7326089003857801</v>
      </c>
      <c r="M480">
        <v>2.239562692672731</v>
      </c>
      <c r="N480">
        <v>-1.4254775245187881</v>
      </c>
      <c r="O480">
        <v>-1.177103947057726</v>
      </c>
    </row>
    <row r="481" spans="1:15" x14ac:dyDescent="0.25">
      <c r="A481">
        <v>-294.44629674999999</v>
      </c>
      <c r="B481">
        <v>224.15010075000001</v>
      </c>
      <c r="C481">
        <v>136.18155275000001</v>
      </c>
      <c r="D481">
        <v>-294.23389424999999</v>
      </c>
      <c r="E481">
        <v>-67.837836999999993</v>
      </c>
      <c r="F481">
        <v>3.9966845000000002</v>
      </c>
      <c r="G481">
        <v>285.78657525</v>
      </c>
      <c r="H481">
        <v>36</v>
      </c>
      <c r="I481">
        <v>32</v>
      </c>
      <c r="J481">
        <v>1.18</v>
      </c>
      <c r="K481">
        <v>21.85427125</v>
      </c>
      <c r="L481">
        <v>-1.901212049815697</v>
      </c>
      <c r="M481">
        <v>2.288662920367452</v>
      </c>
      <c r="N481">
        <v>-1.5612548427250099</v>
      </c>
      <c r="O481">
        <v>-1.317157229729998</v>
      </c>
    </row>
    <row r="482" spans="1:15" x14ac:dyDescent="0.25">
      <c r="A482">
        <v>-307.08520525</v>
      </c>
      <c r="B482">
        <v>192.69886750000001</v>
      </c>
      <c r="C482">
        <v>130.51853174999999</v>
      </c>
      <c r="D482">
        <v>-303.54344924999998</v>
      </c>
      <c r="E482">
        <v>-95.757947999999999</v>
      </c>
      <c r="F482">
        <v>3.704243</v>
      </c>
      <c r="G482">
        <v>268.29760725</v>
      </c>
      <c r="H482">
        <v>36</v>
      </c>
      <c r="I482">
        <v>36</v>
      </c>
      <c r="J482">
        <v>1.18</v>
      </c>
      <c r="K482">
        <v>21.176934500000002</v>
      </c>
      <c r="L482">
        <v>-2.0882464267167968</v>
      </c>
      <c r="M482">
        <v>2.368050407136681</v>
      </c>
      <c r="N482">
        <v>-1.7372701718273751</v>
      </c>
      <c r="O482">
        <v>-1.474626499229909</v>
      </c>
    </row>
    <row r="483" spans="1:15" x14ac:dyDescent="0.25">
      <c r="A483">
        <v>-348.48329949999999</v>
      </c>
      <c r="B483">
        <v>181.541889</v>
      </c>
      <c r="C483">
        <v>133.19177250000001</v>
      </c>
      <c r="D483">
        <v>-347.46874224999999</v>
      </c>
      <c r="E483">
        <v>-138.08411774999999</v>
      </c>
      <c r="F483">
        <v>3.9479442499999999</v>
      </c>
      <c r="G483">
        <v>278.86302949999998</v>
      </c>
      <c r="H483">
        <v>36</v>
      </c>
      <c r="I483">
        <v>40</v>
      </c>
      <c r="J483">
        <v>1.18</v>
      </c>
      <c r="K483">
        <v>21.586039750000001</v>
      </c>
      <c r="L483">
        <v>-2.2948791394543999</v>
      </c>
      <c r="M483">
        <v>2.520423364400711</v>
      </c>
      <c r="N483">
        <v>-1.9865110653169451</v>
      </c>
      <c r="O483">
        <v>-1.676710379026199</v>
      </c>
    </row>
    <row r="484" spans="1:15" x14ac:dyDescent="0.25">
      <c r="A484">
        <v>-397.10810099999998</v>
      </c>
      <c r="B484">
        <v>168.02837</v>
      </c>
      <c r="C484">
        <v>132.82180399999999</v>
      </c>
      <c r="D484">
        <v>-399.52349099999998</v>
      </c>
      <c r="E484">
        <v>-190.71306974999999</v>
      </c>
      <c r="F484">
        <v>4.43534775</v>
      </c>
      <c r="G484">
        <v>293.15034474999999</v>
      </c>
      <c r="H484">
        <v>36</v>
      </c>
      <c r="I484">
        <v>44</v>
      </c>
      <c r="J484">
        <v>1.18</v>
      </c>
      <c r="K484">
        <v>22.121189000000001</v>
      </c>
      <c r="L484">
        <v>-2.552776886760372</v>
      </c>
      <c r="M484">
        <v>2.7340272196693189</v>
      </c>
      <c r="N484">
        <v>-2.3309946578655851</v>
      </c>
      <c r="O484">
        <v>-1.9401265164355339</v>
      </c>
    </row>
    <row r="485" spans="1:15" x14ac:dyDescent="0.25">
      <c r="A485">
        <v>139.20697000000001</v>
      </c>
      <c r="B485">
        <v>174.14817825</v>
      </c>
      <c r="C485">
        <v>-430.39526375000003</v>
      </c>
      <c r="D485">
        <v>-437.02390274999999</v>
      </c>
      <c r="E485">
        <v>-195.08395775</v>
      </c>
      <c r="F485">
        <v>4.6303095000000001</v>
      </c>
      <c r="G485">
        <v>310.23911249999998</v>
      </c>
      <c r="H485">
        <v>40</v>
      </c>
      <c r="I485">
        <v>-44</v>
      </c>
      <c r="J485">
        <v>1.18</v>
      </c>
      <c r="K485">
        <v>22.759184749999999</v>
      </c>
      <c r="L485">
        <v>2.3870211244415049</v>
      </c>
      <c r="M485">
        <v>2.5612368152546341</v>
      </c>
      <c r="N485">
        <v>-2.1176641055779069</v>
      </c>
      <c r="O485">
        <v>-1.836952921123439</v>
      </c>
    </row>
    <row r="486" spans="1:15" x14ac:dyDescent="0.25">
      <c r="A486">
        <v>147.73814024999999</v>
      </c>
      <c r="B486">
        <v>202.34530624999999</v>
      </c>
      <c r="C486">
        <v>-422.31971725</v>
      </c>
      <c r="D486">
        <v>-423.99929049999997</v>
      </c>
      <c r="E486">
        <v>-168.68027875000001</v>
      </c>
      <c r="F486">
        <v>4.9227512500000001</v>
      </c>
      <c r="G486">
        <v>320.16419224999999</v>
      </c>
      <c r="H486">
        <v>40</v>
      </c>
      <c r="I486">
        <v>-40</v>
      </c>
      <c r="J486">
        <v>1.18</v>
      </c>
      <c r="K486">
        <v>23.115082999999998</v>
      </c>
      <c r="L486">
        <v>2.2401258697702411</v>
      </c>
      <c r="M486">
        <v>2.4613311492181511</v>
      </c>
      <c r="N486">
        <v>-1.921029800540071</v>
      </c>
      <c r="O486">
        <v>-1.682227616117387</v>
      </c>
    </row>
    <row r="487" spans="1:15" x14ac:dyDescent="0.25">
      <c r="A487">
        <v>152.026287</v>
      </c>
      <c r="B487">
        <v>232.47035975</v>
      </c>
      <c r="C487">
        <v>-406.52954849999998</v>
      </c>
      <c r="D487">
        <v>-403.50080874999998</v>
      </c>
      <c r="E487">
        <v>-137.19210050000001</v>
      </c>
      <c r="F487">
        <v>5.0202317499999998</v>
      </c>
      <c r="G487">
        <v>330.08930225</v>
      </c>
      <c r="H487">
        <v>40</v>
      </c>
      <c r="I487">
        <v>-36</v>
      </c>
      <c r="J487">
        <v>1.18</v>
      </c>
      <c r="K487">
        <v>23.472628749999998</v>
      </c>
      <c r="L487">
        <v>2.0855528555675691</v>
      </c>
      <c r="M487">
        <v>2.3745813229151498</v>
      </c>
      <c r="N487">
        <v>-1.744772031977105</v>
      </c>
      <c r="O487">
        <v>-1.530988609023316</v>
      </c>
    </row>
    <row r="488" spans="1:15" x14ac:dyDescent="0.25">
      <c r="A488">
        <v>154.73460025</v>
      </c>
      <c r="B488">
        <v>261.55298625</v>
      </c>
      <c r="C488">
        <v>-385.41581724999998</v>
      </c>
      <c r="D488">
        <v>-380.5547565</v>
      </c>
      <c r="E488">
        <v>-105.971529</v>
      </c>
      <c r="F488">
        <v>5.5076352499999999</v>
      </c>
      <c r="G488">
        <v>340.45462025</v>
      </c>
      <c r="H488">
        <v>40</v>
      </c>
      <c r="I488">
        <v>-32</v>
      </c>
      <c r="J488">
        <v>1.18</v>
      </c>
      <c r="K488">
        <v>23.8265955</v>
      </c>
      <c r="L488">
        <v>1.9499477906382789</v>
      </c>
      <c r="M488">
        <v>2.318029664361521</v>
      </c>
      <c r="N488">
        <v>-1.611655893811796</v>
      </c>
      <c r="O488">
        <v>-1.402488432719919</v>
      </c>
    </row>
    <row r="489" spans="1:15" x14ac:dyDescent="0.25">
      <c r="A489">
        <v>134.33202349999999</v>
      </c>
      <c r="B489">
        <v>254.64473749999999</v>
      </c>
      <c r="C489">
        <v>-312.32981875000002</v>
      </c>
      <c r="D489">
        <v>-314.47013075000001</v>
      </c>
      <c r="E489">
        <v>-67.168824999999998</v>
      </c>
      <c r="F489">
        <v>4.7765304999999998</v>
      </c>
      <c r="G489">
        <v>309.99899275000001</v>
      </c>
      <c r="H489">
        <v>40</v>
      </c>
      <c r="I489">
        <v>-28</v>
      </c>
      <c r="J489">
        <v>1.18</v>
      </c>
      <c r="K489">
        <v>22.74476275</v>
      </c>
      <c r="L489">
        <v>1.8140214279941429</v>
      </c>
      <c r="M489">
        <v>2.3113286083160811</v>
      </c>
      <c r="N489">
        <v>-1.5317964459323761</v>
      </c>
      <c r="O489">
        <v>-1.29221498620124</v>
      </c>
    </row>
    <row r="490" spans="1:15" x14ac:dyDescent="0.25">
      <c r="A490">
        <v>115.4641455</v>
      </c>
      <c r="B490">
        <v>249.4324</v>
      </c>
      <c r="C490">
        <v>-251.74063125000001</v>
      </c>
      <c r="D490">
        <v>-270.54483800000003</v>
      </c>
      <c r="E490">
        <v>-42.013966500000002</v>
      </c>
      <c r="F490">
        <v>4.0941650000000003</v>
      </c>
      <c r="G490">
        <v>287.9476775</v>
      </c>
      <c r="H490">
        <v>40</v>
      </c>
      <c r="I490">
        <v>-24</v>
      </c>
      <c r="J490">
        <v>1.18</v>
      </c>
      <c r="K490">
        <v>21.934145749999999</v>
      </c>
      <c r="L490">
        <v>1.675757023483059</v>
      </c>
      <c r="M490">
        <v>2.372938892121343</v>
      </c>
      <c r="N490">
        <v>-1.5058026002446401</v>
      </c>
      <c r="O490">
        <v>-1.21042282337675</v>
      </c>
    </row>
    <row r="491" spans="1:15" x14ac:dyDescent="0.25">
      <c r="A491">
        <v>97.318485249999995</v>
      </c>
      <c r="B491">
        <v>241.75377649999999</v>
      </c>
      <c r="C491">
        <v>-197.46752175</v>
      </c>
      <c r="D491">
        <v>-235.66685475</v>
      </c>
      <c r="E491">
        <v>-21.00698225</v>
      </c>
      <c r="F491">
        <v>3.55802175</v>
      </c>
      <c r="G491">
        <v>267.09698474999999</v>
      </c>
      <c r="H491">
        <v>40</v>
      </c>
      <c r="I491">
        <v>-20</v>
      </c>
      <c r="J491">
        <v>1.18</v>
      </c>
      <c r="K491">
        <v>21.134683750000001</v>
      </c>
      <c r="L491">
        <v>1.507381456916246</v>
      </c>
      <c r="M491">
        <v>2.4413137040695232</v>
      </c>
      <c r="N491">
        <v>-1.473235000653482</v>
      </c>
      <c r="O491">
        <v>-1.125616020092304</v>
      </c>
    </row>
    <row r="492" spans="1:15" x14ac:dyDescent="0.25">
      <c r="A492">
        <v>85.221382500000004</v>
      </c>
      <c r="B492">
        <v>261.28262324999997</v>
      </c>
      <c r="C492">
        <v>-175.27103425000001</v>
      </c>
      <c r="D492">
        <v>-239.11968225000001</v>
      </c>
      <c r="E492">
        <v>-12.44362525</v>
      </c>
      <c r="F492">
        <v>3.9966845000000002</v>
      </c>
      <c r="G492">
        <v>279.66342950000001</v>
      </c>
      <c r="H492">
        <v>40</v>
      </c>
      <c r="I492">
        <v>-16</v>
      </c>
      <c r="J492">
        <v>1.18</v>
      </c>
      <c r="K492">
        <v>21.615519750000001</v>
      </c>
      <c r="L492">
        <v>1.337578980347969</v>
      </c>
      <c r="M492">
        <v>2.5694664291574649</v>
      </c>
      <c r="N492">
        <v>-1.4999342269849469</v>
      </c>
      <c r="O492">
        <v>-1.084431550253681</v>
      </c>
    </row>
    <row r="493" spans="1:15" x14ac:dyDescent="0.25">
      <c r="A493">
        <v>70.009721750000011</v>
      </c>
      <c r="B493">
        <v>283.40891275000001</v>
      </c>
      <c r="C493">
        <v>-149.96162000000001</v>
      </c>
      <c r="D493">
        <v>-250.26490799999999</v>
      </c>
      <c r="E493">
        <v>-2.7652492500000001</v>
      </c>
      <c r="F493">
        <v>4.1916460000000004</v>
      </c>
      <c r="G493">
        <v>296.11186225</v>
      </c>
      <c r="H493">
        <v>40</v>
      </c>
      <c r="I493">
        <v>-12</v>
      </c>
      <c r="J493">
        <v>1.18</v>
      </c>
      <c r="K493">
        <v>22.24363975</v>
      </c>
      <c r="L493">
        <v>1.114669577096044</v>
      </c>
      <c r="M493">
        <v>2.7042547198943629</v>
      </c>
      <c r="N493">
        <v>-1.514508179301024</v>
      </c>
      <c r="O493">
        <v>-1.035273279956024</v>
      </c>
    </row>
    <row r="494" spans="1:15" x14ac:dyDescent="0.25">
      <c r="A494">
        <v>47.575907749999999</v>
      </c>
      <c r="B494">
        <v>300.67703999999998</v>
      </c>
      <c r="C494">
        <v>-115.9901775</v>
      </c>
      <c r="D494">
        <v>-256.86462775000001</v>
      </c>
      <c r="E494">
        <v>7.1537067499999996</v>
      </c>
      <c r="F494">
        <v>4.6299770000000002</v>
      </c>
      <c r="G494">
        <v>308.87842575000002</v>
      </c>
      <c r="H494">
        <v>40</v>
      </c>
      <c r="I494">
        <v>-8</v>
      </c>
      <c r="J494">
        <v>1.18</v>
      </c>
      <c r="K494">
        <v>22.708480999999999</v>
      </c>
      <c r="L494">
        <v>0.84496210695990037</v>
      </c>
      <c r="M494">
        <v>2.880163873900865</v>
      </c>
      <c r="N494">
        <v>-1.5586786954842331</v>
      </c>
      <c r="O494">
        <v>-0.98696364429040417</v>
      </c>
    </row>
    <row r="495" spans="1:15" x14ac:dyDescent="0.25">
      <c r="A495">
        <v>19.228955249999999</v>
      </c>
      <c r="B495">
        <v>314.00091550000002</v>
      </c>
      <c r="C495">
        <v>-80.259246500000003</v>
      </c>
      <c r="D495">
        <v>-262.19686875000002</v>
      </c>
      <c r="E495">
        <v>10.460988499999999</v>
      </c>
      <c r="F495">
        <v>4.9220730000000001</v>
      </c>
      <c r="G495">
        <v>320.16419999999999</v>
      </c>
      <c r="H495">
        <v>40</v>
      </c>
      <c r="I495">
        <v>-4</v>
      </c>
      <c r="J495">
        <v>1.18</v>
      </c>
      <c r="K495">
        <v>23.115111250000002</v>
      </c>
      <c r="L495">
        <v>0.54758055913394976</v>
      </c>
      <c r="M495">
        <v>3.1713593232920529</v>
      </c>
      <c r="N495">
        <v>-1.7046002227729631</v>
      </c>
      <c r="O495">
        <v>-0.96952372996104497</v>
      </c>
    </row>
    <row r="496" spans="1:15" x14ac:dyDescent="0.25">
      <c r="A496">
        <v>-16.4861115</v>
      </c>
      <c r="B496">
        <v>324.19824199999999</v>
      </c>
      <c r="C496">
        <v>-41.280048499999999</v>
      </c>
      <c r="D496">
        <v>-267.092018</v>
      </c>
      <c r="E496">
        <v>9.2099657500000003</v>
      </c>
      <c r="F496">
        <v>5.2144874999999997</v>
      </c>
      <c r="G496">
        <v>331.61007675000002</v>
      </c>
      <c r="H496">
        <v>40</v>
      </c>
      <c r="I496">
        <v>0</v>
      </c>
      <c r="J496">
        <v>1.18</v>
      </c>
      <c r="K496">
        <v>23.520467499999999</v>
      </c>
      <c r="L496">
        <v>0.1516954213593871</v>
      </c>
      <c r="M496">
        <v>3.618874456875258</v>
      </c>
      <c r="N496">
        <v>-1.97320919061837</v>
      </c>
      <c r="O496">
        <v>-0.97556248851826666</v>
      </c>
    </row>
    <row r="497" spans="1:15" x14ac:dyDescent="0.25">
      <c r="A497">
        <v>-57.295998750000003</v>
      </c>
      <c r="B497">
        <v>333.00066375</v>
      </c>
      <c r="C497">
        <v>-2.3910849999999999</v>
      </c>
      <c r="D497">
        <v>-272.46794125000002</v>
      </c>
      <c r="E497">
        <v>10.103348499999999</v>
      </c>
      <c r="F497">
        <v>5.2632277500000004</v>
      </c>
      <c r="G497">
        <v>340.25450899999998</v>
      </c>
      <c r="H497">
        <v>40</v>
      </c>
      <c r="I497">
        <v>4</v>
      </c>
      <c r="J497">
        <v>1.18</v>
      </c>
      <c r="K497">
        <v>23.828167000000001</v>
      </c>
      <c r="L497">
        <v>-0.31381538931942188</v>
      </c>
      <c r="M497">
        <v>3.4601546222761508</v>
      </c>
      <c r="N497">
        <v>-1.88681413222315</v>
      </c>
      <c r="O497">
        <v>-0.97237404395354599</v>
      </c>
    </row>
    <row r="498" spans="1:15" x14ac:dyDescent="0.25">
      <c r="A498">
        <v>-94.322192999999999</v>
      </c>
      <c r="B498">
        <v>306.16051475</v>
      </c>
      <c r="C498">
        <v>25.87789325</v>
      </c>
      <c r="D498">
        <v>-256.2090225</v>
      </c>
      <c r="E498">
        <v>1.6093992500000001</v>
      </c>
      <c r="F498">
        <v>4.7268067499999997</v>
      </c>
      <c r="G498">
        <v>313.52079750000001</v>
      </c>
      <c r="H498">
        <v>40</v>
      </c>
      <c r="I498">
        <v>8</v>
      </c>
      <c r="J498">
        <v>1.18</v>
      </c>
      <c r="K498">
        <v>22.877458000000001</v>
      </c>
      <c r="L498">
        <v>-0.67957948831787252</v>
      </c>
      <c r="M498">
        <v>3.1795196597114579</v>
      </c>
      <c r="N498">
        <v>-1.7634884060879661</v>
      </c>
      <c r="O498">
        <v>-1.0176271447189329</v>
      </c>
    </row>
    <row r="499" spans="1:15" x14ac:dyDescent="0.25">
      <c r="A499">
        <v>-126.033182</v>
      </c>
      <c r="B499">
        <v>279.1760635</v>
      </c>
      <c r="C499">
        <v>45.794391500000003</v>
      </c>
      <c r="D499">
        <v>-237.50253674999999</v>
      </c>
      <c r="E499">
        <v>-8.1173467499999994</v>
      </c>
      <c r="F499">
        <v>4.2398045</v>
      </c>
      <c r="G499">
        <v>289.98873125</v>
      </c>
      <c r="H499">
        <v>40</v>
      </c>
      <c r="I499">
        <v>12</v>
      </c>
      <c r="J499">
        <v>1.18</v>
      </c>
      <c r="K499">
        <v>22.007236750000001</v>
      </c>
      <c r="L499">
        <v>-0.98942929132469903</v>
      </c>
      <c r="M499">
        <v>2.9755582987005109</v>
      </c>
      <c r="N499">
        <v>-1.716830159891193</v>
      </c>
      <c r="O499">
        <v>-1.0711713561091889</v>
      </c>
    </row>
    <row r="500" spans="1:15" x14ac:dyDescent="0.25">
      <c r="A500">
        <v>-155.94241349999999</v>
      </c>
      <c r="B500">
        <v>255.5105475</v>
      </c>
      <c r="C500">
        <v>59.162380249999998</v>
      </c>
      <c r="D500">
        <v>-228.49893950000001</v>
      </c>
      <c r="E500">
        <v>-20.0703645</v>
      </c>
      <c r="F500">
        <v>3.8012245</v>
      </c>
      <c r="G500">
        <v>270.17857350000003</v>
      </c>
      <c r="H500">
        <v>40</v>
      </c>
      <c r="I500">
        <v>16</v>
      </c>
      <c r="J500">
        <v>1.18</v>
      </c>
      <c r="K500">
        <v>21.248208250000001</v>
      </c>
      <c r="L500">
        <v>-1.249526564894984</v>
      </c>
      <c r="M500">
        <v>2.811547761220675</v>
      </c>
      <c r="N500">
        <v>-1.6860217336098551</v>
      </c>
      <c r="O500">
        <v>-1.138666479725718</v>
      </c>
    </row>
    <row r="501" spans="1:15" x14ac:dyDescent="0.25">
      <c r="A501">
        <v>-199.68016424999999</v>
      </c>
      <c r="B501">
        <v>253.6346245</v>
      </c>
      <c r="C501">
        <v>74.969120000000004</v>
      </c>
      <c r="D501">
        <v>-246.50612649999999</v>
      </c>
      <c r="E501">
        <v>-36.215858750000002</v>
      </c>
      <c r="F501">
        <v>3.84993725</v>
      </c>
      <c r="G501">
        <v>276.02156824999997</v>
      </c>
      <c r="H501">
        <v>40</v>
      </c>
      <c r="I501">
        <v>20</v>
      </c>
      <c r="J501">
        <v>1.18</v>
      </c>
      <c r="K501">
        <v>21.478059500000001</v>
      </c>
      <c r="L501">
        <v>-1.469688391582137</v>
      </c>
      <c r="M501">
        <v>2.6763772551038638</v>
      </c>
      <c r="N501">
        <v>-1.670897608498505</v>
      </c>
      <c r="O501">
        <v>-1.214422243773464</v>
      </c>
    </row>
    <row r="502" spans="1:15" x14ac:dyDescent="0.25">
      <c r="A502">
        <v>-252.78705575000001</v>
      </c>
      <c r="B502">
        <v>257.77127849999999</v>
      </c>
      <c r="C502">
        <v>89.827459250000004</v>
      </c>
      <c r="D502">
        <v>-279.98550399999999</v>
      </c>
      <c r="E502">
        <v>-60.389501750000001</v>
      </c>
      <c r="F502">
        <v>4.142061</v>
      </c>
      <c r="G502">
        <v>291.98974600000003</v>
      </c>
      <c r="H502">
        <v>40</v>
      </c>
      <c r="I502">
        <v>24</v>
      </c>
      <c r="J502">
        <v>1.18</v>
      </c>
      <c r="K502">
        <v>22.087937</v>
      </c>
      <c r="L502">
        <v>-1.6632010417910501</v>
      </c>
      <c r="M502">
        <v>2.6105056803094189</v>
      </c>
      <c r="N502">
        <v>-1.7106010772964479</v>
      </c>
      <c r="O502">
        <v>-1.3132587064207211</v>
      </c>
    </row>
    <row r="503" spans="1:15" x14ac:dyDescent="0.25">
      <c r="A503">
        <v>-304.85794075000001</v>
      </c>
      <c r="B503">
        <v>256.80926525000001</v>
      </c>
      <c r="C503">
        <v>101.02766800000001</v>
      </c>
      <c r="D503">
        <v>-315.03832225000002</v>
      </c>
      <c r="E503">
        <v>-90.004442249999997</v>
      </c>
      <c r="F503">
        <v>4.6290487499999999</v>
      </c>
      <c r="G503">
        <v>305.23654950000002</v>
      </c>
      <c r="H503">
        <v>40</v>
      </c>
      <c r="I503">
        <v>28</v>
      </c>
      <c r="J503">
        <v>1.18</v>
      </c>
      <c r="K503">
        <v>22.572187</v>
      </c>
      <c r="L503">
        <v>-1.8454319691691661</v>
      </c>
      <c r="M503">
        <v>2.600062172616644</v>
      </c>
      <c r="N503">
        <v>-1.797110585978793</v>
      </c>
      <c r="O503">
        <v>-1.430307643295238</v>
      </c>
    </row>
    <row r="504" spans="1:15" x14ac:dyDescent="0.25">
      <c r="A504">
        <v>-358.41529050000003</v>
      </c>
      <c r="B504">
        <v>250.45998775000001</v>
      </c>
      <c r="C504">
        <v>109.2471735</v>
      </c>
      <c r="D504">
        <v>-356.07896425000001</v>
      </c>
      <c r="E504">
        <v>-126.66630549999999</v>
      </c>
      <c r="F504">
        <v>4.7268340000000002</v>
      </c>
      <c r="G504">
        <v>317.84301749999997</v>
      </c>
      <c r="H504">
        <v>40</v>
      </c>
      <c r="I504">
        <v>32</v>
      </c>
      <c r="J504">
        <v>1.18</v>
      </c>
      <c r="K504">
        <v>23.037038249999998</v>
      </c>
      <c r="L504">
        <v>-2.0282587454073928</v>
      </c>
      <c r="M504">
        <v>2.6305108789205391</v>
      </c>
      <c r="N504">
        <v>-1.927873063535503</v>
      </c>
      <c r="O504">
        <v>-1.569856105566185</v>
      </c>
    </row>
    <row r="505" spans="1:15" x14ac:dyDescent="0.25">
      <c r="A505">
        <v>-410.08078</v>
      </c>
      <c r="B505">
        <v>238.62723174999999</v>
      </c>
      <c r="C505">
        <v>114.937601</v>
      </c>
      <c r="D505">
        <v>-401.83994300000001</v>
      </c>
      <c r="E505">
        <v>-169.3938905</v>
      </c>
      <c r="F505">
        <v>5.0675879999999998</v>
      </c>
      <c r="G505">
        <v>328.08827224999999</v>
      </c>
      <c r="H505">
        <v>40</v>
      </c>
      <c r="I505">
        <v>36</v>
      </c>
      <c r="J505">
        <v>1.18</v>
      </c>
      <c r="K505">
        <v>23.398559250000002</v>
      </c>
      <c r="L505">
        <v>-2.219337696627441</v>
      </c>
      <c r="M505">
        <v>2.7073850191216779</v>
      </c>
      <c r="N505">
        <v>-2.1029659397431861</v>
      </c>
      <c r="O505">
        <v>-1.7374979825965959</v>
      </c>
    </row>
    <row r="506" spans="1:15" x14ac:dyDescent="0.25">
      <c r="A506">
        <v>-454.71941399999997</v>
      </c>
      <c r="B506">
        <v>222.41732400000001</v>
      </c>
      <c r="C506">
        <v>116.96989625000001</v>
      </c>
      <c r="D506">
        <v>-448.47505949999999</v>
      </c>
      <c r="E506">
        <v>-214.21770475</v>
      </c>
      <c r="F506">
        <v>5.2624940000000002</v>
      </c>
      <c r="G506">
        <v>335.65214550000002</v>
      </c>
      <c r="H506">
        <v>40</v>
      </c>
      <c r="I506">
        <v>40</v>
      </c>
      <c r="J506">
        <v>1.18</v>
      </c>
      <c r="K506">
        <v>23.663944499999999</v>
      </c>
      <c r="L506">
        <v>-2.4083540099278662</v>
      </c>
      <c r="M506">
        <v>2.8263129172720332</v>
      </c>
      <c r="N506">
        <v>-2.3164875546658261</v>
      </c>
      <c r="O506">
        <v>-1.9246274738648119</v>
      </c>
    </row>
    <row r="507" spans="1:15" x14ac:dyDescent="0.25">
      <c r="A507">
        <v>-469.13349899999997</v>
      </c>
      <c r="B507">
        <v>190.8633155</v>
      </c>
      <c r="C507">
        <v>106.31163775</v>
      </c>
      <c r="D507">
        <v>-465.43327349999998</v>
      </c>
      <c r="E507">
        <v>-250.70116775</v>
      </c>
      <c r="F507">
        <v>5.0675877500000004</v>
      </c>
      <c r="G507">
        <v>324.72654749999998</v>
      </c>
      <c r="H507">
        <v>40</v>
      </c>
      <c r="I507">
        <v>44</v>
      </c>
      <c r="J507">
        <v>1.18</v>
      </c>
      <c r="K507">
        <v>23.276466500000002</v>
      </c>
      <c r="L507">
        <v>-2.6570200337711549</v>
      </c>
      <c r="M507">
        <v>3.0304054609086779</v>
      </c>
      <c r="N507">
        <v>-2.6570412762323139</v>
      </c>
      <c r="O507">
        <v>-2.181028195239199</v>
      </c>
    </row>
    <row r="508" spans="1:15" x14ac:dyDescent="0.25">
      <c r="A508">
        <v>95.106700750000002</v>
      </c>
      <c r="B508">
        <v>160.65612400000001</v>
      </c>
      <c r="C508">
        <v>-412.71027375</v>
      </c>
      <c r="D508">
        <v>-413.29111475000002</v>
      </c>
      <c r="E508">
        <v>-217.60736825000001</v>
      </c>
      <c r="F508">
        <v>4.1417842500000006</v>
      </c>
      <c r="G508">
        <v>286.5469665</v>
      </c>
      <c r="H508">
        <v>44</v>
      </c>
      <c r="I508">
        <v>-44</v>
      </c>
      <c r="J508">
        <v>1.18</v>
      </c>
      <c r="K508">
        <v>21.87811</v>
      </c>
      <c r="L508">
        <v>2.5989636543340628</v>
      </c>
      <c r="M508">
        <v>2.9374132108232449</v>
      </c>
      <c r="N508">
        <v>-2.580237446425595</v>
      </c>
      <c r="O508">
        <v>-2.134902874442473</v>
      </c>
    </row>
    <row r="509" spans="1:15" x14ac:dyDescent="0.25">
      <c r="A509">
        <v>91.179657000000006</v>
      </c>
      <c r="B509">
        <v>167.77502050000001</v>
      </c>
      <c r="C509">
        <v>-364.57276899999999</v>
      </c>
      <c r="D509">
        <v>-362.89722449999999</v>
      </c>
      <c r="E509">
        <v>-175.37040300000001</v>
      </c>
      <c r="F509">
        <v>3.7032449999999999</v>
      </c>
      <c r="G509">
        <v>267.1770325</v>
      </c>
      <c r="H509">
        <v>44</v>
      </c>
      <c r="I509">
        <v>-40</v>
      </c>
      <c r="J509">
        <v>1.18</v>
      </c>
      <c r="K509">
        <v>21.132079749999999</v>
      </c>
      <c r="L509">
        <v>2.4195342133892228</v>
      </c>
      <c r="M509">
        <v>2.8172574817699649</v>
      </c>
      <c r="N509">
        <v>-2.349435181667618</v>
      </c>
      <c r="O509">
        <v>-1.950678432558572</v>
      </c>
    </row>
    <row r="510" spans="1:15" x14ac:dyDescent="0.25">
      <c r="A510">
        <v>92.894914499999999</v>
      </c>
      <c r="B510">
        <v>189.22789374999999</v>
      </c>
      <c r="C510">
        <v>-352.88803100000001</v>
      </c>
      <c r="D510">
        <v>-348.95476550000001</v>
      </c>
      <c r="E510">
        <v>-153.87280250000001</v>
      </c>
      <c r="F510">
        <v>3.8006980000000001</v>
      </c>
      <c r="G510">
        <v>272.49976349999997</v>
      </c>
      <c r="H510">
        <v>44</v>
      </c>
      <c r="I510">
        <v>-36</v>
      </c>
      <c r="J510">
        <v>1.18</v>
      </c>
      <c r="K510">
        <v>21.340609749999999</v>
      </c>
      <c r="L510">
        <v>2.2623637853237031</v>
      </c>
      <c r="M510">
        <v>2.7312922674837652</v>
      </c>
      <c r="N510">
        <v>-2.16391279699585</v>
      </c>
      <c r="O510">
        <v>-1.8002301257384601</v>
      </c>
    </row>
    <row r="511" spans="1:15" x14ac:dyDescent="0.25">
      <c r="A511">
        <v>94.249067249999996</v>
      </c>
      <c r="B511">
        <v>215.490837</v>
      </c>
      <c r="C511">
        <v>-345.98546599999997</v>
      </c>
      <c r="D511">
        <v>-341.34979249999998</v>
      </c>
      <c r="E511">
        <v>-135.98788074999999</v>
      </c>
      <c r="F511">
        <v>4.1905105000000002</v>
      </c>
      <c r="G511">
        <v>286.22680674999998</v>
      </c>
      <c r="H511">
        <v>44</v>
      </c>
      <c r="I511">
        <v>-32</v>
      </c>
      <c r="J511">
        <v>1.18</v>
      </c>
      <c r="K511">
        <v>21.863833750000001</v>
      </c>
      <c r="L511">
        <v>2.1197778193442391</v>
      </c>
      <c r="M511">
        <v>2.6812478520002649</v>
      </c>
      <c r="N511">
        <v>-2.0330094260760472</v>
      </c>
      <c r="O511">
        <v>-1.674974288378188</v>
      </c>
    </row>
    <row r="512" spans="1:15" x14ac:dyDescent="0.25">
      <c r="A512">
        <v>92.533805999999998</v>
      </c>
      <c r="B512">
        <v>242.12165825</v>
      </c>
      <c r="C512">
        <v>-334.07514974999998</v>
      </c>
      <c r="D512">
        <v>-336.97912600000001</v>
      </c>
      <c r="E512">
        <v>-122.0278265</v>
      </c>
      <c r="F512">
        <v>4.43414325</v>
      </c>
      <c r="G512">
        <v>300.91432974999998</v>
      </c>
      <c r="H512">
        <v>44</v>
      </c>
      <c r="I512">
        <v>-28</v>
      </c>
      <c r="J512">
        <v>1.18</v>
      </c>
      <c r="K512">
        <v>22.416686500000001</v>
      </c>
      <c r="L512">
        <v>1.9982275631454109</v>
      </c>
      <c r="M512">
        <v>2.7124949839735928</v>
      </c>
      <c r="N512">
        <v>-1.981096701223765</v>
      </c>
      <c r="O512">
        <v>-1.592384063712982</v>
      </c>
    </row>
    <row r="513" spans="1:15" x14ac:dyDescent="0.25">
      <c r="A513">
        <v>86.756082499999991</v>
      </c>
      <c r="B513">
        <v>266.2292635</v>
      </c>
      <c r="C513">
        <v>-313.45768750000002</v>
      </c>
      <c r="D513">
        <v>-332.69586199999998</v>
      </c>
      <c r="E513">
        <v>-107.26495724999999</v>
      </c>
      <c r="F513">
        <v>4.7752284999999999</v>
      </c>
      <c r="G513">
        <v>313.48077375000003</v>
      </c>
      <c r="H513">
        <v>44</v>
      </c>
      <c r="I513">
        <v>-24</v>
      </c>
      <c r="J513">
        <v>1.18</v>
      </c>
      <c r="K513">
        <v>22.874208500000002</v>
      </c>
      <c r="L513">
        <v>1.8544662595228649</v>
      </c>
      <c r="M513">
        <v>2.775251061473325</v>
      </c>
      <c r="N513">
        <v>-1.949638830640275</v>
      </c>
      <c r="O513">
        <v>-1.519170529730798</v>
      </c>
    </row>
    <row r="514" spans="1:15" x14ac:dyDescent="0.25">
      <c r="A514">
        <v>74.884670249999999</v>
      </c>
      <c r="B514">
        <v>288.65969100000001</v>
      </c>
      <c r="C514">
        <v>-286.61437224999997</v>
      </c>
      <c r="D514">
        <v>-330.33569325000002</v>
      </c>
      <c r="E514">
        <v>-94.063116000000008</v>
      </c>
      <c r="F514">
        <v>4.82395525</v>
      </c>
      <c r="G514">
        <v>324.84660350000001</v>
      </c>
      <c r="H514">
        <v>44</v>
      </c>
      <c r="I514">
        <v>-20</v>
      </c>
      <c r="J514">
        <v>1.18</v>
      </c>
      <c r="K514">
        <v>23.289718000000001</v>
      </c>
      <c r="L514">
        <v>1.6860476950759711</v>
      </c>
      <c r="M514">
        <v>2.887041250517254</v>
      </c>
      <c r="N514">
        <v>-1.953868363781774</v>
      </c>
      <c r="O514">
        <v>-1.4612591070368279</v>
      </c>
    </row>
    <row r="515" spans="1:15" x14ac:dyDescent="0.25">
      <c r="A515">
        <v>59.492457000000002</v>
      </c>
      <c r="B515">
        <v>309.81616200000002</v>
      </c>
      <c r="C515">
        <v>-256.34233825000001</v>
      </c>
      <c r="D515">
        <v>-330.90387724999999</v>
      </c>
      <c r="E515">
        <v>-83.091314249999996</v>
      </c>
      <c r="F515">
        <v>5.2137675000000003</v>
      </c>
      <c r="G515">
        <v>336.57263175000003</v>
      </c>
      <c r="H515">
        <v>44</v>
      </c>
      <c r="I515">
        <v>-16</v>
      </c>
      <c r="J515">
        <v>1.18</v>
      </c>
      <c r="K515">
        <v>23.698629</v>
      </c>
      <c r="L515">
        <v>1.5002000916107801</v>
      </c>
      <c r="M515">
        <v>3.043367429180373</v>
      </c>
      <c r="N515">
        <v>-1.99338649031755</v>
      </c>
      <c r="O515">
        <v>-1.41944964628296</v>
      </c>
    </row>
    <row r="516" spans="1:15" x14ac:dyDescent="0.25">
      <c r="A516">
        <v>34.84686</v>
      </c>
      <c r="B516">
        <v>309.77285749999999</v>
      </c>
      <c r="C516">
        <v>-212.1749495</v>
      </c>
      <c r="D516">
        <v>-320.41425325</v>
      </c>
      <c r="E516">
        <v>-72.297916499999999</v>
      </c>
      <c r="F516">
        <v>4.970135</v>
      </c>
      <c r="G516">
        <v>327.84814449999999</v>
      </c>
      <c r="H516">
        <v>44</v>
      </c>
      <c r="I516">
        <v>-12</v>
      </c>
      <c r="J516">
        <v>1.18</v>
      </c>
      <c r="K516">
        <v>23.39334375</v>
      </c>
      <c r="L516">
        <v>1.2733830038613381</v>
      </c>
      <c r="M516">
        <v>3.248473510788267</v>
      </c>
      <c r="N516">
        <v>-2.0626873611598771</v>
      </c>
      <c r="O516">
        <v>-1.3983195194743681</v>
      </c>
    </row>
    <row r="517" spans="1:15" x14ac:dyDescent="0.25">
      <c r="A517">
        <v>9.1630802500000001</v>
      </c>
      <c r="B517">
        <v>288.49523175000002</v>
      </c>
      <c r="C517">
        <v>-155.8265495</v>
      </c>
      <c r="D517">
        <v>-289.90692925000002</v>
      </c>
      <c r="E517">
        <v>-59.497482249999997</v>
      </c>
      <c r="F517">
        <v>4.3366897499999997</v>
      </c>
      <c r="G517">
        <v>301.63470475000003</v>
      </c>
      <c r="H517">
        <v>44</v>
      </c>
      <c r="I517">
        <v>-8</v>
      </c>
      <c r="J517">
        <v>1.18</v>
      </c>
      <c r="K517">
        <v>22.44758075</v>
      </c>
      <c r="L517">
        <v>1.0099432110666871</v>
      </c>
      <c r="M517">
        <v>3.5404809292202861</v>
      </c>
      <c r="N517">
        <v>-2.210567441941981</v>
      </c>
      <c r="O517">
        <v>-1.390747580228058</v>
      </c>
    </row>
    <row r="518" spans="1:15" x14ac:dyDescent="0.25">
      <c r="A518">
        <v>-17.74734625</v>
      </c>
      <c r="B518">
        <v>269.71070874999998</v>
      </c>
      <c r="C518">
        <v>-108.18531025</v>
      </c>
      <c r="D518">
        <v>-265.82450849999998</v>
      </c>
      <c r="E518">
        <v>-52.405956250000003</v>
      </c>
      <c r="F518">
        <v>3.9468777500000001</v>
      </c>
      <c r="G518">
        <v>279.70345300000002</v>
      </c>
      <c r="H518">
        <v>44</v>
      </c>
      <c r="I518">
        <v>-4</v>
      </c>
      <c r="J518">
        <v>1.18</v>
      </c>
      <c r="K518">
        <v>21.619034249999999</v>
      </c>
      <c r="L518">
        <v>0.67196958579840027</v>
      </c>
      <c r="M518">
        <v>3.978939669760567</v>
      </c>
      <c r="N518">
        <v>-2.467609358249633</v>
      </c>
      <c r="O518">
        <v>-1.4187453807309049</v>
      </c>
    </row>
    <row r="519" spans="1:15" x14ac:dyDescent="0.25">
      <c r="A519">
        <v>-44.73163675</v>
      </c>
      <c r="B519">
        <v>257.35061624999997</v>
      </c>
      <c r="C519">
        <v>-69.341461250000009</v>
      </c>
      <c r="D519">
        <v>-249.47818749999999</v>
      </c>
      <c r="E519">
        <v>-50.131311500000002</v>
      </c>
      <c r="F519">
        <v>3.7519714999999998</v>
      </c>
      <c r="G519">
        <v>267.08153499999997</v>
      </c>
      <c r="H519">
        <v>44</v>
      </c>
      <c r="I519">
        <v>0</v>
      </c>
      <c r="J519">
        <v>1.18</v>
      </c>
      <c r="K519">
        <v>21.126295500000001</v>
      </c>
      <c r="L519">
        <v>0.22520098816148779</v>
      </c>
      <c r="M519">
        <v>4.6380606995689764</v>
      </c>
      <c r="N519">
        <v>-2.9028827989680721</v>
      </c>
      <c r="O519">
        <v>-1.4931368838079591</v>
      </c>
    </row>
    <row r="520" spans="1:15" x14ac:dyDescent="0.25">
      <c r="A520">
        <v>-80.763931249999999</v>
      </c>
      <c r="B520">
        <v>276.26092525000001</v>
      </c>
      <c r="C520">
        <v>-45.114806000000002</v>
      </c>
      <c r="D520">
        <v>-268.6217575</v>
      </c>
      <c r="E520">
        <v>-55.349608500000002</v>
      </c>
      <c r="F520">
        <v>4.2879635</v>
      </c>
      <c r="G520">
        <v>286.17021949999997</v>
      </c>
      <c r="H520">
        <v>44</v>
      </c>
      <c r="I520">
        <v>4</v>
      </c>
      <c r="J520">
        <v>1.18</v>
      </c>
      <c r="K520">
        <v>21.857855000000001</v>
      </c>
      <c r="L520">
        <v>-0.2986919520708029</v>
      </c>
      <c r="M520">
        <v>4.5658175944298138</v>
      </c>
      <c r="N520">
        <v>-2.8617648434806728</v>
      </c>
      <c r="O520">
        <v>-1.4997538563353769</v>
      </c>
    </row>
    <row r="521" spans="1:15" x14ac:dyDescent="0.25">
      <c r="A521">
        <v>-123.9773845</v>
      </c>
      <c r="B521">
        <v>288.63948825</v>
      </c>
      <c r="C521">
        <v>-20.166319000000001</v>
      </c>
      <c r="D521">
        <v>-285.1428985</v>
      </c>
      <c r="E521">
        <v>-64.626578499999994</v>
      </c>
      <c r="F521">
        <v>4.5315957500000001</v>
      </c>
      <c r="G521">
        <v>300.91934199999997</v>
      </c>
      <c r="H521">
        <v>44</v>
      </c>
      <c r="I521">
        <v>8</v>
      </c>
      <c r="J521">
        <v>1.18</v>
      </c>
      <c r="K521">
        <v>22.413205749999999</v>
      </c>
      <c r="L521">
        <v>-0.7418335103172804</v>
      </c>
      <c r="M521">
        <v>4.1007123398651792</v>
      </c>
      <c r="N521">
        <v>-2.6125758640619359</v>
      </c>
      <c r="O521">
        <v>-1.4943491889996501</v>
      </c>
    </row>
    <row r="522" spans="1:15" x14ac:dyDescent="0.25">
      <c r="A522">
        <v>-169.19642625</v>
      </c>
      <c r="B522">
        <v>296.71868124999997</v>
      </c>
      <c r="C522">
        <v>1.0387255</v>
      </c>
      <c r="D522">
        <v>-300.70250700000003</v>
      </c>
      <c r="E522">
        <v>-76.981004749999997</v>
      </c>
      <c r="F522">
        <v>4.9214079999999996</v>
      </c>
      <c r="G522">
        <v>313.0041655</v>
      </c>
      <c r="H522">
        <v>44</v>
      </c>
      <c r="I522">
        <v>12</v>
      </c>
      <c r="J522">
        <v>1.18</v>
      </c>
      <c r="K522">
        <v>22.851127250000001</v>
      </c>
      <c r="L522">
        <v>-1.077678323934113</v>
      </c>
      <c r="M522">
        <v>3.7826277986099628</v>
      </c>
      <c r="N522">
        <v>-2.469435843802374</v>
      </c>
      <c r="O522">
        <v>-1.518665904687637</v>
      </c>
    </row>
    <row r="523" spans="1:15" x14ac:dyDescent="0.25">
      <c r="A523">
        <v>-222.861988</v>
      </c>
      <c r="B523">
        <v>302.37228399999998</v>
      </c>
      <c r="C523">
        <v>22.219761500000001</v>
      </c>
      <c r="D523">
        <v>-320.10831450000001</v>
      </c>
      <c r="E523">
        <v>-91.877673999999999</v>
      </c>
      <c r="F523">
        <v>4.8239549999999998</v>
      </c>
      <c r="G523">
        <v>324.2509915</v>
      </c>
      <c r="H523">
        <v>44</v>
      </c>
      <c r="I523">
        <v>16</v>
      </c>
      <c r="J523">
        <v>1.18</v>
      </c>
      <c r="K523">
        <v>23.268034</v>
      </c>
      <c r="L523">
        <v>-1.364527624921801</v>
      </c>
      <c r="M523">
        <v>3.4658444324883799</v>
      </c>
      <c r="N523">
        <v>-2.316933607471237</v>
      </c>
      <c r="O523">
        <v>-1.538416798626044</v>
      </c>
    </row>
    <row r="524" spans="1:15" x14ac:dyDescent="0.25">
      <c r="A524">
        <v>-275.58837125000002</v>
      </c>
      <c r="B524">
        <v>301.12200899999999</v>
      </c>
      <c r="C524">
        <v>40.284611499999997</v>
      </c>
      <c r="D524">
        <v>-343.6662445</v>
      </c>
      <c r="E524">
        <v>-113.28606625</v>
      </c>
      <c r="F524">
        <v>5.1650410000000004</v>
      </c>
      <c r="G524">
        <v>333.69241349999999</v>
      </c>
      <c r="H524">
        <v>44</v>
      </c>
      <c r="I524">
        <v>20</v>
      </c>
      <c r="J524">
        <v>1.18</v>
      </c>
      <c r="K524">
        <v>23.59715825</v>
      </c>
      <c r="L524">
        <v>-1.6087994503180509</v>
      </c>
      <c r="M524">
        <v>3.284051209426007</v>
      </c>
      <c r="N524">
        <v>-2.276562772514418</v>
      </c>
      <c r="O524">
        <v>-1.6033011955959959</v>
      </c>
    </row>
    <row r="525" spans="1:15" x14ac:dyDescent="0.25">
      <c r="A525">
        <v>-322.64739974999998</v>
      </c>
      <c r="B525">
        <v>294.07369999999997</v>
      </c>
      <c r="C525">
        <v>54.601003749999997</v>
      </c>
      <c r="D525">
        <v>-362.98464200000001</v>
      </c>
      <c r="E525">
        <v>-134.07004549999999</v>
      </c>
      <c r="F525">
        <v>5.3112205000000001</v>
      </c>
      <c r="G525">
        <v>338.05413824999999</v>
      </c>
      <c r="H525">
        <v>44</v>
      </c>
      <c r="I525">
        <v>24</v>
      </c>
      <c r="J525">
        <v>1.18</v>
      </c>
      <c r="K525">
        <v>23.7480385</v>
      </c>
      <c r="L525">
        <v>-1.8071874675731561</v>
      </c>
      <c r="M525">
        <v>3.1476866017301899</v>
      </c>
      <c r="N525">
        <v>-2.261747372570762</v>
      </c>
      <c r="O525">
        <v>-1.6676922594922701</v>
      </c>
    </row>
    <row r="526" spans="1:15" x14ac:dyDescent="0.25">
      <c r="A526">
        <v>-335.48551924999998</v>
      </c>
      <c r="B526">
        <v>253.82191474999999</v>
      </c>
      <c r="C526">
        <v>57.401057000000002</v>
      </c>
      <c r="D526">
        <v>-350.17856599999999</v>
      </c>
      <c r="E526">
        <v>-149.10052099999999</v>
      </c>
      <c r="F526">
        <v>4.5803224999999994</v>
      </c>
      <c r="G526">
        <v>307.90008549999999</v>
      </c>
      <c r="H526">
        <v>44</v>
      </c>
      <c r="I526">
        <v>28</v>
      </c>
      <c r="J526">
        <v>1.18</v>
      </c>
      <c r="K526">
        <v>22.673746000000001</v>
      </c>
      <c r="L526">
        <v>-2.028025265142444</v>
      </c>
      <c r="M526">
        <v>3.1178081295792071</v>
      </c>
      <c r="N526">
        <v>-2.3589984287374528</v>
      </c>
      <c r="O526">
        <v>-1.7932975735722521</v>
      </c>
    </row>
    <row r="527" spans="1:15" x14ac:dyDescent="0.25">
      <c r="A527">
        <v>-345.05998249999999</v>
      </c>
      <c r="B527">
        <v>219.77375025000001</v>
      </c>
      <c r="C527">
        <v>57.679621750000003</v>
      </c>
      <c r="D527">
        <v>-342.09281175000001</v>
      </c>
      <c r="E527">
        <v>-163.37277975000001</v>
      </c>
      <c r="F527">
        <v>4.0443312499999999</v>
      </c>
      <c r="G527">
        <v>284.49642949999998</v>
      </c>
      <c r="H527">
        <v>44</v>
      </c>
      <c r="I527">
        <v>32</v>
      </c>
      <c r="J527">
        <v>1.18</v>
      </c>
      <c r="K527">
        <v>21.802333999999998</v>
      </c>
      <c r="L527">
        <v>-2.2349222572728369</v>
      </c>
      <c r="M527">
        <v>3.1180673925244529</v>
      </c>
      <c r="N527">
        <v>-2.4854541417212981</v>
      </c>
      <c r="O527">
        <v>-1.929083576144196</v>
      </c>
    </row>
    <row r="528" spans="1:15" x14ac:dyDescent="0.25">
      <c r="A528">
        <v>-351.43452424999998</v>
      </c>
      <c r="B528">
        <v>190.65752825000001</v>
      </c>
      <c r="C528">
        <v>56.682181499999999</v>
      </c>
      <c r="D528">
        <v>-339.07703425</v>
      </c>
      <c r="E528">
        <v>-178.7154615</v>
      </c>
      <c r="F528">
        <v>3.7032449999999999</v>
      </c>
      <c r="G528">
        <v>267.45054625</v>
      </c>
      <c r="H528">
        <v>44</v>
      </c>
      <c r="I528">
        <v>36</v>
      </c>
      <c r="J528">
        <v>1.18</v>
      </c>
      <c r="K528">
        <v>21.143055</v>
      </c>
      <c r="L528">
        <v>-2.4506196512942768</v>
      </c>
      <c r="M528">
        <v>3.1808936083816262</v>
      </c>
      <c r="N528">
        <v>-2.6791361062432242</v>
      </c>
      <c r="O528">
        <v>-2.0953897131715782</v>
      </c>
    </row>
    <row r="529" spans="1:15" x14ac:dyDescent="0.25">
      <c r="A529">
        <v>-393.40177175000002</v>
      </c>
      <c r="B529">
        <v>180.76216099999999</v>
      </c>
      <c r="C529">
        <v>58.259137000000003</v>
      </c>
      <c r="D529">
        <v>-376.83967575000003</v>
      </c>
      <c r="E529">
        <v>-217.47357575000001</v>
      </c>
      <c r="F529">
        <v>3.8494245</v>
      </c>
      <c r="G529">
        <v>278.19806675000001</v>
      </c>
      <c r="H529">
        <v>44</v>
      </c>
      <c r="I529">
        <v>40</v>
      </c>
      <c r="J529">
        <v>1.18</v>
      </c>
      <c r="K529">
        <v>21.563793499999999</v>
      </c>
      <c r="L529">
        <v>-2.6941966774144959</v>
      </c>
      <c r="M529">
        <v>3.326187439261405</v>
      </c>
      <c r="N529">
        <v>-2.9568020418843348</v>
      </c>
      <c r="O529">
        <v>-2.320235325213694</v>
      </c>
    </row>
    <row r="530" spans="1:15" x14ac:dyDescent="0.25">
      <c r="A530">
        <v>-440.57189175000002</v>
      </c>
      <c r="B530">
        <v>170.18001575</v>
      </c>
      <c r="C530">
        <v>58.936568999999999</v>
      </c>
      <c r="D530">
        <v>-420.93981174999999</v>
      </c>
      <c r="E530">
        <v>-262.60959624999998</v>
      </c>
      <c r="F530">
        <v>4.3854164999999998</v>
      </c>
      <c r="G530">
        <v>293.52237700000001</v>
      </c>
      <c r="H530">
        <v>44</v>
      </c>
      <c r="I530">
        <v>44</v>
      </c>
      <c r="J530">
        <v>1.18</v>
      </c>
      <c r="K530">
        <v>22.137349</v>
      </c>
      <c r="L530">
        <v>-2.9710484261822838</v>
      </c>
      <c r="M530">
        <v>3.5159703223870351</v>
      </c>
      <c r="N530">
        <v>-3.3080676885002469</v>
      </c>
      <c r="O530">
        <v>-2.58827646339078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6E45-750B-4733-843B-62B73D3CA822}">
  <dimension ref="A1:O530"/>
  <sheetViews>
    <sheetView topLeftCell="A495" workbookViewId="0">
      <selection activeCell="T516" sqref="T51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69.738925999999992</v>
      </c>
      <c r="B2">
        <v>-352.605301</v>
      </c>
      <c r="C2">
        <v>-371.06929774999998</v>
      </c>
      <c r="D2">
        <v>165.35839849999999</v>
      </c>
      <c r="E2">
        <v>-158.77890024999999</v>
      </c>
      <c r="F2">
        <v>4.8726905</v>
      </c>
      <c r="G2">
        <v>265.42539975</v>
      </c>
      <c r="H2">
        <v>-44</v>
      </c>
      <c r="I2">
        <v>-44</v>
      </c>
      <c r="J2">
        <v>1.18</v>
      </c>
      <c r="K2">
        <v>21.014608500000001</v>
      </c>
      <c r="L2">
        <v>2.1708323263119409</v>
      </c>
      <c r="M2">
        <v>-2.550840004875957</v>
      </c>
      <c r="N2">
        <v>-2.089110059699709</v>
      </c>
      <c r="O2">
        <v>-1.8059431190146149</v>
      </c>
    </row>
    <row r="3" spans="1:15" x14ac:dyDescent="0.25">
      <c r="A3">
        <v>74.027082500000006</v>
      </c>
      <c r="B3">
        <v>-346.0078355</v>
      </c>
      <c r="C3">
        <v>-367.68569174999999</v>
      </c>
      <c r="D3">
        <v>190.78332900000001</v>
      </c>
      <c r="E3">
        <v>-140.5371705</v>
      </c>
      <c r="F3">
        <v>5.31122725</v>
      </c>
      <c r="G3">
        <v>276.237549</v>
      </c>
      <c r="H3">
        <v>-44</v>
      </c>
      <c r="I3">
        <v>-40</v>
      </c>
      <c r="J3">
        <v>1.18</v>
      </c>
      <c r="K3">
        <v>21.428871749999999</v>
      </c>
      <c r="L3">
        <v>2.042081346282985</v>
      </c>
      <c r="M3">
        <v>-2.4816422925322961</v>
      </c>
      <c r="N3">
        <v>-1.926806872918025</v>
      </c>
      <c r="O3">
        <v>-1.6742892088190191</v>
      </c>
    </row>
    <row r="4" spans="1:15" x14ac:dyDescent="0.25">
      <c r="A4">
        <v>78.721477499999992</v>
      </c>
      <c r="B4">
        <v>-346.65576175000001</v>
      </c>
      <c r="C4">
        <v>-364.30208575</v>
      </c>
      <c r="D4">
        <v>220.01168824999999</v>
      </c>
      <c r="E4">
        <v>-124.79307925000001</v>
      </c>
      <c r="F4">
        <v>5.7010415000000014</v>
      </c>
      <c r="G4">
        <v>291.01858549999997</v>
      </c>
      <c r="H4">
        <v>-44</v>
      </c>
      <c r="I4">
        <v>-36</v>
      </c>
      <c r="J4">
        <v>1.18</v>
      </c>
      <c r="K4">
        <v>21.990644499999998</v>
      </c>
      <c r="L4">
        <v>1.9205047894036269</v>
      </c>
      <c r="M4">
        <v>-2.4565365682317468</v>
      </c>
      <c r="N4">
        <v>-1.8026082128908729</v>
      </c>
      <c r="O4">
        <v>-1.5657346139210531</v>
      </c>
    </row>
    <row r="5" spans="1:15" x14ac:dyDescent="0.25">
      <c r="A5">
        <v>80.256187499999996</v>
      </c>
      <c r="B5">
        <v>-342.52948774999999</v>
      </c>
      <c r="C5">
        <v>-347.60958849999997</v>
      </c>
      <c r="D5">
        <v>248.09720625</v>
      </c>
      <c r="E5">
        <v>-107.93397175</v>
      </c>
      <c r="F5">
        <v>5.7984927499999994</v>
      </c>
      <c r="G5">
        <v>305.34341425000002</v>
      </c>
      <c r="H5">
        <v>-44</v>
      </c>
      <c r="I5">
        <v>-32</v>
      </c>
      <c r="J5">
        <v>1.18</v>
      </c>
      <c r="K5">
        <v>22.532266499999999</v>
      </c>
      <c r="L5">
        <v>1.8042992029771561</v>
      </c>
      <c r="M5">
        <v>-2.4906971725486962</v>
      </c>
      <c r="N5">
        <v>-1.742813441467872</v>
      </c>
      <c r="O5">
        <v>-1.4796096230078459</v>
      </c>
    </row>
    <row r="6" spans="1:15" x14ac:dyDescent="0.25">
      <c r="A6">
        <v>76.013171999999997</v>
      </c>
      <c r="B6">
        <v>-339.55473325000003</v>
      </c>
      <c r="C6">
        <v>-322.43554675000001</v>
      </c>
      <c r="D6">
        <v>274.41428350000001</v>
      </c>
      <c r="E6">
        <v>-94.553730250000001</v>
      </c>
      <c r="F6">
        <v>6.0908542499999996</v>
      </c>
      <c r="G6">
        <v>317.14746100000002</v>
      </c>
      <c r="H6">
        <v>-44</v>
      </c>
      <c r="I6">
        <v>-28</v>
      </c>
      <c r="J6">
        <v>1.18</v>
      </c>
      <c r="K6">
        <v>22.961147749999999</v>
      </c>
      <c r="L6">
        <v>1.685197016677799</v>
      </c>
      <c r="M6">
        <v>-2.59673393566315</v>
      </c>
      <c r="N6">
        <v>-1.7412701467049321</v>
      </c>
      <c r="O6">
        <v>-1.4256768503398309</v>
      </c>
    </row>
    <row r="7" spans="1:15" x14ac:dyDescent="0.25">
      <c r="A7">
        <v>66.082712000000001</v>
      </c>
      <c r="B7">
        <v>-335.76430525000001</v>
      </c>
      <c r="C7">
        <v>-288.01293175000001</v>
      </c>
      <c r="D7">
        <v>296.60365324999998</v>
      </c>
      <c r="E7">
        <v>-80.058464000000001</v>
      </c>
      <c r="F7">
        <v>6.5781192500000003</v>
      </c>
      <c r="G7">
        <v>327.73200224999999</v>
      </c>
      <c r="H7">
        <v>-44</v>
      </c>
      <c r="I7">
        <v>-24</v>
      </c>
      <c r="J7">
        <v>1.18</v>
      </c>
      <c r="K7">
        <v>23.330850000000002</v>
      </c>
      <c r="L7">
        <v>1.527381315957705</v>
      </c>
      <c r="M7">
        <v>-2.727718214093902</v>
      </c>
      <c r="N7">
        <v>-1.758999696079155</v>
      </c>
      <c r="O7">
        <v>-1.373697439642998</v>
      </c>
    </row>
    <row r="8" spans="1:15" x14ac:dyDescent="0.25">
      <c r="A8">
        <v>52.586312</v>
      </c>
      <c r="B8">
        <v>-332.64559150000002</v>
      </c>
      <c r="C8">
        <v>-251.69551849999999</v>
      </c>
      <c r="D8">
        <v>317.53183725000002</v>
      </c>
      <c r="E8">
        <v>-69.265063999999995</v>
      </c>
      <c r="F8">
        <v>6.6268459999999996</v>
      </c>
      <c r="G8">
        <v>338.51468675000001</v>
      </c>
      <c r="H8">
        <v>-44</v>
      </c>
      <c r="I8">
        <v>-20</v>
      </c>
      <c r="J8">
        <v>1.18</v>
      </c>
      <c r="K8">
        <v>23.71754</v>
      </c>
      <c r="L8">
        <v>1.365076365363495</v>
      </c>
      <c r="M8">
        <v>-2.9168871031618382</v>
      </c>
      <c r="N8">
        <v>-1.8294309274366041</v>
      </c>
      <c r="O8">
        <v>-1.3404687071926069</v>
      </c>
    </row>
    <row r="9" spans="1:15" x14ac:dyDescent="0.25">
      <c r="A9">
        <v>28.617793750000001</v>
      </c>
      <c r="B9">
        <v>-293.92572024999998</v>
      </c>
      <c r="C9">
        <v>-184.88048950000001</v>
      </c>
      <c r="D9">
        <v>295.75856025000002</v>
      </c>
      <c r="E9">
        <v>-51.157131499999998</v>
      </c>
      <c r="F9">
        <v>5.8959475000000001</v>
      </c>
      <c r="G9">
        <v>307.92212699999999</v>
      </c>
      <c r="H9">
        <v>-44</v>
      </c>
      <c r="I9">
        <v>-16</v>
      </c>
      <c r="J9">
        <v>1.18</v>
      </c>
      <c r="K9">
        <v>22.62536025</v>
      </c>
      <c r="L9">
        <v>1.1342029303791099</v>
      </c>
      <c r="M9">
        <v>-3.1327489891011528</v>
      </c>
      <c r="N9">
        <v>-1.9077267278563279</v>
      </c>
      <c r="O9">
        <v>-1.303233967898946</v>
      </c>
    </row>
    <row r="10" spans="1:15" x14ac:dyDescent="0.25">
      <c r="A10">
        <v>4.1076129999999997</v>
      </c>
      <c r="B10">
        <v>-269.02405575</v>
      </c>
      <c r="C10">
        <v>-132.14127725</v>
      </c>
      <c r="D10">
        <v>280.44303124999999</v>
      </c>
      <c r="E10">
        <v>-42.816780250000001</v>
      </c>
      <c r="F10">
        <v>5.5061355000000001</v>
      </c>
      <c r="G10">
        <v>286.88053875000003</v>
      </c>
      <c r="H10">
        <v>-44</v>
      </c>
      <c r="I10">
        <v>-12</v>
      </c>
      <c r="J10">
        <v>1.18</v>
      </c>
      <c r="K10">
        <v>21.838151750000002</v>
      </c>
      <c r="L10">
        <v>0.86366641596276006</v>
      </c>
      <c r="M10">
        <v>-3.4831498599545321</v>
      </c>
      <c r="N10">
        <v>-2.090083936505736</v>
      </c>
      <c r="O10">
        <v>-1.306436071424312</v>
      </c>
    </row>
    <row r="11" spans="1:15" x14ac:dyDescent="0.25">
      <c r="A11">
        <v>-17.612214000000002</v>
      </c>
      <c r="B11">
        <v>-246.90526975</v>
      </c>
      <c r="C11">
        <v>-86.124170500000005</v>
      </c>
      <c r="D11">
        <v>265.94114674999997</v>
      </c>
      <c r="E11">
        <v>-31.39897225</v>
      </c>
      <c r="F11">
        <v>4.9701434999999998</v>
      </c>
      <c r="G11">
        <v>268.87548824999999</v>
      </c>
      <c r="H11">
        <v>-44</v>
      </c>
      <c r="I11">
        <v>-8</v>
      </c>
      <c r="J11">
        <v>1.18</v>
      </c>
      <c r="K11">
        <v>21.149362</v>
      </c>
      <c r="L11">
        <v>0.50708401796103353</v>
      </c>
      <c r="M11">
        <v>-3.7956171840182842</v>
      </c>
      <c r="N11">
        <v>-2.2223572098399642</v>
      </c>
      <c r="O11">
        <v>-1.2691762769570889</v>
      </c>
    </row>
    <row r="12" spans="1:15" x14ac:dyDescent="0.25">
      <c r="A12">
        <v>-47.656576999999999</v>
      </c>
      <c r="B12">
        <v>-253.23862825</v>
      </c>
      <c r="C12">
        <v>-55.175410499999998</v>
      </c>
      <c r="D12">
        <v>271.7946475</v>
      </c>
      <c r="E12">
        <v>-31.220569000000001</v>
      </c>
      <c r="F12">
        <v>5.2137760000000002</v>
      </c>
      <c r="G12">
        <v>274.63709275000002</v>
      </c>
      <c r="H12">
        <v>-44</v>
      </c>
      <c r="I12">
        <v>-4</v>
      </c>
      <c r="J12">
        <v>1.18</v>
      </c>
      <c r="K12">
        <v>21.36934475</v>
      </c>
      <c r="L12">
        <v>6.1049093782789027E-2</v>
      </c>
      <c r="M12">
        <v>-4.2692940788546672</v>
      </c>
      <c r="N12">
        <v>-2.4871235525714841</v>
      </c>
      <c r="O12">
        <v>-1.2963024555859139</v>
      </c>
    </row>
    <row r="13" spans="1:15" x14ac:dyDescent="0.25">
      <c r="A13">
        <v>-82.835962249999994</v>
      </c>
      <c r="B13">
        <v>-270.27155299999998</v>
      </c>
      <c r="C13">
        <v>-23.955964000000002</v>
      </c>
      <c r="D13">
        <v>289.62519075</v>
      </c>
      <c r="E13">
        <v>-29.9271475</v>
      </c>
      <c r="F13">
        <v>5.7497680000000004</v>
      </c>
      <c r="G13">
        <v>291.84191900000002</v>
      </c>
      <c r="H13">
        <v>-44</v>
      </c>
      <c r="I13">
        <v>0</v>
      </c>
      <c r="J13">
        <v>1.18</v>
      </c>
      <c r="K13">
        <v>22.020467249999999</v>
      </c>
      <c r="L13">
        <v>-0.40149584207080902</v>
      </c>
      <c r="M13">
        <v>-3.8187286442587491</v>
      </c>
      <c r="N13">
        <v>-2.194629512921574</v>
      </c>
      <c r="O13">
        <v>-1.2433358414025091</v>
      </c>
    </row>
    <row r="14" spans="1:15" x14ac:dyDescent="0.25">
      <c r="A14">
        <v>-120.6278935</v>
      </c>
      <c r="B14">
        <v>-285.19333625000002</v>
      </c>
      <c r="C14">
        <v>6.6388090000000002</v>
      </c>
      <c r="D14">
        <v>301.25933850000001</v>
      </c>
      <c r="E14">
        <v>-28.9013265</v>
      </c>
      <c r="F14">
        <v>6.0421279999999999</v>
      </c>
      <c r="G14">
        <v>306.20594799999998</v>
      </c>
      <c r="H14">
        <v>-44</v>
      </c>
      <c r="I14">
        <v>4</v>
      </c>
      <c r="J14">
        <v>1.18</v>
      </c>
      <c r="K14">
        <v>22.55553175</v>
      </c>
      <c r="L14">
        <v>-0.73141195251347146</v>
      </c>
      <c r="M14">
        <v>-3.3704925652096969</v>
      </c>
      <c r="N14">
        <v>-1.9260647026069599</v>
      </c>
      <c r="O14">
        <v>-1.200968235517335</v>
      </c>
    </row>
    <row r="15" spans="1:15" x14ac:dyDescent="0.25">
      <c r="A15">
        <v>-168.059246</v>
      </c>
      <c r="B15">
        <v>-302.03433224999998</v>
      </c>
      <c r="C15">
        <v>36.4909745</v>
      </c>
      <c r="D15">
        <v>309.64612599999998</v>
      </c>
      <c r="E15">
        <v>-32.380192749999999</v>
      </c>
      <c r="F15">
        <v>6.3344867499999999</v>
      </c>
      <c r="G15">
        <v>317.44910449999998</v>
      </c>
      <c r="H15">
        <v>-44</v>
      </c>
      <c r="I15">
        <v>8</v>
      </c>
      <c r="J15">
        <v>1.18</v>
      </c>
      <c r="K15">
        <v>22.96329025</v>
      </c>
      <c r="L15">
        <v>-1.009291950157795</v>
      </c>
      <c r="M15">
        <v>-3.018466435932988</v>
      </c>
      <c r="N15">
        <v>-1.7263874402938371</v>
      </c>
      <c r="O15">
        <v>-1.191137324498543</v>
      </c>
    </row>
    <row r="16" spans="1:15" x14ac:dyDescent="0.25">
      <c r="A16">
        <v>-216.48157499999999</v>
      </c>
      <c r="B16">
        <v>-320.07482924999999</v>
      </c>
      <c r="C16">
        <v>61.149492250000002</v>
      </c>
      <c r="D16">
        <v>316.69949350000002</v>
      </c>
      <c r="E16">
        <v>-41.300355000000003</v>
      </c>
      <c r="F16">
        <v>6.28576025</v>
      </c>
      <c r="G16">
        <v>329.0123595</v>
      </c>
      <c r="H16">
        <v>-44</v>
      </c>
      <c r="I16">
        <v>12</v>
      </c>
      <c r="J16">
        <v>1.18</v>
      </c>
      <c r="K16">
        <v>23.387897500000001</v>
      </c>
      <c r="L16">
        <v>-1.223182800522048</v>
      </c>
      <c r="M16">
        <v>-2.805485883851107</v>
      </c>
      <c r="N16">
        <v>-1.6315318557963101</v>
      </c>
      <c r="O16">
        <v>-1.209671302695809</v>
      </c>
    </row>
    <row r="17" spans="1:15" x14ac:dyDescent="0.25">
      <c r="A17">
        <v>-266.66061400000001</v>
      </c>
      <c r="B17">
        <v>-333.46125799999999</v>
      </c>
      <c r="C17">
        <v>85.446716500000008</v>
      </c>
      <c r="D17">
        <v>317.75097649999998</v>
      </c>
      <c r="E17">
        <v>-52.004548999999997</v>
      </c>
      <c r="F17">
        <v>6.7730257500000004</v>
      </c>
      <c r="G17">
        <v>338.97515900000002</v>
      </c>
      <c r="H17">
        <v>-44</v>
      </c>
      <c r="I17">
        <v>16</v>
      </c>
      <c r="J17">
        <v>1.18</v>
      </c>
      <c r="K17">
        <v>23.72876625</v>
      </c>
      <c r="L17">
        <v>-1.4194723245789591</v>
      </c>
      <c r="M17">
        <v>-2.6252626474387069</v>
      </c>
      <c r="N17">
        <v>-1.5761917212439081</v>
      </c>
      <c r="O17">
        <v>-1.236948070618094</v>
      </c>
    </row>
    <row r="18" spans="1:15" x14ac:dyDescent="0.25">
      <c r="A18">
        <v>-281.39001450000001</v>
      </c>
      <c r="B18">
        <v>-314.36519600000003</v>
      </c>
      <c r="C18">
        <v>93.711383749999996</v>
      </c>
      <c r="D18">
        <v>281.28344750000002</v>
      </c>
      <c r="E18">
        <v>-59.631287499999999</v>
      </c>
      <c r="F18">
        <v>6.0908542499999996</v>
      </c>
      <c r="G18">
        <v>310.16706850000003</v>
      </c>
      <c r="H18">
        <v>-44</v>
      </c>
      <c r="I18">
        <v>20</v>
      </c>
      <c r="J18">
        <v>1.18</v>
      </c>
      <c r="K18">
        <v>22.702024999999999</v>
      </c>
      <c r="L18">
        <v>-1.574434273224768</v>
      </c>
      <c r="M18">
        <v>-2.5001658621009848</v>
      </c>
      <c r="N18">
        <v>-1.5521921849654681</v>
      </c>
      <c r="O18">
        <v>-1.275871962131133</v>
      </c>
    </row>
    <row r="19" spans="1:15" x14ac:dyDescent="0.25">
      <c r="A19">
        <v>-297.56082149999997</v>
      </c>
      <c r="B19">
        <v>-308.36769874999999</v>
      </c>
      <c r="C19">
        <v>97.188865499999991</v>
      </c>
      <c r="D19">
        <v>249.91775899999999</v>
      </c>
      <c r="E19">
        <v>-73.145334250000005</v>
      </c>
      <c r="F19">
        <v>5.6035884999999999</v>
      </c>
      <c r="G19">
        <v>289.52127100000001</v>
      </c>
      <c r="H19">
        <v>-44</v>
      </c>
      <c r="I19">
        <v>24</v>
      </c>
      <c r="J19">
        <v>1.18</v>
      </c>
      <c r="K19">
        <v>21.936626749999999</v>
      </c>
      <c r="L19">
        <v>-1.717680884859377</v>
      </c>
      <c r="M19">
        <v>-2.4293166974333129</v>
      </c>
      <c r="N19">
        <v>-1.5781420604102481</v>
      </c>
      <c r="O19">
        <v>-1.342694411595049</v>
      </c>
    </row>
    <row r="20" spans="1:15" x14ac:dyDescent="0.25">
      <c r="A20">
        <v>-303.23635875000002</v>
      </c>
      <c r="B20">
        <v>-301.60250875000003</v>
      </c>
      <c r="C20">
        <v>96.782408000000004</v>
      </c>
      <c r="D20">
        <v>218.07021725000001</v>
      </c>
      <c r="E20">
        <v>-87.283792500000004</v>
      </c>
      <c r="F20">
        <v>5.1163232499999998</v>
      </c>
      <c r="G20">
        <v>267.27503174999998</v>
      </c>
      <c r="H20">
        <v>-44</v>
      </c>
      <c r="I20">
        <v>28</v>
      </c>
      <c r="J20">
        <v>1.18</v>
      </c>
      <c r="K20">
        <v>21.079253999999999</v>
      </c>
      <c r="L20">
        <v>-1.8594045341728931</v>
      </c>
      <c r="M20">
        <v>-2.415570769259519</v>
      </c>
      <c r="N20">
        <v>-1.6480873881838249</v>
      </c>
      <c r="O20">
        <v>-1.429511309670835</v>
      </c>
    </row>
    <row r="21" spans="1:15" x14ac:dyDescent="0.25">
      <c r="A21">
        <v>-333.73117074999999</v>
      </c>
      <c r="B21">
        <v>-328.23143750000003</v>
      </c>
      <c r="C21">
        <v>100.98249625</v>
      </c>
      <c r="D21">
        <v>205.81747050000001</v>
      </c>
      <c r="E21">
        <v>-116.58653049999999</v>
      </c>
      <c r="F21">
        <v>5.1650495000000003</v>
      </c>
      <c r="G21">
        <v>270.71598825000001</v>
      </c>
      <c r="H21">
        <v>-44</v>
      </c>
      <c r="I21">
        <v>32</v>
      </c>
      <c r="J21">
        <v>1.18</v>
      </c>
      <c r="K21">
        <v>21.21522225</v>
      </c>
      <c r="L21">
        <v>-2.0276676600357608</v>
      </c>
      <c r="M21">
        <v>-2.491008292755077</v>
      </c>
      <c r="N21">
        <v>-1.806554817984277</v>
      </c>
      <c r="O21">
        <v>-1.5679230196462439</v>
      </c>
    </row>
    <row r="22" spans="1:15" x14ac:dyDescent="0.25">
      <c r="A22">
        <v>-380.35171500000001</v>
      </c>
      <c r="B22">
        <v>-373.08883674999998</v>
      </c>
      <c r="C22">
        <v>109.9245835</v>
      </c>
      <c r="D22">
        <v>201.59885775000001</v>
      </c>
      <c r="E22">
        <v>-157.12866975</v>
      </c>
      <c r="F22">
        <v>5.4086824999999994</v>
      </c>
      <c r="G22">
        <v>287.96083824999999</v>
      </c>
      <c r="H22">
        <v>-44</v>
      </c>
      <c r="I22">
        <v>36</v>
      </c>
      <c r="J22">
        <v>1.18</v>
      </c>
      <c r="K22">
        <v>21.883826249999998</v>
      </c>
      <c r="L22">
        <v>-2.23280465456694</v>
      </c>
      <c r="M22">
        <v>-2.6172546260038052</v>
      </c>
      <c r="N22">
        <v>-2.0271064268837979</v>
      </c>
      <c r="O22">
        <v>-1.7402985990695301</v>
      </c>
    </row>
    <row r="23" spans="1:15" x14ac:dyDescent="0.25">
      <c r="A23">
        <v>-425.71106724999999</v>
      </c>
      <c r="B23">
        <v>-414.20206424999998</v>
      </c>
      <c r="C23">
        <v>112.54398925</v>
      </c>
      <c r="D23">
        <v>188.80727400000001</v>
      </c>
      <c r="E23">
        <v>-205.07454675</v>
      </c>
      <c r="F23">
        <v>5.7984945000000003</v>
      </c>
      <c r="G23">
        <v>301.16454299999998</v>
      </c>
      <c r="H23">
        <v>-44</v>
      </c>
      <c r="I23">
        <v>40</v>
      </c>
      <c r="J23">
        <v>1.18</v>
      </c>
      <c r="K23">
        <v>22.374538999999999</v>
      </c>
      <c r="L23">
        <v>-2.504964000632707</v>
      </c>
      <c r="M23">
        <v>-2.8063262644588538</v>
      </c>
      <c r="N23">
        <v>-2.356007225150599</v>
      </c>
      <c r="O23">
        <v>-1.981405218085134</v>
      </c>
    </row>
    <row r="24" spans="1:15" x14ac:dyDescent="0.25">
      <c r="A24">
        <v>-469.26864625000002</v>
      </c>
      <c r="B24">
        <v>-458.92933649999998</v>
      </c>
      <c r="C24">
        <v>111.91172225</v>
      </c>
      <c r="D24">
        <v>174.175804</v>
      </c>
      <c r="E24">
        <v>-256.49926749999997</v>
      </c>
      <c r="F24">
        <v>5.8472212499999996</v>
      </c>
      <c r="G24">
        <v>314.04815674999998</v>
      </c>
      <c r="H24">
        <v>-44</v>
      </c>
      <c r="I24">
        <v>44</v>
      </c>
      <c r="J24">
        <v>1.18</v>
      </c>
      <c r="K24">
        <v>22.855501499999999</v>
      </c>
      <c r="L24">
        <v>-2.7998192003900928</v>
      </c>
      <c r="M24">
        <v>-3.0500304577791062</v>
      </c>
      <c r="N24">
        <v>-2.7488739502232691</v>
      </c>
      <c r="O24">
        <v>-2.2640095530870381</v>
      </c>
    </row>
    <row r="25" spans="1:15" x14ac:dyDescent="0.25">
      <c r="A25">
        <v>129.81821074999999</v>
      </c>
      <c r="B25">
        <v>-439.30944799999997</v>
      </c>
      <c r="C25">
        <v>-454.50289175</v>
      </c>
      <c r="D25">
        <v>203.57016350000001</v>
      </c>
      <c r="E25">
        <v>-149.63573450000001</v>
      </c>
      <c r="F25">
        <v>6.7242990000000002</v>
      </c>
      <c r="G25">
        <v>329.25242600000001</v>
      </c>
      <c r="H25">
        <v>-40</v>
      </c>
      <c r="I25">
        <v>-44</v>
      </c>
      <c r="J25">
        <v>1.18</v>
      </c>
      <c r="K25">
        <v>23.380711000000002</v>
      </c>
      <c r="L25">
        <v>1.965631247749781</v>
      </c>
      <c r="M25">
        <v>-2.1626143947458969</v>
      </c>
      <c r="N25">
        <v>-1.6109598883011991</v>
      </c>
      <c r="O25">
        <v>-1.525992247578541</v>
      </c>
    </row>
    <row r="26" spans="1:15" x14ac:dyDescent="0.25">
      <c r="A26">
        <v>135.55079649999999</v>
      </c>
      <c r="B26">
        <v>-418.63448325000002</v>
      </c>
      <c r="C26">
        <v>-437.67948925000002</v>
      </c>
      <c r="D26">
        <v>234.27872450000001</v>
      </c>
      <c r="E26">
        <v>-119.351778</v>
      </c>
      <c r="F26">
        <v>6.6268459999999996</v>
      </c>
      <c r="G26">
        <v>338.21494324999998</v>
      </c>
      <c r="H26">
        <v>-40</v>
      </c>
      <c r="I26">
        <v>-40</v>
      </c>
      <c r="J26">
        <v>1.18</v>
      </c>
      <c r="K26">
        <v>23.70682</v>
      </c>
      <c r="L26">
        <v>1.8563157938734489</v>
      </c>
      <c r="M26">
        <v>-2.1143718759302468</v>
      </c>
      <c r="N26">
        <v>-1.481782393858692</v>
      </c>
      <c r="O26">
        <v>-1.4079653714719049</v>
      </c>
    </row>
    <row r="27" spans="1:15" x14ac:dyDescent="0.25">
      <c r="A27">
        <v>125.665474</v>
      </c>
      <c r="B27">
        <v>-351.59664125</v>
      </c>
      <c r="C27">
        <v>-367.86002350000001</v>
      </c>
      <c r="D27">
        <v>235.85577749999999</v>
      </c>
      <c r="E27">
        <v>-79.880058250000005</v>
      </c>
      <c r="F27">
        <v>6.1395799999999996</v>
      </c>
      <c r="G27">
        <v>310.64720925</v>
      </c>
      <c r="H27">
        <v>-40</v>
      </c>
      <c r="I27">
        <v>-36</v>
      </c>
      <c r="J27">
        <v>1.18</v>
      </c>
      <c r="K27">
        <v>22.718111499999999</v>
      </c>
      <c r="L27">
        <v>1.7635853850628489</v>
      </c>
      <c r="M27">
        <v>-2.0992512337702962</v>
      </c>
      <c r="N27">
        <v>-1.3955701133407179</v>
      </c>
      <c r="O27">
        <v>-1.307414749637386</v>
      </c>
    </row>
    <row r="28" spans="1:15" x14ac:dyDescent="0.25">
      <c r="A28">
        <v>112.84615125000001</v>
      </c>
      <c r="B28">
        <v>-298.56539149999998</v>
      </c>
      <c r="C28">
        <v>-302.64110549999998</v>
      </c>
      <c r="D28">
        <v>234.45396400000001</v>
      </c>
      <c r="E28">
        <v>-50.1313125</v>
      </c>
      <c r="F28">
        <v>5.4574090000000002</v>
      </c>
      <c r="G28">
        <v>286.44041425</v>
      </c>
      <c r="H28">
        <v>-40</v>
      </c>
      <c r="I28">
        <v>-32</v>
      </c>
      <c r="J28">
        <v>1.18</v>
      </c>
      <c r="K28">
        <v>21.822956000000001</v>
      </c>
      <c r="L28">
        <v>1.6588144923581849</v>
      </c>
      <c r="M28">
        <v>-2.1280572231422501</v>
      </c>
      <c r="N28">
        <v>-1.343746282636239</v>
      </c>
      <c r="O28">
        <v>-1.2219327898094849</v>
      </c>
    </row>
    <row r="29" spans="1:15" x14ac:dyDescent="0.25">
      <c r="A29">
        <v>100.478216</v>
      </c>
      <c r="B29">
        <v>-259.37361525</v>
      </c>
      <c r="C29">
        <v>-246.32365425</v>
      </c>
      <c r="D29">
        <v>234.80441275000001</v>
      </c>
      <c r="E29">
        <v>-28.85672675</v>
      </c>
      <c r="F29">
        <v>5.1650495000000003</v>
      </c>
      <c r="G29">
        <v>269.23558800000001</v>
      </c>
      <c r="H29">
        <v>-40</v>
      </c>
      <c r="I29">
        <v>-28</v>
      </c>
      <c r="J29">
        <v>1.18</v>
      </c>
      <c r="K29">
        <v>21.15600375</v>
      </c>
      <c r="L29">
        <v>1.5482737484047031</v>
      </c>
      <c r="M29">
        <v>-2.2062206456969959</v>
      </c>
      <c r="N29">
        <v>-1.330806982547887</v>
      </c>
      <c r="O29">
        <v>-1.151876064084987</v>
      </c>
    </row>
    <row r="30" spans="1:15" x14ac:dyDescent="0.25">
      <c r="A30">
        <v>91.540802249999999</v>
      </c>
      <c r="B30">
        <v>-244.29429250000001</v>
      </c>
      <c r="C30">
        <v>-209.48570275</v>
      </c>
      <c r="D30">
        <v>248.07787300000001</v>
      </c>
      <c r="E30">
        <v>-14.004655250000001</v>
      </c>
      <c r="F30">
        <v>5.2137762499999996</v>
      </c>
      <c r="G30">
        <v>271.51622049999997</v>
      </c>
      <c r="H30">
        <v>-40</v>
      </c>
      <c r="I30">
        <v>-24</v>
      </c>
      <c r="J30">
        <v>1.18</v>
      </c>
      <c r="K30">
        <v>21.245225999999999</v>
      </c>
      <c r="L30">
        <v>1.4140634566424011</v>
      </c>
      <c r="M30">
        <v>-2.312891881896618</v>
      </c>
      <c r="N30">
        <v>-1.3412467379325359</v>
      </c>
      <c r="O30">
        <v>-1.0903018083446609</v>
      </c>
    </row>
    <row r="31" spans="1:15" x14ac:dyDescent="0.25">
      <c r="A31">
        <v>83.551294249999998</v>
      </c>
      <c r="B31">
        <v>-242.4574815</v>
      </c>
      <c r="C31">
        <v>-179.64524449999999</v>
      </c>
      <c r="D31">
        <v>271.95257574999999</v>
      </c>
      <c r="E31">
        <v>1.02916875</v>
      </c>
      <c r="F31">
        <v>5.4086825000000003</v>
      </c>
      <c r="G31">
        <v>286.84052274999999</v>
      </c>
      <c r="H31">
        <v>-40</v>
      </c>
      <c r="I31">
        <v>-20</v>
      </c>
      <c r="J31">
        <v>1.18</v>
      </c>
      <c r="K31">
        <v>21.840388749999999</v>
      </c>
      <c r="L31">
        <v>1.2410227180608371</v>
      </c>
      <c r="M31">
        <v>-2.4255448938885822</v>
      </c>
      <c r="N31">
        <v>-1.347655669606594</v>
      </c>
      <c r="O31">
        <v>-1.020647802947785</v>
      </c>
    </row>
    <row r="32" spans="1:15" x14ac:dyDescent="0.25">
      <c r="A32">
        <v>68.700740749999994</v>
      </c>
      <c r="B32">
        <v>-248.24482374999999</v>
      </c>
      <c r="C32">
        <v>-146.76515975000001</v>
      </c>
      <c r="D32">
        <v>293.94360325000002</v>
      </c>
      <c r="E32">
        <v>10.72921975</v>
      </c>
      <c r="F32">
        <v>5.6523149999999998</v>
      </c>
      <c r="G32">
        <v>302.12480925</v>
      </c>
      <c r="H32">
        <v>-40</v>
      </c>
      <c r="I32">
        <v>-16</v>
      </c>
      <c r="J32">
        <v>1.18</v>
      </c>
      <c r="K32">
        <v>22.416404249999999</v>
      </c>
      <c r="L32">
        <v>1.034710806599074</v>
      </c>
      <c r="M32">
        <v>-2.6037741868861581</v>
      </c>
      <c r="N32">
        <v>-1.3993823294395811</v>
      </c>
      <c r="O32">
        <v>-0.97561633087927779</v>
      </c>
    </row>
    <row r="33" spans="1:15" x14ac:dyDescent="0.25">
      <c r="A33">
        <v>48.881764250000003</v>
      </c>
      <c r="B33">
        <v>-251.79459374999999</v>
      </c>
      <c r="C33">
        <v>-106.89409999999999</v>
      </c>
      <c r="D33">
        <v>310.23972325</v>
      </c>
      <c r="E33">
        <v>21.637238499999999</v>
      </c>
      <c r="F33">
        <v>6.1395805000000001</v>
      </c>
      <c r="G33">
        <v>314.56829825</v>
      </c>
      <c r="H33">
        <v>-40</v>
      </c>
      <c r="I33">
        <v>-12</v>
      </c>
      <c r="J33">
        <v>1.18</v>
      </c>
      <c r="K33">
        <v>22.863951499999999</v>
      </c>
      <c r="L33">
        <v>0.77507581554563132</v>
      </c>
      <c r="M33">
        <v>-2.796457252225423</v>
      </c>
      <c r="N33">
        <v>-1.4575108914882851</v>
      </c>
      <c r="O33">
        <v>-0.92289370010343019</v>
      </c>
    </row>
    <row r="34" spans="1:15" x14ac:dyDescent="0.25">
      <c r="A34">
        <v>22.072717749999999</v>
      </c>
      <c r="B34">
        <v>-257.62903599999999</v>
      </c>
      <c r="C34">
        <v>-66.075891249999998</v>
      </c>
      <c r="D34">
        <v>323.51319124999998</v>
      </c>
      <c r="E34">
        <v>29.326496250000002</v>
      </c>
      <c r="F34">
        <v>6.5781194999999997</v>
      </c>
      <c r="G34">
        <v>325.29132099999998</v>
      </c>
      <c r="H34">
        <v>-40</v>
      </c>
      <c r="I34">
        <v>-8</v>
      </c>
      <c r="J34">
        <v>1.18</v>
      </c>
      <c r="K34">
        <v>23.242025999999999</v>
      </c>
      <c r="L34">
        <v>0.46106602431914279</v>
      </c>
      <c r="M34">
        <v>-3.0399468266571161</v>
      </c>
      <c r="N34">
        <v>-1.5482267207058391</v>
      </c>
      <c r="O34">
        <v>-0.88107133631472867</v>
      </c>
    </row>
    <row r="35" spans="1:15" x14ac:dyDescent="0.25">
      <c r="A35">
        <v>-8.9187170000000009</v>
      </c>
      <c r="B35">
        <v>-264.41066749999999</v>
      </c>
      <c r="C35">
        <v>-24.987060750000001</v>
      </c>
      <c r="D35">
        <v>335.77908324999999</v>
      </c>
      <c r="E35">
        <v>34.959325749999998</v>
      </c>
      <c r="F35">
        <v>6.6755727499999997</v>
      </c>
      <c r="G35">
        <v>336.41443624999999</v>
      </c>
      <c r="H35">
        <v>-40</v>
      </c>
      <c r="I35">
        <v>-4</v>
      </c>
      <c r="J35">
        <v>1.18</v>
      </c>
      <c r="K35">
        <v>23.640625750000002</v>
      </c>
      <c r="L35">
        <v>8.9426333883639436E-2</v>
      </c>
      <c r="M35">
        <v>-3.34076186881865</v>
      </c>
      <c r="N35">
        <v>-1.677960212204584</v>
      </c>
      <c r="O35">
        <v>-0.84257057335689367</v>
      </c>
    </row>
    <row r="36" spans="1:15" x14ac:dyDescent="0.25">
      <c r="A36">
        <v>-44.368363500000001</v>
      </c>
      <c r="B36">
        <v>-246.42200475000001</v>
      </c>
      <c r="C36">
        <v>13.77445625</v>
      </c>
      <c r="D36">
        <v>311.81676499999998</v>
      </c>
      <c r="E36">
        <v>34.467570250000001</v>
      </c>
      <c r="F36">
        <v>6.0421279999999999</v>
      </c>
      <c r="G36">
        <v>311.6875</v>
      </c>
      <c r="H36">
        <v>-40</v>
      </c>
      <c r="I36">
        <v>0</v>
      </c>
      <c r="J36">
        <v>1.18</v>
      </c>
      <c r="K36">
        <v>22.760507749999999</v>
      </c>
      <c r="L36">
        <v>-0.32320202717727931</v>
      </c>
      <c r="M36">
        <v>-3.1039287958764481</v>
      </c>
      <c r="N36">
        <v>-1.54144569932649</v>
      </c>
      <c r="O36">
        <v>-0.84200061976361229</v>
      </c>
    </row>
    <row r="37" spans="1:15" x14ac:dyDescent="0.25">
      <c r="A37">
        <v>-76.845108249999996</v>
      </c>
      <c r="B37">
        <v>-230.89558400000001</v>
      </c>
      <c r="C37">
        <v>42.858864750000002</v>
      </c>
      <c r="D37">
        <v>288.38013425000003</v>
      </c>
      <c r="E37">
        <v>31.517041750000001</v>
      </c>
      <c r="F37">
        <v>5.6523149999999998</v>
      </c>
      <c r="G37">
        <v>289.44125374999999</v>
      </c>
      <c r="H37">
        <v>-40</v>
      </c>
      <c r="I37">
        <v>4</v>
      </c>
      <c r="J37">
        <v>1.18</v>
      </c>
      <c r="K37">
        <v>21.931646749999999</v>
      </c>
      <c r="L37">
        <v>-0.64568451652174996</v>
      </c>
      <c r="M37">
        <v>-2.8010408948102081</v>
      </c>
      <c r="N37">
        <v>-1.391276310435245</v>
      </c>
      <c r="O37">
        <v>-0.86047294290238718</v>
      </c>
    </row>
    <row r="38" spans="1:15" x14ac:dyDescent="0.25">
      <c r="A38">
        <v>-103.5111675</v>
      </c>
      <c r="B38">
        <v>-216.61750425</v>
      </c>
      <c r="C38">
        <v>64.807655499999996</v>
      </c>
      <c r="D38">
        <v>267.04621850000001</v>
      </c>
      <c r="E38">
        <v>29.058267749999999</v>
      </c>
      <c r="F38">
        <v>5.1650495000000003</v>
      </c>
      <c r="G38">
        <v>270.6359635</v>
      </c>
      <c r="H38">
        <v>-40</v>
      </c>
      <c r="I38">
        <v>8</v>
      </c>
      <c r="J38">
        <v>1.18</v>
      </c>
      <c r="K38">
        <v>21.212004499999999</v>
      </c>
      <c r="L38">
        <v>-0.89002600957602274</v>
      </c>
      <c r="M38">
        <v>-2.5574409671916079</v>
      </c>
      <c r="N38">
        <v>-1.2774048206092321</v>
      </c>
      <c r="O38">
        <v>-0.87368538368428705</v>
      </c>
    </row>
    <row r="39" spans="1:15" x14ac:dyDescent="0.25">
      <c r="A39">
        <v>-138.91577925000001</v>
      </c>
      <c r="B39">
        <v>-223.04504399999999</v>
      </c>
      <c r="C39">
        <v>86.756450749999999</v>
      </c>
      <c r="D39">
        <v>265.863449</v>
      </c>
      <c r="E39">
        <v>24.632472249999999</v>
      </c>
      <c r="F39">
        <v>5.2137760000000002</v>
      </c>
      <c r="G39">
        <v>272.83658624999998</v>
      </c>
      <c r="H39">
        <v>-40</v>
      </c>
      <c r="I39">
        <v>12</v>
      </c>
      <c r="J39">
        <v>1.18</v>
      </c>
      <c r="K39">
        <v>21.297810999999999</v>
      </c>
      <c r="L39">
        <v>-1.097560817503852</v>
      </c>
      <c r="M39">
        <v>-2.3778183950105838</v>
      </c>
      <c r="N39">
        <v>-1.207157299699579</v>
      </c>
      <c r="O39">
        <v>-0.90556600590306568</v>
      </c>
    </row>
    <row r="40" spans="1:15" x14ac:dyDescent="0.25">
      <c r="A40">
        <v>-191.43710325000001</v>
      </c>
      <c r="B40">
        <v>-243.430893</v>
      </c>
      <c r="C40">
        <v>109.111698</v>
      </c>
      <c r="D40">
        <v>274.9314425</v>
      </c>
      <c r="E40">
        <v>12.69623975</v>
      </c>
      <c r="F40">
        <v>5.5061355000000001</v>
      </c>
      <c r="G40">
        <v>289.72133674999998</v>
      </c>
      <c r="H40">
        <v>-40</v>
      </c>
      <c r="I40">
        <v>16</v>
      </c>
      <c r="J40">
        <v>1.18</v>
      </c>
      <c r="K40">
        <v>21.948124499999999</v>
      </c>
      <c r="L40">
        <v>-1.3059905635738791</v>
      </c>
      <c r="M40">
        <v>-2.2525278871587529</v>
      </c>
      <c r="N40">
        <v>-1.2038330211320749</v>
      </c>
      <c r="O40">
        <v>-0.96875504023250425</v>
      </c>
    </row>
    <row r="41" spans="1:15" x14ac:dyDescent="0.25">
      <c r="A41">
        <v>-240.49003974999999</v>
      </c>
      <c r="B41">
        <v>-270.19628875000001</v>
      </c>
      <c r="C41">
        <v>129.57014075000001</v>
      </c>
      <c r="D41">
        <v>279.31213400000001</v>
      </c>
      <c r="E41">
        <v>-1.9178342500000001</v>
      </c>
      <c r="F41">
        <v>5.9934012499999998</v>
      </c>
      <c r="G41">
        <v>304.16538250000002</v>
      </c>
      <c r="H41">
        <v>-40</v>
      </c>
      <c r="I41">
        <v>20</v>
      </c>
      <c r="J41">
        <v>1.18</v>
      </c>
      <c r="K41">
        <v>22.480567749999999</v>
      </c>
      <c r="L41">
        <v>-1.460240796679942</v>
      </c>
      <c r="M41">
        <v>-2.16833204991701</v>
      </c>
      <c r="N41">
        <v>-1.207795903813955</v>
      </c>
      <c r="O41">
        <v>-1.031219310561571</v>
      </c>
    </row>
    <row r="42" spans="1:15" x14ac:dyDescent="0.25">
      <c r="A42">
        <v>-285.57141875000002</v>
      </c>
      <c r="B42">
        <v>-299.12020875000002</v>
      </c>
      <c r="C42">
        <v>145.28655624999999</v>
      </c>
      <c r="D42">
        <v>275.67616299999997</v>
      </c>
      <c r="E42">
        <v>-23.147822250000001</v>
      </c>
      <c r="F42">
        <v>6.2370334999999999</v>
      </c>
      <c r="G42">
        <v>315.32851375000001</v>
      </c>
      <c r="H42">
        <v>-40</v>
      </c>
      <c r="I42">
        <v>24</v>
      </c>
      <c r="J42">
        <v>1.18</v>
      </c>
      <c r="K42">
        <v>22.888498999999999</v>
      </c>
      <c r="L42">
        <v>-1.6005255412271879</v>
      </c>
      <c r="M42">
        <v>-2.135232915216752</v>
      </c>
      <c r="N42">
        <v>-1.257374343092027</v>
      </c>
      <c r="O42">
        <v>-1.1091542538623069</v>
      </c>
    </row>
    <row r="43" spans="1:15" x14ac:dyDescent="0.25">
      <c r="A43">
        <v>-337.51400749999999</v>
      </c>
      <c r="B43">
        <v>-340.17968000000002</v>
      </c>
      <c r="C43">
        <v>156.44160450000001</v>
      </c>
      <c r="D43">
        <v>269.41179649999998</v>
      </c>
      <c r="E43">
        <v>-56.7768345</v>
      </c>
      <c r="F43">
        <v>6.6268459999999996</v>
      </c>
      <c r="G43">
        <v>326.89176950000001</v>
      </c>
      <c r="H43">
        <v>-40</v>
      </c>
      <c r="I43">
        <v>28</v>
      </c>
      <c r="J43">
        <v>1.18</v>
      </c>
      <c r="K43">
        <v>23.298532000000002</v>
      </c>
      <c r="L43">
        <v>-1.7512110195592021</v>
      </c>
      <c r="M43">
        <v>-2.161176006497004</v>
      </c>
      <c r="N43">
        <v>-1.3602410588933329</v>
      </c>
      <c r="O43">
        <v>-1.2248077436214599</v>
      </c>
    </row>
    <row r="44" spans="1:15" x14ac:dyDescent="0.25">
      <c r="A44">
        <v>-384.92650600000002</v>
      </c>
      <c r="B44">
        <v>-382.39035799999999</v>
      </c>
      <c r="C44">
        <v>166.061138</v>
      </c>
      <c r="D44">
        <v>258.59151474999999</v>
      </c>
      <c r="E44">
        <v>-100.17342975</v>
      </c>
      <c r="F44">
        <v>6.7242992499999996</v>
      </c>
      <c r="G44">
        <v>337.33468649999998</v>
      </c>
      <c r="H44">
        <v>-40</v>
      </c>
      <c r="I44">
        <v>32</v>
      </c>
      <c r="J44">
        <v>1.18</v>
      </c>
      <c r="K44">
        <v>23.67184825</v>
      </c>
      <c r="L44">
        <v>-1.9437733418438949</v>
      </c>
      <c r="M44">
        <v>-2.2612776639319558</v>
      </c>
      <c r="N44">
        <v>-1.543547474704329</v>
      </c>
      <c r="O44">
        <v>-1.377181825794926</v>
      </c>
    </row>
    <row r="45" spans="1:15" x14ac:dyDescent="0.25">
      <c r="A45">
        <v>-386.52824425</v>
      </c>
      <c r="B45">
        <v>-382.05458075000001</v>
      </c>
      <c r="C45">
        <v>156.84806424999999</v>
      </c>
      <c r="D45">
        <v>220.91765574999999</v>
      </c>
      <c r="E45">
        <v>-132.33062000000001</v>
      </c>
      <c r="F45">
        <v>6.3344865000000006</v>
      </c>
      <c r="G45">
        <v>313.92812350000003</v>
      </c>
      <c r="H45">
        <v>-40</v>
      </c>
      <c r="I45">
        <v>36</v>
      </c>
      <c r="J45">
        <v>1.18</v>
      </c>
      <c r="K45">
        <v>22.832945500000001</v>
      </c>
      <c r="L45">
        <v>-2.1566026445212909</v>
      </c>
      <c r="M45">
        <v>-2.393134709548292</v>
      </c>
      <c r="N45">
        <v>-1.7711638562343051</v>
      </c>
      <c r="O45">
        <v>-1.550353292778399</v>
      </c>
    </row>
    <row r="46" spans="1:15" x14ac:dyDescent="0.25">
      <c r="A46">
        <v>-390.35150175000001</v>
      </c>
      <c r="B46">
        <v>-382.43831649999998</v>
      </c>
      <c r="C46">
        <v>143.07361975000001</v>
      </c>
      <c r="D46">
        <v>182.5429</v>
      </c>
      <c r="E46">
        <v>-166.80704499999999</v>
      </c>
      <c r="F46">
        <v>5.7010414999999997</v>
      </c>
      <c r="G46">
        <v>292.32205974999999</v>
      </c>
      <c r="H46">
        <v>-40</v>
      </c>
      <c r="I46">
        <v>40</v>
      </c>
      <c r="J46">
        <v>1.18</v>
      </c>
      <c r="K46">
        <v>22.04081175</v>
      </c>
      <c r="L46">
        <v>-2.4292003124246322</v>
      </c>
      <c r="M46">
        <v>-2.572903734484981</v>
      </c>
      <c r="N46">
        <v>-2.090850775425003</v>
      </c>
      <c r="O46">
        <v>-1.785583677224964</v>
      </c>
    </row>
    <row r="47" spans="1:15" x14ac:dyDescent="0.25">
      <c r="A47">
        <v>-388.80615225000003</v>
      </c>
      <c r="B47">
        <v>-382.24645225</v>
      </c>
      <c r="C47">
        <v>127.58300800000001</v>
      </c>
      <c r="D47">
        <v>147.93552399999999</v>
      </c>
      <c r="E47">
        <v>-194.59336099999999</v>
      </c>
      <c r="F47">
        <v>5.2625029999999997</v>
      </c>
      <c r="G47">
        <v>270.95607000000001</v>
      </c>
      <c r="H47">
        <v>-40</v>
      </c>
      <c r="I47">
        <v>44</v>
      </c>
      <c r="J47">
        <v>1.18</v>
      </c>
      <c r="K47">
        <v>21.220920499999998</v>
      </c>
      <c r="L47">
        <v>-2.704971242251363</v>
      </c>
      <c r="M47">
        <v>-2.7772752615845628</v>
      </c>
      <c r="N47">
        <v>-2.4388285444278561</v>
      </c>
      <c r="O47">
        <v>-2.0469958632933301</v>
      </c>
    </row>
    <row r="48" spans="1:15" x14ac:dyDescent="0.25">
      <c r="A48">
        <v>142.43832399999999</v>
      </c>
      <c r="B48">
        <v>-352.8428955</v>
      </c>
      <c r="C48">
        <v>-352.38970174999997</v>
      </c>
      <c r="D48">
        <v>168.8751795</v>
      </c>
      <c r="E48">
        <v>-90.093647000000004</v>
      </c>
      <c r="F48">
        <v>5.3112292500000002</v>
      </c>
      <c r="G48">
        <v>278.43816375</v>
      </c>
      <c r="H48">
        <v>-36</v>
      </c>
      <c r="I48">
        <v>-44</v>
      </c>
      <c r="J48">
        <v>1.18</v>
      </c>
      <c r="K48">
        <v>21.515725</v>
      </c>
      <c r="L48">
        <v>1.8848990889763919</v>
      </c>
      <c r="M48">
        <v>-1.9873290373233581</v>
      </c>
      <c r="N48">
        <v>-1.403814000234672</v>
      </c>
      <c r="O48">
        <v>-1.3634189281214479</v>
      </c>
    </row>
    <row r="49" spans="1:15" x14ac:dyDescent="0.25">
      <c r="A49">
        <v>154.38840099999999</v>
      </c>
      <c r="B49">
        <v>-343.82514950000001</v>
      </c>
      <c r="C49">
        <v>-350.08945449999999</v>
      </c>
      <c r="D49">
        <v>200.28465675000001</v>
      </c>
      <c r="E49">
        <v>-60.56790625</v>
      </c>
      <c r="F49">
        <v>5.6523149999999998</v>
      </c>
      <c r="G49">
        <v>294.24259949999998</v>
      </c>
      <c r="H49">
        <v>-36</v>
      </c>
      <c r="I49">
        <v>-40</v>
      </c>
      <c r="J49">
        <v>1.18</v>
      </c>
      <c r="K49">
        <v>22.116413250000001</v>
      </c>
      <c r="L49">
        <v>1.7615171992964209</v>
      </c>
      <c r="M49">
        <v>-1.8999017261053781</v>
      </c>
      <c r="N49">
        <v>-1.238921703981283</v>
      </c>
      <c r="O49">
        <v>-1.2312297672382599</v>
      </c>
    </row>
    <row r="50" spans="1:15" x14ac:dyDescent="0.25">
      <c r="A50">
        <v>161.06760025</v>
      </c>
      <c r="B50">
        <v>-326.89290599999998</v>
      </c>
      <c r="C50">
        <v>-339.26474000000002</v>
      </c>
      <c r="D50">
        <v>230.90561299999999</v>
      </c>
      <c r="E50">
        <v>-32.424789500000003</v>
      </c>
      <c r="F50">
        <v>6.0421270000000007</v>
      </c>
      <c r="G50">
        <v>307.16622925000001</v>
      </c>
      <c r="H50">
        <v>-36</v>
      </c>
      <c r="I50">
        <v>-36</v>
      </c>
      <c r="J50">
        <v>1.18</v>
      </c>
      <c r="K50">
        <v>22.591577749999999</v>
      </c>
      <c r="L50">
        <v>1.6641424443374859</v>
      </c>
      <c r="M50">
        <v>-1.855297775316697</v>
      </c>
      <c r="N50">
        <v>-1.129521592755842</v>
      </c>
      <c r="O50">
        <v>-1.127948350078088</v>
      </c>
    </row>
    <row r="51" spans="1:15" x14ac:dyDescent="0.25">
      <c r="A51">
        <v>165.3764535</v>
      </c>
      <c r="B51">
        <v>-307.51437349999998</v>
      </c>
      <c r="C51">
        <v>-307.33182549999998</v>
      </c>
      <c r="D51">
        <v>259.99331649999999</v>
      </c>
      <c r="E51">
        <v>-3.3004607500000001</v>
      </c>
      <c r="F51">
        <v>6.3832132499999998</v>
      </c>
      <c r="G51">
        <v>319.88980099999998</v>
      </c>
      <c r="H51">
        <v>-36</v>
      </c>
      <c r="I51">
        <v>-32</v>
      </c>
      <c r="J51">
        <v>1.18</v>
      </c>
      <c r="K51">
        <v>23.051394999999999</v>
      </c>
      <c r="L51">
        <v>1.554341981410623</v>
      </c>
      <c r="M51">
        <v>-1.866055749051174</v>
      </c>
      <c r="N51">
        <v>-1.0627122790721431</v>
      </c>
      <c r="O51">
        <v>-1.031848677378389</v>
      </c>
    </row>
    <row r="52" spans="1:15" x14ac:dyDescent="0.25">
      <c r="A52">
        <v>164.77878200000001</v>
      </c>
      <c r="B52">
        <v>-285.97734075</v>
      </c>
      <c r="C52">
        <v>-266.96463799999998</v>
      </c>
      <c r="D52">
        <v>286.452629</v>
      </c>
      <c r="E52">
        <v>23.023093249999999</v>
      </c>
      <c r="F52">
        <v>6.4319395000000004</v>
      </c>
      <c r="G52">
        <v>330.29271675000001</v>
      </c>
      <c r="H52">
        <v>-36</v>
      </c>
      <c r="I52">
        <v>-28</v>
      </c>
      <c r="J52">
        <v>1.18</v>
      </c>
      <c r="K52">
        <v>23.428966750000001</v>
      </c>
      <c r="L52">
        <v>1.4415701151290099</v>
      </c>
      <c r="M52">
        <v>-1.9113637826031999</v>
      </c>
      <c r="N52">
        <v>-1.025989677717811</v>
      </c>
      <c r="O52">
        <v>-0.94460579956271373</v>
      </c>
    </row>
    <row r="53" spans="1:15" x14ac:dyDescent="0.25">
      <c r="A53">
        <v>154.65919475000001</v>
      </c>
      <c r="B53">
        <v>-262.28179925000001</v>
      </c>
      <c r="C53">
        <v>-221.95183549999999</v>
      </c>
      <c r="D53">
        <v>306.86660749999999</v>
      </c>
      <c r="E53">
        <v>45.822638499999996</v>
      </c>
      <c r="F53">
        <v>6.6755724999999986</v>
      </c>
      <c r="G53">
        <v>335.97431175000003</v>
      </c>
      <c r="H53">
        <v>-36</v>
      </c>
      <c r="I53">
        <v>-24</v>
      </c>
      <c r="J53">
        <v>1.18</v>
      </c>
      <c r="K53">
        <v>23.62479175</v>
      </c>
      <c r="L53">
        <v>1.307984980128674</v>
      </c>
      <c r="M53">
        <v>-1.976629747221857</v>
      </c>
      <c r="N53">
        <v>-1.0077071436002469</v>
      </c>
      <c r="O53">
        <v>-0.86406423373785057</v>
      </c>
    </row>
    <row r="54" spans="1:15" x14ac:dyDescent="0.25">
      <c r="A54">
        <v>128.25831600000001</v>
      </c>
      <c r="B54">
        <v>-218.584137</v>
      </c>
      <c r="C54">
        <v>-155.83086</v>
      </c>
      <c r="D54">
        <v>292.278931</v>
      </c>
      <c r="E54">
        <v>59.77059525</v>
      </c>
      <c r="F54">
        <v>6.0421279999999999</v>
      </c>
      <c r="G54">
        <v>308.6066285</v>
      </c>
      <c r="H54">
        <v>-36</v>
      </c>
      <c r="I54">
        <v>-20</v>
      </c>
      <c r="J54">
        <v>1.18</v>
      </c>
      <c r="K54">
        <v>22.64553025</v>
      </c>
      <c r="L54">
        <v>1.150269962083718</v>
      </c>
      <c r="M54">
        <v>-2.0684639206147741</v>
      </c>
      <c r="N54">
        <v>-1.007534987882285</v>
      </c>
      <c r="O54">
        <v>-0.78246225306855111</v>
      </c>
    </row>
    <row r="55" spans="1:15" x14ac:dyDescent="0.25">
      <c r="A55">
        <v>101.71542925</v>
      </c>
      <c r="B55">
        <v>-191.29110725000001</v>
      </c>
      <c r="C55">
        <v>-103.33096675</v>
      </c>
      <c r="D55">
        <v>276.46468375000001</v>
      </c>
      <c r="E55">
        <v>65.850475250000002</v>
      </c>
      <c r="F55">
        <v>5.6523149999999998</v>
      </c>
      <c r="G55">
        <v>284.75994100000003</v>
      </c>
      <c r="H55">
        <v>-36</v>
      </c>
      <c r="I55">
        <v>-16</v>
      </c>
      <c r="J55">
        <v>1.18</v>
      </c>
      <c r="K55">
        <v>21.750012250000001</v>
      </c>
      <c r="L55">
        <v>0.96191870829540149</v>
      </c>
      <c r="M55">
        <v>-2.1943732033478121</v>
      </c>
      <c r="N55">
        <v>-1.026972728884598</v>
      </c>
      <c r="O55">
        <v>-0.71758886626184792</v>
      </c>
    </row>
    <row r="56" spans="1:15" x14ac:dyDescent="0.25">
      <c r="A56">
        <v>77.362319999999997</v>
      </c>
      <c r="B56">
        <v>-173.59141149999999</v>
      </c>
      <c r="C56">
        <v>-58.678998</v>
      </c>
      <c r="D56">
        <v>264.72446424999998</v>
      </c>
      <c r="E56">
        <v>70.544500499999998</v>
      </c>
      <c r="F56">
        <v>5.1163232499999998</v>
      </c>
      <c r="G56">
        <v>267.75516525</v>
      </c>
      <c r="H56">
        <v>-36</v>
      </c>
      <c r="I56">
        <v>-12</v>
      </c>
      <c r="J56">
        <v>1.18</v>
      </c>
      <c r="K56">
        <v>21.098578</v>
      </c>
      <c r="L56">
        <v>0.7287416629431358</v>
      </c>
      <c r="M56">
        <v>-2.3479638634244488</v>
      </c>
      <c r="N56">
        <v>-1.0564249983085661</v>
      </c>
      <c r="O56">
        <v>-0.64951608283301088</v>
      </c>
    </row>
    <row r="57" spans="1:15" x14ac:dyDescent="0.25">
      <c r="A57">
        <v>55.516797750000002</v>
      </c>
      <c r="B57">
        <v>-174.88651250000001</v>
      </c>
      <c r="C57">
        <v>-21.514129749999999</v>
      </c>
      <c r="D57">
        <v>273.26678500000003</v>
      </c>
      <c r="E57">
        <v>78.591397999999998</v>
      </c>
      <c r="F57">
        <v>5.2625027499999986</v>
      </c>
      <c r="G57">
        <v>274.517067</v>
      </c>
      <c r="H57">
        <v>-36</v>
      </c>
      <c r="I57">
        <v>-8</v>
      </c>
      <c r="J57">
        <v>1.18</v>
      </c>
      <c r="K57">
        <v>21.36265925</v>
      </c>
      <c r="L57">
        <v>0.43566636718915458</v>
      </c>
      <c r="M57">
        <v>-2.5349866458394108</v>
      </c>
      <c r="N57">
        <v>-1.108259199811273</v>
      </c>
      <c r="O57">
        <v>-0.58523246292300968</v>
      </c>
    </row>
    <row r="58" spans="1:15" x14ac:dyDescent="0.25">
      <c r="A58">
        <v>31.633771500000002</v>
      </c>
      <c r="B58">
        <v>-182.75303299999999</v>
      </c>
      <c r="C58">
        <v>13.503483749999999</v>
      </c>
      <c r="D58">
        <v>288.81820675</v>
      </c>
      <c r="E58">
        <v>87.532396250000005</v>
      </c>
      <c r="F58">
        <v>5.554862</v>
      </c>
      <c r="G58">
        <v>289.28121199999998</v>
      </c>
      <c r="H58">
        <v>-36</v>
      </c>
      <c r="I58">
        <v>-4</v>
      </c>
      <c r="J58">
        <v>1.18</v>
      </c>
      <c r="K58">
        <v>21.9292315</v>
      </c>
      <c r="L58">
        <v>0.1053072267328846</v>
      </c>
      <c r="M58">
        <v>-2.7392181152171871</v>
      </c>
      <c r="N58">
        <v>-1.171906200218114</v>
      </c>
      <c r="O58">
        <v>-0.5238338209052944</v>
      </c>
    </row>
    <row r="59" spans="1:15" x14ac:dyDescent="0.25">
      <c r="A59">
        <v>-0.94604099999999991</v>
      </c>
      <c r="B59">
        <v>-192.68214424999999</v>
      </c>
      <c r="C59">
        <v>49.542859999999997</v>
      </c>
      <c r="D59">
        <v>303.53728475000003</v>
      </c>
      <c r="E59">
        <v>93.165226000000004</v>
      </c>
      <c r="F59">
        <v>5.8959479999999997</v>
      </c>
      <c r="G59">
        <v>303.96533199999999</v>
      </c>
      <c r="H59">
        <v>-36</v>
      </c>
      <c r="I59">
        <v>0</v>
      </c>
      <c r="J59">
        <v>1.18</v>
      </c>
      <c r="K59">
        <v>22.476701500000001</v>
      </c>
      <c r="L59">
        <v>-0.26574805749331509</v>
      </c>
      <c r="M59">
        <v>-2.6119918333175578</v>
      </c>
      <c r="N59">
        <v>-1.109610885083701</v>
      </c>
      <c r="O59">
        <v>-0.54062931128762093</v>
      </c>
    </row>
    <row r="60" spans="1:15" x14ac:dyDescent="0.25">
      <c r="A60">
        <v>-38.335090749999999</v>
      </c>
      <c r="B60">
        <v>-201.028347</v>
      </c>
      <c r="C60">
        <v>84.27252949999999</v>
      </c>
      <c r="D60">
        <v>314.92705549999999</v>
      </c>
      <c r="E60">
        <v>97.367494499999992</v>
      </c>
      <c r="F60">
        <v>6.1883072500000003</v>
      </c>
      <c r="G60">
        <v>316.36881249999999</v>
      </c>
      <c r="H60">
        <v>-36</v>
      </c>
      <c r="I60">
        <v>4</v>
      </c>
      <c r="J60">
        <v>1.18</v>
      </c>
      <c r="K60">
        <v>22.9287925</v>
      </c>
      <c r="L60">
        <v>-0.5648412944640222</v>
      </c>
      <c r="M60">
        <v>-2.377198562282608</v>
      </c>
      <c r="N60">
        <v>-1.0090549385800549</v>
      </c>
      <c r="O60">
        <v>-0.57991324164445235</v>
      </c>
    </row>
    <row r="61" spans="1:15" x14ac:dyDescent="0.25">
      <c r="A61">
        <v>-84.964359250000001</v>
      </c>
      <c r="B61">
        <v>-214.45901474999999</v>
      </c>
      <c r="C61">
        <v>116.02150899999999</v>
      </c>
      <c r="D61">
        <v>322.987503</v>
      </c>
      <c r="E61">
        <v>95.445180750000006</v>
      </c>
      <c r="F61">
        <v>6.5293929999999998</v>
      </c>
      <c r="G61">
        <v>326.65169524999999</v>
      </c>
      <c r="H61">
        <v>-36</v>
      </c>
      <c r="I61">
        <v>8</v>
      </c>
      <c r="J61">
        <v>1.18</v>
      </c>
      <c r="K61">
        <v>23.293344000000001</v>
      </c>
      <c r="L61">
        <v>-0.8198196341941224</v>
      </c>
      <c r="M61">
        <v>-2.1922559098961321</v>
      </c>
      <c r="N61">
        <v>-0.94309443241963942</v>
      </c>
      <c r="O61">
        <v>-0.63730349388801666</v>
      </c>
    </row>
    <row r="62" spans="1:15" x14ac:dyDescent="0.25">
      <c r="A62">
        <v>-131.788231</v>
      </c>
      <c r="B62">
        <v>-229.56851574999999</v>
      </c>
      <c r="C62">
        <v>145.01558675000001</v>
      </c>
      <c r="D62">
        <v>328.85761250000002</v>
      </c>
      <c r="E62">
        <v>89.588828750000005</v>
      </c>
      <c r="F62">
        <v>6.5293929999999998</v>
      </c>
      <c r="G62">
        <v>337.81482699999998</v>
      </c>
      <c r="H62">
        <v>-36</v>
      </c>
      <c r="I62">
        <v>12</v>
      </c>
      <c r="J62">
        <v>1.18</v>
      </c>
      <c r="K62">
        <v>23.696003999999999</v>
      </c>
      <c r="L62">
        <v>-1.024182354836751</v>
      </c>
      <c r="M62">
        <v>-2.066228015827217</v>
      </c>
      <c r="N62">
        <v>-0.91848015695487817</v>
      </c>
      <c r="O62">
        <v>-0.69268824497457981</v>
      </c>
    </row>
    <row r="63" spans="1:15" x14ac:dyDescent="0.25">
      <c r="A63">
        <v>-159.64648825</v>
      </c>
      <c r="B63">
        <v>-209.9981195</v>
      </c>
      <c r="C63">
        <v>150.84150324999999</v>
      </c>
      <c r="D63">
        <v>293.94359600000001</v>
      </c>
      <c r="E63">
        <v>70.4550895</v>
      </c>
      <c r="F63">
        <v>6.09085375</v>
      </c>
      <c r="G63">
        <v>309.80696875000001</v>
      </c>
      <c r="H63">
        <v>-36</v>
      </c>
      <c r="I63">
        <v>16</v>
      </c>
      <c r="J63">
        <v>1.18</v>
      </c>
      <c r="K63">
        <v>22.688571750000001</v>
      </c>
      <c r="L63">
        <v>-1.2162983789719799</v>
      </c>
      <c r="M63">
        <v>-1.974117083772392</v>
      </c>
      <c r="N63">
        <v>-0.93764740036780225</v>
      </c>
      <c r="O63">
        <v>-0.74788319965636185</v>
      </c>
    </row>
    <row r="64" spans="1:15" x14ac:dyDescent="0.25">
      <c r="A64">
        <v>-186.89147575000001</v>
      </c>
      <c r="B64">
        <v>-212.10866125000001</v>
      </c>
      <c r="C64">
        <v>154.68028275</v>
      </c>
      <c r="D64">
        <v>264.41781600000002</v>
      </c>
      <c r="E64">
        <v>47.655544499999998</v>
      </c>
      <c r="F64">
        <v>5.6523149999999998</v>
      </c>
      <c r="G64">
        <v>288.4977495</v>
      </c>
      <c r="H64">
        <v>-36</v>
      </c>
      <c r="I64">
        <v>20</v>
      </c>
      <c r="J64">
        <v>1.18</v>
      </c>
      <c r="K64">
        <v>21.895164000000001</v>
      </c>
      <c r="L64">
        <v>-1.382018645955684</v>
      </c>
      <c r="M64">
        <v>-1.9280464024802431</v>
      </c>
      <c r="N64">
        <v>-0.97446300178949741</v>
      </c>
      <c r="O64">
        <v>-0.83005151023978441</v>
      </c>
    </row>
    <row r="65" spans="1:15" x14ac:dyDescent="0.25">
      <c r="A65">
        <v>-208.98645425000001</v>
      </c>
      <c r="B65">
        <v>-221.22230525000001</v>
      </c>
      <c r="C65">
        <v>155.26739125</v>
      </c>
      <c r="D65">
        <v>236.11861450000001</v>
      </c>
      <c r="E65">
        <v>23.06779775</v>
      </c>
      <c r="F65">
        <v>5.16504925</v>
      </c>
      <c r="G65">
        <v>271.18754575000003</v>
      </c>
      <c r="H65">
        <v>-36</v>
      </c>
      <c r="I65">
        <v>24</v>
      </c>
      <c r="J65">
        <v>1.18</v>
      </c>
      <c r="K65">
        <v>21.234053500000002</v>
      </c>
      <c r="L65">
        <v>-1.52936754982683</v>
      </c>
      <c r="M65">
        <v>-1.920224043709295</v>
      </c>
      <c r="N65">
        <v>-1.0417835243853779</v>
      </c>
      <c r="O65">
        <v>-0.9248330200009075</v>
      </c>
    </row>
    <row r="66" spans="1:15" x14ac:dyDescent="0.25">
      <c r="A66">
        <v>-244.15464399999999</v>
      </c>
      <c r="B66">
        <v>-247.939762</v>
      </c>
      <c r="C66">
        <v>161.77073675</v>
      </c>
      <c r="D66">
        <v>222.23185325</v>
      </c>
      <c r="E66">
        <v>-8.3403530000000003</v>
      </c>
      <c r="F66">
        <v>5.3112294999999996</v>
      </c>
      <c r="G66">
        <v>272.49236300000001</v>
      </c>
      <c r="H66">
        <v>-36</v>
      </c>
      <c r="I66">
        <v>28</v>
      </c>
      <c r="J66">
        <v>1.18</v>
      </c>
      <c r="K66">
        <v>21.280241499999999</v>
      </c>
      <c r="L66">
        <v>-1.7076953174874221</v>
      </c>
      <c r="M66">
        <v>-1.977966782561362</v>
      </c>
      <c r="N66">
        <v>-1.1814580101283569</v>
      </c>
      <c r="O66">
        <v>-1.0574485843531269</v>
      </c>
    </row>
    <row r="67" spans="1:15" x14ac:dyDescent="0.25">
      <c r="A67">
        <v>-295.77207199999998</v>
      </c>
      <c r="B67">
        <v>-293.50810250000001</v>
      </c>
      <c r="C67">
        <v>175.319378</v>
      </c>
      <c r="D67">
        <v>218.72731775</v>
      </c>
      <c r="E67">
        <v>-48.213479</v>
      </c>
      <c r="F67">
        <v>5.7010414999999997</v>
      </c>
      <c r="G67">
        <v>289.73820525000002</v>
      </c>
      <c r="H67">
        <v>-36</v>
      </c>
      <c r="I67">
        <v>32</v>
      </c>
      <c r="J67">
        <v>1.18</v>
      </c>
      <c r="K67">
        <v>21.941246750000001</v>
      </c>
      <c r="L67">
        <v>-1.9117090334426601</v>
      </c>
      <c r="M67">
        <v>-2.0786795831821951</v>
      </c>
      <c r="N67">
        <v>-1.371434398368695</v>
      </c>
      <c r="O67">
        <v>-1.218791906136103</v>
      </c>
    </row>
    <row r="68" spans="1:15" x14ac:dyDescent="0.25">
      <c r="A68">
        <v>-345.55543525000002</v>
      </c>
      <c r="B68">
        <v>-340.51544925000002</v>
      </c>
      <c r="C68">
        <v>186.29377375000001</v>
      </c>
      <c r="D68">
        <v>209.22124500000001</v>
      </c>
      <c r="E68">
        <v>-95.088939500000009</v>
      </c>
      <c r="F68">
        <v>6.0421275000000003</v>
      </c>
      <c r="G68">
        <v>304.62319200000002</v>
      </c>
      <c r="H68">
        <v>-36</v>
      </c>
      <c r="I68">
        <v>36</v>
      </c>
      <c r="J68">
        <v>1.18</v>
      </c>
      <c r="K68">
        <v>22.495983750000001</v>
      </c>
      <c r="L68">
        <v>-2.1450469907141199</v>
      </c>
      <c r="M68">
        <v>-2.217190053511668</v>
      </c>
      <c r="N68">
        <v>-1.612142402807081</v>
      </c>
      <c r="O68">
        <v>-1.4078846444507109</v>
      </c>
    </row>
    <row r="69" spans="1:15" x14ac:dyDescent="0.25">
      <c r="A69">
        <v>-390.51810449999999</v>
      </c>
      <c r="B69">
        <v>-386.70735174999999</v>
      </c>
      <c r="C69">
        <v>189.86158</v>
      </c>
      <c r="D69">
        <v>193.05653375</v>
      </c>
      <c r="E69">
        <v>-145.84466524999999</v>
      </c>
      <c r="F69">
        <v>6.2370330000000003</v>
      </c>
      <c r="G69">
        <v>315.70362075000003</v>
      </c>
      <c r="H69">
        <v>-36</v>
      </c>
      <c r="I69">
        <v>40</v>
      </c>
      <c r="J69">
        <v>1.18</v>
      </c>
      <c r="K69">
        <v>22.9023875</v>
      </c>
      <c r="L69">
        <v>-2.39074764237529</v>
      </c>
      <c r="M69">
        <v>-2.3882238668758209</v>
      </c>
      <c r="N69">
        <v>-1.9012960703161119</v>
      </c>
      <c r="O69">
        <v>-1.626499266348534</v>
      </c>
    </row>
    <row r="70" spans="1:15" x14ac:dyDescent="0.25">
      <c r="A70">
        <v>-439.78968800000001</v>
      </c>
      <c r="B70">
        <v>-440.33407625000001</v>
      </c>
      <c r="C70">
        <v>189.09382625000001</v>
      </c>
      <c r="D70">
        <v>171.81023024999999</v>
      </c>
      <c r="E70">
        <v>-209.13322099999999</v>
      </c>
      <c r="F70">
        <v>6.3344865000000006</v>
      </c>
      <c r="G70">
        <v>327.42895499999997</v>
      </c>
      <c r="H70">
        <v>-36</v>
      </c>
      <c r="I70">
        <v>44</v>
      </c>
      <c r="J70">
        <v>1.18</v>
      </c>
      <c r="K70">
        <v>23.328681249999999</v>
      </c>
      <c r="L70">
        <v>-2.7233056322533451</v>
      </c>
      <c r="M70">
        <v>-2.6508068124786881</v>
      </c>
      <c r="N70">
        <v>-2.3235213000400532</v>
      </c>
      <c r="O70">
        <v>-1.9330502227391879</v>
      </c>
    </row>
    <row r="71" spans="1:15" x14ac:dyDescent="0.25">
      <c r="A71">
        <v>202.392933</v>
      </c>
      <c r="B71">
        <v>-399.54237375000002</v>
      </c>
      <c r="C71">
        <v>-393.6138535</v>
      </c>
      <c r="D71">
        <v>190.715351</v>
      </c>
      <c r="E71">
        <v>-71.896509249999994</v>
      </c>
      <c r="F71">
        <v>6.4319397499999997</v>
      </c>
      <c r="G71">
        <v>328.89051825000001</v>
      </c>
      <c r="H71">
        <v>-32</v>
      </c>
      <c r="I71">
        <v>-44</v>
      </c>
      <c r="J71">
        <v>1.18</v>
      </c>
      <c r="K71">
        <v>23.378134500000002</v>
      </c>
      <c r="L71">
        <v>1.8356770887885061</v>
      </c>
      <c r="M71">
        <v>-1.817984987354178</v>
      </c>
      <c r="N71">
        <v>-1.2344377493542</v>
      </c>
      <c r="O71">
        <v>-1.2412703023455709</v>
      </c>
    </row>
    <row r="72" spans="1:15" x14ac:dyDescent="0.25">
      <c r="A72">
        <v>191.60766975000001</v>
      </c>
      <c r="B72">
        <v>-335.191147</v>
      </c>
      <c r="C72">
        <v>-334.97995750000001</v>
      </c>
      <c r="D72">
        <v>198.38252625000001</v>
      </c>
      <c r="E72">
        <v>-28.14311425</v>
      </c>
      <c r="F72">
        <v>5.7984945000000003</v>
      </c>
      <c r="G72">
        <v>302.21739200000002</v>
      </c>
      <c r="H72">
        <v>-32</v>
      </c>
      <c r="I72">
        <v>-40</v>
      </c>
      <c r="J72">
        <v>1.18</v>
      </c>
      <c r="K72">
        <v>22.414360250000001</v>
      </c>
      <c r="L72">
        <v>1.715595246985566</v>
      </c>
      <c r="M72">
        <v>-1.7383512787347319</v>
      </c>
      <c r="N72">
        <v>-1.076297767683547</v>
      </c>
      <c r="O72">
        <v>-1.1105831359474301</v>
      </c>
    </row>
    <row r="73" spans="1:15" x14ac:dyDescent="0.25">
      <c r="A73">
        <v>178.65633</v>
      </c>
      <c r="B73">
        <v>-279.30996699999997</v>
      </c>
      <c r="C73">
        <v>-282.07413500000001</v>
      </c>
      <c r="D73">
        <v>205.27862924999999</v>
      </c>
      <c r="E73">
        <v>7.46575525</v>
      </c>
      <c r="F73">
        <v>5.3599559999999986</v>
      </c>
      <c r="G73">
        <v>282.13568099999998</v>
      </c>
      <c r="H73">
        <v>-32</v>
      </c>
      <c r="I73">
        <v>-36</v>
      </c>
      <c r="J73">
        <v>1.18</v>
      </c>
      <c r="K73">
        <v>21.658933999999999</v>
      </c>
      <c r="L73">
        <v>1.598890675181293</v>
      </c>
      <c r="M73">
        <v>-1.681678020389842</v>
      </c>
      <c r="N73">
        <v>-0.95319234802888653</v>
      </c>
      <c r="O73">
        <v>-0.99267910872650789</v>
      </c>
    </row>
    <row r="74" spans="1:15" x14ac:dyDescent="0.25">
      <c r="A74">
        <v>164.48657224999999</v>
      </c>
      <c r="B74">
        <v>-227.41001125</v>
      </c>
      <c r="C74">
        <v>-223.44023150000001</v>
      </c>
      <c r="D74">
        <v>208.29722225</v>
      </c>
      <c r="E74">
        <v>33.215829749999997</v>
      </c>
      <c r="F74">
        <v>5.0675964999999996</v>
      </c>
      <c r="G74">
        <v>263.35981750000002</v>
      </c>
      <c r="H74">
        <v>-32</v>
      </c>
      <c r="I74">
        <v>-32</v>
      </c>
      <c r="J74">
        <v>1.18</v>
      </c>
      <c r="K74">
        <v>20.923272499999999</v>
      </c>
      <c r="L74">
        <v>1.49986358230575</v>
      </c>
      <c r="M74">
        <v>-1.684613378867269</v>
      </c>
      <c r="N74">
        <v>-0.88982769506161485</v>
      </c>
      <c r="O74">
        <v>-0.89117134472574766</v>
      </c>
    </row>
    <row r="75" spans="1:15" x14ac:dyDescent="0.25">
      <c r="A75">
        <v>174.32416925000001</v>
      </c>
      <c r="B75">
        <v>-213.45171725</v>
      </c>
      <c r="C75">
        <v>-195.79211799999999</v>
      </c>
      <c r="D75">
        <v>242.58899299999999</v>
      </c>
      <c r="E75">
        <v>63.212881250000002</v>
      </c>
      <c r="F75">
        <v>5.554862</v>
      </c>
      <c r="G75">
        <v>286.14678199999997</v>
      </c>
      <c r="H75">
        <v>-32</v>
      </c>
      <c r="I75">
        <v>-28</v>
      </c>
      <c r="J75">
        <v>1.18</v>
      </c>
      <c r="K75">
        <v>21.80775525</v>
      </c>
      <c r="L75">
        <v>1.381883930416822</v>
      </c>
      <c r="M75">
        <v>-1.702692175047279</v>
      </c>
      <c r="N75">
        <v>-0.83236315577956355</v>
      </c>
      <c r="O75">
        <v>-0.78472578077239019</v>
      </c>
    </row>
    <row r="76" spans="1:15" x14ac:dyDescent="0.25">
      <c r="A76">
        <v>173.64727024999999</v>
      </c>
      <c r="B76">
        <v>-196.08778000000001</v>
      </c>
      <c r="C76">
        <v>-160.83729550000001</v>
      </c>
      <c r="D76">
        <v>272.07481374999998</v>
      </c>
      <c r="E76">
        <v>89.231186000000008</v>
      </c>
      <c r="F76">
        <v>5.9934012499999998</v>
      </c>
      <c r="G76">
        <v>303.23554975000002</v>
      </c>
      <c r="H76">
        <v>-32</v>
      </c>
      <c r="I76">
        <v>-24</v>
      </c>
      <c r="J76">
        <v>1.18</v>
      </c>
      <c r="K76">
        <v>22.445480249999999</v>
      </c>
      <c r="L76">
        <v>1.2495120036576881</v>
      </c>
      <c r="M76">
        <v>-1.7488778004264689</v>
      </c>
      <c r="N76">
        <v>-0.79944123699343761</v>
      </c>
      <c r="O76">
        <v>-0.68906082631808696</v>
      </c>
    </row>
    <row r="77" spans="1:15" x14ac:dyDescent="0.25">
      <c r="A77">
        <v>167.28441624999999</v>
      </c>
      <c r="B77">
        <v>-180.25876975</v>
      </c>
      <c r="C77">
        <v>-121.011347</v>
      </c>
      <c r="D77">
        <v>297.02896125000001</v>
      </c>
      <c r="E77">
        <v>113.72952275</v>
      </c>
      <c r="F77">
        <v>6.3832132499999998</v>
      </c>
      <c r="G77">
        <v>317.04577599999999</v>
      </c>
      <c r="H77">
        <v>-32</v>
      </c>
      <c r="I77">
        <v>-20</v>
      </c>
      <c r="J77">
        <v>1.18</v>
      </c>
      <c r="K77">
        <v>22.946592500000001</v>
      </c>
      <c r="L77">
        <v>1.0905037409600471</v>
      </c>
      <c r="M77">
        <v>-1.8054251005254189</v>
      </c>
      <c r="N77">
        <v>-0.76907270018459095</v>
      </c>
      <c r="O77">
        <v>-0.59393386033260065</v>
      </c>
    </row>
    <row r="78" spans="1:15" x14ac:dyDescent="0.25">
      <c r="A78">
        <v>155.5063705</v>
      </c>
      <c r="B78">
        <v>-175.27024075</v>
      </c>
      <c r="C78">
        <v>-79.381273500000006</v>
      </c>
      <c r="D78">
        <v>318.49221825000001</v>
      </c>
      <c r="E78">
        <v>133.71265775000001</v>
      </c>
      <c r="F78">
        <v>6.7242990000000002</v>
      </c>
      <c r="G78">
        <v>330.97137425</v>
      </c>
      <c r="H78">
        <v>-32</v>
      </c>
      <c r="I78">
        <v>-16</v>
      </c>
      <c r="J78">
        <v>1.18</v>
      </c>
      <c r="K78">
        <v>23.442924999999999</v>
      </c>
      <c r="L78">
        <v>0.89981468616915705</v>
      </c>
      <c r="M78">
        <v>-1.891517188406876</v>
      </c>
      <c r="N78">
        <v>-0.75566129328333453</v>
      </c>
      <c r="O78">
        <v>-0.51351141355565644</v>
      </c>
    </row>
    <row r="79" spans="1:15" x14ac:dyDescent="0.25">
      <c r="A79">
        <v>132.13077125000001</v>
      </c>
      <c r="B79">
        <v>-167.84699225</v>
      </c>
      <c r="C79">
        <v>-33.827247499999999</v>
      </c>
      <c r="D79">
        <v>325.54917899999998</v>
      </c>
      <c r="E79">
        <v>144.35244</v>
      </c>
      <c r="F79">
        <v>6.4806664999999999</v>
      </c>
      <c r="G79">
        <v>330.91055275000002</v>
      </c>
      <c r="H79">
        <v>-32</v>
      </c>
      <c r="I79">
        <v>-12</v>
      </c>
      <c r="J79">
        <v>1.18</v>
      </c>
      <c r="K79">
        <v>23.449485500000002</v>
      </c>
      <c r="L79">
        <v>0.67682953991653527</v>
      </c>
      <c r="M79">
        <v>-2.0123553849313338</v>
      </c>
      <c r="N79">
        <v>-0.76091739023829708</v>
      </c>
      <c r="O79">
        <v>-0.43771959427010532</v>
      </c>
    </row>
    <row r="80" spans="1:15" x14ac:dyDescent="0.25">
      <c r="A80">
        <v>97.879663500000007</v>
      </c>
      <c r="B80">
        <v>-149.23482874999999</v>
      </c>
      <c r="C80">
        <v>8.9421097500000002</v>
      </c>
      <c r="D80">
        <v>301.21011349999998</v>
      </c>
      <c r="E80">
        <v>140.01605975000001</v>
      </c>
      <c r="F80">
        <v>5.9446744999999996</v>
      </c>
      <c r="G80">
        <v>304.67630000000003</v>
      </c>
      <c r="H80">
        <v>-32</v>
      </c>
      <c r="I80">
        <v>-8</v>
      </c>
      <c r="J80">
        <v>1.18</v>
      </c>
      <c r="K80">
        <v>22.501633000000002</v>
      </c>
      <c r="L80">
        <v>0.42316728679047477</v>
      </c>
      <c r="M80">
        <v>-2.1433631426726349</v>
      </c>
      <c r="N80">
        <v>-0.78352374987345896</v>
      </c>
      <c r="O80">
        <v>-0.36205695366604462</v>
      </c>
    </row>
    <row r="81" spans="1:15" x14ac:dyDescent="0.25">
      <c r="A81">
        <v>64.079818500000002</v>
      </c>
      <c r="B81">
        <v>-136.75299475</v>
      </c>
      <c r="C81">
        <v>45.207295250000001</v>
      </c>
      <c r="D81">
        <v>285.3681565</v>
      </c>
      <c r="E81">
        <v>135.81378925000001</v>
      </c>
      <c r="F81">
        <v>5.7010415000000014</v>
      </c>
      <c r="G81">
        <v>286.98720574999999</v>
      </c>
      <c r="H81">
        <v>-32</v>
      </c>
      <c r="I81">
        <v>-4</v>
      </c>
      <c r="J81">
        <v>1.18</v>
      </c>
      <c r="K81">
        <v>21.834735250000001</v>
      </c>
      <c r="L81">
        <v>0.1039172626202598</v>
      </c>
      <c r="M81">
        <v>-2.3247118796005348</v>
      </c>
      <c r="N81">
        <v>-0.83258156195316513</v>
      </c>
      <c r="O81">
        <v>-0.28349701789203402</v>
      </c>
    </row>
    <row r="82" spans="1:15" x14ac:dyDescent="0.25">
      <c r="A82">
        <v>34.070609249999997</v>
      </c>
      <c r="B82">
        <v>-126.3617155</v>
      </c>
      <c r="C82">
        <v>71.085191500000008</v>
      </c>
      <c r="D82">
        <v>266.35231025000002</v>
      </c>
      <c r="E82">
        <v>129.24215699999999</v>
      </c>
      <c r="F82">
        <v>5.2137762499999996</v>
      </c>
      <c r="G82">
        <v>268.37767050000002</v>
      </c>
      <c r="H82">
        <v>-32</v>
      </c>
      <c r="I82">
        <v>0</v>
      </c>
      <c r="J82">
        <v>1.18</v>
      </c>
      <c r="K82">
        <v>21.119657749999998</v>
      </c>
      <c r="L82">
        <v>-0.21103334496821821</v>
      </c>
      <c r="M82">
        <v>-2.2391216248703318</v>
      </c>
      <c r="N82">
        <v>-0.79330947256590401</v>
      </c>
      <c r="O82">
        <v>-0.29282855984660111</v>
      </c>
    </row>
    <row r="83" spans="1:15" x14ac:dyDescent="0.25">
      <c r="A83">
        <v>2.7978565</v>
      </c>
      <c r="B83">
        <v>-131.24591050000001</v>
      </c>
      <c r="C83">
        <v>102.65351475</v>
      </c>
      <c r="D83">
        <v>275.57982650000002</v>
      </c>
      <c r="E83">
        <v>133.53383625000001</v>
      </c>
      <c r="F83">
        <v>5.3599560000000004</v>
      </c>
      <c r="G83">
        <v>278.42282075000003</v>
      </c>
      <c r="H83">
        <v>-32</v>
      </c>
      <c r="I83">
        <v>4</v>
      </c>
      <c r="J83">
        <v>1.18</v>
      </c>
      <c r="K83">
        <v>21.5131935</v>
      </c>
      <c r="L83">
        <v>-0.50493123514582128</v>
      </c>
      <c r="M83">
        <v>-2.0572551407458848</v>
      </c>
      <c r="N83">
        <v>-0.73271979417318345</v>
      </c>
      <c r="O83">
        <v>-0.35188596482379719</v>
      </c>
    </row>
    <row r="84" spans="1:15" x14ac:dyDescent="0.25">
      <c r="A84">
        <v>-33.476462499999997</v>
      </c>
      <c r="B84">
        <v>-144.6396025</v>
      </c>
      <c r="C84">
        <v>135.21540825</v>
      </c>
      <c r="D84">
        <v>292.00945274999998</v>
      </c>
      <c r="E84">
        <v>138.67490749999999</v>
      </c>
      <c r="F84">
        <v>5.9446744999999996</v>
      </c>
      <c r="G84">
        <v>298.15294649999998</v>
      </c>
      <c r="H84">
        <v>-32</v>
      </c>
      <c r="I84">
        <v>8</v>
      </c>
      <c r="J84">
        <v>1.18</v>
      </c>
      <c r="K84">
        <v>22.254606249999998</v>
      </c>
      <c r="L84">
        <v>-0.74075380786999323</v>
      </c>
      <c r="M84">
        <v>-1.917377549397284</v>
      </c>
      <c r="N84">
        <v>-0.70029090340827738</v>
      </c>
      <c r="O84">
        <v>-0.41717366772179287</v>
      </c>
    </row>
    <row r="85" spans="1:15" x14ac:dyDescent="0.25">
      <c r="A85">
        <v>-76.189361749999989</v>
      </c>
      <c r="B85">
        <v>-159.81040924999999</v>
      </c>
      <c r="C85">
        <v>164.66111025000001</v>
      </c>
      <c r="D85">
        <v>301.62354275000001</v>
      </c>
      <c r="E85">
        <v>136.26083725000001</v>
      </c>
      <c r="F85">
        <v>6.09085375</v>
      </c>
      <c r="G85">
        <v>312.84047700000002</v>
      </c>
      <c r="H85">
        <v>-32</v>
      </c>
      <c r="I85">
        <v>12</v>
      </c>
      <c r="J85">
        <v>1.18</v>
      </c>
      <c r="K85">
        <v>22.801625749999999</v>
      </c>
      <c r="L85">
        <v>-0.94724411615651927</v>
      </c>
      <c r="M85">
        <v>-1.814826024508263</v>
      </c>
      <c r="N85">
        <v>-0.69450162083372668</v>
      </c>
      <c r="O85">
        <v>-0.4880204822686342</v>
      </c>
    </row>
    <row r="86" spans="1:15" x14ac:dyDescent="0.25">
      <c r="A86">
        <v>-123.00234974999999</v>
      </c>
      <c r="B86">
        <v>-169.19020474999999</v>
      </c>
      <c r="C86">
        <v>191.66806025</v>
      </c>
      <c r="D86">
        <v>307.30008700000002</v>
      </c>
      <c r="E86">
        <v>126.73868</v>
      </c>
      <c r="F86">
        <v>6.3344865000000006</v>
      </c>
      <c r="G86">
        <v>327.56803124999999</v>
      </c>
      <c r="H86">
        <v>-32</v>
      </c>
      <c r="I86">
        <v>16</v>
      </c>
      <c r="J86">
        <v>1.18</v>
      </c>
      <c r="K86">
        <v>23.333738</v>
      </c>
      <c r="L86">
        <v>-1.1533399120725649</v>
      </c>
      <c r="M86">
        <v>-1.746449932303541</v>
      </c>
      <c r="N86">
        <v>-0.73610170628608851</v>
      </c>
      <c r="O86">
        <v>-0.55868928572842591</v>
      </c>
    </row>
    <row r="87" spans="1:15" x14ac:dyDescent="0.25">
      <c r="A87">
        <v>-173.46484749999999</v>
      </c>
      <c r="B87">
        <v>-196.99205375</v>
      </c>
      <c r="C87">
        <v>214.42977525000001</v>
      </c>
      <c r="D87">
        <v>305.65461749999997</v>
      </c>
      <c r="E87">
        <v>105.68262475</v>
      </c>
      <c r="F87">
        <v>6.6268459999999996</v>
      </c>
      <c r="G87">
        <v>338.33354974999997</v>
      </c>
      <c r="H87">
        <v>-32</v>
      </c>
      <c r="I87">
        <v>20</v>
      </c>
      <c r="J87">
        <v>1.18</v>
      </c>
      <c r="K87">
        <v>23.711031500000001</v>
      </c>
      <c r="L87">
        <v>-1.333385186674529</v>
      </c>
      <c r="M87">
        <v>-1.7278193995768829</v>
      </c>
      <c r="N87">
        <v>-0.79972569287714734</v>
      </c>
      <c r="O87">
        <v>-0.65947906985391991</v>
      </c>
    </row>
    <row r="88" spans="1:15" x14ac:dyDescent="0.25">
      <c r="A88">
        <v>-198.33565150000001</v>
      </c>
      <c r="B88">
        <v>-210.60318375</v>
      </c>
      <c r="C88">
        <v>205.5779995</v>
      </c>
      <c r="D88">
        <v>264.52892324999999</v>
      </c>
      <c r="E88">
        <v>65.269311000000002</v>
      </c>
      <c r="F88">
        <v>6.0421277499999997</v>
      </c>
      <c r="G88">
        <v>309.43872850000002</v>
      </c>
      <c r="H88">
        <v>-32</v>
      </c>
      <c r="I88">
        <v>24</v>
      </c>
      <c r="J88">
        <v>1.18</v>
      </c>
      <c r="K88">
        <v>22.676642000000001</v>
      </c>
      <c r="L88">
        <v>-1.497437852476414</v>
      </c>
      <c r="M88">
        <v>-1.7615047137918221</v>
      </c>
      <c r="N88">
        <v>-0.90527635200839007</v>
      </c>
      <c r="O88">
        <v>-0.78045205130988737</v>
      </c>
    </row>
    <row r="89" spans="1:15" x14ac:dyDescent="0.25">
      <c r="A89">
        <v>-224.33283249999999</v>
      </c>
      <c r="B89">
        <v>-230.75178525000001</v>
      </c>
      <c r="C89">
        <v>200.06821825</v>
      </c>
      <c r="D89">
        <v>232.76091750000001</v>
      </c>
      <c r="E89">
        <v>25.705392249999999</v>
      </c>
      <c r="F89">
        <v>5.6523149999999998</v>
      </c>
      <c r="G89">
        <v>291.02928924999998</v>
      </c>
      <c r="H89">
        <v>-32</v>
      </c>
      <c r="I89">
        <v>28</v>
      </c>
      <c r="J89">
        <v>1.18</v>
      </c>
      <c r="K89">
        <v>21.9929305</v>
      </c>
      <c r="L89">
        <v>-1.675845721682635</v>
      </c>
      <c r="M89">
        <v>-1.83027937486099</v>
      </c>
      <c r="N89">
        <v>-1.047707205147872</v>
      </c>
      <c r="O89">
        <v>-0.92082104890257732</v>
      </c>
    </row>
    <row r="90" spans="1:15" x14ac:dyDescent="0.25">
      <c r="A90">
        <v>-242.44528174999999</v>
      </c>
      <c r="B90">
        <v>-246.91884974999999</v>
      </c>
      <c r="C90">
        <v>190.71965399999999</v>
      </c>
      <c r="D90">
        <v>200.24800099999999</v>
      </c>
      <c r="E90">
        <v>-13.02343825</v>
      </c>
      <c r="F90">
        <v>5.1650495000000003</v>
      </c>
      <c r="G90">
        <v>272.29968274999999</v>
      </c>
      <c r="H90">
        <v>-32</v>
      </c>
      <c r="I90">
        <v>32</v>
      </c>
      <c r="J90">
        <v>1.18</v>
      </c>
      <c r="K90">
        <v>21.278390250000001</v>
      </c>
      <c r="L90">
        <v>-1.869841607687315</v>
      </c>
      <c r="M90">
        <v>-1.9302837475195751</v>
      </c>
      <c r="N90">
        <v>-1.231653712766511</v>
      </c>
      <c r="O90">
        <v>-1.078515051220803</v>
      </c>
    </row>
    <row r="91" spans="1:15" x14ac:dyDescent="0.25">
      <c r="A91">
        <v>-277.54375475000001</v>
      </c>
      <c r="B91">
        <v>-282.70667275</v>
      </c>
      <c r="C91">
        <v>190.2228815</v>
      </c>
      <c r="D91">
        <v>180.04792399999999</v>
      </c>
      <c r="E91">
        <v>-57.133641249999997</v>
      </c>
      <c r="F91">
        <v>5.2137764999999998</v>
      </c>
      <c r="G91">
        <v>272.53980999999999</v>
      </c>
      <c r="H91">
        <v>-32</v>
      </c>
      <c r="I91">
        <v>36</v>
      </c>
      <c r="J91">
        <v>1.18</v>
      </c>
      <c r="K91">
        <v>21.285988750000001</v>
      </c>
      <c r="L91">
        <v>-2.0977941971858791</v>
      </c>
      <c r="M91">
        <v>-2.0753216270612538</v>
      </c>
      <c r="N91">
        <v>-1.4785656339836291</v>
      </c>
      <c r="O91">
        <v>-1.279636699340301</v>
      </c>
    </row>
    <row r="92" spans="1:15" x14ac:dyDescent="0.25">
      <c r="A92">
        <v>-332.55688474999999</v>
      </c>
      <c r="B92">
        <v>-340.77854150000002</v>
      </c>
      <c r="C92">
        <v>202.91342925000001</v>
      </c>
      <c r="D92">
        <v>169.88216399999999</v>
      </c>
      <c r="E92">
        <v>-110.92222975</v>
      </c>
      <c r="F92">
        <v>5.6035884999999999</v>
      </c>
      <c r="G92">
        <v>293.23041549999999</v>
      </c>
      <c r="H92">
        <v>-32</v>
      </c>
      <c r="I92">
        <v>40</v>
      </c>
      <c r="J92">
        <v>1.18</v>
      </c>
      <c r="K92">
        <v>22.07944475</v>
      </c>
      <c r="L92">
        <v>-2.37202622280103</v>
      </c>
      <c r="M92">
        <v>-2.2621218794946292</v>
      </c>
      <c r="N92">
        <v>-1.7903234876798819</v>
      </c>
      <c r="O92">
        <v>-1.5161832317201329</v>
      </c>
    </row>
    <row r="93" spans="1:15" x14ac:dyDescent="0.25">
      <c r="A93">
        <v>-382.16332249999999</v>
      </c>
      <c r="B93">
        <v>-397.61056524999998</v>
      </c>
      <c r="C93">
        <v>205.80380249999999</v>
      </c>
      <c r="D93">
        <v>151.6977235</v>
      </c>
      <c r="E93">
        <v>-174.3445815</v>
      </c>
      <c r="F93">
        <v>6.0908542499999996</v>
      </c>
      <c r="G93">
        <v>308.99851224999998</v>
      </c>
      <c r="H93">
        <v>-32</v>
      </c>
      <c r="I93">
        <v>44</v>
      </c>
      <c r="J93">
        <v>1.18</v>
      </c>
      <c r="K93">
        <v>22.658384250000001</v>
      </c>
      <c r="L93">
        <v>-2.728174788854818</v>
      </c>
      <c r="M93">
        <v>-2.548767346634317</v>
      </c>
      <c r="N93">
        <v>-2.242879225567425</v>
      </c>
      <c r="O93">
        <v>-1.8373648214718721</v>
      </c>
    </row>
    <row r="94" spans="1:15" x14ac:dyDescent="0.25">
      <c r="A94">
        <v>231.99599850000001</v>
      </c>
      <c r="B94">
        <v>-385.80747224999999</v>
      </c>
      <c r="C94">
        <v>-373.13709225000002</v>
      </c>
      <c r="D94">
        <v>175.40322474999999</v>
      </c>
      <c r="E94">
        <v>-47.098459499999997</v>
      </c>
      <c r="F94">
        <v>6.4806664999999999</v>
      </c>
      <c r="G94">
        <v>329.28889475</v>
      </c>
      <c r="H94">
        <v>-28</v>
      </c>
      <c r="I94">
        <v>-44</v>
      </c>
      <c r="J94">
        <v>1.18</v>
      </c>
      <c r="K94">
        <v>23.390856500000002</v>
      </c>
      <c r="L94">
        <v>1.820645489682031</v>
      </c>
      <c r="M94">
        <v>-1.6885048046617519</v>
      </c>
      <c r="N94">
        <v>-1.132442149987815</v>
      </c>
      <c r="O94">
        <v>-1.161208966228596</v>
      </c>
    </row>
    <row r="95" spans="1:15" x14ac:dyDescent="0.25">
      <c r="A95">
        <v>241.33721925</v>
      </c>
      <c r="B95">
        <v>-350.01437375</v>
      </c>
      <c r="C95">
        <v>-341.92581174999998</v>
      </c>
      <c r="D95">
        <v>204.36689000000001</v>
      </c>
      <c r="E95">
        <v>-1.20421625</v>
      </c>
      <c r="F95">
        <v>6.7730255000000001</v>
      </c>
      <c r="G95">
        <v>333.21093000000002</v>
      </c>
      <c r="H95">
        <v>-28</v>
      </c>
      <c r="I95">
        <v>-40</v>
      </c>
      <c r="J95">
        <v>1.18</v>
      </c>
      <c r="K95">
        <v>23.521936</v>
      </c>
      <c r="L95">
        <v>1.691756593780585</v>
      </c>
      <c r="M95">
        <v>-1.6079939247831601</v>
      </c>
      <c r="N95">
        <v>-0.96996919611860566</v>
      </c>
      <c r="O95">
        <v>-1.023126068498317</v>
      </c>
    </row>
    <row r="96" spans="1:15" x14ac:dyDescent="0.25">
      <c r="A96">
        <v>221.97788625000001</v>
      </c>
      <c r="B96">
        <v>-274.18685175000002</v>
      </c>
      <c r="C96">
        <v>-273.77518450000002</v>
      </c>
      <c r="D96">
        <v>212.21030425000001</v>
      </c>
      <c r="E96">
        <v>40.368630250000002</v>
      </c>
      <c r="F96">
        <v>5.9934012499999998</v>
      </c>
      <c r="G96">
        <v>306.51722725000002</v>
      </c>
      <c r="H96">
        <v>-28</v>
      </c>
      <c r="I96">
        <v>-36</v>
      </c>
      <c r="J96">
        <v>1.18</v>
      </c>
      <c r="K96">
        <v>22.56903325</v>
      </c>
      <c r="L96">
        <v>1.5770789747597</v>
      </c>
      <c r="M96">
        <v>-1.5473184582638431</v>
      </c>
      <c r="N96">
        <v>-0.84667311875614792</v>
      </c>
      <c r="O96">
        <v>-0.89065222484910245</v>
      </c>
    </row>
    <row r="97" spans="1:15" x14ac:dyDescent="0.25">
      <c r="A97">
        <v>208.03376399999999</v>
      </c>
      <c r="B97">
        <v>-220.56422800000001</v>
      </c>
      <c r="C97">
        <v>-214.50985725000001</v>
      </c>
      <c r="D97">
        <v>218.87063599999999</v>
      </c>
      <c r="E97">
        <v>70.812730999999999</v>
      </c>
      <c r="F97">
        <v>5.6035884999999999</v>
      </c>
      <c r="G97">
        <v>288.78813200000002</v>
      </c>
      <c r="H97">
        <v>-28</v>
      </c>
      <c r="I97">
        <v>-32</v>
      </c>
      <c r="J97">
        <v>1.18</v>
      </c>
      <c r="K97">
        <v>21.908287000000001</v>
      </c>
      <c r="L97">
        <v>1.465386895692135</v>
      </c>
      <c r="M97">
        <v>-1.5239647376456791</v>
      </c>
      <c r="N97">
        <v>-0.75594377210564245</v>
      </c>
      <c r="O97">
        <v>-0.77385716002391436</v>
      </c>
    </row>
    <row r="98" spans="1:15" x14ac:dyDescent="0.25">
      <c r="A98">
        <v>190.02823649999999</v>
      </c>
      <c r="B98">
        <v>-166.92255750000001</v>
      </c>
      <c r="C98">
        <v>-150.91463100000001</v>
      </c>
      <c r="D98">
        <v>221.63116074999999</v>
      </c>
      <c r="E98">
        <v>93.925211000000004</v>
      </c>
      <c r="F98">
        <v>5.3599560000000004</v>
      </c>
      <c r="G98">
        <v>270.25863650000002</v>
      </c>
      <c r="H98">
        <v>-28</v>
      </c>
      <c r="I98">
        <v>-28</v>
      </c>
      <c r="J98">
        <v>1.18</v>
      </c>
      <c r="K98">
        <v>21.189155</v>
      </c>
      <c r="L98">
        <v>1.348432829918192</v>
      </c>
      <c r="M98">
        <v>-1.536734710598783</v>
      </c>
      <c r="N98">
        <v>-0.6974011585526747</v>
      </c>
      <c r="O98">
        <v>-0.64972354412682476</v>
      </c>
    </row>
    <row r="99" spans="1:15" x14ac:dyDescent="0.25">
      <c r="A99">
        <v>171.52631349999999</v>
      </c>
      <c r="B99">
        <v>-129.49812324999999</v>
      </c>
      <c r="C99">
        <v>-100.66988925</v>
      </c>
      <c r="D99">
        <v>224.52314774999999</v>
      </c>
      <c r="E99">
        <v>110.51076500000001</v>
      </c>
      <c r="F99">
        <v>4.8726905</v>
      </c>
      <c r="G99">
        <v>257.05185699999998</v>
      </c>
      <c r="H99">
        <v>-28</v>
      </c>
      <c r="I99">
        <v>-24</v>
      </c>
      <c r="J99">
        <v>1.18</v>
      </c>
      <c r="K99">
        <v>20.674181000000001</v>
      </c>
      <c r="L99">
        <v>1.20657668516327</v>
      </c>
      <c r="M99">
        <v>-1.5692793126220499</v>
      </c>
      <c r="N99">
        <v>-0.64957852695635632</v>
      </c>
      <c r="O99">
        <v>-0.53173388847583647</v>
      </c>
    </row>
    <row r="100" spans="1:15" x14ac:dyDescent="0.25">
      <c r="A100">
        <v>172.11296849999999</v>
      </c>
      <c r="B100">
        <v>-113.376835</v>
      </c>
      <c r="C100">
        <v>-65.218933250000006</v>
      </c>
      <c r="D100">
        <v>249.98137299999999</v>
      </c>
      <c r="E100">
        <v>138.585499</v>
      </c>
      <c r="F100">
        <v>5.4574090000000002</v>
      </c>
      <c r="G100">
        <v>274.10060874999999</v>
      </c>
      <c r="H100">
        <v>-28</v>
      </c>
      <c r="I100">
        <v>-20</v>
      </c>
      <c r="J100">
        <v>1.18</v>
      </c>
      <c r="K100">
        <v>21.338386499999999</v>
      </c>
      <c r="L100">
        <v>1.0414513053963079</v>
      </c>
      <c r="M100">
        <v>-1.5944834167220789</v>
      </c>
      <c r="N100">
        <v>-0.59466294083622795</v>
      </c>
      <c r="O100">
        <v>-0.41579729569489932</v>
      </c>
    </row>
    <row r="101" spans="1:15" x14ac:dyDescent="0.25">
      <c r="A101">
        <v>165.84036649999999</v>
      </c>
      <c r="B101">
        <v>-107.66720975</v>
      </c>
      <c r="C101">
        <v>-30.579830999999999</v>
      </c>
      <c r="D101">
        <v>274.95759575</v>
      </c>
      <c r="E101">
        <v>161.25093475</v>
      </c>
      <c r="F101">
        <v>5.7010415000000014</v>
      </c>
      <c r="G101">
        <v>291.02928175</v>
      </c>
      <c r="H101">
        <v>-28</v>
      </c>
      <c r="I101">
        <v>-16</v>
      </c>
      <c r="J101">
        <v>1.18</v>
      </c>
      <c r="K101">
        <v>21.991059750000002</v>
      </c>
      <c r="L101">
        <v>0.85261975642463561</v>
      </c>
      <c r="M101">
        <v>-1.660915920794833</v>
      </c>
      <c r="N101">
        <v>-0.56337995616473258</v>
      </c>
      <c r="O101">
        <v>-0.32481036350609249</v>
      </c>
    </row>
    <row r="102" spans="1:15" x14ac:dyDescent="0.25">
      <c r="A102">
        <v>154.87459575</v>
      </c>
      <c r="B102">
        <v>-104.35658275</v>
      </c>
      <c r="C102">
        <v>7.2711104999999998</v>
      </c>
      <c r="D102">
        <v>296.64747649999998</v>
      </c>
      <c r="E102">
        <v>182.03875350000001</v>
      </c>
      <c r="F102">
        <v>6.1883072500000003</v>
      </c>
      <c r="G102">
        <v>307.60209650000002</v>
      </c>
      <c r="H102">
        <v>-28</v>
      </c>
      <c r="I102">
        <v>-12</v>
      </c>
      <c r="J102">
        <v>1.18</v>
      </c>
      <c r="K102">
        <v>22.602439</v>
      </c>
      <c r="L102">
        <v>0.6401238102685739</v>
      </c>
      <c r="M102">
        <v>-1.739096920901263</v>
      </c>
      <c r="N102">
        <v>-0.54454775904899999</v>
      </c>
      <c r="O102">
        <v>-0.2373563049973266</v>
      </c>
    </row>
    <row r="103" spans="1:15" x14ac:dyDescent="0.25">
      <c r="A103">
        <v>136.77881625000001</v>
      </c>
      <c r="B103">
        <v>-106.89952624999999</v>
      </c>
      <c r="C103">
        <v>45.162132999999997</v>
      </c>
      <c r="D103">
        <v>314.52519975000001</v>
      </c>
      <c r="E103">
        <v>198.49018849999999</v>
      </c>
      <c r="F103">
        <v>6.4806660000000003</v>
      </c>
      <c r="G103">
        <v>322.76556375000001</v>
      </c>
      <c r="H103">
        <v>-28</v>
      </c>
      <c r="I103">
        <v>-8</v>
      </c>
      <c r="J103">
        <v>1.18</v>
      </c>
      <c r="K103">
        <v>23.153307250000001</v>
      </c>
      <c r="L103">
        <v>0.39943152566884621</v>
      </c>
      <c r="M103">
        <v>-1.8374363262846769</v>
      </c>
      <c r="N103">
        <v>-0.54187822429320587</v>
      </c>
      <c r="O103">
        <v>-0.16284883181172399</v>
      </c>
    </row>
    <row r="104" spans="1:15" x14ac:dyDescent="0.25">
      <c r="A104">
        <v>110.108982</v>
      </c>
      <c r="B104">
        <v>-109.4424705</v>
      </c>
      <c r="C104">
        <v>83.730587</v>
      </c>
      <c r="D104">
        <v>327.97731775</v>
      </c>
      <c r="E104">
        <v>208.81703949999999</v>
      </c>
      <c r="F104">
        <v>6.4806662499999996</v>
      </c>
      <c r="G104">
        <v>335.011841</v>
      </c>
      <c r="H104">
        <v>-28</v>
      </c>
      <c r="I104">
        <v>-4</v>
      </c>
      <c r="J104">
        <v>1.18</v>
      </c>
      <c r="K104">
        <v>23.597292249999999</v>
      </c>
      <c r="L104">
        <v>0.1189912670857374</v>
      </c>
      <c r="M104">
        <v>-1.9732683461613281</v>
      </c>
      <c r="N104">
        <v>-0.56928479410278721</v>
      </c>
      <c r="O104">
        <v>-8.7226746727772503E-2</v>
      </c>
    </row>
    <row r="105" spans="1:15" x14ac:dyDescent="0.25">
      <c r="A105">
        <v>75.857869999999991</v>
      </c>
      <c r="B105">
        <v>-102.67727875</v>
      </c>
      <c r="C105">
        <v>115.56988699999999</v>
      </c>
      <c r="D105">
        <v>315.97118375000002</v>
      </c>
      <c r="E105">
        <v>203.40773775</v>
      </c>
      <c r="F105">
        <v>6.4319397499999997</v>
      </c>
      <c r="G105">
        <v>322.68808725000002</v>
      </c>
      <c r="H105">
        <v>-28</v>
      </c>
      <c r="I105">
        <v>0</v>
      </c>
      <c r="J105">
        <v>1.18</v>
      </c>
      <c r="K105">
        <v>23.152234</v>
      </c>
      <c r="L105">
        <v>-0.18315604176209549</v>
      </c>
      <c r="M105">
        <v>-1.930891848974273</v>
      </c>
      <c r="N105">
        <v>-0.55015322004264511</v>
      </c>
      <c r="O105">
        <v>-9.1518090625468285E-2</v>
      </c>
    </row>
    <row r="106" spans="1:15" x14ac:dyDescent="0.25">
      <c r="A106">
        <v>37.635613499999998</v>
      </c>
      <c r="B106">
        <v>-93.513092</v>
      </c>
      <c r="C106">
        <v>136.70576474999999</v>
      </c>
      <c r="D106">
        <v>291.03878025</v>
      </c>
      <c r="E106">
        <v>187.58216874999999</v>
      </c>
      <c r="F106">
        <v>5.8959479999999997</v>
      </c>
      <c r="G106">
        <v>298.50116724999998</v>
      </c>
      <c r="H106">
        <v>-28</v>
      </c>
      <c r="I106">
        <v>4</v>
      </c>
      <c r="J106">
        <v>1.18</v>
      </c>
      <c r="K106">
        <v>22.2697185</v>
      </c>
      <c r="L106">
        <v>-0.45964675109820669</v>
      </c>
      <c r="M106">
        <v>-1.7843010915279569</v>
      </c>
      <c r="N106">
        <v>-0.51466005740924126</v>
      </c>
      <c r="O106">
        <v>-0.15696493912539039</v>
      </c>
    </row>
    <row r="107" spans="1:15" x14ac:dyDescent="0.25">
      <c r="A107">
        <v>4.1065290000000001</v>
      </c>
      <c r="B107">
        <v>-88.667110500000007</v>
      </c>
      <c r="C107">
        <v>152.10603750000001</v>
      </c>
      <c r="D107">
        <v>271.23306274999999</v>
      </c>
      <c r="E107">
        <v>172.20365150000001</v>
      </c>
      <c r="F107">
        <v>5.5061355000000001</v>
      </c>
      <c r="G107">
        <v>281.55175800000001</v>
      </c>
      <c r="H107">
        <v>-28</v>
      </c>
      <c r="I107">
        <v>8</v>
      </c>
      <c r="J107">
        <v>1.18</v>
      </c>
      <c r="K107">
        <v>21.630381750000002</v>
      </c>
      <c r="L107">
        <v>-0.69002050860921449</v>
      </c>
      <c r="M107">
        <v>-1.6779915674315209</v>
      </c>
      <c r="N107">
        <v>-0.5098275881777351</v>
      </c>
      <c r="O107">
        <v>-0.22279736065369679</v>
      </c>
    </row>
    <row r="108" spans="1:15" x14ac:dyDescent="0.25">
      <c r="A108">
        <v>-26.763147750000002</v>
      </c>
      <c r="B108">
        <v>-86.364063250000001</v>
      </c>
      <c r="C108">
        <v>163.39657625000001</v>
      </c>
      <c r="D108">
        <v>252.61045075000001</v>
      </c>
      <c r="E108">
        <v>155.66280750000001</v>
      </c>
      <c r="F108">
        <v>5.1163227500000001</v>
      </c>
      <c r="G108">
        <v>267.24153150000001</v>
      </c>
      <c r="H108">
        <v>-28</v>
      </c>
      <c r="I108">
        <v>12</v>
      </c>
      <c r="J108">
        <v>1.18</v>
      </c>
      <c r="K108">
        <v>21.077938750000001</v>
      </c>
      <c r="L108">
        <v>-0.89602820199765365</v>
      </c>
      <c r="M108">
        <v>-1.5972401797216169</v>
      </c>
      <c r="N108">
        <v>-0.52576449310663997</v>
      </c>
      <c r="O108">
        <v>-0.29063839152035548</v>
      </c>
    </row>
    <row r="109" spans="1:15" x14ac:dyDescent="0.25">
      <c r="A109">
        <v>-62.267122499999999</v>
      </c>
      <c r="B109">
        <v>-94.616632500000009</v>
      </c>
      <c r="C109">
        <v>184.9840695</v>
      </c>
      <c r="D109">
        <v>253.39917374999999</v>
      </c>
      <c r="E109">
        <v>145.82770925</v>
      </c>
      <c r="F109">
        <v>5.4574090000000002</v>
      </c>
      <c r="G109">
        <v>276.66983025000002</v>
      </c>
      <c r="H109">
        <v>-28</v>
      </c>
      <c r="I109">
        <v>16</v>
      </c>
      <c r="J109">
        <v>1.18</v>
      </c>
      <c r="K109">
        <v>21.440174750000001</v>
      </c>
      <c r="L109">
        <v>-1.102476442396878</v>
      </c>
      <c r="M109">
        <v>-1.551776306173926</v>
      </c>
      <c r="N109">
        <v>-0.58341718451946056</v>
      </c>
      <c r="O109">
        <v>-0.37408983731294299</v>
      </c>
    </row>
    <row r="110" spans="1:15" x14ac:dyDescent="0.25">
      <c r="A110">
        <v>-104.0789035</v>
      </c>
      <c r="B110">
        <v>-118.9904975</v>
      </c>
      <c r="C110">
        <v>210.68131625000001</v>
      </c>
      <c r="D110">
        <v>259.62132274999999</v>
      </c>
      <c r="E110">
        <v>130.8068275</v>
      </c>
      <c r="F110">
        <v>5.8472210000000002</v>
      </c>
      <c r="G110">
        <v>295.87745675000002</v>
      </c>
      <c r="H110">
        <v>-28</v>
      </c>
      <c r="I110">
        <v>20</v>
      </c>
      <c r="J110">
        <v>1.18</v>
      </c>
      <c r="K110">
        <v>22.171510250000001</v>
      </c>
      <c r="L110">
        <v>-1.298844917674854</v>
      </c>
      <c r="M110">
        <v>-1.5623106890294149</v>
      </c>
      <c r="N110">
        <v>-0.68116079082047343</v>
      </c>
      <c r="O110">
        <v>-0.48437008088044181</v>
      </c>
    </row>
    <row r="111" spans="1:15" x14ac:dyDescent="0.25">
      <c r="A111">
        <v>-152.96445449999999</v>
      </c>
      <c r="B111">
        <v>-162.12455750000001</v>
      </c>
      <c r="C111">
        <v>233.98497775000001</v>
      </c>
      <c r="D111">
        <v>259.40222175000002</v>
      </c>
      <c r="E111">
        <v>102.68738949999999</v>
      </c>
      <c r="F111">
        <v>6.2857597500000004</v>
      </c>
      <c r="G111">
        <v>313.02603925</v>
      </c>
      <c r="H111">
        <v>-28</v>
      </c>
      <c r="I111">
        <v>24</v>
      </c>
      <c r="J111">
        <v>1.18</v>
      </c>
      <c r="K111">
        <v>22.801275499999999</v>
      </c>
      <c r="L111">
        <v>-1.486937969992169</v>
      </c>
      <c r="M111">
        <v>-1.6198226740847721</v>
      </c>
      <c r="N111">
        <v>-0.80828507279021233</v>
      </c>
      <c r="O111">
        <v>-0.62956113871930497</v>
      </c>
    </row>
    <row r="112" spans="1:15" x14ac:dyDescent="0.25">
      <c r="A112">
        <v>-203.11156449999999</v>
      </c>
      <c r="B112">
        <v>-213.36723325</v>
      </c>
      <c r="C112">
        <v>250.74011999999999</v>
      </c>
      <c r="D112">
        <v>250.57887650000001</v>
      </c>
      <c r="E112">
        <v>64.554030499999996</v>
      </c>
      <c r="F112">
        <v>6.4806662499999996</v>
      </c>
      <c r="G112">
        <v>326.08939350000003</v>
      </c>
      <c r="H112">
        <v>-28</v>
      </c>
      <c r="I112">
        <v>28</v>
      </c>
      <c r="J112">
        <v>1.18</v>
      </c>
      <c r="K112">
        <v>23.274646749999999</v>
      </c>
      <c r="L112">
        <v>-1.6637530310131969</v>
      </c>
      <c r="M112">
        <v>-1.7007545516825811</v>
      </c>
      <c r="N112">
        <v>-0.95876536721951644</v>
      </c>
      <c r="O112">
        <v>-0.78713553932768865</v>
      </c>
    </row>
    <row r="113" spans="1:15" x14ac:dyDescent="0.25">
      <c r="A113">
        <v>-260.01703624999999</v>
      </c>
      <c r="B113">
        <v>-270.31953425</v>
      </c>
      <c r="C113">
        <v>265.41780849999998</v>
      </c>
      <c r="D113">
        <v>237.96010949999999</v>
      </c>
      <c r="E113">
        <v>18.642004249999999</v>
      </c>
      <c r="F113">
        <v>6.6755724999999986</v>
      </c>
      <c r="G113">
        <v>339.41525250000001</v>
      </c>
      <c r="H113">
        <v>-28</v>
      </c>
      <c r="I113">
        <v>32</v>
      </c>
      <c r="J113">
        <v>1.18</v>
      </c>
      <c r="K113">
        <v>23.747956250000001</v>
      </c>
      <c r="L113">
        <v>-1.8513855626456051</v>
      </c>
      <c r="M113">
        <v>-1.7909346850390919</v>
      </c>
      <c r="N113">
        <v>-1.1302717325399569</v>
      </c>
      <c r="O113">
        <v>-0.95784795622739716</v>
      </c>
    </row>
    <row r="114" spans="1:15" x14ac:dyDescent="0.25">
      <c r="A114">
        <v>-276.91294850000003</v>
      </c>
      <c r="B114">
        <v>-289.41558099999997</v>
      </c>
      <c r="C114">
        <v>242.65610125000001</v>
      </c>
      <c r="D114">
        <v>194.10127625000001</v>
      </c>
      <c r="E114">
        <v>-35.814454249999997</v>
      </c>
      <c r="F114">
        <v>6.1883067500000006</v>
      </c>
      <c r="G114">
        <v>311.52368150000001</v>
      </c>
      <c r="H114">
        <v>-28</v>
      </c>
      <c r="I114">
        <v>36</v>
      </c>
      <c r="J114">
        <v>1.18</v>
      </c>
      <c r="K114">
        <v>22.748981000000001</v>
      </c>
      <c r="L114">
        <v>-2.10059334128113</v>
      </c>
      <c r="M114">
        <v>-1.954807582271985</v>
      </c>
      <c r="N114">
        <v>-1.4042942141697079</v>
      </c>
      <c r="O114">
        <v>-1.169809457064908</v>
      </c>
    </row>
    <row r="115" spans="1:15" x14ac:dyDescent="0.25">
      <c r="A115">
        <v>-293.49349975000001</v>
      </c>
      <c r="B115">
        <v>-309.99902350000002</v>
      </c>
      <c r="C115">
        <v>223.68799999999999</v>
      </c>
      <c r="D115">
        <v>154.75519575000001</v>
      </c>
      <c r="E115">
        <v>-87.952810249999999</v>
      </c>
      <c r="F115">
        <v>5.5061355000000001</v>
      </c>
      <c r="G115">
        <v>289.67489625000002</v>
      </c>
      <c r="H115">
        <v>-28</v>
      </c>
      <c r="I115">
        <v>40</v>
      </c>
      <c r="J115">
        <v>1.18</v>
      </c>
      <c r="K115">
        <v>21.946329250000002</v>
      </c>
      <c r="L115">
        <v>-2.419081747715877</v>
      </c>
      <c r="M115">
        <v>-2.1738664805105099</v>
      </c>
      <c r="N115">
        <v>-1.766336311735424</v>
      </c>
      <c r="O115">
        <v>-1.4371460651626671</v>
      </c>
    </row>
    <row r="116" spans="1:15" x14ac:dyDescent="0.25">
      <c r="A116">
        <v>-310.34436799999997</v>
      </c>
      <c r="B116">
        <v>-329.43094624999998</v>
      </c>
      <c r="C116">
        <v>204.22313299999999</v>
      </c>
      <c r="D116">
        <v>121.0020865</v>
      </c>
      <c r="E116">
        <v>-134.96206674999999</v>
      </c>
      <c r="F116">
        <v>5.2625029999999997</v>
      </c>
      <c r="G116">
        <v>273.88464349999998</v>
      </c>
      <c r="H116">
        <v>-28</v>
      </c>
      <c r="I116">
        <v>44</v>
      </c>
      <c r="J116">
        <v>1.18</v>
      </c>
      <c r="K116">
        <v>21.337549750000001</v>
      </c>
      <c r="L116">
        <v>-2.7827345182451042</v>
      </c>
      <c r="M116">
        <v>-2.4358904623823818</v>
      </c>
      <c r="N116">
        <v>-2.2110616914443191</v>
      </c>
      <c r="O116">
        <v>-1.758363994117534</v>
      </c>
    </row>
    <row r="117" spans="1:15" x14ac:dyDescent="0.25">
      <c r="A117">
        <v>217.10421349999999</v>
      </c>
      <c r="B117">
        <v>-298.0519865</v>
      </c>
      <c r="C117">
        <v>-289.89606474999999</v>
      </c>
      <c r="D117">
        <v>131.29734425000001</v>
      </c>
      <c r="E117">
        <v>-23.5492305</v>
      </c>
      <c r="F117">
        <v>5.2625027499999986</v>
      </c>
      <c r="G117">
        <v>276.29364750000002</v>
      </c>
      <c r="H117">
        <v>-24</v>
      </c>
      <c r="I117">
        <v>-44</v>
      </c>
      <c r="J117">
        <v>1.18</v>
      </c>
      <c r="K117">
        <v>21.433008999999998</v>
      </c>
      <c r="L117">
        <v>1.8748257257659671</v>
      </c>
      <c r="M117">
        <v>-1.587690302230494</v>
      </c>
      <c r="N117">
        <v>-1.1087916473985979</v>
      </c>
      <c r="O117">
        <v>-1.106532660418011</v>
      </c>
    </row>
    <row r="118" spans="1:15" x14ac:dyDescent="0.25">
      <c r="A118">
        <v>237.95271650000001</v>
      </c>
      <c r="B118">
        <v>-273.3902435</v>
      </c>
      <c r="C118">
        <v>-273.58531199999999</v>
      </c>
      <c r="D118">
        <v>166.6953695</v>
      </c>
      <c r="E118">
        <v>20.385497999999998</v>
      </c>
      <c r="F118">
        <v>5.7497680000000004</v>
      </c>
      <c r="G118">
        <v>295.70017224999998</v>
      </c>
      <c r="H118">
        <v>-24</v>
      </c>
      <c r="I118">
        <v>-40</v>
      </c>
      <c r="J118">
        <v>1.18</v>
      </c>
      <c r="K118">
        <v>22.168463249999999</v>
      </c>
      <c r="L118">
        <v>1.740668579874443</v>
      </c>
      <c r="M118">
        <v>-1.497536024677476</v>
      </c>
      <c r="N118">
        <v>-0.93686715005931154</v>
      </c>
      <c r="O118">
        <v>-0.95019177221052709</v>
      </c>
    </row>
    <row r="119" spans="1:15" x14ac:dyDescent="0.25">
      <c r="A119">
        <v>252.0322305</v>
      </c>
      <c r="B119">
        <v>-232.89509975000001</v>
      </c>
      <c r="C119">
        <v>-245.55689225</v>
      </c>
      <c r="D119">
        <v>202.00598525000001</v>
      </c>
      <c r="E119">
        <v>68.264543750000001</v>
      </c>
      <c r="F119">
        <v>5.9934012499999998</v>
      </c>
      <c r="G119">
        <v>312.48400149999998</v>
      </c>
      <c r="H119">
        <v>-24</v>
      </c>
      <c r="I119">
        <v>-36</v>
      </c>
      <c r="J119">
        <v>1.18</v>
      </c>
      <c r="K119">
        <v>22.791994750000001</v>
      </c>
      <c r="L119">
        <v>1.6182269435451599</v>
      </c>
      <c r="M119">
        <v>-1.4143553667368329</v>
      </c>
      <c r="N119">
        <v>-0.79423509056279973</v>
      </c>
      <c r="O119">
        <v>-0.79748543640365099</v>
      </c>
    </row>
    <row r="120" spans="1:15" x14ac:dyDescent="0.25">
      <c r="A120">
        <v>260.60628524999998</v>
      </c>
      <c r="B120">
        <v>-194.70300275</v>
      </c>
      <c r="C120">
        <v>-211.18618375</v>
      </c>
      <c r="D120">
        <v>233.5927275</v>
      </c>
      <c r="E120">
        <v>111.71779625000001</v>
      </c>
      <c r="F120">
        <v>6.1883067500000006</v>
      </c>
      <c r="G120">
        <v>325.91037725000001</v>
      </c>
      <c r="H120">
        <v>-24</v>
      </c>
      <c r="I120">
        <v>-32</v>
      </c>
      <c r="J120">
        <v>1.18</v>
      </c>
      <c r="K120">
        <v>23.278777999999999</v>
      </c>
      <c r="L120">
        <v>1.4993606804903279</v>
      </c>
      <c r="M120">
        <v>-1.361124902538204</v>
      </c>
      <c r="N120">
        <v>-0.68070515002730148</v>
      </c>
      <c r="O120">
        <v>-0.66462365486726316</v>
      </c>
    </row>
    <row r="121" spans="1:15" x14ac:dyDescent="0.25">
      <c r="A121">
        <v>264.48717499999998</v>
      </c>
      <c r="B121">
        <v>-156.99068449999999</v>
      </c>
      <c r="C121">
        <v>-154.58826074999999</v>
      </c>
      <c r="D121">
        <v>265.13551324999997</v>
      </c>
      <c r="E121">
        <v>155.75221275000001</v>
      </c>
      <c r="F121">
        <v>6.6268459999999996</v>
      </c>
      <c r="G121">
        <v>339.43492874999998</v>
      </c>
      <c r="H121">
        <v>-24</v>
      </c>
      <c r="I121">
        <v>-28</v>
      </c>
      <c r="J121">
        <v>1.18</v>
      </c>
      <c r="K121">
        <v>23.750394499999999</v>
      </c>
      <c r="L121">
        <v>1.345170008038131</v>
      </c>
      <c r="M121">
        <v>-1.354967904770578</v>
      </c>
      <c r="N121">
        <v>-0.58959902987967805</v>
      </c>
      <c r="O121">
        <v>-0.52133392732039752</v>
      </c>
    </row>
    <row r="122" spans="1:15" x14ac:dyDescent="0.25">
      <c r="A122">
        <v>234.02670674999999</v>
      </c>
      <c r="B122">
        <v>-112.65713675000001</v>
      </c>
      <c r="C122">
        <v>-81.522460749999993</v>
      </c>
      <c r="D122">
        <v>261.44510650000001</v>
      </c>
      <c r="E122">
        <v>171.26485450000001</v>
      </c>
      <c r="F122">
        <v>6.2370334999999999</v>
      </c>
      <c r="G122">
        <v>312.327652</v>
      </c>
      <c r="H122">
        <v>-24</v>
      </c>
      <c r="I122">
        <v>-24</v>
      </c>
      <c r="J122">
        <v>1.18</v>
      </c>
      <c r="K122">
        <v>22.777100749999999</v>
      </c>
      <c r="L122">
        <v>1.175862005242353</v>
      </c>
      <c r="M122">
        <v>-1.394061624878568</v>
      </c>
      <c r="N122">
        <v>-0.52566045591720922</v>
      </c>
      <c r="O122">
        <v>-0.38503847520705542</v>
      </c>
    </row>
    <row r="123" spans="1:15" x14ac:dyDescent="0.25">
      <c r="A123">
        <v>206.36407449999999</v>
      </c>
      <c r="B123">
        <v>-79.311000750000005</v>
      </c>
      <c r="C123">
        <v>-30.450463249999999</v>
      </c>
      <c r="D123">
        <v>257.85226075000003</v>
      </c>
      <c r="E123">
        <v>182.79873649999999</v>
      </c>
      <c r="F123">
        <v>5.7984945000000003</v>
      </c>
      <c r="G123">
        <v>292.03582749999998</v>
      </c>
      <c r="H123">
        <v>-24</v>
      </c>
      <c r="I123">
        <v>-20</v>
      </c>
      <c r="J123">
        <v>1.18</v>
      </c>
      <c r="K123">
        <v>22.026060000000001</v>
      </c>
      <c r="L123">
        <v>0.99635735645129675</v>
      </c>
      <c r="M123">
        <v>-1.41853891058795</v>
      </c>
      <c r="N123">
        <v>-0.45960361185504839</v>
      </c>
      <c r="O123">
        <v>-0.25528306186108829</v>
      </c>
    </row>
    <row r="124" spans="1:15" x14ac:dyDescent="0.25">
      <c r="A124">
        <v>181.1382945</v>
      </c>
      <c r="B124">
        <v>-57.863923999999997</v>
      </c>
      <c r="C124">
        <v>7.1356244999999996</v>
      </c>
      <c r="D124">
        <v>252.73757925000001</v>
      </c>
      <c r="E124">
        <v>187.7609865</v>
      </c>
      <c r="F124">
        <v>5.3112294999999996</v>
      </c>
      <c r="G124">
        <v>276.63763399999999</v>
      </c>
      <c r="H124">
        <v>-24</v>
      </c>
      <c r="I124">
        <v>-16</v>
      </c>
      <c r="J124">
        <v>1.18</v>
      </c>
      <c r="K124">
        <v>21.444690999999999</v>
      </c>
      <c r="L124">
        <v>0.81643080084762021</v>
      </c>
      <c r="M124">
        <v>-1.4573629618427151</v>
      </c>
      <c r="N124">
        <v>-0.41701697379953612</v>
      </c>
      <c r="O124">
        <v>-0.1439302094531735</v>
      </c>
    </row>
    <row r="125" spans="1:15" x14ac:dyDescent="0.25">
      <c r="A125">
        <v>158.259094</v>
      </c>
      <c r="B125">
        <v>-48.171957749999997</v>
      </c>
      <c r="C125">
        <v>39.065244750000012</v>
      </c>
      <c r="D125">
        <v>252.315338</v>
      </c>
      <c r="E125">
        <v>193.21500025</v>
      </c>
      <c r="F125">
        <v>5.0188697500000004</v>
      </c>
      <c r="G125">
        <v>269.69141400000001</v>
      </c>
      <c r="H125">
        <v>-24</v>
      </c>
      <c r="I125">
        <v>-12</v>
      </c>
      <c r="J125">
        <v>1.18</v>
      </c>
      <c r="K125">
        <v>21.180095999999999</v>
      </c>
      <c r="L125">
        <v>0.60269349332262501</v>
      </c>
      <c r="M125">
        <v>-1.519378356563577</v>
      </c>
      <c r="N125">
        <v>-0.38669278256683071</v>
      </c>
      <c r="O125">
        <v>-4.8390313989770353E-2</v>
      </c>
    </row>
    <row r="126" spans="1:15" x14ac:dyDescent="0.25">
      <c r="A126">
        <v>147.2481995</v>
      </c>
      <c r="B126">
        <v>-51.479080250000003</v>
      </c>
      <c r="C126">
        <v>70.543243250000003</v>
      </c>
      <c r="D126">
        <v>274.99271425000001</v>
      </c>
      <c r="E126">
        <v>213.6451835</v>
      </c>
      <c r="F126">
        <v>5.7497680000000004</v>
      </c>
      <c r="G126">
        <v>290.24145499999997</v>
      </c>
      <c r="H126">
        <v>-24</v>
      </c>
      <c r="I126">
        <v>-8</v>
      </c>
      <c r="J126">
        <v>1.18</v>
      </c>
      <c r="K126">
        <v>21.958785249999998</v>
      </c>
      <c r="L126">
        <v>0.37579465395597261</v>
      </c>
      <c r="M126">
        <v>-1.5994869609538731</v>
      </c>
      <c r="N126">
        <v>-0.37529535216771809</v>
      </c>
      <c r="O126">
        <v>1.8519944383317052E-2</v>
      </c>
    </row>
    <row r="127" spans="1:15" x14ac:dyDescent="0.25">
      <c r="A127">
        <v>129.24266800000001</v>
      </c>
      <c r="B127">
        <v>-52.921978750000001</v>
      </c>
      <c r="C127">
        <v>105.589056</v>
      </c>
      <c r="D127">
        <v>294.52540575</v>
      </c>
      <c r="E127">
        <v>231.66129674999999</v>
      </c>
      <c r="F127">
        <v>6.0908542499999996</v>
      </c>
      <c r="G127">
        <v>308.56659674999997</v>
      </c>
      <c r="H127">
        <v>-24</v>
      </c>
      <c r="I127">
        <v>-4</v>
      </c>
      <c r="J127">
        <v>1.18</v>
      </c>
      <c r="K127">
        <v>22.64221375</v>
      </c>
      <c r="L127">
        <v>0.1151945891223228</v>
      </c>
      <c r="M127">
        <v>-1.6921640909865221</v>
      </c>
      <c r="N127">
        <v>-0.3745504166210083</v>
      </c>
      <c r="O127">
        <v>9.8588525800251292E-2</v>
      </c>
    </row>
    <row r="128" spans="1:15" x14ac:dyDescent="0.25">
      <c r="A128">
        <v>105.95732700000001</v>
      </c>
      <c r="B128">
        <v>-55.560882749999998</v>
      </c>
      <c r="C128">
        <v>140.36389149999999</v>
      </c>
      <c r="D128">
        <v>307.67477400000001</v>
      </c>
      <c r="E128">
        <v>243.10576225</v>
      </c>
      <c r="F128">
        <v>6.5293927500000004</v>
      </c>
      <c r="G128">
        <v>322.42916074999999</v>
      </c>
      <c r="H128">
        <v>-24</v>
      </c>
      <c r="I128">
        <v>0</v>
      </c>
      <c r="J128">
        <v>1.18</v>
      </c>
      <c r="K128">
        <v>23.139203500000001</v>
      </c>
      <c r="L128">
        <v>-0.15784722247656999</v>
      </c>
      <c r="M128">
        <v>-1.6669348625646649</v>
      </c>
      <c r="N128">
        <v>-0.36402690361810131</v>
      </c>
      <c r="O128">
        <v>8.5702060529763993E-2</v>
      </c>
    </row>
    <row r="129" spans="1:15" x14ac:dyDescent="0.25">
      <c r="A129">
        <v>76.354261250000008</v>
      </c>
      <c r="B129">
        <v>-57.76796375</v>
      </c>
      <c r="C129">
        <v>176.49359150000001</v>
      </c>
      <c r="D129">
        <v>319.12609099999997</v>
      </c>
      <c r="E129">
        <v>250.9291455</v>
      </c>
      <c r="F129">
        <v>6.8704787500000002</v>
      </c>
      <c r="G129">
        <v>336.21435550000001</v>
      </c>
      <c r="H129">
        <v>-24</v>
      </c>
      <c r="I129">
        <v>4</v>
      </c>
      <c r="J129">
        <v>1.18</v>
      </c>
      <c r="K129">
        <v>23.626461249999998</v>
      </c>
      <c r="L129">
        <v>-0.41439914695614533</v>
      </c>
      <c r="M129">
        <v>-1.5597891155245791</v>
      </c>
      <c r="N129">
        <v>-0.35296195326905672</v>
      </c>
      <c r="O129">
        <v>1.003267408415489E-2</v>
      </c>
    </row>
    <row r="130" spans="1:15" x14ac:dyDescent="0.25">
      <c r="A130">
        <v>39.576058250000003</v>
      </c>
      <c r="B130">
        <v>-52.106320500000002</v>
      </c>
      <c r="C130">
        <v>193.11325049999999</v>
      </c>
      <c r="D130">
        <v>298.16212474999998</v>
      </c>
      <c r="E130">
        <v>232.60010149999999</v>
      </c>
      <c r="F130">
        <v>6.3832129999999996</v>
      </c>
      <c r="G130">
        <v>318.84947975</v>
      </c>
      <c r="H130">
        <v>-24</v>
      </c>
      <c r="I130">
        <v>8</v>
      </c>
      <c r="J130">
        <v>1.18</v>
      </c>
      <c r="K130">
        <v>23.013073500000001</v>
      </c>
      <c r="L130">
        <v>-0.64277526372065796</v>
      </c>
      <c r="M130">
        <v>-1.466391375265</v>
      </c>
      <c r="N130">
        <v>-0.36107159875786021</v>
      </c>
      <c r="O130">
        <v>-5.2942010054823831E-2</v>
      </c>
    </row>
    <row r="131" spans="1:15" x14ac:dyDescent="0.25">
      <c r="A131">
        <v>7.6715327499999999</v>
      </c>
      <c r="B131">
        <v>-41.982532499999998</v>
      </c>
      <c r="C131">
        <v>200.47467800000001</v>
      </c>
      <c r="D131">
        <v>270.23467249999999</v>
      </c>
      <c r="E131">
        <v>206.89472574999999</v>
      </c>
      <c r="F131">
        <v>5.554862</v>
      </c>
      <c r="G131">
        <v>295.96306600000003</v>
      </c>
      <c r="H131">
        <v>-24</v>
      </c>
      <c r="I131">
        <v>12</v>
      </c>
      <c r="J131">
        <v>1.18</v>
      </c>
      <c r="K131">
        <v>22.185958500000002</v>
      </c>
      <c r="L131">
        <v>-0.86054075544935182</v>
      </c>
      <c r="M131">
        <v>-1.393519959736532</v>
      </c>
      <c r="N131">
        <v>-0.39755100588079728</v>
      </c>
      <c r="O131">
        <v>-0.1013679142501311</v>
      </c>
    </row>
    <row r="132" spans="1:15" x14ac:dyDescent="0.25">
      <c r="A132">
        <v>-23.564185500000001</v>
      </c>
      <c r="B132">
        <v>-44.135356999999999</v>
      </c>
      <c r="C132">
        <v>206.02961325000001</v>
      </c>
      <c r="D132">
        <v>246.98271174999999</v>
      </c>
      <c r="E132">
        <v>179.08822275</v>
      </c>
      <c r="F132">
        <v>5.3599560000000004</v>
      </c>
      <c r="G132">
        <v>279.998581</v>
      </c>
      <c r="H132">
        <v>-24</v>
      </c>
      <c r="I132">
        <v>16</v>
      </c>
      <c r="J132">
        <v>1.18</v>
      </c>
      <c r="K132">
        <v>21.575186250000002</v>
      </c>
      <c r="L132">
        <v>-1.0782222175550691</v>
      </c>
      <c r="M132">
        <v>-1.367139014829071</v>
      </c>
      <c r="N132">
        <v>-0.47389947359243689</v>
      </c>
      <c r="O132">
        <v>-0.18411807756794879</v>
      </c>
    </row>
    <row r="133" spans="1:15" x14ac:dyDescent="0.25">
      <c r="A133">
        <v>-55.14830225</v>
      </c>
      <c r="B133">
        <v>-59.927065749999997</v>
      </c>
      <c r="C133">
        <v>206.616726</v>
      </c>
      <c r="D133">
        <v>222.50885374999999</v>
      </c>
      <c r="E133">
        <v>144.71008325</v>
      </c>
      <c r="F133">
        <v>4.9701434999999998</v>
      </c>
      <c r="G133">
        <v>264.67427800000002</v>
      </c>
      <c r="H133">
        <v>-24</v>
      </c>
      <c r="I133">
        <v>20</v>
      </c>
      <c r="J133">
        <v>1.18</v>
      </c>
      <c r="K133">
        <v>20.980371000000002</v>
      </c>
      <c r="L133">
        <v>-1.2942755428869961</v>
      </c>
      <c r="M133">
        <v>-1.3964878310845781</v>
      </c>
      <c r="N133">
        <v>-0.59315552015129192</v>
      </c>
      <c r="O133">
        <v>-0.30906098625528522</v>
      </c>
    </row>
    <row r="134" spans="1:15" x14ac:dyDescent="0.25">
      <c r="A134">
        <v>-94.655849500000002</v>
      </c>
      <c r="B134">
        <v>-99.455482250000003</v>
      </c>
      <c r="C134">
        <v>231.997837</v>
      </c>
      <c r="D134">
        <v>224.33459450000001</v>
      </c>
      <c r="E134">
        <v>122.62582</v>
      </c>
      <c r="F134">
        <v>5.4574090000000002</v>
      </c>
      <c r="G134">
        <v>285.03999349999998</v>
      </c>
      <c r="H134">
        <v>-24</v>
      </c>
      <c r="I134">
        <v>24</v>
      </c>
      <c r="J134">
        <v>1.18</v>
      </c>
      <c r="K134">
        <v>21.768504249999999</v>
      </c>
      <c r="L134">
        <v>-1.4869060016755939</v>
      </c>
      <c r="M134">
        <v>-1.473849472523973</v>
      </c>
      <c r="N134">
        <v>-0.73929657925375358</v>
      </c>
      <c r="O134">
        <v>-0.46656721307832089</v>
      </c>
    </row>
    <row r="135" spans="1:15" x14ac:dyDescent="0.25">
      <c r="A135">
        <v>-142.76285175000001</v>
      </c>
      <c r="B135">
        <v>-149.06379699999999</v>
      </c>
      <c r="C135">
        <v>254.21760950000001</v>
      </c>
      <c r="D135">
        <v>220.87384399999999</v>
      </c>
      <c r="E135">
        <v>91.019386249999997</v>
      </c>
      <c r="F135">
        <v>5.9446744999999996</v>
      </c>
      <c r="G135">
        <v>303.88527675</v>
      </c>
      <c r="H135">
        <v>-24</v>
      </c>
      <c r="I135">
        <v>28</v>
      </c>
      <c r="J135">
        <v>1.18</v>
      </c>
      <c r="K135">
        <v>22.47183025</v>
      </c>
      <c r="L135">
        <v>-1.675477745857672</v>
      </c>
      <c r="M135">
        <v>-1.561362619121216</v>
      </c>
      <c r="N135">
        <v>-0.89843651260936586</v>
      </c>
      <c r="O135">
        <v>-0.64089701975682112</v>
      </c>
    </row>
    <row r="136" spans="1:15" x14ac:dyDescent="0.25">
      <c r="A136">
        <v>-196.25015675</v>
      </c>
      <c r="B136">
        <v>-204.84613049999999</v>
      </c>
      <c r="C136">
        <v>270.88243125000002</v>
      </c>
      <c r="D136">
        <v>208.75264749999999</v>
      </c>
      <c r="E136">
        <v>45.241473249999999</v>
      </c>
      <c r="F136">
        <v>6.2857605000000003</v>
      </c>
      <c r="G136">
        <v>318.80946349999999</v>
      </c>
      <c r="H136">
        <v>-24</v>
      </c>
      <c r="I136">
        <v>32</v>
      </c>
      <c r="J136">
        <v>1.18</v>
      </c>
      <c r="K136">
        <v>23.015234750000001</v>
      </c>
      <c r="L136">
        <v>-1.900559148602019</v>
      </c>
      <c r="M136">
        <v>-1.6827503967860979</v>
      </c>
      <c r="N136">
        <v>-1.113038988603984</v>
      </c>
      <c r="O136">
        <v>-0.84150844786971779</v>
      </c>
    </row>
    <row r="137" spans="1:15" x14ac:dyDescent="0.25">
      <c r="A137">
        <v>-252.14409624999999</v>
      </c>
      <c r="B137">
        <v>-266.87605274999999</v>
      </c>
      <c r="C137">
        <v>281.45036299999998</v>
      </c>
      <c r="D137">
        <v>190.08984000000001</v>
      </c>
      <c r="E137">
        <v>-13.781651999999999</v>
      </c>
      <c r="F137">
        <v>6.5781194999999997</v>
      </c>
      <c r="G137">
        <v>331.5330505</v>
      </c>
      <c r="H137">
        <v>-24</v>
      </c>
      <c r="I137">
        <v>36</v>
      </c>
      <c r="J137">
        <v>1.18</v>
      </c>
      <c r="K137">
        <v>23.46850525</v>
      </c>
      <c r="L137">
        <v>-2.1714936566110992</v>
      </c>
      <c r="M137">
        <v>-1.8596278411441609</v>
      </c>
      <c r="N137">
        <v>-1.405291012709283</v>
      </c>
      <c r="O137">
        <v>-1.082840897007501</v>
      </c>
    </row>
    <row r="138" spans="1:15" x14ac:dyDescent="0.25">
      <c r="A138">
        <v>-297.10416400000003</v>
      </c>
      <c r="B138">
        <v>-313.53215024999997</v>
      </c>
      <c r="C138">
        <v>275.21799499999997</v>
      </c>
      <c r="D138">
        <v>155.95217500000001</v>
      </c>
      <c r="E138">
        <v>-78.497432750000002</v>
      </c>
      <c r="F138">
        <v>6.3344865000000006</v>
      </c>
      <c r="G138">
        <v>327.892021</v>
      </c>
      <c r="H138">
        <v>-24</v>
      </c>
      <c r="I138">
        <v>40</v>
      </c>
      <c r="J138">
        <v>1.18</v>
      </c>
      <c r="K138">
        <v>23.345480999999999</v>
      </c>
      <c r="L138">
        <v>-2.5232526798447181</v>
      </c>
      <c r="M138">
        <v>-2.0699069661870628</v>
      </c>
      <c r="N138">
        <v>-1.7917304852791149</v>
      </c>
      <c r="O138">
        <v>-1.374016107275247</v>
      </c>
    </row>
    <row r="139" spans="1:15" x14ac:dyDescent="0.25">
      <c r="A139">
        <v>-314.02235400000001</v>
      </c>
      <c r="B139">
        <v>-331.52069075000003</v>
      </c>
      <c r="C139">
        <v>246.314232</v>
      </c>
      <c r="D139">
        <v>114.4671345</v>
      </c>
      <c r="E139">
        <v>-132.77662649999999</v>
      </c>
      <c r="F139">
        <v>5.9446744999999996</v>
      </c>
      <c r="G139">
        <v>301.88472000000002</v>
      </c>
      <c r="H139">
        <v>-24</v>
      </c>
      <c r="I139">
        <v>44</v>
      </c>
      <c r="J139">
        <v>1.18</v>
      </c>
      <c r="K139">
        <v>22.396254750000001</v>
      </c>
      <c r="L139">
        <v>-2.9497315244660869</v>
      </c>
      <c r="M139">
        <v>-2.3477584876365909</v>
      </c>
      <c r="N139">
        <v>-2.28838877249198</v>
      </c>
      <c r="O139">
        <v>-1.730439751383686</v>
      </c>
    </row>
    <row r="140" spans="1:15" x14ac:dyDescent="0.25">
      <c r="A140">
        <v>238.76499175000001</v>
      </c>
      <c r="B140">
        <v>-264.36271675</v>
      </c>
      <c r="C140">
        <v>-271.90694424999998</v>
      </c>
      <c r="D140">
        <v>111.970144</v>
      </c>
      <c r="E140">
        <v>-11.68541375</v>
      </c>
      <c r="F140">
        <v>5.2625027499999986</v>
      </c>
      <c r="G140">
        <v>279.23835750000001</v>
      </c>
      <c r="H140">
        <v>-20</v>
      </c>
      <c r="I140">
        <v>-44</v>
      </c>
      <c r="J140">
        <v>1.18</v>
      </c>
      <c r="K140">
        <v>21.549138750000001</v>
      </c>
      <c r="L140">
        <v>1.991345778669976</v>
      </c>
      <c r="M140">
        <v>-1.4674641684978711</v>
      </c>
      <c r="N140">
        <v>-1.1344542730530069</v>
      </c>
      <c r="O140">
        <v>-1.066089148400049</v>
      </c>
    </row>
    <row r="141" spans="1:15" x14ac:dyDescent="0.25">
      <c r="A141">
        <v>232.35700625000001</v>
      </c>
      <c r="B141">
        <v>-207.47020724999999</v>
      </c>
      <c r="C141">
        <v>-219.07752224999999</v>
      </c>
      <c r="D141">
        <v>132.16508450000001</v>
      </c>
      <c r="E141">
        <v>32.679370499999997</v>
      </c>
      <c r="F141">
        <v>5.067596</v>
      </c>
      <c r="G141">
        <v>266.95491800000002</v>
      </c>
      <c r="H141">
        <v>-20</v>
      </c>
      <c r="I141">
        <v>-40</v>
      </c>
      <c r="J141">
        <v>1.18</v>
      </c>
      <c r="K141">
        <v>21.06836225</v>
      </c>
      <c r="L141">
        <v>1.835446512505134</v>
      </c>
      <c r="M141">
        <v>-1.380895968492188</v>
      </c>
      <c r="N141">
        <v>-0.95252364834055725</v>
      </c>
      <c r="O141">
        <v>-0.88773531632023928</v>
      </c>
    </row>
    <row r="142" spans="1:15" x14ac:dyDescent="0.25">
      <c r="A142">
        <v>251.62608700000001</v>
      </c>
      <c r="B142">
        <v>-174.45481100000001</v>
      </c>
      <c r="C142">
        <v>-194.26435824999999</v>
      </c>
      <c r="D142">
        <v>168.39330649999999</v>
      </c>
      <c r="E142">
        <v>78.993743999999992</v>
      </c>
      <c r="F142">
        <v>5.6523149999999998</v>
      </c>
      <c r="G142">
        <v>287.76074975</v>
      </c>
      <c r="H142">
        <v>-20</v>
      </c>
      <c r="I142">
        <v>-36</v>
      </c>
      <c r="J142">
        <v>1.18</v>
      </c>
      <c r="K142">
        <v>21.866615500000002</v>
      </c>
      <c r="L142">
        <v>1.693132916037241</v>
      </c>
      <c r="M142">
        <v>-1.301855882662545</v>
      </c>
      <c r="N142">
        <v>-0.79272965445845545</v>
      </c>
      <c r="O142">
        <v>-0.72151317955932215</v>
      </c>
    </row>
    <row r="143" spans="1:15" x14ac:dyDescent="0.25">
      <c r="A143">
        <v>264.50444800000002</v>
      </c>
      <c r="B143">
        <v>-134.603714</v>
      </c>
      <c r="C143">
        <v>-162.774227</v>
      </c>
      <c r="D143">
        <v>203.175907</v>
      </c>
      <c r="E143">
        <v>126.91749375000001</v>
      </c>
      <c r="F143">
        <v>6.0421279999999999</v>
      </c>
      <c r="G143">
        <v>306.28594950000002</v>
      </c>
      <c r="H143">
        <v>-20</v>
      </c>
      <c r="I143">
        <v>-32</v>
      </c>
      <c r="J143">
        <v>1.18</v>
      </c>
      <c r="K143">
        <v>22.5585275</v>
      </c>
      <c r="L143">
        <v>1.5503226920120829</v>
      </c>
      <c r="M143">
        <v>-1.225578740979016</v>
      </c>
      <c r="N143">
        <v>-0.65081387024633663</v>
      </c>
      <c r="O143">
        <v>-0.56141317889368825</v>
      </c>
    </row>
    <row r="144" spans="1:15" x14ac:dyDescent="0.25">
      <c r="A144">
        <v>271.77040125000002</v>
      </c>
      <c r="B144">
        <v>-97.632509249999998</v>
      </c>
      <c r="C144">
        <v>-119.4640065</v>
      </c>
      <c r="D144">
        <v>233.88447550000001</v>
      </c>
      <c r="E144">
        <v>170.773098</v>
      </c>
      <c r="F144">
        <v>6.43194</v>
      </c>
      <c r="G144">
        <v>320.73001099999999</v>
      </c>
      <c r="H144">
        <v>-20</v>
      </c>
      <c r="I144">
        <v>-28</v>
      </c>
      <c r="J144">
        <v>1.18</v>
      </c>
      <c r="K144">
        <v>23.080474250000002</v>
      </c>
      <c r="L144">
        <v>1.4006588238551689</v>
      </c>
      <c r="M144">
        <v>-1.1868652960448871</v>
      </c>
      <c r="N144">
        <v>-0.53685993034457102</v>
      </c>
      <c r="O144">
        <v>-0.41163627151609211</v>
      </c>
    </row>
    <row r="145" spans="1:15" x14ac:dyDescent="0.25">
      <c r="A145">
        <v>271.99617749999999</v>
      </c>
      <c r="B145">
        <v>-63.51688</v>
      </c>
      <c r="C145">
        <v>-61.175683999999997</v>
      </c>
      <c r="D145">
        <v>263.05981450000002</v>
      </c>
      <c r="E145">
        <v>211.81227100000001</v>
      </c>
      <c r="F145">
        <v>6.6268459999999996</v>
      </c>
      <c r="G145">
        <v>334.65391549999998</v>
      </c>
      <c r="H145">
        <v>-20</v>
      </c>
      <c r="I145">
        <v>-24</v>
      </c>
      <c r="J145">
        <v>1.18</v>
      </c>
      <c r="K145">
        <v>23.579182750000001</v>
      </c>
      <c r="L145">
        <v>1.2152423099945171</v>
      </c>
      <c r="M145">
        <v>-1.1911857216716619</v>
      </c>
      <c r="N145">
        <v>-0.44806415025515028</v>
      </c>
      <c r="O145">
        <v>-0.25156763102467922</v>
      </c>
    </row>
    <row r="146" spans="1:15" x14ac:dyDescent="0.25">
      <c r="A146">
        <v>249.38607400000001</v>
      </c>
      <c r="B146">
        <v>-40.153814250000003</v>
      </c>
      <c r="C146">
        <v>-2.165511</v>
      </c>
      <c r="D146">
        <v>269.76224500000001</v>
      </c>
      <c r="E146">
        <v>230.63309100000001</v>
      </c>
      <c r="F146">
        <v>6.1883072500000003</v>
      </c>
      <c r="G146">
        <v>322.77058399999999</v>
      </c>
      <c r="H146">
        <v>-20</v>
      </c>
      <c r="I146">
        <v>-20</v>
      </c>
      <c r="J146">
        <v>1.18</v>
      </c>
      <c r="K146">
        <v>23.164140750000001</v>
      </c>
      <c r="L146">
        <v>0.99903132333930911</v>
      </c>
      <c r="M146">
        <v>-1.23080898752546</v>
      </c>
      <c r="N146">
        <v>-0.36590928656675309</v>
      </c>
      <c r="O146">
        <v>-0.1085919115876207</v>
      </c>
    </row>
    <row r="147" spans="1:15" x14ac:dyDescent="0.25">
      <c r="A147">
        <v>214.21611775</v>
      </c>
      <c r="B147">
        <v>-16.745032500000001</v>
      </c>
      <c r="C147">
        <v>38.703948250000003</v>
      </c>
      <c r="D147">
        <v>259.55525975</v>
      </c>
      <c r="E147">
        <v>231.88481899999999</v>
      </c>
      <c r="F147">
        <v>5.8472210000000002</v>
      </c>
      <c r="G147">
        <v>298.76383974999999</v>
      </c>
      <c r="H147">
        <v>-20</v>
      </c>
      <c r="I147">
        <v>-16</v>
      </c>
      <c r="J147">
        <v>1.18</v>
      </c>
      <c r="K147">
        <v>22.281557500000002</v>
      </c>
      <c r="L147">
        <v>0.79450123909209824</v>
      </c>
      <c r="M147">
        <v>-1.2507573636372991</v>
      </c>
      <c r="N147">
        <v>-0.30275130519217069</v>
      </c>
      <c r="O147">
        <v>2.3245499710008489E-2</v>
      </c>
    </row>
    <row r="148" spans="1:15" x14ac:dyDescent="0.25">
      <c r="A148">
        <v>184.64926525000001</v>
      </c>
      <c r="B148">
        <v>-8.4919592500000007</v>
      </c>
      <c r="C148">
        <v>63.904412499999999</v>
      </c>
      <c r="D148">
        <v>252.63378875000001</v>
      </c>
      <c r="E148">
        <v>229.56016925</v>
      </c>
      <c r="F148">
        <v>5.554862</v>
      </c>
      <c r="G148">
        <v>282.27922050000001</v>
      </c>
      <c r="H148">
        <v>-20</v>
      </c>
      <c r="I148">
        <v>-12</v>
      </c>
      <c r="J148">
        <v>1.18</v>
      </c>
      <c r="K148">
        <v>21.656947500000001</v>
      </c>
      <c r="L148">
        <v>0.5981885370392529</v>
      </c>
      <c r="M148">
        <v>-1.293622407812214</v>
      </c>
      <c r="N148">
        <v>-0.26117230499467908</v>
      </c>
      <c r="O148">
        <v>0.1097474920041111</v>
      </c>
    </row>
    <row r="149" spans="1:15" x14ac:dyDescent="0.25">
      <c r="A149">
        <v>153.50579825</v>
      </c>
      <c r="B149">
        <v>-5.9483360000000003</v>
      </c>
      <c r="C149">
        <v>85.266096000000005</v>
      </c>
      <c r="D149">
        <v>241.3316385</v>
      </c>
      <c r="E149">
        <v>221.55797575</v>
      </c>
      <c r="F149">
        <v>5.01887025</v>
      </c>
      <c r="G149">
        <v>265.35446925000002</v>
      </c>
      <c r="H149">
        <v>-20</v>
      </c>
      <c r="I149">
        <v>-8</v>
      </c>
      <c r="J149">
        <v>1.18</v>
      </c>
      <c r="K149">
        <v>21.005858499999999</v>
      </c>
      <c r="L149">
        <v>0.37516815026064881</v>
      </c>
      <c r="M149">
        <v>-1.3594218251652981</v>
      </c>
      <c r="N149">
        <v>-0.24078009175015239</v>
      </c>
      <c r="O149">
        <v>0.19043319747288689</v>
      </c>
    </row>
    <row r="150" spans="1:15" x14ac:dyDescent="0.25">
      <c r="A150">
        <v>140.77763350000001</v>
      </c>
      <c r="B150">
        <v>-6.7158427500000002</v>
      </c>
      <c r="C150">
        <v>117.1957185</v>
      </c>
      <c r="D150">
        <v>259.68667599999998</v>
      </c>
      <c r="E150">
        <v>239.48467249999999</v>
      </c>
      <c r="F150">
        <v>5.2625027499999986</v>
      </c>
      <c r="G150">
        <v>283.31951175</v>
      </c>
      <c r="H150">
        <v>-20</v>
      </c>
      <c r="I150">
        <v>-4</v>
      </c>
      <c r="J150">
        <v>1.18</v>
      </c>
      <c r="K150">
        <v>21.709036999999999</v>
      </c>
      <c r="L150">
        <v>0.1279878626256726</v>
      </c>
      <c r="M150">
        <v>-1.445921400423829</v>
      </c>
      <c r="N150">
        <v>-0.23792603595857981</v>
      </c>
      <c r="O150">
        <v>0.27125753444689288</v>
      </c>
    </row>
    <row r="151" spans="1:15" x14ac:dyDescent="0.25">
      <c r="A151">
        <v>122.88783275</v>
      </c>
      <c r="B151">
        <v>-7.6272492500000002</v>
      </c>
      <c r="C151">
        <v>152.42217650000001</v>
      </c>
      <c r="D151">
        <v>277.954117</v>
      </c>
      <c r="E151">
        <v>257.05373724999998</v>
      </c>
      <c r="F151">
        <v>5.9934012499999998</v>
      </c>
      <c r="G151">
        <v>302.52489474999999</v>
      </c>
      <c r="H151">
        <v>-20</v>
      </c>
      <c r="I151">
        <v>0</v>
      </c>
      <c r="J151">
        <v>1.18</v>
      </c>
      <c r="K151">
        <v>22.418627499999999</v>
      </c>
      <c r="L151">
        <v>-0.14808526744658429</v>
      </c>
      <c r="M151">
        <v>-1.432065359928069</v>
      </c>
      <c r="N151">
        <v>-0.2280315483437757</v>
      </c>
      <c r="O151">
        <v>0.25892442176570218</v>
      </c>
    </row>
    <row r="152" spans="1:15" x14ac:dyDescent="0.25">
      <c r="A152">
        <v>101.81907649999999</v>
      </c>
      <c r="B152">
        <v>-3.8854877499999998</v>
      </c>
      <c r="C152">
        <v>186.42924875</v>
      </c>
      <c r="D152">
        <v>289.43149525000001</v>
      </c>
      <c r="E152">
        <v>268.49820699999998</v>
      </c>
      <c r="F152">
        <v>6.2370330000000003</v>
      </c>
      <c r="G152">
        <v>317.88921349999998</v>
      </c>
      <c r="H152">
        <v>-20</v>
      </c>
      <c r="I152">
        <v>4</v>
      </c>
      <c r="J152">
        <v>1.18</v>
      </c>
      <c r="K152">
        <v>22.983117</v>
      </c>
      <c r="L152">
        <v>-0.38539910294024471</v>
      </c>
      <c r="M152">
        <v>-1.336100724712264</v>
      </c>
      <c r="N152">
        <v>-0.22498738185438941</v>
      </c>
      <c r="O152">
        <v>0.19467061706124911</v>
      </c>
    </row>
    <row r="153" spans="1:15" x14ac:dyDescent="0.25">
      <c r="A153">
        <v>74.373586750000001</v>
      </c>
      <c r="B153">
        <v>1.7319072499999999</v>
      </c>
      <c r="C153">
        <v>220.25568000000001</v>
      </c>
      <c r="D153">
        <v>296.09013375000001</v>
      </c>
      <c r="E153">
        <v>273.86280025000002</v>
      </c>
      <c r="F153">
        <v>6.3832132499999998</v>
      </c>
      <c r="G153">
        <v>330.13264475</v>
      </c>
      <c r="H153">
        <v>-20</v>
      </c>
      <c r="I153">
        <v>8</v>
      </c>
      <c r="J153">
        <v>1.18</v>
      </c>
      <c r="K153">
        <v>23.424938999999998</v>
      </c>
      <c r="L153">
        <v>-0.61865143354790009</v>
      </c>
      <c r="M153">
        <v>-1.2482643446022019</v>
      </c>
      <c r="N153">
        <v>-0.23862465460210389</v>
      </c>
      <c r="O153">
        <v>0.13432394863745489</v>
      </c>
    </row>
    <row r="154" spans="1:15" x14ac:dyDescent="0.25">
      <c r="A154">
        <v>43.547202249999998</v>
      </c>
      <c r="B154">
        <v>10.869979750000001</v>
      </c>
      <c r="C154">
        <v>246.2690695</v>
      </c>
      <c r="D154">
        <v>292.016098</v>
      </c>
      <c r="E154">
        <v>265.01121499999999</v>
      </c>
      <c r="F154">
        <v>6.7242990000000002</v>
      </c>
      <c r="G154">
        <v>335.174057</v>
      </c>
      <c r="H154">
        <v>-20</v>
      </c>
      <c r="I154">
        <v>12</v>
      </c>
      <c r="J154">
        <v>1.18</v>
      </c>
      <c r="K154">
        <v>23.594318749999999</v>
      </c>
      <c r="L154">
        <v>-0.8524694090793995</v>
      </c>
      <c r="M154">
        <v>-1.182269956153752</v>
      </c>
      <c r="N154">
        <v>-0.29504000679004527</v>
      </c>
      <c r="O154">
        <v>8.6143517198733172E-2</v>
      </c>
    </row>
    <row r="155" spans="1:15" x14ac:dyDescent="0.25">
      <c r="A155">
        <v>9.8833872500000002</v>
      </c>
      <c r="B155">
        <v>7.8879640000000002</v>
      </c>
      <c r="C155">
        <v>242.20447924999999</v>
      </c>
      <c r="D155">
        <v>256.26975249999998</v>
      </c>
      <c r="E155">
        <v>224.01673500000001</v>
      </c>
      <c r="F155">
        <v>6.0421275000000003</v>
      </c>
      <c r="G155">
        <v>306.16592400000002</v>
      </c>
      <c r="H155">
        <v>-20</v>
      </c>
      <c r="I155">
        <v>16</v>
      </c>
      <c r="J155">
        <v>1.18</v>
      </c>
      <c r="K155">
        <v>22.553997249999998</v>
      </c>
      <c r="L155">
        <v>-1.0799022909360629</v>
      </c>
      <c r="M155">
        <v>-1.154594884693726</v>
      </c>
      <c r="N155">
        <v>-0.38188871447570449</v>
      </c>
      <c r="O155">
        <v>1.319581243777207E-2</v>
      </c>
    </row>
    <row r="156" spans="1:15" x14ac:dyDescent="0.25">
      <c r="A156">
        <v>-25.6768605</v>
      </c>
      <c r="B156">
        <v>-19.37853775</v>
      </c>
      <c r="C156">
        <v>240.62380250000001</v>
      </c>
      <c r="D156">
        <v>227.83914175000001</v>
      </c>
      <c r="E156">
        <v>183.31127574999999</v>
      </c>
      <c r="F156">
        <v>5.6523149999999998</v>
      </c>
      <c r="G156">
        <v>287.6407165</v>
      </c>
      <c r="H156">
        <v>-20</v>
      </c>
      <c r="I156">
        <v>20</v>
      </c>
      <c r="J156">
        <v>1.18</v>
      </c>
      <c r="K156">
        <v>21.86197125</v>
      </c>
      <c r="L156">
        <v>-1.2937172378329631</v>
      </c>
      <c r="M156">
        <v>-1.201026374162061</v>
      </c>
      <c r="N156">
        <v>-0.50685153029874352</v>
      </c>
      <c r="O156">
        <v>-0.13689150641178599</v>
      </c>
    </row>
    <row r="157" spans="1:15" x14ac:dyDescent="0.25">
      <c r="A157">
        <v>-58.831249999999997</v>
      </c>
      <c r="B157">
        <v>-52.427577749999998</v>
      </c>
      <c r="C157">
        <v>236.1075975</v>
      </c>
      <c r="D157">
        <v>200.81034099999999</v>
      </c>
      <c r="E157">
        <v>141.49132549999999</v>
      </c>
      <c r="F157">
        <v>5.3112294999999996</v>
      </c>
      <c r="G157">
        <v>271.55621350000001</v>
      </c>
      <c r="H157">
        <v>-20</v>
      </c>
      <c r="I157">
        <v>24</v>
      </c>
      <c r="J157">
        <v>1.18</v>
      </c>
      <c r="K157">
        <v>21.242915</v>
      </c>
      <c r="L157">
        <v>-1.496272554499968</v>
      </c>
      <c r="M157">
        <v>-1.28471217799715</v>
      </c>
      <c r="N157">
        <v>-0.65986530242222019</v>
      </c>
      <c r="O157">
        <v>-0.30916544171363491</v>
      </c>
    </row>
    <row r="158" spans="1:15" x14ac:dyDescent="0.25">
      <c r="A158">
        <v>-97.925704999999994</v>
      </c>
      <c r="B158">
        <v>-93.870786750000008</v>
      </c>
      <c r="C158">
        <v>246.67552549999999</v>
      </c>
      <c r="D158">
        <v>186.04744725</v>
      </c>
      <c r="E158">
        <v>104.96734625000001</v>
      </c>
      <c r="F158">
        <v>5.4086824999999994</v>
      </c>
      <c r="G158">
        <v>276.59762575000002</v>
      </c>
      <c r="H158">
        <v>-20</v>
      </c>
      <c r="I158">
        <v>28</v>
      </c>
      <c r="J158">
        <v>1.18</v>
      </c>
      <c r="K158">
        <v>21.43923075</v>
      </c>
      <c r="L158">
        <v>-1.7155860059161301</v>
      </c>
      <c r="M158">
        <v>-1.3935637322941521</v>
      </c>
      <c r="N158">
        <v>-0.85446298670270915</v>
      </c>
      <c r="O158">
        <v>-0.50434916073105818</v>
      </c>
    </row>
    <row r="159" spans="1:15" x14ac:dyDescent="0.25">
      <c r="A159">
        <v>-148.8803025</v>
      </c>
      <c r="B159">
        <v>-149.032467</v>
      </c>
      <c r="C159">
        <v>268.57915474999999</v>
      </c>
      <c r="D159">
        <v>176.97943875000001</v>
      </c>
      <c r="E159">
        <v>64.017568499999996</v>
      </c>
      <c r="F159">
        <v>5.7497682499999998</v>
      </c>
      <c r="G159">
        <v>296.48320024999998</v>
      </c>
      <c r="H159">
        <v>-20</v>
      </c>
      <c r="I159">
        <v>32</v>
      </c>
      <c r="J159">
        <v>1.18</v>
      </c>
      <c r="K159">
        <v>22.198372500000001</v>
      </c>
      <c r="L159">
        <v>-1.9601868117047641</v>
      </c>
      <c r="M159">
        <v>-1.530761004558173</v>
      </c>
      <c r="N159">
        <v>-1.0915619780035259</v>
      </c>
      <c r="O159">
        <v>-0.72641177178708372</v>
      </c>
    </row>
    <row r="160" spans="1:15" x14ac:dyDescent="0.25">
      <c r="A160">
        <v>-208.20721075</v>
      </c>
      <c r="B160">
        <v>-207.98351650000001</v>
      </c>
      <c r="C160">
        <v>283.48266575000002</v>
      </c>
      <c r="D160">
        <v>158.23013324999999</v>
      </c>
      <c r="E160">
        <v>8.492777499999999</v>
      </c>
      <c r="F160">
        <v>6.1883067500000006</v>
      </c>
      <c r="G160">
        <v>313.04785149999998</v>
      </c>
      <c r="H160">
        <v>-20</v>
      </c>
      <c r="I160">
        <v>36</v>
      </c>
      <c r="J160">
        <v>1.18</v>
      </c>
      <c r="K160">
        <v>22.805710749999999</v>
      </c>
      <c r="L160">
        <v>-2.2702530324785259</v>
      </c>
      <c r="M160">
        <v>-1.690855534315403</v>
      </c>
      <c r="N160">
        <v>-1.4062533476547401</v>
      </c>
      <c r="O160">
        <v>-0.98935345257035401</v>
      </c>
    </row>
    <row r="161" spans="1:15" x14ac:dyDescent="0.25">
      <c r="A161">
        <v>-269.84899875000002</v>
      </c>
      <c r="B161">
        <v>-268.03778075000002</v>
      </c>
      <c r="C161">
        <v>293.55381775000001</v>
      </c>
      <c r="D161">
        <v>135.23155975</v>
      </c>
      <c r="E161">
        <v>-55.126608750000003</v>
      </c>
      <c r="F161">
        <v>6.3832132499999998</v>
      </c>
      <c r="G161">
        <v>326.85172249999999</v>
      </c>
      <c r="H161">
        <v>-20</v>
      </c>
      <c r="I161">
        <v>40</v>
      </c>
      <c r="J161">
        <v>1.18</v>
      </c>
      <c r="K161">
        <v>23.305931999999999</v>
      </c>
      <c r="L161">
        <v>-2.6350276831244619</v>
      </c>
      <c r="M161">
        <v>-1.8860689656982941</v>
      </c>
      <c r="N161">
        <v>-1.78652589400682</v>
      </c>
      <c r="O161">
        <v>-1.2876853290520729</v>
      </c>
    </row>
    <row r="162" spans="1:15" x14ac:dyDescent="0.25">
      <c r="A162">
        <v>-327.69528174999999</v>
      </c>
      <c r="B162">
        <v>-325.26203950000001</v>
      </c>
      <c r="C162">
        <v>294.09576399999997</v>
      </c>
      <c r="D162">
        <v>103.34020599999999</v>
      </c>
      <c r="E162">
        <v>-131.52780150000001</v>
      </c>
      <c r="F162">
        <v>6.5781194999999997</v>
      </c>
      <c r="G162">
        <v>337.65473950000001</v>
      </c>
      <c r="H162">
        <v>-20</v>
      </c>
      <c r="I162">
        <v>44</v>
      </c>
      <c r="J162">
        <v>1.18</v>
      </c>
      <c r="K162">
        <v>23.688529750000001</v>
      </c>
      <c r="L162">
        <v>-3.189707312723618</v>
      </c>
      <c r="M162">
        <v>-2.1986754637218451</v>
      </c>
      <c r="N162">
        <v>-2.4069331042042421</v>
      </c>
      <c r="O162">
        <v>-1.708525768698433</v>
      </c>
    </row>
    <row r="163" spans="1:15" x14ac:dyDescent="0.25">
      <c r="A163">
        <v>274.15301499999998</v>
      </c>
      <c r="B163">
        <v>-243.28698725000001</v>
      </c>
      <c r="C163">
        <v>-279.03510299999999</v>
      </c>
      <c r="D163">
        <v>95.717823249999995</v>
      </c>
      <c r="E163">
        <v>-2.8990524999999998</v>
      </c>
      <c r="F163">
        <v>5.7984945000000003</v>
      </c>
      <c r="G163">
        <v>301.764679</v>
      </c>
      <c r="H163">
        <v>-16</v>
      </c>
      <c r="I163">
        <v>-44</v>
      </c>
      <c r="J163">
        <v>1.18</v>
      </c>
      <c r="K163">
        <v>22.397252000000002</v>
      </c>
      <c r="L163">
        <v>2.141967327303139</v>
      </c>
      <c r="M163">
        <v>-1.3126395875605299</v>
      </c>
      <c r="N163">
        <v>-1.179675413391976</v>
      </c>
      <c r="O163">
        <v>-1.0336790128388449</v>
      </c>
    </row>
    <row r="164" spans="1:15" x14ac:dyDescent="0.25">
      <c r="A164">
        <v>262.52525350000002</v>
      </c>
      <c r="B164">
        <v>-180.88233575000001</v>
      </c>
      <c r="C164">
        <v>-219.57378</v>
      </c>
      <c r="D164">
        <v>119.242071</v>
      </c>
      <c r="E164">
        <v>46.618274749999998</v>
      </c>
      <c r="F164">
        <v>5.554862</v>
      </c>
      <c r="G164">
        <v>284.59987675000002</v>
      </c>
      <c r="H164">
        <v>-16</v>
      </c>
      <c r="I164">
        <v>-40</v>
      </c>
      <c r="J164">
        <v>1.18</v>
      </c>
      <c r="K164">
        <v>21.747575250000001</v>
      </c>
      <c r="L164">
        <v>1.953040487813213</v>
      </c>
      <c r="M164">
        <v>-1.215833120897315</v>
      </c>
      <c r="N164">
        <v>-0.96409712852483387</v>
      </c>
      <c r="O164">
        <v>-0.83364991963751978</v>
      </c>
    </row>
    <row r="165" spans="1:15" x14ac:dyDescent="0.25">
      <c r="A165">
        <v>247.64224999999999</v>
      </c>
      <c r="B165">
        <v>-124.8092955</v>
      </c>
      <c r="C165">
        <v>-163.631405</v>
      </c>
      <c r="D165">
        <v>137.68473424999999</v>
      </c>
      <c r="E165">
        <v>87.342249250000009</v>
      </c>
      <c r="F165">
        <v>4.9701434999999998</v>
      </c>
      <c r="G165">
        <v>267.83516724999998</v>
      </c>
      <c r="H165">
        <v>-16</v>
      </c>
      <c r="I165">
        <v>-36</v>
      </c>
      <c r="J165">
        <v>1.18</v>
      </c>
      <c r="K165">
        <v>21.10764425</v>
      </c>
      <c r="L165">
        <v>1.776080816151278</v>
      </c>
      <c r="M165">
        <v>-1.133563040962035</v>
      </c>
      <c r="N165">
        <v>-0.7794490759650895</v>
      </c>
      <c r="O165">
        <v>-0.64427059458690361</v>
      </c>
    </row>
    <row r="166" spans="1:15" x14ac:dyDescent="0.25">
      <c r="A166">
        <v>256.66858324999998</v>
      </c>
      <c r="B166">
        <v>-84.661190000000005</v>
      </c>
      <c r="C166">
        <v>-123.79502675000001</v>
      </c>
      <c r="D166">
        <v>167.03529750000001</v>
      </c>
      <c r="E166">
        <v>132.38181725000001</v>
      </c>
      <c r="F166">
        <v>5.3599560000000004</v>
      </c>
      <c r="G166">
        <v>280.51872250000002</v>
      </c>
      <c r="H166">
        <v>-16</v>
      </c>
      <c r="I166">
        <v>-32</v>
      </c>
      <c r="J166">
        <v>1.18</v>
      </c>
      <c r="K166">
        <v>21.595595249999999</v>
      </c>
      <c r="L166">
        <v>1.6079567576266469</v>
      </c>
      <c r="M166">
        <v>-1.0637611026314591</v>
      </c>
      <c r="N166">
        <v>-0.62607639907937873</v>
      </c>
      <c r="O166">
        <v>-0.4631364195297053</v>
      </c>
    </row>
    <row r="167" spans="1:15" x14ac:dyDescent="0.25">
      <c r="A167">
        <v>269.03517925</v>
      </c>
      <c r="B167">
        <v>-50.22110825</v>
      </c>
      <c r="C167">
        <v>-83.86843125</v>
      </c>
      <c r="D167">
        <v>201.24840950000001</v>
      </c>
      <c r="E167">
        <v>178.719021</v>
      </c>
      <c r="F167">
        <v>5.7984947499999997</v>
      </c>
      <c r="G167">
        <v>300.0041885</v>
      </c>
      <c r="H167">
        <v>-16</v>
      </c>
      <c r="I167">
        <v>-28</v>
      </c>
      <c r="J167">
        <v>1.18</v>
      </c>
      <c r="K167">
        <v>22.330544750000001</v>
      </c>
      <c r="L167">
        <v>1.435940488076104</v>
      </c>
      <c r="M167">
        <v>-1.023214528476311</v>
      </c>
      <c r="N167">
        <v>-0.4935053691378728</v>
      </c>
      <c r="O167">
        <v>-0.29638958211918259</v>
      </c>
    </row>
    <row r="168" spans="1:15" x14ac:dyDescent="0.25">
      <c r="A168">
        <v>273.89138025</v>
      </c>
      <c r="B168">
        <v>-14.725770000000001</v>
      </c>
      <c r="C168">
        <v>-38.934079500000003</v>
      </c>
      <c r="D168">
        <v>229.81044374999999</v>
      </c>
      <c r="E168">
        <v>219.920143</v>
      </c>
      <c r="F168">
        <v>6.0908542499999996</v>
      </c>
      <c r="G168">
        <v>315.44852474999999</v>
      </c>
      <c r="H168">
        <v>-16</v>
      </c>
      <c r="I168">
        <v>-24</v>
      </c>
      <c r="J168">
        <v>1.18</v>
      </c>
      <c r="K168">
        <v>22.89835575</v>
      </c>
      <c r="L168">
        <v>1.2677890442822231</v>
      </c>
      <c r="M168">
        <v>-0.9910291087796661</v>
      </c>
      <c r="N168">
        <v>-0.38715047565240041</v>
      </c>
      <c r="O168">
        <v>-0.13342090327178421</v>
      </c>
    </row>
    <row r="169" spans="1:15" x14ac:dyDescent="0.25">
      <c r="A169">
        <v>271.92356875000002</v>
      </c>
      <c r="B169">
        <v>9.5228337500000002</v>
      </c>
      <c r="C169">
        <v>11.785660500000001</v>
      </c>
      <c r="D169">
        <v>255.26219950000001</v>
      </c>
      <c r="E169">
        <v>257.98695724999999</v>
      </c>
      <c r="F169">
        <v>6.5293927500000004</v>
      </c>
      <c r="G169">
        <v>329.33242050000001</v>
      </c>
      <c r="H169">
        <v>-16</v>
      </c>
      <c r="I169">
        <v>-20</v>
      </c>
      <c r="J169">
        <v>1.18</v>
      </c>
      <c r="K169">
        <v>23.3906715</v>
      </c>
      <c r="L169">
        <v>1.0517868514135651</v>
      </c>
      <c r="M169">
        <v>-0.99356427457412122</v>
      </c>
      <c r="N169">
        <v>-0.28847547884156549</v>
      </c>
      <c r="O169">
        <v>1.667023692056447E-2</v>
      </c>
    </row>
    <row r="170" spans="1:15" x14ac:dyDescent="0.25">
      <c r="A170">
        <v>258.12984475000002</v>
      </c>
      <c r="B170">
        <v>26.645950249999999</v>
      </c>
      <c r="C170">
        <v>58.748290750000002</v>
      </c>
      <c r="D170">
        <v>271.86497500000002</v>
      </c>
      <c r="E170">
        <v>281.98868549999997</v>
      </c>
      <c r="F170">
        <v>6.52939325</v>
      </c>
      <c r="G170">
        <v>334.29382349999997</v>
      </c>
      <c r="H170">
        <v>-16</v>
      </c>
      <c r="I170">
        <v>-16</v>
      </c>
      <c r="J170">
        <v>1.18</v>
      </c>
      <c r="K170">
        <v>23.569702750000001</v>
      </c>
      <c r="L170">
        <v>0.83325776481648095</v>
      </c>
      <c r="M170">
        <v>-1.024777614159309</v>
      </c>
      <c r="N170">
        <v>-0.21862132717529181</v>
      </c>
      <c r="O170">
        <v>0.15115852735350629</v>
      </c>
    </row>
    <row r="171" spans="1:15" x14ac:dyDescent="0.25">
      <c r="A171">
        <v>217.32733175000001</v>
      </c>
      <c r="B171">
        <v>35.779297999999997</v>
      </c>
      <c r="C171">
        <v>88.963636500000007</v>
      </c>
      <c r="D171">
        <v>257.62776200000002</v>
      </c>
      <c r="E171">
        <v>270.43004624999998</v>
      </c>
      <c r="F171">
        <v>5.9446744999999996</v>
      </c>
      <c r="G171">
        <v>306.48600750000003</v>
      </c>
      <c r="H171">
        <v>-16</v>
      </c>
      <c r="I171">
        <v>-12</v>
      </c>
      <c r="J171">
        <v>1.18</v>
      </c>
      <c r="K171">
        <v>22.569699249999999</v>
      </c>
      <c r="L171">
        <v>0.61694701979245026</v>
      </c>
      <c r="M171">
        <v>-1.0662731418262461</v>
      </c>
      <c r="N171">
        <v>-0.17328809634288961</v>
      </c>
      <c r="O171">
        <v>0.27122047389517501</v>
      </c>
    </row>
    <row r="172" spans="1:15" x14ac:dyDescent="0.25">
      <c r="A172">
        <v>182.57310125000001</v>
      </c>
      <c r="B172">
        <v>36.602015250000001</v>
      </c>
      <c r="C172">
        <v>110.73027399999999</v>
      </c>
      <c r="D172">
        <v>247.6836165</v>
      </c>
      <c r="E172">
        <v>261.17746725000001</v>
      </c>
      <c r="F172">
        <v>5.3591804999999999</v>
      </c>
      <c r="G172">
        <v>288.24088275000003</v>
      </c>
      <c r="H172">
        <v>-16</v>
      </c>
      <c r="I172">
        <v>-8</v>
      </c>
      <c r="J172">
        <v>1.18</v>
      </c>
      <c r="K172">
        <v>21.896575250000001</v>
      </c>
      <c r="L172">
        <v>0.38316119072957849</v>
      </c>
      <c r="M172">
        <v>-1.1256957153004929</v>
      </c>
      <c r="N172">
        <v>-0.14434029913209651</v>
      </c>
      <c r="O172">
        <v>0.36428307269098109</v>
      </c>
    </row>
    <row r="173" spans="1:15" x14ac:dyDescent="0.25">
      <c r="A173">
        <v>151.63542175000001</v>
      </c>
      <c r="B173">
        <v>35.058070000000001</v>
      </c>
      <c r="C173">
        <v>129.47981625</v>
      </c>
      <c r="D173">
        <v>236.9071505</v>
      </c>
      <c r="E173">
        <v>251.16478724999999</v>
      </c>
      <c r="F173">
        <v>5.16504925</v>
      </c>
      <c r="G173">
        <v>273.15666199999998</v>
      </c>
      <c r="H173">
        <v>-16</v>
      </c>
      <c r="I173">
        <v>-4</v>
      </c>
      <c r="J173">
        <v>1.18</v>
      </c>
      <c r="K173">
        <v>21.312494000000001</v>
      </c>
      <c r="L173">
        <v>0.13115960978753069</v>
      </c>
      <c r="M173">
        <v>-1.195109896810886</v>
      </c>
      <c r="N173">
        <v>-0.13020407060558439</v>
      </c>
      <c r="O173">
        <v>0.4565420850737068</v>
      </c>
    </row>
    <row r="174" spans="1:15" x14ac:dyDescent="0.25">
      <c r="A174">
        <v>129.8012085</v>
      </c>
      <c r="B174">
        <v>36.118560000000002</v>
      </c>
      <c r="C174">
        <v>152.863777</v>
      </c>
      <c r="D174">
        <v>238.35277199999999</v>
      </c>
      <c r="E174">
        <v>252.56235899999999</v>
      </c>
      <c r="F174">
        <v>5.2625027499999986</v>
      </c>
      <c r="G174">
        <v>274.11692025000002</v>
      </c>
      <c r="H174">
        <v>-16</v>
      </c>
      <c r="I174">
        <v>0</v>
      </c>
      <c r="J174">
        <v>1.18</v>
      </c>
      <c r="K174">
        <v>21.346753499999998</v>
      </c>
      <c r="L174">
        <v>-0.1359339999849305</v>
      </c>
      <c r="M174">
        <v>-1.1924377323462421</v>
      </c>
      <c r="N174">
        <v>-0.12711301916288259</v>
      </c>
      <c r="O174">
        <v>0.45814949731396237</v>
      </c>
    </row>
    <row r="175" spans="1:15" x14ac:dyDescent="0.25">
      <c r="A175">
        <v>115.32875224999999</v>
      </c>
      <c r="B175">
        <v>45.403878249999998</v>
      </c>
      <c r="C175">
        <v>187.89502325000001</v>
      </c>
      <c r="D175">
        <v>253.11565775</v>
      </c>
      <c r="E175">
        <v>269.53625475000001</v>
      </c>
      <c r="F175">
        <v>5.8468057499999997</v>
      </c>
      <c r="G175">
        <v>294.32259349999998</v>
      </c>
      <c r="H175">
        <v>-16</v>
      </c>
      <c r="I175">
        <v>4</v>
      </c>
      <c r="J175">
        <v>1.18</v>
      </c>
      <c r="K175">
        <v>22.112012249999999</v>
      </c>
      <c r="L175">
        <v>-0.38360023606828508</v>
      </c>
      <c r="M175">
        <v>-1.098034914152852</v>
      </c>
      <c r="N175">
        <v>-0.13103778243235009</v>
      </c>
      <c r="O175">
        <v>0.39393216504308137</v>
      </c>
    </row>
    <row r="176" spans="1:15" x14ac:dyDescent="0.25">
      <c r="A176">
        <v>94.275775999999993</v>
      </c>
      <c r="B176">
        <v>56.598633</v>
      </c>
      <c r="C176">
        <v>221.821808</v>
      </c>
      <c r="D176">
        <v>262.18366225</v>
      </c>
      <c r="E176">
        <v>279.1102295</v>
      </c>
      <c r="F176">
        <v>5.9442587500000004</v>
      </c>
      <c r="G176">
        <v>311.56743625000001</v>
      </c>
      <c r="H176">
        <v>-16</v>
      </c>
      <c r="I176">
        <v>8</v>
      </c>
      <c r="J176">
        <v>1.18</v>
      </c>
      <c r="K176">
        <v>22.759726000000001</v>
      </c>
      <c r="L176">
        <v>-0.62622951224377688</v>
      </c>
      <c r="M176">
        <v>-1.009396695131797</v>
      </c>
      <c r="N176">
        <v>-0.15937155157339419</v>
      </c>
      <c r="O176">
        <v>0.3412007767091505</v>
      </c>
    </row>
    <row r="177" spans="1:15" x14ac:dyDescent="0.25">
      <c r="A177">
        <v>66.078372999999999</v>
      </c>
      <c r="B177">
        <v>59.592527250000003</v>
      </c>
      <c r="C177">
        <v>253.35952374999999</v>
      </c>
      <c r="D177">
        <v>265.2063445</v>
      </c>
      <c r="E177">
        <v>278.84206375000002</v>
      </c>
      <c r="F177">
        <v>6.6258637499999997</v>
      </c>
      <c r="G177">
        <v>324.13095824999999</v>
      </c>
      <c r="H177">
        <v>-16</v>
      </c>
      <c r="I177">
        <v>12</v>
      </c>
      <c r="J177">
        <v>1.18</v>
      </c>
      <c r="K177">
        <v>23.197929999999999</v>
      </c>
      <c r="L177">
        <v>-0.86701059726356067</v>
      </c>
      <c r="M177">
        <v>-0.95190293953782823</v>
      </c>
      <c r="N177">
        <v>-0.20968819098474109</v>
      </c>
      <c r="O177">
        <v>0.26023445274384421</v>
      </c>
    </row>
    <row r="178" spans="1:15" x14ac:dyDescent="0.25">
      <c r="A178">
        <v>34.077289749999998</v>
      </c>
      <c r="B178">
        <v>51.896966749999997</v>
      </c>
      <c r="C178">
        <v>282.94071224999999</v>
      </c>
      <c r="D178">
        <v>263.23503099999999</v>
      </c>
      <c r="E178">
        <v>269.07169349999998</v>
      </c>
      <c r="F178">
        <v>6.6746309999999998</v>
      </c>
      <c r="G178">
        <v>338.49500275000003</v>
      </c>
      <c r="H178">
        <v>-16</v>
      </c>
      <c r="I178">
        <v>16</v>
      </c>
      <c r="J178">
        <v>1.18</v>
      </c>
      <c r="K178">
        <v>23.715121750000002</v>
      </c>
      <c r="L178">
        <v>-1.1007421312286141</v>
      </c>
      <c r="M178">
        <v>-0.93477466410735877</v>
      </c>
      <c r="N178">
        <v>-0.30707135240374489</v>
      </c>
      <c r="O178">
        <v>0.1606227345525903</v>
      </c>
    </row>
    <row r="179" spans="1:15" x14ac:dyDescent="0.25">
      <c r="A179">
        <v>-4.14459175</v>
      </c>
      <c r="B179">
        <v>18.03269925</v>
      </c>
      <c r="C179">
        <v>275.85026549999998</v>
      </c>
      <c r="D179">
        <v>229.328552</v>
      </c>
      <c r="E179">
        <v>221.99208075000001</v>
      </c>
      <c r="F179">
        <v>6.1874347500000004</v>
      </c>
      <c r="G179">
        <v>314.12815124999997</v>
      </c>
      <c r="H179">
        <v>-16</v>
      </c>
      <c r="I179">
        <v>20</v>
      </c>
      <c r="J179">
        <v>1.18</v>
      </c>
      <c r="K179">
        <v>22.845830500000002</v>
      </c>
      <c r="L179">
        <v>-1.302008219431257</v>
      </c>
      <c r="M179">
        <v>-0.98254883392561199</v>
      </c>
      <c r="N179">
        <v>-0.42844386016157993</v>
      </c>
      <c r="O179">
        <v>3.5226069291136729E-3</v>
      </c>
    </row>
    <row r="180" spans="1:15" x14ac:dyDescent="0.25">
      <c r="A180">
        <v>-44.281136500000002</v>
      </c>
      <c r="B180">
        <v>-19.18667125</v>
      </c>
      <c r="C180">
        <v>267.54043574999997</v>
      </c>
      <c r="D180">
        <v>197.65625349999999</v>
      </c>
      <c r="E180">
        <v>172.91872425</v>
      </c>
      <c r="F180">
        <v>5.7002247500000003</v>
      </c>
      <c r="G180">
        <v>293.88246900000001</v>
      </c>
      <c r="H180">
        <v>-16</v>
      </c>
      <c r="I180">
        <v>24</v>
      </c>
      <c r="J180">
        <v>1.18</v>
      </c>
      <c r="K180">
        <v>22.1007645</v>
      </c>
      <c r="L180">
        <v>-1.52367071129092</v>
      </c>
      <c r="M180">
        <v>-1.0595628485420201</v>
      </c>
      <c r="N180">
        <v>-0.59107351803127239</v>
      </c>
      <c r="O180">
        <v>-0.1829123527607949</v>
      </c>
    </row>
    <row r="181" spans="1:15" x14ac:dyDescent="0.25">
      <c r="A181">
        <v>-87.036420500000006</v>
      </c>
      <c r="B181">
        <v>-58.231552000000001</v>
      </c>
      <c r="C181">
        <v>260.56848925000003</v>
      </c>
      <c r="D181">
        <v>168.56853125000001</v>
      </c>
      <c r="E181">
        <v>125.0154685</v>
      </c>
      <c r="F181">
        <v>5.3112294999999996</v>
      </c>
      <c r="G181">
        <v>278.23808274999999</v>
      </c>
      <c r="H181">
        <v>-16</v>
      </c>
      <c r="I181">
        <v>28</v>
      </c>
      <c r="J181">
        <v>1.18</v>
      </c>
      <c r="K181">
        <v>21.507838249999999</v>
      </c>
      <c r="L181">
        <v>-1.758686747639107</v>
      </c>
      <c r="M181">
        <v>-1.1475163314637511</v>
      </c>
      <c r="N181">
        <v>-0.77524390402913268</v>
      </c>
      <c r="O181">
        <v>-0.39436425051379509</v>
      </c>
    </row>
    <row r="182" spans="1:15" x14ac:dyDescent="0.25">
      <c r="A182">
        <v>-124.563051</v>
      </c>
      <c r="B182">
        <v>-97.1940235</v>
      </c>
      <c r="C182">
        <v>253.07204050000001</v>
      </c>
      <c r="D182">
        <v>139.52462</v>
      </c>
      <c r="E182">
        <v>72.854910000000004</v>
      </c>
      <c r="F182">
        <v>5.0672224999999997</v>
      </c>
      <c r="G182">
        <v>267.91518424999998</v>
      </c>
      <c r="H182">
        <v>-16</v>
      </c>
      <c r="I182">
        <v>32</v>
      </c>
      <c r="J182">
        <v>1.18</v>
      </c>
      <c r="K182">
        <v>21.106958250000002</v>
      </c>
      <c r="L182">
        <v>-2.0553834879369428</v>
      </c>
      <c r="M182">
        <v>-1.288410628700327</v>
      </c>
      <c r="N182">
        <v>-1.0617018443927879</v>
      </c>
      <c r="O182">
        <v>-0.63106345514667295</v>
      </c>
    </row>
    <row r="183" spans="1:15" x14ac:dyDescent="0.25">
      <c r="A183">
        <v>-181.30219675000001</v>
      </c>
      <c r="B183">
        <v>-150.66333775000001</v>
      </c>
      <c r="C183">
        <v>274.44139124999998</v>
      </c>
      <c r="D183">
        <v>124.14843775</v>
      </c>
      <c r="E183">
        <v>22.751757250000001</v>
      </c>
      <c r="F183">
        <v>5.4562457499999999</v>
      </c>
      <c r="G183">
        <v>288.96109775000002</v>
      </c>
      <c r="H183">
        <v>-16</v>
      </c>
      <c r="I183">
        <v>36</v>
      </c>
      <c r="J183">
        <v>1.18</v>
      </c>
      <c r="K183">
        <v>21.920667999999999</v>
      </c>
      <c r="L183">
        <v>-2.4148195255449121</v>
      </c>
      <c r="M183">
        <v>-1.4560559273713549</v>
      </c>
      <c r="N183">
        <v>-1.410545183691948</v>
      </c>
      <c r="O183">
        <v>-0.9083451670186844</v>
      </c>
    </row>
    <row r="184" spans="1:15" x14ac:dyDescent="0.25">
      <c r="A184">
        <v>-239.18376549999999</v>
      </c>
      <c r="B184">
        <v>-203.44075000000001</v>
      </c>
      <c r="C184">
        <v>289.38715350000001</v>
      </c>
      <c r="D184">
        <v>99.616624999999999</v>
      </c>
      <c r="E184">
        <v>-40.402923749999999</v>
      </c>
      <c r="F184">
        <v>5.9429854999999998</v>
      </c>
      <c r="G184">
        <v>307.48628975000003</v>
      </c>
      <c r="H184">
        <v>-16</v>
      </c>
      <c r="I184">
        <v>40</v>
      </c>
      <c r="J184">
        <v>1.18</v>
      </c>
      <c r="K184">
        <v>22.607294</v>
      </c>
      <c r="L184">
        <v>-2.9218498545708571</v>
      </c>
      <c r="M184">
        <v>-1.6752611063664109</v>
      </c>
      <c r="N184">
        <v>-1.923126377508781</v>
      </c>
      <c r="O184">
        <v>-1.2562436894034299</v>
      </c>
    </row>
    <row r="185" spans="1:15" x14ac:dyDescent="0.25">
      <c r="A185">
        <v>-300.21842225</v>
      </c>
      <c r="B185">
        <v>-262.84593174999998</v>
      </c>
      <c r="C185">
        <v>294.88941975</v>
      </c>
      <c r="D185">
        <v>69.346126749999996</v>
      </c>
      <c r="E185">
        <v>-116.6084595</v>
      </c>
      <c r="F185">
        <v>6.2361475000000004</v>
      </c>
      <c r="G185">
        <v>321.37019350000003</v>
      </c>
      <c r="H185">
        <v>-16</v>
      </c>
      <c r="I185">
        <v>44</v>
      </c>
      <c r="J185">
        <v>1.18</v>
      </c>
      <c r="K185">
        <v>23.111144500000002</v>
      </c>
      <c r="L185">
        <v>-3.608411833522172</v>
      </c>
      <c r="M185">
        <v>-2.0142455657964589</v>
      </c>
      <c r="N185">
        <v>-2.6556780688814841</v>
      </c>
      <c r="O185">
        <v>-1.7448754025995581</v>
      </c>
    </row>
    <row r="186" spans="1:15" x14ac:dyDescent="0.25">
      <c r="A186">
        <v>321.31962600000003</v>
      </c>
      <c r="B186">
        <v>-227.329868</v>
      </c>
      <c r="C186">
        <v>-308.75006100000002</v>
      </c>
      <c r="D186">
        <v>75.873342500000007</v>
      </c>
      <c r="E186">
        <v>1.9223380000000001</v>
      </c>
      <c r="F186">
        <v>6.577178</v>
      </c>
      <c r="G186">
        <v>339.49526950000001</v>
      </c>
      <c r="H186">
        <v>-12</v>
      </c>
      <c r="I186">
        <v>-44</v>
      </c>
      <c r="J186">
        <v>1.18</v>
      </c>
      <c r="K186">
        <v>23.754309249999999</v>
      </c>
      <c r="L186">
        <v>2.333912232688804</v>
      </c>
      <c r="M186">
        <v>-1.1231362932367339</v>
      </c>
      <c r="N186">
        <v>-1.250447747500008</v>
      </c>
      <c r="O186">
        <v>-1.0172446472242229</v>
      </c>
    </row>
    <row r="187" spans="1:15" x14ac:dyDescent="0.25">
      <c r="A187">
        <v>298.00408175000001</v>
      </c>
      <c r="B187">
        <v>-153.445404</v>
      </c>
      <c r="C187">
        <v>-237.06134025</v>
      </c>
      <c r="D187">
        <v>101.982193</v>
      </c>
      <c r="E187">
        <v>59.100024249999997</v>
      </c>
      <c r="F187">
        <v>6.0408402499999996</v>
      </c>
      <c r="G187">
        <v>310.28707850000001</v>
      </c>
      <c r="H187">
        <v>-12</v>
      </c>
      <c r="I187">
        <v>-40</v>
      </c>
      <c r="J187">
        <v>1.18</v>
      </c>
      <c r="K187">
        <v>22.708380999999999</v>
      </c>
      <c r="L187">
        <v>2.1036143669491789</v>
      </c>
      <c r="M187">
        <v>-1.0042129953479011</v>
      </c>
      <c r="N187">
        <v>-0.98753959556612336</v>
      </c>
      <c r="O187">
        <v>-0.79138163821602325</v>
      </c>
    </row>
    <row r="188" spans="1:15" x14ac:dyDescent="0.25">
      <c r="A188">
        <v>280.03897825000001</v>
      </c>
      <c r="B188">
        <v>-96.275909499999997</v>
      </c>
      <c r="C188">
        <v>-175.09056849999999</v>
      </c>
      <c r="D188">
        <v>126.1197375</v>
      </c>
      <c r="E188">
        <v>105.21507275</v>
      </c>
      <c r="F188">
        <v>5.7968472499999999</v>
      </c>
      <c r="G188">
        <v>291.24173725000003</v>
      </c>
      <c r="H188">
        <v>-12</v>
      </c>
      <c r="I188">
        <v>-36</v>
      </c>
      <c r="J188">
        <v>1.18</v>
      </c>
      <c r="K188">
        <v>21.995553999999998</v>
      </c>
      <c r="L188">
        <v>1.8893065335238839</v>
      </c>
      <c r="M188">
        <v>-0.92319619949775167</v>
      </c>
      <c r="N188">
        <v>-0.7722257667530299</v>
      </c>
      <c r="O188">
        <v>-0.5873065641656503</v>
      </c>
    </row>
    <row r="189" spans="1:15" x14ac:dyDescent="0.25">
      <c r="A189">
        <v>263.39352424999998</v>
      </c>
      <c r="B189">
        <v>-49.70042325</v>
      </c>
      <c r="C189">
        <v>-120.00538625</v>
      </c>
      <c r="D189">
        <v>143.59865575000001</v>
      </c>
      <c r="E189">
        <v>141.09703099999999</v>
      </c>
      <c r="F189">
        <v>5.3101072499999997</v>
      </c>
      <c r="G189">
        <v>276.11749250000003</v>
      </c>
      <c r="H189">
        <v>-12</v>
      </c>
      <c r="I189">
        <v>-32</v>
      </c>
      <c r="J189">
        <v>1.18</v>
      </c>
      <c r="K189">
        <v>21.424162500000001</v>
      </c>
      <c r="L189">
        <v>1.696822772763074</v>
      </c>
      <c r="M189">
        <v>-0.85549848319616062</v>
      </c>
      <c r="N189">
        <v>-0.59756523725118194</v>
      </c>
      <c r="O189">
        <v>-0.39903742188515889</v>
      </c>
    </row>
    <row r="190" spans="1:15" x14ac:dyDescent="0.25">
      <c r="A190">
        <v>253.82524874999999</v>
      </c>
      <c r="B190">
        <v>-13.433488499999999</v>
      </c>
      <c r="C190">
        <v>-73.356678000000002</v>
      </c>
      <c r="D190">
        <v>160.5080835</v>
      </c>
      <c r="E190">
        <v>172.3377155</v>
      </c>
      <c r="F190">
        <v>5.0661555000000007</v>
      </c>
      <c r="G190">
        <v>271.11608124999998</v>
      </c>
      <c r="H190">
        <v>-12</v>
      </c>
      <c r="I190">
        <v>-28</v>
      </c>
      <c r="J190">
        <v>1.18</v>
      </c>
      <c r="K190">
        <v>21.23512375</v>
      </c>
      <c r="L190">
        <v>1.516594412500085</v>
      </c>
      <c r="M190">
        <v>-0.80628421539861561</v>
      </c>
      <c r="N190">
        <v>-0.45786707914227032</v>
      </c>
      <c r="O190">
        <v>-0.22463121653223961</v>
      </c>
    </row>
    <row r="191" spans="1:15" x14ac:dyDescent="0.25">
      <c r="A191">
        <v>265.27869425</v>
      </c>
      <c r="B191">
        <v>18.89826875</v>
      </c>
      <c r="C191">
        <v>-31.62336475</v>
      </c>
      <c r="D191">
        <v>191.78613675</v>
      </c>
      <c r="E191">
        <v>217.44742600000001</v>
      </c>
      <c r="F191">
        <v>5.650709</v>
      </c>
      <c r="G191">
        <v>292.60211924999999</v>
      </c>
      <c r="H191">
        <v>-12</v>
      </c>
      <c r="I191">
        <v>-24</v>
      </c>
      <c r="J191">
        <v>1.18</v>
      </c>
      <c r="K191">
        <v>22.053522000000001</v>
      </c>
      <c r="L191">
        <v>1.326590373736205</v>
      </c>
      <c r="M191">
        <v>-0.77247924145641678</v>
      </c>
      <c r="N191">
        <v>-0.33580992522790221</v>
      </c>
      <c r="O191">
        <v>-5.3673759012814293E-2</v>
      </c>
    </row>
    <row r="192" spans="1:15" x14ac:dyDescent="0.25">
      <c r="A192">
        <v>267.42778800000002</v>
      </c>
      <c r="B192">
        <v>43.999785500000002</v>
      </c>
      <c r="C192">
        <v>10.972236499999999</v>
      </c>
      <c r="D192">
        <v>215.83607499999999</v>
      </c>
      <c r="E192">
        <v>255.20432650000001</v>
      </c>
      <c r="F192">
        <v>5.9916982499999998</v>
      </c>
      <c r="G192">
        <v>309.166763</v>
      </c>
      <c r="H192">
        <v>-12</v>
      </c>
      <c r="I192">
        <v>-20</v>
      </c>
      <c r="J192">
        <v>1.18</v>
      </c>
      <c r="K192">
        <v>22.668379250000001</v>
      </c>
      <c r="L192">
        <v>1.126215861293862</v>
      </c>
      <c r="M192">
        <v>-0.75458382592240658</v>
      </c>
      <c r="N192">
        <v>-0.23697676706701681</v>
      </c>
      <c r="O192">
        <v>9.4394909966409091E-2</v>
      </c>
    </row>
    <row r="193" spans="1:15" x14ac:dyDescent="0.25">
      <c r="A193">
        <v>261.80303974999998</v>
      </c>
      <c r="B193">
        <v>65.206241500000004</v>
      </c>
      <c r="C193">
        <v>58.338070999999999</v>
      </c>
      <c r="D193">
        <v>238.92226024999999</v>
      </c>
      <c r="E193">
        <v>286.14574425000001</v>
      </c>
      <c r="F193">
        <v>6.4788247500000002</v>
      </c>
      <c r="G193">
        <v>322.17041</v>
      </c>
      <c r="H193">
        <v>-12</v>
      </c>
      <c r="I193">
        <v>-16</v>
      </c>
      <c r="J193">
        <v>1.18</v>
      </c>
      <c r="K193">
        <v>23.131575999999999</v>
      </c>
      <c r="L193">
        <v>0.90683169356019966</v>
      </c>
      <c r="M193">
        <v>-0.77421318274340556</v>
      </c>
      <c r="N193">
        <v>-0.16057116227998261</v>
      </c>
      <c r="O193">
        <v>0.24644086336646401</v>
      </c>
    </row>
    <row r="194" spans="1:15" x14ac:dyDescent="0.25">
      <c r="A194">
        <v>252.0365755</v>
      </c>
      <c r="B194">
        <v>81.796323999999998</v>
      </c>
      <c r="C194">
        <v>106.012867</v>
      </c>
      <c r="D194">
        <v>260.25617225000002</v>
      </c>
      <c r="E194">
        <v>311.42356100000001</v>
      </c>
      <c r="F194">
        <v>6.5762502500000002</v>
      </c>
      <c r="G194">
        <v>335.73422249999999</v>
      </c>
      <c r="H194">
        <v>-12</v>
      </c>
      <c r="I194">
        <v>-12</v>
      </c>
      <c r="J194">
        <v>1.18</v>
      </c>
      <c r="K194">
        <v>23.619788499999999</v>
      </c>
      <c r="L194">
        <v>0.67133100660991951</v>
      </c>
      <c r="M194">
        <v>-0.8204414977233121</v>
      </c>
      <c r="N194">
        <v>-0.11178060654282861</v>
      </c>
      <c r="O194">
        <v>0.40147723338573482</v>
      </c>
    </row>
    <row r="195" spans="1:15" x14ac:dyDescent="0.25">
      <c r="A195">
        <v>217.43194199999999</v>
      </c>
      <c r="B195">
        <v>84.537294500000002</v>
      </c>
      <c r="C195">
        <v>135.08964900000001</v>
      </c>
      <c r="D195">
        <v>254.4298665</v>
      </c>
      <c r="E195">
        <v>304.66455124999999</v>
      </c>
      <c r="F195">
        <v>6.332687</v>
      </c>
      <c r="G195">
        <v>319.52967849999999</v>
      </c>
      <c r="H195">
        <v>-12</v>
      </c>
      <c r="I195">
        <v>-8</v>
      </c>
      <c r="J195">
        <v>1.18</v>
      </c>
      <c r="K195">
        <v>23.039967000000001</v>
      </c>
      <c r="L195">
        <v>0.4226280764976138</v>
      </c>
      <c r="M195">
        <v>-0.87193158868502707</v>
      </c>
      <c r="N195">
        <v>-7.6316012134730035E-2</v>
      </c>
      <c r="O195">
        <v>0.53107991876525928</v>
      </c>
    </row>
    <row r="196" spans="1:15" x14ac:dyDescent="0.25">
      <c r="A196">
        <v>178.92884075000001</v>
      </c>
      <c r="B196">
        <v>80.546054999999996</v>
      </c>
      <c r="C196">
        <v>151.21816999999999</v>
      </c>
      <c r="D196">
        <v>238.35276049999999</v>
      </c>
      <c r="E196">
        <v>286.59273524999998</v>
      </c>
      <c r="F196">
        <v>5.60199625</v>
      </c>
      <c r="G196">
        <v>296.76327524999999</v>
      </c>
      <c r="H196">
        <v>-12</v>
      </c>
      <c r="I196">
        <v>-4</v>
      </c>
      <c r="J196">
        <v>1.18</v>
      </c>
      <c r="K196">
        <v>22.2147045</v>
      </c>
      <c r="L196">
        <v>0.16232139416800939</v>
      </c>
      <c r="M196">
        <v>-0.92442082303213047</v>
      </c>
      <c r="N196">
        <v>-5.9582873384441459E-2</v>
      </c>
      <c r="O196">
        <v>0.64600525109019546</v>
      </c>
    </row>
    <row r="197" spans="1:15" x14ac:dyDescent="0.25">
      <c r="A197">
        <v>144.8944395</v>
      </c>
      <c r="B197">
        <v>77.564649250000002</v>
      </c>
      <c r="C197">
        <v>166.07357825</v>
      </c>
      <c r="D197">
        <v>225.648796</v>
      </c>
      <c r="E197">
        <v>271.1452865</v>
      </c>
      <c r="F197">
        <v>5.35882025</v>
      </c>
      <c r="G197">
        <v>280.27864875</v>
      </c>
      <c r="H197">
        <v>-12</v>
      </c>
      <c r="I197">
        <v>0</v>
      </c>
      <c r="J197">
        <v>1.18</v>
      </c>
      <c r="K197">
        <v>21.586228999999999</v>
      </c>
      <c r="L197">
        <v>-0.13242804957936291</v>
      </c>
      <c r="M197">
        <v>-0.92600727875648259</v>
      </c>
      <c r="N197">
        <v>-5.7112573214028101E-2</v>
      </c>
      <c r="O197">
        <v>0.6620506005935991</v>
      </c>
    </row>
    <row r="198" spans="1:15" x14ac:dyDescent="0.25">
      <c r="A198">
        <v>115.35875675</v>
      </c>
      <c r="B198">
        <v>78.093612750000005</v>
      </c>
      <c r="C198">
        <v>178.84027825000001</v>
      </c>
      <c r="D198">
        <v>213.03244025000001</v>
      </c>
      <c r="E198">
        <v>256.03695699999997</v>
      </c>
      <c r="F198">
        <v>5.1148685</v>
      </c>
      <c r="G198">
        <v>266.35475174999999</v>
      </c>
      <c r="H198">
        <v>-12</v>
      </c>
      <c r="I198">
        <v>4</v>
      </c>
      <c r="J198">
        <v>1.18</v>
      </c>
      <c r="K198">
        <v>21.042303</v>
      </c>
      <c r="L198">
        <v>-0.39847395568931993</v>
      </c>
      <c r="M198">
        <v>-0.84701446310146677</v>
      </c>
      <c r="N198">
        <v>-6.4765689995009937E-2</v>
      </c>
      <c r="O198">
        <v>0.57505175189091517</v>
      </c>
    </row>
    <row r="199" spans="1:15" x14ac:dyDescent="0.25">
      <c r="A199">
        <v>97.086523</v>
      </c>
      <c r="B199">
        <v>91.606115250000002</v>
      </c>
      <c r="C199">
        <v>214.88436874999999</v>
      </c>
      <c r="D199">
        <v>223.80891825</v>
      </c>
      <c r="E199">
        <v>271.45824449999998</v>
      </c>
      <c r="F199">
        <v>5.3584325000000002</v>
      </c>
      <c r="G199">
        <v>287.00054175000002</v>
      </c>
      <c r="H199">
        <v>-12</v>
      </c>
      <c r="I199">
        <v>8</v>
      </c>
      <c r="J199">
        <v>1.18</v>
      </c>
      <c r="K199">
        <v>21.848533750000001</v>
      </c>
      <c r="L199">
        <v>-0.66509683836440003</v>
      </c>
      <c r="M199">
        <v>-0.74643507475876636</v>
      </c>
      <c r="N199">
        <v>-8.7754862395276828E-2</v>
      </c>
      <c r="O199">
        <v>0.50243827666654162</v>
      </c>
    </row>
    <row r="200" spans="1:15" x14ac:dyDescent="0.25">
      <c r="A200">
        <v>73.029218749999998</v>
      </c>
      <c r="B200">
        <v>89.538362750000005</v>
      </c>
      <c r="C200">
        <v>248.73292175</v>
      </c>
      <c r="D200">
        <v>228.759075</v>
      </c>
      <c r="E200">
        <v>277.42120325000002</v>
      </c>
      <c r="F200">
        <v>5.9429854999999998</v>
      </c>
      <c r="G200">
        <v>305.72579949999999</v>
      </c>
      <c r="H200">
        <v>-12</v>
      </c>
      <c r="I200">
        <v>12</v>
      </c>
      <c r="J200">
        <v>1.18</v>
      </c>
      <c r="K200">
        <v>22.541198999999999</v>
      </c>
      <c r="L200">
        <v>-0.89581652399263556</v>
      </c>
      <c r="M200">
        <v>-0.70982041307776811</v>
      </c>
      <c r="N200">
        <v>-0.1443135551037055</v>
      </c>
      <c r="O200">
        <v>0.38412271850299201</v>
      </c>
    </row>
    <row r="201" spans="1:15" x14ac:dyDescent="0.25">
      <c r="A201">
        <v>38.861751750000003</v>
      </c>
      <c r="B201">
        <v>79.440054000000003</v>
      </c>
      <c r="C201">
        <v>277.90000175</v>
      </c>
      <c r="D201">
        <v>225.7364005</v>
      </c>
      <c r="E201">
        <v>270.56425474999998</v>
      </c>
      <c r="F201">
        <v>6.1874105000000004</v>
      </c>
      <c r="G201">
        <v>319.92978675000001</v>
      </c>
      <c r="H201">
        <v>-12</v>
      </c>
      <c r="I201">
        <v>16</v>
      </c>
      <c r="J201">
        <v>1.18</v>
      </c>
      <c r="K201">
        <v>23.060055999999999</v>
      </c>
      <c r="L201">
        <v>-1.130664033103236</v>
      </c>
      <c r="M201">
        <v>-0.69198892615191865</v>
      </c>
      <c r="N201">
        <v>-0.23349827148003341</v>
      </c>
      <c r="O201">
        <v>0.25052418360724599</v>
      </c>
    </row>
    <row r="202" spans="1:15" x14ac:dyDescent="0.25">
      <c r="A202">
        <v>-2.7026404999999998</v>
      </c>
      <c r="B202">
        <v>52.463134500000002</v>
      </c>
      <c r="C202">
        <v>303.54535675</v>
      </c>
      <c r="D202">
        <v>218.99016549999999</v>
      </c>
      <c r="E202">
        <v>252.09148375000001</v>
      </c>
      <c r="F202">
        <v>6.771102</v>
      </c>
      <c r="G202">
        <v>334.01374075000001</v>
      </c>
      <c r="H202">
        <v>-12</v>
      </c>
      <c r="I202">
        <v>20</v>
      </c>
      <c r="J202">
        <v>1.18</v>
      </c>
      <c r="K202">
        <v>23.550966249999998</v>
      </c>
      <c r="L202">
        <v>-1.347859568278243</v>
      </c>
      <c r="M202">
        <v>-0.73292812465365098</v>
      </c>
      <c r="N202">
        <v>-0.36058717968911269</v>
      </c>
      <c r="O202">
        <v>7.9702529456603721E-2</v>
      </c>
    </row>
    <row r="203" spans="1:15" x14ac:dyDescent="0.25">
      <c r="A203">
        <v>-54.007783000000003</v>
      </c>
      <c r="B203">
        <v>12.406496750000001</v>
      </c>
      <c r="C203">
        <v>304.062027</v>
      </c>
      <c r="D203">
        <v>193.66983425000001</v>
      </c>
      <c r="E203">
        <v>205.7190665</v>
      </c>
      <c r="F203">
        <v>6.3818460000000004</v>
      </c>
      <c r="G203">
        <v>324.09095000000002</v>
      </c>
      <c r="H203">
        <v>-12</v>
      </c>
      <c r="I203">
        <v>24</v>
      </c>
      <c r="J203">
        <v>1.18</v>
      </c>
      <c r="K203">
        <v>23.205323249999999</v>
      </c>
      <c r="L203">
        <v>-1.580742194934359</v>
      </c>
      <c r="M203">
        <v>-0.80021953760292197</v>
      </c>
      <c r="N203">
        <v>-0.52256956136260269</v>
      </c>
      <c r="O203">
        <v>-0.1199993630978909</v>
      </c>
    </row>
    <row r="204" spans="1:15" x14ac:dyDescent="0.25">
      <c r="A204">
        <v>-99.547292749999997</v>
      </c>
      <c r="B204">
        <v>-24.853660000000001</v>
      </c>
      <c r="C204">
        <v>288.37486250000001</v>
      </c>
      <c r="D204">
        <v>155.076042</v>
      </c>
      <c r="E204">
        <v>147.32843800000001</v>
      </c>
      <c r="F204">
        <v>5.7493069999999999</v>
      </c>
      <c r="G204">
        <v>299.88415524999999</v>
      </c>
      <c r="H204">
        <v>-12</v>
      </c>
      <c r="I204">
        <v>28</v>
      </c>
      <c r="J204">
        <v>1.18</v>
      </c>
      <c r="K204">
        <v>22.327844249999998</v>
      </c>
      <c r="L204">
        <v>-1.851433790783515</v>
      </c>
      <c r="M204">
        <v>-0.85874492709700312</v>
      </c>
      <c r="N204">
        <v>-0.72810816974882986</v>
      </c>
      <c r="O204">
        <v>-0.32430521730016759</v>
      </c>
    </row>
    <row r="205" spans="1:15" x14ac:dyDescent="0.25">
      <c r="A205">
        <v>-140.897705</v>
      </c>
      <c r="B205">
        <v>-63.141731999999998</v>
      </c>
      <c r="C205">
        <v>275.88631425</v>
      </c>
      <c r="D205">
        <v>121.607641</v>
      </c>
      <c r="E205">
        <v>88.471202750000003</v>
      </c>
      <c r="F205">
        <v>4.9206884999999998</v>
      </c>
      <c r="G205">
        <v>283.19947825000003</v>
      </c>
      <c r="H205">
        <v>-12</v>
      </c>
      <c r="I205">
        <v>32</v>
      </c>
      <c r="J205">
        <v>1.18</v>
      </c>
      <c r="K205">
        <v>21.717692750000001</v>
      </c>
      <c r="L205">
        <v>-2.1879933987840978</v>
      </c>
      <c r="M205">
        <v>-0.96982283172185535</v>
      </c>
      <c r="N205">
        <v>-1.022265852706054</v>
      </c>
      <c r="O205">
        <v>-0.56139541400077575</v>
      </c>
    </row>
    <row r="206" spans="1:15" x14ac:dyDescent="0.25">
      <c r="A206">
        <v>-173.05913924999999</v>
      </c>
      <c r="B206">
        <v>-96.1520005</v>
      </c>
      <c r="C206">
        <v>258.9820325</v>
      </c>
      <c r="D206">
        <v>88.095438000000001</v>
      </c>
      <c r="E206">
        <v>29.862957000000002</v>
      </c>
      <c r="F206">
        <v>4.9200175000000002</v>
      </c>
      <c r="G206">
        <v>265.71456899999998</v>
      </c>
      <c r="H206">
        <v>-12</v>
      </c>
      <c r="I206">
        <v>36</v>
      </c>
      <c r="J206">
        <v>1.18</v>
      </c>
      <c r="K206">
        <v>21.024366749999999</v>
      </c>
      <c r="L206">
        <v>-2.6269036269405381</v>
      </c>
      <c r="M206">
        <v>-1.120307367002717</v>
      </c>
      <c r="N206">
        <v>-1.4340738091315841</v>
      </c>
      <c r="O206">
        <v>-0.84834820202963401</v>
      </c>
    </row>
    <row r="207" spans="1:15" x14ac:dyDescent="0.25">
      <c r="A207">
        <v>-226.70656975</v>
      </c>
      <c r="B207">
        <v>-144.13203799999999</v>
      </c>
      <c r="C207">
        <v>273.82717124999999</v>
      </c>
      <c r="D207">
        <v>62.46845725</v>
      </c>
      <c r="E207">
        <v>-32.41848925</v>
      </c>
      <c r="F207">
        <v>5.2133702500000014</v>
      </c>
      <c r="G207">
        <v>282.15918725</v>
      </c>
      <c r="H207">
        <v>-12</v>
      </c>
      <c r="I207">
        <v>40</v>
      </c>
      <c r="J207">
        <v>1.18</v>
      </c>
      <c r="K207">
        <v>21.665608249999998</v>
      </c>
      <c r="L207">
        <v>-3.2714770452941808</v>
      </c>
      <c r="M207">
        <v>-1.350335493075919</v>
      </c>
      <c r="N207">
        <v>-2.0560930565509019</v>
      </c>
      <c r="O207">
        <v>-1.245977055567985</v>
      </c>
    </row>
    <row r="208" spans="1:15" x14ac:dyDescent="0.25">
      <c r="A208">
        <v>-281.84045400000002</v>
      </c>
      <c r="B208">
        <v>-195.85451900000001</v>
      </c>
      <c r="C208">
        <v>286.42585750000001</v>
      </c>
      <c r="D208">
        <v>32.066537749999988</v>
      </c>
      <c r="E208">
        <v>-104.88770875</v>
      </c>
      <c r="F208">
        <v>5.6027502499999997</v>
      </c>
      <c r="G208">
        <v>301.56462875</v>
      </c>
      <c r="H208">
        <v>-12</v>
      </c>
      <c r="I208">
        <v>44</v>
      </c>
      <c r="J208">
        <v>1.18</v>
      </c>
      <c r="K208">
        <v>22.39709375</v>
      </c>
      <c r="L208">
        <v>-4.2422625507144147</v>
      </c>
      <c r="M208">
        <v>-1.701554118434496</v>
      </c>
      <c r="N208">
        <v>-3.0343411104906841</v>
      </c>
      <c r="O208">
        <v>-1.8249394224902269</v>
      </c>
    </row>
    <row r="209" spans="1:15" x14ac:dyDescent="0.25">
      <c r="A209">
        <v>313.15017675000001</v>
      </c>
      <c r="B209">
        <v>-164.6674955</v>
      </c>
      <c r="C209">
        <v>-298.44651800000003</v>
      </c>
      <c r="D209">
        <v>35.880000249999988</v>
      </c>
      <c r="E209">
        <v>2.7270272499999999</v>
      </c>
      <c r="F209">
        <v>6.0416664999999998</v>
      </c>
      <c r="G209">
        <v>321.81031024999999</v>
      </c>
      <c r="H209">
        <v>-8</v>
      </c>
      <c r="I209">
        <v>-44</v>
      </c>
      <c r="J209">
        <v>1.18</v>
      </c>
      <c r="K209">
        <v>23.13440125</v>
      </c>
      <c r="L209">
        <v>2.6104800006934741</v>
      </c>
      <c r="M209">
        <v>-0.85600077777268035</v>
      </c>
      <c r="N209">
        <v>-1.3619451815133981</v>
      </c>
      <c r="O209">
        <v>-1.014139164038671</v>
      </c>
    </row>
    <row r="210" spans="1:15" x14ac:dyDescent="0.25">
      <c r="A210">
        <v>329.53426350000001</v>
      </c>
      <c r="B210">
        <v>-118.6546345</v>
      </c>
      <c r="C210">
        <v>-260.87573250000003</v>
      </c>
      <c r="D210">
        <v>75.741920499999992</v>
      </c>
      <c r="E210">
        <v>67.281038249999995</v>
      </c>
      <c r="F210">
        <v>6.6249630000000002</v>
      </c>
      <c r="G210">
        <v>335.73422249999999</v>
      </c>
      <c r="H210">
        <v>-8</v>
      </c>
      <c r="I210">
        <v>-40</v>
      </c>
      <c r="J210">
        <v>1.18</v>
      </c>
      <c r="K210">
        <v>23.618047499999999</v>
      </c>
      <c r="L210">
        <v>2.2969098980358269</v>
      </c>
      <c r="M210">
        <v>-0.75626121148958347</v>
      </c>
      <c r="N210">
        <v>-1.0443775311587651</v>
      </c>
      <c r="O210">
        <v>-0.76402512466445283</v>
      </c>
    </row>
    <row r="211" spans="1:15" x14ac:dyDescent="0.25">
      <c r="A211">
        <v>314.84473424999999</v>
      </c>
      <c r="B211">
        <v>-64.101332499999998</v>
      </c>
      <c r="C211">
        <v>-197.37071975000001</v>
      </c>
      <c r="D211">
        <v>106.45728099999999</v>
      </c>
      <c r="E211">
        <v>120.0329285</v>
      </c>
      <c r="F211">
        <v>6.1873719999999999</v>
      </c>
      <c r="G211">
        <v>319.60968774999998</v>
      </c>
      <c r="H211">
        <v>-8</v>
      </c>
      <c r="I211">
        <v>-36</v>
      </c>
      <c r="J211">
        <v>1.18</v>
      </c>
      <c r="K211">
        <v>23.048282499999999</v>
      </c>
      <c r="L211">
        <v>2.042565571567009</v>
      </c>
      <c r="M211">
        <v>-0.68013609531189378</v>
      </c>
      <c r="N211">
        <v>-0.79585443550485668</v>
      </c>
      <c r="O211">
        <v>-0.54600292124667327</v>
      </c>
    </row>
    <row r="212" spans="1:15" x14ac:dyDescent="0.25">
      <c r="A212">
        <v>291.66573325000002</v>
      </c>
      <c r="B212">
        <v>-17.608673</v>
      </c>
      <c r="C212">
        <v>-133.91080074999999</v>
      </c>
      <c r="D212">
        <v>126.68922999999999</v>
      </c>
      <c r="E212">
        <v>157.58512525</v>
      </c>
      <c r="F212">
        <v>5.6510860000000003</v>
      </c>
      <c r="G212">
        <v>297.4434665</v>
      </c>
      <c r="H212">
        <v>-8</v>
      </c>
      <c r="I212">
        <v>-32</v>
      </c>
      <c r="J212">
        <v>1.18</v>
      </c>
      <c r="K212">
        <v>22.238764249999999</v>
      </c>
      <c r="L212">
        <v>1.8237809421323821</v>
      </c>
      <c r="M212">
        <v>-0.61839160039318319</v>
      </c>
      <c r="N212">
        <v>-0.59935566303498233</v>
      </c>
      <c r="O212">
        <v>-0.34887099204424321</v>
      </c>
    </row>
    <row r="213" spans="1:15" x14ac:dyDescent="0.25">
      <c r="A213">
        <v>269.84748825000003</v>
      </c>
      <c r="B213">
        <v>17.840350749999999</v>
      </c>
      <c r="C213">
        <v>-78.168716500000002</v>
      </c>
      <c r="D213">
        <v>142.10922625000001</v>
      </c>
      <c r="E213">
        <v>186.19631974999999</v>
      </c>
      <c r="F213">
        <v>5.2624599999999999</v>
      </c>
      <c r="G213">
        <v>281.31894675000001</v>
      </c>
      <c r="H213">
        <v>-8</v>
      </c>
      <c r="I213">
        <v>-28</v>
      </c>
      <c r="J213">
        <v>1.18</v>
      </c>
      <c r="K213">
        <v>21.630799750000001</v>
      </c>
      <c r="L213">
        <v>1.608534908782115</v>
      </c>
      <c r="M213">
        <v>-0.57434186744682536</v>
      </c>
      <c r="N213">
        <v>-0.43967387926001922</v>
      </c>
      <c r="O213">
        <v>-0.16375105893352579</v>
      </c>
    </row>
    <row r="214" spans="1:15" x14ac:dyDescent="0.25">
      <c r="A214">
        <v>246.24304574999999</v>
      </c>
      <c r="B214">
        <v>44.288308999999998</v>
      </c>
      <c r="C214">
        <v>-33.964694000000001</v>
      </c>
      <c r="D214">
        <v>149.3468245</v>
      </c>
      <c r="E214">
        <v>203.05009824999999</v>
      </c>
      <c r="F214">
        <v>4.9207027500000002</v>
      </c>
      <c r="G214">
        <v>263.79402175000001</v>
      </c>
      <c r="H214">
        <v>-8</v>
      </c>
      <c r="I214">
        <v>-24</v>
      </c>
      <c r="J214">
        <v>1.18</v>
      </c>
      <c r="K214">
        <v>20.946782750000001</v>
      </c>
      <c r="L214">
        <v>1.4159794694140451</v>
      </c>
      <c r="M214">
        <v>-0.53089702802749728</v>
      </c>
      <c r="N214">
        <v>-0.30695646906981322</v>
      </c>
      <c r="O214">
        <v>1.2249452297379529E-3</v>
      </c>
    </row>
    <row r="215" spans="1:15" x14ac:dyDescent="0.25">
      <c r="A215">
        <v>237.87805175</v>
      </c>
      <c r="B215">
        <v>65.879461250000006</v>
      </c>
      <c r="C215">
        <v>4.9678232500000004</v>
      </c>
      <c r="D215">
        <v>163.83739449999999</v>
      </c>
      <c r="E215">
        <v>226.3860895</v>
      </c>
      <c r="F215">
        <v>4.8235714999999999</v>
      </c>
      <c r="G215">
        <v>265.6345445</v>
      </c>
      <c r="H215">
        <v>-8</v>
      </c>
      <c r="I215">
        <v>-20</v>
      </c>
      <c r="J215">
        <v>1.18</v>
      </c>
      <c r="K215">
        <v>21.025020999999999</v>
      </c>
      <c r="L215">
        <v>1.2196662676256791</v>
      </c>
      <c r="M215">
        <v>-0.51296271997686349</v>
      </c>
      <c r="N215">
        <v>-0.2055442221870217</v>
      </c>
      <c r="O215">
        <v>0.16023954091816811</v>
      </c>
    </row>
    <row r="216" spans="1:15" x14ac:dyDescent="0.25">
      <c r="A216">
        <v>241.9714085</v>
      </c>
      <c r="B216">
        <v>88.624708249999998</v>
      </c>
      <c r="C216">
        <v>46.965580000000003</v>
      </c>
      <c r="D216">
        <v>189.87068550000001</v>
      </c>
      <c r="E216">
        <v>261.88186624999997</v>
      </c>
      <c r="F216">
        <v>5.4565844999999999</v>
      </c>
      <c r="G216">
        <v>286.68046600000002</v>
      </c>
      <c r="H216">
        <v>-8</v>
      </c>
      <c r="I216">
        <v>-16</v>
      </c>
      <c r="J216">
        <v>1.18</v>
      </c>
      <c r="K216">
        <v>21.832297749999999</v>
      </c>
      <c r="L216">
        <v>1.004725886106038</v>
      </c>
      <c r="M216">
        <v>-0.52166731169572755</v>
      </c>
      <c r="N216">
        <v>-0.1277691223481725</v>
      </c>
      <c r="O216">
        <v>0.32119830196275262</v>
      </c>
    </row>
    <row r="217" spans="1:15" x14ac:dyDescent="0.25">
      <c r="A217">
        <v>236.97547499999999</v>
      </c>
      <c r="B217">
        <v>108.14810925</v>
      </c>
      <c r="C217">
        <v>93.350099499999999</v>
      </c>
      <c r="D217">
        <v>211.49920299999999</v>
      </c>
      <c r="E217">
        <v>288.61546349999998</v>
      </c>
      <c r="F217">
        <v>5.9925352500000004</v>
      </c>
      <c r="G217">
        <v>302.925003</v>
      </c>
      <c r="H217">
        <v>-8</v>
      </c>
      <c r="I217">
        <v>-12</v>
      </c>
      <c r="J217">
        <v>1.18</v>
      </c>
      <c r="K217">
        <v>22.433786749999999</v>
      </c>
      <c r="L217">
        <v>0.76450912324556852</v>
      </c>
      <c r="M217">
        <v>-0.55012873339259039</v>
      </c>
      <c r="N217">
        <v>-7.617606394906154E-2</v>
      </c>
      <c r="O217">
        <v>0.50437911628318988</v>
      </c>
    </row>
    <row r="218" spans="1:15" x14ac:dyDescent="0.25">
      <c r="A218">
        <v>226.09924325</v>
      </c>
      <c r="B218">
        <v>120.50652125000001</v>
      </c>
      <c r="C218">
        <v>135.71216974999999</v>
      </c>
      <c r="D218">
        <v>229.240959</v>
      </c>
      <c r="E218">
        <v>310.90294649999998</v>
      </c>
      <c r="F218">
        <v>5.99292625</v>
      </c>
      <c r="G218">
        <v>317.96923824999999</v>
      </c>
      <c r="H218">
        <v>-8</v>
      </c>
      <c r="I218">
        <v>-8</v>
      </c>
      <c r="J218">
        <v>1.18</v>
      </c>
      <c r="K218">
        <v>22.995057500000001</v>
      </c>
      <c r="L218">
        <v>0.49450473838916881</v>
      </c>
      <c r="M218">
        <v>-0.59485872285191455</v>
      </c>
      <c r="N218">
        <v>-3.8684239645567303E-2</v>
      </c>
      <c r="O218">
        <v>0.66807126658898741</v>
      </c>
    </row>
    <row r="219" spans="1:15" x14ac:dyDescent="0.25">
      <c r="A219">
        <v>210.73765549999999</v>
      </c>
      <c r="B219">
        <v>129.54691299999999</v>
      </c>
      <c r="C219">
        <v>173.8851775</v>
      </c>
      <c r="D219">
        <v>243.30294824999999</v>
      </c>
      <c r="E219">
        <v>328.89465324999998</v>
      </c>
      <c r="F219">
        <v>6.5293504999999996</v>
      </c>
      <c r="G219">
        <v>332.69336724999999</v>
      </c>
      <c r="H219">
        <v>-8</v>
      </c>
      <c r="I219">
        <v>-4</v>
      </c>
      <c r="J219">
        <v>1.18</v>
      </c>
      <c r="K219">
        <v>23.512123750000001</v>
      </c>
      <c r="L219">
        <v>0.20797845261862871</v>
      </c>
      <c r="M219">
        <v>-0.64205503539037445</v>
      </c>
      <c r="N219">
        <v>-2.144835154689247E-2</v>
      </c>
      <c r="O219">
        <v>0.81945794902682267</v>
      </c>
    </row>
    <row r="220" spans="1:15" x14ac:dyDescent="0.25">
      <c r="A220">
        <v>181.54442624999999</v>
      </c>
      <c r="B220">
        <v>131.51848625</v>
      </c>
      <c r="C220">
        <v>200.64205949999999</v>
      </c>
      <c r="D220">
        <v>241.81351475</v>
      </c>
      <c r="E220">
        <v>327.41938775</v>
      </c>
      <c r="F220">
        <v>6.4318974999999998</v>
      </c>
      <c r="G220">
        <v>330.61278549999997</v>
      </c>
      <c r="H220">
        <v>-8</v>
      </c>
      <c r="I220">
        <v>0</v>
      </c>
      <c r="J220">
        <v>1.18</v>
      </c>
      <c r="K220">
        <v>23.44049</v>
      </c>
      <c r="L220">
        <v>-0.1116886552893364</v>
      </c>
      <c r="M220">
        <v>-0.64524107151847609</v>
      </c>
      <c r="N220">
        <v>-1.8706796074411169E-2</v>
      </c>
      <c r="O220">
        <v>0.8785393679493505</v>
      </c>
    </row>
    <row r="221" spans="1:15" x14ac:dyDescent="0.25">
      <c r="A221">
        <v>138.68326175000001</v>
      </c>
      <c r="B221">
        <v>126.13271924999999</v>
      </c>
      <c r="C221">
        <v>211.75135424999999</v>
      </c>
      <c r="D221">
        <v>222.15831</v>
      </c>
      <c r="E221">
        <v>302.78694200000001</v>
      </c>
      <c r="F221">
        <v>5.6522722500000002</v>
      </c>
      <c r="G221">
        <v>306.08590700000002</v>
      </c>
      <c r="H221">
        <v>-8</v>
      </c>
      <c r="I221">
        <v>4</v>
      </c>
      <c r="J221">
        <v>1.18</v>
      </c>
      <c r="K221">
        <v>22.565658500000001</v>
      </c>
      <c r="L221">
        <v>-0.42888548109768238</v>
      </c>
      <c r="M221">
        <v>-0.56359911367347792</v>
      </c>
      <c r="N221">
        <v>-1.9400231327816361E-2</v>
      </c>
      <c r="O221">
        <v>0.74398883969607665</v>
      </c>
    </row>
    <row r="222" spans="1:15" x14ac:dyDescent="0.25">
      <c r="A222">
        <v>100.749033</v>
      </c>
      <c r="B222">
        <v>118.5830345</v>
      </c>
      <c r="C222">
        <v>218.46567525</v>
      </c>
      <c r="D222">
        <v>202.22500600000001</v>
      </c>
      <c r="E222">
        <v>277.88626049999999</v>
      </c>
      <c r="F222">
        <v>5.4565982499999999</v>
      </c>
      <c r="G222">
        <v>285.20004299999999</v>
      </c>
      <c r="H222">
        <v>-8</v>
      </c>
      <c r="I222">
        <v>8</v>
      </c>
      <c r="J222">
        <v>1.18</v>
      </c>
      <c r="K222">
        <v>21.774769249999999</v>
      </c>
      <c r="L222">
        <v>-0.699797725267299</v>
      </c>
      <c r="M222">
        <v>-0.49721172653647111</v>
      </c>
      <c r="N222">
        <v>-4.3498769629893609E-2</v>
      </c>
      <c r="O222">
        <v>0.61951708633396507</v>
      </c>
    </row>
    <row r="223" spans="1:15" x14ac:dyDescent="0.25">
      <c r="A223">
        <v>65.306781999999998</v>
      </c>
      <c r="B223">
        <v>103.38748</v>
      </c>
      <c r="C223">
        <v>223.97470874999999</v>
      </c>
      <c r="D223">
        <v>182.09576050000001</v>
      </c>
      <c r="E223">
        <v>253.030281</v>
      </c>
      <c r="F223">
        <v>4.72613225</v>
      </c>
      <c r="G223">
        <v>269.75570699999997</v>
      </c>
      <c r="H223">
        <v>-8</v>
      </c>
      <c r="I223">
        <v>12</v>
      </c>
      <c r="J223">
        <v>1.18</v>
      </c>
      <c r="K223">
        <v>21.194395750000002</v>
      </c>
      <c r="L223">
        <v>-0.94063684012807702</v>
      </c>
      <c r="M223">
        <v>-0.46661980942915232</v>
      </c>
      <c r="N223">
        <v>-9.9183029964334132E-2</v>
      </c>
      <c r="O223">
        <v>0.4720354649566682</v>
      </c>
    </row>
    <row r="224" spans="1:15" x14ac:dyDescent="0.25">
      <c r="A224">
        <v>33.666712750000002</v>
      </c>
      <c r="B224">
        <v>91.269504499999996</v>
      </c>
      <c r="C224">
        <v>242.35327150000001</v>
      </c>
      <c r="D224">
        <v>172.97120674999999</v>
      </c>
      <c r="E224">
        <v>240.64700325000001</v>
      </c>
      <c r="F224">
        <v>5.1162805000000002</v>
      </c>
      <c r="G224">
        <v>275.79740900000002</v>
      </c>
      <c r="H224">
        <v>-8</v>
      </c>
      <c r="I224">
        <v>16</v>
      </c>
      <c r="J224">
        <v>1.18</v>
      </c>
      <c r="K224">
        <v>21.41916475</v>
      </c>
      <c r="L224">
        <v>-1.1712340457995809</v>
      </c>
      <c r="M224">
        <v>-0.45853240668922579</v>
      </c>
      <c r="N224">
        <v>-0.1973013220964234</v>
      </c>
      <c r="O224">
        <v>0.3218790801942451</v>
      </c>
    </row>
    <row r="225" spans="1:15" x14ac:dyDescent="0.25">
      <c r="A225">
        <v>-6.5764265000000002</v>
      </c>
      <c r="B225">
        <v>74.198545499999994</v>
      </c>
      <c r="C225">
        <v>272.12905875000001</v>
      </c>
      <c r="D225">
        <v>168.02042</v>
      </c>
      <c r="E225">
        <v>230.76720825000001</v>
      </c>
      <c r="F225">
        <v>5.5548192500000004</v>
      </c>
      <c r="G225">
        <v>294.16255949999999</v>
      </c>
      <c r="H225">
        <v>-8</v>
      </c>
      <c r="I225">
        <v>20</v>
      </c>
      <c r="J225">
        <v>1.18</v>
      </c>
      <c r="K225">
        <v>22.11707625</v>
      </c>
      <c r="L225">
        <v>-1.4150618132373829</v>
      </c>
      <c r="M225">
        <v>-0.47636764648377078</v>
      </c>
      <c r="N225">
        <v>-0.32188820664428158</v>
      </c>
      <c r="O225">
        <v>0.14346978684337769</v>
      </c>
    </row>
    <row r="226" spans="1:15" x14ac:dyDescent="0.25">
      <c r="A226">
        <v>-55.719453999999999</v>
      </c>
      <c r="B226">
        <v>47.510151999999998</v>
      </c>
      <c r="C226">
        <v>297.26331325000001</v>
      </c>
      <c r="D226">
        <v>156.50772850000001</v>
      </c>
      <c r="E226">
        <v>206.85002524999999</v>
      </c>
      <c r="F226">
        <v>5.7984522500000004</v>
      </c>
      <c r="G226">
        <v>310.28707874999998</v>
      </c>
      <c r="H226">
        <v>-8</v>
      </c>
      <c r="I226">
        <v>24</v>
      </c>
      <c r="J226">
        <v>1.18</v>
      </c>
      <c r="K226">
        <v>22.7174315</v>
      </c>
      <c r="L226">
        <v>-1.6732829151909789</v>
      </c>
      <c r="M226">
        <v>-0.51669336057802973</v>
      </c>
      <c r="N226">
        <v>-0.49034914641598482</v>
      </c>
      <c r="O226">
        <v>-4.6953194640768858E-2</v>
      </c>
    </row>
    <row r="227" spans="1:15" x14ac:dyDescent="0.25">
      <c r="A227">
        <v>-109.8623755</v>
      </c>
      <c r="B227">
        <v>13.897200249999999</v>
      </c>
      <c r="C227">
        <v>318.21231074999997</v>
      </c>
      <c r="D227">
        <v>138.18428449999999</v>
      </c>
      <c r="E227">
        <v>167.68844999999999</v>
      </c>
      <c r="F227">
        <v>6.0412202500000003</v>
      </c>
      <c r="G227">
        <v>326.01149724999999</v>
      </c>
      <c r="H227">
        <v>-8</v>
      </c>
      <c r="I227">
        <v>28</v>
      </c>
      <c r="J227">
        <v>1.18</v>
      </c>
      <c r="K227">
        <v>23.287812750000001</v>
      </c>
      <c r="L227">
        <v>-1.984882449016826</v>
      </c>
      <c r="M227">
        <v>-0.5762739115738793</v>
      </c>
      <c r="N227">
        <v>-0.73414273892324688</v>
      </c>
      <c r="O227">
        <v>-0.25047722706764358</v>
      </c>
    </row>
    <row r="228" spans="1:15" x14ac:dyDescent="0.25">
      <c r="A228">
        <v>-167.78898624999999</v>
      </c>
      <c r="B228">
        <v>-29.603681999999999</v>
      </c>
      <c r="C228">
        <v>333.99722300000002</v>
      </c>
      <c r="D228">
        <v>111.28338075000001</v>
      </c>
      <c r="E228">
        <v>111.40486525</v>
      </c>
      <c r="F228">
        <v>6.3344445</v>
      </c>
      <c r="G228">
        <v>338.61502849999999</v>
      </c>
      <c r="H228">
        <v>-8</v>
      </c>
      <c r="I228">
        <v>32</v>
      </c>
      <c r="J228">
        <v>1.18</v>
      </c>
      <c r="K228">
        <v>23.73156225</v>
      </c>
      <c r="L228">
        <v>-2.38831464139311</v>
      </c>
      <c r="M228">
        <v>-0.67056651791336552</v>
      </c>
      <c r="N228">
        <v>-1.081443369629441</v>
      </c>
      <c r="O228">
        <v>-0.49990801368543952</v>
      </c>
    </row>
    <row r="229" spans="1:15" x14ac:dyDescent="0.25">
      <c r="A229">
        <v>-203.59899125000001</v>
      </c>
      <c r="B229">
        <v>-67.268014750000006</v>
      </c>
      <c r="C229">
        <v>311.73384099999998</v>
      </c>
      <c r="D229">
        <v>69.666099750000001</v>
      </c>
      <c r="E229">
        <v>40.055695499999999</v>
      </c>
      <c r="F229">
        <v>5.7984520000000002</v>
      </c>
      <c r="G229">
        <v>316.00868250000002</v>
      </c>
      <c r="H229">
        <v>-8</v>
      </c>
      <c r="I229">
        <v>36</v>
      </c>
      <c r="J229">
        <v>1.18</v>
      </c>
      <c r="K229">
        <v>22.92986325</v>
      </c>
      <c r="L229">
        <v>-2.9367019044639719</v>
      </c>
      <c r="M229">
        <v>-0.780231823252996</v>
      </c>
      <c r="N229">
        <v>-1.5726295274882149</v>
      </c>
      <c r="O229">
        <v>-0.80481053852068873</v>
      </c>
    </row>
    <row r="230" spans="1:15" x14ac:dyDescent="0.25">
      <c r="A230">
        <v>-233.37308874999999</v>
      </c>
      <c r="B230">
        <v>-100.086361</v>
      </c>
      <c r="C230">
        <v>289.94081875000001</v>
      </c>
      <c r="D230">
        <v>29.401828500000001</v>
      </c>
      <c r="E230">
        <v>-29.748746000000001</v>
      </c>
      <c r="F230">
        <v>5.3599130000000006</v>
      </c>
      <c r="G230">
        <v>295.08281699999998</v>
      </c>
      <c r="H230">
        <v>-8</v>
      </c>
      <c r="I230">
        <v>40</v>
      </c>
      <c r="J230">
        <v>1.18</v>
      </c>
      <c r="K230">
        <v>22.159744750000002</v>
      </c>
      <c r="L230">
        <v>-3.821136653570703</v>
      </c>
      <c r="M230">
        <v>-0.94533009639305599</v>
      </c>
      <c r="N230">
        <v>-2.3721354444454308</v>
      </c>
      <c r="O230">
        <v>-1.2564892398453831</v>
      </c>
    </row>
    <row r="231" spans="1:15" x14ac:dyDescent="0.25">
      <c r="A231">
        <v>-253.6879385</v>
      </c>
      <c r="B231">
        <v>-132.37692250000001</v>
      </c>
      <c r="C231">
        <v>267.72105399999998</v>
      </c>
      <c r="D231">
        <v>-4.7640367500000007</v>
      </c>
      <c r="E231">
        <v>-94.1969165</v>
      </c>
      <c r="F231">
        <v>4.9701005</v>
      </c>
      <c r="G231">
        <v>276.27752650000002</v>
      </c>
      <c r="H231">
        <v>-8</v>
      </c>
      <c r="I231">
        <v>44</v>
      </c>
      <c r="J231">
        <v>1.18</v>
      </c>
      <c r="K231">
        <v>21.443935249999999</v>
      </c>
      <c r="L231">
        <v>-5.2786527872096887</v>
      </c>
      <c r="M231">
        <v>-1.2912331527198571</v>
      </c>
      <c r="N231">
        <v>-3.751090354437979</v>
      </c>
      <c r="O231">
        <v>-2.0043385435672572</v>
      </c>
    </row>
    <row r="232" spans="1:15" x14ac:dyDescent="0.25">
      <c r="A232">
        <v>270.68712599999998</v>
      </c>
      <c r="B232">
        <v>-94.904517999999996</v>
      </c>
      <c r="C232">
        <v>-254.87703325000001</v>
      </c>
      <c r="D232">
        <v>-3.4528337499999999</v>
      </c>
      <c r="E232">
        <v>2.1011574999999998</v>
      </c>
      <c r="F232">
        <v>5.0675537500000001</v>
      </c>
      <c r="G232">
        <v>275.51731849999999</v>
      </c>
      <c r="H232">
        <v>-4</v>
      </c>
      <c r="I232">
        <v>-44</v>
      </c>
      <c r="J232">
        <v>1.18</v>
      </c>
      <c r="K232">
        <v>21.409997499999999</v>
      </c>
      <c r="L232">
        <v>2.9694320134498291</v>
      </c>
      <c r="M232">
        <v>-0.51670200845171965</v>
      </c>
      <c r="N232">
        <v>-1.5448257825892839</v>
      </c>
      <c r="O232">
        <v>-1.0167694098516959</v>
      </c>
    </row>
    <row r="233" spans="1:15" x14ac:dyDescent="0.25">
      <c r="A233">
        <v>291.42776474999999</v>
      </c>
      <c r="B233">
        <v>-59.303327500000002</v>
      </c>
      <c r="C233">
        <v>-229.12321474999999</v>
      </c>
      <c r="D233">
        <v>31.546884250000002</v>
      </c>
      <c r="E233">
        <v>58.250628249999998</v>
      </c>
      <c r="F233">
        <v>5.7497255000000003</v>
      </c>
      <c r="G233">
        <v>292.88219425</v>
      </c>
      <c r="H233">
        <v>-4</v>
      </c>
      <c r="I233">
        <v>-40</v>
      </c>
      <c r="J233">
        <v>1.18</v>
      </c>
      <c r="K233">
        <v>22.060471750000001</v>
      </c>
      <c r="L233">
        <v>2.571112212475025</v>
      </c>
      <c r="M233">
        <v>-0.44871469849373069</v>
      </c>
      <c r="N233">
        <v>-1.1589146416871701</v>
      </c>
      <c r="O233">
        <v>-0.74069560191662664</v>
      </c>
    </row>
    <row r="234" spans="1:15" x14ac:dyDescent="0.25">
      <c r="A234">
        <v>308.44049825000002</v>
      </c>
      <c r="B234">
        <v>-21.207176</v>
      </c>
      <c r="C234">
        <v>-195.43129725</v>
      </c>
      <c r="D234">
        <v>66.686759999999992</v>
      </c>
      <c r="E234">
        <v>114.75773624999999</v>
      </c>
      <c r="F234">
        <v>5.8959054999999996</v>
      </c>
      <c r="G234">
        <v>309.20677949999998</v>
      </c>
      <c r="H234">
        <v>-4</v>
      </c>
      <c r="I234">
        <v>-36</v>
      </c>
      <c r="J234">
        <v>1.18</v>
      </c>
      <c r="K234">
        <v>22.673458750000002</v>
      </c>
      <c r="L234">
        <v>2.2587793730804608</v>
      </c>
      <c r="M234">
        <v>-0.39397458922168688</v>
      </c>
      <c r="N234">
        <v>-0.87171627926963091</v>
      </c>
      <c r="O234">
        <v>-0.51200847874212041</v>
      </c>
    </row>
    <row r="235" spans="1:15" x14ac:dyDescent="0.25">
      <c r="A235">
        <v>320.68773650000003</v>
      </c>
      <c r="B235">
        <v>20.917931249999999</v>
      </c>
      <c r="C235">
        <v>-148.29866050000001</v>
      </c>
      <c r="D235">
        <v>102.884525</v>
      </c>
      <c r="E235">
        <v>174.79654675</v>
      </c>
      <c r="F235">
        <v>6.1395379999999999</v>
      </c>
      <c r="G235">
        <v>324.99009675000002</v>
      </c>
      <c r="H235">
        <v>-4</v>
      </c>
      <c r="I235">
        <v>-32</v>
      </c>
      <c r="J235">
        <v>1.18</v>
      </c>
      <c r="K235">
        <v>23.24702125</v>
      </c>
      <c r="L235">
        <v>1.966557475028452</v>
      </c>
      <c r="M235">
        <v>-0.34369296080029488</v>
      </c>
      <c r="N235">
        <v>-0.62981831765225649</v>
      </c>
      <c r="O235">
        <v>-0.29282205468613842</v>
      </c>
    </row>
    <row r="236" spans="1:15" x14ac:dyDescent="0.25">
      <c r="A236">
        <v>327.86643199999997</v>
      </c>
      <c r="B236">
        <v>59.86856375</v>
      </c>
      <c r="C236">
        <v>-101.34643575</v>
      </c>
      <c r="D236">
        <v>133.99526599999999</v>
      </c>
      <c r="E236">
        <v>226.11786674999999</v>
      </c>
      <c r="F236">
        <v>6.3344447500000003</v>
      </c>
      <c r="G236">
        <v>337.03415675000002</v>
      </c>
      <c r="H236">
        <v>-4</v>
      </c>
      <c r="I236">
        <v>-28</v>
      </c>
      <c r="J236">
        <v>1.18</v>
      </c>
      <c r="K236">
        <v>23.675045999999998</v>
      </c>
      <c r="L236">
        <v>1.7387284414643931</v>
      </c>
      <c r="M236">
        <v>-0.30027585979371318</v>
      </c>
      <c r="N236">
        <v>-0.44932717833201979</v>
      </c>
      <c r="O236">
        <v>-0.1096775938359426</v>
      </c>
    </row>
    <row r="237" spans="1:15" x14ac:dyDescent="0.25">
      <c r="A237">
        <v>302.31755824999999</v>
      </c>
      <c r="B237">
        <v>86.172258499999998</v>
      </c>
      <c r="C237">
        <v>-48.485720749999999</v>
      </c>
      <c r="D237">
        <v>148.80572874999999</v>
      </c>
      <c r="E237">
        <v>248.96213524999999</v>
      </c>
      <c r="F237">
        <v>5.8959052500000002</v>
      </c>
      <c r="G237">
        <v>318.98507699999999</v>
      </c>
      <c r="H237">
        <v>-4</v>
      </c>
      <c r="I237">
        <v>-24</v>
      </c>
      <c r="J237">
        <v>1.18</v>
      </c>
      <c r="K237">
        <v>23.036029500000001</v>
      </c>
      <c r="L237">
        <v>1.52448610202669</v>
      </c>
      <c r="M237">
        <v>-0.27218069191323557</v>
      </c>
      <c r="N237">
        <v>-0.30431255636658749</v>
      </c>
      <c r="O237">
        <v>5.6268219028509057E-2</v>
      </c>
    </row>
    <row r="238" spans="1:15" x14ac:dyDescent="0.25">
      <c r="A238">
        <v>269.08029950000002</v>
      </c>
      <c r="B238">
        <v>102.4738195</v>
      </c>
      <c r="C238">
        <v>-2.3002530000000001</v>
      </c>
      <c r="D238">
        <v>156.71696474999999</v>
      </c>
      <c r="E238">
        <v>257.5007895</v>
      </c>
      <c r="F238">
        <v>5.6035455000000001</v>
      </c>
      <c r="G238">
        <v>296.57486725000001</v>
      </c>
      <c r="H238">
        <v>-4</v>
      </c>
      <c r="I238">
        <v>-20</v>
      </c>
      <c r="J238">
        <v>1.18</v>
      </c>
      <c r="K238">
        <v>22.2074395</v>
      </c>
      <c r="L238">
        <v>1.308414041476847</v>
      </c>
      <c r="M238">
        <v>-0.26150486686936281</v>
      </c>
      <c r="N238">
        <v>-0.188396883780344</v>
      </c>
      <c r="O238">
        <v>0.2144613861547631</v>
      </c>
    </row>
    <row r="239" spans="1:15" x14ac:dyDescent="0.25">
      <c r="A239">
        <v>239.41244900000001</v>
      </c>
      <c r="B239">
        <v>113.6781405</v>
      </c>
      <c r="C239">
        <v>37.439390250000002</v>
      </c>
      <c r="D239">
        <v>161.6237945</v>
      </c>
      <c r="E239">
        <v>258.52899925000003</v>
      </c>
      <c r="F239">
        <v>5.0675537500000001</v>
      </c>
      <c r="G239">
        <v>278.56669625000001</v>
      </c>
      <c r="H239">
        <v>-4</v>
      </c>
      <c r="I239">
        <v>-16</v>
      </c>
      <c r="J239">
        <v>1.18</v>
      </c>
      <c r="K239">
        <v>21.53037775</v>
      </c>
      <c r="L239">
        <v>1.103855561503204</v>
      </c>
      <c r="M239">
        <v>-0.26204666336179272</v>
      </c>
      <c r="N239">
        <v>-0.10951557131448381</v>
      </c>
      <c r="O239">
        <v>0.38526288479301701</v>
      </c>
    </row>
    <row r="240" spans="1:15" x14ac:dyDescent="0.25">
      <c r="A240">
        <v>211.52233100000001</v>
      </c>
      <c r="B240">
        <v>120.36225899999999</v>
      </c>
      <c r="C240">
        <v>74.517494249999999</v>
      </c>
      <c r="D240">
        <v>163.1341975</v>
      </c>
      <c r="E240">
        <v>255.93611125000001</v>
      </c>
      <c r="F240">
        <v>4.8726475000000002</v>
      </c>
      <c r="G240">
        <v>264.86507399999999</v>
      </c>
      <c r="H240">
        <v>-4</v>
      </c>
      <c r="I240">
        <v>-12</v>
      </c>
      <c r="J240">
        <v>1.18</v>
      </c>
      <c r="K240">
        <v>20.992014999999999</v>
      </c>
      <c r="L240">
        <v>0.86442630084167205</v>
      </c>
      <c r="M240">
        <v>-0.26986285188673159</v>
      </c>
      <c r="N240">
        <v>-5.6345129361138141E-2</v>
      </c>
      <c r="O240">
        <v>0.58403857607233256</v>
      </c>
    </row>
    <row r="241" spans="1:15" x14ac:dyDescent="0.25">
      <c r="A241">
        <v>204.79805375000001</v>
      </c>
      <c r="B241">
        <v>136.1829415</v>
      </c>
      <c r="C241">
        <v>115.47954</v>
      </c>
      <c r="D241">
        <v>179.32397850000001</v>
      </c>
      <c r="E241">
        <v>278.91445874999999</v>
      </c>
      <c r="F241">
        <v>5.0675540000000003</v>
      </c>
      <c r="G241">
        <v>281.3516085</v>
      </c>
      <c r="H241">
        <v>-4</v>
      </c>
      <c r="I241">
        <v>-8</v>
      </c>
      <c r="J241">
        <v>1.18</v>
      </c>
      <c r="K241">
        <v>21.63971175</v>
      </c>
      <c r="L241">
        <v>0.58346187360012658</v>
      </c>
      <c r="M241">
        <v>-0.28181706208757529</v>
      </c>
      <c r="N241">
        <v>-1.5918971313885841E-2</v>
      </c>
      <c r="O241">
        <v>0.7888770076134427</v>
      </c>
    </row>
    <row r="242" spans="1:15" x14ac:dyDescent="0.25">
      <c r="A242">
        <v>195.05002225000001</v>
      </c>
      <c r="B242">
        <v>149.0703125</v>
      </c>
      <c r="C242">
        <v>155.26737224999999</v>
      </c>
      <c r="D242">
        <v>193.35628525000001</v>
      </c>
      <c r="E242">
        <v>298.85289775000001</v>
      </c>
      <c r="F242">
        <v>5.4573660000000004</v>
      </c>
      <c r="G242">
        <v>299.29608925000002</v>
      </c>
      <c r="H242">
        <v>-4</v>
      </c>
      <c r="I242">
        <v>-4</v>
      </c>
      <c r="J242">
        <v>1.18</v>
      </c>
      <c r="K242">
        <v>22.316607749999999</v>
      </c>
      <c r="L242">
        <v>0.27120259356795662</v>
      </c>
      <c r="M242">
        <v>-0.30191395375727381</v>
      </c>
      <c r="N242">
        <v>-3.0168040851238668E-3</v>
      </c>
      <c r="O242">
        <v>1.00019842301754</v>
      </c>
    </row>
    <row r="243" spans="1:15" x14ac:dyDescent="0.25">
      <c r="A243">
        <v>177.03176500000001</v>
      </c>
      <c r="B243">
        <v>159.1686325</v>
      </c>
      <c r="C243">
        <v>194.19712425</v>
      </c>
      <c r="D243">
        <v>205.58075725</v>
      </c>
      <c r="E243">
        <v>315.88550600000002</v>
      </c>
      <c r="F243">
        <v>5.9933585000000003</v>
      </c>
      <c r="G243">
        <v>315.86698174999998</v>
      </c>
      <c r="H243">
        <v>-4</v>
      </c>
      <c r="I243">
        <v>0</v>
      </c>
      <c r="J243">
        <v>1.18</v>
      </c>
      <c r="K243">
        <v>22.917437</v>
      </c>
      <c r="L243">
        <v>-0.116115846826517</v>
      </c>
      <c r="M243">
        <v>-0.31399736733812622</v>
      </c>
      <c r="N243">
        <v>6.8021913901758867E-5</v>
      </c>
      <c r="O243">
        <v>1.097038413736569</v>
      </c>
    </row>
    <row r="244" spans="1:15" x14ac:dyDescent="0.25">
      <c r="A244">
        <v>152.26719299999999</v>
      </c>
      <c r="B244">
        <v>167.29536074999999</v>
      </c>
      <c r="C244">
        <v>229.42358024999999</v>
      </c>
      <c r="D244">
        <v>212.64847549999999</v>
      </c>
      <c r="E244">
        <v>328.089966</v>
      </c>
      <c r="F244">
        <v>6.2857177499999999</v>
      </c>
      <c r="G244">
        <v>329.46982550000001</v>
      </c>
      <c r="H244">
        <v>-4</v>
      </c>
      <c r="I244">
        <v>4</v>
      </c>
      <c r="J244">
        <v>1.18</v>
      </c>
      <c r="K244">
        <v>23.40447275</v>
      </c>
      <c r="L244">
        <v>-0.45842765719211509</v>
      </c>
      <c r="M244">
        <v>-0.26945621634736172</v>
      </c>
      <c r="N244">
        <v>-8.2220827106389924E-3</v>
      </c>
      <c r="O244">
        <v>0.91202694284344143</v>
      </c>
    </row>
    <row r="245" spans="1:15" x14ac:dyDescent="0.25">
      <c r="A245">
        <v>118.05902475000001</v>
      </c>
      <c r="B245">
        <v>167.968582</v>
      </c>
      <c r="C245">
        <v>258.50798800000001</v>
      </c>
      <c r="D245">
        <v>210.80812850000001</v>
      </c>
      <c r="E245">
        <v>330.41461950000001</v>
      </c>
      <c r="F245">
        <v>6.5293504999999996</v>
      </c>
      <c r="G245">
        <v>336.15380875</v>
      </c>
      <c r="H245">
        <v>-4</v>
      </c>
      <c r="I245">
        <v>8</v>
      </c>
      <c r="J245">
        <v>1.18</v>
      </c>
      <c r="K245">
        <v>23.636485</v>
      </c>
      <c r="L245">
        <v>-0.74945757956171377</v>
      </c>
      <c r="M245">
        <v>-0.22856659821606759</v>
      </c>
      <c r="N245">
        <v>-3.0626327546154599E-2</v>
      </c>
      <c r="O245">
        <v>0.7283414175155718</v>
      </c>
    </row>
    <row r="246" spans="1:15" x14ac:dyDescent="0.25">
      <c r="A246">
        <v>72.022096500000004</v>
      </c>
      <c r="B246">
        <v>145.8484765</v>
      </c>
      <c r="C246">
        <v>258.46282174999999</v>
      </c>
      <c r="D246">
        <v>183.54168325000001</v>
      </c>
      <c r="E246">
        <v>295.50002325000003</v>
      </c>
      <c r="F246">
        <v>5.8471787499999994</v>
      </c>
      <c r="G246">
        <v>309.34066775000002</v>
      </c>
      <c r="H246">
        <v>-4</v>
      </c>
      <c r="I246">
        <v>12</v>
      </c>
      <c r="J246">
        <v>1.18</v>
      </c>
      <c r="K246">
        <v>22.680257999999998</v>
      </c>
      <c r="L246">
        <v>-0.99932883615805723</v>
      </c>
      <c r="M246">
        <v>-0.20203603691270239</v>
      </c>
      <c r="N246">
        <v>-7.420404696090048E-2</v>
      </c>
      <c r="O246">
        <v>0.55257549737603506</v>
      </c>
    </row>
    <row r="247" spans="1:15" x14ac:dyDescent="0.25">
      <c r="A247">
        <v>29.605053999999999</v>
      </c>
      <c r="B247">
        <v>120.08209625000001</v>
      </c>
      <c r="C247">
        <v>256.06922900000001</v>
      </c>
      <c r="D247">
        <v>157.90978250000001</v>
      </c>
      <c r="E247">
        <v>256.20434575000002</v>
      </c>
      <c r="F247">
        <v>5.2137335</v>
      </c>
      <c r="G247">
        <v>288.31437675000001</v>
      </c>
      <c r="H247">
        <v>-4</v>
      </c>
      <c r="I247">
        <v>16</v>
      </c>
      <c r="J247">
        <v>1.18</v>
      </c>
      <c r="K247">
        <v>21.905038749999999</v>
      </c>
      <c r="L247">
        <v>-1.248678040880985</v>
      </c>
      <c r="M247">
        <v>-0.20859309889497701</v>
      </c>
      <c r="N247">
        <v>-0.1770642403438403</v>
      </c>
      <c r="O247">
        <v>0.38394213172451541</v>
      </c>
    </row>
    <row r="248" spans="1:15" x14ac:dyDescent="0.25">
      <c r="A248">
        <v>-9.0088042500000007</v>
      </c>
      <c r="B248">
        <v>94.779869000000005</v>
      </c>
      <c r="C248">
        <v>253.81113024999999</v>
      </c>
      <c r="D248">
        <v>133.29417799999999</v>
      </c>
      <c r="E248">
        <v>219.1438905</v>
      </c>
      <c r="F248">
        <v>5.2137332500000007</v>
      </c>
      <c r="G248">
        <v>273.08414475000001</v>
      </c>
      <c r="H248">
        <v>-4</v>
      </c>
      <c r="I248">
        <v>20</v>
      </c>
      <c r="J248">
        <v>1.18</v>
      </c>
      <c r="K248">
        <v>21.307678750000001</v>
      </c>
      <c r="L248">
        <v>-1.4911159105730321</v>
      </c>
      <c r="M248">
        <v>-0.21850991720147259</v>
      </c>
      <c r="N248">
        <v>-0.30605808800350759</v>
      </c>
      <c r="O248">
        <v>0.21373218786435999</v>
      </c>
    </row>
    <row r="249" spans="1:15" x14ac:dyDescent="0.25">
      <c r="A249">
        <v>-49.052941250000003</v>
      </c>
      <c r="B249">
        <v>70.880529249999995</v>
      </c>
      <c r="C249">
        <v>259.09509274999999</v>
      </c>
      <c r="D249">
        <v>110.68411999999999</v>
      </c>
      <c r="E249">
        <v>183.37990199999999</v>
      </c>
      <c r="F249">
        <v>4.8726479999999999</v>
      </c>
      <c r="G249">
        <v>268.65778325000002</v>
      </c>
      <c r="H249">
        <v>-4</v>
      </c>
      <c r="I249">
        <v>24</v>
      </c>
      <c r="J249">
        <v>1.18</v>
      </c>
      <c r="K249">
        <v>21.144563250000001</v>
      </c>
      <c r="L249">
        <v>-1.7867332525331541</v>
      </c>
      <c r="M249">
        <v>-0.23078806775313371</v>
      </c>
      <c r="N249">
        <v>-0.49448542123915029</v>
      </c>
      <c r="O249">
        <v>3.5034309329042009E-2</v>
      </c>
    </row>
    <row r="250" spans="1:15" x14ac:dyDescent="0.25">
      <c r="A250">
        <v>-96.033857249999997</v>
      </c>
      <c r="B250">
        <v>48.231458750000002</v>
      </c>
      <c r="C250">
        <v>282.17294325</v>
      </c>
      <c r="D250">
        <v>90.615499249999999</v>
      </c>
      <c r="E250">
        <v>151.28171925000001</v>
      </c>
      <c r="F250">
        <v>5.4573660000000004</v>
      </c>
      <c r="G250">
        <v>287.95432275000002</v>
      </c>
      <c r="H250">
        <v>-4</v>
      </c>
      <c r="I250">
        <v>28</v>
      </c>
      <c r="J250">
        <v>1.18</v>
      </c>
      <c r="K250">
        <v>21.881667749999998</v>
      </c>
      <c r="L250">
        <v>-2.158953512480458</v>
      </c>
      <c r="M250">
        <v>-0.24194612513968591</v>
      </c>
      <c r="N250">
        <v>-0.78019284764870922</v>
      </c>
      <c r="O250">
        <v>-0.16759431271809891</v>
      </c>
    </row>
    <row r="251" spans="1:15" x14ac:dyDescent="0.25">
      <c r="A251">
        <v>-149.18580625000001</v>
      </c>
      <c r="B251">
        <v>18.083320000000001</v>
      </c>
      <c r="C251">
        <v>302.857193</v>
      </c>
      <c r="D251">
        <v>64.280912499999999</v>
      </c>
      <c r="E251">
        <v>105.05675475</v>
      </c>
      <c r="F251">
        <v>5.9446317500000001</v>
      </c>
      <c r="G251">
        <v>306.05913525</v>
      </c>
      <c r="H251">
        <v>-4</v>
      </c>
      <c r="I251">
        <v>32</v>
      </c>
      <c r="J251">
        <v>1.18</v>
      </c>
      <c r="K251">
        <v>22.553676750000001</v>
      </c>
      <c r="L251">
        <v>-2.649813289581215</v>
      </c>
      <c r="M251">
        <v>-0.2707363602349937</v>
      </c>
      <c r="N251">
        <v>-1.1783151856283001</v>
      </c>
      <c r="O251">
        <v>-0.41909590948938441</v>
      </c>
    </row>
    <row r="252" spans="1:15" x14ac:dyDescent="0.25">
      <c r="A252">
        <v>-205.31066125000001</v>
      </c>
      <c r="B252">
        <v>-17.895284499999999</v>
      </c>
      <c r="C252">
        <v>319.43170175</v>
      </c>
      <c r="D252">
        <v>30.541096</v>
      </c>
      <c r="E252">
        <v>44.570900000000002</v>
      </c>
      <c r="F252">
        <v>6.0908115</v>
      </c>
      <c r="G252">
        <v>321.12738024999999</v>
      </c>
      <c r="H252">
        <v>-4</v>
      </c>
      <c r="I252">
        <v>36</v>
      </c>
      <c r="J252">
        <v>1.18</v>
      </c>
      <c r="K252">
        <v>23.107572999999999</v>
      </c>
      <c r="L252">
        <v>-3.3601623477678202</v>
      </c>
      <c r="M252">
        <v>-0.31005029644098248</v>
      </c>
      <c r="N252">
        <v>-1.7709506531723329</v>
      </c>
      <c r="O252">
        <v>-0.75360874407918954</v>
      </c>
    </row>
    <row r="253" spans="1:15" x14ac:dyDescent="0.25">
      <c r="A253">
        <v>-263.32736199999999</v>
      </c>
      <c r="B253">
        <v>-63.272604000000001</v>
      </c>
      <c r="C253">
        <v>329.68350199999998</v>
      </c>
      <c r="D253">
        <v>-11.49487675</v>
      </c>
      <c r="E253">
        <v>-33.852018749999999</v>
      </c>
      <c r="F253">
        <v>6.1882647500000001</v>
      </c>
      <c r="G253">
        <v>333.49103524999998</v>
      </c>
      <c r="H253">
        <v>-4</v>
      </c>
      <c r="I253">
        <v>40</v>
      </c>
      <c r="J253">
        <v>1.18</v>
      </c>
      <c r="K253">
        <v>23.553123249999999</v>
      </c>
      <c r="L253">
        <v>-4.5812054071092154</v>
      </c>
      <c r="M253">
        <v>-0.39997254235645541</v>
      </c>
      <c r="N253">
        <v>-2.837875993681743</v>
      </c>
      <c r="O253">
        <v>-1.3093312786569919</v>
      </c>
    </row>
    <row r="254" spans="1:15" x14ac:dyDescent="0.25">
      <c r="A254">
        <v>-298.14639249999999</v>
      </c>
      <c r="B254">
        <v>-103.62965375</v>
      </c>
      <c r="C254">
        <v>316.63164549999999</v>
      </c>
      <c r="D254">
        <v>-53.671900000000001</v>
      </c>
      <c r="E254">
        <v>-110.92222975</v>
      </c>
      <c r="F254">
        <v>6.0420850000000002</v>
      </c>
      <c r="G254">
        <v>325.63025675</v>
      </c>
      <c r="H254">
        <v>-4</v>
      </c>
      <c r="I254">
        <v>44</v>
      </c>
      <c r="J254">
        <v>1.18</v>
      </c>
      <c r="K254">
        <v>23.273885249999999</v>
      </c>
      <c r="L254">
        <v>-6.8357862925840038</v>
      </c>
      <c r="M254">
        <v>-0.55528715121996586</v>
      </c>
      <c r="N254">
        <v>-4.8545192427292116</v>
      </c>
      <c r="O254">
        <v>-2.300924239323936</v>
      </c>
    </row>
    <row r="255" spans="1:15" x14ac:dyDescent="0.25">
      <c r="A255">
        <v>290.84111799999999</v>
      </c>
      <c r="B255">
        <v>-55.601212250000003</v>
      </c>
      <c r="C255">
        <v>-272.91823599999998</v>
      </c>
      <c r="D255">
        <v>-45.149085249999999</v>
      </c>
      <c r="E255">
        <v>0.31325799999999998</v>
      </c>
      <c r="F255">
        <v>5.4573660000000004</v>
      </c>
      <c r="G255">
        <v>293.69363399999997</v>
      </c>
      <c r="H255">
        <v>0</v>
      </c>
      <c r="I255">
        <v>-44</v>
      </c>
      <c r="J255">
        <v>1.18</v>
      </c>
      <c r="K255">
        <v>22.102835500000001</v>
      </c>
      <c r="L255">
        <v>3.4256338138755731</v>
      </c>
      <c r="M255">
        <v>-6.3487359500111112E-2</v>
      </c>
      <c r="N255">
        <v>-1.7827099869117671</v>
      </c>
      <c r="O255">
        <v>-1.031269105729737</v>
      </c>
    </row>
    <row r="256" spans="1:15" x14ac:dyDescent="0.25">
      <c r="A256">
        <v>276.85185999999999</v>
      </c>
      <c r="B256">
        <v>-14.869669500000001</v>
      </c>
      <c r="C256">
        <v>-218.2083015</v>
      </c>
      <c r="D256">
        <v>-5.9878257499999998</v>
      </c>
      <c r="E256">
        <v>55.165981500000001</v>
      </c>
      <c r="F256">
        <v>5.0188269999999999</v>
      </c>
      <c r="G256">
        <v>277.98255949999998</v>
      </c>
      <c r="H256">
        <v>0</v>
      </c>
      <c r="I256">
        <v>-40</v>
      </c>
      <c r="J256">
        <v>1.18</v>
      </c>
      <c r="K256">
        <v>21.509293</v>
      </c>
      <c r="L256">
        <v>2.8832440718458638</v>
      </c>
      <c r="M256">
        <v>-5.1656779549401441E-2</v>
      </c>
      <c r="N256">
        <v>-1.2976857288888699</v>
      </c>
      <c r="O256">
        <v>-0.70793017072734588</v>
      </c>
    </row>
    <row r="257" spans="1:15" x14ac:dyDescent="0.25">
      <c r="A257">
        <v>265.4696505</v>
      </c>
      <c r="B257">
        <v>17.794743</v>
      </c>
      <c r="C257">
        <v>-166.88109224999999</v>
      </c>
      <c r="D257">
        <v>26.071664999999999</v>
      </c>
      <c r="E257">
        <v>99.602749000000003</v>
      </c>
      <c r="F257">
        <v>4.9701005</v>
      </c>
      <c r="G257">
        <v>265.7762985</v>
      </c>
      <c r="H257">
        <v>0</v>
      </c>
      <c r="I257">
        <v>-36</v>
      </c>
      <c r="J257">
        <v>1.18</v>
      </c>
      <c r="K257">
        <v>21.02483625</v>
      </c>
      <c r="L257">
        <v>2.4827592148832021</v>
      </c>
      <c r="M257">
        <v>-4.7483210619292213E-2</v>
      </c>
      <c r="N257">
        <v>-0.9542648621311618</v>
      </c>
      <c r="O257">
        <v>-0.45659175858274531</v>
      </c>
    </row>
    <row r="258" spans="1:15" x14ac:dyDescent="0.25">
      <c r="A258">
        <v>284.18098424999999</v>
      </c>
      <c r="B258">
        <v>53.2880495</v>
      </c>
      <c r="C258">
        <v>-131.24972525000001</v>
      </c>
      <c r="D258">
        <v>57.182406499999999</v>
      </c>
      <c r="E258">
        <v>153.38285099999999</v>
      </c>
      <c r="F258">
        <v>5.4086394999999996</v>
      </c>
      <c r="G258">
        <v>286.57714850000002</v>
      </c>
      <c r="H258">
        <v>0</v>
      </c>
      <c r="I258">
        <v>-32</v>
      </c>
      <c r="J258">
        <v>1.18</v>
      </c>
      <c r="K258">
        <v>21.830157</v>
      </c>
      <c r="L258">
        <v>2.1596091780879778</v>
      </c>
      <c r="M258">
        <v>-2.0248532920482371E-2</v>
      </c>
      <c r="N258">
        <v>-0.69240361786166316</v>
      </c>
      <c r="O258">
        <v>-0.23075473832464141</v>
      </c>
    </row>
    <row r="259" spans="1:15" x14ac:dyDescent="0.25">
      <c r="A259">
        <v>298.15162674999999</v>
      </c>
      <c r="B259">
        <v>87.428646000000001</v>
      </c>
      <c r="C259">
        <v>-90.521715</v>
      </c>
      <c r="D259">
        <v>88.424600749999996</v>
      </c>
      <c r="E259">
        <v>204.6147765</v>
      </c>
      <c r="F259">
        <v>5.7497257499999996</v>
      </c>
      <c r="G259">
        <v>304.89869700000003</v>
      </c>
      <c r="H259">
        <v>0</v>
      </c>
      <c r="I259">
        <v>-28</v>
      </c>
      <c r="J259">
        <v>1.18</v>
      </c>
      <c r="K259">
        <v>22.517359500000001</v>
      </c>
      <c r="L259">
        <v>1.8851954833735169</v>
      </c>
      <c r="M259">
        <v>-4.8102487612285087E-3</v>
      </c>
      <c r="N259">
        <v>-0.48643919165872801</v>
      </c>
      <c r="O259">
        <v>-3.5468151125274489E-2</v>
      </c>
    </row>
    <row r="260" spans="1:15" x14ac:dyDescent="0.25">
      <c r="A260">
        <v>303.92784899999998</v>
      </c>
      <c r="B260">
        <v>117.64596</v>
      </c>
      <c r="C260">
        <v>-47.673866250000003</v>
      </c>
      <c r="D260">
        <v>117.607355</v>
      </c>
      <c r="E260">
        <v>250.12446575000001</v>
      </c>
      <c r="F260">
        <v>6.0908115</v>
      </c>
      <c r="G260">
        <v>319.76398475000002</v>
      </c>
      <c r="H260">
        <v>0</v>
      </c>
      <c r="I260">
        <v>-24</v>
      </c>
      <c r="J260">
        <v>1.18</v>
      </c>
      <c r="K260">
        <v>23.057513</v>
      </c>
      <c r="L260">
        <v>1.6314539786005871</v>
      </c>
      <c r="M260">
        <v>1.8655334675162411E-4</v>
      </c>
      <c r="N260">
        <v>-0.32313396355290502</v>
      </c>
      <c r="O260">
        <v>0.13232042530345009</v>
      </c>
    </row>
    <row r="261" spans="1:15" x14ac:dyDescent="0.25">
      <c r="A261">
        <v>305.79807275000002</v>
      </c>
      <c r="B261">
        <v>146.407982</v>
      </c>
      <c r="C261">
        <v>-2.9767980000000001</v>
      </c>
      <c r="D261">
        <v>145.43175124999999</v>
      </c>
      <c r="E261">
        <v>289.68837774999997</v>
      </c>
      <c r="F261">
        <v>6.23699125</v>
      </c>
      <c r="G261">
        <v>333.57106025000002</v>
      </c>
      <c r="H261">
        <v>0</v>
      </c>
      <c r="I261">
        <v>-20</v>
      </c>
      <c r="J261">
        <v>1.18</v>
      </c>
      <c r="K261">
        <v>23.554259999999999</v>
      </c>
      <c r="L261">
        <v>1.412044238928517</v>
      </c>
      <c r="M261">
        <v>4.3890897042364371E-3</v>
      </c>
      <c r="N261">
        <v>-0.20070909270947029</v>
      </c>
      <c r="O261">
        <v>0.29621916645838459</v>
      </c>
    </row>
    <row r="262" spans="1:15" x14ac:dyDescent="0.25">
      <c r="A262">
        <v>282.6732025</v>
      </c>
      <c r="B262">
        <v>163.13457099999999</v>
      </c>
      <c r="C262">
        <v>43.400789000000003</v>
      </c>
      <c r="D262">
        <v>160.680397</v>
      </c>
      <c r="E262">
        <v>304.6645355</v>
      </c>
      <c r="F262">
        <v>6.0420850000000002</v>
      </c>
      <c r="G262">
        <v>327.04772150000002</v>
      </c>
      <c r="H262">
        <v>0</v>
      </c>
      <c r="I262">
        <v>-16</v>
      </c>
      <c r="J262">
        <v>1.18</v>
      </c>
      <c r="K262">
        <v>23.325429</v>
      </c>
      <c r="L262">
        <v>1.1808871370442231</v>
      </c>
      <c r="M262">
        <v>1.211092031911281E-2</v>
      </c>
      <c r="N262">
        <v>-0.1104798121330744</v>
      </c>
      <c r="O262">
        <v>0.47376991425704912</v>
      </c>
    </row>
    <row r="263" spans="1:15" x14ac:dyDescent="0.25">
      <c r="A263">
        <v>243.142269</v>
      </c>
      <c r="B263">
        <v>164.25215900000001</v>
      </c>
      <c r="C263">
        <v>82.601512999999997</v>
      </c>
      <c r="D263">
        <v>158.97149675</v>
      </c>
      <c r="E263">
        <v>292.81773375</v>
      </c>
      <c r="F263">
        <v>5.6035455000000001</v>
      </c>
      <c r="G263">
        <v>301.07439399999998</v>
      </c>
      <c r="H263">
        <v>0</v>
      </c>
      <c r="I263">
        <v>-12</v>
      </c>
      <c r="J263">
        <v>1.18</v>
      </c>
      <c r="K263">
        <v>22.378498749999999</v>
      </c>
      <c r="L263">
        <v>0.93318049819464999</v>
      </c>
      <c r="M263">
        <v>3.066109430940378E-2</v>
      </c>
      <c r="N263">
        <v>-4.7987933367340127E-2</v>
      </c>
      <c r="O263">
        <v>0.66962022299861013</v>
      </c>
    </row>
    <row r="264" spans="1:15" x14ac:dyDescent="0.25">
      <c r="A264">
        <v>209.1619225</v>
      </c>
      <c r="B264">
        <v>162.797867</v>
      </c>
      <c r="C264">
        <v>117.286028</v>
      </c>
      <c r="D264">
        <v>156.51768874999999</v>
      </c>
      <c r="E264">
        <v>282.35675774999999</v>
      </c>
      <c r="F264">
        <v>5.2624599999999999</v>
      </c>
      <c r="G264">
        <v>284.18573724999999</v>
      </c>
      <c r="H264">
        <v>0</v>
      </c>
      <c r="I264">
        <v>-8</v>
      </c>
      <c r="J264">
        <v>1.18</v>
      </c>
      <c r="K264">
        <v>21.742826999999998</v>
      </c>
      <c r="L264">
        <v>0.6316881314295264</v>
      </c>
      <c r="M264">
        <v>4.3168145648768412E-2</v>
      </c>
      <c r="N264">
        <v>-1.260461430267088E-2</v>
      </c>
      <c r="O264">
        <v>0.90502273782139464</v>
      </c>
    </row>
    <row r="265" spans="1:15" x14ac:dyDescent="0.25">
      <c r="A265">
        <v>175.99384699999999</v>
      </c>
      <c r="B265">
        <v>158.10679625</v>
      </c>
      <c r="C265">
        <v>138.60255050000001</v>
      </c>
      <c r="D265">
        <v>148.98099500000001</v>
      </c>
      <c r="E265">
        <v>268.364105</v>
      </c>
      <c r="F265">
        <v>4.9213742500000004</v>
      </c>
      <c r="G265">
        <v>267.37712099999999</v>
      </c>
      <c r="H265">
        <v>0</v>
      </c>
      <c r="I265">
        <v>-4</v>
      </c>
      <c r="J265">
        <v>1.18</v>
      </c>
      <c r="K265">
        <v>21.091205250000002</v>
      </c>
      <c r="L265">
        <v>0.30014729051449968</v>
      </c>
      <c r="M265">
        <v>7.3244909670080099E-2</v>
      </c>
      <c r="N265">
        <v>7.9323824412753149E-3</v>
      </c>
      <c r="O265">
        <v>1.1147823669693151</v>
      </c>
    </row>
    <row r="266" spans="1:15" x14ac:dyDescent="0.25">
      <c r="A266">
        <v>158.52983825000001</v>
      </c>
      <c r="B266">
        <v>168.02838875</v>
      </c>
      <c r="C266">
        <v>171.48057175</v>
      </c>
      <c r="D266">
        <v>155.94805525000001</v>
      </c>
      <c r="E266">
        <v>280.2109145</v>
      </c>
      <c r="F266">
        <v>5.11628025</v>
      </c>
      <c r="G266">
        <v>279.7434695</v>
      </c>
      <c r="H266">
        <v>0</v>
      </c>
      <c r="I266">
        <v>0</v>
      </c>
      <c r="J266">
        <v>1.18</v>
      </c>
      <c r="K266">
        <v>21.57471425</v>
      </c>
      <c r="L266">
        <v>-0.1052984806844575</v>
      </c>
      <c r="M266">
        <v>9.8196074503859213E-2</v>
      </c>
      <c r="N266">
        <v>3.77459150672945E-3</v>
      </c>
      <c r="O266">
        <v>1.237157227814742</v>
      </c>
    </row>
    <row r="267" spans="1:15" x14ac:dyDescent="0.25">
      <c r="A267">
        <v>138.5838775</v>
      </c>
      <c r="B267">
        <v>179.63073324999999</v>
      </c>
      <c r="C267">
        <v>208.60383974999999</v>
      </c>
      <c r="D267">
        <v>167.38453699999999</v>
      </c>
      <c r="E267">
        <v>298.36114524999999</v>
      </c>
      <c r="F267">
        <v>5.7009987500000001</v>
      </c>
      <c r="G267">
        <v>299.45623024999998</v>
      </c>
      <c r="H267">
        <v>0</v>
      </c>
      <c r="I267">
        <v>4</v>
      </c>
      <c r="J267">
        <v>1.18</v>
      </c>
      <c r="K267">
        <v>22.313435250000001</v>
      </c>
      <c r="L267">
        <v>-0.48164106511282029</v>
      </c>
      <c r="M267">
        <v>8.4230704411723603E-2</v>
      </c>
      <c r="N267">
        <v>-7.5548885434774506E-3</v>
      </c>
      <c r="O267">
        <v>1.0131366780947419</v>
      </c>
    </row>
    <row r="268" spans="1:15" x14ac:dyDescent="0.25">
      <c r="A268">
        <v>109.3418235</v>
      </c>
      <c r="B268">
        <v>185.46314225</v>
      </c>
      <c r="C268">
        <v>243.55931475</v>
      </c>
      <c r="D268">
        <v>170.88997275</v>
      </c>
      <c r="E268">
        <v>312.39850625000003</v>
      </c>
      <c r="F268">
        <v>5.9446317500000001</v>
      </c>
      <c r="G268">
        <v>315.68524150000002</v>
      </c>
      <c r="H268">
        <v>0</v>
      </c>
      <c r="I268">
        <v>8</v>
      </c>
      <c r="J268">
        <v>1.18</v>
      </c>
      <c r="K268">
        <v>22.91252725</v>
      </c>
      <c r="L268">
        <v>-0.77906003231609755</v>
      </c>
      <c r="M268">
        <v>8.4588270395356227E-2</v>
      </c>
      <c r="N268">
        <v>-1.909286525464143E-2</v>
      </c>
      <c r="O268">
        <v>0.77878601252700319</v>
      </c>
    </row>
    <row r="269" spans="1:15" x14ac:dyDescent="0.25">
      <c r="A269">
        <v>72.022098749999998</v>
      </c>
      <c r="B269">
        <v>180.749653</v>
      </c>
      <c r="C269">
        <v>274.22440325000002</v>
      </c>
      <c r="D269">
        <v>168.83053200000001</v>
      </c>
      <c r="E269">
        <v>312.44322225000002</v>
      </c>
      <c r="F269">
        <v>6.2857180000000001</v>
      </c>
      <c r="G269">
        <v>328.15112299999998</v>
      </c>
      <c r="H269">
        <v>0</v>
      </c>
      <c r="I269">
        <v>12</v>
      </c>
      <c r="J269">
        <v>1.18</v>
      </c>
      <c r="K269">
        <v>23.356674999999999</v>
      </c>
      <c r="L269">
        <v>-1.0530438200889141</v>
      </c>
      <c r="M269">
        <v>6.2076198229761487E-2</v>
      </c>
      <c r="N269">
        <v>-8.1807684251949925E-2</v>
      </c>
      <c r="O269">
        <v>0.59443305770589616</v>
      </c>
    </row>
    <row r="270" spans="1:15" x14ac:dyDescent="0.25">
      <c r="A270">
        <v>28.97129275</v>
      </c>
      <c r="B270">
        <v>169.5066415</v>
      </c>
      <c r="C270">
        <v>300.55391674999998</v>
      </c>
      <c r="D270">
        <v>156.86823275</v>
      </c>
      <c r="E270">
        <v>301.49048625</v>
      </c>
      <c r="F270">
        <v>6.2857177499999999</v>
      </c>
      <c r="G270">
        <v>337.79445674999999</v>
      </c>
      <c r="H270">
        <v>0</v>
      </c>
      <c r="I270">
        <v>16</v>
      </c>
      <c r="J270">
        <v>1.18</v>
      </c>
      <c r="K270">
        <v>23.703981750000001</v>
      </c>
      <c r="L270">
        <v>-1.3021081585231431</v>
      </c>
      <c r="M270">
        <v>6.0622802739825878E-2</v>
      </c>
      <c r="N270">
        <v>-0.17408854612990701</v>
      </c>
      <c r="O270">
        <v>0.41538566842838293</v>
      </c>
    </row>
    <row r="271" spans="1:15" x14ac:dyDescent="0.25">
      <c r="A271">
        <v>-13.33302975</v>
      </c>
      <c r="B271">
        <v>136.6252365</v>
      </c>
      <c r="C271">
        <v>284.34072850000001</v>
      </c>
      <c r="D271">
        <v>121.375702</v>
      </c>
      <c r="E271">
        <v>245.96689975000001</v>
      </c>
      <c r="F271">
        <v>5.7497255000000003</v>
      </c>
      <c r="G271">
        <v>305.71678175</v>
      </c>
      <c r="H271">
        <v>0</v>
      </c>
      <c r="I271">
        <v>20</v>
      </c>
      <c r="J271">
        <v>1.18</v>
      </c>
      <c r="K271">
        <v>22.548110999999999</v>
      </c>
      <c r="L271">
        <v>-1.5508604325683371</v>
      </c>
      <c r="M271">
        <v>7.9437955445197758E-2</v>
      </c>
      <c r="N271">
        <v>-0.31133263093520269</v>
      </c>
      <c r="O271">
        <v>0.25149146096518898</v>
      </c>
    </row>
    <row r="272" spans="1:15" x14ac:dyDescent="0.25">
      <c r="A272">
        <v>-52.206021249999999</v>
      </c>
      <c r="B272">
        <v>106.83152775000001</v>
      </c>
      <c r="C272">
        <v>274.04376224999999</v>
      </c>
      <c r="D272">
        <v>88.074060500000002</v>
      </c>
      <c r="E272">
        <v>194.73497</v>
      </c>
      <c r="F272">
        <v>5.2624599999999999</v>
      </c>
      <c r="G272">
        <v>284.09630575</v>
      </c>
      <c r="H272">
        <v>0</v>
      </c>
      <c r="I272">
        <v>24</v>
      </c>
      <c r="J272">
        <v>1.18</v>
      </c>
      <c r="K272">
        <v>21.739337500000001</v>
      </c>
      <c r="L272">
        <v>-1.845374870215887</v>
      </c>
      <c r="M272">
        <v>0.1060522147800186</v>
      </c>
      <c r="N272">
        <v>-0.50550873682135367</v>
      </c>
      <c r="O272">
        <v>7.1695037336956258E-2</v>
      </c>
    </row>
    <row r="273" spans="1:15" x14ac:dyDescent="0.25">
      <c r="A273">
        <v>-85.133203500000008</v>
      </c>
      <c r="B273">
        <v>79.414176999999995</v>
      </c>
      <c r="C273">
        <v>261.89514924999997</v>
      </c>
      <c r="D273">
        <v>55.561141999999997</v>
      </c>
      <c r="E273">
        <v>143.05600375</v>
      </c>
      <c r="F273">
        <v>4.9213737499999999</v>
      </c>
      <c r="G273">
        <v>266.66577124999998</v>
      </c>
      <c r="H273">
        <v>0</v>
      </c>
      <c r="I273">
        <v>28</v>
      </c>
      <c r="J273">
        <v>1.18</v>
      </c>
      <c r="K273">
        <v>21.062616250000001</v>
      </c>
      <c r="L273">
        <v>-2.1986035136214932</v>
      </c>
      <c r="M273">
        <v>0.15112245625696491</v>
      </c>
      <c r="N273">
        <v>-0.78317101441551262</v>
      </c>
      <c r="O273">
        <v>-0.12485932133823879</v>
      </c>
    </row>
    <row r="274" spans="1:15" x14ac:dyDescent="0.25">
      <c r="A274">
        <v>-131.30332924999999</v>
      </c>
      <c r="B274">
        <v>54.878905500000002</v>
      </c>
      <c r="C274">
        <v>271.46951274999998</v>
      </c>
      <c r="D274">
        <v>23.092045500000001</v>
      </c>
      <c r="E274">
        <v>96.383987250000004</v>
      </c>
      <c r="F274">
        <v>5.0188272500000002</v>
      </c>
      <c r="G274">
        <v>273.99692549999997</v>
      </c>
      <c r="H274">
        <v>0</v>
      </c>
      <c r="I274">
        <v>32</v>
      </c>
      <c r="J274">
        <v>1.18</v>
      </c>
      <c r="K274">
        <v>21.351681249999999</v>
      </c>
      <c r="L274">
        <v>-2.67642578476101</v>
      </c>
      <c r="M274">
        <v>0.21121676904276951</v>
      </c>
      <c r="N274">
        <v>-1.1802539199932329</v>
      </c>
      <c r="O274">
        <v>-0.3928713598041319</v>
      </c>
    </row>
    <row r="275" spans="1:15" x14ac:dyDescent="0.25">
      <c r="A275">
        <v>-184.38924025</v>
      </c>
      <c r="B275">
        <v>27.463414499999999</v>
      </c>
      <c r="C275">
        <v>289.17306524999998</v>
      </c>
      <c r="D275">
        <v>-14.11728325</v>
      </c>
      <c r="E275">
        <v>40.636859999999999</v>
      </c>
      <c r="F275">
        <v>5.4086394999999996</v>
      </c>
      <c r="G275">
        <v>290.91539775000001</v>
      </c>
      <c r="H275">
        <v>0</v>
      </c>
      <c r="I275">
        <v>36</v>
      </c>
      <c r="J275">
        <v>1.18</v>
      </c>
      <c r="K275">
        <v>21.997935999999999</v>
      </c>
      <c r="L275">
        <v>-3.3857538729705761</v>
      </c>
      <c r="M275">
        <v>0.2970942906761474</v>
      </c>
      <c r="N275">
        <v>-1.7895442587496699</v>
      </c>
      <c r="O275">
        <v>-0.74826422205600363</v>
      </c>
    </row>
    <row r="276" spans="1:15" x14ac:dyDescent="0.25">
      <c r="A276">
        <v>-237.9381865</v>
      </c>
      <c r="B276">
        <v>-9.3055352500000001</v>
      </c>
      <c r="C276">
        <v>301.59265149999999</v>
      </c>
      <c r="D276">
        <v>-56.294306749999997</v>
      </c>
      <c r="E276">
        <v>-29.570340250000001</v>
      </c>
      <c r="F276">
        <v>5.8471789999999997</v>
      </c>
      <c r="G276">
        <v>305.44120025000001</v>
      </c>
      <c r="H276">
        <v>0</v>
      </c>
      <c r="I276">
        <v>40</v>
      </c>
      <c r="J276">
        <v>1.18</v>
      </c>
      <c r="K276">
        <v>22.534114249999998</v>
      </c>
      <c r="L276">
        <v>-4.5909705176503088</v>
      </c>
      <c r="M276">
        <v>0.39984001623294729</v>
      </c>
      <c r="N276">
        <v>-2.8510504301538129</v>
      </c>
      <c r="O276">
        <v>-1.301628512998299</v>
      </c>
    </row>
    <row r="277" spans="1:15" x14ac:dyDescent="0.25">
      <c r="A277">
        <v>-286.71641549999998</v>
      </c>
      <c r="B277">
        <v>-49.501611750000002</v>
      </c>
      <c r="C277">
        <v>308.09599300000002</v>
      </c>
      <c r="D277">
        <v>-103.23536675</v>
      </c>
      <c r="E277">
        <v>-107.800173</v>
      </c>
      <c r="F277">
        <v>5.9446319999999986</v>
      </c>
      <c r="G277">
        <v>316.64238749999998</v>
      </c>
      <c r="H277">
        <v>0</v>
      </c>
      <c r="I277">
        <v>44</v>
      </c>
      <c r="J277">
        <v>1.18</v>
      </c>
      <c r="K277">
        <v>22.947899750000001</v>
      </c>
      <c r="L277">
        <v>-6.8251073987871926</v>
      </c>
      <c r="M277">
        <v>0.61641046204629169</v>
      </c>
      <c r="N277">
        <v>-4.8705543184331077</v>
      </c>
      <c r="O277">
        <v>-2.3055088595199371</v>
      </c>
    </row>
    <row r="278" spans="1:15" x14ac:dyDescent="0.25">
      <c r="A278">
        <v>328.83775350000002</v>
      </c>
      <c r="B278">
        <v>-14.342036500000001</v>
      </c>
      <c r="C278">
        <v>-309.72227500000002</v>
      </c>
      <c r="D278">
        <v>-103.3664895</v>
      </c>
      <c r="E278">
        <v>-3.16665975</v>
      </c>
      <c r="F278">
        <v>6.3344440000000004</v>
      </c>
      <c r="G278">
        <v>332.49190499999997</v>
      </c>
      <c r="H278">
        <v>4</v>
      </c>
      <c r="I278">
        <v>-44</v>
      </c>
      <c r="J278">
        <v>1.18</v>
      </c>
      <c r="K278">
        <v>23.511887999999999</v>
      </c>
      <c r="L278">
        <v>3.139789360722038</v>
      </c>
      <c r="M278">
        <v>0.43771316869132659</v>
      </c>
      <c r="N278">
        <v>-1.6504205188977139</v>
      </c>
      <c r="O278">
        <v>-1.046709285198667</v>
      </c>
    </row>
    <row r="279" spans="1:15" x14ac:dyDescent="0.25">
      <c r="A279">
        <v>324.95684799999998</v>
      </c>
      <c r="B279">
        <v>26.599689999999999</v>
      </c>
      <c r="C279">
        <v>-258.98139950000001</v>
      </c>
      <c r="D279">
        <v>-55.90094775</v>
      </c>
      <c r="E279">
        <v>60.709404249999999</v>
      </c>
      <c r="F279">
        <v>6.3831712500000002</v>
      </c>
      <c r="G279">
        <v>326.84761025</v>
      </c>
      <c r="H279">
        <v>4</v>
      </c>
      <c r="I279">
        <v>-40</v>
      </c>
      <c r="J279">
        <v>1.18</v>
      </c>
      <c r="K279">
        <v>23.305726</v>
      </c>
      <c r="L279">
        <v>2.6767519348101998</v>
      </c>
      <c r="M279">
        <v>0.37815398730109129</v>
      </c>
      <c r="N279">
        <v>-1.2199676646863891</v>
      </c>
      <c r="O279">
        <v>-0.75095118416782047</v>
      </c>
    </row>
    <row r="280" spans="1:15" x14ac:dyDescent="0.25">
      <c r="A280">
        <v>299.64081575</v>
      </c>
      <c r="B280">
        <v>60.786459999999998</v>
      </c>
      <c r="C280">
        <v>-188.80115125</v>
      </c>
      <c r="D280">
        <v>-13.505388</v>
      </c>
      <c r="E280">
        <v>109.88489525</v>
      </c>
      <c r="F280">
        <v>5.6522722500000002</v>
      </c>
      <c r="G280">
        <v>300.66183475000003</v>
      </c>
      <c r="H280">
        <v>4</v>
      </c>
      <c r="I280">
        <v>-36</v>
      </c>
      <c r="J280">
        <v>1.18</v>
      </c>
      <c r="K280">
        <v>22.361013249999999</v>
      </c>
      <c r="L280">
        <v>2.3144574949446781</v>
      </c>
      <c r="M280">
        <v>0.35202742197057268</v>
      </c>
      <c r="N280">
        <v>-0.90399339196866535</v>
      </c>
      <c r="O280">
        <v>-0.5060887978666283</v>
      </c>
    </row>
    <row r="281" spans="1:15" x14ac:dyDescent="0.25">
      <c r="A281">
        <v>278.43129725</v>
      </c>
      <c r="B281">
        <v>84.981979249999995</v>
      </c>
      <c r="C281">
        <v>-127.82190125</v>
      </c>
      <c r="D281">
        <v>20.7232895</v>
      </c>
      <c r="E281">
        <v>146.49827974999999</v>
      </c>
      <c r="F281">
        <v>5.3599129999999997</v>
      </c>
      <c r="G281">
        <v>280.57502749999998</v>
      </c>
      <c r="H281">
        <v>4</v>
      </c>
      <c r="I281">
        <v>-32</v>
      </c>
      <c r="J281">
        <v>1.18</v>
      </c>
      <c r="K281">
        <v>21.597788000000001</v>
      </c>
      <c r="L281">
        <v>2.0308176182865219</v>
      </c>
      <c r="M281">
        <v>0.32121306065127492</v>
      </c>
      <c r="N281">
        <v>-0.67024489759651307</v>
      </c>
      <c r="O281">
        <v>-0.29448609053458907</v>
      </c>
    </row>
    <row r="282" spans="1:15" x14ac:dyDescent="0.25">
      <c r="A282">
        <v>257.13152324999999</v>
      </c>
      <c r="B282">
        <v>104.41916474999999</v>
      </c>
      <c r="C282">
        <v>-74.600353499999997</v>
      </c>
      <c r="D282">
        <v>47.010668750000001</v>
      </c>
      <c r="E282">
        <v>174.528313</v>
      </c>
      <c r="F282">
        <v>4.7264677499999994</v>
      </c>
      <c r="G282">
        <v>263.59400175000002</v>
      </c>
      <c r="H282">
        <v>4</v>
      </c>
      <c r="I282">
        <v>-28</v>
      </c>
      <c r="J282">
        <v>1.18</v>
      </c>
      <c r="K282">
        <v>20.946557500000001</v>
      </c>
      <c r="L282">
        <v>1.7615013557990651</v>
      </c>
      <c r="M282">
        <v>0.30484488591391179</v>
      </c>
      <c r="N282">
        <v>-0.47294346539439203</v>
      </c>
      <c r="O282">
        <v>-9.8347529459213393E-2</v>
      </c>
    </row>
    <row r="283" spans="1:15" x14ac:dyDescent="0.25">
      <c r="A283">
        <v>267.91679399999998</v>
      </c>
      <c r="B283">
        <v>131.92164249999999</v>
      </c>
      <c r="C283">
        <v>-39.239607749999998</v>
      </c>
      <c r="D283">
        <v>75.142965500000003</v>
      </c>
      <c r="E283">
        <v>217.31098549999999</v>
      </c>
      <c r="F283">
        <v>5.3111864999999998</v>
      </c>
      <c r="G283">
        <v>281.671852</v>
      </c>
      <c r="H283">
        <v>4</v>
      </c>
      <c r="I283">
        <v>-24</v>
      </c>
      <c r="J283">
        <v>1.18</v>
      </c>
      <c r="K283">
        <v>21.642710000000001</v>
      </c>
      <c r="L283">
        <v>1.5407332040115269</v>
      </c>
      <c r="M283">
        <v>0.28479146038588388</v>
      </c>
      <c r="N283">
        <v>-0.32284617767078527</v>
      </c>
      <c r="O283">
        <v>6.3409245615840909E-2</v>
      </c>
    </row>
    <row r="284" spans="1:15" x14ac:dyDescent="0.25">
      <c r="A284">
        <v>272.70021025</v>
      </c>
      <c r="B284">
        <v>158.43233875000001</v>
      </c>
      <c r="C284">
        <v>0.36128624999999998</v>
      </c>
      <c r="D284">
        <v>101.78257175</v>
      </c>
      <c r="E284">
        <v>255.08671175000001</v>
      </c>
      <c r="F284">
        <v>5.74972525</v>
      </c>
      <c r="G284">
        <v>297.46078499999999</v>
      </c>
      <c r="H284">
        <v>4</v>
      </c>
      <c r="I284">
        <v>-20</v>
      </c>
      <c r="J284">
        <v>1.18</v>
      </c>
      <c r="K284">
        <v>22.23567225</v>
      </c>
      <c r="L284">
        <v>1.334920922698499</v>
      </c>
      <c r="M284">
        <v>0.27765155845292733</v>
      </c>
      <c r="N284">
        <v>-0.2077149311549269</v>
      </c>
      <c r="O284">
        <v>0.22215664391189641</v>
      </c>
    </row>
    <row r="285" spans="1:15" x14ac:dyDescent="0.25">
      <c r="A285">
        <v>268.41317774999999</v>
      </c>
      <c r="B285">
        <v>182.00007274999999</v>
      </c>
      <c r="C285">
        <v>46.878273999999998</v>
      </c>
      <c r="D285">
        <v>124.463007</v>
      </c>
      <c r="E285">
        <v>285.93315100000001</v>
      </c>
      <c r="F285">
        <v>5.9933585000000003</v>
      </c>
      <c r="G285">
        <v>309.74489575000001</v>
      </c>
      <c r="H285">
        <v>4</v>
      </c>
      <c r="I285">
        <v>-16</v>
      </c>
      <c r="J285">
        <v>1.18</v>
      </c>
      <c r="K285">
        <v>22.689930749999998</v>
      </c>
      <c r="L285">
        <v>1.1062493213091</v>
      </c>
      <c r="M285">
        <v>0.28729991279191119</v>
      </c>
      <c r="N285">
        <v>-0.1189183101726126</v>
      </c>
      <c r="O285">
        <v>0.39786810217566609</v>
      </c>
    </row>
    <row r="286" spans="1:15" x14ac:dyDescent="0.25">
      <c r="A286">
        <v>258.7560805</v>
      </c>
      <c r="B286">
        <v>202.16697325000001</v>
      </c>
      <c r="C286">
        <v>92.988803750000002</v>
      </c>
      <c r="D286">
        <v>141.2600515</v>
      </c>
      <c r="E286">
        <v>309.40326700000003</v>
      </c>
      <c r="F286">
        <v>6.1395382500000002</v>
      </c>
      <c r="G286">
        <v>320.52998350000001</v>
      </c>
      <c r="H286">
        <v>4</v>
      </c>
      <c r="I286">
        <v>-12</v>
      </c>
      <c r="J286">
        <v>1.18</v>
      </c>
      <c r="K286">
        <v>23.0838635</v>
      </c>
      <c r="L286">
        <v>0.86216304332441784</v>
      </c>
      <c r="M286">
        <v>0.31676075195046072</v>
      </c>
      <c r="N286">
        <v>-5.7895309115327788E-2</v>
      </c>
      <c r="O286">
        <v>0.57721938186310817</v>
      </c>
    </row>
    <row r="287" spans="1:15" x14ac:dyDescent="0.25">
      <c r="A287">
        <v>243.99967599999999</v>
      </c>
      <c r="B287">
        <v>218.29835499999999</v>
      </c>
      <c r="C287">
        <v>138.06060425000001</v>
      </c>
      <c r="D287">
        <v>152.25767124999999</v>
      </c>
      <c r="E287">
        <v>327.10645299999999</v>
      </c>
      <c r="F287">
        <v>6.3831707499999997</v>
      </c>
      <c r="G287">
        <v>331.63237750000002</v>
      </c>
      <c r="H287">
        <v>4</v>
      </c>
      <c r="I287">
        <v>-8</v>
      </c>
      <c r="J287">
        <v>1.18</v>
      </c>
      <c r="K287">
        <v>23.47913475</v>
      </c>
      <c r="L287">
        <v>0.58225763598810887</v>
      </c>
      <c r="M287">
        <v>0.36297835275808871</v>
      </c>
      <c r="N287">
        <v>-2.4881065149081869E-2</v>
      </c>
      <c r="O287">
        <v>0.76273194000899647</v>
      </c>
    </row>
    <row r="288" spans="1:15" x14ac:dyDescent="0.25">
      <c r="A288">
        <v>213.13306424999999</v>
      </c>
      <c r="B288">
        <v>221.64772049999999</v>
      </c>
      <c r="C288">
        <v>170.71282224999999</v>
      </c>
      <c r="D288">
        <v>151.07471874999999</v>
      </c>
      <c r="E288">
        <v>327.46410374999999</v>
      </c>
      <c r="F288">
        <v>6.1882644999999998</v>
      </c>
      <c r="G288">
        <v>328.37032325000001</v>
      </c>
      <c r="H288">
        <v>4</v>
      </c>
      <c r="I288">
        <v>-4</v>
      </c>
      <c r="J288">
        <v>1.18</v>
      </c>
      <c r="K288">
        <v>23.36806</v>
      </c>
      <c r="L288">
        <v>0.25461783767770568</v>
      </c>
      <c r="M288">
        <v>0.42368796868608549</v>
      </c>
      <c r="N288">
        <v>-5.4625410112938604E-3</v>
      </c>
      <c r="O288">
        <v>0.92881991848961376</v>
      </c>
    </row>
    <row r="289" spans="1:15" x14ac:dyDescent="0.25">
      <c r="A289">
        <v>168.50283049999999</v>
      </c>
      <c r="B289">
        <v>208.34287624999999</v>
      </c>
      <c r="C289">
        <v>184.66791549999999</v>
      </c>
      <c r="D289">
        <v>140.25232299999999</v>
      </c>
      <c r="E289">
        <v>303.59162175</v>
      </c>
      <c r="F289">
        <v>5.7497255000000003</v>
      </c>
      <c r="G289">
        <v>303.18276225</v>
      </c>
      <c r="H289">
        <v>4</v>
      </c>
      <c r="I289">
        <v>0</v>
      </c>
      <c r="J289">
        <v>1.18</v>
      </c>
      <c r="K289">
        <v>22.452681250000001</v>
      </c>
      <c r="L289">
        <v>-0.1083302459492103</v>
      </c>
      <c r="M289">
        <v>0.45628718632445769</v>
      </c>
      <c r="N289">
        <v>2.727434041980933E-3</v>
      </c>
      <c r="O289">
        <v>0.99611086246901437</v>
      </c>
    </row>
    <row r="290" spans="1:15" x14ac:dyDescent="0.25">
      <c r="A290">
        <v>129.60367600000001</v>
      </c>
      <c r="B290">
        <v>191.04238900000001</v>
      </c>
      <c r="C290">
        <v>192.074501</v>
      </c>
      <c r="D290">
        <v>130.429348</v>
      </c>
      <c r="E290">
        <v>278.60153174999999</v>
      </c>
      <c r="F290">
        <v>5.2137335</v>
      </c>
      <c r="G290">
        <v>280.31868724999998</v>
      </c>
      <c r="H290">
        <v>4</v>
      </c>
      <c r="I290">
        <v>4</v>
      </c>
      <c r="J290">
        <v>1.18</v>
      </c>
      <c r="K290">
        <v>21.59349375</v>
      </c>
      <c r="L290">
        <v>-0.42044046582924038</v>
      </c>
      <c r="M290">
        <v>0.40793582399967082</v>
      </c>
      <c r="N290">
        <v>-1.1567983327734E-2</v>
      </c>
      <c r="O290">
        <v>0.8399445838649896</v>
      </c>
    </row>
    <row r="291" spans="1:15" x14ac:dyDescent="0.25">
      <c r="A291">
        <v>91.877815499999997</v>
      </c>
      <c r="B291">
        <v>175.19387424999999</v>
      </c>
      <c r="C291">
        <v>201.10692975000001</v>
      </c>
      <c r="D291">
        <v>120.125866</v>
      </c>
      <c r="E291">
        <v>259.15487624999997</v>
      </c>
      <c r="F291">
        <v>4.9213742500000004</v>
      </c>
      <c r="G291">
        <v>263.87407674999997</v>
      </c>
      <c r="H291">
        <v>4</v>
      </c>
      <c r="I291">
        <v>8</v>
      </c>
      <c r="J291">
        <v>1.18</v>
      </c>
      <c r="K291">
        <v>20.949998749999999</v>
      </c>
      <c r="L291">
        <v>-0.71318359641152484</v>
      </c>
      <c r="M291">
        <v>0.359574718209346</v>
      </c>
      <c r="N291">
        <v>-3.083437732560217E-2</v>
      </c>
      <c r="O291">
        <v>0.66001474227724288</v>
      </c>
    </row>
    <row r="292" spans="1:15" x14ac:dyDescent="0.25">
      <c r="A292">
        <v>62.68088625</v>
      </c>
      <c r="B292">
        <v>177.75504699999999</v>
      </c>
      <c r="C292">
        <v>231.09457800000001</v>
      </c>
      <c r="D292">
        <v>120.22875974999999</v>
      </c>
      <c r="E292">
        <v>264.02770974999999</v>
      </c>
      <c r="F292">
        <v>5.0188272500000002</v>
      </c>
      <c r="G292">
        <v>278.95831299999998</v>
      </c>
      <c r="H292">
        <v>4</v>
      </c>
      <c r="I292">
        <v>12</v>
      </c>
      <c r="J292">
        <v>1.18</v>
      </c>
      <c r="K292">
        <v>21.547716000000001</v>
      </c>
      <c r="L292">
        <v>-0.9758996566201491</v>
      </c>
      <c r="M292">
        <v>0.33333808903916923</v>
      </c>
      <c r="N292">
        <v>-8.6522068435089722E-2</v>
      </c>
      <c r="O292">
        <v>0.50086936901870449</v>
      </c>
    </row>
    <row r="293" spans="1:15" x14ac:dyDescent="0.25">
      <c r="A293">
        <v>26.128316000000002</v>
      </c>
      <c r="B293">
        <v>172.99370949999999</v>
      </c>
      <c r="C293">
        <v>259.14025125000001</v>
      </c>
      <c r="D293">
        <v>112.06488025</v>
      </c>
      <c r="E293">
        <v>259.64662149999998</v>
      </c>
      <c r="F293">
        <v>5.4086394999999996</v>
      </c>
      <c r="G293">
        <v>293.32234199999999</v>
      </c>
      <c r="H293">
        <v>4</v>
      </c>
      <c r="I293">
        <v>16</v>
      </c>
      <c r="J293">
        <v>1.18</v>
      </c>
      <c r="K293">
        <v>22.090469500000001</v>
      </c>
      <c r="L293">
        <v>-1.222831267876946</v>
      </c>
      <c r="M293">
        <v>0.31974226288322621</v>
      </c>
      <c r="N293">
        <v>-0.1767436076273067</v>
      </c>
      <c r="O293">
        <v>0.33425341457007701</v>
      </c>
    </row>
    <row r="294" spans="1:15" x14ac:dyDescent="0.25">
      <c r="A294">
        <v>-13.1988295</v>
      </c>
      <c r="B294">
        <v>166.20087050000001</v>
      </c>
      <c r="C294">
        <v>283.88909150000001</v>
      </c>
      <c r="D294">
        <v>95.504940250000004</v>
      </c>
      <c r="E294">
        <v>244.84926575</v>
      </c>
      <c r="F294">
        <v>5.8471787499999994</v>
      </c>
      <c r="G294">
        <v>307.32627874999997</v>
      </c>
      <c r="H294">
        <v>4</v>
      </c>
      <c r="I294">
        <v>20</v>
      </c>
      <c r="J294">
        <v>1.18</v>
      </c>
      <c r="K294">
        <v>22.604886</v>
      </c>
      <c r="L294">
        <v>-1.458477190073121</v>
      </c>
      <c r="M294">
        <v>0.3470844243146452</v>
      </c>
      <c r="N294">
        <v>-0.30672490219113929</v>
      </c>
      <c r="O294">
        <v>0.17332875970580919</v>
      </c>
    </row>
    <row r="295" spans="1:15" x14ac:dyDescent="0.25">
      <c r="A295">
        <v>-58.696273750000003</v>
      </c>
      <c r="B295">
        <v>153.45689775</v>
      </c>
      <c r="C295">
        <v>305.52174400000001</v>
      </c>
      <c r="D295">
        <v>68.128189250000005</v>
      </c>
      <c r="E295">
        <v>216.59571450000001</v>
      </c>
      <c r="F295">
        <v>5.9446320000000004</v>
      </c>
      <c r="G295">
        <v>319.64973450000002</v>
      </c>
      <c r="H295">
        <v>4</v>
      </c>
      <c r="I295">
        <v>24</v>
      </c>
      <c r="J295">
        <v>1.18</v>
      </c>
      <c r="K295">
        <v>23.058691249999999</v>
      </c>
      <c r="L295">
        <v>-1.7189761793528571</v>
      </c>
      <c r="M295">
        <v>0.40272577992885639</v>
      </c>
      <c r="N295">
        <v>-0.48637926962381939</v>
      </c>
      <c r="O295">
        <v>-5.7962961897918171E-3</v>
      </c>
    </row>
    <row r="296" spans="1:15" x14ac:dyDescent="0.25">
      <c r="A296">
        <v>-107.35395825000001</v>
      </c>
      <c r="B296">
        <v>135.61534499999999</v>
      </c>
      <c r="C296">
        <v>321.73496275000002</v>
      </c>
      <c r="D296">
        <v>26.857089500000001</v>
      </c>
      <c r="E296">
        <v>173.18716800000001</v>
      </c>
      <c r="F296">
        <v>6.3344445</v>
      </c>
      <c r="G296">
        <v>329.89260849999999</v>
      </c>
      <c r="H296">
        <v>4</v>
      </c>
      <c r="I296">
        <v>28</v>
      </c>
      <c r="J296">
        <v>1.18</v>
      </c>
      <c r="K296">
        <v>23.418006999999999</v>
      </c>
      <c r="L296">
        <v>-2.010395101077203</v>
      </c>
      <c r="M296">
        <v>0.509599476550327</v>
      </c>
      <c r="N296">
        <v>-0.73424097209636019</v>
      </c>
      <c r="O296">
        <v>-0.2182628935039595</v>
      </c>
    </row>
    <row r="297" spans="1:15" x14ac:dyDescent="0.25">
      <c r="A297">
        <v>-157.91027450000001</v>
      </c>
      <c r="B297">
        <v>107.73788424999999</v>
      </c>
      <c r="C297">
        <v>327.74152375</v>
      </c>
      <c r="D297">
        <v>-19.97398875</v>
      </c>
      <c r="E297">
        <v>113.327179</v>
      </c>
      <c r="F297">
        <v>6.4806237499999986</v>
      </c>
      <c r="G297">
        <v>332.17324050000002</v>
      </c>
      <c r="H297">
        <v>4</v>
      </c>
      <c r="I297">
        <v>32</v>
      </c>
      <c r="J297">
        <v>1.18</v>
      </c>
      <c r="K297">
        <v>23.495087250000001</v>
      </c>
      <c r="L297">
        <v>-2.4010269767494372</v>
      </c>
      <c r="M297">
        <v>0.63140291690196226</v>
      </c>
      <c r="N297">
        <v>-1.081966839969343</v>
      </c>
      <c r="O297">
        <v>-0.47176909089837732</v>
      </c>
    </row>
    <row r="298" spans="1:15" x14ac:dyDescent="0.25">
      <c r="A298">
        <v>-188.6814765</v>
      </c>
      <c r="B298">
        <v>68.822321250000002</v>
      </c>
      <c r="C298">
        <v>298.43129725</v>
      </c>
      <c r="D298">
        <v>-62.631787250000002</v>
      </c>
      <c r="E298">
        <v>39.519235500000001</v>
      </c>
      <c r="F298">
        <v>5.5060925000000003</v>
      </c>
      <c r="G298">
        <v>302.68497474999998</v>
      </c>
      <c r="H298">
        <v>4</v>
      </c>
      <c r="I298">
        <v>36</v>
      </c>
      <c r="J298">
        <v>1.18</v>
      </c>
      <c r="K298">
        <v>22.443083000000001</v>
      </c>
      <c r="L298">
        <v>-2.9493597914504601</v>
      </c>
      <c r="M298">
        <v>0.79593669084324103</v>
      </c>
      <c r="N298">
        <v>-1.5936400850292181</v>
      </c>
      <c r="O298">
        <v>-0.79419979699683874</v>
      </c>
    </row>
    <row r="299" spans="1:15" x14ac:dyDescent="0.25">
      <c r="A299">
        <v>-215.84820149999999</v>
      </c>
      <c r="B299">
        <v>31.737519249999998</v>
      </c>
      <c r="C299">
        <v>278.37932599999999</v>
      </c>
      <c r="D299">
        <v>-96.591936250000003</v>
      </c>
      <c r="E299">
        <v>-26.849691</v>
      </c>
      <c r="F299">
        <v>5.2624599999999999</v>
      </c>
      <c r="G299">
        <v>282.79938499999997</v>
      </c>
      <c r="H299">
        <v>4</v>
      </c>
      <c r="I299">
        <v>40</v>
      </c>
      <c r="J299">
        <v>1.18</v>
      </c>
      <c r="K299">
        <v>21.688726500000001</v>
      </c>
      <c r="L299">
        <v>-3.820286192683684</v>
      </c>
      <c r="M299">
        <v>0.991913212501361</v>
      </c>
      <c r="N299">
        <v>-2.3935286664246251</v>
      </c>
      <c r="O299">
        <v>-1.248214152296991</v>
      </c>
    </row>
    <row r="300" spans="1:15" x14ac:dyDescent="0.25">
      <c r="A300">
        <v>-236.48234925</v>
      </c>
      <c r="B300">
        <v>-1.4869665000000001</v>
      </c>
      <c r="C300">
        <v>257.01763175000002</v>
      </c>
      <c r="D300">
        <v>-129.06606274999999</v>
      </c>
      <c r="E300">
        <v>-89.112423000000007</v>
      </c>
      <c r="F300">
        <v>4.8726475000000002</v>
      </c>
      <c r="G300">
        <v>266.27474949999998</v>
      </c>
      <c r="H300">
        <v>4</v>
      </c>
      <c r="I300">
        <v>44</v>
      </c>
      <c r="J300">
        <v>1.18</v>
      </c>
      <c r="K300">
        <v>21.048840999999999</v>
      </c>
      <c r="L300">
        <v>-5.2707349188337487</v>
      </c>
      <c r="M300">
        <v>1.362362896882056</v>
      </c>
      <c r="N300">
        <v>-3.7960646925315982</v>
      </c>
      <c r="O300">
        <v>-2.0040579862569339</v>
      </c>
    </row>
    <row r="301" spans="1:15" x14ac:dyDescent="0.25">
      <c r="A301">
        <v>272.7453385</v>
      </c>
      <c r="B301">
        <v>22.84300425</v>
      </c>
      <c r="C301">
        <v>-259.79325849999998</v>
      </c>
      <c r="D301">
        <v>-132.43148049999999</v>
      </c>
      <c r="E301">
        <v>-8.6971592500000003</v>
      </c>
      <c r="F301">
        <v>5.0188272500000002</v>
      </c>
      <c r="G301">
        <v>278.55819700000001</v>
      </c>
      <c r="H301">
        <v>8</v>
      </c>
      <c r="I301">
        <v>-44</v>
      </c>
      <c r="J301">
        <v>1.18</v>
      </c>
      <c r="K301">
        <v>21.531957500000001</v>
      </c>
      <c r="L301">
        <v>2.841498593222739</v>
      </c>
      <c r="M301">
        <v>0.82852275428704136</v>
      </c>
      <c r="N301">
        <v>-1.532742676950132</v>
      </c>
      <c r="O301">
        <v>-1.0731952373851441</v>
      </c>
    </row>
    <row r="302" spans="1:15" x14ac:dyDescent="0.25">
      <c r="A302">
        <v>291.51802075000001</v>
      </c>
      <c r="B302">
        <v>59.968995999999997</v>
      </c>
      <c r="C302">
        <v>-232.59615299999999</v>
      </c>
      <c r="D302">
        <v>-99.607700249999994</v>
      </c>
      <c r="E302">
        <v>47.610840750000001</v>
      </c>
      <c r="F302">
        <v>5.652272</v>
      </c>
      <c r="G302">
        <v>295.12284075000002</v>
      </c>
      <c r="H302">
        <v>8</v>
      </c>
      <c r="I302">
        <v>-40</v>
      </c>
      <c r="J302">
        <v>1.18</v>
      </c>
      <c r="K302">
        <v>22.150111750000001</v>
      </c>
      <c r="L302">
        <v>2.4524528546911961</v>
      </c>
      <c r="M302">
        <v>0.74666667460439984</v>
      </c>
      <c r="N302">
        <v>-1.1581708990382711</v>
      </c>
      <c r="O302">
        <v>-0.80367054712231545</v>
      </c>
    </row>
    <row r="303" spans="1:15" x14ac:dyDescent="0.25">
      <c r="A303">
        <v>305.46215799999999</v>
      </c>
      <c r="B303">
        <v>95.748191750000004</v>
      </c>
      <c r="C303">
        <v>-193.53696450000001</v>
      </c>
      <c r="D303">
        <v>-61.320583499999998</v>
      </c>
      <c r="E303">
        <v>104.3414745</v>
      </c>
      <c r="F303">
        <v>5.8959054999999996</v>
      </c>
      <c r="G303">
        <v>308.24653649999999</v>
      </c>
      <c r="H303">
        <v>8</v>
      </c>
      <c r="I303">
        <v>-36</v>
      </c>
      <c r="J303">
        <v>1.18</v>
      </c>
      <c r="K303">
        <v>22.63754475</v>
      </c>
      <c r="L303">
        <v>2.1529830739037932</v>
      </c>
      <c r="M303">
        <v>0.67766926653429804</v>
      </c>
      <c r="N303">
        <v>-0.87975749781424883</v>
      </c>
      <c r="O303">
        <v>-0.57522634694099395</v>
      </c>
    </row>
    <row r="304" spans="1:15" x14ac:dyDescent="0.25">
      <c r="A304">
        <v>313.63007325000001</v>
      </c>
      <c r="B304">
        <v>130.84524575</v>
      </c>
      <c r="C304">
        <v>-145.23165549999999</v>
      </c>
      <c r="D304">
        <v>-23.383115249999999</v>
      </c>
      <c r="E304">
        <v>158.79215600000001</v>
      </c>
      <c r="F304">
        <v>6.1882644999999998</v>
      </c>
      <c r="G304">
        <v>319.44967650000001</v>
      </c>
      <c r="H304">
        <v>8</v>
      </c>
      <c r="I304">
        <v>-32</v>
      </c>
      <c r="J304">
        <v>1.18</v>
      </c>
      <c r="K304">
        <v>23.042378500000002</v>
      </c>
      <c r="L304">
        <v>1.8875467123727181</v>
      </c>
      <c r="M304">
        <v>0.63442152431821541</v>
      </c>
      <c r="N304">
        <v>-0.66087489579257686</v>
      </c>
      <c r="O304">
        <v>-0.3722520390604408</v>
      </c>
    </row>
    <row r="305" spans="1:15" x14ac:dyDescent="0.25">
      <c r="A305">
        <v>319.85754374999999</v>
      </c>
      <c r="B305">
        <v>163.15983575000001</v>
      </c>
      <c r="C305">
        <v>-94.35546875</v>
      </c>
      <c r="D305">
        <v>16.646548500000002</v>
      </c>
      <c r="E305">
        <v>210.15819174999999</v>
      </c>
      <c r="F305">
        <v>6.3344445</v>
      </c>
      <c r="G305">
        <v>331.17296575</v>
      </c>
      <c r="H305">
        <v>8</v>
      </c>
      <c r="I305">
        <v>-28</v>
      </c>
      <c r="J305">
        <v>1.18</v>
      </c>
      <c r="K305">
        <v>23.46429925</v>
      </c>
      <c r="L305">
        <v>1.6634556032860739</v>
      </c>
      <c r="M305">
        <v>0.58838012081762003</v>
      </c>
      <c r="N305">
        <v>-0.48599798281047168</v>
      </c>
      <c r="O305">
        <v>-0.18148204919121011</v>
      </c>
    </row>
    <row r="306" spans="1:15" x14ac:dyDescent="0.25">
      <c r="A306">
        <v>309.56866450000001</v>
      </c>
      <c r="B306">
        <v>184.00735474999999</v>
      </c>
      <c r="C306">
        <v>-42.216404249999997</v>
      </c>
      <c r="D306">
        <v>52.790543249999999</v>
      </c>
      <c r="E306">
        <v>246.05629725</v>
      </c>
      <c r="F306">
        <v>6.2369909999999997</v>
      </c>
      <c r="G306">
        <v>329.09238425000001</v>
      </c>
      <c r="H306">
        <v>8</v>
      </c>
      <c r="I306">
        <v>-24</v>
      </c>
      <c r="J306">
        <v>1.18</v>
      </c>
      <c r="K306">
        <v>23.392506000000001</v>
      </c>
      <c r="L306">
        <v>1.4611030040805379</v>
      </c>
      <c r="M306">
        <v>0.54496868551144528</v>
      </c>
      <c r="N306">
        <v>-0.34487494653350392</v>
      </c>
      <c r="O306">
        <v>-3.933931740195358E-3</v>
      </c>
    </row>
    <row r="307" spans="1:15" x14ac:dyDescent="0.25">
      <c r="A307">
        <v>271.88793974999999</v>
      </c>
      <c r="B307">
        <v>186.49522775</v>
      </c>
      <c r="C307">
        <v>8.5356310000000004</v>
      </c>
      <c r="D307">
        <v>74.865791250000001</v>
      </c>
      <c r="E307">
        <v>251.77854124999999</v>
      </c>
      <c r="F307">
        <v>5.74972525</v>
      </c>
      <c r="G307">
        <v>301.08452599999998</v>
      </c>
      <c r="H307">
        <v>8</v>
      </c>
      <c r="I307">
        <v>-20</v>
      </c>
      <c r="J307">
        <v>1.18</v>
      </c>
      <c r="K307">
        <v>22.373342749999999</v>
      </c>
      <c r="L307">
        <v>1.253595905043529</v>
      </c>
      <c r="M307">
        <v>0.5313717216507674</v>
      </c>
      <c r="N307">
        <v>-0.23470158829764909</v>
      </c>
      <c r="O307">
        <v>0.17113562481794239</v>
      </c>
    </row>
    <row r="308" spans="1:15" x14ac:dyDescent="0.25">
      <c r="A308">
        <v>240.84082025000001</v>
      </c>
      <c r="B308">
        <v>188.047123</v>
      </c>
      <c r="C308">
        <v>46.652462999999997</v>
      </c>
      <c r="D308">
        <v>86.825046499999999</v>
      </c>
      <c r="E308">
        <v>254.1479075</v>
      </c>
      <c r="F308">
        <v>5.0188272500000002</v>
      </c>
      <c r="G308">
        <v>280.95886975000002</v>
      </c>
      <c r="H308">
        <v>8</v>
      </c>
      <c r="I308">
        <v>-16</v>
      </c>
      <c r="J308">
        <v>1.18</v>
      </c>
      <c r="K308">
        <v>21.626222500000001</v>
      </c>
      <c r="L308">
        <v>1.0361744178776811</v>
      </c>
      <c r="M308">
        <v>0.54011093283371403</v>
      </c>
      <c r="N308">
        <v>-0.14306930425879319</v>
      </c>
      <c r="O308">
        <v>0.32933979961392629</v>
      </c>
    </row>
    <row r="309" spans="1:15" x14ac:dyDescent="0.25">
      <c r="A309">
        <v>209.83881775</v>
      </c>
      <c r="B309">
        <v>186.57829674999999</v>
      </c>
      <c r="C309">
        <v>77.949815749999999</v>
      </c>
      <c r="D309">
        <v>90.773365249999998</v>
      </c>
      <c r="E309">
        <v>249.85622749999999</v>
      </c>
      <c r="F309">
        <v>4.7751944999999996</v>
      </c>
      <c r="G309">
        <v>263.51397700000001</v>
      </c>
      <c r="H309">
        <v>8</v>
      </c>
      <c r="I309">
        <v>-12</v>
      </c>
      <c r="J309">
        <v>1.18</v>
      </c>
      <c r="K309">
        <v>20.941339249999999</v>
      </c>
      <c r="L309">
        <v>0.79692702727777709</v>
      </c>
      <c r="M309">
        <v>0.57890028761027379</v>
      </c>
      <c r="N309">
        <v>-8.2536271957295251E-2</v>
      </c>
      <c r="O309">
        <v>0.4809061444159578</v>
      </c>
    </row>
    <row r="310" spans="1:15" x14ac:dyDescent="0.25">
      <c r="A310">
        <v>203.92723475</v>
      </c>
      <c r="B310">
        <v>207.44814700000001</v>
      </c>
      <c r="C310">
        <v>115.07308</v>
      </c>
      <c r="D310">
        <v>99.535421249999999</v>
      </c>
      <c r="E310">
        <v>273.01341224999999</v>
      </c>
      <c r="F310">
        <v>5.2624599999999999</v>
      </c>
      <c r="G310">
        <v>281.15893549999998</v>
      </c>
      <c r="H310">
        <v>8</v>
      </c>
      <c r="I310">
        <v>-8</v>
      </c>
      <c r="J310">
        <v>1.18</v>
      </c>
      <c r="K310">
        <v>21.624530249999999</v>
      </c>
      <c r="L310">
        <v>0.53619542316764301</v>
      </c>
      <c r="M310">
        <v>0.65120973104615609</v>
      </c>
      <c r="N310">
        <v>-4.9152479401413873E-2</v>
      </c>
      <c r="O310">
        <v>0.615810915469301</v>
      </c>
    </row>
    <row r="311" spans="1:15" x14ac:dyDescent="0.25">
      <c r="A311">
        <v>191.24664675</v>
      </c>
      <c r="B311">
        <v>222.7865755</v>
      </c>
      <c r="C311">
        <v>149.30596925</v>
      </c>
      <c r="D311">
        <v>105.13628774999999</v>
      </c>
      <c r="E311">
        <v>291.47657800000002</v>
      </c>
      <c r="F311">
        <v>5.4086394999999996</v>
      </c>
      <c r="G311">
        <v>296.52324675</v>
      </c>
      <c r="H311">
        <v>8</v>
      </c>
      <c r="I311">
        <v>-4</v>
      </c>
      <c r="J311">
        <v>1.18</v>
      </c>
      <c r="K311">
        <v>22.212929249999998</v>
      </c>
      <c r="L311">
        <v>0.2553335632427608</v>
      </c>
      <c r="M311">
        <v>0.7162682642003837</v>
      </c>
      <c r="N311">
        <v>-3.0734719789351529E-2</v>
      </c>
      <c r="O311">
        <v>0.74162812801511602</v>
      </c>
    </row>
    <row r="312" spans="1:15" x14ac:dyDescent="0.25">
      <c r="A312">
        <v>171.0299225</v>
      </c>
      <c r="B312">
        <v>234.23271199999999</v>
      </c>
      <c r="C312">
        <v>180.55815874999999</v>
      </c>
      <c r="D312">
        <v>109.07890125</v>
      </c>
      <c r="E312">
        <v>303.54692875000001</v>
      </c>
      <c r="F312">
        <v>5.8959054999999996</v>
      </c>
      <c r="G312">
        <v>308.48661075000001</v>
      </c>
      <c r="H312">
        <v>8</v>
      </c>
      <c r="I312">
        <v>0</v>
      </c>
      <c r="J312">
        <v>1.18</v>
      </c>
      <c r="K312">
        <v>22.64652675</v>
      </c>
      <c r="L312">
        <v>-5.8248327134803317E-2</v>
      </c>
      <c r="M312">
        <v>0.76552382359998328</v>
      </c>
      <c r="N312">
        <v>-3.0236843970507851E-2</v>
      </c>
      <c r="O312">
        <v>0.82060757651204197</v>
      </c>
    </row>
    <row r="313" spans="1:15" x14ac:dyDescent="0.25">
      <c r="A313">
        <v>146.39077750000001</v>
      </c>
      <c r="B313">
        <v>242.31136325</v>
      </c>
      <c r="C313">
        <v>214.1587715</v>
      </c>
      <c r="D313">
        <v>115.73753725</v>
      </c>
      <c r="E313">
        <v>315.080803</v>
      </c>
      <c r="F313">
        <v>6.1395379999999999</v>
      </c>
      <c r="G313">
        <v>320.77004249999999</v>
      </c>
      <c r="H313">
        <v>8</v>
      </c>
      <c r="I313">
        <v>4</v>
      </c>
      <c r="J313">
        <v>1.18</v>
      </c>
      <c r="K313">
        <v>23.092676999999998</v>
      </c>
      <c r="L313">
        <v>-0.36827833474140509</v>
      </c>
      <c r="M313">
        <v>0.68785687776602744</v>
      </c>
      <c r="N313">
        <v>-3.095181372923762E-2</v>
      </c>
      <c r="O313">
        <v>0.67889113174646909</v>
      </c>
    </row>
    <row r="314" spans="1:15" x14ac:dyDescent="0.25">
      <c r="A314">
        <v>116.381573</v>
      </c>
      <c r="B314">
        <v>246.25450925000001</v>
      </c>
      <c r="C314">
        <v>245.90775300000001</v>
      </c>
      <c r="D314">
        <v>117.97168550000001</v>
      </c>
      <c r="E314">
        <v>318.38897724999998</v>
      </c>
      <c r="F314">
        <v>6.1395382500000002</v>
      </c>
      <c r="G314">
        <v>331.33301525000002</v>
      </c>
      <c r="H314">
        <v>8</v>
      </c>
      <c r="I314">
        <v>8</v>
      </c>
      <c r="J314">
        <v>1.18</v>
      </c>
      <c r="K314">
        <v>23.47711975</v>
      </c>
      <c r="L314">
        <v>-0.64372796734911875</v>
      </c>
      <c r="M314">
        <v>0.63756768211171777</v>
      </c>
      <c r="N314">
        <v>-6.4343589741842469E-2</v>
      </c>
      <c r="O314">
        <v>0.55184021547743345</v>
      </c>
    </row>
    <row r="315" spans="1:15" x14ac:dyDescent="0.25">
      <c r="A315">
        <v>75.361467500000003</v>
      </c>
      <c r="B315">
        <v>235.74005525000001</v>
      </c>
      <c r="C315">
        <v>266.36618800000002</v>
      </c>
      <c r="D315">
        <v>111.97014625</v>
      </c>
      <c r="E315">
        <v>305.24572775000001</v>
      </c>
      <c r="F315">
        <v>6.3831712500000002</v>
      </c>
      <c r="G315">
        <v>329.53250874999998</v>
      </c>
      <c r="H315">
        <v>8</v>
      </c>
      <c r="I315">
        <v>12</v>
      </c>
      <c r="J315">
        <v>1.18</v>
      </c>
      <c r="K315">
        <v>23.403154749999999</v>
      </c>
      <c r="L315">
        <v>-0.90274663689973944</v>
      </c>
      <c r="M315">
        <v>0.58495786310165976</v>
      </c>
      <c r="N315">
        <v>-0.11479031663100819</v>
      </c>
      <c r="O315">
        <v>0.4125414605613224</v>
      </c>
    </row>
    <row r="316" spans="1:15" x14ac:dyDescent="0.25">
      <c r="A316">
        <v>30.550725</v>
      </c>
      <c r="B316">
        <v>206.0055275</v>
      </c>
      <c r="C316">
        <v>262.03062425000002</v>
      </c>
      <c r="D316">
        <v>89.015386500000005</v>
      </c>
      <c r="E316">
        <v>261.52423075000002</v>
      </c>
      <c r="F316">
        <v>5.5548190000000002</v>
      </c>
      <c r="G316">
        <v>303.52520750000002</v>
      </c>
      <c r="H316">
        <v>8</v>
      </c>
      <c r="I316">
        <v>16</v>
      </c>
      <c r="J316">
        <v>1.18</v>
      </c>
      <c r="K316">
        <v>22.472943999999998</v>
      </c>
      <c r="L316">
        <v>-1.1474330210292181</v>
      </c>
      <c r="M316">
        <v>0.57989916387485885</v>
      </c>
      <c r="N316">
        <v>-0.20821395575782339</v>
      </c>
      <c r="O316">
        <v>0.26879931219394781</v>
      </c>
    </row>
    <row r="317" spans="1:15" x14ac:dyDescent="0.25">
      <c r="A317">
        <v>-7.9288670000000003</v>
      </c>
      <c r="B317">
        <v>177.53790649999999</v>
      </c>
      <c r="C317">
        <v>253.76595325</v>
      </c>
      <c r="D317">
        <v>62.293236750000013</v>
      </c>
      <c r="E317">
        <v>217.40040225000001</v>
      </c>
      <c r="F317">
        <v>5.0188272500000002</v>
      </c>
      <c r="G317">
        <v>280.55876925000001</v>
      </c>
      <c r="H317">
        <v>8</v>
      </c>
      <c r="I317">
        <v>20</v>
      </c>
      <c r="J317">
        <v>1.18</v>
      </c>
      <c r="K317">
        <v>21.610557249999999</v>
      </c>
      <c r="L317">
        <v>-1.375801484565595</v>
      </c>
      <c r="M317">
        <v>0.6058354009036343</v>
      </c>
      <c r="N317">
        <v>-0.33204963657127151</v>
      </c>
      <c r="O317">
        <v>0.1165129402248116</v>
      </c>
    </row>
    <row r="318" spans="1:15" x14ac:dyDescent="0.25">
      <c r="A318">
        <v>-42.034249500000001</v>
      </c>
      <c r="B318">
        <v>153.73473749999999</v>
      </c>
      <c r="C318">
        <v>247.30777724999999</v>
      </c>
      <c r="D318">
        <v>28.86864675</v>
      </c>
      <c r="E318">
        <v>174.260086</v>
      </c>
      <c r="F318">
        <v>4.8239207500000001</v>
      </c>
      <c r="G318">
        <v>263.79405974999997</v>
      </c>
      <c r="H318">
        <v>8</v>
      </c>
      <c r="I318">
        <v>24</v>
      </c>
      <c r="J318">
        <v>1.18</v>
      </c>
      <c r="K318">
        <v>20.950700250000001</v>
      </c>
      <c r="L318">
        <v>-1.5999562118988371</v>
      </c>
      <c r="M318">
        <v>0.69046798179596514</v>
      </c>
      <c r="N318">
        <v>-0.49509375044083259</v>
      </c>
      <c r="O318">
        <v>-6.3066664321635602E-2</v>
      </c>
    </row>
    <row r="319" spans="1:15" x14ac:dyDescent="0.25">
      <c r="A319">
        <v>-85.99462299999999</v>
      </c>
      <c r="B319">
        <v>143.58834450000001</v>
      </c>
      <c r="C319">
        <v>266.72749325000001</v>
      </c>
      <c r="D319">
        <v>-11.494878</v>
      </c>
      <c r="E319">
        <v>142.072487</v>
      </c>
      <c r="F319">
        <v>5.1162805000000002</v>
      </c>
      <c r="G319">
        <v>277.59793100000002</v>
      </c>
      <c r="H319">
        <v>8</v>
      </c>
      <c r="I319">
        <v>28</v>
      </c>
      <c r="J319">
        <v>1.18</v>
      </c>
      <c r="K319">
        <v>21.4902905</v>
      </c>
      <c r="L319">
        <v>-1.8484813599524941</v>
      </c>
      <c r="M319">
        <v>0.81272521749461113</v>
      </c>
      <c r="N319">
        <v>-0.71023873938363014</v>
      </c>
      <c r="O319">
        <v>-0.28225846801269089</v>
      </c>
    </row>
    <row r="320" spans="1:15" x14ac:dyDescent="0.25">
      <c r="A320">
        <v>-132.67194375</v>
      </c>
      <c r="B320">
        <v>128.20044150000001</v>
      </c>
      <c r="C320">
        <v>283.57295975</v>
      </c>
      <c r="D320">
        <v>-57.518095000000002</v>
      </c>
      <c r="E320">
        <v>97.725135749999993</v>
      </c>
      <c r="F320">
        <v>5.4573660000000004</v>
      </c>
      <c r="G320">
        <v>292.04199249999999</v>
      </c>
      <c r="H320">
        <v>8</v>
      </c>
      <c r="I320">
        <v>32</v>
      </c>
      <c r="J320">
        <v>1.18</v>
      </c>
      <c r="K320">
        <v>22.039420750000001</v>
      </c>
      <c r="L320">
        <v>-2.1587452866864569</v>
      </c>
      <c r="M320">
        <v>0.96319272131962075</v>
      </c>
      <c r="N320">
        <v>-1.007809649443578</v>
      </c>
      <c r="O320">
        <v>-0.52149856429811625</v>
      </c>
    </row>
    <row r="321" spans="1:15" x14ac:dyDescent="0.25">
      <c r="A321">
        <v>-184.89668649999999</v>
      </c>
      <c r="B321">
        <v>105.45519475</v>
      </c>
      <c r="C321">
        <v>297.88935850000001</v>
      </c>
      <c r="D321">
        <v>-108.043108</v>
      </c>
      <c r="E321">
        <v>39.608646499999999</v>
      </c>
      <c r="F321">
        <v>5.7497255000000003</v>
      </c>
      <c r="G321">
        <v>306.08592225000001</v>
      </c>
      <c r="H321">
        <v>8</v>
      </c>
      <c r="I321">
        <v>36</v>
      </c>
      <c r="J321">
        <v>1.18</v>
      </c>
      <c r="K321">
        <v>22.562004999999999</v>
      </c>
      <c r="L321">
        <v>-2.5947633225353441</v>
      </c>
      <c r="M321">
        <v>1.1473738690906941</v>
      </c>
      <c r="N321">
        <v>-1.432277556443297</v>
      </c>
      <c r="O321">
        <v>-0.8180881777287724</v>
      </c>
    </row>
    <row r="322" spans="1:15" x14ac:dyDescent="0.25">
      <c r="A322">
        <v>-238.70565400000001</v>
      </c>
      <c r="B322">
        <v>77.083748</v>
      </c>
      <c r="C322">
        <v>307.87020100000001</v>
      </c>
      <c r="D322">
        <v>-162.72026074999999</v>
      </c>
      <c r="E322">
        <v>-30.150152250000001</v>
      </c>
      <c r="F322">
        <v>5.9933584999999994</v>
      </c>
      <c r="G322">
        <v>318.68945350000001</v>
      </c>
      <c r="H322">
        <v>8</v>
      </c>
      <c r="I322">
        <v>40</v>
      </c>
      <c r="J322">
        <v>1.18</v>
      </c>
      <c r="K322">
        <v>23.021581000000001</v>
      </c>
      <c r="L322">
        <v>-3.2046384139647039</v>
      </c>
      <c r="M322">
        <v>1.4059821603660609</v>
      </c>
      <c r="N322">
        <v>-2.0453086873414632</v>
      </c>
      <c r="O322">
        <v>-1.2119457220381891</v>
      </c>
    </row>
    <row r="323" spans="1:15" x14ac:dyDescent="0.25">
      <c r="A323">
        <v>-293.58361824999997</v>
      </c>
      <c r="B323">
        <v>39.912343249999999</v>
      </c>
      <c r="C323">
        <v>310.71540049999999</v>
      </c>
      <c r="D323">
        <v>-219.45162199999999</v>
      </c>
      <c r="E323">
        <v>-112.21564875</v>
      </c>
      <c r="F323">
        <v>6.0908115</v>
      </c>
      <c r="G323">
        <v>328.61225124999999</v>
      </c>
      <c r="H323">
        <v>8</v>
      </c>
      <c r="I323">
        <v>44</v>
      </c>
      <c r="J323">
        <v>1.18</v>
      </c>
      <c r="K323">
        <v>23.380466250000001</v>
      </c>
      <c r="L323">
        <v>-4.1882266743137464</v>
      </c>
      <c r="M323">
        <v>1.7976797036158001</v>
      </c>
      <c r="N323">
        <v>-3.0554875448910361</v>
      </c>
      <c r="O323">
        <v>-1.820117180401388</v>
      </c>
    </row>
    <row r="324" spans="1:15" x14ac:dyDescent="0.25">
      <c r="A324">
        <v>310.51633450000003</v>
      </c>
      <c r="B324">
        <v>63.571244999999998</v>
      </c>
      <c r="C324">
        <v>-304.35501075000002</v>
      </c>
      <c r="D324">
        <v>-210.49175625000001</v>
      </c>
      <c r="E324">
        <v>-18.95534675</v>
      </c>
      <c r="F324">
        <v>5.8959052500000002</v>
      </c>
      <c r="G324">
        <v>323.81090575000002</v>
      </c>
      <c r="H324">
        <v>12</v>
      </c>
      <c r="I324">
        <v>-44</v>
      </c>
      <c r="J324">
        <v>1.18</v>
      </c>
      <c r="K324">
        <v>23.212867500000002</v>
      </c>
      <c r="L324">
        <v>2.5784217428580849</v>
      </c>
      <c r="M324">
        <v>1.14927163756447</v>
      </c>
      <c r="N324">
        <v>-1.4373654991827329</v>
      </c>
      <c r="O324">
        <v>-1.1042124122837309</v>
      </c>
    </row>
    <row r="325" spans="1:15" x14ac:dyDescent="0.25">
      <c r="A325">
        <v>288.2688905</v>
      </c>
      <c r="B325">
        <v>91.365648249999992</v>
      </c>
      <c r="C325">
        <v>-236.7456205</v>
      </c>
      <c r="D325">
        <v>-150.0015985</v>
      </c>
      <c r="E325">
        <v>37.865151500000003</v>
      </c>
      <c r="F325">
        <v>5.4573660000000004</v>
      </c>
      <c r="G325">
        <v>296.40320574999998</v>
      </c>
      <c r="H325">
        <v>12</v>
      </c>
      <c r="I325">
        <v>-40</v>
      </c>
      <c r="J325">
        <v>1.18</v>
      </c>
      <c r="K325">
        <v>22.206469250000001</v>
      </c>
      <c r="L325">
        <v>2.2704388747738191</v>
      </c>
      <c r="M325">
        <v>1.0437995601173691</v>
      </c>
      <c r="N325">
        <v>-1.1180630633859281</v>
      </c>
      <c r="O325">
        <v>-0.85984782357605161</v>
      </c>
    </row>
    <row r="326" spans="1:15" x14ac:dyDescent="0.25">
      <c r="A326">
        <v>270.39875024999998</v>
      </c>
      <c r="B326">
        <v>113.8704565</v>
      </c>
      <c r="C326">
        <v>-177.34498600000001</v>
      </c>
      <c r="D326">
        <v>-102.36123075</v>
      </c>
      <c r="E326">
        <v>82.257208000000006</v>
      </c>
      <c r="F326">
        <v>4.9701005</v>
      </c>
      <c r="G326">
        <v>277.67795575000002</v>
      </c>
      <c r="H326">
        <v>12</v>
      </c>
      <c r="I326">
        <v>-36</v>
      </c>
      <c r="J326">
        <v>1.18</v>
      </c>
      <c r="K326">
        <v>21.499215249999999</v>
      </c>
      <c r="L326">
        <v>2.015860945901029</v>
      </c>
      <c r="M326">
        <v>0.97353050895667992</v>
      </c>
      <c r="N326">
        <v>-0.87984123972599959</v>
      </c>
      <c r="O326">
        <v>-0.65203352816284554</v>
      </c>
    </row>
    <row r="327" spans="1:15" x14ac:dyDescent="0.25">
      <c r="A327">
        <v>253.20552075000001</v>
      </c>
      <c r="B327">
        <v>130.70097749999999</v>
      </c>
      <c r="C327">
        <v>-118.57578650000001</v>
      </c>
      <c r="D327">
        <v>-54.764570999999997</v>
      </c>
      <c r="E327">
        <v>120.21175775</v>
      </c>
      <c r="F327">
        <v>4.8726475000000002</v>
      </c>
      <c r="G327">
        <v>261.91352074999998</v>
      </c>
      <c r="H327">
        <v>12</v>
      </c>
      <c r="I327">
        <v>-32</v>
      </c>
      <c r="J327">
        <v>1.18</v>
      </c>
      <c r="K327">
        <v>20.872529</v>
      </c>
      <c r="L327">
        <v>1.797103822676589</v>
      </c>
      <c r="M327">
        <v>0.89648337067791439</v>
      </c>
      <c r="N327">
        <v>-0.68495842789385608</v>
      </c>
      <c r="O327">
        <v>-0.44250230944327879</v>
      </c>
    </row>
    <row r="328" spans="1:15" x14ac:dyDescent="0.25">
      <c r="A328">
        <v>263.08824175000001</v>
      </c>
      <c r="B328">
        <v>161.62104400000001</v>
      </c>
      <c r="C328">
        <v>-78.434112499999998</v>
      </c>
      <c r="D328">
        <v>-21.547431249999999</v>
      </c>
      <c r="E328">
        <v>165.36379249999999</v>
      </c>
      <c r="F328">
        <v>5.1650070000000001</v>
      </c>
      <c r="G328">
        <v>277.91802224999998</v>
      </c>
      <c r="H328">
        <v>12</v>
      </c>
      <c r="I328">
        <v>-28</v>
      </c>
      <c r="J328">
        <v>1.18</v>
      </c>
      <c r="K328">
        <v>21.500986000000001</v>
      </c>
      <c r="L328">
        <v>1.585857704281638</v>
      </c>
      <c r="M328">
        <v>0.85055386874662686</v>
      </c>
      <c r="N328">
        <v>-0.52265740329804644</v>
      </c>
      <c r="O328">
        <v>-0.25612243738094492</v>
      </c>
    </row>
    <row r="329" spans="1:15" x14ac:dyDescent="0.25">
      <c r="A329">
        <v>270.21824650000002</v>
      </c>
      <c r="B329">
        <v>191.09849525000001</v>
      </c>
      <c r="C329">
        <v>-35.947087750000001</v>
      </c>
      <c r="D329">
        <v>13.142004</v>
      </c>
      <c r="E329">
        <v>207.87824225</v>
      </c>
      <c r="F329">
        <v>5.3599130000000006</v>
      </c>
      <c r="G329">
        <v>294.402649</v>
      </c>
      <c r="H329">
        <v>12</v>
      </c>
      <c r="I329">
        <v>-24</v>
      </c>
      <c r="J329">
        <v>1.18</v>
      </c>
      <c r="K329">
        <v>22.13373125</v>
      </c>
      <c r="L329">
        <v>1.396229669810422</v>
      </c>
      <c r="M329">
        <v>0.81153459794848914</v>
      </c>
      <c r="N329">
        <v>-0.39458068300887811</v>
      </c>
      <c r="O329">
        <v>-7.6442719675095486E-2</v>
      </c>
    </row>
    <row r="330" spans="1:15" x14ac:dyDescent="0.25">
      <c r="A330">
        <v>270.12799849999999</v>
      </c>
      <c r="B330">
        <v>215.14209775</v>
      </c>
      <c r="C330">
        <v>9.4840347499999993</v>
      </c>
      <c r="D330">
        <v>45.427616999999998</v>
      </c>
      <c r="E330">
        <v>245.78807075</v>
      </c>
      <c r="F330">
        <v>5.8959052500000002</v>
      </c>
      <c r="G330">
        <v>307.36627974999999</v>
      </c>
      <c r="H330">
        <v>12</v>
      </c>
      <c r="I330">
        <v>-20</v>
      </c>
      <c r="J330">
        <v>1.18</v>
      </c>
      <c r="K330">
        <v>22.604569000000001</v>
      </c>
      <c r="L330">
        <v>1.193816706538958</v>
      </c>
      <c r="M330">
        <v>0.77732409450576967</v>
      </c>
      <c r="N330">
        <v>-0.28205179127182528</v>
      </c>
      <c r="O330">
        <v>9.8748034402925094E-2</v>
      </c>
    </row>
    <row r="331" spans="1:15" x14ac:dyDescent="0.25">
      <c r="A331">
        <v>265.29944599999999</v>
      </c>
      <c r="B331">
        <v>237.11794699999999</v>
      </c>
      <c r="C331">
        <v>51.891270499999997</v>
      </c>
      <c r="D331">
        <v>64.220733749999994</v>
      </c>
      <c r="E331">
        <v>274.80162000000001</v>
      </c>
      <c r="F331">
        <v>5.9933584999999994</v>
      </c>
      <c r="G331">
        <v>318.6894605</v>
      </c>
      <c r="H331">
        <v>12</v>
      </c>
      <c r="I331">
        <v>-16</v>
      </c>
      <c r="J331">
        <v>1.18</v>
      </c>
      <c r="K331">
        <v>23.021573499999999</v>
      </c>
      <c r="L331">
        <v>0.98464037792434245</v>
      </c>
      <c r="M331">
        <v>0.79770328383727396</v>
      </c>
      <c r="N331">
        <v>-0.20251051733821079</v>
      </c>
      <c r="O331">
        <v>0.24018313703055269</v>
      </c>
    </row>
    <row r="332" spans="1:15" x14ac:dyDescent="0.25">
      <c r="A332">
        <v>254.69469075000001</v>
      </c>
      <c r="B332">
        <v>257.50691949999998</v>
      </c>
      <c r="C332">
        <v>93.711399</v>
      </c>
      <c r="D332">
        <v>77.231353499999997</v>
      </c>
      <c r="E332">
        <v>300.46228050000002</v>
      </c>
      <c r="F332">
        <v>6.2857174999999996</v>
      </c>
      <c r="G332">
        <v>330.2527005</v>
      </c>
      <c r="H332">
        <v>12</v>
      </c>
      <c r="I332">
        <v>-12</v>
      </c>
      <c r="J332">
        <v>1.18</v>
      </c>
      <c r="K332">
        <v>23.432803750000001</v>
      </c>
      <c r="L332">
        <v>0.74880794708557497</v>
      </c>
      <c r="M332">
        <v>0.83854104754929848</v>
      </c>
      <c r="N332">
        <v>-0.1385798426851545</v>
      </c>
      <c r="O332">
        <v>0.36831942832271758</v>
      </c>
    </row>
    <row r="333" spans="1:15" x14ac:dyDescent="0.25">
      <c r="A333">
        <v>231.77036674999999</v>
      </c>
      <c r="B333">
        <v>266.01835649999998</v>
      </c>
      <c r="C333">
        <v>126.770071</v>
      </c>
      <c r="D333">
        <v>79.640732</v>
      </c>
      <c r="E333">
        <v>311.19147525</v>
      </c>
      <c r="F333">
        <v>6.23699125</v>
      </c>
      <c r="G333">
        <v>330.49277475000002</v>
      </c>
      <c r="H333">
        <v>12</v>
      </c>
      <c r="I333">
        <v>-8</v>
      </c>
      <c r="J333">
        <v>1.18</v>
      </c>
      <c r="K333">
        <v>23.443189749999998</v>
      </c>
      <c r="L333">
        <v>0.50487427183767519</v>
      </c>
      <c r="M333">
        <v>0.8960976727206692</v>
      </c>
      <c r="N333">
        <v>-9.2812700684104313E-2</v>
      </c>
      <c r="O333">
        <v>0.46623719649048168</v>
      </c>
    </row>
    <row r="334" spans="1:15" x14ac:dyDescent="0.25">
      <c r="A334">
        <v>188.4036715</v>
      </c>
      <c r="B334">
        <v>248.658871</v>
      </c>
      <c r="C334">
        <v>143.07359700000001</v>
      </c>
      <c r="D334">
        <v>69.740391000000002</v>
      </c>
      <c r="E334">
        <v>288.74958075000001</v>
      </c>
      <c r="F334">
        <v>5.5060925000000003</v>
      </c>
      <c r="G334">
        <v>302.72498324999998</v>
      </c>
      <c r="H334">
        <v>12</v>
      </c>
      <c r="I334">
        <v>-4</v>
      </c>
      <c r="J334">
        <v>1.18</v>
      </c>
      <c r="K334">
        <v>22.444595750000001</v>
      </c>
      <c r="L334">
        <v>0.248603594890075</v>
      </c>
      <c r="M334">
        <v>0.98121884288634764</v>
      </c>
      <c r="N334">
        <v>-7.6643519114400399E-2</v>
      </c>
      <c r="O334">
        <v>0.55335774096894119</v>
      </c>
    </row>
    <row r="335" spans="1:15" x14ac:dyDescent="0.25">
      <c r="A335">
        <v>151.71572499999999</v>
      </c>
      <c r="B335">
        <v>234.37697249999999</v>
      </c>
      <c r="C335">
        <v>157.48031599999999</v>
      </c>
      <c r="D335">
        <v>66.542497749999995</v>
      </c>
      <c r="E335">
        <v>271.44874549999997</v>
      </c>
      <c r="F335">
        <v>5.2137335</v>
      </c>
      <c r="G335">
        <v>283.15949225000003</v>
      </c>
      <c r="H335">
        <v>12</v>
      </c>
      <c r="I335">
        <v>0</v>
      </c>
      <c r="J335">
        <v>1.18</v>
      </c>
      <c r="K335">
        <v>21.704694</v>
      </c>
      <c r="L335">
        <v>-3.5516347632609413E-2</v>
      </c>
      <c r="M335">
        <v>1.033977377125783</v>
      </c>
      <c r="N335">
        <v>-7.2145723914896875E-2</v>
      </c>
      <c r="O335">
        <v>0.6401977267109884</v>
      </c>
    </row>
    <row r="336" spans="1:15" x14ac:dyDescent="0.25">
      <c r="A336">
        <v>117.01334575</v>
      </c>
      <c r="B336">
        <v>216.24810024999999</v>
      </c>
      <c r="C336">
        <v>166.19660200000001</v>
      </c>
      <c r="D336">
        <v>64.04550725</v>
      </c>
      <c r="E336">
        <v>250.03504175</v>
      </c>
      <c r="F336">
        <v>4.5802885</v>
      </c>
      <c r="G336">
        <v>263.1938935</v>
      </c>
      <c r="H336">
        <v>12</v>
      </c>
      <c r="I336">
        <v>4</v>
      </c>
      <c r="J336">
        <v>1.18</v>
      </c>
      <c r="K336">
        <v>20.936287249999999</v>
      </c>
      <c r="L336">
        <v>-0.30834875572845311</v>
      </c>
      <c r="M336">
        <v>0.95421519776343333</v>
      </c>
      <c r="N336">
        <v>-8.2507788315905745E-2</v>
      </c>
      <c r="O336">
        <v>0.53887202813227986</v>
      </c>
    </row>
    <row r="337" spans="1:15" x14ac:dyDescent="0.25">
      <c r="A337">
        <v>95.126932499999995</v>
      </c>
      <c r="B337">
        <v>226.63494499999999</v>
      </c>
      <c r="C337">
        <v>197.85525899999999</v>
      </c>
      <c r="D337">
        <v>68.513803499999995</v>
      </c>
      <c r="E337">
        <v>260.22778299999999</v>
      </c>
      <c r="F337">
        <v>4.9701005</v>
      </c>
      <c r="G337">
        <v>280.19866174999999</v>
      </c>
      <c r="H337">
        <v>12</v>
      </c>
      <c r="I337">
        <v>8</v>
      </c>
      <c r="J337">
        <v>1.18</v>
      </c>
      <c r="K337">
        <v>21.59834025</v>
      </c>
      <c r="L337">
        <v>-0.57575932775405314</v>
      </c>
      <c r="M337">
        <v>0.88633285511584248</v>
      </c>
      <c r="N337">
        <v>-0.1119608077646219</v>
      </c>
      <c r="O337">
        <v>0.43078754843096478</v>
      </c>
    </row>
    <row r="338" spans="1:15" x14ac:dyDescent="0.25">
      <c r="A338">
        <v>66.336143249999992</v>
      </c>
      <c r="B338">
        <v>233.51140624999999</v>
      </c>
      <c r="C338">
        <v>228.15903474999999</v>
      </c>
      <c r="D338">
        <v>69.433744750000002</v>
      </c>
      <c r="E338">
        <v>263.08890500000001</v>
      </c>
      <c r="F338">
        <v>5.6035457500000003</v>
      </c>
      <c r="G338">
        <v>296.56324749999999</v>
      </c>
      <c r="H338">
        <v>12</v>
      </c>
      <c r="I338">
        <v>12</v>
      </c>
      <c r="J338">
        <v>1.18</v>
      </c>
      <c r="K338">
        <v>22.207017499999999</v>
      </c>
      <c r="L338">
        <v>-0.82900526356069559</v>
      </c>
      <c r="M338">
        <v>0.84055158324740531</v>
      </c>
      <c r="N338">
        <v>-0.17151228545110991</v>
      </c>
      <c r="O338">
        <v>0.31906797572068452</v>
      </c>
    </row>
    <row r="339" spans="1:15" x14ac:dyDescent="0.25">
      <c r="A339">
        <v>31.543512499999999</v>
      </c>
      <c r="B339">
        <v>232.54966375000001</v>
      </c>
      <c r="C339">
        <v>254.62404649999999</v>
      </c>
      <c r="D339">
        <v>61.723746249999998</v>
      </c>
      <c r="E339">
        <v>254.90789799999999</v>
      </c>
      <c r="F339">
        <v>5.9446317500000001</v>
      </c>
      <c r="G339">
        <v>308.60663625000001</v>
      </c>
      <c r="H339">
        <v>12</v>
      </c>
      <c r="I339">
        <v>16</v>
      </c>
      <c r="J339">
        <v>1.18</v>
      </c>
      <c r="K339">
        <v>22.649196249999999</v>
      </c>
      <c r="L339">
        <v>-1.07108611966464</v>
      </c>
      <c r="M339">
        <v>0.82020259099407988</v>
      </c>
      <c r="N339">
        <v>-0.25783317918496979</v>
      </c>
      <c r="O339">
        <v>0.19536562705516211</v>
      </c>
    </row>
    <row r="340" spans="1:15" x14ac:dyDescent="0.25">
      <c r="A340">
        <v>-9.0549680000000006</v>
      </c>
      <c r="B340">
        <v>229.13547149999999</v>
      </c>
      <c r="C340">
        <v>280.59225450000002</v>
      </c>
      <c r="D340">
        <v>38.199495499999998</v>
      </c>
      <c r="E340">
        <v>237.20471574999999</v>
      </c>
      <c r="F340">
        <v>6.1395379999999999</v>
      </c>
      <c r="G340">
        <v>320.89007574999999</v>
      </c>
      <c r="H340">
        <v>12</v>
      </c>
      <c r="I340">
        <v>20</v>
      </c>
      <c r="J340">
        <v>1.18</v>
      </c>
      <c r="K340">
        <v>23.097081500000002</v>
      </c>
      <c r="L340">
        <v>-1.3010113295045529</v>
      </c>
      <c r="M340">
        <v>0.85765522328911115</v>
      </c>
      <c r="N340">
        <v>-0.37591872200773851</v>
      </c>
      <c r="O340">
        <v>3.7879870559429929E-2</v>
      </c>
    </row>
    <row r="341" spans="1:15" x14ac:dyDescent="0.25">
      <c r="A341">
        <v>-56.000747750000002</v>
      </c>
      <c r="B341">
        <v>220.23933049999999</v>
      </c>
      <c r="C341">
        <v>300.55392475000002</v>
      </c>
      <c r="D341">
        <v>-4.6329157500000004</v>
      </c>
      <c r="E341">
        <v>205.15123750000001</v>
      </c>
      <c r="F341">
        <v>6.6268035000000003</v>
      </c>
      <c r="G341">
        <v>332.01320650000002</v>
      </c>
      <c r="H341">
        <v>12</v>
      </c>
      <c r="I341">
        <v>24</v>
      </c>
      <c r="J341">
        <v>1.18</v>
      </c>
      <c r="K341">
        <v>23.484085749999998</v>
      </c>
      <c r="L341">
        <v>-1.5142472180391</v>
      </c>
      <c r="M341">
        <v>0.95499637627146072</v>
      </c>
      <c r="N341">
        <v>-0.53877882359524598</v>
      </c>
      <c r="O341">
        <v>-0.1568937439593466</v>
      </c>
    </row>
    <row r="342" spans="1:15" x14ac:dyDescent="0.25">
      <c r="A342">
        <v>-102.8173465</v>
      </c>
      <c r="B342">
        <v>197.87879175</v>
      </c>
      <c r="C342">
        <v>304.57335649999999</v>
      </c>
      <c r="D342">
        <v>-57.955162250000001</v>
      </c>
      <c r="E342">
        <v>156.42279475000001</v>
      </c>
      <c r="F342">
        <v>6.1395379999999999</v>
      </c>
      <c r="G342">
        <v>326.33160400000003</v>
      </c>
      <c r="H342">
        <v>12</v>
      </c>
      <c r="I342">
        <v>28</v>
      </c>
      <c r="J342">
        <v>1.18</v>
      </c>
      <c r="K342">
        <v>23.29583375</v>
      </c>
      <c r="L342">
        <v>-1.720319950014142</v>
      </c>
      <c r="M342">
        <v>1.08029804592778</v>
      </c>
      <c r="N342">
        <v>-0.71750018586634146</v>
      </c>
      <c r="O342">
        <v>-0.36530437128905441</v>
      </c>
    </row>
    <row r="343" spans="1:15" x14ac:dyDescent="0.25">
      <c r="A343">
        <v>-139.618809</v>
      </c>
      <c r="B343">
        <v>160.0822565</v>
      </c>
      <c r="C343">
        <v>285.83107775000002</v>
      </c>
      <c r="D343">
        <v>-102.31752</v>
      </c>
      <c r="E343">
        <v>92.941705749999997</v>
      </c>
      <c r="F343">
        <v>5.5548190000000002</v>
      </c>
      <c r="G343">
        <v>301.60467525000001</v>
      </c>
      <c r="H343">
        <v>12</v>
      </c>
      <c r="I343">
        <v>32</v>
      </c>
      <c r="J343">
        <v>1.18</v>
      </c>
      <c r="K343">
        <v>22.4004045</v>
      </c>
      <c r="L343">
        <v>-1.988955797113114</v>
      </c>
      <c r="M343">
        <v>1.2266985977071621</v>
      </c>
      <c r="N343">
        <v>-0.97551354433271176</v>
      </c>
      <c r="O343">
        <v>-0.59148947647157712</v>
      </c>
    </row>
    <row r="344" spans="1:15" x14ac:dyDescent="0.25">
      <c r="A344">
        <v>-169.59004999999999</v>
      </c>
      <c r="B344">
        <v>124.353466</v>
      </c>
      <c r="C344">
        <v>264.65003200000001</v>
      </c>
      <c r="D344">
        <v>-140.60464475000001</v>
      </c>
      <c r="E344">
        <v>30.9358775</v>
      </c>
      <c r="F344">
        <v>5.1650070000000001</v>
      </c>
      <c r="G344">
        <v>278.95831299999998</v>
      </c>
      <c r="H344">
        <v>12</v>
      </c>
      <c r="I344">
        <v>36</v>
      </c>
      <c r="J344">
        <v>1.18</v>
      </c>
      <c r="K344">
        <v>21.541943249999999</v>
      </c>
      <c r="L344">
        <v>-2.3342335110017811</v>
      </c>
      <c r="M344">
        <v>1.4242614252994099</v>
      </c>
      <c r="N344">
        <v>-1.3332431733884871</v>
      </c>
      <c r="O344">
        <v>-0.8614805464663674</v>
      </c>
    </row>
    <row r="345" spans="1:15" x14ac:dyDescent="0.25">
      <c r="A345">
        <v>-197.70486475000001</v>
      </c>
      <c r="B345">
        <v>91.077123499999999</v>
      </c>
      <c r="C345">
        <v>247.21745325000001</v>
      </c>
      <c r="D345">
        <v>-173.03506075000001</v>
      </c>
      <c r="E345">
        <v>-28.990529250000002</v>
      </c>
      <c r="F345">
        <v>4.8239207500000001</v>
      </c>
      <c r="G345">
        <v>263.07386025</v>
      </c>
      <c r="H345">
        <v>12</v>
      </c>
      <c r="I345">
        <v>40</v>
      </c>
      <c r="J345">
        <v>1.18</v>
      </c>
      <c r="K345">
        <v>20.921561499999999</v>
      </c>
      <c r="L345">
        <v>-2.8453129472354082</v>
      </c>
      <c r="M345">
        <v>1.688851147994729</v>
      </c>
      <c r="N345">
        <v>-1.867790872137943</v>
      </c>
      <c r="O345">
        <v>-1.216250382374783</v>
      </c>
    </row>
    <row r="346" spans="1:15" x14ac:dyDescent="0.25">
      <c r="A346">
        <v>-252.13227449999999</v>
      </c>
      <c r="B346">
        <v>67.610568999999998</v>
      </c>
      <c r="C346">
        <v>256.74666200000001</v>
      </c>
      <c r="D346">
        <v>-229.11081725</v>
      </c>
      <c r="E346">
        <v>-96.114751999999996</v>
      </c>
      <c r="F346">
        <v>5.1162805000000002</v>
      </c>
      <c r="G346">
        <v>282.23923474999998</v>
      </c>
      <c r="H346">
        <v>12</v>
      </c>
      <c r="I346">
        <v>44</v>
      </c>
      <c r="J346">
        <v>1.18</v>
      </c>
      <c r="K346">
        <v>21.672546749999999</v>
      </c>
      <c r="L346">
        <v>-3.5216002286561889</v>
      </c>
      <c r="M346">
        <v>2.053380116372193</v>
      </c>
      <c r="N346">
        <v>-2.618353263462136</v>
      </c>
      <c r="O346">
        <v>-1.7005750519688521</v>
      </c>
    </row>
    <row r="347" spans="1:15" x14ac:dyDescent="0.25">
      <c r="A347">
        <v>277.48363475000002</v>
      </c>
      <c r="B347">
        <v>87.326320500000008</v>
      </c>
      <c r="C347">
        <v>-288.30969974999999</v>
      </c>
      <c r="D347">
        <v>-242.83473574999999</v>
      </c>
      <c r="E347">
        <v>-29.570340999999999</v>
      </c>
      <c r="F347">
        <v>5.4573660000000004</v>
      </c>
      <c r="G347">
        <v>300.76442724999998</v>
      </c>
      <c r="H347">
        <v>16</v>
      </c>
      <c r="I347">
        <v>-44</v>
      </c>
      <c r="J347">
        <v>1.18</v>
      </c>
      <c r="K347">
        <v>22.372302999999999</v>
      </c>
      <c r="L347">
        <v>2.3974079338434562</v>
      </c>
      <c r="M347">
        <v>1.3989819397730039</v>
      </c>
      <c r="N347">
        <v>-1.399724214583923</v>
      </c>
      <c r="O347">
        <v>-1.148422882906176</v>
      </c>
    </row>
    <row r="348" spans="1:15" x14ac:dyDescent="0.25">
      <c r="A348">
        <v>294.09024049999999</v>
      </c>
      <c r="B348">
        <v>124.690073</v>
      </c>
      <c r="C348">
        <v>-255.0007555</v>
      </c>
      <c r="D348">
        <v>-207.03892525000001</v>
      </c>
      <c r="E348">
        <v>27.761821749999999</v>
      </c>
      <c r="F348">
        <v>5.8959054999999996</v>
      </c>
      <c r="G348">
        <v>313.407982</v>
      </c>
      <c r="H348">
        <v>16</v>
      </c>
      <c r="I348">
        <v>-40</v>
      </c>
      <c r="J348">
        <v>1.18</v>
      </c>
      <c r="K348">
        <v>22.829946</v>
      </c>
      <c r="L348">
        <v>2.121871373425201</v>
      </c>
      <c r="M348">
        <v>1.2818694751172459</v>
      </c>
      <c r="N348">
        <v>-1.10385116838097</v>
      </c>
      <c r="O348">
        <v>-0.91551515684042117</v>
      </c>
    </row>
    <row r="349" spans="1:15" x14ac:dyDescent="0.25">
      <c r="A349">
        <v>304.78524800000002</v>
      </c>
      <c r="B349">
        <v>159.40903499999999</v>
      </c>
      <c r="C349">
        <v>-214.95793125</v>
      </c>
      <c r="D349">
        <v>-170.32523749999999</v>
      </c>
      <c r="E349">
        <v>80.200780500000008</v>
      </c>
      <c r="F349">
        <v>6.3344445</v>
      </c>
      <c r="G349">
        <v>323.530823</v>
      </c>
      <c r="H349">
        <v>16</v>
      </c>
      <c r="I349">
        <v>-36</v>
      </c>
      <c r="J349">
        <v>1.18</v>
      </c>
      <c r="K349">
        <v>23.18665025</v>
      </c>
      <c r="L349">
        <v>1.9049293607257429</v>
      </c>
      <c r="M349">
        <v>1.2085122838891771</v>
      </c>
      <c r="N349">
        <v>-0.89184469068287398</v>
      </c>
      <c r="O349">
        <v>-0.72927466031885158</v>
      </c>
    </row>
    <row r="350" spans="1:15" x14ac:dyDescent="0.25">
      <c r="A350">
        <v>310.92247025</v>
      </c>
      <c r="B350">
        <v>193.07007200000001</v>
      </c>
      <c r="C350">
        <v>-165.45958675</v>
      </c>
      <c r="D350">
        <v>-127.01184825</v>
      </c>
      <c r="E350">
        <v>132.01386274999999</v>
      </c>
      <c r="F350">
        <v>6.6268029999999998</v>
      </c>
      <c r="G350">
        <v>333.57363900000001</v>
      </c>
      <c r="H350">
        <v>16</v>
      </c>
      <c r="I350">
        <v>-32</v>
      </c>
      <c r="J350">
        <v>1.18</v>
      </c>
      <c r="K350">
        <v>23.540324500000001</v>
      </c>
      <c r="L350">
        <v>1.712068758641587</v>
      </c>
      <c r="M350">
        <v>1.150341952555505</v>
      </c>
      <c r="N350">
        <v>-0.72438619021171335</v>
      </c>
      <c r="O350">
        <v>-0.54937168642161283</v>
      </c>
    </row>
    <row r="351" spans="1:15" x14ac:dyDescent="0.25">
      <c r="A351">
        <v>292.42053974999999</v>
      </c>
      <c r="B351">
        <v>209.08310700000001</v>
      </c>
      <c r="C351">
        <v>-102.52589025</v>
      </c>
      <c r="D351">
        <v>-72.11615175</v>
      </c>
      <c r="E351">
        <v>169.96840275</v>
      </c>
      <c r="F351">
        <v>6.2857174999999996</v>
      </c>
      <c r="G351">
        <v>319.56970975000002</v>
      </c>
      <c r="H351">
        <v>16</v>
      </c>
      <c r="I351">
        <v>-28</v>
      </c>
      <c r="J351">
        <v>1.18</v>
      </c>
      <c r="K351">
        <v>23.043182000000002</v>
      </c>
      <c r="L351">
        <v>1.5350334117533599</v>
      </c>
      <c r="M351">
        <v>1.09292569440811</v>
      </c>
      <c r="N351">
        <v>-0.58145421430286426</v>
      </c>
      <c r="O351">
        <v>-0.36381595271250788</v>
      </c>
    </row>
    <row r="352" spans="1:15" x14ac:dyDescent="0.25">
      <c r="A352">
        <v>259.02684775</v>
      </c>
      <c r="B352">
        <v>209.41971599999999</v>
      </c>
      <c r="C352">
        <v>-45.554024499999997</v>
      </c>
      <c r="D352">
        <v>-22.596394499999999</v>
      </c>
      <c r="E352">
        <v>189.19155499999999</v>
      </c>
      <c r="F352">
        <v>5.7009987500000001</v>
      </c>
      <c r="G352">
        <v>293.12227625000003</v>
      </c>
      <c r="H352">
        <v>16</v>
      </c>
      <c r="I352">
        <v>-24</v>
      </c>
      <c r="J352">
        <v>1.18</v>
      </c>
      <c r="K352">
        <v>22.071555249999999</v>
      </c>
      <c r="L352">
        <v>1.3641896807420459</v>
      </c>
      <c r="M352">
        <v>1.0391900686591899</v>
      </c>
      <c r="N352">
        <v>-0.46550025217506202</v>
      </c>
      <c r="O352">
        <v>-0.17815266826370441</v>
      </c>
    </row>
    <row r="353" spans="1:15" x14ac:dyDescent="0.25">
      <c r="A353">
        <v>231.40935500000001</v>
      </c>
      <c r="B353">
        <v>210.42955425</v>
      </c>
      <c r="C353">
        <v>0.85799775</v>
      </c>
      <c r="D353">
        <v>8.0166079999999997</v>
      </c>
      <c r="E353">
        <v>202.37952824999999</v>
      </c>
      <c r="F353">
        <v>5.1162805000000002</v>
      </c>
      <c r="G353">
        <v>274.75712600000003</v>
      </c>
      <c r="H353">
        <v>16</v>
      </c>
      <c r="I353">
        <v>-20</v>
      </c>
      <c r="J353">
        <v>1.18</v>
      </c>
      <c r="K353">
        <v>21.377970749999999</v>
      </c>
      <c r="L353">
        <v>1.1647502651282911</v>
      </c>
      <c r="M353">
        <v>1.022602438734282</v>
      </c>
      <c r="N353">
        <v>-0.3656800771046228</v>
      </c>
      <c r="O353">
        <v>-3.4322788108248239E-3</v>
      </c>
    </row>
    <row r="354" spans="1:15" x14ac:dyDescent="0.25">
      <c r="A354">
        <v>210.01932550000001</v>
      </c>
      <c r="B354">
        <v>214.1803515</v>
      </c>
      <c r="C354">
        <v>37.303905499999999</v>
      </c>
      <c r="D354">
        <v>23.611829749999998</v>
      </c>
      <c r="E354">
        <v>213.06401450000001</v>
      </c>
      <c r="F354">
        <v>4.8239212499999997</v>
      </c>
      <c r="G354">
        <v>264.55426775000001</v>
      </c>
      <c r="H354">
        <v>16</v>
      </c>
      <c r="I354">
        <v>-16</v>
      </c>
      <c r="J354">
        <v>1.18</v>
      </c>
      <c r="K354">
        <v>20.98143425</v>
      </c>
      <c r="L354">
        <v>0.94583460462589497</v>
      </c>
      <c r="M354">
        <v>1.043602449126666</v>
      </c>
      <c r="N354">
        <v>-0.28197550511563069</v>
      </c>
      <c r="O354">
        <v>0.14037776426080351</v>
      </c>
    </row>
    <row r="355" spans="1:15" x14ac:dyDescent="0.25">
      <c r="A355">
        <v>204.28824225</v>
      </c>
      <c r="B355">
        <v>235.29063425000001</v>
      </c>
      <c r="C355">
        <v>69.549659750000004</v>
      </c>
      <c r="D355">
        <v>30.051429250000002</v>
      </c>
      <c r="E355">
        <v>238.67999649999999</v>
      </c>
      <c r="F355">
        <v>5.0675537500000001</v>
      </c>
      <c r="G355">
        <v>279.43843824999999</v>
      </c>
      <c r="H355">
        <v>16</v>
      </c>
      <c r="I355">
        <v>-12</v>
      </c>
      <c r="J355">
        <v>1.18</v>
      </c>
      <c r="K355">
        <v>21.564661999999998</v>
      </c>
      <c r="L355">
        <v>0.71336248173547057</v>
      </c>
      <c r="M355">
        <v>1.086616786748049</v>
      </c>
      <c r="N355">
        <v>-0.21579247774485069</v>
      </c>
      <c r="O355">
        <v>0.23684091257420409</v>
      </c>
    </row>
    <row r="356" spans="1:15" x14ac:dyDescent="0.25">
      <c r="A356">
        <v>195.17266075000001</v>
      </c>
      <c r="B356">
        <v>255.87195199999999</v>
      </c>
      <c r="C356">
        <v>100.71152499999999</v>
      </c>
      <c r="D356">
        <v>31.497053749999999</v>
      </c>
      <c r="E356">
        <v>261.97127499999999</v>
      </c>
      <c r="F356">
        <v>5.5548190000000002</v>
      </c>
      <c r="G356">
        <v>295.6029815</v>
      </c>
      <c r="H356">
        <v>16</v>
      </c>
      <c r="I356">
        <v>-8</v>
      </c>
      <c r="J356">
        <v>1.18</v>
      </c>
      <c r="K356">
        <v>22.172204749999999</v>
      </c>
      <c r="L356">
        <v>0.48230495127106998</v>
      </c>
      <c r="M356">
        <v>1.1455794403895141</v>
      </c>
      <c r="N356">
        <v>-0.17173524000690499</v>
      </c>
      <c r="O356">
        <v>0.30913688189619631</v>
      </c>
    </row>
    <row r="357" spans="1:15" x14ac:dyDescent="0.25">
      <c r="A357">
        <v>180.46138775</v>
      </c>
      <c r="B357">
        <v>271.21176150000002</v>
      </c>
      <c r="C357">
        <v>129.389477</v>
      </c>
      <c r="D357">
        <v>30.358077999999999</v>
      </c>
      <c r="E357">
        <v>278.10977174999999</v>
      </c>
      <c r="F357">
        <v>5.6522722500000002</v>
      </c>
      <c r="G357">
        <v>309.00674450000002</v>
      </c>
      <c r="H357">
        <v>16</v>
      </c>
      <c r="I357">
        <v>-4</v>
      </c>
      <c r="J357">
        <v>1.18</v>
      </c>
      <c r="K357">
        <v>22.67509025</v>
      </c>
      <c r="L357">
        <v>0.25764011374087592</v>
      </c>
      <c r="M357">
        <v>1.2149881550958741</v>
      </c>
      <c r="N357">
        <v>-0.15587167840901581</v>
      </c>
      <c r="O357">
        <v>0.37443322541891549</v>
      </c>
    </row>
    <row r="358" spans="1:15" x14ac:dyDescent="0.25">
      <c r="A358">
        <v>151.21933000000001</v>
      </c>
      <c r="B358">
        <v>269.14402000000001</v>
      </c>
      <c r="C358">
        <v>152.81857299999999</v>
      </c>
      <c r="D358">
        <v>31.540860500000001</v>
      </c>
      <c r="E358">
        <v>275.15926350000001</v>
      </c>
      <c r="F358">
        <v>5.7009987500000001</v>
      </c>
      <c r="G358">
        <v>304.88558949999998</v>
      </c>
      <c r="H358">
        <v>16</v>
      </c>
      <c r="I358">
        <v>0</v>
      </c>
      <c r="J358">
        <v>1.18</v>
      </c>
      <c r="K358">
        <v>22.518696500000001</v>
      </c>
      <c r="L358">
        <v>-8.6938873236600267E-3</v>
      </c>
      <c r="M358">
        <v>1.292875672643748</v>
      </c>
      <c r="N358">
        <v>-0.16175629009122569</v>
      </c>
      <c r="O358">
        <v>0.46622175495724888</v>
      </c>
    </row>
    <row r="359" spans="1:15" x14ac:dyDescent="0.25">
      <c r="A359">
        <v>130.37082674999999</v>
      </c>
      <c r="B359">
        <v>284.09914375</v>
      </c>
      <c r="C359">
        <v>187.32027425000001</v>
      </c>
      <c r="D359">
        <v>34.651144000000002</v>
      </c>
      <c r="E359">
        <v>289.10721599999999</v>
      </c>
      <c r="F359">
        <v>6.23699125</v>
      </c>
      <c r="G359">
        <v>322.57054925</v>
      </c>
      <c r="H359">
        <v>16</v>
      </c>
      <c r="I359">
        <v>4</v>
      </c>
      <c r="J359">
        <v>1.18</v>
      </c>
      <c r="K359">
        <v>23.155090000000001</v>
      </c>
      <c r="L359">
        <v>-0.2755892903705171</v>
      </c>
      <c r="M359">
        <v>1.2075099601097801</v>
      </c>
      <c r="N359">
        <v>-0.16204612025104539</v>
      </c>
      <c r="O359">
        <v>0.36922272660949917</v>
      </c>
    </row>
    <row r="360" spans="1:15" x14ac:dyDescent="0.25">
      <c r="A360">
        <v>99.594467250000008</v>
      </c>
      <c r="B360">
        <v>289.77343000000002</v>
      </c>
      <c r="C360">
        <v>218.67499925000001</v>
      </c>
      <c r="D360">
        <v>35.220633499999998</v>
      </c>
      <c r="E360">
        <v>290.53777324999999</v>
      </c>
      <c r="F360">
        <v>6.2857180000000001</v>
      </c>
      <c r="G360">
        <v>333.37358074999997</v>
      </c>
      <c r="H360">
        <v>16</v>
      </c>
      <c r="I360">
        <v>8</v>
      </c>
      <c r="J360">
        <v>1.18</v>
      </c>
      <c r="K360">
        <v>23.545400999999998</v>
      </c>
      <c r="L360">
        <v>-0.53366042883725973</v>
      </c>
      <c r="M360">
        <v>1.140870747268403</v>
      </c>
      <c r="N360">
        <v>-0.19200663287197339</v>
      </c>
      <c r="O360">
        <v>0.27392706026527203</v>
      </c>
    </row>
    <row r="361" spans="1:15" x14ac:dyDescent="0.25">
      <c r="A361">
        <v>62.5455045</v>
      </c>
      <c r="B361">
        <v>271.40410624999998</v>
      </c>
      <c r="C361">
        <v>230.77844225000001</v>
      </c>
      <c r="D361">
        <v>33.687393</v>
      </c>
      <c r="E361">
        <v>265.50297549999999</v>
      </c>
      <c r="F361">
        <v>6.0908115</v>
      </c>
      <c r="G361">
        <v>319.68974324999999</v>
      </c>
      <c r="H361">
        <v>16</v>
      </c>
      <c r="I361">
        <v>12</v>
      </c>
      <c r="J361">
        <v>1.18</v>
      </c>
      <c r="K361">
        <v>23.05476625</v>
      </c>
      <c r="L361">
        <v>-0.77390324718448722</v>
      </c>
      <c r="M361">
        <v>1.093554989978327</v>
      </c>
      <c r="N361">
        <v>-0.24929019292924701</v>
      </c>
      <c r="O361">
        <v>0.19332218401317799</v>
      </c>
    </row>
    <row r="362" spans="1:15" x14ac:dyDescent="0.25">
      <c r="A362">
        <v>24.142744749999999</v>
      </c>
      <c r="B362">
        <v>243.85014699999999</v>
      </c>
      <c r="C362">
        <v>232.26879124999999</v>
      </c>
      <c r="D362">
        <v>26.853532250000001</v>
      </c>
      <c r="E362">
        <v>228.62136075000001</v>
      </c>
      <c r="F362">
        <v>5.5060925000000003</v>
      </c>
      <c r="G362">
        <v>296.88333875000001</v>
      </c>
      <c r="H362">
        <v>16</v>
      </c>
      <c r="I362">
        <v>16</v>
      </c>
      <c r="J362">
        <v>1.18</v>
      </c>
      <c r="K362">
        <v>22.222931750000001</v>
      </c>
      <c r="L362">
        <v>-1.0246363800158089</v>
      </c>
      <c r="M362">
        <v>1.0683163834781491</v>
      </c>
      <c r="N362">
        <v>-0.33608513187838202</v>
      </c>
      <c r="O362">
        <v>9.8425970941437638E-2</v>
      </c>
    </row>
    <row r="363" spans="1:15" x14ac:dyDescent="0.25">
      <c r="A363">
        <v>-12.8409055</v>
      </c>
      <c r="B363">
        <v>215.47870275</v>
      </c>
      <c r="C363">
        <v>228.88163399999999</v>
      </c>
      <c r="D363">
        <v>0.9640225</v>
      </c>
      <c r="E363">
        <v>188.74450325000001</v>
      </c>
      <c r="F363">
        <v>5.0188272500000002</v>
      </c>
      <c r="G363">
        <v>274.83715074999998</v>
      </c>
      <c r="H363">
        <v>16</v>
      </c>
      <c r="I363">
        <v>20</v>
      </c>
      <c r="J363">
        <v>1.18</v>
      </c>
      <c r="K363">
        <v>21.385001500000001</v>
      </c>
      <c r="L363">
        <v>-1.241634358268519</v>
      </c>
      <c r="M363">
        <v>1.101853717826426</v>
      </c>
      <c r="N363">
        <v>-0.44222110186273839</v>
      </c>
      <c r="O363">
        <v>-5.6276811090605561E-2</v>
      </c>
    </row>
    <row r="364" spans="1:15" x14ac:dyDescent="0.25">
      <c r="A364">
        <v>-48.705323249999999</v>
      </c>
      <c r="B364">
        <v>196.48426425</v>
      </c>
      <c r="C364">
        <v>230.462311</v>
      </c>
      <c r="D364">
        <v>-34.921699750000002</v>
      </c>
      <c r="E364">
        <v>151.505245</v>
      </c>
      <c r="F364">
        <v>4.7751944999999996</v>
      </c>
      <c r="G364">
        <v>266.15472399999999</v>
      </c>
      <c r="H364">
        <v>16</v>
      </c>
      <c r="I364">
        <v>24</v>
      </c>
      <c r="J364">
        <v>1.18</v>
      </c>
      <c r="K364">
        <v>21.047924999999999</v>
      </c>
      <c r="L364">
        <v>-1.444084751626179</v>
      </c>
      <c r="M364">
        <v>1.1970021296782221</v>
      </c>
      <c r="N364">
        <v>-0.59305128410691754</v>
      </c>
      <c r="O364">
        <v>-0.2409816498995245</v>
      </c>
    </row>
    <row r="365" spans="1:15" x14ac:dyDescent="0.25">
      <c r="A365">
        <v>-96.284252250000009</v>
      </c>
      <c r="B365">
        <v>192.73346325</v>
      </c>
      <c r="C365">
        <v>253.5401535</v>
      </c>
      <c r="D365">
        <v>-85.140770000000003</v>
      </c>
      <c r="E365">
        <v>120.70350275</v>
      </c>
      <c r="F365">
        <v>5.2624599999999999</v>
      </c>
      <c r="G365">
        <v>284.19978325</v>
      </c>
      <c r="H365">
        <v>16</v>
      </c>
      <c r="I365">
        <v>28</v>
      </c>
      <c r="J365">
        <v>1.18</v>
      </c>
      <c r="K365">
        <v>21.743380500000001</v>
      </c>
      <c r="L365">
        <v>-1.6546873284697741</v>
      </c>
      <c r="M365">
        <v>1.3143576293185659</v>
      </c>
      <c r="N365">
        <v>-0.77335541538291408</v>
      </c>
      <c r="O365">
        <v>-0.45397387863748678</v>
      </c>
    </row>
    <row r="366" spans="1:15" x14ac:dyDescent="0.25">
      <c r="A366">
        <v>-148.503929</v>
      </c>
      <c r="B366">
        <v>182.10618975</v>
      </c>
      <c r="C366">
        <v>269.75335675000002</v>
      </c>
      <c r="D366">
        <v>-140.6920585</v>
      </c>
      <c r="E366">
        <v>78.77022174999999</v>
      </c>
      <c r="F366">
        <v>5.5548190000000002</v>
      </c>
      <c r="G366">
        <v>297.88362100000001</v>
      </c>
      <c r="H366">
        <v>16</v>
      </c>
      <c r="I366">
        <v>32</v>
      </c>
      <c r="J366">
        <v>1.18</v>
      </c>
      <c r="K366">
        <v>22.259198999999999</v>
      </c>
      <c r="L366">
        <v>-1.872521461950732</v>
      </c>
      <c r="M366">
        <v>1.445132930507135</v>
      </c>
      <c r="N366">
        <v>-0.98098863047907747</v>
      </c>
      <c r="O366">
        <v>-0.67220349049192551</v>
      </c>
    </row>
    <row r="367" spans="1:15" x14ac:dyDescent="0.25">
      <c r="A367">
        <v>-203.787407</v>
      </c>
      <c r="B367">
        <v>163.54452900000001</v>
      </c>
      <c r="C367">
        <v>281.630989</v>
      </c>
      <c r="D367">
        <v>-202.62453074999999</v>
      </c>
      <c r="E367">
        <v>21.413713999999999</v>
      </c>
      <c r="F367">
        <v>5.7497255000000003</v>
      </c>
      <c r="G367">
        <v>311.16735075000003</v>
      </c>
      <c r="H367">
        <v>16</v>
      </c>
      <c r="I367">
        <v>36</v>
      </c>
      <c r="J367">
        <v>1.18</v>
      </c>
      <c r="K367">
        <v>22.752064499999999</v>
      </c>
      <c r="L367">
        <v>-2.1610728191535249</v>
      </c>
      <c r="M367">
        <v>1.6301836162460279</v>
      </c>
      <c r="N367">
        <v>-1.2899858511773039</v>
      </c>
      <c r="O367">
        <v>-0.9302688925910747</v>
      </c>
    </row>
    <row r="368" spans="1:15" x14ac:dyDescent="0.25">
      <c r="A368">
        <v>-258.71041874999997</v>
      </c>
      <c r="B368">
        <v>139.98180375000001</v>
      </c>
      <c r="C368">
        <v>288.99241649999999</v>
      </c>
      <c r="D368">
        <v>-261.36640175000002</v>
      </c>
      <c r="E368">
        <v>-42.593779750000003</v>
      </c>
      <c r="F368">
        <v>6.0420850000000002</v>
      </c>
      <c r="G368">
        <v>322.53054075</v>
      </c>
      <c r="H368">
        <v>16</v>
      </c>
      <c r="I368">
        <v>40</v>
      </c>
      <c r="J368">
        <v>1.18</v>
      </c>
      <c r="K368">
        <v>23.160764</v>
      </c>
      <c r="L368">
        <v>-2.518864805866269</v>
      </c>
      <c r="M368">
        <v>1.845762238711943</v>
      </c>
      <c r="N368">
        <v>-1.679224919455677</v>
      </c>
      <c r="O368">
        <v>-1.2236862476723529</v>
      </c>
    </row>
    <row r="369" spans="1:15" x14ac:dyDescent="0.25">
      <c r="A369">
        <v>-313.27300274999999</v>
      </c>
      <c r="B369">
        <v>110.9852235</v>
      </c>
      <c r="C369">
        <v>288.22466274999999</v>
      </c>
      <c r="D369">
        <v>-320.93872825</v>
      </c>
      <c r="E369">
        <v>-117.92456025</v>
      </c>
      <c r="F369">
        <v>6.3831712500000002</v>
      </c>
      <c r="G369">
        <v>332.37329875</v>
      </c>
      <c r="H369">
        <v>16</v>
      </c>
      <c r="I369">
        <v>44</v>
      </c>
      <c r="J369">
        <v>1.18</v>
      </c>
      <c r="K369">
        <v>23.505857500000001</v>
      </c>
      <c r="L369">
        <v>-3.0199818076389628</v>
      </c>
      <c r="M369">
        <v>2.1685488695936899</v>
      </c>
      <c r="N369">
        <v>-2.2608795946267071</v>
      </c>
      <c r="O369">
        <v>-1.6241530607402579</v>
      </c>
    </row>
    <row r="370" spans="1:15" x14ac:dyDescent="0.25">
      <c r="A370">
        <v>273.28686499999998</v>
      </c>
      <c r="B370">
        <v>116.17864025</v>
      </c>
      <c r="C370">
        <v>-314.94649500000003</v>
      </c>
      <c r="D370">
        <v>-300.13430775</v>
      </c>
      <c r="E370">
        <v>-47.633669750000003</v>
      </c>
      <c r="F370">
        <v>5.8471785000000001</v>
      </c>
      <c r="G370">
        <v>312.52774049999999</v>
      </c>
      <c r="H370">
        <v>20</v>
      </c>
      <c r="I370">
        <v>-44</v>
      </c>
      <c r="J370">
        <v>1.18</v>
      </c>
      <c r="K370">
        <v>22.799020500000001</v>
      </c>
      <c r="L370">
        <v>2.263287188717015</v>
      </c>
      <c r="M370">
        <v>1.6017381003687909</v>
      </c>
      <c r="N370">
        <v>-1.3857719802990049</v>
      </c>
      <c r="O370">
        <v>-1.205766780110253</v>
      </c>
    </row>
    <row r="371" spans="1:15" x14ac:dyDescent="0.25">
      <c r="A371">
        <v>256.72539899999998</v>
      </c>
      <c r="B371">
        <v>135.798214</v>
      </c>
      <c r="C371">
        <v>-249.062603</v>
      </c>
      <c r="D371">
        <v>-233.96226874999999</v>
      </c>
      <c r="E371">
        <v>6.7057717500000003</v>
      </c>
      <c r="F371">
        <v>5.2624599999999999</v>
      </c>
      <c r="G371">
        <v>287.88081375000002</v>
      </c>
      <c r="H371">
        <v>20</v>
      </c>
      <c r="I371">
        <v>-40</v>
      </c>
      <c r="J371">
        <v>1.18</v>
      </c>
      <c r="K371">
        <v>21.88637125</v>
      </c>
      <c r="L371">
        <v>2.0376802911220682</v>
      </c>
      <c r="M371">
        <v>1.4896646391663571</v>
      </c>
      <c r="N371">
        <v>-1.132782470600038</v>
      </c>
      <c r="O371">
        <v>-0.99419131425612084</v>
      </c>
    </row>
    <row r="372" spans="1:15" x14ac:dyDescent="0.25">
      <c r="A372">
        <v>241.74335099999999</v>
      </c>
      <c r="B372">
        <v>152.09977699999999</v>
      </c>
      <c r="C372">
        <v>-194.98620224999999</v>
      </c>
      <c r="D372">
        <v>-182.03865425000001</v>
      </c>
      <c r="E372">
        <v>48.147300999999999</v>
      </c>
      <c r="F372">
        <v>4.7751944999999996</v>
      </c>
      <c r="G372">
        <v>270.43592825000002</v>
      </c>
      <c r="H372">
        <v>20</v>
      </c>
      <c r="I372">
        <v>-36</v>
      </c>
      <c r="J372">
        <v>1.18</v>
      </c>
      <c r="K372">
        <v>21.219606249999998</v>
      </c>
      <c r="L372">
        <v>1.8453981440166449</v>
      </c>
      <c r="M372">
        <v>1.411872099773033</v>
      </c>
      <c r="N372">
        <v>-0.93928118840844199</v>
      </c>
      <c r="O372">
        <v>-0.81671574336824126</v>
      </c>
    </row>
    <row r="373" spans="1:15" x14ac:dyDescent="0.25">
      <c r="A373">
        <v>238.4942245</v>
      </c>
      <c r="B373">
        <v>173.11388400000001</v>
      </c>
      <c r="C373">
        <v>-150.80894850000001</v>
      </c>
      <c r="D373">
        <v>-138.4193075</v>
      </c>
      <c r="E373">
        <v>87.845331000000002</v>
      </c>
      <c r="F373">
        <v>4.8726469999999997</v>
      </c>
      <c r="G373">
        <v>269.19557950000001</v>
      </c>
      <c r="H373">
        <v>20</v>
      </c>
      <c r="I373">
        <v>-32</v>
      </c>
      <c r="J373">
        <v>1.18</v>
      </c>
      <c r="K373">
        <v>21.166113750000001</v>
      </c>
      <c r="L373">
        <v>1.674691817660606</v>
      </c>
      <c r="M373">
        <v>1.3401439816574221</v>
      </c>
      <c r="N373">
        <v>-0.7801347300805952</v>
      </c>
      <c r="O373">
        <v>-0.64304129138923993</v>
      </c>
    </row>
    <row r="374" spans="1:15" x14ac:dyDescent="0.25">
      <c r="A374">
        <v>246.66215500000001</v>
      </c>
      <c r="B374">
        <v>202.49516299999999</v>
      </c>
      <c r="C374">
        <v>-114.26077275</v>
      </c>
      <c r="D374">
        <v>-102.71088399999999</v>
      </c>
      <c r="E374">
        <v>128.70569599999999</v>
      </c>
      <c r="F374">
        <v>5.3111864999999998</v>
      </c>
      <c r="G374">
        <v>284.15977475</v>
      </c>
      <c r="H374">
        <v>20</v>
      </c>
      <c r="I374">
        <v>-28</v>
      </c>
      <c r="J374">
        <v>1.18</v>
      </c>
      <c r="K374">
        <v>21.739918500000002</v>
      </c>
      <c r="L374">
        <v>1.5216537145430991</v>
      </c>
      <c r="M374">
        <v>1.286738567657925</v>
      </c>
      <c r="N374">
        <v>-0.65539487253339124</v>
      </c>
      <c r="O374">
        <v>-0.47975564499592099</v>
      </c>
    </row>
    <row r="375" spans="1:15" x14ac:dyDescent="0.25">
      <c r="A375">
        <v>250.27228174999999</v>
      </c>
      <c r="B375">
        <v>231.29940049999999</v>
      </c>
      <c r="C375">
        <v>-72.169624499999998</v>
      </c>
      <c r="D375">
        <v>-65.516433750000004</v>
      </c>
      <c r="E375">
        <v>169.34253325</v>
      </c>
      <c r="F375">
        <v>5.6522722500000002</v>
      </c>
      <c r="G375">
        <v>299.68412050000001</v>
      </c>
      <c r="H375">
        <v>20</v>
      </c>
      <c r="I375">
        <v>-24</v>
      </c>
      <c r="J375">
        <v>1.18</v>
      </c>
      <c r="K375">
        <v>22.323945500000001</v>
      </c>
      <c r="L375">
        <v>1.3537472367303549</v>
      </c>
      <c r="M375">
        <v>1.246132075190286</v>
      </c>
      <c r="N375">
        <v>-0.54722729354118993</v>
      </c>
      <c r="O375">
        <v>-0.31274319354986069</v>
      </c>
    </row>
    <row r="376" spans="1:15" x14ac:dyDescent="0.25">
      <c r="A376">
        <v>248.78310400000001</v>
      </c>
      <c r="B376">
        <v>256.97796625000001</v>
      </c>
      <c r="C376">
        <v>-26.0745985</v>
      </c>
      <c r="D376">
        <v>-39.161257749999997</v>
      </c>
      <c r="E376">
        <v>203.8100815</v>
      </c>
      <c r="F376">
        <v>5.74972525</v>
      </c>
      <c r="G376">
        <v>312.24765774999997</v>
      </c>
      <c r="H376">
        <v>20</v>
      </c>
      <c r="I376">
        <v>-20</v>
      </c>
      <c r="J376">
        <v>1.18</v>
      </c>
      <c r="K376">
        <v>22.792275750000002</v>
      </c>
      <c r="L376">
        <v>1.1625768340684071</v>
      </c>
      <c r="M376">
        <v>1.2525658980086429</v>
      </c>
      <c r="N376">
        <v>-0.45868620838546331</v>
      </c>
      <c r="O376">
        <v>-0.16227479084809321</v>
      </c>
    </row>
    <row r="377" spans="1:15" x14ac:dyDescent="0.25">
      <c r="A377">
        <v>239.53214274999999</v>
      </c>
      <c r="B377">
        <v>278.66528299999999</v>
      </c>
      <c r="C377">
        <v>20.500928250000001</v>
      </c>
      <c r="D377">
        <v>-18.269423499999998</v>
      </c>
      <c r="E377">
        <v>234.56711949999999</v>
      </c>
      <c r="F377">
        <v>6.0908115</v>
      </c>
      <c r="G377">
        <v>323.13071474999998</v>
      </c>
      <c r="H377">
        <v>20</v>
      </c>
      <c r="I377">
        <v>-16</v>
      </c>
      <c r="J377">
        <v>1.18</v>
      </c>
      <c r="K377">
        <v>23.180928999999999</v>
      </c>
      <c r="L377">
        <v>0.93825035446325278</v>
      </c>
      <c r="M377">
        <v>1.2719590110388661</v>
      </c>
      <c r="N377">
        <v>-0.37940906064361718</v>
      </c>
      <c r="O377">
        <v>-2.130563331240724E-2</v>
      </c>
    </row>
    <row r="378" spans="1:15" x14ac:dyDescent="0.25">
      <c r="A378">
        <v>227.48333375000001</v>
      </c>
      <c r="B378">
        <v>298.14060224999997</v>
      </c>
      <c r="C378">
        <v>56.351353500000002</v>
      </c>
      <c r="D378">
        <v>-15.384779</v>
      </c>
      <c r="E378">
        <v>257.99253825</v>
      </c>
      <c r="F378">
        <v>6.1395382500000002</v>
      </c>
      <c r="G378">
        <v>334.53391275000001</v>
      </c>
      <c r="H378">
        <v>20</v>
      </c>
      <c r="I378">
        <v>-12</v>
      </c>
      <c r="J378">
        <v>1.18</v>
      </c>
      <c r="K378">
        <v>23.5923725</v>
      </c>
      <c r="L378">
        <v>0.72051845062545594</v>
      </c>
      <c r="M378">
        <v>1.3200456602380981</v>
      </c>
      <c r="N378">
        <v>-0.32226534441383259</v>
      </c>
      <c r="O378">
        <v>6.0412517234916419E-2</v>
      </c>
    </row>
    <row r="379" spans="1:15" x14ac:dyDescent="0.25">
      <c r="A379">
        <v>190.0282325</v>
      </c>
      <c r="B379">
        <v>283.95487974999998</v>
      </c>
      <c r="C379">
        <v>81.09534275</v>
      </c>
      <c r="D379">
        <v>-12.80608</v>
      </c>
      <c r="E379">
        <v>250.48209750000001</v>
      </c>
      <c r="F379">
        <v>5.9446317500000001</v>
      </c>
      <c r="G379">
        <v>311.68750775000001</v>
      </c>
      <c r="H379">
        <v>20</v>
      </c>
      <c r="I379">
        <v>-8</v>
      </c>
      <c r="J379">
        <v>1.18</v>
      </c>
      <c r="K379">
        <v>22.76416025</v>
      </c>
      <c r="L379">
        <v>0.50353309905495536</v>
      </c>
      <c r="M379">
        <v>1.371753818862534</v>
      </c>
      <c r="N379">
        <v>-0.28291799929335149</v>
      </c>
      <c r="O379">
        <v>0.13034864286768411</v>
      </c>
    </row>
    <row r="380" spans="1:15" x14ac:dyDescent="0.25">
      <c r="A380">
        <v>152.93413949999999</v>
      </c>
      <c r="B380">
        <v>267.50905599999999</v>
      </c>
      <c r="C380">
        <v>101.143278</v>
      </c>
      <c r="D380">
        <v>-9.5280734999999996</v>
      </c>
      <c r="E380">
        <v>238.41175425</v>
      </c>
      <c r="F380">
        <v>5.3599130000000006</v>
      </c>
      <c r="G380">
        <v>289.56127950000001</v>
      </c>
      <c r="H380">
        <v>20</v>
      </c>
      <c r="I380">
        <v>-4</v>
      </c>
      <c r="J380">
        <v>1.18</v>
      </c>
      <c r="K380">
        <v>21.9475865</v>
      </c>
      <c r="L380">
        <v>0.26892801674271283</v>
      </c>
      <c r="M380">
        <v>1.4384081373224959</v>
      </c>
      <c r="N380">
        <v>-0.26559825609791682</v>
      </c>
      <c r="O380">
        <v>0.21002190681560351</v>
      </c>
    </row>
    <row r="381" spans="1:15" x14ac:dyDescent="0.25">
      <c r="A381">
        <v>118.54765500000001</v>
      </c>
      <c r="B381">
        <v>251.640278</v>
      </c>
      <c r="C381">
        <v>118.17375749999999</v>
      </c>
      <c r="D381">
        <v>-6.8182539999999996</v>
      </c>
      <c r="E381">
        <v>225.00024400000001</v>
      </c>
      <c r="F381">
        <v>4.9701005</v>
      </c>
      <c r="G381">
        <v>271.47621149999998</v>
      </c>
      <c r="H381">
        <v>20</v>
      </c>
      <c r="I381">
        <v>0</v>
      </c>
      <c r="J381">
        <v>1.18</v>
      </c>
      <c r="K381">
        <v>21.253341500000001</v>
      </c>
      <c r="L381">
        <v>2.1810611145420731E-3</v>
      </c>
      <c r="M381">
        <v>1.524674669305663</v>
      </c>
      <c r="N381">
        <v>-0.27417026872817229</v>
      </c>
      <c r="O381">
        <v>0.29797035901833258</v>
      </c>
    </row>
    <row r="382" spans="1:15" x14ac:dyDescent="0.25">
      <c r="A382">
        <v>93.818260000000009</v>
      </c>
      <c r="B382">
        <v>254.236988</v>
      </c>
      <c r="C382">
        <v>142.08797849999999</v>
      </c>
      <c r="D382">
        <v>-7.2990279999999998</v>
      </c>
      <c r="E382">
        <v>225.62611425</v>
      </c>
      <c r="F382">
        <v>5.2624599999999999</v>
      </c>
      <c r="G382">
        <v>275.157242</v>
      </c>
      <c r="H382">
        <v>20</v>
      </c>
      <c r="I382">
        <v>4</v>
      </c>
      <c r="J382">
        <v>1.18</v>
      </c>
      <c r="K382">
        <v>21.388028500000001</v>
      </c>
      <c r="L382">
        <v>-0.2646785856994236</v>
      </c>
      <c r="M382">
        <v>1.4341316695410979</v>
      </c>
      <c r="N382">
        <v>-0.27161283233447059</v>
      </c>
      <c r="O382">
        <v>0.2083860500616895</v>
      </c>
    </row>
    <row r="383" spans="1:15" x14ac:dyDescent="0.25">
      <c r="A383">
        <v>70.532918749999993</v>
      </c>
      <c r="B383">
        <v>269.86534124999997</v>
      </c>
      <c r="C383">
        <v>176.21103675000001</v>
      </c>
      <c r="D383">
        <v>-10.31479425</v>
      </c>
      <c r="E383">
        <v>234.61181625</v>
      </c>
      <c r="F383">
        <v>5.6522722500000002</v>
      </c>
      <c r="G383">
        <v>295.24288174999998</v>
      </c>
      <c r="H383">
        <v>20</v>
      </c>
      <c r="I383">
        <v>8</v>
      </c>
      <c r="J383">
        <v>1.18</v>
      </c>
      <c r="K383">
        <v>22.154698750000001</v>
      </c>
      <c r="L383">
        <v>-0.51673581369990296</v>
      </c>
      <c r="M383">
        <v>1.3700738380495521</v>
      </c>
      <c r="N383">
        <v>-0.29650120947158759</v>
      </c>
      <c r="O383">
        <v>0.11959469226501809</v>
      </c>
    </row>
    <row r="384" spans="1:15" x14ac:dyDescent="0.25">
      <c r="A384">
        <v>39.982190750000001</v>
      </c>
      <c r="B384">
        <v>281.16582499999998</v>
      </c>
      <c r="C384">
        <v>209.29906075</v>
      </c>
      <c r="D384">
        <v>-12.98090625</v>
      </c>
      <c r="E384">
        <v>235.64004125</v>
      </c>
      <c r="F384">
        <v>5.8959054999999996</v>
      </c>
      <c r="G384">
        <v>312.44771574999999</v>
      </c>
      <c r="H384">
        <v>20</v>
      </c>
      <c r="I384">
        <v>12</v>
      </c>
      <c r="J384">
        <v>1.18</v>
      </c>
      <c r="K384">
        <v>22.794271500000001</v>
      </c>
      <c r="L384">
        <v>-0.76219359938375941</v>
      </c>
      <c r="M384">
        <v>1.3241410365519251</v>
      </c>
      <c r="N384">
        <v>-0.34575688290309481</v>
      </c>
      <c r="O384">
        <v>3.4266030584734389E-2</v>
      </c>
    </row>
    <row r="385" spans="1:15" x14ac:dyDescent="0.25">
      <c r="A385">
        <v>4.4224077499999996</v>
      </c>
      <c r="B385">
        <v>284.4357455</v>
      </c>
      <c r="C385">
        <v>238.19907749999999</v>
      </c>
      <c r="D385">
        <v>-18.662785499999998</v>
      </c>
      <c r="E385">
        <v>225.04495224999999</v>
      </c>
      <c r="F385">
        <v>6.1395379999999999</v>
      </c>
      <c r="G385">
        <v>325.17128000000002</v>
      </c>
      <c r="H385">
        <v>20</v>
      </c>
      <c r="I385">
        <v>16</v>
      </c>
      <c r="J385">
        <v>1.18</v>
      </c>
      <c r="K385">
        <v>23.253634250000001</v>
      </c>
      <c r="L385">
        <v>-1.00694762621765</v>
      </c>
      <c r="M385">
        <v>1.30552264974007</v>
      </c>
      <c r="N385">
        <v>-0.43127023731997038</v>
      </c>
      <c r="O385">
        <v>-5.7107662662105707E-2</v>
      </c>
    </row>
    <row r="386" spans="1:15" x14ac:dyDescent="0.25">
      <c r="A386">
        <v>-36.900704500000003</v>
      </c>
      <c r="B386">
        <v>284.33956875000001</v>
      </c>
      <c r="C386">
        <v>262.19406874999999</v>
      </c>
      <c r="D386">
        <v>-51.311737749999999</v>
      </c>
      <c r="E386">
        <v>204.07831575</v>
      </c>
      <c r="F386">
        <v>6.3344442499999998</v>
      </c>
      <c r="G386">
        <v>338.13491825</v>
      </c>
      <c r="H386">
        <v>20</v>
      </c>
      <c r="I386">
        <v>20</v>
      </c>
      <c r="J386">
        <v>1.18</v>
      </c>
      <c r="K386">
        <v>23.7144035</v>
      </c>
      <c r="L386">
        <v>-1.205127918992748</v>
      </c>
      <c r="M386">
        <v>1.3524112490021361</v>
      </c>
      <c r="N386">
        <v>-0.54014551509318198</v>
      </c>
      <c r="O386">
        <v>-0.2032286014389828</v>
      </c>
    </row>
    <row r="387" spans="1:15" x14ac:dyDescent="0.25">
      <c r="A387">
        <v>-77.270704249999994</v>
      </c>
      <c r="B387">
        <v>249.38019199999999</v>
      </c>
      <c r="C387">
        <v>254.652424</v>
      </c>
      <c r="D387">
        <v>-85.883785000000003</v>
      </c>
      <c r="E387">
        <v>154.63459399999999</v>
      </c>
      <c r="F387">
        <v>5.7984520000000002</v>
      </c>
      <c r="G387">
        <v>313.44799799999998</v>
      </c>
      <c r="H387">
        <v>20</v>
      </c>
      <c r="I387">
        <v>24</v>
      </c>
      <c r="J387">
        <v>1.18</v>
      </c>
      <c r="K387">
        <v>22.835030249999999</v>
      </c>
      <c r="L387">
        <v>-1.405188413890847</v>
      </c>
      <c r="M387">
        <v>1.4193262625782701</v>
      </c>
      <c r="N387">
        <v>-0.67232805402415208</v>
      </c>
      <c r="O387">
        <v>-0.36988614185890201</v>
      </c>
    </row>
    <row r="388" spans="1:15" x14ac:dyDescent="0.25">
      <c r="A388">
        <v>-113.6307375</v>
      </c>
      <c r="B388">
        <v>216.10383225000001</v>
      </c>
      <c r="C388">
        <v>243.15287025000001</v>
      </c>
      <c r="D388">
        <v>-122.24780475</v>
      </c>
      <c r="E388">
        <v>105.86144849999999</v>
      </c>
      <c r="F388">
        <v>5.4086394999999996</v>
      </c>
      <c r="G388">
        <v>291.88193525000003</v>
      </c>
      <c r="H388">
        <v>20</v>
      </c>
      <c r="I388">
        <v>28</v>
      </c>
      <c r="J388">
        <v>1.18</v>
      </c>
      <c r="K388">
        <v>22.035132749999999</v>
      </c>
      <c r="L388">
        <v>-1.594218206549495</v>
      </c>
      <c r="M388">
        <v>1.5118455542481679</v>
      </c>
      <c r="N388">
        <v>-0.83120361067527848</v>
      </c>
      <c r="O388">
        <v>-0.55115667887167996</v>
      </c>
    </row>
    <row r="389" spans="1:15" x14ac:dyDescent="0.25">
      <c r="A389">
        <v>-150.801773</v>
      </c>
      <c r="B389">
        <v>185.76082224999999</v>
      </c>
      <c r="C389">
        <v>233.62365725000001</v>
      </c>
      <c r="D389">
        <v>-161.80242175000001</v>
      </c>
      <c r="E389">
        <v>57.40123475</v>
      </c>
      <c r="F389">
        <v>5.0675537500000001</v>
      </c>
      <c r="G389">
        <v>275.39730850000001</v>
      </c>
      <c r="H389">
        <v>20</v>
      </c>
      <c r="I389">
        <v>32</v>
      </c>
      <c r="J389">
        <v>1.18</v>
      </c>
      <c r="K389">
        <v>21.40526775</v>
      </c>
      <c r="L389">
        <v>-1.798863707916476</v>
      </c>
      <c r="M389">
        <v>1.6263822511504591</v>
      </c>
      <c r="N389">
        <v>-1.020095991936151</v>
      </c>
      <c r="O389">
        <v>-0.75509020431224239</v>
      </c>
    </row>
    <row r="390" spans="1:15" x14ac:dyDescent="0.25">
      <c r="A390">
        <v>-192.94876074999999</v>
      </c>
      <c r="B390">
        <v>160.13034074999999</v>
      </c>
      <c r="C390">
        <v>231.04909900000001</v>
      </c>
      <c r="D390">
        <v>-207.60711275</v>
      </c>
      <c r="E390">
        <v>6.5269510000000004</v>
      </c>
      <c r="F390">
        <v>5.0188269999999999</v>
      </c>
      <c r="G390">
        <v>270.99607824999998</v>
      </c>
      <c r="H390">
        <v>20</v>
      </c>
      <c r="I390">
        <v>36</v>
      </c>
      <c r="J390">
        <v>1.18</v>
      </c>
      <c r="K390">
        <v>21.2322405</v>
      </c>
      <c r="L390">
        <v>-2.050277387003415</v>
      </c>
      <c r="M390">
        <v>1.778262788145881</v>
      </c>
      <c r="N390">
        <v>-1.278929121956889</v>
      </c>
      <c r="O390">
        <v>-0.99275794667331252</v>
      </c>
    </row>
    <row r="391" spans="1:15" x14ac:dyDescent="0.25">
      <c r="A391">
        <v>-250.17841725</v>
      </c>
      <c r="B391">
        <v>146.13696300000001</v>
      </c>
      <c r="C391">
        <v>244.249954</v>
      </c>
      <c r="D391">
        <v>-270.63224774999998</v>
      </c>
      <c r="E391">
        <v>-50.042112250000002</v>
      </c>
      <c r="F391">
        <v>5.5548192500000004</v>
      </c>
      <c r="G391">
        <v>291.1217345</v>
      </c>
      <c r="H391">
        <v>20</v>
      </c>
      <c r="I391">
        <v>40</v>
      </c>
      <c r="J391">
        <v>1.18</v>
      </c>
      <c r="K391">
        <v>22.00024475</v>
      </c>
      <c r="L391">
        <v>-2.350347032953334</v>
      </c>
      <c r="M391">
        <v>1.981207747276287</v>
      </c>
      <c r="N391">
        <v>-1.6217979676927721</v>
      </c>
      <c r="O391">
        <v>-1.264287380012673</v>
      </c>
    </row>
    <row r="392" spans="1:15" x14ac:dyDescent="0.25">
      <c r="A392">
        <v>-308.68204500000002</v>
      </c>
      <c r="B392">
        <v>125.60373125</v>
      </c>
      <c r="C392">
        <v>248.99130224999999</v>
      </c>
      <c r="D392">
        <v>-334.05075075000002</v>
      </c>
      <c r="E392">
        <v>-118.3705595</v>
      </c>
      <c r="F392">
        <v>5.9446319999999986</v>
      </c>
      <c r="G392">
        <v>308.08648699999998</v>
      </c>
      <c r="H392">
        <v>20</v>
      </c>
      <c r="I392">
        <v>44</v>
      </c>
      <c r="J392">
        <v>1.18</v>
      </c>
      <c r="K392">
        <v>22.62972375</v>
      </c>
      <c r="L392">
        <v>-2.7472495945801132</v>
      </c>
      <c r="M392">
        <v>2.2643600210443799</v>
      </c>
      <c r="N392">
        <v>-2.1008468741795752</v>
      </c>
      <c r="O392">
        <v>-1.612403351804194</v>
      </c>
    </row>
    <row r="393" spans="1:15" x14ac:dyDescent="0.25">
      <c r="A393">
        <v>265.02868649999999</v>
      </c>
      <c r="B393">
        <v>142.43424999999999</v>
      </c>
      <c r="C393">
        <v>-350.85787950000002</v>
      </c>
      <c r="D393">
        <v>-357.56497949999999</v>
      </c>
      <c r="E393">
        <v>-72.431724500000001</v>
      </c>
      <c r="F393">
        <v>6.23699125</v>
      </c>
      <c r="G393">
        <v>327.01179500000001</v>
      </c>
      <c r="H393">
        <v>24</v>
      </c>
      <c r="I393">
        <v>-44</v>
      </c>
      <c r="J393">
        <v>1.18</v>
      </c>
      <c r="K393">
        <v>23.317066749999999</v>
      </c>
      <c r="L393">
        <v>2.1857694925770792</v>
      </c>
      <c r="M393">
        <v>1.7744714662397101</v>
      </c>
      <c r="N393">
        <v>-1.417648312610188</v>
      </c>
      <c r="O393">
        <v>-1.279233089857498</v>
      </c>
    </row>
    <row r="394" spans="1:15" x14ac:dyDescent="0.25">
      <c r="A394">
        <v>279.55946349999999</v>
      </c>
      <c r="B394">
        <v>179.99035275</v>
      </c>
      <c r="C394">
        <v>-320.13469700000002</v>
      </c>
      <c r="D394">
        <v>-325.615341</v>
      </c>
      <c r="E394">
        <v>-19.267552250000001</v>
      </c>
      <c r="F394">
        <v>6.4318972499999996</v>
      </c>
      <c r="G394">
        <v>337.21466075000001</v>
      </c>
      <c r="H394">
        <v>24</v>
      </c>
      <c r="I394">
        <v>-40</v>
      </c>
      <c r="J394">
        <v>1.18</v>
      </c>
      <c r="K394">
        <v>23.677989749999998</v>
      </c>
      <c r="L394">
        <v>1.9752010909451609</v>
      </c>
      <c r="M394">
        <v>1.665321566195306</v>
      </c>
      <c r="N394">
        <v>-1.174146379683237</v>
      </c>
      <c r="O394">
        <v>-1.084623744415161</v>
      </c>
    </row>
    <row r="395" spans="1:15" x14ac:dyDescent="0.25">
      <c r="A395">
        <v>256.22900025000001</v>
      </c>
      <c r="B395">
        <v>191.14658725000001</v>
      </c>
      <c r="C395">
        <v>-251.92110074999999</v>
      </c>
      <c r="D395">
        <v>-255.72823725000001</v>
      </c>
      <c r="E395">
        <v>27.0465445</v>
      </c>
      <c r="F395">
        <v>6.0908115</v>
      </c>
      <c r="G395">
        <v>308.20652024999998</v>
      </c>
      <c r="H395">
        <v>24</v>
      </c>
      <c r="I395">
        <v>-36</v>
      </c>
      <c r="J395">
        <v>1.18</v>
      </c>
      <c r="K395">
        <v>22.628727250000001</v>
      </c>
      <c r="L395">
        <v>1.809205107735143</v>
      </c>
      <c r="M395">
        <v>1.5910232062862231</v>
      </c>
      <c r="N395">
        <v>-1.001035171581254</v>
      </c>
      <c r="O395">
        <v>-0.92538661759986818</v>
      </c>
    </row>
    <row r="396" spans="1:15" x14ac:dyDescent="0.25">
      <c r="A396">
        <v>237.50143825000001</v>
      </c>
      <c r="B396">
        <v>201.05255124999999</v>
      </c>
      <c r="C396">
        <v>-192.14397049999999</v>
      </c>
      <c r="D396">
        <v>-193.75206349999999</v>
      </c>
      <c r="E396">
        <v>66.297525500000006</v>
      </c>
      <c r="F396">
        <v>5.3111864999999998</v>
      </c>
      <c r="G396">
        <v>289.48126224999999</v>
      </c>
      <c r="H396">
        <v>24</v>
      </c>
      <c r="I396">
        <v>-32</v>
      </c>
      <c r="J396">
        <v>1.18</v>
      </c>
      <c r="K396">
        <v>21.946377999999999</v>
      </c>
      <c r="L396">
        <v>1.6572992035631939</v>
      </c>
      <c r="M396">
        <v>1.5228942793343789</v>
      </c>
      <c r="N396">
        <v>-0.86091387549669629</v>
      </c>
      <c r="O396">
        <v>-0.76475088480402043</v>
      </c>
    </row>
    <row r="397" spans="1:15" x14ac:dyDescent="0.25">
      <c r="A397">
        <v>221.12047949999999</v>
      </c>
      <c r="B397">
        <v>208.98693474999999</v>
      </c>
      <c r="C397">
        <v>-139.17918424999999</v>
      </c>
      <c r="D397">
        <v>-142.57145324999999</v>
      </c>
      <c r="E397">
        <v>97.591022500000008</v>
      </c>
      <c r="F397">
        <v>5.0675537500000001</v>
      </c>
      <c r="G397">
        <v>274.43704250000002</v>
      </c>
      <c r="H397">
        <v>24</v>
      </c>
      <c r="I397">
        <v>-28</v>
      </c>
      <c r="J397">
        <v>1.18</v>
      </c>
      <c r="K397">
        <v>21.3672115</v>
      </c>
      <c r="L397">
        <v>1.510897625506211</v>
      </c>
      <c r="M397">
        <v>1.474243370570657</v>
      </c>
      <c r="N397">
        <v>-0.74159671690439732</v>
      </c>
      <c r="O397">
        <v>-0.61200113574084847</v>
      </c>
    </row>
    <row r="398" spans="1:15" x14ac:dyDescent="0.25">
      <c r="A398">
        <v>212.1402855</v>
      </c>
      <c r="B398">
        <v>222.40325525</v>
      </c>
      <c r="C398">
        <v>-90.951452000000003</v>
      </c>
      <c r="D398">
        <v>-103.14795125000001</v>
      </c>
      <c r="E398">
        <v>126.24692324999999</v>
      </c>
      <c r="F398">
        <v>4.9213742500000004</v>
      </c>
      <c r="G398">
        <v>272.95662700000003</v>
      </c>
      <c r="H398">
        <v>24</v>
      </c>
      <c r="I398">
        <v>-24</v>
      </c>
      <c r="J398">
        <v>1.18</v>
      </c>
      <c r="K398">
        <v>21.314224249999999</v>
      </c>
      <c r="L398">
        <v>1.3573706386671629</v>
      </c>
      <c r="M398">
        <v>1.45793912300597</v>
      </c>
      <c r="N398">
        <v>-0.65704245732341238</v>
      </c>
      <c r="O398">
        <v>-0.45667319329053202</v>
      </c>
    </row>
    <row r="399" spans="1:15" x14ac:dyDescent="0.25">
      <c r="A399">
        <v>216.833439</v>
      </c>
      <c r="B399">
        <v>252.50584799999999</v>
      </c>
      <c r="C399">
        <v>-52.513636000000012</v>
      </c>
      <c r="D399">
        <v>-84.485166499999991</v>
      </c>
      <c r="E399">
        <v>159.46273450000001</v>
      </c>
      <c r="F399">
        <v>5.4086394999999996</v>
      </c>
      <c r="G399">
        <v>293.00225074999997</v>
      </c>
      <c r="H399">
        <v>24</v>
      </c>
      <c r="I399">
        <v>-20</v>
      </c>
      <c r="J399">
        <v>1.18</v>
      </c>
      <c r="K399">
        <v>22.07817425</v>
      </c>
      <c r="L399">
        <v>1.181560690776454</v>
      </c>
      <c r="M399">
        <v>1.47828204400112</v>
      </c>
      <c r="N399">
        <v>-0.58581643808841855</v>
      </c>
      <c r="O399">
        <v>-0.32421707326772792</v>
      </c>
    </row>
    <row r="400" spans="1:15" x14ac:dyDescent="0.25">
      <c r="A400">
        <v>212.3207855</v>
      </c>
      <c r="B400">
        <v>278.66527574999998</v>
      </c>
      <c r="C400">
        <v>-14.8427715</v>
      </c>
      <c r="D400">
        <v>-68.18254675</v>
      </c>
      <c r="E400">
        <v>190.21976075000001</v>
      </c>
      <c r="F400">
        <v>5.9446320000000004</v>
      </c>
      <c r="G400">
        <v>309.64693475000001</v>
      </c>
      <c r="H400">
        <v>24</v>
      </c>
      <c r="I400">
        <v>-16</v>
      </c>
      <c r="J400">
        <v>1.18</v>
      </c>
      <c r="K400">
        <v>22.688077750000001</v>
      </c>
      <c r="L400">
        <v>0.98029570217555562</v>
      </c>
      <c r="M400">
        <v>1.496762440494849</v>
      </c>
      <c r="N400">
        <v>-0.51537664857476062</v>
      </c>
      <c r="O400">
        <v>-0.20478809078052931</v>
      </c>
    </row>
    <row r="401" spans="1:15" x14ac:dyDescent="0.25">
      <c r="A401">
        <v>200.4073525</v>
      </c>
      <c r="B401">
        <v>300.30453499999999</v>
      </c>
      <c r="C401">
        <v>19.775858499999998</v>
      </c>
      <c r="D401">
        <v>-65.035658999999995</v>
      </c>
      <c r="E401">
        <v>215.56748974999999</v>
      </c>
      <c r="F401">
        <v>6.0908115</v>
      </c>
      <c r="G401">
        <v>323.57082374999999</v>
      </c>
      <c r="H401">
        <v>24</v>
      </c>
      <c r="I401">
        <v>-12</v>
      </c>
      <c r="J401">
        <v>1.18</v>
      </c>
      <c r="K401">
        <v>23.19701225</v>
      </c>
      <c r="L401">
        <v>0.7583308613420745</v>
      </c>
      <c r="M401">
        <v>1.5337671556733059</v>
      </c>
      <c r="N401">
        <v>-0.45342134350645552</v>
      </c>
      <c r="O401">
        <v>-0.1205739951625171</v>
      </c>
    </row>
    <row r="402" spans="1:15" x14ac:dyDescent="0.25">
      <c r="A402">
        <v>184.4776535</v>
      </c>
      <c r="B402">
        <v>319.68366225</v>
      </c>
      <c r="C402">
        <v>54.725648999999997</v>
      </c>
      <c r="D402">
        <v>-63.243683999999988</v>
      </c>
      <c r="E402">
        <v>236.57884974999999</v>
      </c>
      <c r="F402">
        <v>6.5293504999999996</v>
      </c>
      <c r="G402">
        <v>337.53474449999999</v>
      </c>
      <c r="H402">
        <v>24</v>
      </c>
      <c r="I402">
        <v>-8</v>
      </c>
      <c r="J402">
        <v>1.18</v>
      </c>
      <c r="K402">
        <v>23.685985250000002</v>
      </c>
      <c r="L402">
        <v>0.53877196833660479</v>
      </c>
      <c r="M402">
        <v>1.589979911786455</v>
      </c>
      <c r="N402">
        <v>-0.41919502020952593</v>
      </c>
      <c r="O402">
        <v>-4.4788547145240783E-2</v>
      </c>
    </row>
    <row r="403" spans="1:15" x14ac:dyDescent="0.25">
      <c r="A403">
        <v>145.71388250000001</v>
      </c>
      <c r="B403">
        <v>300.73731974999998</v>
      </c>
      <c r="C403">
        <v>80.457839750000005</v>
      </c>
      <c r="D403">
        <v>-53.365953249999997</v>
      </c>
      <c r="E403">
        <v>226.25197975</v>
      </c>
      <c r="F403">
        <v>5.8959052500000002</v>
      </c>
      <c r="G403">
        <v>314.3282395</v>
      </c>
      <c r="H403">
        <v>24</v>
      </c>
      <c r="I403">
        <v>-4</v>
      </c>
      <c r="J403">
        <v>1.18</v>
      </c>
      <c r="K403">
        <v>22.864054500000002</v>
      </c>
      <c r="L403">
        <v>0.30676377822405959</v>
      </c>
      <c r="M403">
        <v>1.6647559668440091</v>
      </c>
      <c r="N403">
        <v>-0.4140691443001539</v>
      </c>
      <c r="O403">
        <v>3.597708368934649E-2</v>
      </c>
    </row>
    <row r="404" spans="1:15" x14ac:dyDescent="0.25">
      <c r="A404">
        <v>107.98801975000001</v>
      </c>
      <c r="B404">
        <v>282.07948299999998</v>
      </c>
      <c r="C404">
        <v>105.5231285</v>
      </c>
      <c r="D404">
        <v>-45.804684250000001</v>
      </c>
      <c r="E404">
        <v>213.33224849999999</v>
      </c>
      <c r="F404">
        <v>5.4573660000000004</v>
      </c>
      <c r="G404">
        <v>293.72245800000002</v>
      </c>
      <c r="H404">
        <v>24</v>
      </c>
      <c r="I404">
        <v>0</v>
      </c>
      <c r="J404">
        <v>1.18</v>
      </c>
      <c r="K404">
        <v>22.103931750000001</v>
      </c>
      <c r="L404">
        <v>1.3460506149576709E-2</v>
      </c>
      <c r="M404">
        <v>1.7870957252884849</v>
      </c>
      <c r="N404">
        <v>-0.43819290896491192</v>
      </c>
      <c r="O404">
        <v>0.13300596002052889</v>
      </c>
    </row>
    <row r="405" spans="1:15" x14ac:dyDescent="0.25">
      <c r="A405">
        <v>73.421022749999992</v>
      </c>
      <c r="B405">
        <v>266.30687725000001</v>
      </c>
      <c r="C405">
        <v>124.89396275</v>
      </c>
      <c r="D405">
        <v>-44.930550250000003</v>
      </c>
      <c r="E405">
        <v>198.9372405</v>
      </c>
      <c r="F405">
        <v>4.8726475000000002</v>
      </c>
      <c r="G405">
        <v>278.15807324999997</v>
      </c>
      <c r="H405">
        <v>24</v>
      </c>
      <c r="I405">
        <v>4</v>
      </c>
      <c r="J405">
        <v>1.18</v>
      </c>
      <c r="K405">
        <v>21.521967</v>
      </c>
      <c r="L405">
        <v>-0.27867976743117312</v>
      </c>
      <c r="M405">
        <v>1.6851970198862181</v>
      </c>
      <c r="N405">
        <v>-0.4289711216243603</v>
      </c>
      <c r="O405">
        <v>5.0761352710455662E-2</v>
      </c>
    </row>
    <row r="406" spans="1:15" x14ac:dyDescent="0.25">
      <c r="A406">
        <v>41.832378499999997</v>
      </c>
      <c r="B406">
        <v>254.42934399999999</v>
      </c>
      <c r="C406">
        <v>140.95922100000001</v>
      </c>
      <c r="D406">
        <v>-47.072181499999999</v>
      </c>
      <c r="E406">
        <v>184.76575875</v>
      </c>
      <c r="F406">
        <v>4.7751944999999996</v>
      </c>
      <c r="G406">
        <v>267.59511550000002</v>
      </c>
      <c r="H406">
        <v>24</v>
      </c>
      <c r="I406">
        <v>8</v>
      </c>
      <c r="J406">
        <v>1.18</v>
      </c>
      <c r="K406">
        <v>21.105832750000001</v>
      </c>
      <c r="L406">
        <v>-0.52900323137842342</v>
      </c>
      <c r="M406">
        <v>1.608986047204219</v>
      </c>
      <c r="N406">
        <v>-0.44203193488313169</v>
      </c>
      <c r="O406">
        <v>-3.9455361900938457E-2</v>
      </c>
    </row>
    <row r="407" spans="1:15" x14ac:dyDescent="0.25">
      <c r="A407">
        <v>8.8448137500000001</v>
      </c>
      <c r="B407">
        <v>265.82599649999997</v>
      </c>
      <c r="C407">
        <v>171.029312</v>
      </c>
      <c r="D407">
        <v>-55.769826999999999</v>
      </c>
      <c r="E407">
        <v>185.03398899999999</v>
      </c>
      <c r="F407">
        <v>5.3599130000000006</v>
      </c>
      <c r="G407">
        <v>284.79994950000003</v>
      </c>
      <c r="H407">
        <v>24</v>
      </c>
      <c r="I407">
        <v>12</v>
      </c>
      <c r="J407">
        <v>1.18</v>
      </c>
      <c r="K407">
        <v>21.762959250000002</v>
      </c>
      <c r="L407">
        <v>-0.77787670538745479</v>
      </c>
      <c r="M407">
        <v>1.542446965514608</v>
      </c>
      <c r="N407">
        <v>-0.47850025526079282</v>
      </c>
      <c r="O407">
        <v>-0.13823883821400479</v>
      </c>
    </row>
    <row r="408" spans="1:15" x14ac:dyDescent="0.25">
      <c r="A408">
        <v>-29.19417</v>
      </c>
      <c r="B408">
        <v>274.33744074999998</v>
      </c>
      <c r="C408">
        <v>198.90007399999999</v>
      </c>
      <c r="D408">
        <v>-67.133583250000001</v>
      </c>
      <c r="E408">
        <v>177.03179549999999</v>
      </c>
      <c r="F408">
        <v>5.7009987500000001</v>
      </c>
      <c r="G408">
        <v>300.484352</v>
      </c>
      <c r="H408">
        <v>24</v>
      </c>
      <c r="I408">
        <v>16</v>
      </c>
      <c r="J408">
        <v>1.18</v>
      </c>
      <c r="K408">
        <v>22.352457000000001</v>
      </c>
      <c r="L408">
        <v>-1.0128608130544741</v>
      </c>
      <c r="M408">
        <v>1.5163553476514351</v>
      </c>
      <c r="N408">
        <v>-0.54821960334801489</v>
      </c>
      <c r="O408">
        <v>-0.23919313661646721</v>
      </c>
    </row>
    <row r="409" spans="1:15" x14ac:dyDescent="0.25">
      <c r="A409">
        <v>-71.133809999999997</v>
      </c>
      <c r="B409">
        <v>274.14508825000001</v>
      </c>
      <c r="C409">
        <v>221.50732825</v>
      </c>
      <c r="D409">
        <v>-90.079631750000004</v>
      </c>
      <c r="E409">
        <v>157.67453399999999</v>
      </c>
      <c r="F409">
        <v>5.8959052500000002</v>
      </c>
      <c r="G409">
        <v>311.88755049999997</v>
      </c>
      <c r="H409">
        <v>24</v>
      </c>
      <c r="I409">
        <v>20</v>
      </c>
      <c r="J409">
        <v>1.18</v>
      </c>
      <c r="K409">
        <v>22.7734405</v>
      </c>
      <c r="L409">
        <v>-1.2281241728855541</v>
      </c>
      <c r="M409">
        <v>1.5285641812337429</v>
      </c>
      <c r="N409">
        <v>-0.64720816168612094</v>
      </c>
      <c r="O409">
        <v>-0.36302054968129632</v>
      </c>
    </row>
    <row r="410" spans="1:15" x14ac:dyDescent="0.25">
      <c r="A410">
        <v>-122.08521825</v>
      </c>
      <c r="B410">
        <v>271.21176924999997</v>
      </c>
      <c r="C410">
        <v>241.05740324999999</v>
      </c>
      <c r="D410">
        <v>-133.21820450000001</v>
      </c>
      <c r="E410">
        <v>128.70569825000001</v>
      </c>
      <c r="F410">
        <v>6.0420850000000002</v>
      </c>
      <c r="G410">
        <v>323.49080674999999</v>
      </c>
      <c r="H410">
        <v>24</v>
      </c>
      <c r="I410">
        <v>24</v>
      </c>
      <c r="J410">
        <v>1.18</v>
      </c>
      <c r="K410">
        <v>23.195865999999999</v>
      </c>
      <c r="L410">
        <v>-1.416545341677941</v>
      </c>
      <c r="M410">
        <v>1.5776163368280789</v>
      </c>
      <c r="N410">
        <v>-0.75982949744061279</v>
      </c>
      <c r="O410">
        <v>-0.5215153727913544</v>
      </c>
    </row>
    <row r="411" spans="1:15" x14ac:dyDescent="0.25">
      <c r="A411">
        <v>-175.95326224999999</v>
      </c>
      <c r="B411">
        <v>262.98885324999998</v>
      </c>
      <c r="C411">
        <v>256.54395299999999</v>
      </c>
      <c r="D411">
        <v>-186.54045099999999</v>
      </c>
      <c r="E411">
        <v>92.584062750000001</v>
      </c>
      <c r="F411">
        <v>6.3831707499999997</v>
      </c>
      <c r="G411">
        <v>334.93401349999999</v>
      </c>
      <c r="H411">
        <v>24</v>
      </c>
      <c r="I411">
        <v>28</v>
      </c>
      <c r="J411">
        <v>1.18</v>
      </c>
      <c r="K411">
        <v>23.598002000000001</v>
      </c>
      <c r="L411">
        <v>-1.5794188738493651</v>
      </c>
      <c r="M411">
        <v>1.6416627313136971</v>
      </c>
      <c r="N411">
        <v>-0.88505942470790244</v>
      </c>
      <c r="O411">
        <v>-0.68519505871403374</v>
      </c>
    </row>
    <row r="412" spans="1:15" x14ac:dyDescent="0.25">
      <c r="A412">
        <v>-217.4249495</v>
      </c>
      <c r="B412">
        <v>227.29170224999999</v>
      </c>
      <c r="C412">
        <v>247.3784445</v>
      </c>
      <c r="D412">
        <v>-228.10556025</v>
      </c>
      <c r="E412">
        <v>39.832171500000001</v>
      </c>
      <c r="F412">
        <v>6.0908115</v>
      </c>
      <c r="G412">
        <v>316.32879624999998</v>
      </c>
      <c r="H412">
        <v>24</v>
      </c>
      <c r="I412">
        <v>32</v>
      </c>
      <c r="J412">
        <v>1.18</v>
      </c>
      <c r="K412">
        <v>22.930887250000001</v>
      </c>
      <c r="L412">
        <v>-1.770051449943463</v>
      </c>
      <c r="M412">
        <v>1.734225195171156</v>
      </c>
      <c r="N412">
        <v>-1.052969228316782</v>
      </c>
      <c r="O412">
        <v>-0.87151764937962073</v>
      </c>
    </row>
    <row r="413" spans="1:15" x14ac:dyDescent="0.25">
      <c r="A413">
        <v>-239.90643299999999</v>
      </c>
      <c r="B413">
        <v>189.49004024999999</v>
      </c>
      <c r="C413">
        <v>229.27318199999999</v>
      </c>
      <c r="D413">
        <v>-257.17055900000003</v>
      </c>
      <c r="E413">
        <v>-10.748797250000001</v>
      </c>
      <c r="F413">
        <v>5.6035455000000001</v>
      </c>
      <c r="G413">
        <v>293.80247500000002</v>
      </c>
      <c r="H413">
        <v>24</v>
      </c>
      <c r="I413">
        <v>36</v>
      </c>
      <c r="J413">
        <v>1.18</v>
      </c>
      <c r="K413">
        <v>22.101400250000001</v>
      </c>
      <c r="L413">
        <v>-1.973096396256345</v>
      </c>
      <c r="M413">
        <v>1.8783837741940701</v>
      </c>
      <c r="N413">
        <v>-1.280763158354961</v>
      </c>
      <c r="O413">
        <v>-1.0687530412921189</v>
      </c>
    </row>
    <row r="414" spans="1:15" x14ac:dyDescent="0.25">
      <c r="A414">
        <v>-258.88483424999998</v>
      </c>
      <c r="B414">
        <v>152.87987525</v>
      </c>
      <c r="C414">
        <v>209.136154</v>
      </c>
      <c r="D414">
        <v>-281.47151174999999</v>
      </c>
      <c r="E414">
        <v>-60.7909115</v>
      </c>
      <c r="F414">
        <v>4.8239212499999997</v>
      </c>
      <c r="G414">
        <v>272.55651849999998</v>
      </c>
      <c r="H414">
        <v>24</v>
      </c>
      <c r="I414">
        <v>40</v>
      </c>
      <c r="J414">
        <v>1.18</v>
      </c>
      <c r="K414">
        <v>21.302191499999999</v>
      </c>
      <c r="L414">
        <v>-2.2351964833533482</v>
      </c>
      <c r="M414">
        <v>2.0744011293022608</v>
      </c>
      <c r="N414">
        <v>-1.5920229497563989</v>
      </c>
      <c r="O414">
        <v>-1.3133674683364049</v>
      </c>
    </row>
    <row r="415" spans="1:15" x14ac:dyDescent="0.25">
      <c r="A415">
        <v>-288.40946200000002</v>
      </c>
      <c r="B415">
        <v>126.15028375</v>
      </c>
      <c r="C415">
        <v>197.487381</v>
      </c>
      <c r="D415">
        <v>-315.82501975000002</v>
      </c>
      <c r="E415">
        <v>-113.4644735</v>
      </c>
      <c r="F415">
        <v>4.9213737499999999</v>
      </c>
      <c r="G415">
        <v>268.87548800000002</v>
      </c>
      <c r="H415">
        <v>24</v>
      </c>
      <c r="I415">
        <v>44</v>
      </c>
      <c r="J415">
        <v>1.18</v>
      </c>
      <c r="K415">
        <v>21.151332499999999</v>
      </c>
      <c r="L415">
        <v>-2.5756288343071558</v>
      </c>
      <c r="M415">
        <v>2.3428226049273491</v>
      </c>
      <c r="N415">
        <v>-2.02672127480262</v>
      </c>
      <c r="O415">
        <v>-1.627546876796848</v>
      </c>
    </row>
    <row r="416" spans="1:15" x14ac:dyDescent="0.25">
      <c r="A416">
        <v>216.78832249999999</v>
      </c>
      <c r="B416">
        <v>144.15758149999999</v>
      </c>
      <c r="C416">
        <v>-338.22573075000003</v>
      </c>
      <c r="D416">
        <v>-353.36913299999998</v>
      </c>
      <c r="E416">
        <v>-90.539655499999995</v>
      </c>
      <c r="F416">
        <v>5.4573660000000004</v>
      </c>
      <c r="G416">
        <v>292.84220125000002</v>
      </c>
      <c r="H416">
        <v>28</v>
      </c>
      <c r="I416">
        <v>-44</v>
      </c>
      <c r="J416">
        <v>1.18</v>
      </c>
      <c r="K416">
        <v>22.07016625</v>
      </c>
      <c r="L416">
        <v>2.1743264349977358</v>
      </c>
      <c r="M416">
        <v>1.9491131842910949</v>
      </c>
      <c r="N416">
        <v>-1.501957007790079</v>
      </c>
      <c r="O416">
        <v>-1.3760784873032921</v>
      </c>
    </row>
    <row r="417" spans="1:15" x14ac:dyDescent="0.25">
      <c r="A417">
        <v>229.64939874999999</v>
      </c>
      <c r="B417">
        <v>178.56022625</v>
      </c>
      <c r="C417">
        <v>-314.67580425</v>
      </c>
      <c r="D417">
        <v>-331.29722575</v>
      </c>
      <c r="E417">
        <v>-47.009260500000003</v>
      </c>
      <c r="F417">
        <v>5.6035455000000001</v>
      </c>
      <c r="G417">
        <v>305.3657225</v>
      </c>
      <c r="H417">
        <v>28</v>
      </c>
      <c r="I417">
        <v>-40</v>
      </c>
      <c r="J417">
        <v>1.18</v>
      </c>
      <c r="K417">
        <v>22.540435500000001</v>
      </c>
      <c r="L417">
        <v>1.9723701553874859</v>
      </c>
      <c r="M417">
        <v>1.847485647935831</v>
      </c>
      <c r="N417">
        <v>-1.276849348048017</v>
      </c>
      <c r="O417">
        <v>-1.190651797666284</v>
      </c>
    </row>
    <row r="418" spans="1:15" x14ac:dyDescent="0.25">
      <c r="A418">
        <v>241.06645175</v>
      </c>
      <c r="B418">
        <v>211.06945425000001</v>
      </c>
      <c r="C418">
        <v>-291.80258950000001</v>
      </c>
      <c r="D418">
        <v>-303.76197024999999</v>
      </c>
      <c r="E418">
        <v>-3.7018680000000002</v>
      </c>
      <c r="F418">
        <v>6.1395379999999999</v>
      </c>
      <c r="G418">
        <v>317.769203</v>
      </c>
      <c r="H418">
        <v>28</v>
      </c>
      <c r="I418">
        <v>-36</v>
      </c>
      <c r="J418">
        <v>1.18</v>
      </c>
      <c r="K418">
        <v>22.982287500000002</v>
      </c>
      <c r="L418">
        <v>1.8119886290987821</v>
      </c>
      <c r="M418">
        <v>1.7506502660280701</v>
      </c>
      <c r="N418">
        <v>-1.093145335515505</v>
      </c>
      <c r="O418">
        <v>-1.0334630144294319</v>
      </c>
    </row>
    <row r="419" spans="1:15" x14ac:dyDescent="0.25">
      <c r="A419">
        <v>247.47442225</v>
      </c>
      <c r="B419">
        <v>240.82065574999999</v>
      </c>
      <c r="C419">
        <v>-260.58315249999998</v>
      </c>
      <c r="D419">
        <v>-268.79656249999999</v>
      </c>
      <c r="E419">
        <v>38.491022000000001</v>
      </c>
      <c r="F419">
        <v>6.1882647500000001</v>
      </c>
      <c r="G419">
        <v>329.25243375000002</v>
      </c>
      <c r="H419">
        <v>28</v>
      </c>
      <c r="I419">
        <v>-32</v>
      </c>
      <c r="J419">
        <v>1.18</v>
      </c>
      <c r="K419">
        <v>23.400133</v>
      </c>
      <c r="L419">
        <v>1.675755065165029</v>
      </c>
      <c r="M419">
        <v>1.680900806604587</v>
      </c>
      <c r="N419">
        <v>-0.95904260548368425</v>
      </c>
      <c r="O419">
        <v>-0.89344048363875583</v>
      </c>
    </row>
    <row r="420" spans="1:15" x14ac:dyDescent="0.25">
      <c r="A420">
        <v>247.20365899999999</v>
      </c>
      <c r="B420">
        <v>267.431488</v>
      </c>
      <c r="C420">
        <v>-213.07723999999999</v>
      </c>
      <c r="D420">
        <v>-225.04609675</v>
      </c>
      <c r="E420">
        <v>79.396089500000002</v>
      </c>
      <c r="F420">
        <v>6.4318980000000003</v>
      </c>
      <c r="G420">
        <v>336.53446975000003</v>
      </c>
      <c r="H420">
        <v>28</v>
      </c>
      <c r="I420">
        <v>-28</v>
      </c>
      <c r="J420">
        <v>1.18</v>
      </c>
      <c r="K420">
        <v>23.653638749999999</v>
      </c>
      <c r="L420">
        <v>1.5422033143881619</v>
      </c>
      <c r="M420">
        <v>1.6500928198966249</v>
      </c>
      <c r="N420">
        <v>-0.86157333171934991</v>
      </c>
      <c r="O420">
        <v>-0.7555301936817701</v>
      </c>
    </row>
    <row r="421" spans="1:15" x14ac:dyDescent="0.25">
      <c r="A421">
        <v>217.51035300000001</v>
      </c>
      <c r="B421">
        <v>261.1681595</v>
      </c>
      <c r="C421">
        <v>-142.29210275</v>
      </c>
      <c r="D421">
        <v>-164.46853250000001</v>
      </c>
      <c r="E421">
        <v>103.17914575</v>
      </c>
      <c r="F421">
        <v>5.7984520000000002</v>
      </c>
      <c r="G421">
        <v>308.28653724999998</v>
      </c>
      <c r="H421">
        <v>28</v>
      </c>
      <c r="I421">
        <v>-24</v>
      </c>
      <c r="J421">
        <v>1.18</v>
      </c>
      <c r="K421">
        <v>22.642675000000001</v>
      </c>
      <c r="L421">
        <v>1.402404377143146</v>
      </c>
      <c r="M421">
        <v>1.65902167705685</v>
      </c>
      <c r="N421">
        <v>-0.79945848294760213</v>
      </c>
      <c r="O421">
        <v>-0.62043523306851744</v>
      </c>
    </row>
    <row r="422" spans="1:15" x14ac:dyDescent="0.25">
      <c r="A422">
        <v>189.53183375</v>
      </c>
      <c r="B422">
        <v>254.14604550000001</v>
      </c>
      <c r="C422">
        <v>-88.379905500000007</v>
      </c>
      <c r="D422">
        <v>-125.43839825000001</v>
      </c>
      <c r="E422">
        <v>117.97649575</v>
      </c>
      <c r="F422">
        <v>5.2624599999999999</v>
      </c>
      <c r="G422">
        <v>284.67991625000002</v>
      </c>
      <c r="H422">
        <v>28</v>
      </c>
      <c r="I422">
        <v>-20</v>
      </c>
      <c r="J422">
        <v>1.18</v>
      </c>
      <c r="K422">
        <v>21.76206775</v>
      </c>
      <c r="L422">
        <v>1.2357725395982839</v>
      </c>
      <c r="M422">
        <v>1.6878759559247549</v>
      </c>
      <c r="N422">
        <v>-0.74126067668551099</v>
      </c>
      <c r="O422">
        <v>-0.49876773852989659</v>
      </c>
    </row>
    <row r="423" spans="1:15" x14ac:dyDescent="0.25">
      <c r="A423">
        <v>165.75010674999999</v>
      </c>
      <c r="B423">
        <v>249.24003999999999</v>
      </c>
      <c r="C423">
        <v>-47.099857</v>
      </c>
      <c r="D423">
        <v>-102.0552845</v>
      </c>
      <c r="E423">
        <v>130.4939</v>
      </c>
      <c r="F423">
        <v>5.0675537500000001</v>
      </c>
      <c r="G423">
        <v>269.07553124999998</v>
      </c>
      <c r="H423">
        <v>28</v>
      </c>
      <c r="I423">
        <v>-16</v>
      </c>
      <c r="J423">
        <v>1.18</v>
      </c>
      <c r="K423">
        <v>21.153498750000001</v>
      </c>
      <c r="L423">
        <v>1.0379340390206491</v>
      </c>
      <c r="M423">
        <v>1.7130344089359451</v>
      </c>
      <c r="N423">
        <v>-0.67577290553091529</v>
      </c>
      <c r="O423">
        <v>-0.38836625485176451</v>
      </c>
    </row>
    <row r="424" spans="1:15" x14ac:dyDescent="0.25">
      <c r="A424">
        <v>148.69224149999999</v>
      </c>
      <c r="B424">
        <v>257.78326049999998</v>
      </c>
      <c r="C424">
        <v>-16.6924785</v>
      </c>
      <c r="D424">
        <v>-96.111165999999997</v>
      </c>
      <c r="E424">
        <v>144.75478774999999</v>
      </c>
      <c r="F424">
        <v>5.0675540000000003</v>
      </c>
      <c r="G424">
        <v>270.55595399999999</v>
      </c>
      <c r="H424">
        <v>28</v>
      </c>
      <c r="I424">
        <v>-12</v>
      </c>
      <c r="J424">
        <v>1.18</v>
      </c>
      <c r="K424">
        <v>21.21270925</v>
      </c>
      <c r="L424">
        <v>0.82218794344480628</v>
      </c>
      <c r="M424">
        <v>1.7592958228988489</v>
      </c>
      <c r="N424">
        <v>-0.62540045770895458</v>
      </c>
      <c r="O424">
        <v>-0.30558182172977322</v>
      </c>
    </row>
    <row r="425" spans="1:15" x14ac:dyDescent="0.25">
      <c r="A425">
        <v>134.88348024999999</v>
      </c>
      <c r="B425">
        <v>275.94362649999999</v>
      </c>
      <c r="C425">
        <v>12.01000925</v>
      </c>
      <c r="D425">
        <v>-96.329696499999997</v>
      </c>
      <c r="E425">
        <v>161.96621325000001</v>
      </c>
      <c r="F425">
        <v>5.4086394999999996</v>
      </c>
      <c r="G425">
        <v>285.04001599999998</v>
      </c>
      <c r="H425">
        <v>28</v>
      </c>
      <c r="I425">
        <v>-8</v>
      </c>
      <c r="J425">
        <v>1.18</v>
      </c>
      <c r="K425">
        <v>21.770415</v>
      </c>
      <c r="L425">
        <v>0.60194376290506291</v>
      </c>
      <c r="M425">
        <v>1.823730560140375</v>
      </c>
      <c r="N425">
        <v>-0.60293105674944836</v>
      </c>
      <c r="O425">
        <v>-0.23302599173274821</v>
      </c>
    </row>
    <row r="426" spans="1:15" x14ac:dyDescent="0.25">
      <c r="A426">
        <v>114.71189099999999</v>
      </c>
      <c r="B426">
        <v>291.88188924999997</v>
      </c>
      <c r="C426">
        <v>45.692120750000001</v>
      </c>
      <c r="D426">
        <v>-94.013238749999999</v>
      </c>
      <c r="E426">
        <v>176.1824</v>
      </c>
      <c r="F426">
        <v>5.7984522500000004</v>
      </c>
      <c r="G426">
        <v>298.523796</v>
      </c>
      <c r="H426">
        <v>28</v>
      </c>
      <c r="I426">
        <v>-4</v>
      </c>
      <c r="J426">
        <v>1.18</v>
      </c>
      <c r="K426">
        <v>22.274297749999999</v>
      </c>
      <c r="L426">
        <v>0.34450725570820617</v>
      </c>
      <c r="M426">
        <v>1.926166695545503</v>
      </c>
      <c r="N426">
        <v>-0.61066287304161593</v>
      </c>
      <c r="O426">
        <v>-0.14953296792809481</v>
      </c>
    </row>
    <row r="427" spans="1:15" x14ac:dyDescent="0.25">
      <c r="A427">
        <v>87.365148500000004</v>
      </c>
      <c r="B427">
        <v>304.96342475</v>
      </c>
      <c r="C427">
        <v>79.780586249999999</v>
      </c>
      <c r="D427">
        <v>-96.329700750000001</v>
      </c>
      <c r="E427">
        <v>184.31870674999999</v>
      </c>
      <c r="F427">
        <v>5.7497255000000003</v>
      </c>
      <c r="G427">
        <v>310.88727575000001</v>
      </c>
      <c r="H427">
        <v>28</v>
      </c>
      <c r="I427">
        <v>0</v>
      </c>
      <c r="J427">
        <v>1.18</v>
      </c>
      <c r="K427">
        <v>22.741636</v>
      </c>
      <c r="L427">
        <v>3.9394619975566432E-2</v>
      </c>
      <c r="M427">
        <v>2.0836401392507118</v>
      </c>
      <c r="N427">
        <v>-0.65719492713708894</v>
      </c>
      <c r="O427">
        <v>-7.2824420439096621E-2</v>
      </c>
    </row>
    <row r="428" spans="1:15" x14ac:dyDescent="0.25">
      <c r="A428">
        <v>51.805361750000003</v>
      </c>
      <c r="B428">
        <v>314.56030275000001</v>
      </c>
      <c r="C428">
        <v>114.09480275</v>
      </c>
      <c r="D428">
        <v>-103.41019249999999</v>
      </c>
      <c r="E428">
        <v>186.33042900000001</v>
      </c>
      <c r="F428">
        <v>6.0420850000000002</v>
      </c>
      <c r="G428">
        <v>320.97010825000001</v>
      </c>
      <c r="H428">
        <v>28</v>
      </c>
      <c r="I428">
        <v>4</v>
      </c>
      <c r="J428">
        <v>1.18</v>
      </c>
      <c r="K428">
        <v>23.103586499999999</v>
      </c>
      <c r="L428">
        <v>-0.29363384539887699</v>
      </c>
      <c r="M428">
        <v>1.970335790800599</v>
      </c>
      <c r="N428">
        <v>-0.63470981784442548</v>
      </c>
      <c r="O428">
        <v>-0.1501212630990339</v>
      </c>
    </row>
    <row r="429" spans="1:15" x14ac:dyDescent="0.25">
      <c r="A429">
        <v>14.16975875</v>
      </c>
      <c r="B429">
        <v>321.72261800000001</v>
      </c>
      <c r="C429">
        <v>147.1899645</v>
      </c>
      <c r="D429">
        <v>-111.80188925</v>
      </c>
      <c r="E429">
        <v>184.85517150000001</v>
      </c>
      <c r="F429">
        <v>6.3344442499999998</v>
      </c>
      <c r="G429">
        <v>330.89288299999998</v>
      </c>
      <c r="H429">
        <v>28</v>
      </c>
      <c r="I429">
        <v>8</v>
      </c>
      <c r="J429">
        <v>1.18</v>
      </c>
      <c r="K429">
        <v>23.454178249999998</v>
      </c>
      <c r="L429">
        <v>-0.56923482385389157</v>
      </c>
      <c r="M429">
        <v>1.855325581545898</v>
      </c>
      <c r="N429">
        <v>-0.6250039555604272</v>
      </c>
      <c r="O429">
        <v>-0.23600708752978611</v>
      </c>
    </row>
    <row r="430" spans="1:15" x14ac:dyDescent="0.25">
      <c r="A430">
        <v>-27.976155500000001</v>
      </c>
      <c r="B430">
        <v>307.80081174999998</v>
      </c>
      <c r="C430">
        <v>166.83033725000001</v>
      </c>
      <c r="D430">
        <v>-116.34739500000001</v>
      </c>
      <c r="E430">
        <v>166.97316724999999</v>
      </c>
      <c r="F430">
        <v>6.0908115</v>
      </c>
      <c r="G430">
        <v>320.930092</v>
      </c>
      <c r="H430">
        <v>28</v>
      </c>
      <c r="I430">
        <v>12</v>
      </c>
      <c r="J430">
        <v>1.18</v>
      </c>
      <c r="K430">
        <v>23.100267250000002</v>
      </c>
      <c r="L430">
        <v>-0.81462681820336202</v>
      </c>
      <c r="M430">
        <v>1.7736699608263511</v>
      </c>
      <c r="N430">
        <v>-0.64380618138070034</v>
      </c>
      <c r="O430">
        <v>-0.32722347336975688</v>
      </c>
    </row>
    <row r="431" spans="1:15" x14ac:dyDescent="0.25">
      <c r="A431">
        <v>-62.750437499999997</v>
      </c>
      <c r="B431">
        <v>277.26133725</v>
      </c>
      <c r="C431">
        <v>170.39720525000001</v>
      </c>
      <c r="D431">
        <v>-115.07990074999999</v>
      </c>
      <c r="E431">
        <v>136.39495450000001</v>
      </c>
      <c r="F431">
        <v>5.5548190000000002</v>
      </c>
      <c r="G431">
        <v>295.08283999999998</v>
      </c>
      <c r="H431">
        <v>28</v>
      </c>
      <c r="I431">
        <v>16</v>
      </c>
      <c r="J431">
        <v>1.18</v>
      </c>
      <c r="K431">
        <v>22.152294999999999</v>
      </c>
      <c r="L431">
        <v>-1.0347923200789839</v>
      </c>
      <c r="M431">
        <v>1.741338490766619</v>
      </c>
      <c r="N431">
        <v>-0.70431810670568962</v>
      </c>
      <c r="O431">
        <v>-0.41928584968291449</v>
      </c>
    </row>
    <row r="432" spans="1:15" x14ac:dyDescent="0.25">
      <c r="A432">
        <v>-97.352907250000001</v>
      </c>
      <c r="B432">
        <v>251.91595100000001</v>
      </c>
      <c r="C432">
        <v>172.65472775000001</v>
      </c>
      <c r="D432">
        <v>-122.11668775</v>
      </c>
      <c r="E432">
        <v>105.3249855</v>
      </c>
      <c r="F432">
        <v>5.1162805000000002</v>
      </c>
      <c r="G432">
        <v>276.51762400000001</v>
      </c>
      <c r="H432">
        <v>28</v>
      </c>
      <c r="I432">
        <v>20</v>
      </c>
      <c r="J432">
        <v>1.18</v>
      </c>
      <c r="K432">
        <v>21.44764825</v>
      </c>
      <c r="L432">
        <v>-1.255493847200996</v>
      </c>
      <c r="M432">
        <v>1.739224721568043</v>
      </c>
      <c r="N432">
        <v>-0.79603904569352579</v>
      </c>
      <c r="O432">
        <v>-0.53403500457002839</v>
      </c>
    </row>
    <row r="433" spans="1:15" x14ac:dyDescent="0.25">
      <c r="A433">
        <v>-132.21280275000001</v>
      </c>
      <c r="B433">
        <v>231.41177375000001</v>
      </c>
      <c r="C433">
        <v>176.22159199999999</v>
      </c>
      <c r="D433">
        <v>-145.19385525000001</v>
      </c>
      <c r="E433">
        <v>75.283231749999999</v>
      </c>
      <c r="F433">
        <v>4.8239212499999997</v>
      </c>
      <c r="G433">
        <v>266.23474099999999</v>
      </c>
      <c r="H433">
        <v>28</v>
      </c>
      <c r="I433">
        <v>24</v>
      </c>
      <c r="J433">
        <v>1.18</v>
      </c>
      <c r="K433">
        <v>21.049183249999999</v>
      </c>
      <c r="L433">
        <v>-1.4413740762988381</v>
      </c>
      <c r="M433">
        <v>1.7599653151972989</v>
      </c>
      <c r="N433">
        <v>-0.89236758094177526</v>
      </c>
      <c r="O433">
        <v>-0.67073705748139811</v>
      </c>
    </row>
    <row r="434" spans="1:15" x14ac:dyDescent="0.25">
      <c r="A434">
        <v>-183.66848375000001</v>
      </c>
      <c r="B434">
        <v>230.88300325</v>
      </c>
      <c r="C434">
        <v>194.64291</v>
      </c>
      <c r="D434">
        <v>-192.00379175</v>
      </c>
      <c r="E434">
        <v>46.49321475</v>
      </c>
      <c r="F434">
        <v>5.1650070000000001</v>
      </c>
      <c r="G434">
        <v>283.79965950000002</v>
      </c>
      <c r="H434">
        <v>28</v>
      </c>
      <c r="I434">
        <v>28</v>
      </c>
      <c r="J434">
        <v>1.18</v>
      </c>
      <c r="K434">
        <v>21.731576</v>
      </c>
      <c r="L434">
        <v>-1.614461288838221</v>
      </c>
      <c r="M434">
        <v>1.804667415582631</v>
      </c>
      <c r="N434">
        <v>-1.012723020401644</v>
      </c>
      <c r="O434">
        <v>-0.82362678261655553</v>
      </c>
    </row>
    <row r="435" spans="1:15" x14ac:dyDescent="0.25">
      <c r="A435">
        <v>-237.47358324999999</v>
      </c>
      <c r="B435">
        <v>225.76858150000001</v>
      </c>
      <c r="C435">
        <v>208.14284875000001</v>
      </c>
      <c r="D435">
        <v>-246.59352874999999</v>
      </c>
      <c r="E435">
        <v>8.5816722500000004</v>
      </c>
      <c r="F435">
        <v>5.7009987500000001</v>
      </c>
      <c r="G435">
        <v>299.60410300000001</v>
      </c>
      <c r="H435">
        <v>28</v>
      </c>
      <c r="I435">
        <v>32</v>
      </c>
      <c r="J435">
        <v>1.18</v>
      </c>
      <c r="K435">
        <v>22.319062500000001</v>
      </c>
      <c r="L435">
        <v>-1.7780985847729931</v>
      </c>
      <c r="M435">
        <v>1.8848078505688519</v>
      </c>
      <c r="N435">
        <v>-1.16123613029484</v>
      </c>
      <c r="O435">
        <v>-0.98850128671881454</v>
      </c>
    </row>
    <row r="436" spans="1:15" x14ac:dyDescent="0.25">
      <c r="A436">
        <v>-289.9674455</v>
      </c>
      <c r="B436">
        <v>212.944931</v>
      </c>
      <c r="C436">
        <v>217.17290125</v>
      </c>
      <c r="D436">
        <v>-301.31439225000003</v>
      </c>
      <c r="E436">
        <v>-38.713506500000001</v>
      </c>
      <c r="F436">
        <v>5.8959052500000002</v>
      </c>
      <c r="G436">
        <v>311.20736699999998</v>
      </c>
      <c r="H436">
        <v>28</v>
      </c>
      <c r="I436">
        <v>36</v>
      </c>
      <c r="J436">
        <v>1.18</v>
      </c>
      <c r="K436">
        <v>22.748118000000002</v>
      </c>
      <c r="L436">
        <v>-1.973884817481955</v>
      </c>
      <c r="M436">
        <v>2.0015834942660762</v>
      </c>
      <c r="N436">
        <v>-1.361957974133629</v>
      </c>
      <c r="O436">
        <v>-1.173634801354785</v>
      </c>
    </row>
    <row r="437" spans="1:15" x14ac:dyDescent="0.25">
      <c r="A437">
        <v>-341.86151124999998</v>
      </c>
      <c r="B437">
        <v>194.34743125</v>
      </c>
      <c r="C437">
        <v>219.70131699999999</v>
      </c>
      <c r="D437">
        <v>-356.73455825000002</v>
      </c>
      <c r="E437">
        <v>-95.534942749999999</v>
      </c>
      <c r="F437">
        <v>6.0420850000000002</v>
      </c>
      <c r="G437">
        <v>320.24990824999998</v>
      </c>
      <c r="H437">
        <v>28</v>
      </c>
      <c r="I437">
        <v>40</v>
      </c>
      <c r="J437">
        <v>1.18</v>
      </c>
      <c r="K437">
        <v>23.0771655</v>
      </c>
      <c r="L437">
        <v>-2.2129517524246811</v>
      </c>
      <c r="M437">
        <v>2.1716613056423699</v>
      </c>
      <c r="N437">
        <v>-1.638499297794094</v>
      </c>
      <c r="O437">
        <v>-1.4002874377112611</v>
      </c>
    </row>
    <row r="438" spans="1:15" x14ac:dyDescent="0.25">
      <c r="A438">
        <v>-391.81852724999999</v>
      </c>
      <c r="B438">
        <v>174.05173124999999</v>
      </c>
      <c r="C438">
        <v>218.52741624999999</v>
      </c>
      <c r="D438">
        <v>-413.553337</v>
      </c>
      <c r="E438">
        <v>-157.262474</v>
      </c>
      <c r="F438">
        <v>6.0908115</v>
      </c>
      <c r="G438">
        <v>333.25355500000001</v>
      </c>
      <c r="H438">
        <v>28</v>
      </c>
      <c r="I438">
        <v>44</v>
      </c>
      <c r="J438">
        <v>1.18</v>
      </c>
      <c r="K438">
        <v>23.548098750000001</v>
      </c>
      <c r="L438">
        <v>-2.4869366689915999</v>
      </c>
      <c r="M438">
        <v>2.394271656303752</v>
      </c>
      <c r="N438">
        <v>-1.998679492526616</v>
      </c>
      <c r="O438">
        <v>-1.6656170264017289</v>
      </c>
    </row>
    <row r="439" spans="1:15" x14ac:dyDescent="0.25">
      <c r="A439">
        <v>202.61855700000001</v>
      </c>
      <c r="B439">
        <v>167.53449225</v>
      </c>
      <c r="C439">
        <v>-383.72123725</v>
      </c>
      <c r="D439">
        <v>-399.26123050000001</v>
      </c>
      <c r="E439">
        <v>-125.81889725000001</v>
      </c>
      <c r="F439">
        <v>5.652272</v>
      </c>
      <c r="G439">
        <v>310.76724250000001</v>
      </c>
      <c r="H439">
        <v>32</v>
      </c>
      <c r="I439">
        <v>-44</v>
      </c>
      <c r="J439">
        <v>1.18</v>
      </c>
      <c r="K439">
        <v>22.740766000000001</v>
      </c>
      <c r="L439">
        <v>2.207027353226914</v>
      </c>
      <c r="M439">
        <v>2.1334499552543948</v>
      </c>
      <c r="N439">
        <v>-1.6433505029185209</v>
      </c>
      <c r="O439">
        <v>-1.494865593794759</v>
      </c>
    </row>
    <row r="440" spans="1:15" x14ac:dyDescent="0.25">
      <c r="A440">
        <v>193.86399075</v>
      </c>
      <c r="B440">
        <v>178.66878124999999</v>
      </c>
      <c r="C440">
        <v>-321.19627374999999</v>
      </c>
      <c r="D440">
        <v>-332.12764750000002</v>
      </c>
      <c r="E440">
        <v>-74.394157499999992</v>
      </c>
      <c r="F440">
        <v>5.3599129999999997</v>
      </c>
      <c r="G440">
        <v>289.60130349999997</v>
      </c>
      <c r="H440">
        <v>32</v>
      </c>
      <c r="I440">
        <v>-40</v>
      </c>
      <c r="J440">
        <v>1.18</v>
      </c>
      <c r="K440">
        <v>21.949134000000001</v>
      </c>
      <c r="L440">
        <v>2.041773405645614</v>
      </c>
      <c r="M440">
        <v>2.0248724783195482</v>
      </c>
      <c r="N440">
        <v>-1.4429907261753401</v>
      </c>
      <c r="O440">
        <v>-1.3161921300172079</v>
      </c>
    </row>
    <row r="441" spans="1:15" x14ac:dyDescent="0.25">
      <c r="A441">
        <v>181.04803075000001</v>
      </c>
      <c r="B441">
        <v>186.07533275</v>
      </c>
      <c r="C441">
        <v>-274.42472850000001</v>
      </c>
      <c r="D441">
        <v>-279.72325124999998</v>
      </c>
      <c r="E441">
        <v>-35.457649250000003</v>
      </c>
      <c r="F441">
        <v>5.1162805000000002</v>
      </c>
      <c r="G441">
        <v>268.43535624999998</v>
      </c>
      <c r="H441">
        <v>32</v>
      </c>
      <c r="I441">
        <v>-36</v>
      </c>
      <c r="J441">
        <v>1.18</v>
      </c>
      <c r="K441">
        <v>21.125881249999999</v>
      </c>
      <c r="L441">
        <v>1.885114483767619</v>
      </c>
      <c r="M441">
        <v>1.9278713017695239</v>
      </c>
      <c r="N441">
        <v>-1.257783520573275</v>
      </c>
      <c r="O441">
        <v>-1.167937107445324</v>
      </c>
    </row>
    <row r="442" spans="1:15" x14ac:dyDescent="0.25">
      <c r="A442">
        <v>181.58955</v>
      </c>
      <c r="B442">
        <v>206.08234049999999</v>
      </c>
      <c r="C442">
        <v>-247.12269975000001</v>
      </c>
      <c r="D442">
        <v>-248.341801</v>
      </c>
      <c r="E442">
        <v>-3.0774572500000001</v>
      </c>
      <c r="F442">
        <v>5.1162805000000002</v>
      </c>
      <c r="G442">
        <v>272.31644449999999</v>
      </c>
      <c r="H442">
        <v>32</v>
      </c>
      <c r="I442">
        <v>-32</v>
      </c>
      <c r="J442">
        <v>1.18</v>
      </c>
      <c r="K442">
        <v>21.280988499999999</v>
      </c>
      <c r="L442">
        <v>1.752322646616876</v>
      </c>
      <c r="M442">
        <v>1.857410084495835</v>
      </c>
      <c r="N442">
        <v>-1.125654149321357</v>
      </c>
      <c r="O442">
        <v>-1.033498625376422</v>
      </c>
    </row>
    <row r="443" spans="1:15" x14ac:dyDescent="0.25">
      <c r="A443">
        <v>187.72677225000001</v>
      </c>
      <c r="B443">
        <v>237.34357449999999</v>
      </c>
      <c r="C443">
        <v>-221.33326349999999</v>
      </c>
      <c r="D443">
        <v>-227.49366749999999</v>
      </c>
      <c r="E443">
        <v>27.760143500000002</v>
      </c>
      <c r="F443">
        <v>5.3599130000000006</v>
      </c>
      <c r="G443">
        <v>289.96139549999998</v>
      </c>
      <c r="H443">
        <v>32</v>
      </c>
      <c r="I443">
        <v>-28</v>
      </c>
      <c r="J443">
        <v>1.18</v>
      </c>
      <c r="K443">
        <v>21.963028999999999</v>
      </c>
      <c r="L443">
        <v>1.6221130235530821</v>
      </c>
      <c r="M443">
        <v>1.8433025648379631</v>
      </c>
      <c r="N443">
        <v>-1.039751381926862</v>
      </c>
      <c r="O443">
        <v>-0.91114343402077191</v>
      </c>
    </row>
    <row r="444" spans="1:15" x14ac:dyDescent="0.25">
      <c r="A444">
        <v>188.22315975000001</v>
      </c>
      <c r="B444">
        <v>263.55453525000001</v>
      </c>
      <c r="C444">
        <v>-182.56774525</v>
      </c>
      <c r="D444">
        <v>-202.5371245</v>
      </c>
      <c r="E444">
        <v>58.071808750000002</v>
      </c>
      <c r="F444">
        <v>5.7497255000000003</v>
      </c>
      <c r="G444">
        <v>302.64495849999997</v>
      </c>
      <c r="H444">
        <v>32</v>
      </c>
      <c r="I444">
        <v>-24</v>
      </c>
      <c r="J444">
        <v>1.18</v>
      </c>
      <c r="K444">
        <v>22.432385750000002</v>
      </c>
      <c r="L444">
        <v>1.4794727004082779</v>
      </c>
      <c r="M444">
        <v>1.859726080396112</v>
      </c>
      <c r="N444">
        <v>-0.97586470760466115</v>
      </c>
      <c r="O444">
        <v>-0.79123695753256162</v>
      </c>
    </row>
    <row r="445" spans="1:15" x14ac:dyDescent="0.25">
      <c r="A445">
        <v>179.42346950000001</v>
      </c>
      <c r="B445">
        <v>282.98453525000002</v>
      </c>
      <c r="C445">
        <v>-141.16423800000001</v>
      </c>
      <c r="D445">
        <v>-185.92855075</v>
      </c>
      <c r="E445">
        <v>83.140432250000003</v>
      </c>
      <c r="F445">
        <v>5.9933585000000003</v>
      </c>
      <c r="G445">
        <v>309.84697725000001</v>
      </c>
      <c r="H445">
        <v>32</v>
      </c>
      <c r="I445">
        <v>-20</v>
      </c>
      <c r="J445">
        <v>1.18</v>
      </c>
      <c r="K445">
        <v>22.69373925</v>
      </c>
      <c r="L445">
        <v>1.2995601490460891</v>
      </c>
      <c r="M445">
        <v>1.9008406327338181</v>
      </c>
      <c r="N445">
        <v>-0.91900185505697374</v>
      </c>
      <c r="O445">
        <v>-0.6872573903756044</v>
      </c>
    </row>
    <row r="446" spans="1:15" x14ac:dyDescent="0.25">
      <c r="A446">
        <v>168.99921775000001</v>
      </c>
      <c r="B446">
        <v>306.35288250000002</v>
      </c>
      <c r="C446">
        <v>-104.0798585</v>
      </c>
      <c r="D446">
        <v>-178.49840925000001</v>
      </c>
      <c r="E446">
        <v>107.5016325</v>
      </c>
      <c r="F446">
        <v>6.1882647500000001</v>
      </c>
      <c r="G446">
        <v>323.73087325</v>
      </c>
      <c r="H446">
        <v>32</v>
      </c>
      <c r="I446">
        <v>-16</v>
      </c>
      <c r="J446">
        <v>1.18</v>
      </c>
      <c r="K446">
        <v>23.1992935</v>
      </c>
      <c r="L446">
        <v>1.097620876032892</v>
      </c>
      <c r="M446">
        <v>1.948843789105924</v>
      </c>
      <c r="N446">
        <v>-0.86913465449801641</v>
      </c>
      <c r="O446">
        <v>-0.59277998535643273</v>
      </c>
    </row>
    <row r="447" spans="1:15" x14ac:dyDescent="0.25">
      <c r="A447">
        <v>152.79876350000001</v>
      </c>
      <c r="B447">
        <v>323.19104775</v>
      </c>
      <c r="C447">
        <v>-69.025655999999998</v>
      </c>
      <c r="D447">
        <v>-176.18194975</v>
      </c>
      <c r="E447">
        <v>125.3730755</v>
      </c>
      <c r="F447">
        <v>6.2857180000000001</v>
      </c>
      <c r="G447">
        <v>333.49362174999999</v>
      </c>
      <c r="H447">
        <v>32</v>
      </c>
      <c r="I447">
        <v>-12</v>
      </c>
      <c r="J447">
        <v>1.18</v>
      </c>
      <c r="K447">
        <v>23.549724000000001</v>
      </c>
      <c r="L447">
        <v>0.89452531572421912</v>
      </c>
      <c r="M447">
        <v>2.0137922022600421</v>
      </c>
      <c r="N447">
        <v>-0.83927141596510502</v>
      </c>
      <c r="O447">
        <v>-0.51975750990550829</v>
      </c>
    </row>
    <row r="448" spans="1:15" x14ac:dyDescent="0.25">
      <c r="A448">
        <v>121.02961175</v>
      </c>
      <c r="B448">
        <v>313.57244874999998</v>
      </c>
      <c r="C448">
        <v>-28.783246500000001</v>
      </c>
      <c r="D448">
        <v>-160.57863225</v>
      </c>
      <c r="E448">
        <v>130.87902475000001</v>
      </c>
      <c r="F448">
        <v>6.1882647500000001</v>
      </c>
      <c r="G448">
        <v>319.16960899999998</v>
      </c>
      <c r="H448">
        <v>32</v>
      </c>
      <c r="I448">
        <v>-8</v>
      </c>
      <c r="J448">
        <v>1.18</v>
      </c>
      <c r="K448">
        <v>23.032060999999999</v>
      </c>
      <c r="L448">
        <v>0.66428158576790008</v>
      </c>
      <c r="M448">
        <v>2.102187213352293</v>
      </c>
      <c r="N448">
        <v>-0.83488548675863561</v>
      </c>
      <c r="O448">
        <v>-0.44720985030330651</v>
      </c>
    </row>
    <row r="449" spans="1:15" x14ac:dyDescent="0.25">
      <c r="A449">
        <v>85.063687999999999</v>
      </c>
      <c r="B449">
        <v>289.5734635</v>
      </c>
      <c r="C449">
        <v>8.7140382499999998</v>
      </c>
      <c r="D449">
        <v>-139.51197825</v>
      </c>
      <c r="E449">
        <v>124.995182</v>
      </c>
      <c r="F449">
        <v>5.4573660000000004</v>
      </c>
      <c r="G449">
        <v>293.48239150000001</v>
      </c>
      <c r="H449">
        <v>32</v>
      </c>
      <c r="I449">
        <v>-4</v>
      </c>
      <c r="J449">
        <v>1.18</v>
      </c>
      <c r="K449">
        <v>22.0947265</v>
      </c>
      <c r="L449">
        <v>0.40100124452793251</v>
      </c>
      <c r="M449">
        <v>2.253678764466803</v>
      </c>
      <c r="N449">
        <v>-0.88495247929914211</v>
      </c>
      <c r="O449">
        <v>-0.37214219041944657</v>
      </c>
    </row>
    <row r="450" spans="1:15" x14ac:dyDescent="0.25">
      <c r="A450">
        <v>50.13568025</v>
      </c>
      <c r="B450">
        <v>272.18241124999997</v>
      </c>
      <c r="C450">
        <v>40.81589125</v>
      </c>
      <c r="D450">
        <v>-128.06080625000001</v>
      </c>
      <c r="E450">
        <v>119.11556625</v>
      </c>
      <c r="F450">
        <v>5.0188275000000004</v>
      </c>
      <c r="G450">
        <v>274.87715924999998</v>
      </c>
      <c r="H450">
        <v>32</v>
      </c>
      <c r="I450">
        <v>0</v>
      </c>
      <c r="J450">
        <v>1.18</v>
      </c>
      <c r="K450">
        <v>21.386593749999999</v>
      </c>
      <c r="L450">
        <v>5.7258208623904919E-2</v>
      </c>
      <c r="M450">
        <v>2.4594471092468368</v>
      </c>
      <c r="N450">
        <v>-0.95714267808877695</v>
      </c>
      <c r="O450">
        <v>-0.29889147827647572</v>
      </c>
    </row>
    <row r="451" spans="1:15" x14ac:dyDescent="0.25">
      <c r="A451">
        <v>17.057858499999998</v>
      </c>
      <c r="B451">
        <v>262.23770150000001</v>
      </c>
      <c r="C451">
        <v>67.273955999999998</v>
      </c>
      <c r="D451">
        <v>-124.82650375</v>
      </c>
      <c r="E451">
        <v>112.16484825000001</v>
      </c>
      <c r="F451">
        <v>4.7264682499999999</v>
      </c>
      <c r="G451">
        <v>265.47453300000001</v>
      </c>
      <c r="H451">
        <v>32</v>
      </c>
      <c r="I451">
        <v>4</v>
      </c>
      <c r="J451">
        <v>1.18</v>
      </c>
      <c r="K451">
        <v>21.022477250000001</v>
      </c>
      <c r="L451">
        <v>-0.30241119482284579</v>
      </c>
      <c r="M451">
        <v>2.3310335046301831</v>
      </c>
      <c r="N451">
        <v>-0.9232926984134191</v>
      </c>
      <c r="O451">
        <v>-0.35297325542919089</v>
      </c>
    </row>
    <row r="452" spans="1:15" x14ac:dyDescent="0.25">
      <c r="A452">
        <v>-18.514342750000001</v>
      </c>
      <c r="B452">
        <v>276.79981249999997</v>
      </c>
      <c r="C452">
        <v>94.951084000000009</v>
      </c>
      <c r="D452">
        <v>-140.51723100000001</v>
      </c>
      <c r="E452">
        <v>110.90588575</v>
      </c>
      <c r="F452">
        <v>5.3111864999999998</v>
      </c>
      <c r="G452">
        <v>281.15894324999999</v>
      </c>
      <c r="H452">
        <v>32</v>
      </c>
      <c r="I452">
        <v>8</v>
      </c>
      <c r="J452">
        <v>1.18</v>
      </c>
      <c r="K452">
        <v>21.622623749999999</v>
      </c>
      <c r="L452">
        <v>-0.59584910722798901</v>
      </c>
      <c r="M452">
        <v>2.19156240464691</v>
      </c>
      <c r="N452">
        <v>-0.89410951436477659</v>
      </c>
      <c r="O452">
        <v>-0.44546670229955038</v>
      </c>
    </row>
    <row r="453" spans="1:15" x14ac:dyDescent="0.25">
      <c r="A453">
        <v>-59.285855249999997</v>
      </c>
      <c r="B453">
        <v>288.70783999999998</v>
      </c>
      <c r="C453">
        <v>121.860647</v>
      </c>
      <c r="D453">
        <v>-156.90726475</v>
      </c>
      <c r="E453">
        <v>105.35595125</v>
      </c>
      <c r="F453">
        <v>5.6035455000000001</v>
      </c>
      <c r="G453">
        <v>296.28317249999998</v>
      </c>
      <c r="H453">
        <v>32</v>
      </c>
      <c r="I453">
        <v>12</v>
      </c>
      <c r="J453">
        <v>1.18</v>
      </c>
      <c r="K453">
        <v>22.196321999999999</v>
      </c>
      <c r="L453">
        <v>-0.84863965297384136</v>
      </c>
      <c r="M453">
        <v>2.0877357685262599</v>
      </c>
      <c r="N453">
        <v>-0.8945539848165629</v>
      </c>
      <c r="O453">
        <v>-0.53267419939664939</v>
      </c>
    </row>
    <row r="454" spans="1:15" x14ac:dyDescent="0.25">
      <c r="A454">
        <v>-105.77020275</v>
      </c>
      <c r="B454">
        <v>296.40273274999998</v>
      </c>
      <c r="C454">
        <v>147.325413</v>
      </c>
      <c r="D454">
        <v>-169.844471</v>
      </c>
      <c r="E454">
        <v>94.941102999999998</v>
      </c>
      <c r="F454">
        <v>5.8471787499999994</v>
      </c>
      <c r="G454">
        <v>310.32711799999998</v>
      </c>
      <c r="H454">
        <v>32</v>
      </c>
      <c r="I454">
        <v>16</v>
      </c>
      <c r="J454">
        <v>1.18</v>
      </c>
      <c r="K454">
        <v>22.717118750000001</v>
      </c>
      <c r="L454">
        <v>-1.0874212944236381</v>
      </c>
      <c r="M454">
        <v>2.0032417356273999</v>
      </c>
      <c r="N454">
        <v>-0.92543208056181536</v>
      </c>
      <c r="O454">
        <v>-0.61719867585124566</v>
      </c>
    </row>
    <row r="455" spans="1:15" x14ac:dyDescent="0.25">
      <c r="A455">
        <v>-155.31179800000001</v>
      </c>
      <c r="B455">
        <v>297.41261274999999</v>
      </c>
      <c r="C455">
        <v>168.54604699999999</v>
      </c>
      <c r="D455">
        <v>-193.75206750000001</v>
      </c>
      <c r="E455">
        <v>75.179043000000007</v>
      </c>
      <c r="F455">
        <v>6.1395379999999999</v>
      </c>
      <c r="G455">
        <v>320.61000825000002</v>
      </c>
      <c r="H455">
        <v>32</v>
      </c>
      <c r="I455">
        <v>20</v>
      </c>
      <c r="J455">
        <v>1.18</v>
      </c>
      <c r="K455">
        <v>23.086803</v>
      </c>
      <c r="L455">
        <v>-1.296935195104528</v>
      </c>
      <c r="M455">
        <v>1.966942820909606</v>
      </c>
      <c r="N455">
        <v>-0.9828738259734815</v>
      </c>
      <c r="O455">
        <v>-0.72352488470629472</v>
      </c>
    </row>
    <row r="456" spans="1:15" x14ac:dyDescent="0.25">
      <c r="A456">
        <v>-208.56737150000001</v>
      </c>
      <c r="B456">
        <v>295.10418700000002</v>
      </c>
      <c r="C456">
        <v>184.89045350000001</v>
      </c>
      <c r="D456">
        <v>-231.33985899999999</v>
      </c>
      <c r="E456">
        <v>47.336340999999997</v>
      </c>
      <c r="F456">
        <v>6.3344445</v>
      </c>
      <c r="G456">
        <v>331.6931075</v>
      </c>
      <c r="H456">
        <v>32</v>
      </c>
      <c r="I456">
        <v>24</v>
      </c>
      <c r="J456">
        <v>1.18</v>
      </c>
      <c r="K456">
        <v>23.483081500000001</v>
      </c>
      <c r="L456">
        <v>-1.4720539602963609</v>
      </c>
      <c r="M456">
        <v>1.9695699650359499</v>
      </c>
      <c r="N456">
        <v>-1.063879741228116</v>
      </c>
      <c r="O456">
        <v>-0.84659762076309319</v>
      </c>
    </row>
    <row r="457" spans="1:15" x14ac:dyDescent="0.25">
      <c r="A457">
        <v>-250.50627524999999</v>
      </c>
      <c r="B457">
        <v>270.41322324999999</v>
      </c>
      <c r="C457">
        <v>189.08942450000001</v>
      </c>
      <c r="D457">
        <v>-260.79821774999999</v>
      </c>
      <c r="E457">
        <v>11.9785795</v>
      </c>
      <c r="F457">
        <v>6.1395379999999999</v>
      </c>
      <c r="G457">
        <v>321.97039050000001</v>
      </c>
      <c r="H457">
        <v>32</v>
      </c>
      <c r="I457">
        <v>28</v>
      </c>
      <c r="J457">
        <v>1.18</v>
      </c>
      <c r="K457">
        <v>23.13663425</v>
      </c>
      <c r="L457">
        <v>-1.642540517268672</v>
      </c>
      <c r="M457">
        <v>1.9848946046614779</v>
      </c>
      <c r="N457">
        <v>-1.158306917055542</v>
      </c>
      <c r="O457">
        <v>-0.97818673946094836</v>
      </c>
    </row>
    <row r="458" spans="1:15" x14ac:dyDescent="0.25">
      <c r="A458">
        <v>-270.89476024999999</v>
      </c>
      <c r="B458">
        <v>230.91505050000001</v>
      </c>
      <c r="C458">
        <v>176.3118935</v>
      </c>
      <c r="D458">
        <v>-275.13404075</v>
      </c>
      <c r="E458">
        <v>-27.518702999999999</v>
      </c>
      <c r="F458">
        <v>5.4086394999999996</v>
      </c>
      <c r="G458">
        <v>296.16313924999997</v>
      </c>
      <c r="H458">
        <v>32</v>
      </c>
      <c r="I458">
        <v>32</v>
      </c>
      <c r="J458">
        <v>1.18</v>
      </c>
      <c r="K458">
        <v>22.1991695</v>
      </c>
      <c r="L458">
        <v>-1.821675742110429</v>
      </c>
      <c r="M458">
        <v>2.0613751503727391</v>
      </c>
      <c r="N458">
        <v>-1.318547401557923</v>
      </c>
      <c r="O458">
        <v>-1.1341380383659649</v>
      </c>
    </row>
    <row r="459" spans="1:15" x14ac:dyDescent="0.25">
      <c r="A459">
        <v>-290.75918574999997</v>
      </c>
      <c r="B459">
        <v>197.61793524999999</v>
      </c>
      <c r="C459">
        <v>167.0560835</v>
      </c>
      <c r="D459">
        <v>-292.70415500000001</v>
      </c>
      <c r="E459">
        <v>-64.269775499999994</v>
      </c>
      <c r="F459">
        <v>5.0188272500000002</v>
      </c>
      <c r="G459">
        <v>277.71797199999997</v>
      </c>
      <c r="H459">
        <v>32</v>
      </c>
      <c r="I459">
        <v>36</v>
      </c>
      <c r="J459">
        <v>1.18</v>
      </c>
      <c r="K459">
        <v>21.498863</v>
      </c>
      <c r="L459">
        <v>-2.0127514859090478</v>
      </c>
      <c r="M459">
        <v>2.1557195527056021</v>
      </c>
      <c r="N459">
        <v>-1.50358405975817</v>
      </c>
      <c r="O459">
        <v>-1.3046576631362099</v>
      </c>
    </row>
    <row r="460" spans="1:15" x14ac:dyDescent="0.25">
      <c r="A460">
        <v>-304.98784625000002</v>
      </c>
      <c r="B460">
        <v>168.73700700000001</v>
      </c>
      <c r="C460">
        <v>155.36215949999999</v>
      </c>
      <c r="D460">
        <v>-309.05047574999998</v>
      </c>
      <c r="E460">
        <v>-101.28844825</v>
      </c>
      <c r="F460">
        <v>4.7751944999999996</v>
      </c>
      <c r="G460">
        <v>264.27420050000001</v>
      </c>
      <c r="H460">
        <v>32</v>
      </c>
      <c r="I460">
        <v>40</v>
      </c>
      <c r="J460">
        <v>1.18</v>
      </c>
      <c r="K460">
        <v>20.972080999999999</v>
      </c>
      <c r="L460">
        <v>-2.2376583668999008</v>
      </c>
      <c r="M460">
        <v>2.322406276477706</v>
      </c>
      <c r="N460">
        <v>-1.776922677478344</v>
      </c>
      <c r="O460">
        <v>-1.5155593554927429</v>
      </c>
    </row>
    <row r="461" spans="1:15" x14ac:dyDescent="0.25">
      <c r="A461">
        <v>-355.51063549999998</v>
      </c>
      <c r="B461">
        <v>157.14475625</v>
      </c>
      <c r="C461">
        <v>158.43238049999999</v>
      </c>
      <c r="D461">
        <v>-366.74340050000001</v>
      </c>
      <c r="E461">
        <v>-155.7906495</v>
      </c>
      <c r="F461">
        <v>5.3111864999999998</v>
      </c>
      <c r="G461">
        <v>282.07918525000002</v>
      </c>
      <c r="H461">
        <v>32</v>
      </c>
      <c r="I461">
        <v>44</v>
      </c>
      <c r="J461">
        <v>1.18</v>
      </c>
      <c r="K461">
        <v>21.658659499999999</v>
      </c>
      <c r="L461">
        <v>-2.502945175807938</v>
      </c>
      <c r="M461">
        <v>2.5513810331198492</v>
      </c>
      <c r="N461">
        <v>-2.13247760894496</v>
      </c>
      <c r="O461">
        <v>-1.7845894564453371</v>
      </c>
    </row>
    <row r="462" spans="1:15" x14ac:dyDescent="0.25">
      <c r="A462">
        <v>168.95409025000001</v>
      </c>
      <c r="B462">
        <v>169.10997775000001</v>
      </c>
      <c r="C462">
        <v>-395.13478874999998</v>
      </c>
      <c r="D462">
        <v>-405.11792750000001</v>
      </c>
      <c r="E462">
        <v>-153.42680375</v>
      </c>
      <c r="F462">
        <v>5.7009987500000001</v>
      </c>
      <c r="G462">
        <v>303.00505824999999</v>
      </c>
      <c r="H462">
        <v>36</v>
      </c>
      <c r="I462">
        <v>-44</v>
      </c>
      <c r="J462">
        <v>1.18</v>
      </c>
      <c r="K462">
        <v>22.447823</v>
      </c>
      <c r="L462">
        <v>2.2865452009193761</v>
      </c>
      <c r="M462">
        <v>2.3276350099253702</v>
      </c>
      <c r="N462">
        <v>-1.8501713013703349</v>
      </c>
      <c r="O462">
        <v>-1.6450149634532929</v>
      </c>
    </row>
    <row r="463" spans="1:15" x14ac:dyDescent="0.25">
      <c r="A463">
        <v>179.5137215</v>
      </c>
      <c r="B463">
        <v>200.79213725</v>
      </c>
      <c r="C463">
        <v>-380.84970075000001</v>
      </c>
      <c r="D463">
        <v>-386.62997424999998</v>
      </c>
      <c r="E463">
        <v>-119.75318925000001</v>
      </c>
      <c r="F463">
        <v>5.7009987500000001</v>
      </c>
      <c r="G463">
        <v>313.88811475</v>
      </c>
      <c r="H463">
        <v>36</v>
      </c>
      <c r="I463">
        <v>-40</v>
      </c>
      <c r="J463">
        <v>1.18</v>
      </c>
      <c r="K463">
        <v>22.854996750000002</v>
      </c>
      <c r="L463">
        <v>2.1226972777846771</v>
      </c>
      <c r="M463">
        <v>2.225213530455032</v>
      </c>
      <c r="N463">
        <v>-1.642692090364904</v>
      </c>
      <c r="O463">
        <v>-1.4752343084860029</v>
      </c>
    </row>
    <row r="464" spans="1:15" x14ac:dyDescent="0.25">
      <c r="A464">
        <v>186.91448975</v>
      </c>
      <c r="B464">
        <v>230.53023125000001</v>
      </c>
      <c r="C464">
        <v>-364.952133</v>
      </c>
      <c r="D464">
        <v>-364.3832395</v>
      </c>
      <c r="E464">
        <v>-83.091314249999996</v>
      </c>
      <c r="F464">
        <v>6.1882644999999998</v>
      </c>
      <c r="G464">
        <v>325.05125450000003</v>
      </c>
      <c r="H464">
        <v>36</v>
      </c>
      <c r="I464">
        <v>-36</v>
      </c>
      <c r="J464">
        <v>1.18</v>
      </c>
      <c r="K464">
        <v>23.2474825</v>
      </c>
      <c r="L464">
        <v>1.959980052617748</v>
      </c>
      <c r="M464">
        <v>2.112874783534215</v>
      </c>
      <c r="N464">
        <v>-1.4495909596353109</v>
      </c>
      <c r="O464">
        <v>-1.317118132416341</v>
      </c>
    </row>
    <row r="465" spans="1:15" x14ac:dyDescent="0.25">
      <c r="A465">
        <v>189.98309699999999</v>
      </c>
      <c r="B465">
        <v>259.94754799999998</v>
      </c>
      <c r="C465">
        <v>-346.14318075</v>
      </c>
      <c r="D465">
        <v>-342.005379</v>
      </c>
      <c r="E465">
        <v>-51.692345750000001</v>
      </c>
      <c r="F465">
        <v>6.2857177499999999</v>
      </c>
      <c r="G465">
        <v>335.25410475000001</v>
      </c>
      <c r="H465">
        <v>36</v>
      </c>
      <c r="I465">
        <v>-32</v>
      </c>
      <c r="J465">
        <v>1.18</v>
      </c>
      <c r="K465">
        <v>23.612991999999998</v>
      </c>
      <c r="L465">
        <v>1.833651224046789</v>
      </c>
      <c r="M465">
        <v>2.0587937906445579</v>
      </c>
      <c r="N465">
        <v>-1.3234313691527211</v>
      </c>
      <c r="O465">
        <v>-1.198292358124901</v>
      </c>
    </row>
    <row r="466" spans="1:15" x14ac:dyDescent="0.25">
      <c r="A466">
        <v>173.64726250000001</v>
      </c>
      <c r="B466">
        <v>262.19651025000002</v>
      </c>
      <c r="C466">
        <v>-279.92741375000003</v>
      </c>
      <c r="D466">
        <v>-283.74427025</v>
      </c>
      <c r="E466">
        <v>-14.584467249999999</v>
      </c>
      <c r="F466">
        <v>6.0420850000000002</v>
      </c>
      <c r="G466">
        <v>316.16876200000002</v>
      </c>
      <c r="H466">
        <v>36</v>
      </c>
      <c r="I466">
        <v>-28</v>
      </c>
      <c r="J466">
        <v>1.18</v>
      </c>
      <c r="K466">
        <v>22.926770250000001</v>
      </c>
      <c r="L466">
        <v>1.697200921614836</v>
      </c>
      <c r="M466">
        <v>2.0428221631909458</v>
      </c>
      <c r="N466">
        <v>-1.2376516323825619</v>
      </c>
      <c r="O466">
        <v>-1.077200018491711</v>
      </c>
    </row>
    <row r="467" spans="1:15" x14ac:dyDescent="0.25">
      <c r="A467">
        <v>152.57312375000001</v>
      </c>
      <c r="B467">
        <v>258.05986024999999</v>
      </c>
      <c r="C467">
        <v>-219.22953799999999</v>
      </c>
      <c r="D467">
        <v>-237.93957925000001</v>
      </c>
      <c r="E467">
        <v>9.3868122500000002</v>
      </c>
      <c r="F467">
        <v>5.5060925000000003</v>
      </c>
      <c r="G467">
        <v>293.44238274999998</v>
      </c>
      <c r="H467">
        <v>36</v>
      </c>
      <c r="I467">
        <v>-24</v>
      </c>
      <c r="J467">
        <v>1.18</v>
      </c>
      <c r="K467">
        <v>22.091328000000001</v>
      </c>
      <c r="L467">
        <v>1.5623887687120701</v>
      </c>
      <c r="M467">
        <v>2.0842850411287279</v>
      </c>
      <c r="N467">
        <v>-1.193669735699737</v>
      </c>
      <c r="O467">
        <v>-0.9836782913935862</v>
      </c>
    </row>
    <row r="468" spans="1:15" x14ac:dyDescent="0.25">
      <c r="A468">
        <v>130.05493924999999</v>
      </c>
      <c r="B468">
        <v>250.89287175000001</v>
      </c>
      <c r="C468">
        <v>-165.47037900000001</v>
      </c>
      <c r="D468">
        <v>-203.54237375</v>
      </c>
      <c r="E468">
        <v>27.847654500000001</v>
      </c>
      <c r="F468">
        <v>4.8726479999999999</v>
      </c>
      <c r="G468">
        <v>271.71627825000002</v>
      </c>
      <c r="H468">
        <v>36</v>
      </c>
      <c r="I468">
        <v>-20</v>
      </c>
      <c r="J468">
        <v>1.18</v>
      </c>
      <c r="K468">
        <v>21.266798250000001</v>
      </c>
      <c r="L468">
        <v>1.3916647093392771</v>
      </c>
      <c r="M468">
        <v>2.1399907632029178</v>
      </c>
      <c r="N468">
        <v>-1.1484222113434721</v>
      </c>
      <c r="O468">
        <v>-0.89179546226602935</v>
      </c>
    </row>
    <row r="469" spans="1:15" x14ac:dyDescent="0.25">
      <c r="A469">
        <v>114.1252325</v>
      </c>
      <c r="B469">
        <v>256.45464299999998</v>
      </c>
      <c r="C469">
        <v>-127.33396925</v>
      </c>
      <c r="D469">
        <v>-188.85690700000001</v>
      </c>
      <c r="E469">
        <v>43.050929250000003</v>
      </c>
      <c r="F469">
        <v>4.8726475000000002</v>
      </c>
      <c r="G469">
        <v>269.27559650000001</v>
      </c>
      <c r="H469">
        <v>36</v>
      </c>
      <c r="I469">
        <v>-16</v>
      </c>
      <c r="J469">
        <v>1.18</v>
      </c>
      <c r="K469">
        <v>21.169299500000001</v>
      </c>
      <c r="L469">
        <v>1.2003975610242581</v>
      </c>
      <c r="M469">
        <v>2.213857286016192</v>
      </c>
      <c r="N469">
        <v>-1.124671470765052</v>
      </c>
      <c r="O469">
        <v>-0.81018150205776118</v>
      </c>
    </row>
    <row r="470" spans="1:15" x14ac:dyDescent="0.25">
      <c r="A470">
        <v>102.25693525</v>
      </c>
      <c r="B470">
        <v>279.75325025000001</v>
      </c>
      <c r="C470">
        <v>-100.28348750000001</v>
      </c>
      <c r="D470">
        <v>-196.986355</v>
      </c>
      <c r="E470">
        <v>56.496121250000002</v>
      </c>
      <c r="F470">
        <v>5.3111864999999998</v>
      </c>
      <c r="G470">
        <v>287.20062274999998</v>
      </c>
      <c r="H470">
        <v>36</v>
      </c>
      <c r="I470">
        <v>-12</v>
      </c>
      <c r="J470">
        <v>1.18</v>
      </c>
      <c r="K470">
        <v>21.858131</v>
      </c>
      <c r="L470">
        <v>0.98735786036277151</v>
      </c>
      <c r="M470">
        <v>2.324089650988308</v>
      </c>
      <c r="N470">
        <v>-1.124683582860605</v>
      </c>
      <c r="O470">
        <v>-0.7504758258151234</v>
      </c>
    </row>
    <row r="471" spans="1:15" x14ac:dyDescent="0.25">
      <c r="A471">
        <v>82.130456750000008</v>
      </c>
      <c r="B471">
        <v>295.72951499999999</v>
      </c>
      <c r="C471">
        <v>-68.064990999999992</v>
      </c>
      <c r="D471">
        <v>-199.0842935</v>
      </c>
      <c r="E471">
        <v>67.848976249999993</v>
      </c>
      <c r="F471">
        <v>5.5060925000000003</v>
      </c>
      <c r="G471">
        <v>300.24428549999999</v>
      </c>
      <c r="H471">
        <v>36</v>
      </c>
      <c r="I471">
        <v>-8</v>
      </c>
      <c r="J471">
        <v>1.18</v>
      </c>
      <c r="K471">
        <v>22.3507465</v>
      </c>
      <c r="L471">
        <v>0.74568791682750002</v>
      </c>
      <c r="M471">
        <v>2.456653498191927</v>
      </c>
      <c r="N471">
        <v>-1.1538299273849</v>
      </c>
      <c r="O471">
        <v>-0.69048811173314018</v>
      </c>
    </row>
    <row r="472" spans="1:15" x14ac:dyDescent="0.25">
      <c r="A472">
        <v>55.596000750000002</v>
      </c>
      <c r="B472">
        <v>310.056648</v>
      </c>
      <c r="C472">
        <v>-32.618005500000002</v>
      </c>
      <c r="D472">
        <v>-202.58083350000001</v>
      </c>
      <c r="E472">
        <v>75.189058250000002</v>
      </c>
      <c r="F472">
        <v>5.7984522500000004</v>
      </c>
      <c r="G472">
        <v>312.80780774999999</v>
      </c>
      <c r="H472">
        <v>36</v>
      </c>
      <c r="I472">
        <v>-4</v>
      </c>
      <c r="J472">
        <v>1.1625000000000001</v>
      </c>
      <c r="K472">
        <v>22.98854425</v>
      </c>
      <c r="L472">
        <v>0.4575674756184962</v>
      </c>
      <c r="M472">
        <v>2.659049851321444</v>
      </c>
      <c r="N472">
        <v>-1.2325285096314591</v>
      </c>
      <c r="O472">
        <v>-0.6400547009807388</v>
      </c>
    </row>
    <row r="473" spans="1:15" x14ac:dyDescent="0.25">
      <c r="A473">
        <v>23.375588</v>
      </c>
      <c r="B473">
        <v>322.9250945</v>
      </c>
      <c r="C473">
        <v>5.8252190000000006</v>
      </c>
      <c r="D473">
        <v>-208.96200949999999</v>
      </c>
      <c r="E473">
        <v>78.576122249999997</v>
      </c>
      <c r="F473">
        <v>6.0908115</v>
      </c>
      <c r="G473">
        <v>324.85119650000001</v>
      </c>
      <c r="H473">
        <v>36</v>
      </c>
      <c r="I473">
        <v>0</v>
      </c>
      <c r="J473">
        <v>1.18</v>
      </c>
      <c r="K473">
        <v>23.24374525</v>
      </c>
      <c r="L473">
        <v>9.7442188069675875E-2</v>
      </c>
      <c r="M473">
        <v>2.9525763190100731</v>
      </c>
      <c r="N473">
        <v>-1.367124795114095</v>
      </c>
      <c r="O473">
        <v>-0.59762722007302971</v>
      </c>
    </row>
    <row r="474" spans="1:15" x14ac:dyDescent="0.25">
      <c r="A474">
        <v>-19.233799000000001</v>
      </c>
      <c r="B474">
        <v>331.51144375000001</v>
      </c>
      <c r="C474">
        <v>42.678228249999997</v>
      </c>
      <c r="D474">
        <v>-216.47956475000001</v>
      </c>
      <c r="E474">
        <v>76.738546499999998</v>
      </c>
      <c r="F474">
        <v>6.48062425</v>
      </c>
      <c r="G474">
        <v>334.05377950000002</v>
      </c>
      <c r="H474">
        <v>36</v>
      </c>
      <c r="I474">
        <v>4</v>
      </c>
      <c r="J474">
        <v>1.18</v>
      </c>
      <c r="K474">
        <v>23.562858500000001</v>
      </c>
      <c r="L474">
        <v>-0.31811818844741502</v>
      </c>
      <c r="M474">
        <v>2.8160747597013258</v>
      </c>
      <c r="N474">
        <v>-1.322319580567735</v>
      </c>
      <c r="O474">
        <v>-0.63893584088951516</v>
      </c>
    </row>
    <row r="475" spans="1:15" x14ac:dyDescent="0.25">
      <c r="A475">
        <v>-60.321781999999999</v>
      </c>
      <c r="B475">
        <v>314.04899625000002</v>
      </c>
      <c r="C475">
        <v>69.531470999999996</v>
      </c>
      <c r="D475">
        <v>-211.58441550000001</v>
      </c>
      <c r="E475">
        <v>65.354443500000002</v>
      </c>
      <c r="F475">
        <v>6.0908115</v>
      </c>
      <c r="G475">
        <v>317.04901100000001</v>
      </c>
      <c r="H475">
        <v>36</v>
      </c>
      <c r="I475">
        <v>8</v>
      </c>
      <c r="J475">
        <v>1.18</v>
      </c>
      <c r="K475">
        <v>22.957491000000001</v>
      </c>
      <c r="L475">
        <v>-0.64503939620335704</v>
      </c>
      <c r="M475">
        <v>2.6112161722527598</v>
      </c>
      <c r="N475">
        <v>-1.250411442130964</v>
      </c>
      <c r="O475">
        <v>-0.70565389207586127</v>
      </c>
    </row>
    <row r="476" spans="1:15" x14ac:dyDescent="0.25">
      <c r="A476">
        <v>-94.154453249999989</v>
      </c>
      <c r="B476">
        <v>286.00633249999998</v>
      </c>
      <c r="C476">
        <v>85.288919249999992</v>
      </c>
      <c r="D476">
        <v>-198.77833924999999</v>
      </c>
      <c r="E476">
        <v>50.819610500000003</v>
      </c>
      <c r="F476">
        <v>5.3599130000000006</v>
      </c>
      <c r="G476">
        <v>291.80192575000001</v>
      </c>
      <c r="H476">
        <v>36</v>
      </c>
      <c r="I476">
        <v>12</v>
      </c>
      <c r="J476">
        <v>1.18</v>
      </c>
      <c r="K476">
        <v>22.033926000000001</v>
      </c>
      <c r="L476">
        <v>-0.90954291591386016</v>
      </c>
      <c r="M476">
        <v>2.4573335857128451</v>
      </c>
      <c r="N476">
        <v>-1.221549874928795</v>
      </c>
      <c r="O476">
        <v>-0.76958921253910983</v>
      </c>
    </row>
    <row r="477" spans="1:15" x14ac:dyDescent="0.25">
      <c r="A477">
        <v>-125.41074949999999</v>
      </c>
      <c r="B477">
        <v>262.91803750000003</v>
      </c>
      <c r="C477">
        <v>98.517953750000004</v>
      </c>
      <c r="D477">
        <v>-189.16285325000001</v>
      </c>
      <c r="E477">
        <v>36.335718249999999</v>
      </c>
      <c r="F477">
        <v>5.0675537500000001</v>
      </c>
      <c r="G477">
        <v>273.23670950000002</v>
      </c>
      <c r="H477">
        <v>36</v>
      </c>
      <c r="I477">
        <v>16</v>
      </c>
      <c r="J477">
        <v>1.18</v>
      </c>
      <c r="K477">
        <v>21.3195485</v>
      </c>
      <c r="L477">
        <v>-1.1565217721199279</v>
      </c>
      <c r="M477">
        <v>2.334864598979947</v>
      </c>
      <c r="N477">
        <v>-1.223527469510076</v>
      </c>
      <c r="O477">
        <v>-0.83850570413118564</v>
      </c>
    </row>
    <row r="478" spans="1:15" x14ac:dyDescent="0.25">
      <c r="A478">
        <v>-162.48443950000001</v>
      </c>
      <c r="B478">
        <v>249.23992525</v>
      </c>
      <c r="C478">
        <v>108.691019</v>
      </c>
      <c r="D478">
        <v>-199.56505974999999</v>
      </c>
      <c r="E478">
        <v>17.0728635</v>
      </c>
      <c r="F478">
        <v>4.7751944999999996</v>
      </c>
      <c r="G478">
        <v>266.51482375000001</v>
      </c>
      <c r="H478">
        <v>36</v>
      </c>
      <c r="I478">
        <v>20</v>
      </c>
      <c r="J478">
        <v>1.18</v>
      </c>
      <c r="K478">
        <v>21.062414499999999</v>
      </c>
      <c r="L478">
        <v>-1.3688967254360249</v>
      </c>
      <c r="M478">
        <v>2.2655978778703578</v>
      </c>
      <c r="N478">
        <v>-1.2592153189637789</v>
      </c>
      <c r="O478">
        <v>-0.93793294631577995</v>
      </c>
    </row>
    <row r="479" spans="1:15" x14ac:dyDescent="0.25">
      <c r="A479">
        <v>-211.41921199999999</v>
      </c>
      <c r="B479">
        <v>253.85734550000001</v>
      </c>
      <c r="C479">
        <v>124.163315</v>
      </c>
      <c r="D479">
        <v>-232.95701224999999</v>
      </c>
      <c r="E479">
        <v>-4.950691</v>
      </c>
      <c r="F479">
        <v>5.1650070000000001</v>
      </c>
      <c r="G479">
        <v>282.07918525000002</v>
      </c>
      <c r="H479">
        <v>36</v>
      </c>
      <c r="I479">
        <v>24</v>
      </c>
      <c r="J479">
        <v>1.18</v>
      </c>
      <c r="K479">
        <v>21.66438475</v>
      </c>
      <c r="L479">
        <v>-1.544781027255778</v>
      </c>
      <c r="M479">
        <v>2.240963123791945</v>
      </c>
      <c r="N479">
        <v>-1.3213081490594401</v>
      </c>
      <c r="O479">
        <v>-1.0465806830737989</v>
      </c>
    </row>
    <row r="480" spans="1:15" x14ac:dyDescent="0.25">
      <c r="A480">
        <v>-264.59546649999999</v>
      </c>
      <c r="B480">
        <v>252.239689</v>
      </c>
      <c r="C480">
        <v>138.02445599999999</v>
      </c>
      <c r="D480">
        <v>-273.42948150000001</v>
      </c>
      <c r="E480">
        <v>-35.323847000000001</v>
      </c>
      <c r="F480">
        <v>5.6035455000000001</v>
      </c>
      <c r="G480">
        <v>296.96337125000002</v>
      </c>
      <c r="H480">
        <v>36</v>
      </c>
      <c r="I480">
        <v>28</v>
      </c>
      <c r="J480">
        <v>1.18</v>
      </c>
      <c r="K480">
        <v>22.222279749999998</v>
      </c>
      <c r="L480">
        <v>-1.7228912254644591</v>
      </c>
      <c r="M480">
        <v>2.249436844188784</v>
      </c>
      <c r="N480">
        <v>-1.4219203555845661</v>
      </c>
      <c r="O480">
        <v>-1.175131151772431</v>
      </c>
    </row>
    <row r="481" spans="1:15" x14ac:dyDescent="0.25">
      <c r="A481">
        <v>-319.58734125000001</v>
      </c>
      <c r="B481">
        <v>247.47772624999999</v>
      </c>
      <c r="C481">
        <v>147.3802455</v>
      </c>
      <c r="D481">
        <v>-320.89501949999999</v>
      </c>
      <c r="E481">
        <v>-73.591344750000005</v>
      </c>
      <c r="F481">
        <v>5.7984520000000002</v>
      </c>
      <c r="G481">
        <v>310.88726800000001</v>
      </c>
      <c r="H481">
        <v>36</v>
      </c>
      <c r="I481">
        <v>32</v>
      </c>
      <c r="J481">
        <v>1.18</v>
      </c>
      <c r="K481">
        <v>22.739813999999999</v>
      </c>
      <c r="L481">
        <v>-1.8932517212729669</v>
      </c>
      <c r="M481">
        <v>2.3043798412554701</v>
      </c>
      <c r="N481">
        <v>-1.558815922705882</v>
      </c>
      <c r="O481">
        <v>-1.321881416549592</v>
      </c>
    </row>
    <row r="482" spans="1:15" x14ac:dyDescent="0.25">
      <c r="A482">
        <v>-371.07266225000001</v>
      </c>
      <c r="B482">
        <v>235.05133824999999</v>
      </c>
      <c r="C482">
        <v>154.55959350000001</v>
      </c>
      <c r="D482">
        <v>-369.19098650000001</v>
      </c>
      <c r="E482">
        <v>-117.74614725000001</v>
      </c>
      <c r="F482">
        <v>5.9446320000000004</v>
      </c>
      <c r="G482">
        <v>321.13015000000001</v>
      </c>
      <c r="H482">
        <v>36</v>
      </c>
      <c r="I482">
        <v>36</v>
      </c>
      <c r="J482">
        <v>1.18</v>
      </c>
      <c r="K482">
        <v>23.113038</v>
      </c>
      <c r="L482">
        <v>-2.0826732294404491</v>
      </c>
      <c r="M482">
        <v>2.3941734712768579</v>
      </c>
      <c r="N482">
        <v>-1.738975435999963</v>
      </c>
      <c r="O482">
        <v>-1.4901063445085361</v>
      </c>
    </row>
    <row r="483" spans="1:15" x14ac:dyDescent="0.25">
      <c r="A483">
        <v>-418.63915974999998</v>
      </c>
      <c r="B483">
        <v>220.141243</v>
      </c>
      <c r="C483">
        <v>156.54632950000001</v>
      </c>
      <c r="D483">
        <v>-419.93453975</v>
      </c>
      <c r="E483">
        <v>-168.45727550000001</v>
      </c>
      <c r="F483">
        <v>6.3344442499999998</v>
      </c>
      <c r="G483">
        <v>331.93318175000002</v>
      </c>
      <c r="H483">
        <v>36</v>
      </c>
      <c r="I483">
        <v>40</v>
      </c>
      <c r="J483">
        <v>1.18</v>
      </c>
      <c r="K483">
        <v>23.491748250000001</v>
      </c>
      <c r="L483">
        <v>-2.2931582416083889</v>
      </c>
      <c r="M483">
        <v>2.5518890908695488</v>
      </c>
      <c r="N483">
        <v>-1.994996895724424</v>
      </c>
      <c r="O483">
        <v>-1.6968803950870111</v>
      </c>
    </row>
    <row r="484" spans="1:15" x14ac:dyDescent="0.25">
      <c r="A484">
        <v>-441.37009425000002</v>
      </c>
      <c r="B484">
        <v>188.54129800000001</v>
      </c>
      <c r="C484">
        <v>146.84794249999999</v>
      </c>
      <c r="D484">
        <v>-443.23025525000003</v>
      </c>
      <c r="E484">
        <v>-210.51583074999999</v>
      </c>
      <c r="F484">
        <v>6.0420850000000002</v>
      </c>
      <c r="G484">
        <v>322.370499</v>
      </c>
      <c r="H484">
        <v>36</v>
      </c>
      <c r="I484">
        <v>44</v>
      </c>
      <c r="J484">
        <v>1.18</v>
      </c>
      <c r="K484">
        <v>23.15485825</v>
      </c>
      <c r="L484">
        <v>-2.5378486390959849</v>
      </c>
      <c r="M484">
        <v>2.7258089380064709</v>
      </c>
      <c r="N484">
        <v>-2.2991855971339872</v>
      </c>
      <c r="O484">
        <v>-1.93439361166359</v>
      </c>
    </row>
    <row r="485" spans="1:15" x14ac:dyDescent="0.25">
      <c r="A485">
        <v>130.100067</v>
      </c>
      <c r="B485">
        <v>164.5177765</v>
      </c>
      <c r="C485">
        <v>-399.883171</v>
      </c>
      <c r="D485">
        <v>-405.68611900000002</v>
      </c>
      <c r="E485">
        <v>-181.79291925000001</v>
      </c>
      <c r="F485">
        <v>5.3111864999999998</v>
      </c>
      <c r="G485">
        <v>289.00112949999999</v>
      </c>
      <c r="H485">
        <v>40</v>
      </c>
      <c r="I485">
        <v>-44</v>
      </c>
      <c r="J485">
        <v>1.18</v>
      </c>
      <c r="K485">
        <v>21.927823499999999</v>
      </c>
      <c r="L485">
        <v>2.3981969909030791</v>
      </c>
      <c r="M485">
        <v>2.58019237576783</v>
      </c>
      <c r="N485">
        <v>-2.130361443373836</v>
      </c>
      <c r="O485">
        <v>-1.846648676745865</v>
      </c>
    </row>
    <row r="486" spans="1:15" x14ac:dyDescent="0.25">
      <c r="A486">
        <v>125.948412</v>
      </c>
      <c r="B486">
        <v>174.68927775</v>
      </c>
      <c r="C486">
        <v>-352.75155649999999</v>
      </c>
      <c r="D486">
        <v>-353.01947775000002</v>
      </c>
      <c r="E486">
        <v>-139.73434474999999</v>
      </c>
      <c r="F486">
        <v>4.9213737499999999</v>
      </c>
      <c r="G486">
        <v>271.55623650000001</v>
      </c>
      <c r="H486">
        <v>40</v>
      </c>
      <c r="I486">
        <v>-40</v>
      </c>
      <c r="J486">
        <v>1.18</v>
      </c>
      <c r="K486">
        <v>21.258469999999999</v>
      </c>
      <c r="L486">
        <v>2.2458190746900089</v>
      </c>
      <c r="M486">
        <v>2.4757468862174972</v>
      </c>
      <c r="N486">
        <v>-1.929569729713561</v>
      </c>
      <c r="O486">
        <v>-1.678648773974625</v>
      </c>
    </row>
    <row r="487" spans="1:15" x14ac:dyDescent="0.25">
      <c r="A487">
        <v>124.86537749999999</v>
      </c>
      <c r="B487">
        <v>191.13843524999999</v>
      </c>
      <c r="C487">
        <v>-327.04183225000003</v>
      </c>
      <c r="D487">
        <v>-322.42475150000001</v>
      </c>
      <c r="E487">
        <v>-108.95978925</v>
      </c>
      <c r="F487">
        <v>4.8726469999999997</v>
      </c>
      <c r="G487">
        <v>268.07526374999998</v>
      </c>
      <c r="H487">
        <v>40</v>
      </c>
      <c r="I487">
        <v>-36</v>
      </c>
      <c r="J487">
        <v>1.18</v>
      </c>
      <c r="K487">
        <v>21.121182999999998</v>
      </c>
      <c r="L487">
        <v>2.094399529429158</v>
      </c>
      <c r="M487">
        <v>2.380135873406954</v>
      </c>
      <c r="N487">
        <v>-1.7474221629206359</v>
      </c>
      <c r="O487">
        <v>-1.527588077605424</v>
      </c>
    </row>
    <row r="488" spans="1:15" x14ac:dyDescent="0.25">
      <c r="A488">
        <v>130.59645474999999</v>
      </c>
      <c r="B488">
        <v>220.79916775000001</v>
      </c>
      <c r="C488">
        <v>-323.38848875000002</v>
      </c>
      <c r="D488">
        <v>-317.13622299999997</v>
      </c>
      <c r="E488">
        <v>-89.647640499999994</v>
      </c>
      <c r="F488">
        <v>5.2624600000000008</v>
      </c>
      <c r="G488">
        <v>286.48042299999997</v>
      </c>
      <c r="H488">
        <v>40</v>
      </c>
      <c r="I488">
        <v>-32</v>
      </c>
      <c r="J488">
        <v>1.18</v>
      </c>
      <c r="K488">
        <v>21.83208325</v>
      </c>
      <c r="L488">
        <v>1.968607901594019</v>
      </c>
      <c r="M488">
        <v>2.3326359434278419</v>
      </c>
      <c r="N488">
        <v>-1.631009668621028</v>
      </c>
      <c r="O488">
        <v>-1.41157103718709</v>
      </c>
    </row>
    <row r="489" spans="1:15" x14ac:dyDescent="0.25">
      <c r="A489">
        <v>131.408737</v>
      </c>
      <c r="B489">
        <v>250.844776</v>
      </c>
      <c r="C489">
        <v>-305.57279175000002</v>
      </c>
      <c r="D489">
        <v>-306.25323474999999</v>
      </c>
      <c r="E489">
        <v>-66.544416500000011</v>
      </c>
      <c r="F489">
        <v>5.6035457500000003</v>
      </c>
      <c r="G489">
        <v>301.84472649999998</v>
      </c>
      <c r="H489">
        <v>40</v>
      </c>
      <c r="I489">
        <v>-28</v>
      </c>
      <c r="J489">
        <v>1.18</v>
      </c>
      <c r="K489">
        <v>22.407667</v>
      </c>
      <c r="L489">
        <v>1.8255594712800449</v>
      </c>
      <c r="M489">
        <v>2.3273637308480528</v>
      </c>
      <c r="N489">
        <v>-1.539004258741264</v>
      </c>
      <c r="O489">
        <v>-1.301408657986928</v>
      </c>
    </row>
    <row r="490" spans="1:15" x14ac:dyDescent="0.25">
      <c r="A490">
        <v>127.16683949999999</v>
      </c>
      <c r="B490">
        <v>274.20246150000003</v>
      </c>
      <c r="C490">
        <v>-276.86012249999999</v>
      </c>
      <c r="D490">
        <v>-295.50138850000002</v>
      </c>
      <c r="E490">
        <v>-46.117241999999997</v>
      </c>
      <c r="F490">
        <v>5.6522722500000002</v>
      </c>
      <c r="G490">
        <v>313.08789074999999</v>
      </c>
      <c r="H490">
        <v>40</v>
      </c>
      <c r="I490">
        <v>-24</v>
      </c>
      <c r="J490">
        <v>1.18</v>
      </c>
      <c r="K490">
        <v>22.8271105</v>
      </c>
      <c r="L490">
        <v>1.682989158563345</v>
      </c>
      <c r="M490">
        <v>2.3731485997732662</v>
      </c>
      <c r="N490">
        <v>-1.4962998916404029</v>
      </c>
      <c r="O490">
        <v>-1.215645392006889</v>
      </c>
    </row>
    <row r="491" spans="1:15" x14ac:dyDescent="0.25">
      <c r="A491">
        <v>117.05846225000001</v>
      </c>
      <c r="B491">
        <v>297.79098499999998</v>
      </c>
      <c r="C491">
        <v>-244.47434999999999</v>
      </c>
      <c r="D491">
        <v>-289.77579474999999</v>
      </c>
      <c r="E491">
        <v>-27.8755095</v>
      </c>
      <c r="F491">
        <v>5.9929412499999994</v>
      </c>
      <c r="G491">
        <v>324.6511385</v>
      </c>
      <c r="H491">
        <v>40</v>
      </c>
      <c r="I491">
        <v>-20</v>
      </c>
      <c r="J491">
        <v>1.18</v>
      </c>
      <c r="K491">
        <v>23.240012</v>
      </c>
      <c r="L491">
        <v>1.5111319624799591</v>
      </c>
      <c r="M491">
        <v>2.455915280725486</v>
      </c>
      <c r="N491">
        <v>-1.4735170575633061</v>
      </c>
      <c r="O491">
        <v>-1.141582189423801</v>
      </c>
    </row>
    <row r="492" spans="1:15" x14ac:dyDescent="0.25">
      <c r="A492">
        <v>104.28763025000001</v>
      </c>
      <c r="B492">
        <v>317.77855675000001</v>
      </c>
      <c r="C492">
        <v>-210.6446875</v>
      </c>
      <c r="D492">
        <v>-286.89115125000001</v>
      </c>
      <c r="E492">
        <v>-11.55161275</v>
      </c>
      <c r="F492">
        <v>6.3827259999999999</v>
      </c>
      <c r="G492">
        <v>335.49417125000002</v>
      </c>
      <c r="H492">
        <v>40</v>
      </c>
      <c r="I492">
        <v>-16</v>
      </c>
      <c r="J492">
        <v>1.18</v>
      </c>
      <c r="K492">
        <v>23.618127250000001</v>
      </c>
      <c r="L492">
        <v>1.3276680830842369</v>
      </c>
      <c r="M492">
        <v>2.5490552461424989</v>
      </c>
      <c r="N492">
        <v>-1.4630481317246831</v>
      </c>
      <c r="O492">
        <v>-1.075636745985413</v>
      </c>
    </row>
    <row r="493" spans="1:15" x14ac:dyDescent="0.25">
      <c r="A493">
        <v>75.677351000000002</v>
      </c>
      <c r="B493">
        <v>304.55192549999998</v>
      </c>
      <c r="C493">
        <v>-159.17879875</v>
      </c>
      <c r="D493">
        <v>-264.73183449999999</v>
      </c>
      <c r="E493">
        <v>-0.26594699999999999</v>
      </c>
      <c r="F493">
        <v>6.13912075</v>
      </c>
      <c r="G493">
        <v>314.0481565</v>
      </c>
      <c r="H493">
        <v>40</v>
      </c>
      <c r="I493">
        <v>-12</v>
      </c>
      <c r="J493">
        <v>1.18</v>
      </c>
      <c r="K493">
        <v>22.844657000000002</v>
      </c>
      <c r="L493">
        <v>1.109487956130232</v>
      </c>
      <c r="M493">
        <v>2.6892801411020928</v>
      </c>
      <c r="N493">
        <v>-1.484848073233602</v>
      </c>
      <c r="O493">
        <v>-1.0302855891059699</v>
      </c>
    </row>
    <row r="494" spans="1:15" x14ac:dyDescent="0.25">
      <c r="A494">
        <v>47.067065249999999</v>
      </c>
      <c r="B494">
        <v>286.87214675000001</v>
      </c>
      <c r="C494">
        <v>-111.81761950000001</v>
      </c>
      <c r="D494">
        <v>-242.31026075</v>
      </c>
      <c r="E494">
        <v>5.9445065000000001</v>
      </c>
      <c r="F494">
        <v>5.3595509999999997</v>
      </c>
      <c r="G494">
        <v>292.04198474999998</v>
      </c>
      <c r="H494">
        <v>40</v>
      </c>
      <c r="I494">
        <v>-8</v>
      </c>
      <c r="J494">
        <v>1.18</v>
      </c>
      <c r="K494">
        <v>22.043168000000001</v>
      </c>
      <c r="L494">
        <v>0.86819089115919224</v>
      </c>
      <c r="M494">
        <v>2.891598542195172</v>
      </c>
      <c r="N494">
        <v>-1.5633357393634499</v>
      </c>
      <c r="O494">
        <v>-0.9968182635500995</v>
      </c>
    </row>
    <row r="495" spans="1:15" x14ac:dyDescent="0.25">
      <c r="A495">
        <v>17.870137</v>
      </c>
      <c r="B495">
        <v>267.37284075000002</v>
      </c>
      <c r="C495">
        <v>-64.001152000000005</v>
      </c>
      <c r="D495">
        <v>-217.87818150000001</v>
      </c>
      <c r="E495">
        <v>11.039255750000001</v>
      </c>
      <c r="F495">
        <v>4.7261467499999998</v>
      </c>
      <c r="G495">
        <v>270.95607000000001</v>
      </c>
      <c r="H495">
        <v>40</v>
      </c>
      <c r="I495">
        <v>-4</v>
      </c>
      <c r="J495">
        <v>1.18</v>
      </c>
      <c r="K495">
        <v>21.242326500000001</v>
      </c>
      <c r="L495">
        <v>0.53866365189998722</v>
      </c>
      <c r="M495">
        <v>3.192896650693076</v>
      </c>
      <c r="N495">
        <v>-1.710231498777099</v>
      </c>
      <c r="O495">
        <v>-0.9584471188508461</v>
      </c>
    </row>
    <row r="496" spans="1:15" x14ac:dyDescent="0.25">
      <c r="A496">
        <v>-10.450779499999999</v>
      </c>
      <c r="B496">
        <v>266.93987249999998</v>
      </c>
      <c r="C496">
        <v>-30.67003725</v>
      </c>
      <c r="D496">
        <v>-213.98829275</v>
      </c>
      <c r="E496">
        <v>10.368854750000001</v>
      </c>
      <c r="F496">
        <v>4.8239212499999997</v>
      </c>
      <c r="G496">
        <v>270.31588749999997</v>
      </c>
      <c r="H496">
        <v>40</v>
      </c>
      <c r="I496">
        <v>0</v>
      </c>
      <c r="J496">
        <v>1.18</v>
      </c>
      <c r="K496">
        <v>21.212865749999999</v>
      </c>
      <c r="L496">
        <v>0.1523907785589427</v>
      </c>
      <c r="M496">
        <v>3.6243314537565401</v>
      </c>
      <c r="N496">
        <v>-1.9590368434400409</v>
      </c>
      <c r="O496">
        <v>-0.95825957852526589</v>
      </c>
    </row>
    <row r="497" spans="1:15" x14ac:dyDescent="0.25">
      <c r="A497">
        <v>-46.845784999999999</v>
      </c>
      <c r="B497">
        <v>285.07254775000001</v>
      </c>
      <c r="C497">
        <v>-2.4357745</v>
      </c>
      <c r="D497">
        <v>-230.15977849999999</v>
      </c>
      <c r="E497">
        <v>8.7598917500000013</v>
      </c>
      <c r="F497">
        <v>5.3111864999999998</v>
      </c>
      <c r="G497">
        <v>288.0008545</v>
      </c>
      <c r="H497">
        <v>40</v>
      </c>
      <c r="I497">
        <v>4</v>
      </c>
      <c r="J497">
        <v>1.18</v>
      </c>
      <c r="K497">
        <v>21.889134250000001</v>
      </c>
      <c r="L497">
        <v>-0.30157937838280507</v>
      </c>
      <c r="M497">
        <v>3.4988252248422769</v>
      </c>
      <c r="N497">
        <v>-1.896295422827011</v>
      </c>
      <c r="O497">
        <v>-0.9766229630496599</v>
      </c>
    </row>
    <row r="498" spans="1:15" x14ac:dyDescent="0.25">
      <c r="A498">
        <v>-90.364383750000002</v>
      </c>
      <c r="B498">
        <v>297.50883499999998</v>
      </c>
      <c r="C498">
        <v>24.837523000000001</v>
      </c>
      <c r="D498">
        <v>-244.9326595</v>
      </c>
      <c r="E498">
        <v>2.4134307499999998</v>
      </c>
      <c r="F498">
        <v>5.5060925000000003</v>
      </c>
      <c r="G498">
        <v>301.24456800000002</v>
      </c>
      <c r="H498">
        <v>40</v>
      </c>
      <c r="I498">
        <v>8</v>
      </c>
      <c r="J498">
        <v>1.18</v>
      </c>
      <c r="K498">
        <v>22.388636250000001</v>
      </c>
      <c r="L498">
        <v>-0.67742523515699604</v>
      </c>
      <c r="M498">
        <v>3.189818843364097</v>
      </c>
      <c r="N498">
        <v>-1.757366996692872</v>
      </c>
      <c r="O498">
        <v>-1.018218643191964</v>
      </c>
    </row>
    <row r="499" spans="1:15" x14ac:dyDescent="0.25">
      <c r="A499">
        <v>-138.24010849999999</v>
      </c>
      <c r="B499">
        <v>306.20859524999997</v>
      </c>
      <c r="C499">
        <v>50.036496</v>
      </c>
      <c r="D499">
        <v>-258.48175424999999</v>
      </c>
      <c r="E499">
        <v>-8.5187585000000006</v>
      </c>
      <c r="F499">
        <v>5.8954882499999997</v>
      </c>
      <c r="G499">
        <v>313.6880645</v>
      </c>
      <c r="H499">
        <v>40</v>
      </c>
      <c r="I499">
        <v>12</v>
      </c>
      <c r="J499">
        <v>1.18</v>
      </c>
      <c r="K499">
        <v>22.840357000000001</v>
      </c>
      <c r="L499">
        <v>-0.99180337713577593</v>
      </c>
      <c r="M499">
        <v>2.9746771255756039</v>
      </c>
      <c r="N499">
        <v>-1.697411215411841</v>
      </c>
      <c r="O499">
        <v>-1.075949498921267</v>
      </c>
    </row>
    <row r="500" spans="1:15" x14ac:dyDescent="0.25">
      <c r="A500">
        <v>-189.54525000000001</v>
      </c>
      <c r="B500">
        <v>312.00703425</v>
      </c>
      <c r="C500">
        <v>71.030788250000001</v>
      </c>
      <c r="D500">
        <v>-277.93126675000002</v>
      </c>
      <c r="E500">
        <v>-23.504631249999999</v>
      </c>
      <c r="F500">
        <v>5.8959054999999996</v>
      </c>
      <c r="G500">
        <v>325.65141299999999</v>
      </c>
      <c r="H500">
        <v>40</v>
      </c>
      <c r="I500">
        <v>16</v>
      </c>
      <c r="J500">
        <v>1.18</v>
      </c>
      <c r="K500">
        <v>23.27999775</v>
      </c>
      <c r="L500">
        <v>-1.239445076760183</v>
      </c>
      <c r="M500">
        <v>2.8061168427938572</v>
      </c>
      <c r="N500">
        <v>-1.6608069755239561</v>
      </c>
      <c r="O500">
        <v>-1.1398454883691791</v>
      </c>
    </row>
    <row r="501" spans="1:15" x14ac:dyDescent="0.25">
      <c r="A501">
        <v>-241.3774875</v>
      </c>
      <c r="B501">
        <v>311.72294625000001</v>
      </c>
      <c r="C501">
        <v>88.223690000000005</v>
      </c>
      <c r="D501">
        <v>-301.40180199999998</v>
      </c>
      <c r="E501">
        <v>-43.7088015</v>
      </c>
      <c r="F501">
        <v>6.3335679999999996</v>
      </c>
      <c r="G501">
        <v>333.77370450000001</v>
      </c>
      <c r="H501">
        <v>40</v>
      </c>
      <c r="I501">
        <v>20</v>
      </c>
      <c r="J501">
        <v>1.18</v>
      </c>
      <c r="K501">
        <v>23.558079750000001</v>
      </c>
      <c r="L501">
        <v>-1.447650082715177</v>
      </c>
      <c r="M501">
        <v>2.6929603179511812</v>
      </c>
      <c r="N501">
        <v>-1.6579845063896499</v>
      </c>
      <c r="O501">
        <v>-1.219806541037556</v>
      </c>
    </row>
    <row r="502" spans="1:15" x14ac:dyDescent="0.25">
      <c r="A502">
        <v>-275.08386224999998</v>
      </c>
      <c r="B502">
        <v>284.92817700000001</v>
      </c>
      <c r="C502">
        <v>97.492290499999996</v>
      </c>
      <c r="D502">
        <v>-305.29170225000001</v>
      </c>
      <c r="E502">
        <v>-64.804983249999992</v>
      </c>
      <c r="F502">
        <v>5.9438112500000004</v>
      </c>
      <c r="G502">
        <v>318.44940174999999</v>
      </c>
      <c r="H502">
        <v>40</v>
      </c>
      <c r="I502">
        <v>24</v>
      </c>
      <c r="J502">
        <v>1.18</v>
      </c>
      <c r="K502">
        <v>23.014535250000002</v>
      </c>
      <c r="L502">
        <v>-1.653146740966162</v>
      </c>
      <c r="M502">
        <v>2.6189213567044889</v>
      </c>
      <c r="N502">
        <v>-1.70064282671279</v>
      </c>
      <c r="O502">
        <v>-1.3139719135441039</v>
      </c>
    </row>
    <row r="503" spans="1:15" x14ac:dyDescent="0.25">
      <c r="A503">
        <v>-290.8042145</v>
      </c>
      <c r="B503">
        <v>248.75895700000001</v>
      </c>
      <c r="C503">
        <v>98.253467749999999</v>
      </c>
      <c r="D503">
        <v>-299.91577150000001</v>
      </c>
      <c r="E503">
        <v>-84.563146500000002</v>
      </c>
      <c r="F503">
        <v>5.5049650000000003</v>
      </c>
      <c r="G503">
        <v>292.80220025</v>
      </c>
      <c r="H503">
        <v>40</v>
      </c>
      <c r="I503">
        <v>28</v>
      </c>
      <c r="J503">
        <v>1.18</v>
      </c>
      <c r="K503">
        <v>22.066778500000002</v>
      </c>
      <c r="L503">
        <v>-1.8456758221262779</v>
      </c>
      <c r="M503">
        <v>2.6028901058591178</v>
      </c>
      <c r="N503">
        <v>-1.790221472607137</v>
      </c>
      <c r="O503">
        <v>-1.427301012192177</v>
      </c>
    </row>
    <row r="504" spans="1:15" x14ac:dyDescent="0.25">
      <c r="A504">
        <v>-308.70692450000001</v>
      </c>
      <c r="B504">
        <v>218.1539535</v>
      </c>
      <c r="C504">
        <v>95.234455249999996</v>
      </c>
      <c r="D504">
        <v>-304.59239200000002</v>
      </c>
      <c r="E504">
        <v>-107.800169</v>
      </c>
      <c r="F504">
        <v>5.06685725</v>
      </c>
      <c r="G504">
        <v>273.55679350000003</v>
      </c>
      <c r="H504">
        <v>40</v>
      </c>
      <c r="I504">
        <v>32</v>
      </c>
      <c r="J504">
        <v>1.18</v>
      </c>
      <c r="K504">
        <v>21.33230125</v>
      </c>
      <c r="L504">
        <v>-2.0314200262731741</v>
      </c>
      <c r="M504">
        <v>2.6289044896719651</v>
      </c>
      <c r="N504">
        <v>-1.917875638882294</v>
      </c>
      <c r="O504">
        <v>-1.567622172521673</v>
      </c>
    </row>
    <row r="505" spans="1:15" x14ac:dyDescent="0.25">
      <c r="A505">
        <v>-330.59963974999999</v>
      </c>
      <c r="B505">
        <v>196.99270250000001</v>
      </c>
      <c r="C505">
        <v>94.466806249999991</v>
      </c>
      <c r="D505">
        <v>-320.32682025000003</v>
      </c>
      <c r="E505">
        <v>-134.64986024999999</v>
      </c>
      <c r="F505">
        <v>4.8233067500000004</v>
      </c>
      <c r="G505">
        <v>267.19500725</v>
      </c>
      <c r="H505">
        <v>40</v>
      </c>
      <c r="I505">
        <v>36</v>
      </c>
      <c r="J505">
        <v>1.18</v>
      </c>
      <c r="K505">
        <v>21.0878175</v>
      </c>
      <c r="L505">
        <v>-2.227691280167257</v>
      </c>
      <c r="M505">
        <v>2.7111771792092361</v>
      </c>
      <c r="N505">
        <v>-2.106017157297507</v>
      </c>
      <c r="O505">
        <v>-1.7309753892847</v>
      </c>
    </row>
    <row r="506" spans="1:15" x14ac:dyDescent="0.25">
      <c r="A506">
        <v>-378.45989250000002</v>
      </c>
      <c r="B506">
        <v>189.599434</v>
      </c>
      <c r="C506">
        <v>98.311670500000005</v>
      </c>
      <c r="D506">
        <v>-370.982956</v>
      </c>
      <c r="E506">
        <v>-178.40325150000001</v>
      </c>
      <c r="F506">
        <v>5.0668707499999996</v>
      </c>
      <c r="G506">
        <v>282.79938499999997</v>
      </c>
      <c r="H506">
        <v>40</v>
      </c>
      <c r="I506">
        <v>40</v>
      </c>
      <c r="J506">
        <v>1.18</v>
      </c>
      <c r="K506">
        <v>21.696368</v>
      </c>
      <c r="L506">
        <v>-2.428687746628976</v>
      </c>
      <c r="M506">
        <v>2.855734272373541</v>
      </c>
      <c r="N506">
        <v>-2.349549184968847</v>
      </c>
      <c r="O506">
        <v>-1.934712985047554</v>
      </c>
    </row>
    <row r="507" spans="1:15" x14ac:dyDescent="0.25">
      <c r="A507">
        <v>-426.88221775</v>
      </c>
      <c r="B507">
        <v>176.793205</v>
      </c>
      <c r="C507">
        <v>98.259975249999997</v>
      </c>
      <c r="D507">
        <v>-424.08666975</v>
      </c>
      <c r="E507">
        <v>-228.40075675</v>
      </c>
      <c r="F507">
        <v>5.4082497500000004</v>
      </c>
      <c r="G507">
        <v>297.24344624999998</v>
      </c>
      <c r="H507">
        <v>40</v>
      </c>
      <c r="I507">
        <v>44</v>
      </c>
      <c r="J507">
        <v>1.18</v>
      </c>
      <c r="K507">
        <v>22.240392249999999</v>
      </c>
      <c r="L507">
        <v>-2.6646052896979908</v>
      </c>
      <c r="M507">
        <v>3.0489214840814158</v>
      </c>
      <c r="N507">
        <v>-2.667185115376268</v>
      </c>
      <c r="O507">
        <v>-2.1863790517125641</v>
      </c>
    </row>
    <row r="508" spans="1:15" x14ac:dyDescent="0.25">
      <c r="A508">
        <v>107.08548175</v>
      </c>
      <c r="B508">
        <v>180.4003525</v>
      </c>
      <c r="C508">
        <v>-456.12659450000001</v>
      </c>
      <c r="D508">
        <v>-457.30384049999998</v>
      </c>
      <c r="E508">
        <v>-238.43595124999999</v>
      </c>
      <c r="F508">
        <v>5.9933585000000003</v>
      </c>
      <c r="G508">
        <v>315.08844725</v>
      </c>
      <c r="H508">
        <v>44</v>
      </c>
      <c r="I508">
        <v>-44</v>
      </c>
      <c r="J508">
        <v>1.18</v>
      </c>
      <c r="K508">
        <v>22.888637249999999</v>
      </c>
      <c r="L508">
        <v>2.5805072416610479</v>
      </c>
      <c r="M508">
        <v>2.921834292758136</v>
      </c>
      <c r="N508">
        <v>-2.536275211358415</v>
      </c>
      <c r="O508">
        <v>-2.1200570995684469</v>
      </c>
    </row>
    <row r="509" spans="1:15" x14ac:dyDescent="0.25">
      <c r="A509">
        <v>112.275049</v>
      </c>
      <c r="B509">
        <v>208.71296699999999</v>
      </c>
      <c r="C509">
        <v>-447.28640725000002</v>
      </c>
      <c r="D509">
        <v>-446.37714399999999</v>
      </c>
      <c r="E509">
        <v>-213.23649225</v>
      </c>
      <c r="F509">
        <v>6.1390929999999999</v>
      </c>
      <c r="G509">
        <v>325.25130474999997</v>
      </c>
      <c r="H509">
        <v>44</v>
      </c>
      <c r="I509">
        <v>-40</v>
      </c>
      <c r="J509">
        <v>1.18</v>
      </c>
      <c r="K509">
        <v>23.256570249999999</v>
      </c>
      <c r="L509">
        <v>2.395516249868022</v>
      </c>
      <c r="M509">
        <v>2.8045035606130941</v>
      </c>
      <c r="N509">
        <v>-2.3053950707134989</v>
      </c>
      <c r="O509">
        <v>-1.939209480013687</v>
      </c>
    </row>
    <row r="510" spans="1:15" x14ac:dyDescent="0.25">
      <c r="A510">
        <v>115.93029425</v>
      </c>
      <c r="B510">
        <v>239.1395795</v>
      </c>
      <c r="C510">
        <v>-443.09181975000001</v>
      </c>
      <c r="D510">
        <v>-438.72846225000001</v>
      </c>
      <c r="E510">
        <v>-191.78349299999999</v>
      </c>
      <c r="F510">
        <v>6.4305482500000002</v>
      </c>
      <c r="G510">
        <v>338.41499349999998</v>
      </c>
      <c r="H510">
        <v>44</v>
      </c>
      <c r="I510">
        <v>-36</v>
      </c>
      <c r="J510">
        <v>1.18</v>
      </c>
      <c r="K510">
        <v>23.720985500000001</v>
      </c>
      <c r="L510">
        <v>2.243962267697579</v>
      </c>
      <c r="M510">
        <v>2.721041615557092</v>
      </c>
      <c r="N510">
        <v>-2.1283099945185611</v>
      </c>
      <c r="O510">
        <v>-1.795677708223298</v>
      </c>
    </row>
    <row r="511" spans="1:15" x14ac:dyDescent="0.25">
      <c r="A511">
        <v>103.881489</v>
      </c>
      <c r="B511">
        <v>238.22584900000001</v>
      </c>
      <c r="C511">
        <v>-379.67701725000001</v>
      </c>
      <c r="D511">
        <v>-374.17355375</v>
      </c>
      <c r="E511">
        <v>-149.05591200000001</v>
      </c>
      <c r="F511">
        <v>5.8950707499999986</v>
      </c>
      <c r="G511">
        <v>312.64776599999999</v>
      </c>
      <c r="H511">
        <v>44</v>
      </c>
      <c r="I511">
        <v>-32</v>
      </c>
      <c r="J511">
        <v>1.18</v>
      </c>
      <c r="K511">
        <v>22.80171975</v>
      </c>
      <c r="L511">
        <v>2.1221083412476389</v>
      </c>
      <c r="M511">
        <v>2.687543100411657</v>
      </c>
      <c r="N511">
        <v>-2.0262222951882718</v>
      </c>
      <c r="O511">
        <v>-1.6800269528321501</v>
      </c>
    </row>
    <row r="512" spans="1:15" x14ac:dyDescent="0.25">
      <c r="A512">
        <v>91.11065275</v>
      </c>
      <c r="B512">
        <v>239.09154525</v>
      </c>
      <c r="C512">
        <v>-326.32017500000001</v>
      </c>
      <c r="D512">
        <v>-326.92653675000003</v>
      </c>
      <c r="E512">
        <v>-117.4339465</v>
      </c>
      <c r="F512">
        <v>5.4562247499999996</v>
      </c>
      <c r="G512">
        <v>293.08228300000002</v>
      </c>
      <c r="H512">
        <v>44</v>
      </c>
      <c r="I512">
        <v>-28</v>
      </c>
      <c r="J512">
        <v>1.18</v>
      </c>
      <c r="K512">
        <v>22.07943075</v>
      </c>
      <c r="L512">
        <v>1.995483781044016</v>
      </c>
      <c r="M512">
        <v>2.7058365604218881</v>
      </c>
      <c r="N512">
        <v>-1.962484150803179</v>
      </c>
      <c r="O512">
        <v>-1.587475848107849</v>
      </c>
    </row>
    <row r="513" spans="1:15" x14ac:dyDescent="0.25">
      <c r="A513">
        <v>76.85063925</v>
      </c>
      <c r="B513">
        <v>238.86588674999999</v>
      </c>
      <c r="C513">
        <v>-278.33058925</v>
      </c>
      <c r="D513">
        <v>-294.01536575</v>
      </c>
      <c r="E513">
        <v>-95.401144000000002</v>
      </c>
      <c r="F513">
        <v>5.1152077499999997</v>
      </c>
      <c r="G513">
        <v>277.87800600000003</v>
      </c>
      <c r="H513">
        <v>44</v>
      </c>
      <c r="I513">
        <v>-24</v>
      </c>
      <c r="J513">
        <v>1.18</v>
      </c>
      <c r="K513">
        <v>21.501381250000001</v>
      </c>
      <c r="L513">
        <v>1.8619178742887841</v>
      </c>
      <c r="M513">
        <v>2.793525029420171</v>
      </c>
      <c r="N513">
        <v>-1.9569679092707459</v>
      </c>
      <c r="O513">
        <v>-1.526991009322096</v>
      </c>
    </row>
    <row r="514" spans="1:15" x14ac:dyDescent="0.25">
      <c r="A514">
        <v>62.816259250000002</v>
      </c>
      <c r="B514">
        <v>240.88551724999999</v>
      </c>
      <c r="C514">
        <v>-234.03944774999999</v>
      </c>
      <c r="D514">
        <v>-269.88922124999999</v>
      </c>
      <c r="E514">
        <v>-76.579597750000005</v>
      </c>
      <c r="F514">
        <v>4.6767925000000004</v>
      </c>
      <c r="G514">
        <v>268.47537975</v>
      </c>
      <c r="H514">
        <v>44</v>
      </c>
      <c r="I514">
        <v>-20</v>
      </c>
      <c r="J514">
        <v>1.18</v>
      </c>
      <c r="K514">
        <v>21.1451055</v>
      </c>
      <c r="L514">
        <v>1.692597520091399</v>
      </c>
      <c r="M514">
        <v>2.91230634940925</v>
      </c>
      <c r="N514">
        <v>-1.967418254322238</v>
      </c>
      <c r="O514">
        <v>-1.463299354736431</v>
      </c>
    </row>
    <row r="515" spans="1:15" x14ac:dyDescent="0.25">
      <c r="A515">
        <v>52.076120250000002</v>
      </c>
      <c r="B515">
        <v>267.99801624999998</v>
      </c>
      <c r="C515">
        <v>-220.28303149999999</v>
      </c>
      <c r="D515">
        <v>-282.52047700000003</v>
      </c>
      <c r="E515">
        <v>-71.985717750000006</v>
      </c>
      <c r="F515">
        <v>5.3595372499999998</v>
      </c>
      <c r="G515">
        <v>289.04114550000003</v>
      </c>
      <c r="H515">
        <v>44</v>
      </c>
      <c r="I515">
        <v>-16</v>
      </c>
      <c r="J515">
        <v>1.18</v>
      </c>
      <c r="K515">
        <v>21.927512750000002</v>
      </c>
      <c r="L515">
        <v>1.5181611692576851</v>
      </c>
      <c r="M515">
        <v>3.0685969794546382</v>
      </c>
      <c r="N515">
        <v>-2.0124861185200862</v>
      </c>
      <c r="O515">
        <v>-1.4312153546468649</v>
      </c>
    </row>
    <row r="516" spans="1:15" x14ac:dyDescent="0.25">
      <c r="A516">
        <v>35.108508</v>
      </c>
      <c r="B516">
        <v>293.60623175000001</v>
      </c>
      <c r="C516">
        <v>-197.41582099999999</v>
      </c>
      <c r="D516">
        <v>-297.64300550000002</v>
      </c>
      <c r="E516">
        <v>-65.473997249999996</v>
      </c>
      <c r="F516">
        <v>5.60239025</v>
      </c>
      <c r="G516">
        <v>307.44631199999998</v>
      </c>
      <c r="H516">
        <v>44</v>
      </c>
      <c r="I516">
        <v>-12</v>
      </c>
      <c r="J516">
        <v>1.18</v>
      </c>
      <c r="K516">
        <v>22.618557500000001</v>
      </c>
      <c r="L516">
        <v>1.2772136054182981</v>
      </c>
      <c r="M516">
        <v>3.2477083608505519</v>
      </c>
      <c r="N516">
        <v>-2.0484803569536241</v>
      </c>
      <c r="O516">
        <v>-1.3904164513545929</v>
      </c>
    </row>
    <row r="517" spans="1:15" x14ac:dyDescent="0.25">
      <c r="A517">
        <v>10.4242425</v>
      </c>
      <c r="B517">
        <v>310.73487075000003</v>
      </c>
      <c r="C517">
        <v>-168.15494924999999</v>
      </c>
      <c r="D517">
        <v>-309.31272124999998</v>
      </c>
      <c r="E517">
        <v>-63.199353500000001</v>
      </c>
      <c r="F517">
        <v>6.13912075</v>
      </c>
      <c r="G517">
        <v>321.21017475000002</v>
      </c>
      <c r="H517">
        <v>44</v>
      </c>
      <c r="I517">
        <v>-8</v>
      </c>
      <c r="J517">
        <v>1.18</v>
      </c>
      <c r="K517">
        <v>23.1088305</v>
      </c>
      <c r="L517">
        <v>1.0173397652433089</v>
      </c>
      <c r="M517">
        <v>3.5323993980158161</v>
      </c>
      <c r="N517">
        <v>-2.1899996140333271</v>
      </c>
      <c r="O517">
        <v>-1.395035740301561</v>
      </c>
    </row>
    <row r="518" spans="1:15" x14ac:dyDescent="0.25">
      <c r="A518">
        <v>-21.713917250000002</v>
      </c>
      <c r="B518">
        <v>326.24629974999999</v>
      </c>
      <c r="C518">
        <v>-132.15178675000001</v>
      </c>
      <c r="D518">
        <v>-318.97191624999999</v>
      </c>
      <c r="E518">
        <v>-63.288557999999988</v>
      </c>
      <c r="F518">
        <v>6.1878472499999999</v>
      </c>
      <c r="G518">
        <v>335.09407049999999</v>
      </c>
      <c r="H518">
        <v>44</v>
      </c>
      <c r="I518">
        <v>-4</v>
      </c>
      <c r="J518">
        <v>1.18</v>
      </c>
      <c r="K518">
        <v>23.6107525</v>
      </c>
      <c r="L518">
        <v>0.68056184125048158</v>
      </c>
      <c r="M518">
        <v>3.976391048944353</v>
      </c>
      <c r="N518">
        <v>-2.4552534087675362</v>
      </c>
      <c r="O518">
        <v>-1.428264894438467</v>
      </c>
    </row>
    <row r="519" spans="1:15" x14ac:dyDescent="0.25">
      <c r="A519">
        <v>-53.966240999999997</v>
      </c>
      <c r="B519">
        <v>312.08131400000002</v>
      </c>
      <c r="C519">
        <v>-87.454708249999996</v>
      </c>
      <c r="D519">
        <v>-299.60981750000002</v>
      </c>
      <c r="E519">
        <v>-59.319084250000003</v>
      </c>
      <c r="F519">
        <v>5.7493357500000002</v>
      </c>
      <c r="G519">
        <v>319.04957574999997</v>
      </c>
      <c r="H519">
        <v>44</v>
      </c>
      <c r="I519">
        <v>0</v>
      </c>
      <c r="J519">
        <v>1.18</v>
      </c>
      <c r="K519">
        <v>23.04377375</v>
      </c>
      <c r="L519">
        <v>0.24951127383361821</v>
      </c>
      <c r="M519">
        <v>4.5578314467798604</v>
      </c>
      <c r="N519">
        <v>-2.819373480263597</v>
      </c>
      <c r="O519">
        <v>-1.48489322899486</v>
      </c>
    </row>
    <row r="520" spans="1:15" x14ac:dyDescent="0.25">
      <c r="A520">
        <v>-81.709859999999992</v>
      </c>
      <c r="B520">
        <v>287.76601425000001</v>
      </c>
      <c r="C520">
        <v>-46.591396250000003</v>
      </c>
      <c r="D520">
        <v>-275.57111350000002</v>
      </c>
      <c r="E520">
        <v>-56.955241000000001</v>
      </c>
      <c r="F520">
        <v>5.6522724999999996</v>
      </c>
      <c r="G520">
        <v>295.56296524999999</v>
      </c>
      <c r="H520">
        <v>44</v>
      </c>
      <c r="I520">
        <v>4</v>
      </c>
      <c r="J520">
        <v>1.18</v>
      </c>
      <c r="K520">
        <v>22.166934749999999</v>
      </c>
      <c r="L520">
        <v>-0.28851005008079111</v>
      </c>
      <c r="M520">
        <v>4.6296437567968631</v>
      </c>
      <c r="N520">
        <v>-2.8970824303081688</v>
      </c>
      <c r="O520">
        <v>-1.514552532882016</v>
      </c>
    </row>
    <row r="521" spans="1:15" x14ac:dyDescent="0.25">
      <c r="A521">
        <v>-115.41041375</v>
      </c>
      <c r="B521">
        <v>271.80777749999999</v>
      </c>
      <c r="C521">
        <v>-17.501155749999999</v>
      </c>
      <c r="D521">
        <v>-264.11992674999999</v>
      </c>
      <c r="E521">
        <v>-58.739272249999999</v>
      </c>
      <c r="F521">
        <v>5.0181442500000006</v>
      </c>
      <c r="G521">
        <v>279.99861149999998</v>
      </c>
      <c r="H521">
        <v>44</v>
      </c>
      <c r="I521">
        <v>8</v>
      </c>
      <c r="J521">
        <v>1.18</v>
      </c>
      <c r="K521">
        <v>21.588611749999998</v>
      </c>
      <c r="L521">
        <v>-0.74726397017924251</v>
      </c>
      <c r="M521">
        <v>4.0907502035618784</v>
      </c>
      <c r="N521">
        <v>-2.585733108062378</v>
      </c>
      <c r="O521">
        <v>-1.4867918636962221</v>
      </c>
    </row>
    <row r="522" spans="1:15" x14ac:dyDescent="0.25">
      <c r="A522">
        <v>-140.98779300000001</v>
      </c>
      <c r="B522">
        <v>254.04980449999999</v>
      </c>
      <c r="C522">
        <v>3.2516935</v>
      </c>
      <c r="D522">
        <v>-250.87678174999999</v>
      </c>
      <c r="E522">
        <v>-62.441140249999997</v>
      </c>
      <c r="F522">
        <v>4.8229172499999997</v>
      </c>
      <c r="G522">
        <v>264.79434199999997</v>
      </c>
      <c r="H522">
        <v>44</v>
      </c>
      <c r="I522">
        <v>12</v>
      </c>
      <c r="J522">
        <v>1.18</v>
      </c>
      <c r="K522">
        <v>20.99116725</v>
      </c>
      <c r="L522">
        <v>-1.0805042161123879</v>
      </c>
      <c r="M522">
        <v>3.7824764967850779</v>
      </c>
      <c r="N522">
        <v>-2.4513638189082991</v>
      </c>
      <c r="O522">
        <v>-1.5038742193991941</v>
      </c>
    </row>
    <row r="523" spans="1:15" x14ac:dyDescent="0.25">
      <c r="A523">
        <v>-194.41000775000001</v>
      </c>
      <c r="B523">
        <v>267.93122875</v>
      </c>
      <c r="C523">
        <v>21.316543500000002</v>
      </c>
      <c r="D523">
        <v>-278.93652350000002</v>
      </c>
      <c r="E523">
        <v>-79.300247499999998</v>
      </c>
      <c r="F523">
        <v>4.9694174999999996</v>
      </c>
      <c r="G523">
        <v>284.91998274999997</v>
      </c>
      <c r="H523">
        <v>44</v>
      </c>
      <c r="I523">
        <v>16</v>
      </c>
      <c r="J523">
        <v>1.18</v>
      </c>
      <c r="K523">
        <v>21.782826750000002</v>
      </c>
      <c r="L523">
        <v>-1.370805885956671</v>
      </c>
      <c r="M523">
        <v>3.4750714581036179</v>
      </c>
      <c r="N523">
        <v>-2.3144568358393949</v>
      </c>
      <c r="O523">
        <v>-1.5355261238481399</v>
      </c>
    </row>
    <row r="524" spans="1:15" x14ac:dyDescent="0.25">
      <c r="A524">
        <v>-247.83222574999999</v>
      </c>
      <c r="B524">
        <v>277.21331049999998</v>
      </c>
      <c r="C524">
        <v>36.127332500000001</v>
      </c>
      <c r="D524">
        <v>-309.9683225</v>
      </c>
      <c r="E524">
        <v>-102.13586599999999</v>
      </c>
      <c r="F524">
        <v>5.5544434999999996</v>
      </c>
      <c r="G524">
        <v>303.84530625000002</v>
      </c>
      <c r="H524">
        <v>44</v>
      </c>
      <c r="I524">
        <v>20</v>
      </c>
      <c r="J524">
        <v>1.18</v>
      </c>
      <c r="K524">
        <v>22.485033000000001</v>
      </c>
      <c r="L524">
        <v>-1.6065069641680929</v>
      </c>
      <c r="M524">
        <v>3.32209761698617</v>
      </c>
      <c r="N524">
        <v>-2.297018456979675</v>
      </c>
      <c r="O524">
        <v>-1.609356825761582</v>
      </c>
    </row>
    <row r="525" spans="1:15" x14ac:dyDescent="0.25">
      <c r="A525">
        <v>-302.15531175000001</v>
      </c>
      <c r="B525">
        <v>278.77181999999999</v>
      </c>
      <c r="C525">
        <v>50.262212750000003</v>
      </c>
      <c r="D525">
        <v>-341.08753999999999</v>
      </c>
      <c r="E525">
        <v>-127.06772049999999</v>
      </c>
      <c r="F525">
        <v>6.0895317499999999</v>
      </c>
      <c r="G525">
        <v>317.2890625</v>
      </c>
      <c r="H525">
        <v>44</v>
      </c>
      <c r="I525">
        <v>24</v>
      </c>
      <c r="J525">
        <v>1.18</v>
      </c>
      <c r="K525">
        <v>22.966415250000001</v>
      </c>
      <c r="L525">
        <v>-1.8114429835099299</v>
      </c>
      <c r="M525">
        <v>3.18617964985543</v>
      </c>
      <c r="N525">
        <v>-2.284117384309043</v>
      </c>
      <c r="O525">
        <v>-1.684471573491219</v>
      </c>
    </row>
    <row r="526" spans="1:15" x14ac:dyDescent="0.25">
      <c r="A526">
        <v>-359.49635325000003</v>
      </c>
      <c r="B526">
        <v>277.26142874999999</v>
      </c>
      <c r="C526">
        <v>61.239860499999999</v>
      </c>
      <c r="D526">
        <v>-376.57743075000002</v>
      </c>
      <c r="E526">
        <v>-159.04650874999999</v>
      </c>
      <c r="F526">
        <v>6.04125025</v>
      </c>
      <c r="G526">
        <v>331.53306550000002</v>
      </c>
      <c r="H526">
        <v>44</v>
      </c>
      <c r="I526">
        <v>28</v>
      </c>
      <c r="J526">
        <v>1.18</v>
      </c>
      <c r="K526">
        <v>23.4878815</v>
      </c>
      <c r="L526">
        <v>-2.0132309521732812</v>
      </c>
      <c r="M526">
        <v>3.1286453834048058</v>
      </c>
      <c r="N526">
        <v>-2.3474684511899269</v>
      </c>
      <c r="O526">
        <v>-1.7899831333295979</v>
      </c>
    </row>
    <row r="527" spans="1:15" x14ac:dyDescent="0.25">
      <c r="A527">
        <v>-397.33333599999997</v>
      </c>
      <c r="B527">
        <v>255.87740700000001</v>
      </c>
      <c r="C527">
        <v>65.300062999999994</v>
      </c>
      <c r="D527">
        <v>-395.02167500000002</v>
      </c>
      <c r="E527">
        <v>-188.03702899999999</v>
      </c>
      <c r="F527">
        <v>5.9429904999999996</v>
      </c>
      <c r="G527">
        <v>326.41162874999998</v>
      </c>
      <c r="H527">
        <v>44</v>
      </c>
      <c r="I527">
        <v>32</v>
      </c>
      <c r="J527">
        <v>1.18</v>
      </c>
      <c r="K527">
        <v>23.305895750000001</v>
      </c>
      <c r="L527">
        <v>-2.2228089906165942</v>
      </c>
      <c r="M527">
        <v>3.1274116992956889</v>
      </c>
      <c r="N527">
        <v>-2.4718927536905628</v>
      </c>
      <c r="O527">
        <v>-1.9320879869748051</v>
      </c>
    </row>
    <row r="528" spans="1:15" x14ac:dyDescent="0.25">
      <c r="A528">
        <v>-396.25228874999999</v>
      </c>
      <c r="B528">
        <v>219.40427775000001</v>
      </c>
      <c r="C528">
        <v>63.900260750000001</v>
      </c>
      <c r="D528">
        <v>-384.96911625000001</v>
      </c>
      <c r="E528">
        <v>-200.792858</v>
      </c>
      <c r="F528">
        <v>5.6514924999999998</v>
      </c>
      <c r="G528">
        <v>300.88447574999998</v>
      </c>
      <c r="H528">
        <v>44</v>
      </c>
      <c r="I528">
        <v>36</v>
      </c>
      <c r="J528">
        <v>1.18</v>
      </c>
      <c r="K528">
        <v>22.369481499999999</v>
      </c>
      <c r="L528">
        <v>-2.4242628964756001</v>
      </c>
      <c r="M528">
        <v>3.18402770936784</v>
      </c>
      <c r="N528">
        <v>-2.643055873662119</v>
      </c>
      <c r="O528">
        <v>-2.0876435917219749</v>
      </c>
    </row>
    <row r="529" spans="1:15" x14ac:dyDescent="0.25">
      <c r="A529">
        <v>-403.32418825000002</v>
      </c>
      <c r="B529">
        <v>187.75869</v>
      </c>
      <c r="C529">
        <v>59.109502749999997</v>
      </c>
      <c r="D529">
        <v>-385.88696299999998</v>
      </c>
      <c r="E529">
        <v>-223.18247249999999</v>
      </c>
      <c r="F529">
        <v>5.0661602500000003</v>
      </c>
      <c r="G529">
        <v>283.95971674999998</v>
      </c>
      <c r="H529">
        <v>44</v>
      </c>
      <c r="I529">
        <v>40</v>
      </c>
      <c r="J529">
        <v>1.18</v>
      </c>
      <c r="K529">
        <v>21.741670500000001</v>
      </c>
      <c r="L529">
        <v>-2.697707602544567</v>
      </c>
      <c r="M529">
        <v>3.3465628445470759</v>
      </c>
      <c r="N529">
        <v>-2.958638043599318</v>
      </c>
      <c r="O529">
        <v>-2.3316160008569948</v>
      </c>
    </row>
    <row r="530" spans="1:15" x14ac:dyDescent="0.25">
      <c r="A530">
        <v>-398.41439800000001</v>
      </c>
      <c r="B530">
        <v>157.7369995</v>
      </c>
      <c r="C530">
        <v>53.874911500000003</v>
      </c>
      <c r="D530">
        <v>-379.37465650000001</v>
      </c>
      <c r="E530">
        <v>-236.56270975000001</v>
      </c>
      <c r="F530">
        <v>4.9687345000000001</v>
      </c>
      <c r="G530">
        <v>266.79489875000002</v>
      </c>
      <c r="H530">
        <v>44</v>
      </c>
      <c r="I530">
        <v>44</v>
      </c>
      <c r="J530">
        <v>1.18</v>
      </c>
      <c r="K530">
        <v>21.065899000000002</v>
      </c>
      <c r="L530">
        <v>-2.9691820080051849</v>
      </c>
      <c r="M530">
        <v>3.526028386985995</v>
      </c>
      <c r="N530">
        <v>-3.304484708567446</v>
      </c>
      <c r="O530">
        <v>-2.5856246227714168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R1</vt:lpstr>
      <vt:lpstr>R2</vt:lpstr>
      <vt:lpstr>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2026-10-07T14:16:02Z</dcterms:modified>
</cp:coreProperties>
</file>