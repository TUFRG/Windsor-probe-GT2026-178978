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2/"/>
    </mc:Choice>
  </mc:AlternateContent>
  <xr:revisionPtr revIDLastSave="18" documentId="13_ncr:1_{29BB0FC9-78D2-45A7-B526-7110A7A8D41D}" xr6:coauthVersionLast="47" xr6:coauthVersionMax="47" xr10:uidLastSave="{F68B8C99-5B34-4F61-94E6-4977D9D12BF6}"/>
  <bookViews>
    <workbookView xWindow="-120" yWindow="-120" windowWidth="29040" windowHeight="15720" xr2:uid="{00000000-000D-0000-FFFF-FFFF00000000}"/>
  </bookViews>
  <sheets>
    <sheet name="Sheet1" sheetId="1" r:id="rId1"/>
    <sheet name="R1" sheetId="2" r:id="rId2"/>
    <sheet name="R2" sheetId="3" r:id="rId3"/>
    <sheet name="R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K77" i="1"/>
  <c r="L77" i="1"/>
  <c r="M77" i="1"/>
  <c r="N77" i="1"/>
  <c r="K78" i="1"/>
  <c r="L78" i="1"/>
  <c r="M78" i="1"/>
  <c r="N78" i="1"/>
  <c r="K79" i="1"/>
  <c r="L79" i="1"/>
  <c r="M79" i="1"/>
  <c r="N79" i="1"/>
  <c r="K80" i="1"/>
  <c r="L80" i="1"/>
  <c r="M80" i="1"/>
  <c r="N80" i="1"/>
  <c r="K81" i="1"/>
  <c r="L81" i="1"/>
  <c r="M81" i="1"/>
  <c r="N81" i="1"/>
  <c r="K82" i="1"/>
  <c r="L82" i="1"/>
  <c r="M82" i="1"/>
  <c r="N82" i="1"/>
  <c r="K83" i="1"/>
  <c r="L83" i="1"/>
  <c r="M83" i="1"/>
  <c r="N83" i="1"/>
  <c r="K84" i="1"/>
  <c r="L84" i="1"/>
  <c r="M84" i="1"/>
  <c r="N84" i="1"/>
  <c r="K85" i="1"/>
  <c r="L85" i="1"/>
  <c r="M85" i="1"/>
  <c r="N85" i="1"/>
  <c r="K86" i="1"/>
  <c r="L86" i="1"/>
  <c r="M86" i="1"/>
  <c r="N86" i="1"/>
  <c r="K87" i="1"/>
  <c r="L87" i="1"/>
  <c r="M87" i="1"/>
  <c r="N87" i="1"/>
  <c r="K88" i="1"/>
  <c r="L88" i="1"/>
  <c r="M88" i="1"/>
  <c r="N88" i="1"/>
  <c r="K89" i="1"/>
  <c r="L89" i="1"/>
  <c r="M89" i="1"/>
  <c r="N89" i="1"/>
  <c r="K90" i="1"/>
  <c r="L90" i="1"/>
  <c r="M90" i="1"/>
  <c r="N90" i="1"/>
  <c r="K91" i="1"/>
  <c r="L91" i="1"/>
  <c r="M91" i="1"/>
  <c r="N91" i="1"/>
  <c r="K92" i="1"/>
  <c r="L92" i="1"/>
  <c r="M92" i="1"/>
  <c r="N92" i="1"/>
  <c r="K93" i="1"/>
  <c r="L93" i="1"/>
  <c r="M93" i="1"/>
  <c r="N93" i="1"/>
  <c r="K94" i="1"/>
  <c r="L94" i="1"/>
  <c r="M94" i="1"/>
  <c r="N94" i="1"/>
  <c r="K95" i="1"/>
  <c r="L95" i="1"/>
  <c r="M95" i="1"/>
  <c r="N95" i="1"/>
  <c r="K96" i="1"/>
  <c r="L96" i="1"/>
  <c r="M96" i="1"/>
  <c r="N96" i="1"/>
  <c r="K97" i="1"/>
  <c r="L97" i="1"/>
  <c r="M97" i="1"/>
  <c r="N97" i="1"/>
  <c r="K98" i="1"/>
  <c r="L98" i="1"/>
  <c r="M98" i="1"/>
  <c r="N98" i="1"/>
  <c r="K99" i="1"/>
  <c r="L99" i="1"/>
  <c r="M99" i="1"/>
  <c r="N99" i="1"/>
  <c r="K100" i="1"/>
  <c r="L100" i="1"/>
  <c r="M100" i="1"/>
  <c r="N100" i="1"/>
  <c r="K101" i="1"/>
  <c r="L101" i="1"/>
  <c r="M101" i="1"/>
  <c r="N101" i="1"/>
  <c r="K102" i="1"/>
  <c r="L102" i="1"/>
  <c r="M102" i="1"/>
  <c r="N102" i="1"/>
  <c r="K103" i="1"/>
  <c r="L103" i="1"/>
  <c r="M103" i="1"/>
  <c r="N103" i="1"/>
  <c r="K104" i="1"/>
  <c r="L104" i="1"/>
  <c r="M104" i="1"/>
  <c r="N104" i="1"/>
  <c r="K105" i="1"/>
  <c r="L105" i="1"/>
  <c r="M105" i="1"/>
  <c r="N105" i="1"/>
  <c r="K106" i="1"/>
  <c r="L106" i="1"/>
  <c r="M106" i="1"/>
  <c r="N106" i="1"/>
  <c r="K107" i="1"/>
  <c r="L107" i="1"/>
  <c r="M107" i="1"/>
  <c r="N107" i="1"/>
  <c r="K108" i="1"/>
  <c r="L108" i="1"/>
  <c r="M108" i="1"/>
  <c r="N108" i="1"/>
  <c r="K109" i="1"/>
  <c r="L109" i="1"/>
  <c r="M109" i="1"/>
  <c r="N109" i="1"/>
  <c r="K110" i="1"/>
  <c r="L110" i="1"/>
  <c r="M110" i="1"/>
  <c r="N110" i="1"/>
  <c r="K111" i="1"/>
  <c r="L111" i="1"/>
  <c r="M111" i="1"/>
  <c r="N111" i="1"/>
  <c r="K112" i="1"/>
  <c r="L112" i="1"/>
  <c r="M112" i="1"/>
  <c r="N112" i="1"/>
  <c r="K113" i="1"/>
  <c r="L113" i="1"/>
  <c r="M113" i="1"/>
  <c r="N113" i="1"/>
  <c r="K114" i="1"/>
  <c r="L114" i="1"/>
  <c r="M114" i="1"/>
  <c r="N114" i="1"/>
  <c r="K115" i="1"/>
  <c r="L115" i="1"/>
  <c r="M115" i="1"/>
  <c r="N115" i="1"/>
  <c r="K116" i="1"/>
  <c r="L116" i="1"/>
  <c r="M116" i="1"/>
  <c r="N116" i="1"/>
  <c r="K117" i="1"/>
  <c r="L117" i="1"/>
  <c r="M117" i="1"/>
  <c r="N117" i="1"/>
  <c r="K118" i="1"/>
  <c r="L118" i="1"/>
  <c r="M118" i="1"/>
  <c r="N118" i="1"/>
  <c r="K119" i="1"/>
  <c r="L119" i="1"/>
  <c r="M119" i="1"/>
  <c r="N119" i="1"/>
  <c r="K120" i="1"/>
  <c r="L120" i="1"/>
  <c r="M120" i="1"/>
  <c r="N120" i="1"/>
  <c r="K121" i="1"/>
  <c r="L121" i="1"/>
  <c r="M121" i="1"/>
  <c r="N121" i="1"/>
  <c r="K122" i="1"/>
  <c r="L122" i="1"/>
  <c r="M122" i="1"/>
  <c r="N122" i="1"/>
  <c r="K123" i="1"/>
  <c r="L123" i="1"/>
  <c r="M123" i="1"/>
  <c r="N123" i="1"/>
  <c r="K124" i="1"/>
  <c r="L124" i="1"/>
  <c r="M124" i="1"/>
  <c r="N124" i="1"/>
  <c r="K125" i="1"/>
  <c r="L125" i="1"/>
  <c r="M125" i="1"/>
  <c r="N125" i="1"/>
  <c r="K126" i="1"/>
  <c r="L126" i="1"/>
  <c r="M126" i="1"/>
  <c r="N126" i="1"/>
  <c r="K127" i="1"/>
  <c r="L127" i="1"/>
  <c r="M127" i="1"/>
  <c r="N127" i="1"/>
  <c r="K128" i="1"/>
  <c r="L128" i="1"/>
  <c r="M128" i="1"/>
  <c r="N128" i="1"/>
  <c r="K129" i="1"/>
  <c r="L129" i="1"/>
  <c r="M129" i="1"/>
  <c r="N129" i="1"/>
  <c r="K130" i="1"/>
  <c r="L130" i="1"/>
  <c r="M130" i="1"/>
  <c r="N130" i="1"/>
  <c r="K131" i="1"/>
  <c r="L131" i="1"/>
  <c r="M131" i="1"/>
  <c r="N131" i="1"/>
  <c r="K132" i="1"/>
  <c r="L132" i="1"/>
  <c r="M132" i="1"/>
  <c r="N132" i="1"/>
  <c r="K133" i="1"/>
  <c r="L133" i="1"/>
  <c r="M133" i="1"/>
  <c r="N133" i="1"/>
  <c r="K134" i="1"/>
  <c r="L134" i="1"/>
  <c r="M134" i="1"/>
  <c r="N134" i="1"/>
  <c r="K135" i="1"/>
  <c r="L135" i="1"/>
  <c r="M135" i="1"/>
  <c r="N135" i="1"/>
  <c r="K136" i="1"/>
  <c r="L136" i="1"/>
  <c r="M136" i="1"/>
  <c r="N136" i="1"/>
  <c r="K137" i="1"/>
  <c r="L137" i="1"/>
  <c r="M137" i="1"/>
  <c r="N137" i="1"/>
  <c r="K138" i="1"/>
  <c r="L138" i="1"/>
  <c r="M138" i="1"/>
  <c r="N138" i="1"/>
  <c r="K139" i="1"/>
  <c r="L139" i="1"/>
  <c r="M139" i="1"/>
  <c r="N139" i="1"/>
  <c r="K140" i="1"/>
  <c r="L140" i="1"/>
  <c r="M140" i="1"/>
  <c r="N140" i="1"/>
  <c r="K141" i="1"/>
  <c r="L141" i="1"/>
  <c r="M141" i="1"/>
  <c r="N141" i="1"/>
  <c r="K142" i="1"/>
  <c r="L142" i="1"/>
  <c r="M142" i="1"/>
  <c r="N142" i="1"/>
  <c r="K143" i="1"/>
  <c r="L143" i="1"/>
  <c r="M143" i="1"/>
  <c r="N143" i="1"/>
  <c r="K144" i="1"/>
  <c r="L144" i="1"/>
  <c r="M144" i="1"/>
  <c r="N144" i="1"/>
  <c r="K145" i="1"/>
  <c r="L145" i="1"/>
  <c r="M145" i="1"/>
  <c r="N145" i="1"/>
  <c r="K146" i="1"/>
  <c r="L146" i="1"/>
  <c r="M146" i="1"/>
  <c r="N146" i="1"/>
  <c r="K147" i="1"/>
  <c r="L147" i="1"/>
  <c r="M147" i="1"/>
  <c r="N147" i="1"/>
  <c r="K148" i="1"/>
  <c r="L148" i="1"/>
  <c r="M148" i="1"/>
  <c r="N148" i="1"/>
  <c r="K149" i="1"/>
  <c r="L149" i="1"/>
  <c r="M149" i="1"/>
  <c r="N149" i="1"/>
  <c r="K150" i="1"/>
  <c r="L150" i="1"/>
  <c r="M150" i="1"/>
  <c r="N150" i="1"/>
  <c r="K151" i="1"/>
  <c r="L151" i="1"/>
  <c r="M151" i="1"/>
  <c r="N151" i="1"/>
  <c r="K152" i="1"/>
  <c r="L152" i="1"/>
  <c r="M152" i="1"/>
  <c r="N152" i="1"/>
  <c r="K153" i="1"/>
  <c r="L153" i="1"/>
  <c r="M153" i="1"/>
  <c r="N153" i="1"/>
  <c r="K154" i="1"/>
  <c r="L154" i="1"/>
  <c r="M154" i="1"/>
  <c r="N154" i="1"/>
  <c r="K155" i="1"/>
  <c r="L155" i="1"/>
  <c r="M155" i="1"/>
  <c r="N155" i="1"/>
  <c r="K156" i="1"/>
  <c r="L156" i="1"/>
  <c r="M156" i="1"/>
  <c r="N156" i="1"/>
  <c r="K157" i="1"/>
  <c r="L157" i="1"/>
  <c r="M157" i="1"/>
  <c r="N157" i="1"/>
  <c r="K158" i="1"/>
  <c r="L158" i="1"/>
  <c r="M158" i="1"/>
  <c r="N158" i="1"/>
  <c r="K159" i="1"/>
  <c r="L159" i="1"/>
  <c r="M159" i="1"/>
  <c r="N159" i="1"/>
  <c r="K160" i="1"/>
  <c r="L160" i="1"/>
  <c r="M160" i="1"/>
  <c r="N160" i="1"/>
  <c r="K161" i="1"/>
  <c r="L161" i="1"/>
  <c r="M161" i="1"/>
  <c r="N161" i="1"/>
  <c r="K162" i="1"/>
  <c r="L162" i="1"/>
  <c r="M162" i="1"/>
  <c r="N162" i="1"/>
  <c r="K163" i="1"/>
  <c r="L163" i="1"/>
  <c r="M163" i="1"/>
  <c r="N163" i="1"/>
  <c r="K164" i="1"/>
  <c r="L164" i="1"/>
  <c r="M164" i="1"/>
  <c r="N164" i="1"/>
  <c r="K165" i="1"/>
  <c r="L165" i="1"/>
  <c r="M165" i="1"/>
  <c r="N165" i="1"/>
  <c r="K166" i="1"/>
  <c r="L166" i="1"/>
  <c r="M166" i="1"/>
  <c r="N166" i="1"/>
  <c r="K167" i="1"/>
  <c r="L167" i="1"/>
  <c r="M167" i="1"/>
  <c r="N167" i="1"/>
  <c r="K168" i="1"/>
  <c r="L168" i="1"/>
  <c r="M168" i="1"/>
  <c r="N168" i="1"/>
  <c r="K169" i="1"/>
  <c r="L169" i="1"/>
  <c r="M169" i="1"/>
  <c r="N169" i="1"/>
  <c r="K170" i="1"/>
  <c r="L170" i="1"/>
  <c r="M170" i="1"/>
  <c r="N170" i="1"/>
  <c r="K171" i="1"/>
  <c r="L171" i="1"/>
  <c r="M171" i="1"/>
  <c r="N171" i="1"/>
  <c r="K172" i="1"/>
  <c r="L172" i="1"/>
  <c r="M172" i="1"/>
  <c r="N172" i="1"/>
  <c r="K173" i="1"/>
  <c r="L173" i="1"/>
  <c r="M173" i="1"/>
  <c r="N173" i="1"/>
  <c r="K174" i="1"/>
  <c r="L174" i="1"/>
  <c r="M174" i="1"/>
  <c r="N174" i="1"/>
  <c r="K175" i="1"/>
  <c r="L175" i="1"/>
  <c r="M175" i="1"/>
  <c r="N175" i="1"/>
  <c r="K176" i="1"/>
  <c r="L176" i="1"/>
  <c r="M176" i="1"/>
  <c r="N176" i="1"/>
  <c r="K177" i="1"/>
  <c r="L177" i="1"/>
  <c r="M177" i="1"/>
  <c r="N177" i="1"/>
  <c r="K178" i="1"/>
  <c r="L178" i="1"/>
  <c r="M178" i="1"/>
  <c r="N178" i="1"/>
  <c r="K179" i="1"/>
  <c r="L179" i="1"/>
  <c r="M179" i="1"/>
  <c r="N179" i="1"/>
  <c r="K180" i="1"/>
  <c r="L180" i="1"/>
  <c r="M180" i="1"/>
  <c r="N180" i="1"/>
  <c r="K181" i="1"/>
  <c r="L181" i="1"/>
  <c r="M181" i="1"/>
  <c r="N181" i="1"/>
  <c r="K182" i="1"/>
  <c r="L182" i="1"/>
  <c r="M182" i="1"/>
  <c r="N182" i="1"/>
  <c r="K183" i="1"/>
  <c r="L183" i="1"/>
  <c r="M183" i="1"/>
  <c r="N183" i="1"/>
  <c r="K184" i="1"/>
  <c r="L184" i="1"/>
  <c r="M184" i="1"/>
  <c r="N184" i="1"/>
  <c r="K185" i="1"/>
  <c r="L185" i="1"/>
  <c r="M185" i="1"/>
  <c r="N185" i="1"/>
  <c r="K186" i="1"/>
  <c r="L186" i="1"/>
  <c r="M186" i="1"/>
  <c r="N186" i="1"/>
  <c r="K187" i="1"/>
  <c r="L187" i="1"/>
  <c r="M187" i="1"/>
  <c r="N187" i="1"/>
  <c r="K188" i="1"/>
  <c r="L188" i="1"/>
  <c r="M188" i="1"/>
  <c r="N188" i="1"/>
  <c r="K189" i="1"/>
  <c r="L189" i="1"/>
  <c r="M189" i="1"/>
  <c r="N189" i="1"/>
  <c r="K190" i="1"/>
  <c r="L190" i="1"/>
  <c r="M190" i="1"/>
  <c r="N190" i="1"/>
  <c r="K191" i="1"/>
  <c r="L191" i="1"/>
  <c r="M191" i="1"/>
  <c r="N191" i="1"/>
  <c r="K192" i="1"/>
  <c r="L192" i="1"/>
  <c r="M192" i="1"/>
  <c r="N192" i="1"/>
  <c r="K193" i="1"/>
  <c r="L193" i="1"/>
  <c r="M193" i="1"/>
  <c r="N193" i="1"/>
  <c r="K194" i="1"/>
  <c r="L194" i="1"/>
  <c r="M194" i="1"/>
  <c r="N194" i="1"/>
  <c r="K195" i="1"/>
  <c r="L195" i="1"/>
  <c r="M195" i="1"/>
  <c r="N195" i="1"/>
  <c r="K196" i="1"/>
  <c r="L196" i="1"/>
  <c r="M196" i="1"/>
  <c r="N196" i="1"/>
  <c r="K197" i="1"/>
  <c r="L197" i="1"/>
  <c r="M197" i="1"/>
  <c r="N197" i="1"/>
  <c r="K198" i="1"/>
  <c r="L198" i="1"/>
  <c r="M198" i="1"/>
  <c r="N198" i="1"/>
  <c r="K199" i="1"/>
  <c r="L199" i="1"/>
  <c r="M199" i="1"/>
  <c r="N199" i="1"/>
  <c r="K200" i="1"/>
  <c r="L200" i="1"/>
  <c r="M200" i="1"/>
  <c r="N200" i="1"/>
  <c r="K201" i="1"/>
  <c r="L201" i="1"/>
  <c r="M201" i="1"/>
  <c r="N201" i="1"/>
  <c r="K202" i="1"/>
  <c r="L202" i="1"/>
  <c r="M202" i="1"/>
  <c r="N202" i="1"/>
  <c r="K203" i="1"/>
  <c r="L203" i="1"/>
  <c r="M203" i="1"/>
  <c r="N203" i="1"/>
  <c r="K204" i="1"/>
  <c r="L204" i="1"/>
  <c r="M204" i="1"/>
  <c r="N204" i="1"/>
  <c r="K205" i="1"/>
  <c r="L205" i="1"/>
  <c r="M205" i="1"/>
  <c r="N205" i="1"/>
  <c r="K206" i="1"/>
  <c r="L206" i="1"/>
  <c r="M206" i="1"/>
  <c r="N206" i="1"/>
  <c r="K207" i="1"/>
  <c r="L207" i="1"/>
  <c r="M207" i="1"/>
  <c r="N207" i="1"/>
  <c r="K208" i="1"/>
  <c r="L208" i="1"/>
  <c r="M208" i="1"/>
  <c r="N208" i="1"/>
  <c r="K209" i="1"/>
  <c r="L209" i="1"/>
  <c r="M209" i="1"/>
  <c r="N209" i="1"/>
  <c r="K210" i="1"/>
  <c r="L210" i="1"/>
  <c r="M210" i="1"/>
  <c r="N210" i="1"/>
  <c r="K211" i="1"/>
  <c r="L211" i="1"/>
  <c r="M211" i="1"/>
  <c r="N211" i="1"/>
  <c r="K212" i="1"/>
  <c r="L212" i="1"/>
  <c r="M212" i="1"/>
  <c r="N212" i="1"/>
  <c r="K213" i="1"/>
  <c r="L213" i="1"/>
  <c r="M213" i="1"/>
  <c r="N213" i="1"/>
  <c r="K214" i="1"/>
  <c r="L214" i="1"/>
  <c r="M214" i="1"/>
  <c r="N214" i="1"/>
  <c r="K215" i="1"/>
  <c r="L215" i="1"/>
  <c r="M215" i="1"/>
  <c r="N215" i="1"/>
  <c r="K216" i="1"/>
  <c r="L216" i="1"/>
  <c r="M216" i="1"/>
  <c r="N216" i="1"/>
  <c r="K217" i="1"/>
  <c r="L217" i="1"/>
  <c r="M217" i="1"/>
  <c r="N217" i="1"/>
  <c r="K218" i="1"/>
  <c r="L218" i="1"/>
  <c r="M218" i="1"/>
  <c r="N218" i="1"/>
  <c r="K219" i="1"/>
  <c r="L219" i="1"/>
  <c r="M219" i="1"/>
  <c r="N219" i="1"/>
  <c r="K220" i="1"/>
  <c r="L220" i="1"/>
  <c r="M220" i="1"/>
  <c r="N220" i="1"/>
  <c r="K221" i="1"/>
  <c r="L221" i="1"/>
  <c r="M221" i="1"/>
  <c r="N221" i="1"/>
  <c r="K222" i="1"/>
  <c r="L222" i="1"/>
  <c r="M222" i="1"/>
  <c r="N222" i="1"/>
  <c r="K223" i="1"/>
  <c r="L223" i="1"/>
  <c r="M223" i="1"/>
  <c r="N223" i="1"/>
  <c r="K224" i="1"/>
  <c r="L224" i="1"/>
  <c r="M224" i="1"/>
  <c r="N224" i="1"/>
  <c r="K225" i="1"/>
  <c r="L225" i="1"/>
  <c r="M225" i="1"/>
  <c r="N225" i="1"/>
  <c r="K226" i="1"/>
  <c r="L226" i="1"/>
  <c r="M226" i="1"/>
  <c r="N226" i="1"/>
  <c r="K227" i="1"/>
  <c r="L227" i="1"/>
  <c r="M227" i="1"/>
  <c r="N227" i="1"/>
  <c r="K228" i="1"/>
  <c r="L228" i="1"/>
  <c r="M228" i="1"/>
  <c r="N228" i="1"/>
  <c r="K229" i="1"/>
  <c r="L229" i="1"/>
  <c r="M229" i="1"/>
  <c r="N229" i="1"/>
  <c r="K230" i="1"/>
  <c r="L230" i="1"/>
  <c r="M230" i="1"/>
  <c r="N230" i="1"/>
  <c r="K231" i="1"/>
  <c r="L231" i="1"/>
  <c r="M231" i="1"/>
  <c r="N231" i="1"/>
  <c r="K232" i="1"/>
  <c r="L232" i="1"/>
  <c r="M232" i="1"/>
  <c r="N232" i="1"/>
  <c r="K233" i="1"/>
  <c r="L233" i="1"/>
  <c r="M233" i="1"/>
  <c r="N233" i="1"/>
  <c r="K234" i="1"/>
  <c r="L234" i="1"/>
  <c r="M234" i="1"/>
  <c r="N234" i="1"/>
  <c r="K235" i="1"/>
  <c r="L235" i="1"/>
  <c r="M235" i="1"/>
  <c r="N235" i="1"/>
  <c r="K236" i="1"/>
  <c r="L236" i="1"/>
  <c r="M236" i="1"/>
  <c r="N236" i="1"/>
  <c r="K237" i="1"/>
  <c r="L237" i="1"/>
  <c r="M237" i="1"/>
  <c r="N237" i="1"/>
  <c r="K238" i="1"/>
  <c r="L238" i="1"/>
  <c r="M238" i="1"/>
  <c r="N238" i="1"/>
  <c r="K239" i="1"/>
  <c r="L239" i="1"/>
  <c r="M239" i="1"/>
  <c r="N239" i="1"/>
  <c r="K240" i="1"/>
  <c r="L240" i="1"/>
  <c r="M240" i="1"/>
  <c r="N240" i="1"/>
  <c r="K241" i="1"/>
  <c r="L241" i="1"/>
  <c r="M241" i="1"/>
  <c r="N241" i="1"/>
  <c r="K242" i="1"/>
  <c r="L242" i="1"/>
  <c r="M242" i="1"/>
  <c r="N242" i="1"/>
  <c r="K243" i="1"/>
  <c r="L243" i="1"/>
  <c r="M243" i="1"/>
  <c r="N243" i="1"/>
  <c r="K244" i="1"/>
  <c r="L244" i="1"/>
  <c r="M244" i="1"/>
  <c r="N244" i="1"/>
  <c r="K245" i="1"/>
  <c r="L245" i="1"/>
  <c r="M245" i="1"/>
  <c r="N245" i="1"/>
  <c r="K246" i="1"/>
  <c r="L246" i="1"/>
  <c r="M246" i="1"/>
  <c r="N246" i="1"/>
  <c r="K247" i="1"/>
  <c r="L247" i="1"/>
  <c r="M247" i="1"/>
  <c r="N247" i="1"/>
  <c r="K248" i="1"/>
  <c r="L248" i="1"/>
  <c r="M248" i="1"/>
  <c r="N248" i="1"/>
  <c r="K249" i="1"/>
  <c r="L249" i="1"/>
  <c r="M249" i="1"/>
  <c r="N249" i="1"/>
  <c r="K250" i="1"/>
  <c r="L250" i="1"/>
  <c r="M250" i="1"/>
  <c r="N250" i="1"/>
  <c r="K251" i="1"/>
  <c r="L251" i="1"/>
  <c r="M251" i="1"/>
  <c r="N251" i="1"/>
  <c r="K252" i="1"/>
  <c r="L252" i="1"/>
  <c r="M252" i="1"/>
  <c r="N252" i="1"/>
  <c r="K253" i="1"/>
  <c r="L253" i="1"/>
  <c r="M253" i="1"/>
  <c r="N253" i="1"/>
  <c r="K254" i="1"/>
  <c r="L254" i="1"/>
  <c r="M254" i="1"/>
  <c r="N254" i="1"/>
  <c r="K255" i="1"/>
  <c r="L255" i="1"/>
  <c r="M255" i="1"/>
  <c r="N255" i="1"/>
  <c r="K256" i="1"/>
  <c r="L256" i="1"/>
  <c r="M256" i="1"/>
  <c r="N256" i="1"/>
  <c r="K257" i="1"/>
  <c r="L257" i="1"/>
  <c r="M257" i="1"/>
  <c r="N257" i="1"/>
  <c r="K258" i="1"/>
  <c r="L258" i="1"/>
  <c r="M258" i="1"/>
  <c r="N258" i="1"/>
  <c r="K259" i="1"/>
  <c r="L259" i="1"/>
  <c r="M259" i="1"/>
  <c r="N259" i="1"/>
  <c r="K260" i="1"/>
  <c r="L260" i="1"/>
  <c r="M260" i="1"/>
  <c r="N260" i="1"/>
  <c r="K261" i="1"/>
  <c r="L261" i="1"/>
  <c r="M261" i="1"/>
  <c r="N261" i="1"/>
  <c r="K262" i="1"/>
  <c r="L262" i="1"/>
  <c r="M262" i="1"/>
  <c r="N262" i="1"/>
  <c r="K263" i="1"/>
  <c r="L263" i="1"/>
  <c r="M263" i="1"/>
  <c r="N263" i="1"/>
  <c r="K264" i="1"/>
  <c r="L264" i="1"/>
  <c r="M264" i="1"/>
  <c r="N264" i="1"/>
  <c r="K265" i="1"/>
  <c r="L265" i="1"/>
  <c r="M265" i="1"/>
  <c r="N265" i="1"/>
  <c r="K266" i="1"/>
  <c r="L266" i="1"/>
  <c r="M266" i="1"/>
  <c r="N266" i="1"/>
  <c r="K267" i="1"/>
  <c r="L267" i="1"/>
  <c r="M267" i="1"/>
  <c r="N267" i="1"/>
  <c r="K268" i="1"/>
  <c r="L268" i="1"/>
  <c r="M268" i="1"/>
  <c r="N268" i="1"/>
  <c r="K269" i="1"/>
  <c r="L269" i="1"/>
  <c r="M269" i="1"/>
  <c r="N269" i="1"/>
  <c r="K270" i="1"/>
  <c r="L270" i="1"/>
  <c r="M270" i="1"/>
  <c r="N270" i="1"/>
  <c r="K271" i="1"/>
  <c r="L271" i="1"/>
  <c r="M271" i="1"/>
  <c r="N271" i="1"/>
  <c r="K272" i="1"/>
  <c r="L272" i="1"/>
  <c r="M272" i="1"/>
  <c r="N272" i="1"/>
  <c r="K273" i="1"/>
  <c r="L273" i="1"/>
  <c r="M273" i="1"/>
  <c r="N273" i="1"/>
  <c r="K274" i="1"/>
  <c r="L274" i="1"/>
  <c r="M274" i="1"/>
  <c r="N274" i="1"/>
  <c r="K275" i="1"/>
  <c r="L275" i="1"/>
  <c r="M275" i="1"/>
  <c r="N275" i="1"/>
  <c r="K276" i="1"/>
  <c r="L276" i="1"/>
  <c r="M276" i="1"/>
  <c r="N276" i="1"/>
  <c r="K277" i="1"/>
  <c r="L277" i="1"/>
  <c r="M277" i="1"/>
  <c r="N277" i="1"/>
  <c r="K278" i="1"/>
  <c r="L278" i="1"/>
  <c r="M278" i="1"/>
  <c r="N278" i="1"/>
  <c r="K279" i="1"/>
  <c r="L279" i="1"/>
  <c r="M279" i="1"/>
  <c r="N279" i="1"/>
  <c r="K280" i="1"/>
  <c r="L280" i="1"/>
  <c r="M280" i="1"/>
  <c r="N280" i="1"/>
  <c r="K281" i="1"/>
  <c r="L281" i="1"/>
  <c r="M281" i="1"/>
  <c r="N281" i="1"/>
  <c r="K282" i="1"/>
  <c r="L282" i="1"/>
  <c r="M282" i="1"/>
  <c r="N282" i="1"/>
  <c r="K283" i="1"/>
  <c r="L283" i="1"/>
  <c r="M283" i="1"/>
  <c r="N283" i="1"/>
  <c r="K284" i="1"/>
  <c r="L284" i="1"/>
  <c r="M284" i="1"/>
  <c r="N284" i="1"/>
  <c r="K285" i="1"/>
  <c r="L285" i="1"/>
  <c r="M285" i="1"/>
  <c r="N285" i="1"/>
  <c r="K286" i="1"/>
  <c r="L286" i="1"/>
  <c r="M286" i="1"/>
  <c r="N286" i="1"/>
  <c r="K287" i="1"/>
  <c r="L287" i="1"/>
  <c r="M287" i="1"/>
  <c r="N287" i="1"/>
  <c r="K288" i="1"/>
  <c r="L288" i="1"/>
  <c r="M288" i="1"/>
  <c r="N288" i="1"/>
  <c r="K289" i="1"/>
  <c r="L289" i="1"/>
  <c r="M289" i="1"/>
  <c r="N289" i="1"/>
  <c r="K290" i="1"/>
  <c r="L290" i="1"/>
  <c r="M290" i="1"/>
  <c r="N290" i="1"/>
  <c r="K291" i="1"/>
  <c r="L291" i="1"/>
  <c r="M291" i="1"/>
  <c r="N291" i="1"/>
  <c r="K292" i="1"/>
  <c r="L292" i="1"/>
  <c r="M292" i="1"/>
  <c r="N292" i="1"/>
  <c r="K293" i="1"/>
  <c r="L293" i="1"/>
  <c r="M293" i="1"/>
  <c r="N293" i="1"/>
  <c r="K294" i="1"/>
  <c r="L294" i="1"/>
  <c r="M294" i="1"/>
  <c r="N294" i="1"/>
  <c r="K295" i="1"/>
  <c r="L295" i="1"/>
  <c r="M295" i="1"/>
  <c r="N295" i="1"/>
  <c r="K296" i="1"/>
  <c r="L296" i="1"/>
  <c r="M296" i="1"/>
  <c r="N296" i="1"/>
  <c r="K297" i="1"/>
  <c r="L297" i="1"/>
  <c r="M297" i="1"/>
  <c r="N297" i="1"/>
  <c r="K298" i="1"/>
  <c r="L298" i="1"/>
  <c r="M298" i="1"/>
  <c r="N298" i="1"/>
  <c r="K299" i="1"/>
  <c r="L299" i="1"/>
  <c r="M299" i="1"/>
  <c r="N299" i="1"/>
  <c r="K300" i="1"/>
  <c r="L300" i="1"/>
  <c r="M300" i="1"/>
  <c r="N300" i="1"/>
  <c r="K301" i="1"/>
  <c r="L301" i="1"/>
  <c r="M301" i="1"/>
  <c r="N301" i="1"/>
  <c r="K302" i="1"/>
  <c r="L302" i="1"/>
  <c r="M302" i="1"/>
  <c r="N302" i="1"/>
  <c r="K303" i="1"/>
  <c r="L303" i="1"/>
  <c r="M303" i="1"/>
  <c r="N303" i="1"/>
  <c r="K304" i="1"/>
  <c r="L304" i="1"/>
  <c r="M304" i="1"/>
  <c r="N304" i="1"/>
  <c r="K305" i="1"/>
  <c r="L305" i="1"/>
  <c r="M305" i="1"/>
  <c r="N305" i="1"/>
  <c r="K306" i="1"/>
  <c r="L306" i="1"/>
  <c r="M306" i="1"/>
  <c r="N306" i="1"/>
  <c r="K307" i="1"/>
  <c r="L307" i="1"/>
  <c r="M307" i="1"/>
  <c r="N307" i="1"/>
  <c r="K308" i="1"/>
  <c r="L308" i="1"/>
  <c r="M308" i="1"/>
  <c r="N308" i="1"/>
  <c r="K309" i="1"/>
  <c r="L309" i="1"/>
  <c r="M309" i="1"/>
  <c r="N309" i="1"/>
  <c r="K310" i="1"/>
  <c r="L310" i="1"/>
  <c r="M310" i="1"/>
  <c r="N310" i="1"/>
  <c r="K311" i="1"/>
  <c r="L311" i="1"/>
  <c r="M311" i="1"/>
  <c r="N311" i="1"/>
  <c r="K312" i="1"/>
  <c r="L312" i="1"/>
  <c r="M312" i="1"/>
  <c r="N312" i="1"/>
  <c r="K313" i="1"/>
  <c r="L313" i="1"/>
  <c r="M313" i="1"/>
  <c r="N313" i="1"/>
  <c r="K314" i="1"/>
  <c r="L314" i="1"/>
  <c r="M314" i="1"/>
  <c r="N314" i="1"/>
  <c r="K315" i="1"/>
  <c r="L315" i="1"/>
  <c r="M315" i="1"/>
  <c r="N315" i="1"/>
  <c r="K316" i="1"/>
  <c r="L316" i="1"/>
  <c r="M316" i="1"/>
  <c r="N316" i="1"/>
  <c r="K317" i="1"/>
  <c r="L317" i="1"/>
  <c r="M317" i="1"/>
  <c r="N317" i="1"/>
  <c r="K318" i="1"/>
  <c r="L318" i="1"/>
  <c r="M318" i="1"/>
  <c r="N318" i="1"/>
  <c r="K319" i="1"/>
  <c r="L319" i="1"/>
  <c r="M319" i="1"/>
  <c r="N319" i="1"/>
  <c r="K320" i="1"/>
  <c r="L320" i="1"/>
  <c r="M320" i="1"/>
  <c r="N320" i="1"/>
  <c r="K321" i="1"/>
  <c r="L321" i="1"/>
  <c r="M321" i="1"/>
  <c r="N321" i="1"/>
  <c r="K322" i="1"/>
  <c r="L322" i="1"/>
  <c r="M322" i="1"/>
  <c r="N322" i="1"/>
  <c r="K323" i="1"/>
  <c r="L323" i="1"/>
  <c r="M323" i="1"/>
  <c r="N323" i="1"/>
  <c r="K324" i="1"/>
  <c r="L324" i="1"/>
  <c r="M324" i="1"/>
  <c r="N324" i="1"/>
  <c r="K325" i="1"/>
  <c r="L325" i="1"/>
  <c r="M325" i="1"/>
  <c r="N325" i="1"/>
  <c r="K326" i="1"/>
  <c r="L326" i="1"/>
  <c r="M326" i="1"/>
  <c r="N326" i="1"/>
  <c r="K327" i="1"/>
  <c r="L327" i="1"/>
  <c r="M327" i="1"/>
  <c r="N327" i="1"/>
  <c r="K328" i="1"/>
  <c r="L328" i="1"/>
  <c r="M328" i="1"/>
  <c r="N328" i="1"/>
  <c r="K329" i="1"/>
  <c r="L329" i="1"/>
  <c r="M329" i="1"/>
  <c r="N329" i="1"/>
  <c r="K330" i="1"/>
  <c r="L330" i="1"/>
  <c r="M330" i="1"/>
  <c r="N330" i="1"/>
  <c r="K331" i="1"/>
  <c r="L331" i="1"/>
  <c r="M331" i="1"/>
  <c r="N331" i="1"/>
  <c r="K332" i="1"/>
  <c r="L332" i="1"/>
  <c r="M332" i="1"/>
  <c r="N332" i="1"/>
  <c r="K333" i="1"/>
  <c r="L333" i="1"/>
  <c r="M333" i="1"/>
  <c r="N333" i="1"/>
  <c r="K334" i="1"/>
  <c r="L334" i="1"/>
  <c r="M334" i="1"/>
  <c r="N334" i="1"/>
  <c r="K335" i="1"/>
  <c r="L335" i="1"/>
  <c r="M335" i="1"/>
  <c r="N335" i="1"/>
  <c r="K336" i="1"/>
  <c r="L336" i="1"/>
  <c r="M336" i="1"/>
  <c r="N336" i="1"/>
  <c r="K337" i="1"/>
  <c r="L337" i="1"/>
  <c r="M337" i="1"/>
  <c r="N337" i="1"/>
  <c r="K338" i="1"/>
  <c r="L338" i="1"/>
  <c r="M338" i="1"/>
  <c r="N338" i="1"/>
  <c r="K339" i="1"/>
  <c r="L339" i="1"/>
  <c r="M339" i="1"/>
  <c r="N339" i="1"/>
  <c r="K340" i="1"/>
  <c r="L340" i="1"/>
  <c r="M340" i="1"/>
  <c r="N340" i="1"/>
  <c r="K341" i="1"/>
  <c r="L341" i="1"/>
  <c r="M341" i="1"/>
  <c r="N341" i="1"/>
  <c r="K342" i="1"/>
  <c r="L342" i="1"/>
  <c r="M342" i="1"/>
  <c r="N342" i="1"/>
  <c r="K343" i="1"/>
  <c r="L343" i="1"/>
  <c r="M343" i="1"/>
  <c r="N343" i="1"/>
  <c r="K344" i="1"/>
  <c r="L344" i="1"/>
  <c r="M344" i="1"/>
  <c r="N344" i="1"/>
  <c r="K345" i="1"/>
  <c r="L345" i="1"/>
  <c r="M345" i="1"/>
  <c r="N345" i="1"/>
  <c r="K346" i="1"/>
  <c r="L346" i="1"/>
  <c r="M346" i="1"/>
  <c r="N346" i="1"/>
  <c r="K347" i="1"/>
  <c r="L347" i="1"/>
  <c r="M347" i="1"/>
  <c r="N347" i="1"/>
  <c r="K348" i="1"/>
  <c r="L348" i="1"/>
  <c r="M348" i="1"/>
  <c r="N348" i="1"/>
  <c r="K349" i="1"/>
  <c r="L349" i="1"/>
  <c r="M349" i="1"/>
  <c r="N349" i="1"/>
  <c r="K350" i="1"/>
  <c r="L350" i="1"/>
  <c r="M350" i="1"/>
  <c r="N350" i="1"/>
  <c r="K351" i="1"/>
  <c r="L351" i="1"/>
  <c r="M351" i="1"/>
  <c r="N351" i="1"/>
  <c r="K352" i="1"/>
  <c r="L352" i="1"/>
  <c r="M352" i="1"/>
  <c r="N352" i="1"/>
  <c r="K353" i="1"/>
  <c r="L353" i="1"/>
  <c r="M353" i="1"/>
  <c r="N353" i="1"/>
  <c r="K354" i="1"/>
  <c r="L354" i="1"/>
  <c r="M354" i="1"/>
  <c r="N354" i="1"/>
  <c r="K355" i="1"/>
  <c r="L355" i="1"/>
  <c r="M355" i="1"/>
  <c r="N355" i="1"/>
  <c r="K356" i="1"/>
  <c r="L356" i="1"/>
  <c r="M356" i="1"/>
  <c r="N356" i="1"/>
  <c r="K357" i="1"/>
  <c r="L357" i="1"/>
  <c r="M357" i="1"/>
  <c r="N357" i="1"/>
  <c r="K358" i="1"/>
  <c r="L358" i="1"/>
  <c r="M358" i="1"/>
  <c r="N358" i="1"/>
  <c r="K359" i="1"/>
  <c r="L359" i="1"/>
  <c r="M359" i="1"/>
  <c r="N359" i="1"/>
  <c r="K360" i="1"/>
  <c r="L360" i="1"/>
  <c r="M360" i="1"/>
  <c r="N360" i="1"/>
  <c r="K361" i="1"/>
  <c r="L361" i="1"/>
  <c r="M361" i="1"/>
  <c r="N361" i="1"/>
  <c r="K362" i="1"/>
  <c r="L362" i="1"/>
  <c r="M362" i="1"/>
  <c r="N362" i="1"/>
  <c r="K363" i="1"/>
  <c r="L363" i="1"/>
  <c r="M363" i="1"/>
  <c r="N363" i="1"/>
  <c r="K364" i="1"/>
  <c r="L364" i="1"/>
  <c r="M364" i="1"/>
  <c r="N364" i="1"/>
  <c r="K365" i="1"/>
  <c r="L365" i="1"/>
  <c r="M365" i="1"/>
  <c r="N365" i="1"/>
  <c r="K366" i="1"/>
  <c r="L366" i="1"/>
  <c r="M366" i="1"/>
  <c r="N366" i="1"/>
  <c r="K367" i="1"/>
  <c r="L367" i="1"/>
  <c r="M367" i="1"/>
  <c r="N367" i="1"/>
  <c r="K368" i="1"/>
  <c r="L368" i="1"/>
  <c r="M368" i="1"/>
  <c r="N368" i="1"/>
  <c r="K369" i="1"/>
  <c r="L369" i="1"/>
  <c r="M369" i="1"/>
  <c r="N369" i="1"/>
  <c r="K370" i="1"/>
  <c r="L370" i="1"/>
  <c r="M370" i="1"/>
  <c r="N370" i="1"/>
  <c r="K371" i="1"/>
  <c r="L371" i="1"/>
  <c r="M371" i="1"/>
  <c r="N371" i="1"/>
  <c r="K372" i="1"/>
  <c r="L372" i="1"/>
  <c r="M372" i="1"/>
  <c r="N372" i="1"/>
  <c r="K373" i="1"/>
  <c r="L373" i="1"/>
  <c r="M373" i="1"/>
  <c r="N373" i="1"/>
  <c r="K374" i="1"/>
  <c r="L374" i="1"/>
  <c r="M374" i="1"/>
  <c r="N374" i="1"/>
  <c r="K375" i="1"/>
  <c r="L375" i="1"/>
  <c r="M375" i="1"/>
  <c r="N375" i="1"/>
  <c r="K376" i="1"/>
  <c r="L376" i="1"/>
  <c r="M376" i="1"/>
  <c r="N376" i="1"/>
  <c r="K377" i="1"/>
  <c r="L377" i="1"/>
  <c r="M377" i="1"/>
  <c r="N377" i="1"/>
  <c r="K378" i="1"/>
  <c r="L378" i="1"/>
  <c r="M378" i="1"/>
  <c r="N378" i="1"/>
  <c r="K379" i="1"/>
  <c r="L379" i="1"/>
  <c r="M379" i="1"/>
  <c r="N379" i="1"/>
  <c r="K380" i="1"/>
  <c r="L380" i="1"/>
  <c r="M380" i="1"/>
  <c r="N380" i="1"/>
  <c r="K381" i="1"/>
  <c r="L381" i="1"/>
  <c r="M381" i="1"/>
  <c r="N381" i="1"/>
  <c r="K382" i="1"/>
  <c r="L382" i="1"/>
  <c r="M382" i="1"/>
  <c r="N382" i="1"/>
  <c r="K383" i="1"/>
  <c r="L383" i="1"/>
  <c r="M383" i="1"/>
  <c r="N383" i="1"/>
  <c r="K384" i="1"/>
  <c r="L384" i="1"/>
  <c r="M384" i="1"/>
  <c r="N384" i="1"/>
  <c r="K385" i="1"/>
  <c r="L385" i="1"/>
  <c r="M385" i="1"/>
  <c r="N385" i="1"/>
  <c r="K386" i="1"/>
  <c r="L386" i="1"/>
  <c r="M386" i="1"/>
  <c r="N386" i="1"/>
  <c r="K387" i="1"/>
  <c r="L387" i="1"/>
  <c r="M387" i="1"/>
  <c r="N387" i="1"/>
  <c r="K388" i="1"/>
  <c r="L388" i="1"/>
  <c r="M388" i="1"/>
  <c r="N388" i="1"/>
  <c r="K389" i="1"/>
  <c r="L389" i="1"/>
  <c r="M389" i="1"/>
  <c r="N389" i="1"/>
  <c r="K390" i="1"/>
  <c r="L390" i="1"/>
  <c r="M390" i="1"/>
  <c r="N390" i="1"/>
  <c r="K391" i="1"/>
  <c r="L391" i="1"/>
  <c r="M391" i="1"/>
  <c r="N391" i="1"/>
  <c r="K392" i="1"/>
  <c r="L392" i="1"/>
  <c r="M392" i="1"/>
  <c r="N392" i="1"/>
  <c r="K393" i="1"/>
  <c r="L393" i="1"/>
  <c r="M393" i="1"/>
  <c r="N393" i="1"/>
  <c r="K394" i="1"/>
  <c r="L394" i="1"/>
  <c r="M394" i="1"/>
  <c r="N394" i="1"/>
  <c r="K395" i="1"/>
  <c r="L395" i="1"/>
  <c r="M395" i="1"/>
  <c r="N395" i="1"/>
  <c r="K396" i="1"/>
  <c r="L396" i="1"/>
  <c r="M396" i="1"/>
  <c r="N396" i="1"/>
  <c r="K397" i="1"/>
  <c r="L397" i="1"/>
  <c r="M397" i="1"/>
  <c r="N397" i="1"/>
  <c r="K398" i="1"/>
  <c r="L398" i="1"/>
  <c r="M398" i="1"/>
  <c r="N398" i="1"/>
  <c r="K399" i="1"/>
  <c r="L399" i="1"/>
  <c r="M399" i="1"/>
  <c r="N399" i="1"/>
  <c r="K400" i="1"/>
  <c r="L400" i="1"/>
  <c r="M400" i="1"/>
  <c r="N400" i="1"/>
  <c r="K401" i="1"/>
  <c r="L401" i="1"/>
  <c r="M401" i="1"/>
  <c r="N401" i="1"/>
  <c r="K402" i="1"/>
  <c r="L402" i="1"/>
  <c r="M402" i="1"/>
  <c r="N402" i="1"/>
  <c r="K403" i="1"/>
  <c r="L403" i="1"/>
  <c r="M403" i="1"/>
  <c r="N403" i="1"/>
  <c r="K404" i="1"/>
  <c r="L404" i="1"/>
  <c r="M404" i="1"/>
  <c r="N404" i="1"/>
  <c r="K405" i="1"/>
  <c r="L405" i="1"/>
  <c r="M405" i="1"/>
  <c r="N405" i="1"/>
  <c r="K406" i="1"/>
  <c r="L406" i="1"/>
  <c r="M406" i="1"/>
  <c r="N406" i="1"/>
  <c r="K407" i="1"/>
  <c r="L407" i="1"/>
  <c r="M407" i="1"/>
  <c r="N407" i="1"/>
  <c r="K408" i="1"/>
  <c r="L408" i="1"/>
  <c r="M408" i="1"/>
  <c r="N408" i="1"/>
  <c r="K409" i="1"/>
  <c r="L409" i="1"/>
  <c r="M409" i="1"/>
  <c r="N409" i="1"/>
  <c r="K410" i="1"/>
  <c r="L410" i="1"/>
  <c r="M410" i="1"/>
  <c r="N410" i="1"/>
  <c r="K411" i="1"/>
  <c r="L411" i="1"/>
  <c r="M411" i="1"/>
  <c r="N411" i="1"/>
  <c r="K412" i="1"/>
  <c r="L412" i="1"/>
  <c r="M412" i="1"/>
  <c r="N412" i="1"/>
  <c r="K413" i="1"/>
  <c r="L413" i="1"/>
  <c r="M413" i="1"/>
  <c r="N413" i="1"/>
  <c r="K414" i="1"/>
  <c r="L414" i="1"/>
  <c r="M414" i="1"/>
  <c r="N414" i="1"/>
  <c r="K415" i="1"/>
  <c r="L415" i="1"/>
  <c r="M415" i="1"/>
  <c r="N415" i="1"/>
  <c r="K416" i="1"/>
  <c r="L416" i="1"/>
  <c r="M416" i="1"/>
  <c r="N416" i="1"/>
  <c r="K417" i="1"/>
  <c r="L417" i="1"/>
  <c r="M417" i="1"/>
  <c r="N417" i="1"/>
  <c r="K418" i="1"/>
  <c r="L418" i="1"/>
  <c r="M418" i="1"/>
  <c r="N418" i="1"/>
  <c r="K419" i="1"/>
  <c r="L419" i="1"/>
  <c r="M419" i="1"/>
  <c r="N419" i="1"/>
  <c r="K420" i="1"/>
  <c r="L420" i="1"/>
  <c r="M420" i="1"/>
  <c r="N420" i="1"/>
  <c r="K421" i="1"/>
  <c r="L421" i="1"/>
  <c r="M421" i="1"/>
  <c r="N421" i="1"/>
  <c r="K422" i="1"/>
  <c r="L422" i="1"/>
  <c r="M422" i="1"/>
  <c r="N422" i="1"/>
  <c r="K423" i="1"/>
  <c r="L423" i="1"/>
  <c r="M423" i="1"/>
  <c r="N423" i="1"/>
  <c r="K424" i="1"/>
  <c r="L424" i="1"/>
  <c r="M424" i="1"/>
  <c r="N424" i="1"/>
  <c r="K425" i="1"/>
  <c r="L425" i="1"/>
  <c r="M425" i="1"/>
  <c r="N425" i="1"/>
  <c r="K426" i="1"/>
  <c r="L426" i="1"/>
  <c r="M426" i="1"/>
  <c r="N426" i="1"/>
  <c r="K427" i="1"/>
  <c r="L427" i="1"/>
  <c r="M427" i="1"/>
  <c r="N427" i="1"/>
  <c r="K428" i="1"/>
  <c r="L428" i="1"/>
  <c r="M428" i="1"/>
  <c r="N428" i="1"/>
  <c r="K429" i="1"/>
  <c r="L429" i="1"/>
  <c r="M429" i="1"/>
  <c r="N429" i="1"/>
  <c r="K430" i="1"/>
  <c r="L430" i="1"/>
  <c r="M430" i="1"/>
  <c r="N430" i="1"/>
  <c r="K431" i="1"/>
  <c r="L431" i="1"/>
  <c r="M431" i="1"/>
  <c r="N431" i="1"/>
  <c r="K432" i="1"/>
  <c r="L432" i="1"/>
  <c r="M432" i="1"/>
  <c r="N432" i="1"/>
  <c r="K433" i="1"/>
  <c r="L433" i="1"/>
  <c r="M433" i="1"/>
  <c r="N433" i="1"/>
  <c r="K434" i="1"/>
  <c r="L434" i="1"/>
  <c r="M434" i="1"/>
  <c r="N434" i="1"/>
  <c r="K435" i="1"/>
  <c r="L435" i="1"/>
  <c r="M435" i="1"/>
  <c r="N435" i="1"/>
  <c r="K436" i="1"/>
  <c r="L436" i="1"/>
  <c r="M436" i="1"/>
  <c r="N436" i="1"/>
  <c r="K437" i="1"/>
  <c r="L437" i="1"/>
  <c r="M437" i="1"/>
  <c r="N437" i="1"/>
  <c r="K438" i="1"/>
  <c r="L438" i="1"/>
  <c r="M438" i="1"/>
  <c r="N438" i="1"/>
  <c r="K439" i="1"/>
  <c r="L439" i="1"/>
  <c r="M439" i="1"/>
  <c r="N439" i="1"/>
  <c r="K440" i="1"/>
  <c r="L440" i="1"/>
  <c r="M440" i="1"/>
  <c r="N440" i="1"/>
  <c r="K441" i="1"/>
  <c r="L441" i="1"/>
  <c r="M441" i="1"/>
  <c r="N441" i="1"/>
  <c r="K442" i="1"/>
  <c r="L442" i="1"/>
  <c r="M442" i="1"/>
  <c r="N442" i="1"/>
  <c r="K443" i="1"/>
  <c r="L443" i="1"/>
  <c r="M443" i="1"/>
  <c r="N443" i="1"/>
  <c r="K444" i="1"/>
  <c r="L444" i="1"/>
  <c r="M444" i="1"/>
  <c r="N444" i="1"/>
  <c r="K445" i="1"/>
  <c r="L445" i="1"/>
  <c r="M445" i="1"/>
  <c r="N445" i="1"/>
  <c r="K446" i="1"/>
  <c r="L446" i="1"/>
  <c r="M446" i="1"/>
  <c r="N446" i="1"/>
  <c r="K447" i="1"/>
  <c r="L447" i="1"/>
  <c r="M447" i="1"/>
  <c r="N447" i="1"/>
  <c r="K448" i="1"/>
  <c r="L448" i="1"/>
  <c r="M448" i="1"/>
  <c r="N448" i="1"/>
  <c r="K449" i="1"/>
  <c r="L449" i="1"/>
  <c r="M449" i="1"/>
  <c r="N449" i="1"/>
  <c r="K450" i="1"/>
  <c r="L450" i="1"/>
  <c r="M450" i="1"/>
  <c r="N450" i="1"/>
  <c r="K451" i="1"/>
  <c r="L451" i="1"/>
  <c r="M451" i="1"/>
  <c r="N451" i="1"/>
  <c r="K452" i="1"/>
  <c r="L452" i="1"/>
  <c r="M452" i="1"/>
  <c r="N452" i="1"/>
  <c r="K453" i="1"/>
  <c r="L453" i="1"/>
  <c r="M453" i="1"/>
  <c r="N453" i="1"/>
  <c r="K454" i="1"/>
  <c r="L454" i="1"/>
  <c r="M454" i="1"/>
  <c r="N454" i="1"/>
  <c r="K455" i="1"/>
  <c r="L455" i="1"/>
  <c r="M455" i="1"/>
  <c r="N455" i="1"/>
  <c r="K456" i="1"/>
  <c r="L456" i="1"/>
  <c r="M456" i="1"/>
  <c r="N456" i="1"/>
  <c r="K457" i="1"/>
  <c r="L457" i="1"/>
  <c r="M457" i="1"/>
  <c r="N457" i="1"/>
  <c r="K458" i="1"/>
  <c r="L458" i="1"/>
  <c r="M458" i="1"/>
  <c r="N458" i="1"/>
  <c r="K459" i="1"/>
  <c r="L459" i="1"/>
  <c r="M459" i="1"/>
  <c r="N459" i="1"/>
  <c r="K460" i="1"/>
  <c r="L460" i="1"/>
  <c r="M460" i="1"/>
  <c r="N460" i="1"/>
  <c r="K461" i="1"/>
  <c r="L461" i="1"/>
  <c r="M461" i="1"/>
  <c r="N461" i="1"/>
  <c r="K462" i="1"/>
  <c r="L462" i="1"/>
  <c r="M462" i="1"/>
  <c r="N462" i="1"/>
  <c r="K463" i="1"/>
  <c r="L463" i="1"/>
  <c r="M463" i="1"/>
  <c r="N463" i="1"/>
  <c r="K464" i="1"/>
  <c r="L464" i="1"/>
  <c r="M464" i="1"/>
  <c r="N464" i="1"/>
  <c r="K465" i="1"/>
  <c r="L465" i="1"/>
  <c r="M465" i="1"/>
  <c r="N465" i="1"/>
  <c r="K466" i="1"/>
  <c r="L466" i="1"/>
  <c r="M466" i="1"/>
  <c r="N466" i="1"/>
  <c r="K467" i="1"/>
  <c r="L467" i="1"/>
  <c r="M467" i="1"/>
  <c r="N467" i="1"/>
  <c r="K468" i="1"/>
  <c r="L468" i="1"/>
  <c r="M468" i="1"/>
  <c r="N468" i="1"/>
  <c r="K469" i="1"/>
  <c r="L469" i="1"/>
  <c r="M469" i="1"/>
  <c r="N469" i="1"/>
  <c r="K470" i="1"/>
  <c r="L470" i="1"/>
  <c r="M470" i="1"/>
  <c r="N470" i="1"/>
  <c r="K471" i="1"/>
  <c r="L471" i="1"/>
  <c r="M471" i="1"/>
  <c r="N471" i="1"/>
  <c r="K472" i="1"/>
  <c r="L472" i="1"/>
  <c r="M472" i="1"/>
  <c r="N472" i="1"/>
  <c r="K473" i="1"/>
  <c r="L473" i="1"/>
  <c r="M473" i="1"/>
  <c r="N473" i="1"/>
  <c r="K474" i="1"/>
  <c r="L474" i="1"/>
  <c r="M474" i="1"/>
  <c r="N474" i="1"/>
  <c r="K475" i="1"/>
  <c r="L475" i="1"/>
  <c r="M475" i="1"/>
  <c r="N475" i="1"/>
  <c r="K476" i="1"/>
  <c r="L476" i="1"/>
  <c r="M476" i="1"/>
  <c r="N476" i="1"/>
  <c r="K477" i="1"/>
  <c r="L477" i="1"/>
  <c r="M477" i="1"/>
  <c r="N477" i="1"/>
  <c r="K478" i="1"/>
  <c r="L478" i="1"/>
  <c r="M478" i="1"/>
  <c r="N478" i="1"/>
  <c r="K479" i="1"/>
  <c r="L479" i="1"/>
  <c r="M479" i="1"/>
  <c r="N479" i="1"/>
  <c r="K480" i="1"/>
  <c r="L480" i="1"/>
  <c r="M480" i="1"/>
  <c r="N480" i="1"/>
  <c r="K481" i="1"/>
  <c r="L481" i="1"/>
  <c r="M481" i="1"/>
  <c r="N481" i="1"/>
  <c r="K482" i="1"/>
  <c r="L482" i="1"/>
  <c r="M482" i="1"/>
  <c r="N482" i="1"/>
  <c r="K483" i="1"/>
  <c r="L483" i="1"/>
  <c r="M483" i="1"/>
  <c r="N483" i="1"/>
  <c r="K484" i="1"/>
  <c r="L484" i="1"/>
  <c r="M484" i="1"/>
  <c r="N484" i="1"/>
  <c r="K485" i="1"/>
  <c r="L485" i="1"/>
  <c r="M485" i="1"/>
  <c r="N485" i="1"/>
  <c r="K486" i="1"/>
  <c r="L486" i="1"/>
  <c r="M486" i="1"/>
  <c r="N486" i="1"/>
  <c r="K487" i="1"/>
  <c r="L487" i="1"/>
  <c r="M487" i="1"/>
  <c r="N487" i="1"/>
  <c r="K488" i="1"/>
  <c r="L488" i="1"/>
  <c r="M488" i="1"/>
  <c r="N488" i="1"/>
  <c r="K489" i="1"/>
  <c r="L489" i="1"/>
  <c r="M489" i="1"/>
  <c r="N489" i="1"/>
  <c r="K490" i="1"/>
  <c r="L490" i="1"/>
  <c r="M490" i="1"/>
  <c r="N490" i="1"/>
  <c r="K491" i="1"/>
  <c r="L491" i="1"/>
  <c r="M491" i="1"/>
  <c r="N491" i="1"/>
  <c r="K492" i="1"/>
  <c r="L492" i="1"/>
  <c r="M492" i="1"/>
  <c r="N492" i="1"/>
  <c r="K493" i="1"/>
  <c r="L493" i="1"/>
  <c r="M493" i="1"/>
  <c r="N493" i="1"/>
  <c r="K494" i="1"/>
  <c r="L494" i="1"/>
  <c r="M494" i="1"/>
  <c r="N494" i="1"/>
  <c r="K495" i="1"/>
  <c r="L495" i="1"/>
  <c r="M495" i="1"/>
  <c r="N495" i="1"/>
  <c r="K496" i="1"/>
  <c r="L496" i="1"/>
  <c r="M496" i="1"/>
  <c r="N496" i="1"/>
  <c r="K497" i="1"/>
  <c r="L497" i="1"/>
  <c r="M497" i="1"/>
  <c r="N497" i="1"/>
  <c r="K498" i="1"/>
  <c r="L498" i="1"/>
  <c r="M498" i="1"/>
  <c r="N498" i="1"/>
  <c r="K499" i="1"/>
  <c r="L499" i="1"/>
  <c r="M499" i="1"/>
  <c r="N499" i="1"/>
  <c r="K500" i="1"/>
  <c r="L500" i="1"/>
  <c r="M500" i="1"/>
  <c r="N500" i="1"/>
  <c r="K501" i="1"/>
  <c r="L501" i="1"/>
  <c r="M501" i="1"/>
  <c r="N501" i="1"/>
  <c r="K502" i="1"/>
  <c r="L502" i="1"/>
  <c r="M502" i="1"/>
  <c r="N502" i="1"/>
  <c r="K503" i="1"/>
  <c r="L503" i="1"/>
  <c r="M503" i="1"/>
  <c r="N503" i="1"/>
  <c r="K504" i="1"/>
  <c r="L504" i="1"/>
  <c r="M504" i="1"/>
  <c r="N504" i="1"/>
  <c r="K505" i="1"/>
  <c r="L505" i="1"/>
  <c r="M505" i="1"/>
  <c r="N505" i="1"/>
  <c r="K506" i="1"/>
  <c r="L506" i="1"/>
  <c r="M506" i="1"/>
  <c r="N506" i="1"/>
  <c r="K507" i="1"/>
  <c r="L507" i="1"/>
  <c r="M507" i="1"/>
  <c r="N507" i="1"/>
  <c r="K508" i="1"/>
  <c r="L508" i="1"/>
  <c r="M508" i="1"/>
  <c r="N508" i="1"/>
  <c r="K509" i="1"/>
  <c r="L509" i="1"/>
  <c r="M509" i="1"/>
  <c r="N509" i="1"/>
  <c r="K510" i="1"/>
  <c r="L510" i="1"/>
  <c r="M510" i="1"/>
  <c r="N510" i="1"/>
  <c r="K511" i="1"/>
  <c r="L511" i="1"/>
  <c r="M511" i="1"/>
  <c r="N511" i="1"/>
  <c r="K512" i="1"/>
  <c r="L512" i="1"/>
  <c r="M512" i="1"/>
  <c r="N512" i="1"/>
  <c r="K513" i="1"/>
  <c r="L513" i="1"/>
  <c r="M513" i="1"/>
  <c r="N513" i="1"/>
  <c r="K514" i="1"/>
  <c r="L514" i="1"/>
  <c r="M514" i="1"/>
  <c r="N514" i="1"/>
  <c r="K515" i="1"/>
  <c r="L515" i="1"/>
  <c r="M515" i="1"/>
  <c r="N515" i="1"/>
  <c r="K516" i="1"/>
  <c r="L516" i="1"/>
  <c r="M516" i="1"/>
  <c r="N516" i="1"/>
  <c r="K517" i="1"/>
  <c r="L517" i="1"/>
  <c r="M517" i="1"/>
  <c r="N517" i="1"/>
  <c r="K518" i="1"/>
  <c r="L518" i="1"/>
  <c r="M518" i="1"/>
  <c r="N518" i="1"/>
  <c r="K519" i="1"/>
  <c r="L519" i="1"/>
  <c r="M519" i="1"/>
  <c r="N519" i="1"/>
  <c r="K520" i="1"/>
  <c r="L520" i="1"/>
  <c r="M520" i="1"/>
  <c r="N520" i="1"/>
  <c r="K521" i="1"/>
  <c r="L521" i="1"/>
  <c r="M521" i="1"/>
  <c r="N521" i="1"/>
  <c r="K522" i="1"/>
  <c r="L522" i="1"/>
  <c r="M522" i="1"/>
  <c r="N522" i="1"/>
  <c r="K523" i="1"/>
  <c r="L523" i="1"/>
  <c r="M523" i="1"/>
  <c r="N523" i="1"/>
  <c r="K524" i="1"/>
  <c r="L524" i="1"/>
  <c r="M524" i="1"/>
  <c r="N524" i="1"/>
  <c r="K525" i="1"/>
  <c r="L525" i="1"/>
  <c r="M525" i="1"/>
  <c r="N525" i="1"/>
  <c r="K526" i="1"/>
  <c r="L526" i="1"/>
  <c r="M526" i="1"/>
  <c r="N526" i="1"/>
  <c r="K527" i="1"/>
  <c r="L527" i="1"/>
  <c r="M527" i="1"/>
  <c r="N527" i="1"/>
  <c r="K528" i="1"/>
  <c r="L528" i="1"/>
  <c r="M528" i="1"/>
  <c r="N528" i="1"/>
  <c r="K529" i="1"/>
  <c r="L529" i="1"/>
  <c r="M529" i="1"/>
  <c r="N529" i="1"/>
  <c r="K530" i="1"/>
  <c r="L530" i="1"/>
  <c r="M530" i="1"/>
  <c r="N530" i="1"/>
  <c r="L2" i="1"/>
  <c r="M2" i="1"/>
  <c r="N2" i="1"/>
  <c r="K2" i="1"/>
  <c r="D3" i="1"/>
  <c r="E3" i="1"/>
  <c r="F3" i="1"/>
  <c r="G3" i="1"/>
  <c r="H3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D43" i="1"/>
  <c r="E43" i="1"/>
  <c r="F43" i="1"/>
  <c r="G43" i="1"/>
  <c r="H43" i="1"/>
  <c r="D44" i="1"/>
  <c r="E44" i="1"/>
  <c r="F44" i="1"/>
  <c r="G44" i="1"/>
  <c r="H44" i="1"/>
  <c r="D45" i="1"/>
  <c r="E45" i="1"/>
  <c r="F45" i="1"/>
  <c r="G45" i="1"/>
  <c r="H45" i="1"/>
  <c r="D46" i="1"/>
  <c r="E46" i="1"/>
  <c r="F46" i="1"/>
  <c r="G46" i="1"/>
  <c r="H4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6" i="1"/>
  <c r="E56" i="1"/>
  <c r="F56" i="1"/>
  <c r="G56" i="1"/>
  <c r="H56" i="1"/>
  <c r="D57" i="1"/>
  <c r="E57" i="1"/>
  <c r="F57" i="1"/>
  <c r="G57" i="1"/>
  <c r="H57" i="1"/>
  <c r="D58" i="1"/>
  <c r="E58" i="1"/>
  <c r="F58" i="1"/>
  <c r="G58" i="1"/>
  <c r="H58" i="1"/>
  <c r="D59" i="1"/>
  <c r="E59" i="1"/>
  <c r="F59" i="1"/>
  <c r="G59" i="1"/>
  <c r="H59" i="1"/>
  <c r="D60" i="1"/>
  <c r="E60" i="1"/>
  <c r="F60" i="1"/>
  <c r="G60" i="1"/>
  <c r="H60" i="1"/>
  <c r="D61" i="1"/>
  <c r="E61" i="1"/>
  <c r="F61" i="1"/>
  <c r="G61" i="1"/>
  <c r="H61" i="1"/>
  <c r="D62" i="1"/>
  <c r="E62" i="1"/>
  <c r="F62" i="1"/>
  <c r="G62" i="1"/>
  <c r="H62" i="1"/>
  <c r="D63" i="1"/>
  <c r="E63" i="1"/>
  <c r="F63" i="1"/>
  <c r="G63" i="1"/>
  <c r="H63" i="1"/>
  <c r="D64" i="1"/>
  <c r="E64" i="1"/>
  <c r="F64" i="1"/>
  <c r="G64" i="1"/>
  <c r="H64" i="1"/>
  <c r="D65" i="1"/>
  <c r="E65" i="1"/>
  <c r="F65" i="1"/>
  <c r="G65" i="1"/>
  <c r="H65" i="1"/>
  <c r="D66" i="1"/>
  <c r="E66" i="1"/>
  <c r="F66" i="1"/>
  <c r="G66" i="1"/>
  <c r="H66" i="1"/>
  <c r="D67" i="1"/>
  <c r="E67" i="1"/>
  <c r="F67" i="1"/>
  <c r="G67" i="1"/>
  <c r="H67" i="1"/>
  <c r="D68" i="1"/>
  <c r="E68" i="1"/>
  <c r="F68" i="1"/>
  <c r="G68" i="1"/>
  <c r="H68" i="1"/>
  <c r="D69" i="1"/>
  <c r="E69" i="1"/>
  <c r="F69" i="1"/>
  <c r="G69" i="1"/>
  <c r="H69" i="1"/>
  <c r="D70" i="1"/>
  <c r="E70" i="1"/>
  <c r="F70" i="1"/>
  <c r="G70" i="1"/>
  <c r="H70" i="1"/>
  <c r="D71" i="1"/>
  <c r="E71" i="1"/>
  <c r="F71" i="1"/>
  <c r="G71" i="1"/>
  <c r="H71" i="1"/>
  <c r="D72" i="1"/>
  <c r="E72" i="1"/>
  <c r="F72" i="1"/>
  <c r="G72" i="1"/>
  <c r="H72" i="1"/>
  <c r="D73" i="1"/>
  <c r="E73" i="1"/>
  <c r="F73" i="1"/>
  <c r="G73" i="1"/>
  <c r="H73" i="1"/>
  <c r="D74" i="1"/>
  <c r="E74" i="1"/>
  <c r="F74" i="1"/>
  <c r="G74" i="1"/>
  <c r="H74" i="1"/>
  <c r="D75" i="1"/>
  <c r="E75" i="1"/>
  <c r="F75" i="1"/>
  <c r="G75" i="1"/>
  <c r="H75" i="1"/>
  <c r="D76" i="1"/>
  <c r="E76" i="1"/>
  <c r="F76" i="1"/>
  <c r="G76" i="1"/>
  <c r="H76" i="1"/>
  <c r="D77" i="1"/>
  <c r="E77" i="1"/>
  <c r="F77" i="1"/>
  <c r="G77" i="1"/>
  <c r="H77" i="1"/>
  <c r="D78" i="1"/>
  <c r="E78" i="1"/>
  <c r="F78" i="1"/>
  <c r="G78" i="1"/>
  <c r="H78" i="1"/>
  <c r="D79" i="1"/>
  <c r="E79" i="1"/>
  <c r="F79" i="1"/>
  <c r="G79" i="1"/>
  <c r="H79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D88" i="1"/>
  <c r="E88" i="1"/>
  <c r="F88" i="1"/>
  <c r="G88" i="1"/>
  <c r="H88" i="1"/>
  <c r="D89" i="1"/>
  <c r="E89" i="1"/>
  <c r="F89" i="1"/>
  <c r="G89" i="1"/>
  <c r="H89" i="1"/>
  <c r="D90" i="1"/>
  <c r="E90" i="1"/>
  <c r="F90" i="1"/>
  <c r="G90" i="1"/>
  <c r="H9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D99" i="1"/>
  <c r="E99" i="1"/>
  <c r="F99" i="1"/>
  <c r="G99" i="1"/>
  <c r="H99" i="1"/>
  <c r="D100" i="1"/>
  <c r="E100" i="1"/>
  <c r="F100" i="1"/>
  <c r="G100" i="1"/>
  <c r="H100" i="1"/>
  <c r="D101" i="1"/>
  <c r="E101" i="1"/>
  <c r="F101" i="1"/>
  <c r="G101" i="1"/>
  <c r="H101" i="1"/>
  <c r="D102" i="1"/>
  <c r="E102" i="1"/>
  <c r="F102" i="1"/>
  <c r="G102" i="1"/>
  <c r="H102" i="1"/>
  <c r="D103" i="1"/>
  <c r="E103" i="1"/>
  <c r="F103" i="1"/>
  <c r="G103" i="1"/>
  <c r="H103" i="1"/>
  <c r="D104" i="1"/>
  <c r="E104" i="1"/>
  <c r="F104" i="1"/>
  <c r="G104" i="1"/>
  <c r="H104" i="1"/>
  <c r="D105" i="1"/>
  <c r="E105" i="1"/>
  <c r="F105" i="1"/>
  <c r="G105" i="1"/>
  <c r="H105" i="1"/>
  <c r="D106" i="1"/>
  <c r="E106" i="1"/>
  <c r="F106" i="1"/>
  <c r="G106" i="1"/>
  <c r="H106" i="1"/>
  <c r="D107" i="1"/>
  <c r="E107" i="1"/>
  <c r="F107" i="1"/>
  <c r="G107" i="1"/>
  <c r="H107" i="1"/>
  <c r="D108" i="1"/>
  <c r="E108" i="1"/>
  <c r="F108" i="1"/>
  <c r="G108" i="1"/>
  <c r="H108" i="1"/>
  <c r="D109" i="1"/>
  <c r="E109" i="1"/>
  <c r="F109" i="1"/>
  <c r="G109" i="1"/>
  <c r="H109" i="1"/>
  <c r="D110" i="1"/>
  <c r="E110" i="1"/>
  <c r="F110" i="1"/>
  <c r="G110" i="1"/>
  <c r="H110" i="1"/>
  <c r="D111" i="1"/>
  <c r="E111" i="1"/>
  <c r="F111" i="1"/>
  <c r="G111" i="1"/>
  <c r="H111" i="1"/>
  <c r="D112" i="1"/>
  <c r="E112" i="1"/>
  <c r="F112" i="1"/>
  <c r="G112" i="1"/>
  <c r="H112" i="1"/>
  <c r="D113" i="1"/>
  <c r="E113" i="1"/>
  <c r="F113" i="1"/>
  <c r="G113" i="1"/>
  <c r="H113" i="1"/>
  <c r="D114" i="1"/>
  <c r="E114" i="1"/>
  <c r="F114" i="1"/>
  <c r="G114" i="1"/>
  <c r="H114" i="1"/>
  <c r="D115" i="1"/>
  <c r="E115" i="1"/>
  <c r="F115" i="1"/>
  <c r="G115" i="1"/>
  <c r="H115" i="1"/>
  <c r="D116" i="1"/>
  <c r="E116" i="1"/>
  <c r="F116" i="1"/>
  <c r="G116" i="1"/>
  <c r="H116" i="1"/>
  <c r="D117" i="1"/>
  <c r="E117" i="1"/>
  <c r="F117" i="1"/>
  <c r="G117" i="1"/>
  <c r="H117" i="1"/>
  <c r="D118" i="1"/>
  <c r="E118" i="1"/>
  <c r="F118" i="1"/>
  <c r="G118" i="1"/>
  <c r="H118" i="1"/>
  <c r="D119" i="1"/>
  <c r="E119" i="1"/>
  <c r="F119" i="1"/>
  <c r="G119" i="1"/>
  <c r="H119" i="1"/>
  <c r="D120" i="1"/>
  <c r="E120" i="1"/>
  <c r="F120" i="1"/>
  <c r="G120" i="1"/>
  <c r="H120" i="1"/>
  <c r="D121" i="1"/>
  <c r="E121" i="1"/>
  <c r="F121" i="1"/>
  <c r="G121" i="1"/>
  <c r="H121" i="1"/>
  <c r="D122" i="1"/>
  <c r="E122" i="1"/>
  <c r="F122" i="1"/>
  <c r="G122" i="1"/>
  <c r="H122" i="1"/>
  <c r="D123" i="1"/>
  <c r="E123" i="1"/>
  <c r="F123" i="1"/>
  <c r="G123" i="1"/>
  <c r="H123" i="1"/>
  <c r="D124" i="1"/>
  <c r="E124" i="1"/>
  <c r="F124" i="1"/>
  <c r="G124" i="1"/>
  <c r="H124" i="1"/>
  <c r="D125" i="1"/>
  <c r="E125" i="1"/>
  <c r="F125" i="1"/>
  <c r="G125" i="1"/>
  <c r="H125" i="1"/>
  <c r="D126" i="1"/>
  <c r="E126" i="1"/>
  <c r="F126" i="1"/>
  <c r="G126" i="1"/>
  <c r="H126" i="1"/>
  <c r="D127" i="1"/>
  <c r="E127" i="1"/>
  <c r="F127" i="1"/>
  <c r="G127" i="1"/>
  <c r="H127" i="1"/>
  <c r="D128" i="1"/>
  <c r="E128" i="1"/>
  <c r="F128" i="1"/>
  <c r="G128" i="1"/>
  <c r="H128" i="1"/>
  <c r="D129" i="1"/>
  <c r="E129" i="1"/>
  <c r="F129" i="1"/>
  <c r="G129" i="1"/>
  <c r="H129" i="1"/>
  <c r="D130" i="1"/>
  <c r="E130" i="1"/>
  <c r="F130" i="1"/>
  <c r="G130" i="1"/>
  <c r="H130" i="1"/>
  <c r="D131" i="1"/>
  <c r="E131" i="1"/>
  <c r="F131" i="1"/>
  <c r="G131" i="1"/>
  <c r="H131" i="1"/>
  <c r="D132" i="1"/>
  <c r="E132" i="1"/>
  <c r="F132" i="1"/>
  <c r="G132" i="1"/>
  <c r="H132" i="1"/>
  <c r="D133" i="1"/>
  <c r="E133" i="1"/>
  <c r="F133" i="1"/>
  <c r="G133" i="1"/>
  <c r="H133" i="1"/>
  <c r="D134" i="1"/>
  <c r="E134" i="1"/>
  <c r="F134" i="1"/>
  <c r="G134" i="1"/>
  <c r="H134" i="1"/>
  <c r="D135" i="1"/>
  <c r="E135" i="1"/>
  <c r="F135" i="1"/>
  <c r="G135" i="1"/>
  <c r="H135" i="1"/>
  <c r="D136" i="1"/>
  <c r="E136" i="1"/>
  <c r="F136" i="1"/>
  <c r="G136" i="1"/>
  <c r="H136" i="1"/>
  <c r="D137" i="1"/>
  <c r="E137" i="1"/>
  <c r="F137" i="1"/>
  <c r="G137" i="1"/>
  <c r="H137" i="1"/>
  <c r="D138" i="1"/>
  <c r="E138" i="1"/>
  <c r="F138" i="1"/>
  <c r="G138" i="1"/>
  <c r="H138" i="1"/>
  <c r="D139" i="1"/>
  <c r="E139" i="1"/>
  <c r="F139" i="1"/>
  <c r="G139" i="1"/>
  <c r="H139" i="1"/>
  <c r="D140" i="1"/>
  <c r="E140" i="1"/>
  <c r="F140" i="1"/>
  <c r="G140" i="1"/>
  <c r="H140" i="1"/>
  <c r="D141" i="1"/>
  <c r="E141" i="1"/>
  <c r="F141" i="1"/>
  <c r="G141" i="1"/>
  <c r="H141" i="1"/>
  <c r="D142" i="1"/>
  <c r="E142" i="1"/>
  <c r="F142" i="1"/>
  <c r="G142" i="1"/>
  <c r="H142" i="1"/>
  <c r="D143" i="1"/>
  <c r="E143" i="1"/>
  <c r="F143" i="1"/>
  <c r="G143" i="1"/>
  <c r="H143" i="1"/>
  <c r="D144" i="1"/>
  <c r="E144" i="1"/>
  <c r="F144" i="1"/>
  <c r="G144" i="1"/>
  <c r="H144" i="1"/>
  <c r="D145" i="1"/>
  <c r="E145" i="1"/>
  <c r="F145" i="1"/>
  <c r="G145" i="1"/>
  <c r="H145" i="1"/>
  <c r="D146" i="1"/>
  <c r="E146" i="1"/>
  <c r="F146" i="1"/>
  <c r="G146" i="1"/>
  <c r="H146" i="1"/>
  <c r="D147" i="1"/>
  <c r="E147" i="1"/>
  <c r="F147" i="1"/>
  <c r="G147" i="1"/>
  <c r="H147" i="1"/>
  <c r="D148" i="1"/>
  <c r="E148" i="1"/>
  <c r="F148" i="1"/>
  <c r="G148" i="1"/>
  <c r="H148" i="1"/>
  <c r="D149" i="1"/>
  <c r="E149" i="1"/>
  <c r="F149" i="1"/>
  <c r="G149" i="1"/>
  <c r="H149" i="1"/>
  <c r="D150" i="1"/>
  <c r="E150" i="1"/>
  <c r="F150" i="1"/>
  <c r="G150" i="1"/>
  <c r="H150" i="1"/>
  <c r="D151" i="1"/>
  <c r="E151" i="1"/>
  <c r="F151" i="1"/>
  <c r="G151" i="1"/>
  <c r="H151" i="1"/>
  <c r="D152" i="1"/>
  <c r="E152" i="1"/>
  <c r="F152" i="1"/>
  <c r="G152" i="1"/>
  <c r="H152" i="1"/>
  <c r="D153" i="1"/>
  <c r="E153" i="1"/>
  <c r="F153" i="1"/>
  <c r="G153" i="1"/>
  <c r="H153" i="1"/>
  <c r="D154" i="1"/>
  <c r="E154" i="1"/>
  <c r="F154" i="1"/>
  <c r="G154" i="1"/>
  <c r="H154" i="1"/>
  <c r="D155" i="1"/>
  <c r="E155" i="1"/>
  <c r="F155" i="1"/>
  <c r="G155" i="1"/>
  <c r="H155" i="1"/>
  <c r="D156" i="1"/>
  <c r="E156" i="1"/>
  <c r="F156" i="1"/>
  <c r="G156" i="1"/>
  <c r="H156" i="1"/>
  <c r="D157" i="1"/>
  <c r="E157" i="1"/>
  <c r="F157" i="1"/>
  <c r="G157" i="1"/>
  <c r="H157" i="1"/>
  <c r="D158" i="1"/>
  <c r="E158" i="1"/>
  <c r="F158" i="1"/>
  <c r="G158" i="1"/>
  <c r="H158" i="1"/>
  <c r="D159" i="1"/>
  <c r="E159" i="1"/>
  <c r="F159" i="1"/>
  <c r="G159" i="1"/>
  <c r="H159" i="1"/>
  <c r="D160" i="1"/>
  <c r="E160" i="1"/>
  <c r="F160" i="1"/>
  <c r="G160" i="1"/>
  <c r="H160" i="1"/>
  <c r="D161" i="1"/>
  <c r="E161" i="1"/>
  <c r="F161" i="1"/>
  <c r="G161" i="1"/>
  <c r="H161" i="1"/>
  <c r="D162" i="1"/>
  <c r="E162" i="1"/>
  <c r="F162" i="1"/>
  <c r="G162" i="1"/>
  <c r="H162" i="1"/>
  <c r="D163" i="1"/>
  <c r="E163" i="1"/>
  <c r="F163" i="1"/>
  <c r="G163" i="1"/>
  <c r="H163" i="1"/>
  <c r="D164" i="1"/>
  <c r="E164" i="1"/>
  <c r="F164" i="1"/>
  <c r="G164" i="1"/>
  <c r="H164" i="1"/>
  <c r="D165" i="1"/>
  <c r="E165" i="1"/>
  <c r="F165" i="1"/>
  <c r="G165" i="1"/>
  <c r="H165" i="1"/>
  <c r="D166" i="1"/>
  <c r="E166" i="1"/>
  <c r="F166" i="1"/>
  <c r="G166" i="1"/>
  <c r="H166" i="1"/>
  <c r="D167" i="1"/>
  <c r="E167" i="1"/>
  <c r="F167" i="1"/>
  <c r="G167" i="1"/>
  <c r="H167" i="1"/>
  <c r="D168" i="1"/>
  <c r="E168" i="1"/>
  <c r="F168" i="1"/>
  <c r="G168" i="1"/>
  <c r="H168" i="1"/>
  <c r="D169" i="1"/>
  <c r="E169" i="1"/>
  <c r="F169" i="1"/>
  <c r="G169" i="1"/>
  <c r="H169" i="1"/>
  <c r="D170" i="1"/>
  <c r="E170" i="1"/>
  <c r="F170" i="1"/>
  <c r="G170" i="1"/>
  <c r="H170" i="1"/>
  <c r="D171" i="1"/>
  <c r="E171" i="1"/>
  <c r="F171" i="1"/>
  <c r="G171" i="1"/>
  <c r="H171" i="1"/>
  <c r="D172" i="1"/>
  <c r="E172" i="1"/>
  <c r="F172" i="1"/>
  <c r="G172" i="1"/>
  <c r="H172" i="1"/>
  <c r="D173" i="1"/>
  <c r="E173" i="1"/>
  <c r="F173" i="1"/>
  <c r="G173" i="1"/>
  <c r="H173" i="1"/>
  <c r="D174" i="1"/>
  <c r="E174" i="1"/>
  <c r="F174" i="1"/>
  <c r="G174" i="1"/>
  <c r="H174" i="1"/>
  <c r="D175" i="1"/>
  <c r="E175" i="1"/>
  <c r="F175" i="1"/>
  <c r="G175" i="1"/>
  <c r="H175" i="1"/>
  <c r="D176" i="1"/>
  <c r="E176" i="1"/>
  <c r="F176" i="1"/>
  <c r="G176" i="1"/>
  <c r="H176" i="1"/>
  <c r="D177" i="1"/>
  <c r="E177" i="1"/>
  <c r="F177" i="1"/>
  <c r="G177" i="1"/>
  <c r="H177" i="1"/>
  <c r="D178" i="1"/>
  <c r="E178" i="1"/>
  <c r="F178" i="1"/>
  <c r="G178" i="1"/>
  <c r="H178" i="1"/>
  <c r="D179" i="1"/>
  <c r="E179" i="1"/>
  <c r="F179" i="1"/>
  <c r="G179" i="1"/>
  <c r="H179" i="1"/>
  <c r="D180" i="1"/>
  <c r="E180" i="1"/>
  <c r="F180" i="1"/>
  <c r="G180" i="1"/>
  <c r="H180" i="1"/>
  <c r="D181" i="1"/>
  <c r="E181" i="1"/>
  <c r="F181" i="1"/>
  <c r="G181" i="1"/>
  <c r="H181" i="1"/>
  <c r="D182" i="1"/>
  <c r="E182" i="1"/>
  <c r="F182" i="1"/>
  <c r="G182" i="1"/>
  <c r="H182" i="1"/>
  <c r="D183" i="1"/>
  <c r="E183" i="1"/>
  <c r="F183" i="1"/>
  <c r="G183" i="1"/>
  <c r="H183" i="1"/>
  <c r="D184" i="1"/>
  <c r="E184" i="1"/>
  <c r="F184" i="1"/>
  <c r="G184" i="1"/>
  <c r="H184" i="1"/>
  <c r="D185" i="1"/>
  <c r="E185" i="1"/>
  <c r="F185" i="1"/>
  <c r="G185" i="1"/>
  <c r="H185" i="1"/>
  <c r="D186" i="1"/>
  <c r="E186" i="1"/>
  <c r="F186" i="1"/>
  <c r="G186" i="1"/>
  <c r="H186" i="1"/>
  <c r="D187" i="1"/>
  <c r="E187" i="1"/>
  <c r="F187" i="1"/>
  <c r="G187" i="1"/>
  <c r="H187" i="1"/>
  <c r="D188" i="1"/>
  <c r="E188" i="1"/>
  <c r="F188" i="1"/>
  <c r="G188" i="1"/>
  <c r="H188" i="1"/>
  <c r="D189" i="1"/>
  <c r="E189" i="1"/>
  <c r="F189" i="1"/>
  <c r="G189" i="1"/>
  <c r="H189" i="1"/>
  <c r="D190" i="1"/>
  <c r="E190" i="1"/>
  <c r="F190" i="1"/>
  <c r="G190" i="1"/>
  <c r="H190" i="1"/>
  <c r="D191" i="1"/>
  <c r="E191" i="1"/>
  <c r="F191" i="1"/>
  <c r="G191" i="1"/>
  <c r="H191" i="1"/>
  <c r="D192" i="1"/>
  <c r="E192" i="1"/>
  <c r="F192" i="1"/>
  <c r="G192" i="1"/>
  <c r="H192" i="1"/>
  <c r="D193" i="1"/>
  <c r="E193" i="1"/>
  <c r="F193" i="1"/>
  <c r="G193" i="1"/>
  <c r="H193" i="1"/>
  <c r="D194" i="1"/>
  <c r="E194" i="1"/>
  <c r="F194" i="1"/>
  <c r="G194" i="1"/>
  <c r="H194" i="1"/>
  <c r="D195" i="1"/>
  <c r="E195" i="1"/>
  <c r="F195" i="1"/>
  <c r="G195" i="1"/>
  <c r="H195" i="1"/>
  <c r="D196" i="1"/>
  <c r="E196" i="1"/>
  <c r="F196" i="1"/>
  <c r="G196" i="1"/>
  <c r="H196" i="1"/>
  <c r="D197" i="1"/>
  <c r="E197" i="1"/>
  <c r="F197" i="1"/>
  <c r="G197" i="1"/>
  <c r="H197" i="1"/>
  <c r="D198" i="1"/>
  <c r="E198" i="1"/>
  <c r="F198" i="1"/>
  <c r="G198" i="1"/>
  <c r="H198" i="1"/>
  <c r="D199" i="1"/>
  <c r="E199" i="1"/>
  <c r="F199" i="1"/>
  <c r="G199" i="1"/>
  <c r="H199" i="1"/>
  <c r="D200" i="1"/>
  <c r="E200" i="1"/>
  <c r="F200" i="1"/>
  <c r="G200" i="1"/>
  <c r="H200" i="1"/>
  <c r="D201" i="1"/>
  <c r="E201" i="1"/>
  <c r="F201" i="1"/>
  <c r="G201" i="1"/>
  <c r="H201" i="1"/>
  <c r="D202" i="1"/>
  <c r="E202" i="1"/>
  <c r="F202" i="1"/>
  <c r="G202" i="1"/>
  <c r="H202" i="1"/>
  <c r="D203" i="1"/>
  <c r="E203" i="1"/>
  <c r="F203" i="1"/>
  <c r="G203" i="1"/>
  <c r="H203" i="1"/>
  <c r="D204" i="1"/>
  <c r="E204" i="1"/>
  <c r="F204" i="1"/>
  <c r="G204" i="1"/>
  <c r="H204" i="1"/>
  <c r="D205" i="1"/>
  <c r="E205" i="1"/>
  <c r="F205" i="1"/>
  <c r="G205" i="1"/>
  <c r="H205" i="1"/>
  <c r="D206" i="1"/>
  <c r="E206" i="1"/>
  <c r="F206" i="1"/>
  <c r="G206" i="1"/>
  <c r="H206" i="1"/>
  <c r="D207" i="1"/>
  <c r="E207" i="1"/>
  <c r="F207" i="1"/>
  <c r="G207" i="1"/>
  <c r="H207" i="1"/>
  <c r="D208" i="1"/>
  <c r="E208" i="1"/>
  <c r="F208" i="1"/>
  <c r="G208" i="1"/>
  <c r="H208" i="1"/>
  <c r="D209" i="1"/>
  <c r="E209" i="1"/>
  <c r="F209" i="1"/>
  <c r="G209" i="1"/>
  <c r="H209" i="1"/>
  <c r="D210" i="1"/>
  <c r="E210" i="1"/>
  <c r="F210" i="1"/>
  <c r="G210" i="1"/>
  <c r="H210" i="1"/>
  <c r="D211" i="1"/>
  <c r="E211" i="1"/>
  <c r="F211" i="1"/>
  <c r="G211" i="1"/>
  <c r="H211" i="1"/>
  <c r="D212" i="1"/>
  <c r="E212" i="1"/>
  <c r="F212" i="1"/>
  <c r="G212" i="1"/>
  <c r="H212" i="1"/>
  <c r="D213" i="1"/>
  <c r="E213" i="1"/>
  <c r="F213" i="1"/>
  <c r="G213" i="1"/>
  <c r="H213" i="1"/>
  <c r="D214" i="1"/>
  <c r="E214" i="1"/>
  <c r="F214" i="1"/>
  <c r="G214" i="1"/>
  <c r="H214" i="1"/>
  <c r="D215" i="1"/>
  <c r="E215" i="1"/>
  <c r="F215" i="1"/>
  <c r="G215" i="1"/>
  <c r="H215" i="1"/>
  <c r="D216" i="1"/>
  <c r="E216" i="1"/>
  <c r="F216" i="1"/>
  <c r="G216" i="1"/>
  <c r="H216" i="1"/>
  <c r="D217" i="1"/>
  <c r="E217" i="1"/>
  <c r="F217" i="1"/>
  <c r="G217" i="1"/>
  <c r="H217" i="1"/>
  <c r="D218" i="1"/>
  <c r="E218" i="1"/>
  <c r="F218" i="1"/>
  <c r="G218" i="1"/>
  <c r="H218" i="1"/>
  <c r="D219" i="1"/>
  <c r="E219" i="1"/>
  <c r="F219" i="1"/>
  <c r="G219" i="1"/>
  <c r="H219" i="1"/>
  <c r="D220" i="1"/>
  <c r="E220" i="1"/>
  <c r="F220" i="1"/>
  <c r="G220" i="1"/>
  <c r="H220" i="1"/>
  <c r="D221" i="1"/>
  <c r="E221" i="1"/>
  <c r="F221" i="1"/>
  <c r="G221" i="1"/>
  <c r="H221" i="1"/>
  <c r="D222" i="1"/>
  <c r="E222" i="1"/>
  <c r="F222" i="1"/>
  <c r="G222" i="1"/>
  <c r="H222" i="1"/>
  <c r="D223" i="1"/>
  <c r="E223" i="1"/>
  <c r="F223" i="1"/>
  <c r="G223" i="1"/>
  <c r="H223" i="1"/>
  <c r="D224" i="1"/>
  <c r="E224" i="1"/>
  <c r="F224" i="1"/>
  <c r="G224" i="1"/>
  <c r="H224" i="1"/>
  <c r="D225" i="1"/>
  <c r="E225" i="1"/>
  <c r="F225" i="1"/>
  <c r="G225" i="1"/>
  <c r="H225" i="1"/>
  <c r="D226" i="1"/>
  <c r="E226" i="1"/>
  <c r="F226" i="1"/>
  <c r="G226" i="1"/>
  <c r="H226" i="1"/>
  <c r="D227" i="1"/>
  <c r="E227" i="1"/>
  <c r="F227" i="1"/>
  <c r="G227" i="1"/>
  <c r="H227" i="1"/>
  <c r="D228" i="1"/>
  <c r="E228" i="1"/>
  <c r="F228" i="1"/>
  <c r="G228" i="1"/>
  <c r="H228" i="1"/>
  <c r="D229" i="1"/>
  <c r="E229" i="1"/>
  <c r="F229" i="1"/>
  <c r="G229" i="1"/>
  <c r="H229" i="1"/>
  <c r="D230" i="1"/>
  <c r="E230" i="1"/>
  <c r="F230" i="1"/>
  <c r="G230" i="1"/>
  <c r="H230" i="1"/>
  <c r="D231" i="1"/>
  <c r="E231" i="1"/>
  <c r="F231" i="1"/>
  <c r="G231" i="1"/>
  <c r="H231" i="1"/>
  <c r="D232" i="1"/>
  <c r="E232" i="1"/>
  <c r="F232" i="1"/>
  <c r="G232" i="1"/>
  <c r="H232" i="1"/>
  <c r="D233" i="1"/>
  <c r="E233" i="1"/>
  <c r="F233" i="1"/>
  <c r="G233" i="1"/>
  <c r="H233" i="1"/>
  <c r="D234" i="1"/>
  <c r="E234" i="1"/>
  <c r="F234" i="1"/>
  <c r="G234" i="1"/>
  <c r="H234" i="1"/>
  <c r="D235" i="1"/>
  <c r="E235" i="1"/>
  <c r="F235" i="1"/>
  <c r="G235" i="1"/>
  <c r="H235" i="1"/>
  <c r="D236" i="1"/>
  <c r="E236" i="1"/>
  <c r="F236" i="1"/>
  <c r="G236" i="1"/>
  <c r="H236" i="1"/>
  <c r="D237" i="1"/>
  <c r="E237" i="1"/>
  <c r="F237" i="1"/>
  <c r="G237" i="1"/>
  <c r="H237" i="1"/>
  <c r="D238" i="1"/>
  <c r="E238" i="1"/>
  <c r="F238" i="1"/>
  <c r="G238" i="1"/>
  <c r="H238" i="1"/>
  <c r="D239" i="1"/>
  <c r="E239" i="1"/>
  <c r="F239" i="1"/>
  <c r="G239" i="1"/>
  <c r="H239" i="1"/>
  <c r="D240" i="1"/>
  <c r="E240" i="1"/>
  <c r="F240" i="1"/>
  <c r="G240" i="1"/>
  <c r="H240" i="1"/>
  <c r="D241" i="1"/>
  <c r="E241" i="1"/>
  <c r="F241" i="1"/>
  <c r="G241" i="1"/>
  <c r="H241" i="1"/>
  <c r="D242" i="1"/>
  <c r="E242" i="1"/>
  <c r="F242" i="1"/>
  <c r="G242" i="1"/>
  <c r="H242" i="1"/>
  <c r="D243" i="1"/>
  <c r="E243" i="1"/>
  <c r="F243" i="1"/>
  <c r="G243" i="1"/>
  <c r="H243" i="1"/>
  <c r="D244" i="1"/>
  <c r="E244" i="1"/>
  <c r="F244" i="1"/>
  <c r="G244" i="1"/>
  <c r="H244" i="1"/>
  <c r="D245" i="1"/>
  <c r="E245" i="1"/>
  <c r="F245" i="1"/>
  <c r="G245" i="1"/>
  <c r="H245" i="1"/>
  <c r="D246" i="1"/>
  <c r="E246" i="1"/>
  <c r="F246" i="1"/>
  <c r="G246" i="1"/>
  <c r="H246" i="1"/>
  <c r="D247" i="1"/>
  <c r="E247" i="1"/>
  <c r="F247" i="1"/>
  <c r="G247" i="1"/>
  <c r="H247" i="1"/>
  <c r="D248" i="1"/>
  <c r="E248" i="1"/>
  <c r="F248" i="1"/>
  <c r="G248" i="1"/>
  <c r="H248" i="1"/>
  <c r="D249" i="1"/>
  <c r="E249" i="1"/>
  <c r="F249" i="1"/>
  <c r="G249" i="1"/>
  <c r="H249" i="1"/>
  <c r="D250" i="1"/>
  <c r="E250" i="1"/>
  <c r="F250" i="1"/>
  <c r="G250" i="1"/>
  <c r="H250" i="1"/>
  <c r="D251" i="1"/>
  <c r="E251" i="1"/>
  <c r="F251" i="1"/>
  <c r="G251" i="1"/>
  <c r="H251" i="1"/>
  <c r="D252" i="1"/>
  <c r="E252" i="1"/>
  <c r="F252" i="1"/>
  <c r="G252" i="1"/>
  <c r="H252" i="1"/>
  <c r="D253" i="1"/>
  <c r="E253" i="1"/>
  <c r="F253" i="1"/>
  <c r="G253" i="1"/>
  <c r="H253" i="1"/>
  <c r="D254" i="1"/>
  <c r="E254" i="1"/>
  <c r="F254" i="1"/>
  <c r="G254" i="1"/>
  <c r="H254" i="1"/>
  <c r="D255" i="1"/>
  <c r="E255" i="1"/>
  <c r="F255" i="1"/>
  <c r="G255" i="1"/>
  <c r="H255" i="1"/>
  <c r="D256" i="1"/>
  <c r="E256" i="1"/>
  <c r="F256" i="1"/>
  <c r="G256" i="1"/>
  <c r="H256" i="1"/>
  <c r="D257" i="1"/>
  <c r="E257" i="1"/>
  <c r="F257" i="1"/>
  <c r="G257" i="1"/>
  <c r="H257" i="1"/>
  <c r="D258" i="1"/>
  <c r="E258" i="1"/>
  <c r="F258" i="1"/>
  <c r="G258" i="1"/>
  <c r="H258" i="1"/>
  <c r="D259" i="1"/>
  <c r="E259" i="1"/>
  <c r="F259" i="1"/>
  <c r="G259" i="1"/>
  <c r="H259" i="1"/>
  <c r="D260" i="1"/>
  <c r="E260" i="1"/>
  <c r="F260" i="1"/>
  <c r="G260" i="1"/>
  <c r="H260" i="1"/>
  <c r="D261" i="1"/>
  <c r="E261" i="1"/>
  <c r="F261" i="1"/>
  <c r="G261" i="1"/>
  <c r="H261" i="1"/>
  <c r="D262" i="1"/>
  <c r="E262" i="1"/>
  <c r="F262" i="1"/>
  <c r="G262" i="1"/>
  <c r="H262" i="1"/>
  <c r="D263" i="1"/>
  <c r="E263" i="1"/>
  <c r="F263" i="1"/>
  <c r="G263" i="1"/>
  <c r="H263" i="1"/>
  <c r="D264" i="1"/>
  <c r="E264" i="1"/>
  <c r="F264" i="1"/>
  <c r="G264" i="1"/>
  <c r="H264" i="1"/>
  <c r="D265" i="1"/>
  <c r="E265" i="1"/>
  <c r="F265" i="1"/>
  <c r="G265" i="1"/>
  <c r="H265" i="1"/>
  <c r="D266" i="1"/>
  <c r="E266" i="1"/>
  <c r="F266" i="1"/>
  <c r="G266" i="1"/>
  <c r="H266" i="1"/>
  <c r="D267" i="1"/>
  <c r="E267" i="1"/>
  <c r="F267" i="1"/>
  <c r="G267" i="1"/>
  <c r="H267" i="1"/>
  <c r="D268" i="1"/>
  <c r="E268" i="1"/>
  <c r="F268" i="1"/>
  <c r="G268" i="1"/>
  <c r="H268" i="1"/>
  <c r="D269" i="1"/>
  <c r="E269" i="1"/>
  <c r="F269" i="1"/>
  <c r="G269" i="1"/>
  <c r="H269" i="1"/>
  <c r="D270" i="1"/>
  <c r="E270" i="1"/>
  <c r="F270" i="1"/>
  <c r="G270" i="1"/>
  <c r="H270" i="1"/>
  <c r="D271" i="1"/>
  <c r="E271" i="1"/>
  <c r="F271" i="1"/>
  <c r="G271" i="1"/>
  <c r="H271" i="1"/>
  <c r="D272" i="1"/>
  <c r="E272" i="1"/>
  <c r="F272" i="1"/>
  <c r="G272" i="1"/>
  <c r="H272" i="1"/>
  <c r="D273" i="1"/>
  <c r="E273" i="1"/>
  <c r="F273" i="1"/>
  <c r="G273" i="1"/>
  <c r="H273" i="1"/>
  <c r="D274" i="1"/>
  <c r="E274" i="1"/>
  <c r="F274" i="1"/>
  <c r="G274" i="1"/>
  <c r="H274" i="1"/>
  <c r="D275" i="1"/>
  <c r="E275" i="1"/>
  <c r="F275" i="1"/>
  <c r="G275" i="1"/>
  <c r="H275" i="1"/>
  <c r="D276" i="1"/>
  <c r="E276" i="1"/>
  <c r="F276" i="1"/>
  <c r="G276" i="1"/>
  <c r="H276" i="1"/>
  <c r="D277" i="1"/>
  <c r="E277" i="1"/>
  <c r="F277" i="1"/>
  <c r="G277" i="1"/>
  <c r="H277" i="1"/>
  <c r="D278" i="1"/>
  <c r="E278" i="1"/>
  <c r="F278" i="1"/>
  <c r="G278" i="1"/>
  <c r="H278" i="1"/>
  <c r="D279" i="1"/>
  <c r="E279" i="1"/>
  <c r="F279" i="1"/>
  <c r="G279" i="1"/>
  <c r="H279" i="1"/>
  <c r="D280" i="1"/>
  <c r="E280" i="1"/>
  <c r="F280" i="1"/>
  <c r="G280" i="1"/>
  <c r="H280" i="1"/>
  <c r="D281" i="1"/>
  <c r="E281" i="1"/>
  <c r="F281" i="1"/>
  <c r="G281" i="1"/>
  <c r="H281" i="1"/>
  <c r="D282" i="1"/>
  <c r="E282" i="1"/>
  <c r="F282" i="1"/>
  <c r="G282" i="1"/>
  <c r="H282" i="1"/>
  <c r="D283" i="1"/>
  <c r="E283" i="1"/>
  <c r="F283" i="1"/>
  <c r="G283" i="1"/>
  <c r="H283" i="1"/>
  <c r="D284" i="1"/>
  <c r="E284" i="1"/>
  <c r="F284" i="1"/>
  <c r="G284" i="1"/>
  <c r="H284" i="1"/>
  <c r="D285" i="1"/>
  <c r="E285" i="1"/>
  <c r="F285" i="1"/>
  <c r="G285" i="1"/>
  <c r="H285" i="1"/>
  <c r="D286" i="1"/>
  <c r="E286" i="1"/>
  <c r="F286" i="1"/>
  <c r="G286" i="1"/>
  <c r="H286" i="1"/>
  <c r="D287" i="1"/>
  <c r="E287" i="1"/>
  <c r="F287" i="1"/>
  <c r="G287" i="1"/>
  <c r="H287" i="1"/>
  <c r="D288" i="1"/>
  <c r="E288" i="1"/>
  <c r="F288" i="1"/>
  <c r="G288" i="1"/>
  <c r="H288" i="1"/>
  <c r="D289" i="1"/>
  <c r="E289" i="1"/>
  <c r="F289" i="1"/>
  <c r="G289" i="1"/>
  <c r="H289" i="1"/>
  <c r="D290" i="1"/>
  <c r="E290" i="1"/>
  <c r="F290" i="1"/>
  <c r="G290" i="1"/>
  <c r="H290" i="1"/>
  <c r="D291" i="1"/>
  <c r="E291" i="1"/>
  <c r="F291" i="1"/>
  <c r="G291" i="1"/>
  <c r="H291" i="1"/>
  <c r="D292" i="1"/>
  <c r="E292" i="1"/>
  <c r="F292" i="1"/>
  <c r="G292" i="1"/>
  <c r="H292" i="1"/>
  <c r="D293" i="1"/>
  <c r="E293" i="1"/>
  <c r="F293" i="1"/>
  <c r="G293" i="1"/>
  <c r="H293" i="1"/>
  <c r="D294" i="1"/>
  <c r="E294" i="1"/>
  <c r="F294" i="1"/>
  <c r="G294" i="1"/>
  <c r="H294" i="1"/>
  <c r="D295" i="1"/>
  <c r="E295" i="1"/>
  <c r="F295" i="1"/>
  <c r="G295" i="1"/>
  <c r="H295" i="1"/>
  <c r="D296" i="1"/>
  <c r="E296" i="1"/>
  <c r="F296" i="1"/>
  <c r="G296" i="1"/>
  <c r="H296" i="1"/>
  <c r="D297" i="1"/>
  <c r="E297" i="1"/>
  <c r="F297" i="1"/>
  <c r="G297" i="1"/>
  <c r="H297" i="1"/>
  <c r="D298" i="1"/>
  <c r="E298" i="1"/>
  <c r="F298" i="1"/>
  <c r="G298" i="1"/>
  <c r="H298" i="1"/>
  <c r="D299" i="1"/>
  <c r="E299" i="1"/>
  <c r="F299" i="1"/>
  <c r="G299" i="1"/>
  <c r="H299" i="1"/>
  <c r="D300" i="1"/>
  <c r="E300" i="1"/>
  <c r="F300" i="1"/>
  <c r="G300" i="1"/>
  <c r="H300" i="1"/>
  <c r="D301" i="1"/>
  <c r="E301" i="1"/>
  <c r="F301" i="1"/>
  <c r="G301" i="1"/>
  <c r="H301" i="1"/>
  <c r="D302" i="1"/>
  <c r="E302" i="1"/>
  <c r="F302" i="1"/>
  <c r="G302" i="1"/>
  <c r="H302" i="1"/>
  <c r="D303" i="1"/>
  <c r="E303" i="1"/>
  <c r="F303" i="1"/>
  <c r="G303" i="1"/>
  <c r="H303" i="1"/>
  <c r="D304" i="1"/>
  <c r="E304" i="1"/>
  <c r="F304" i="1"/>
  <c r="G304" i="1"/>
  <c r="H304" i="1"/>
  <c r="D305" i="1"/>
  <c r="E305" i="1"/>
  <c r="F305" i="1"/>
  <c r="G305" i="1"/>
  <c r="H305" i="1"/>
  <c r="D306" i="1"/>
  <c r="E306" i="1"/>
  <c r="F306" i="1"/>
  <c r="G306" i="1"/>
  <c r="H306" i="1"/>
  <c r="D307" i="1"/>
  <c r="E307" i="1"/>
  <c r="F307" i="1"/>
  <c r="G307" i="1"/>
  <c r="H307" i="1"/>
  <c r="D308" i="1"/>
  <c r="E308" i="1"/>
  <c r="F308" i="1"/>
  <c r="G308" i="1"/>
  <c r="H308" i="1"/>
  <c r="D309" i="1"/>
  <c r="E309" i="1"/>
  <c r="F309" i="1"/>
  <c r="G309" i="1"/>
  <c r="H309" i="1"/>
  <c r="D310" i="1"/>
  <c r="E310" i="1"/>
  <c r="F310" i="1"/>
  <c r="G310" i="1"/>
  <c r="H310" i="1"/>
  <c r="D311" i="1"/>
  <c r="E311" i="1"/>
  <c r="F311" i="1"/>
  <c r="G311" i="1"/>
  <c r="H311" i="1"/>
  <c r="D312" i="1"/>
  <c r="E312" i="1"/>
  <c r="F312" i="1"/>
  <c r="G312" i="1"/>
  <c r="H312" i="1"/>
  <c r="D313" i="1"/>
  <c r="E313" i="1"/>
  <c r="F313" i="1"/>
  <c r="G313" i="1"/>
  <c r="H313" i="1"/>
  <c r="D314" i="1"/>
  <c r="E314" i="1"/>
  <c r="F314" i="1"/>
  <c r="G314" i="1"/>
  <c r="H314" i="1"/>
  <c r="D315" i="1"/>
  <c r="E315" i="1"/>
  <c r="F315" i="1"/>
  <c r="G315" i="1"/>
  <c r="H315" i="1"/>
  <c r="D316" i="1"/>
  <c r="E316" i="1"/>
  <c r="F316" i="1"/>
  <c r="G316" i="1"/>
  <c r="H316" i="1"/>
  <c r="D317" i="1"/>
  <c r="E317" i="1"/>
  <c r="F317" i="1"/>
  <c r="G317" i="1"/>
  <c r="H317" i="1"/>
  <c r="D318" i="1"/>
  <c r="E318" i="1"/>
  <c r="F318" i="1"/>
  <c r="G318" i="1"/>
  <c r="H318" i="1"/>
  <c r="D319" i="1"/>
  <c r="E319" i="1"/>
  <c r="F319" i="1"/>
  <c r="G319" i="1"/>
  <c r="H319" i="1"/>
  <c r="D320" i="1"/>
  <c r="E320" i="1"/>
  <c r="F320" i="1"/>
  <c r="G320" i="1"/>
  <c r="H320" i="1"/>
  <c r="D321" i="1"/>
  <c r="E321" i="1"/>
  <c r="F321" i="1"/>
  <c r="G321" i="1"/>
  <c r="H321" i="1"/>
  <c r="D322" i="1"/>
  <c r="E322" i="1"/>
  <c r="F322" i="1"/>
  <c r="G322" i="1"/>
  <c r="H322" i="1"/>
  <c r="D323" i="1"/>
  <c r="E323" i="1"/>
  <c r="F323" i="1"/>
  <c r="G323" i="1"/>
  <c r="H323" i="1"/>
  <c r="D324" i="1"/>
  <c r="E324" i="1"/>
  <c r="F324" i="1"/>
  <c r="G324" i="1"/>
  <c r="H324" i="1"/>
  <c r="D325" i="1"/>
  <c r="E325" i="1"/>
  <c r="F325" i="1"/>
  <c r="G325" i="1"/>
  <c r="H325" i="1"/>
  <c r="D326" i="1"/>
  <c r="E326" i="1"/>
  <c r="F326" i="1"/>
  <c r="G326" i="1"/>
  <c r="H326" i="1"/>
  <c r="D327" i="1"/>
  <c r="E327" i="1"/>
  <c r="F327" i="1"/>
  <c r="G327" i="1"/>
  <c r="H327" i="1"/>
  <c r="D328" i="1"/>
  <c r="E328" i="1"/>
  <c r="F328" i="1"/>
  <c r="G328" i="1"/>
  <c r="H328" i="1"/>
  <c r="D329" i="1"/>
  <c r="E329" i="1"/>
  <c r="F329" i="1"/>
  <c r="G329" i="1"/>
  <c r="H329" i="1"/>
  <c r="D330" i="1"/>
  <c r="E330" i="1"/>
  <c r="F330" i="1"/>
  <c r="G330" i="1"/>
  <c r="H330" i="1"/>
  <c r="D331" i="1"/>
  <c r="E331" i="1"/>
  <c r="F331" i="1"/>
  <c r="G331" i="1"/>
  <c r="H331" i="1"/>
  <c r="D332" i="1"/>
  <c r="E332" i="1"/>
  <c r="F332" i="1"/>
  <c r="G332" i="1"/>
  <c r="H332" i="1"/>
  <c r="D333" i="1"/>
  <c r="E333" i="1"/>
  <c r="F333" i="1"/>
  <c r="G333" i="1"/>
  <c r="H333" i="1"/>
  <c r="D334" i="1"/>
  <c r="E334" i="1"/>
  <c r="F334" i="1"/>
  <c r="G334" i="1"/>
  <c r="H334" i="1"/>
  <c r="D335" i="1"/>
  <c r="E335" i="1"/>
  <c r="F335" i="1"/>
  <c r="G335" i="1"/>
  <c r="H335" i="1"/>
  <c r="D336" i="1"/>
  <c r="E336" i="1"/>
  <c r="F336" i="1"/>
  <c r="G336" i="1"/>
  <c r="H336" i="1"/>
  <c r="D337" i="1"/>
  <c r="E337" i="1"/>
  <c r="F337" i="1"/>
  <c r="G337" i="1"/>
  <c r="H337" i="1"/>
  <c r="D338" i="1"/>
  <c r="E338" i="1"/>
  <c r="F338" i="1"/>
  <c r="G338" i="1"/>
  <c r="H338" i="1"/>
  <c r="D339" i="1"/>
  <c r="E339" i="1"/>
  <c r="F339" i="1"/>
  <c r="G339" i="1"/>
  <c r="H339" i="1"/>
  <c r="D340" i="1"/>
  <c r="E340" i="1"/>
  <c r="F340" i="1"/>
  <c r="G340" i="1"/>
  <c r="H340" i="1"/>
  <c r="D341" i="1"/>
  <c r="E341" i="1"/>
  <c r="F341" i="1"/>
  <c r="G341" i="1"/>
  <c r="H341" i="1"/>
  <c r="D342" i="1"/>
  <c r="E342" i="1"/>
  <c r="F342" i="1"/>
  <c r="G342" i="1"/>
  <c r="H342" i="1"/>
  <c r="D343" i="1"/>
  <c r="E343" i="1"/>
  <c r="F343" i="1"/>
  <c r="G343" i="1"/>
  <c r="H343" i="1"/>
  <c r="D344" i="1"/>
  <c r="E344" i="1"/>
  <c r="F344" i="1"/>
  <c r="G344" i="1"/>
  <c r="H344" i="1"/>
  <c r="D345" i="1"/>
  <c r="E345" i="1"/>
  <c r="F345" i="1"/>
  <c r="G345" i="1"/>
  <c r="H345" i="1"/>
  <c r="D346" i="1"/>
  <c r="E346" i="1"/>
  <c r="F346" i="1"/>
  <c r="G346" i="1"/>
  <c r="H346" i="1"/>
  <c r="D347" i="1"/>
  <c r="E347" i="1"/>
  <c r="F347" i="1"/>
  <c r="G347" i="1"/>
  <c r="H347" i="1"/>
  <c r="D348" i="1"/>
  <c r="E348" i="1"/>
  <c r="F348" i="1"/>
  <c r="G348" i="1"/>
  <c r="H348" i="1"/>
  <c r="D349" i="1"/>
  <c r="E349" i="1"/>
  <c r="F349" i="1"/>
  <c r="G349" i="1"/>
  <c r="H349" i="1"/>
  <c r="D350" i="1"/>
  <c r="E350" i="1"/>
  <c r="F350" i="1"/>
  <c r="G350" i="1"/>
  <c r="H350" i="1"/>
  <c r="D351" i="1"/>
  <c r="E351" i="1"/>
  <c r="F351" i="1"/>
  <c r="G351" i="1"/>
  <c r="H351" i="1"/>
  <c r="D352" i="1"/>
  <c r="E352" i="1"/>
  <c r="F352" i="1"/>
  <c r="G352" i="1"/>
  <c r="H352" i="1"/>
  <c r="D353" i="1"/>
  <c r="E353" i="1"/>
  <c r="F353" i="1"/>
  <c r="G353" i="1"/>
  <c r="H353" i="1"/>
  <c r="D354" i="1"/>
  <c r="E354" i="1"/>
  <c r="F354" i="1"/>
  <c r="G354" i="1"/>
  <c r="H354" i="1"/>
  <c r="D355" i="1"/>
  <c r="E355" i="1"/>
  <c r="F355" i="1"/>
  <c r="G355" i="1"/>
  <c r="H355" i="1"/>
  <c r="D356" i="1"/>
  <c r="E356" i="1"/>
  <c r="F356" i="1"/>
  <c r="G356" i="1"/>
  <c r="H356" i="1"/>
  <c r="D357" i="1"/>
  <c r="E357" i="1"/>
  <c r="F357" i="1"/>
  <c r="G357" i="1"/>
  <c r="H357" i="1"/>
  <c r="D358" i="1"/>
  <c r="E358" i="1"/>
  <c r="F358" i="1"/>
  <c r="G358" i="1"/>
  <c r="H358" i="1"/>
  <c r="D359" i="1"/>
  <c r="E359" i="1"/>
  <c r="F359" i="1"/>
  <c r="G359" i="1"/>
  <c r="H359" i="1"/>
  <c r="D360" i="1"/>
  <c r="E360" i="1"/>
  <c r="F360" i="1"/>
  <c r="G360" i="1"/>
  <c r="H360" i="1"/>
  <c r="D361" i="1"/>
  <c r="E361" i="1"/>
  <c r="F361" i="1"/>
  <c r="G361" i="1"/>
  <c r="H361" i="1"/>
  <c r="D362" i="1"/>
  <c r="E362" i="1"/>
  <c r="F362" i="1"/>
  <c r="G362" i="1"/>
  <c r="H362" i="1"/>
  <c r="D363" i="1"/>
  <c r="E363" i="1"/>
  <c r="F363" i="1"/>
  <c r="G363" i="1"/>
  <c r="H363" i="1"/>
  <c r="D364" i="1"/>
  <c r="E364" i="1"/>
  <c r="F364" i="1"/>
  <c r="G364" i="1"/>
  <c r="H364" i="1"/>
  <c r="D365" i="1"/>
  <c r="E365" i="1"/>
  <c r="F365" i="1"/>
  <c r="G365" i="1"/>
  <c r="H365" i="1"/>
  <c r="D366" i="1"/>
  <c r="E366" i="1"/>
  <c r="F366" i="1"/>
  <c r="G366" i="1"/>
  <c r="H366" i="1"/>
  <c r="D367" i="1"/>
  <c r="E367" i="1"/>
  <c r="F367" i="1"/>
  <c r="G367" i="1"/>
  <c r="H367" i="1"/>
  <c r="D368" i="1"/>
  <c r="E368" i="1"/>
  <c r="F368" i="1"/>
  <c r="G368" i="1"/>
  <c r="H368" i="1"/>
  <c r="D369" i="1"/>
  <c r="E369" i="1"/>
  <c r="F369" i="1"/>
  <c r="G369" i="1"/>
  <c r="H369" i="1"/>
  <c r="D370" i="1"/>
  <c r="E370" i="1"/>
  <c r="F370" i="1"/>
  <c r="G370" i="1"/>
  <c r="H370" i="1"/>
  <c r="D371" i="1"/>
  <c r="E371" i="1"/>
  <c r="F371" i="1"/>
  <c r="G371" i="1"/>
  <c r="H371" i="1"/>
  <c r="D372" i="1"/>
  <c r="E372" i="1"/>
  <c r="F372" i="1"/>
  <c r="G372" i="1"/>
  <c r="H372" i="1"/>
  <c r="D373" i="1"/>
  <c r="E373" i="1"/>
  <c r="F373" i="1"/>
  <c r="G373" i="1"/>
  <c r="H373" i="1"/>
  <c r="D374" i="1"/>
  <c r="E374" i="1"/>
  <c r="F374" i="1"/>
  <c r="G374" i="1"/>
  <c r="H374" i="1"/>
  <c r="D375" i="1"/>
  <c r="E375" i="1"/>
  <c r="F375" i="1"/>
  <c r="G375" i="1"/>
  <c r="H375" i="1"/>
  <c r="D376" i="1"/>
  <c r="E376" i="1"/>
  <c r="F376" i="1"/>
  <c r="G376" i="1"/>
  <c r="H376" i="1"/>
  <c r="D377" i="1"/>
  <c r="E377" i="1"/>
  <c r="F377" i="1"/>
  <c r="G377" i="1"/>
  <c r="H377" i="1"/>
  <c r="D378" i="1"/>
  <c r="E378" i="1"/>
  <c r="F378" i="1"/>
  <c r="G378" i="1"/>
  <c r="H378" i="1"/>
  <c r="D379" i="1"/>
  <c r="E379" i="1"/>
  <c r="F379" i="1"/>
  <c r="G379" i="1"/>
  <c r="H379" i="1"/>
  <c r="D380" i="1"/>
  <c r="E380" i="1"/>
  <c r="F380" i="1"/>
  <c r="G380" i="1"/>
  <c r="H380" i="1"/>
  <c r="D381" i="1"/>
  <c r="E381" i="1"/>
  <c r="F381" i="1"/>
  <c r="G381" i="1"/>
  <c r="H381" i="1"/>
  <c r="D382" i="1"/>
  <c r="E382" i="1"/>
  <c r="F382" i="1"/>
  <c r="G382" i="1"/>
  <c r="H382" i="1"/>
  <c r="D383" i="1"/>
  <c r="E383" i="1"/>
  <c r="F383" i="1"/>
  <c r="G383" i="1"/>
  <c r="H383" i="1"/>
  <c r="D384" i="1"/>
  <c r="E384" i="1"/>
  <c r="F384" i="1"/>
  <c r="G384" i="1"/>
  <c r="H384" i="1"/>
  <c r="D385" i="1"/>
  <c r="E385" i="1"/>
  <c r="F385" i="1"/>
  <c r="G385" i="1"/>
  <c r="H385" i="1"/>
  <c r="D386" i="1"/>
  <c r="E386" i="1"/>
  <c r="F386" i="1"/>
  <c r="G386" i="1"/>
  <c r="H386" i="1"/>
  <c r="D387" i="1"/>
  <c r="E387" i="1"/>
  <c r="F387" i="1"/>
  <c r="G387" i="1"/>
  <c r="H387" i="1"/>
  <c r="D388" i="1"/>
  <c r="E388" i="1"/>
  <c r="F388" i="1"/>
  <c r="G388" i="1"/>
  <c r="H388" i="1"/>
  <c r="D389" i="1"/>
  <c r="E389" i="1"/>
  <c r="F389" i="1"/>
  <c r="G389" i="1"/>
  <c r="H389" i="1"/>
  <c r="D390" i="1"/>
  <c r="E390" i="1"/>
  <c r="F390" i="1"/>
  <c r="G390" i="1"/>
  <c r="H390" i="1"/>
  <c r="D391" i="1"/>
  <c r="E391" i="1"/>
  <c r="F391" i="1"/>
  <c r="G391" i="1"/>
  <c r="H391" i="1"/>
  <c r="D392" i="1"/>
  <c r="E392" i="1"/>
  <c r="F392" i="1"/>
  <c r="G392" i="1"/>
  <c r="H392" i="1"/>
  <c r="D393" i="1"/>
  <c r="E393" i="1"/>
  <c r="F393" i="1"/>
  <c r="G393" i="1"/>
  <c r="H393" i="1"/>
  <c r="D394" i="1"/>
  <c r="E394" i="1"/>
  <c r="F394" i="1"/>
  <c r="G394" i="1"/>
  <c r="H394" i="1"/>
  <c r="D395" i="1"/>
  <c r="E395" i="1"/>
  <c r="F395" i="1"/>
  <c r="G395" i="1"/>
  <c r="H395" i="1"/>
  <c r="D396" i="1"/>
  <c r="E396" i="1"/>
  <c r="F396" i="1"/>
  <c r="G396" i="1"/>
  <c r="H396" i="1"/>
  <c r="D397" i="1"/>
  <c r="E397" i="1"/>
  <c r="F397" i="1"/>
  <c r="G397" i="1"/>
  <c r="H397" i="1"/>
  <c r="D398" i="1"/>
  <c r="E398" i="1"/>
  <c r="F398" i="1"/>
  <c r="G398" i="1"/>
  <c r="H398" i="1"/>
  <c r="D399" i="1"/>
  <c r="E399" i="1"/>
  <c r="F399" i="1"/>
  <c r="G399" i="1"/>
  <c r="H399" i="1"/>
  <c r="D400" i="1"/>
  <c r="E400" i="1"/>
  <c r="F400" i="1"/>
  <c r="G400" i="1"/>
  <c r="H400" i="1"/>
  <c r="D401" i="1"/>
  <c r="E401" i="1"/>
  <c r="F401" i="1"/>
  <c r="G401" i="1"/>
  <c r="H401" i="1"/>
  <c r="D402" i="1"/>
  <c r="E402" i="1"/>
  <c r="F402" i="1"/>
  <c r="G402" i="1"/>
  <c r="H402" i="1"/>
  <c r="D403" i="1"/>
  <c r="E403" i="1"/>
  <c r="F403" i="1"/>
  <c r="G403" i="1"/>
  <c r="H403" i="1"/>
  <c r="D404" i="1"/>
  <c r="E404" i="1"/>
  <c r="F404" i="1"/>
  <c r="G404" i="1"/>
  <c r="H404" i="1"/>
  <c r="D405" i="1"/>
  <c r="E405" i="1"/>
  <c r="F405" i="1"/>
  <c r="G405" i="1"/>
  <c r="H405" i="1"/>
  <c r="D406" i="1"/>
  <c r="E406" i="1"/>
  <c r="F406" i="1"/>
  <c r="G406" i="1"/>
  <c r="H406" i="1"/>
  <c r="D407" i="1"/>
  <c r="E407" i="1"/>
  <c r="F407" i="1"/>
  <c r="G407" i="1"/>
  <c r="H407" i="1"/>
  <c r="D408" i="1"/>
  <c r="E408" i="1"/>
  <c r="F408" i="1"/>
  <c r="G408" i="1"/>
  <c r="H408" i="1"/>
  <c r="D409" i="1"/>
  <c r="E409" i="1"/>
  <c r="F409" i="1"/>
  <c r="G409" i="1"/>
  <c r="H409" i="1"/>
  <c r="D410" i="1"/>
  <c r="E410" i="1"/>
  <c r="F410" i="1"/>
  <c r="G410" i="1"/>
  <c r="H410" i="1"/>
  <c r="D411" i="1"/>
  <c r="E411" i="1"/>
  <c r="F411" i="1"/>
  <c r="G411" i="1"/>
  <c r="H411" i="1"/>
  <c r="D412" i="1"/>
  <c r="E412" i="1"/>
  <c r="F412" i="1"/>
  <c r="G412" i="1"/>
  <c r="H412" i="1"/>
  <c r="D413" i="1"/>
  <c r="E413" i="1"/>
  <c r="F413" i="1"/>
  <c r="G413" i="1"/>
  <c r="H413" i="1"/>
  <c r="D414" i="1"/>
  <c r="E414" i="1"/>
  <c r="F414" i="1"/>
  <c r="G414" i="1"/>
  <c r="H414" i="1"/>
  <c r="D415" i="1"/>
  <c r="E415" i="1"/>
  <c r="F415" i="1"/>
  <c r="G415" i="1"/>
  <c r="H415" i="1"/>
  <c r="D416" i="1"/>
  <c r="E416" i="1"/>
  <c r="F416" i="1"/>
  <c r="G416" i="1"/>
  <c r="H416" i="1"/>
  <c r="D417" i="1"/>
  <c r="E417" i="1"/>
  <c r="F417" i="1"/>
  <c r="G417" i="1"/>
  <c r="H417" i="1"/>
  <c r="D418" i="1"/>
  <c r="E418" i="1"/>
  <c r="F418" i="1"/>
  <c r="G418" i="1"/>
  <c r="H418" i="1"/>
  <c r="D419" i="1"/>
  <c r="E419" i="1"/>
  <c r="F419" i="1"/>
  <c r="G419" i="1"/>
  <c r="H419" i="1"/>
  <c r="D420" i="1"/>
  <c r="E420" i="1"/>
  <c r="F420" i="1"/>
  <c r="G420" i="1"/>
  <c r="H420" i="1"/>
  <c r="D421" i="1"/>
  <c r="E421" i="1"/>
  <c r="F421" i="1"/>
  <c r="G421" i="1"/>
  <c r="H421" i="1"/>
  <c r="D422" i="1"/>
  <c r="E422" i="1"/>
  <c r="F422" i="1"/>
  <c r="G422" i="1"/>
  <c r="H422" i="1"/>
  <c r="D423" i="1"/>
  <c r="E423" i="1"/>
  <c r="F423" i="1"/>
  <c r="G423" i="1"/>
  <c r="H423" i="1"/>
  <c r="D424" i="1"/>
  <c r="E424" i="1"/>
  <c r="F424" i="1"/>
  <c r="G424" i="1"/>
  <c r="H424" i="1"/>
  <c r="D425" i="1"/>
  <c r="E425" i="1"/>
  <c r="F425" i="1"/>
  <c r="G425" i="1"/>
  <c r="H425" i="1"/>
  <c r="D426" i="1"/>
  <c r="E426" i="1"/>
  <c r="F426" i="1"/>
  <c r="G426" i="1"/>
  <c r="H426" i="1"/>
  <c r="D427" i="1"/>
  <c r="E427" i="1"/>
  <c r="F427" i="1"/>
  <c r="G427" i="1"/>
  <c r="H427" i="1"/>
  <c r="D428" i="1"/>
  <c r="E428" i="1"/>
  <c r="F428" i="1"/>
  <c r="G428" i="1"/>
  <c r="H428" i="1"/>
  <c r="D429" i="1"/>
  <c r="E429" i="1"/>
  <c r="F429" i="1"/>
  <c r="G429" i="1"/>
  <c r="H429" i="1"/>
  <c r="D430" i="1"/>
  <c r="E430" i="1"/>
  <c r="F430" i="1"/>
  <c r="G430" i="1"/>
  <c r="H430" i="1"/>
  <c r="D431" i="1"/>
  <c r="E431" i="1"/>
  <c r="F431" i="1"/>
  <c r="G431" i="1"/>
  <c r="H431" i="1"/>
  <c r="D432" i="1"/>
  <c r="E432" i="1"/>
  <c r="F432" i="1"/>
  <c r="G432" i="1"/>
  <c r="H432" i="1"/>
  <c r="D433" i="1"/>
  <c r="E433" i="1"/>
  <c r="F433" i="1"/>
  <c r="G433" i="1"/>
  <c r="H433" i="1"/>
  <c r="D434" i="1"/>
  <c r="E434" i="1"/>
  <c r="F434" i="1"/>
  <c r="G434" i="1"/>
  <c r="H434" i="1"/>
  <c r="D435" i="1"/>
  <c r="E435" i="1"/>
  <c r="F435" i="1"/>
  <c r="G435" i="1"/>
  <c r="H435" i="1"/>
  <c r="D436" i="1"/>
  <c r="E436" i="1"/>
  <c r="F436" i="1"/>
  <c r="G436" i="1"/>
  <c r="H436" i="1"/>
  <c r="D437" i="1"/>
  <c r="E437" i="1"/>
  <c r="F437" i="1"/>
  <c r="G437" i="1"/>
  <c r="H437" i="1"/>
  <c r="D438" i="1"/>
  <c r="E438" i="1"/>
  <c r="F438" i="1"/>
  <c r="G438" i="1"/>
  <c r="H438" i="1"/>
  <c r="D439" i="1"/>
  <c r="E439" i="1"/>
  <c r="F439" i="1"/>
  <c r="G439" i="1"/>
  <c r="H439" i="1"/>
  <c r="D440" i="1"/>
  <c r="E440" i="1"/>
  <c r="F440" i="1"/>
  <c r="G440" i="1"/>
  <c r="H440" i="1"/>
  <c r="D441" i="1"/>
  <c r="E441" i="1"/>
  <c r="F441" i="1"/>
  <c r="G441" i="1"/>
  <c r="H441" i="1"/>
  <c r="D442" i="1"/>
  <c r="E442" i="1"/>
  <c r="F442" i="1"/>
  <c r="G442" i="1"/>
  <c r="H442" i="1"/>
  <c r="D443" i="1"/>
  <c r="E443" i="1"/>
  <c r="F443" i="1"/>
  <c r="G443" i="1"/>
  <c r="H443" i="1"/>
  <c r="D444" i="1"/>
  <c r="E444" i="1"/>
  <c r="F444" i="1"/>
  <c r="G444" i="1"/>
  <c r="H444" i="1"/>
  <c r="D445" i="1"/>
  <c r="E445" i="1"/>
  <c r="F445" i="1"/>
  <c r="G445" i="1"/>
  <c r="H445" i="1"/>
  <c r="D446" i="1"/>
  <c r="E446" i="1"/>
  <c r="F446" i="1"/>
  <c r="G446" i="1"/>
  <c r="H446" i="1"/>
  <c r="D447" i="1"/>
  <c r="E447" i="1"/>
  <c r="F447" i="1"/>
  <c r="G447" i="1"/>
  <c r="H447" i="1"/>
  <c r="D448" i="1"/>
  <c r="E448" i="1"/>
  <c r="F448" i="1"/>
  <c r="G448" i="1"/>
  <c r="H448" i="1"/>
  <c r="D449" i="1"/>
  <c r="E449" i="1"/>
  <c r="F449" i="1"/>
  <c r="G449" i="1"/>
  <c r="H449" i="1"/>
  <c r="D450" i="1"/>
  <c r="E450" i="1"/>
  <c r="F450" i="1"/>
  <c r="G450" i="1"/>
  <c r="H450" i="1"/>
  <c r="D451" i="1"/>
  <c r="E451" i="1"/>
  <c r="F451" i="1"/>
  <c r="G451" i="1"/>
  <c r="H451" i="1"/>
  <c r="D452" i="1"/>
  <c r="E452" i="1"/>
  <c r="F452" i="1"/>
  <c r="G452" i="1"/>
  <c r="H452" i="1"/>
  <c r="D453" i="1"/>
  <c r="E453" i="1"/>
  <c r="F453" i="1"/>
  <c r="G453" i="1"/>
  <c r="H453" i="1"/>
  <c r="D454" i="1"/>
  <c r="E454" i="1"/>
  <c r="F454" i="1"/>
  <c r="G454" i="1"/>
  <c r="H454" i="1"/>
  <c r="D455" i="1"/>
  <c r="E455" i="1"/>
  <c r="F455" i="1"/>
  <c r="G455" i="1"/>
  <c r="H455" i="1"/>
  <c r="D456" i="1"/>
  <c r="E456" i="1"/>
  <c r="F456" i="1"/>
  <c r="G456" i="1"/>
  <c r="H456" i="1"/>
  <c r="D457" i="1"/>
  <c r="E457" i="1"/>
  <c r="F457" i="1"/>
  <c r="G457" i="1"/>
  <c r="H457" i="1"/>
  <c r="D458" i="1"/>
  <c r="E458" i="1"/>
  <c r="F458" i="1"/>
  <c r="G458" i="1"/>
  <c r="H458" i="1"/>
  <c r="D459" i="1"/>
  <c r="E459" i="1"/>
  <c r="F459" i="1"/>
  <c r="G459" i="1"/>
  <c r="H459" i="1"/>
  <c r="D460" i="1"/>
  <c r="E460" i="1"/>
  <c r="F460" i="1"/>
  <c r="G460" i="1"/>
  <c r="H460" i="1"/>
  <c r="D461" i="1"/>
  <c r="E461" i="1"/>
  <c r="F461" i="1"/>
  <c r="G461" i="1"/>
  <c r="H461" i="1"/>
  <c r="D462" i="1"/>
  <c r="E462" i="1"/>
  <c r="F462" i="1"/>
  <c r="G462" i="1"/>
  <c r="H462" i="1"/>
  <c r="D463" i="1"/>
  <c r="E463" i="1"/>
  <c r="F463" i="1"/>
  <c r="G463" i="1"/>
  <c r="H463" i="1"/>
  <c r="D464" i="1"/>
  <c r="E464" i="1"/>
  <c r="F464" i="1"/>
  <c r="G464" i="1"/>
  <c r="H464" i="1"/>
  <c r="D465" i="1"/>
  <c r="E465" i="1"/>
  <c r="F465" i="1"/>
  <c r="G465" i="1"/>
  <c r="H465" i="1"/>
  <c r="D466" i="1"/>
  <c r="E466" i="1"/>
  <c r="F466" i="1"/>
  <c r="G466" i="1"/>
  <c r="H466" i="1"/>
  <c r="D467" i="1"/>
  <c r="E467" i="1"/>
  <c r="F467" i="1"/>
  <c r="G467" i="1"/>
  <c r="H467" i="1"/>
  <c r="D468" i="1"/>
  <c r="E468" i="1"/>
  <c r="F468" i="1"/>
  <c r="G468" i="1"/>
  <c r="H468" i="1"/>
  <c r="D469" i="1"/>
  <c r="E469" i="1"/>
  <c r="F469" i="1"/>
  <c r="G469" i="1"/>
  <c r="H469" i="1"/>
  <c r="D470" i="1"/>
  <c r="E470" i="1"/>
  <c r="F470" i="1"/>
  <c r="G470" i="1"/>
  <c r="H470" i="1"/>
  <c r="D471" i="1"/>
  <c r="E471" i="1"/>
  <c r="F471" i="1"/>
  <c r="G471" i="1"/>
  <c r="H471" i="1"/>
  <c r="D472" i="1"/>
  <c r="E472" i="1"/>
  <c r="F472" i="1"/>
  <c r="G472" i="1"/>
  <c r="H472" i="1"/>
  <c r="D473" i="1"/>
  <c r="E473" i="1"/>
  <c r="F473" i="1"/>
  <c r="G473" i="1"/>
  <c r="H473" i="1"/>
  <c r="D474" i="1"/>
  <c r="E474" i="1"/>
  <c r="F474" i="1"/>
  <c r="G474" i="1"/>
  <c r="H474" i="1"/>
  <c r="D475" i="1"/>
  <c r="E475" i="1"/>
  <c r="F475" i="1"/>
  <c r="G475" i="1"/>
  <c r="H475" i="1"/>
  <c r="D476" i="1"/>
  <c r="E476" i="1"/>
  <c r="F476" i="1"/>
  <c r="G476" i="1"/>
  <c r="H476" i="1"/>
  <c r="D477" i="1"/>
  <c r="E477" i="1"/>
  <c r="F477" i="1"/>
  <c r="G477" i="1"/>
  <c r="H477" i="1"/>
  <c r="D478" i="1"/>
  <c r="E478" i="1"/>
  <c r="F478" i="1"/>
  <c r="G478" i="1"/>
  <c r="H478" i="1"/>
  <c r="D479" i="1"/>
  <c r="E479" i="1"/>
  <c r="F479" i="1"/>
  <c r="G479" i="1"/>
  <c r="H479" i="1"/>
  <c r="D480" i="1"/>
  <c r="E480" i="1"/>
  <c r="F480" i="1"/>
  <c r="G480" i="1"/>
  <c r="H480" i="1"/>
  <c r="D481" i="1"/>
  <c r="E481" i="1"/>
  <c r="F481" i="1"/>
  <c r="G481" i="1"/>
  <c r="H481" i="1"/>
  <c r="D482" i="1"/>
  <c r="E482" i="1"/>
  <c r="F482" i="1"/>
  <c r="G482" i="1"/>
  <c r="H482" i="1"/>
  <c r="D483" i="1"/>
  <c r="E483" i="1"/>
  <c r="F483" i="1"/>
  <c r="G483" i="1"/>
  <c r="H483" i="1"/>
  <c r="D484" i="1"/>
  <c r="E484" i="1"/>
  <c r="F484" i="1"/>
  <c r="G484" i="1"/>
  <c r="H484" i="1"/>
  <c r="D485" i="1"/>
  <c r="E485" i="1"/>
  <c r="F485" i="1"/>
  <c r="G485" i="1"/>
  <c r="H485" i="1"/>
  <c r="D486" i="1"/>
  <c r="E486" i="1"/>
  <c r="F486" i="1"/>
  <c r="G486" i="1"/>
  <c r="H486" i="1"/>
  <c r="D487" i="1"/>
  <c r="E487" i="1"/>
  <c r="F487" i="1"/>
  <c r="G487" i="1"/>
  <c r="H487" i="1"/>
  <c r="D488" i="1"/>
  <c r="E488" i="1"/>
  <c r="F488" i="1"/>
  <c r="G488" i="1"/>
  <c r="H488" i="1"/>
  <c r="D489" i="1"/>
  <c r="E489" i="1"/>
  <c r="F489" i="1"/>
  <c r="G489" i="1"/>
  <c r="H489" i="1"/>
  <c r="D490" i="1"/>
  <c r="E490" i="1"/>
  <c r="F490" i="1"/>
  <c r="G490" i="1"/>
  <c r="H490" i="1"/>
  <c r="D491" i="1"/>
  <c r="E491" i="1"/>
  <c r="F491" i="1"/>
  <c r="G491" i="1"/>
  <c r="H491" i="1"/>
  <c r="D492" i="1"/>
  <c r="E492" i="1"/>
  <c r="F492" i="1"/>
  <c r="G492" i="1"/>
  <c r="H492" i="1"/>
  <c r="D493" i="1"/>
  <c r="E493" i="1"/>
  <c r="F493" i="1"/>
  <c r="G493" i="1"/>
  <c r="H493" i="1"/>
  <c r="D494" i="1"/>
  <c r="E494" i="1"/>
  <c r="F494" i="1"/>
  <c r="G494" i="1"/>
  <c r="H494" i="1"/>
  <c r="D495" i="1"/>
  <c r="E495" i="1"/>
  <c r="F495" i="1"/>
  <c r="G495" i="1"/>
  <c r="H495" i="1"/>
  <c r="D496" i="1"/>
  <c r="E496" i="1"/>
  <c r="F496" i="1"/>
  <c r="G496" i="1"/>
  <c r="H496" i="1"/>
  <c r="D497" i="1"/>
  <c r="E497" i="1"/>
  <c r="F497" i="1"/>
  <c r="G497" i="1"/>
  <c r="H497" i="1"/>
  <c r="D498" i="1"/>
  <c r="E498" i="1"/>
  <c r="F498" i="1"/>
  <c r="G498" i="1"/>
  <c r="H498" i="1"/>
  <c r="D499" i="1"/>
  <c r="E499" i="1"/>
  <c r="F499" i="1"/>
  <c r="G499" i="1"/>
  <c r="H499" i="1"/>
  <c r="D500" i="1"/>
  <c r="E500" i="1"/>
  <c r="F500" i="1"/>
  <c r="G500" i="1"/>
  <c r="H500" i="1"/>
  <c r="D501" i="1"/>
  <c r="E501" i="1"/>
  <c r="F501" i="1"/>
  <c r="G501" i="1"/>
  <c r="H501" i="1"/>
  <c r="D502" i="1"/>
  <c r="E502" i="1"/>
  <c r="F502" i="1"/>
  <c r="G502" i="1"/>
  <c r="H502" i="1"/>
  <c r="D503" i="1"/>
  <c r="E503" i="1"/>
  <c r="F503" i="1"/>
  <c r="G503" i="1"/>
  <c r="H503" i="1"/>
  <c r="D504" i="1"/>
  <c r="E504" i="1"/>
  <c r="F504" i="1"/>
  <c r="G504" i="1"/>
  <c r="H504" i="1"/>
  <c r="D505" i="1"/>
  <c r="E505" i="1"/>
  <c r="F505" i="1"/>
  <c r="G505" i="1"/>
  <c r="H505" i="1"/>
  <c r="D506" i="1"/>
  <c r="E506" i="1"/>
  <c r="F506" i="1"/>
  <c r="G506" i="1"/>
  <c r="H506" i="1"/>
  <c r="D507" i="1"/>
  <c r="E507" i="1"/>
  <c r="F507" i="1"/>
  <c r="G507" i="1"/>
  <c r="H507" i="1"/>
  <c r="D508" i="1"/>
  <c r="E508" i="1"/>
  <c r="F508" i="1"/>
  <c r="G508" i="1"/>
  <c r="H508" i="1"/>
  <c r="D509" i="1"/>
  <c r="E509" i="1"/>
  <c r="F509" i="1"/>
  <c r="G509" i="1"/>
  <c r="H509" i="1"/>
  <c r="D510" i="1"/>
  <c r="E510" i="1"/>
  <c r="F510" i="1"/>
  <c r="G510" i="1"/>
  <c r="H510" i="1"/>
  <c r="D511" i="1"/>
  <c r="E511" i="1"/>
  <c r="F511" i="1"/>
  <c r="G511" i="1"/>
  <c r="H511" i="1"/>
  <c r="D512" i="1"/>
  <c r="E512" i="1"/>
  <c r="F512" i="1"/>
  <c r="G512" i="1"/>
  <c r="H512" i="1"/>
  <c r="D513" i="1"/>
  <c r="E513" i="1"/>
  <c r="F513" i="1"/>
  <c r="G513" i="1"/>
  <c r="H513" i="1"/>
  <c r="D514" i="1"/>
  <c r="E514" i="1"/>
  <c r="F514" i="1"/>
  <c r="G514" i="1"/>
  <c r="H514" i="1"/>
  <c r="D515" i="1"/>
  <c r="E515" i="1"/>
  <c r="F515" i="1"/>
  <c r="G515" i="1"/>
  <c r="H515" i="1"/>
  <c r="D516" i="1"/>
  <c r="E516" i="1"/>
  <c r="F516" i="1"/>
  <c r="G516" i="1"/>
  <c r="H516" i="1"/>
  <c r="D517" i="1"/>
  <c r="E517" i="1"/>
  <c r="F517" i="1"/>
  <c r="G517" i="1"/>
  <c r="H517" i="1"/>
  <c r="D518" i="1"/>
  <c r="E518" i="1"/>
  <c r="F518" i="1"/>
  <c r="G518" i="1"/>
  <c r="H518" i="1"/>
  <c r="D519" i="1"/>
  <c r="E519" i="1"/>
  <c r="F519" i="1"/>
  <c r="G519" i="1"/>
  <c r="H519" i="1"/>
  <c r="D520" i="1"/>
  <c r="E520" i="1"/>
  <c r="F520" i="1"/>
  <c r="G520" i="1"/>
  <c r="H520" i="1"/>
  <c r="D521" i="1"/>
  <c r="E521" i="1"/>
  <c r="F521" i="1"/>
  <c r="G521" i="1"/>
  <c r="H521" i="1"/>
  <c r="D522" i="1"/>
  <c r="E522" i="1"/>
  <c r="F522" i="1"/>
  <c r="G522" i="1"/>
  <c r="H522" i="1"/>
  <c r="D523" i="1"/>
  <c r="E523" i="1"/>
  <c r="F523" i="1"/>
  <c r="G523" i="1"/>
  <c r="H523" i="1"/>
  <c r="D524" i="1"/>
  <c r="E524" i="1"/>
  <c r="F524" i="1"/>
  <c r="G524" i="1"/>
  <c r="H524" i="1"/>
  <c r="D525" i="1"/>
  <c r="E525" i="1"/>
  <c r="F525" i="1"/>
  <c r="G525" i="1"/>
  <c r="H525" i="1"/>
  <c r="D526" i="1"/>
  <c r="E526" i="1"/>
  <c r="F526" i="1"/>
  <c r="G526" i="1"/>
  <c r="H526" i="1"/>
  <c r="D527" i="1"/>
  <c r="E527" i="1"/>
  <c r="F527" i="1"/>
  <c r="G527" i="1"/>
  <c r="H527" i="1"/>
  <c r="D528" i="1"/>
  <c r="E528" i="1"/>
  <c r="F528" i="1"/>
  <c r="G528" i="1"/>
  <c r="H528" i="1"/>
  <c r="D529" i="1"/>
  <c r="E529" i="1"/>
  <c r="F529" i="1"/>
  <c r="G529" i="1"/>
  <c r="H529" i="1"/>
  <c r="D530" i="1"/>
  <c r="E530" i="1"/>
  <c r="F530" i="1"/>
  <c r="G530" i="1"/>
  <c r="H530" i="1"/>
  <c r="D2" i="1"/>
  <c r="E2" i="1"/>
  <c r="F2" i="1"/>
  <c r="G2" i="1"/>
  <c r="H2" i="1"/>
  <c r="C3" i="1"/>
  <c r="I3" i="1" s="1"/>
  <c r="C4" i="1"/>
  <c r="C5" i="1"/>
  <c r="I5" i="1" s="1"/>
  <c r="C6" i="1"/>
  <c r="C7" i="1"/>
  <c r="C8" i="1"/>
  <c r="C9" i="1"/>
  <c r="I9" i="1" s="1"/>
  <c r="C10" i="1"/>
  <c r="C11" i="1"/>
  <c r="C12" i="1"/>
  <c r="C13" i="1"/>
  <c r="I13" i="1" s="1"/>
  <c r="C14" i="1"/>
  <c r="I14" i="1" s="1"/>
  <c r="C15" i="1"/>
  <c r="C16" i="1"/>
  <c r="C17" i="1"/>
  <c r="I17" i="1" s="1"/>
  <c r="C18" i="1"/>
  <c r="C19" i="1"/>
  <c r="I19" i="1" s="1"/>
  <c r="C20" i="1"/>
  <c r="C21" i="1"/>
  <c r="I21" i="1" s="1"/>
  <c r="C22" i="1"/>
  <c r="C23" i="1"/>
  <c r="I23" i="1" s="1"/>
  <c r="C24" i="1"/>
  <c r="C25" i="1"/>
  <c r="I25" i="1" s="1"/>
  <c r="C26" i="1"/>
  <c r="C27" i="1"/>
  <c r="C28" i="1"/>
  <c r="C29" i="1"/>
  <c r="I29" i="1" s="1"/>
  <c r="C30" i="1"/>
  <c r="C31" i="1"/>
  <c r="C32" i="1"/>
  <c r="C33" i="1"/>
  <c r="I33" i="1" s="1"/>
  <c r="C34" i="1"/>
  <c r="I34" i="1" s="1"/>
  <c r="C35" i="1"/>
  <c r="C36" i="1"/>
  <c r="C37" i="1"/>
  <c r="I37" i="1" s="1"/>
  <c r="C38" i="1"/>
  <c r="C39" i="1"/>
  <c r="I39" i="1" s="1"/>
  <c r="C40" i="1"/>
  <c r="C41" i="1"/>
  <c r="I41" i="1" s="1"/>
  <c r="C42" i="1"/>
  <c r="C43" i="1"/>
  <c r="I43" i="1" s="1"/>
  <c r="C44" i="1"/>
  <c r="C45" i="1"/>
  <c r="I45" i="1" s="1"/>
  <c r="C46" i="1"/>
  <c r="C47" i="1"/>
  <c r="C48" i="1"/>
  <c r="C49" i="1"/>
  <c r="I49" i="1" s="1"/>
  <c r="C50" i="1"/>
  <c r="C51" i="1"/>
  <c r="C52" i="1"/>
  <c r="C53" i="1"/>
  <c r="I53" i="1" s="1"/>
  <c r="C54" i="1"/>
  <c r="I54" i="1" s="1"/>
  <c r="C55" i="1"/>
  <c r="C56" i="1"/>
  <c r="C57" i="1"/>
  <c r="I57" i="1" s="1"/>
  <c r="C58" i="1"/>
  <c r="C59" i="1"/>
  <c r="I59" i="1" s="1"/>
  <c r="C60" i="1"/>
  <c r="C61" i="1"/>
  <c r="I61" i="1" s="1"/>
  <c r="C62" i="1"/>
  <c r="C63" i="1"/>
  <c r="I63" i="1" s="1"/>
  <c r="C64" i="1"/>
  <c r="C65" i="1"/>
  <c r="I65" i="1" s="1"/>
  <c r="C66" i="1"/>
  <c r="C67" i="1"/>
  <c r="C68" i="1"/>
  <c r="C69" i="1"/>
  <c r="I69" i="1" s="1"/>
  <c r="C70" i="1"/>
  <c r="C71" i="1"/>
  <c r="C72" i="1"/>
  <c r="C73" i="1"/>
  <c r="I73" i="1" s="1"/>
  <c r="C74" i="1"/>
  <c r="I74" i="1" s="1"/>
  <c r="C75" i="1"/>
  <c r="C76" i="1"/>
  <c r="C77" i="1"/>
  <c r="I77" i="1" s="1"/>
  <c r="C78" i="1"/>
  <c r="C79" i="1"/>
  <c r="I79" i="1" s="1"/>
  <c r="C80" i="1"/>
  <c r="C81" i="1"/>
  <c r="I81" i="1" s="1"/>
  <c r="C82" i="1"/>
  <c r="C83" i="1"/>
  <c r="I83" i="1" s="1"/>
  <c r="C84" i="1"/>
  <c r="C85" i="1"/>
  <c r="I85" i="1" s="1"/>
  <c r="C86" i="1"/>
  <c r="C87" i="1"/>
  <c r="C88" i="1"/>
  <c r="C89" i="1"/>
  <c r="I89" i="1" s="1"/>
  <c r="C90" i="1"/>
  <c r="C91" i="1"/>
  <c r="C92" i="1"/>
  <c r="C93" i="1"/>
  <c r="I93" i="1" s="1"/>
  <c r="C94" i="1"/>
  <c r="I94" i="1" s="1"/>
  <c r="C95" i="1"/>
  <c r="C96" i="1"/>
  <c r="C97" i="1"/>
  <c r="I97" i="1" s="1"/>
  <c r="C98" i="1"/>
  <c r="C99" i="1"/>
  <c r="I99" i="1" s="1"/>
  <c r="C100" i="1"/>
  <c r="C101" i="1"/>
  <c r="I101" i="1" s="1"/>
  <c r="C102" i="1"/>
  <c r="C103" i="1"/>
  <c r="I103" i="1" s="1"/>
  <c r="C104" i="1"/>
  <c r="C105" i="1"/>
  <c r="I105" i="1" s="1"/>
  <c r="C106" i="1"/>
  <c r="C107" i="1"/>
  <c r="C108" i="1"/>
  <c r="C109" i="1"/>
  <c r="I109" i="1" s="1"/>
  <c r="C110" i="1"/>
  <c r="C111" i="1"/>
  <c r="C112" i="1"/>
  <c r="C113" i="1"/>
  <c r="I113" i="1" s="1"/>
  <c r="C114" i="1"/>
  <c r="I114" i="1" s="1"/>
  <c r="C115" i="1"/>
  <c r="C116" i="1"/>
  <c r="C117" i="1"/>
  <c r="I117" i="1" s="1"/>
  <c r="C118" i="1"/>
  <c r="C119" i="1"/>
  <c r="I119" i="1" s="1"/>
  <c r="C120" i="1"/>
  <c r="C121" i="1"/>
  <c r="I121" i="1" s="1"/>
  <c r="C122" i="1"/>
  <c r="C123" i="1"/>
  <c r="I123" i="1" s="1"/>
  <c r="C124" i="1"/>
  <c r="C125" i="1"/>
  <c r="I125" i="1" s="1"/>
  <c r="C126" i="1"/>
  <c r="C127" i="1"/>
  <c r="C128" i="1"/>
  <c r="C129" i="1"/>
  <c r="I129" i="1" s="1"/>
  <c r="C130" i="1"/>
  <c r="C131" i="1"/>
  <c r="C132" i="1"/>
  <c r="C133" i="1"/>
  <c r="I133" i="1" s="1"/>
  <c r="C134" i="1"/>
  <c r="C135" i="1"/>
  <c r="C136" i="1"/>
  <c r="C137" i="1"/>
  <c r="I137" i="1" s="1"/>
  <c r="C138" i="1"/>
  <c r="C139" i="1"/>
  <c r="C140" i="1"/>
  <c r="C141" i="1"/>
  <c r="C142" i="1"/>
  <c r="C143" i="1"/>
  <c r="I143" i="1" s="1"/>
  <c r="C144" i="1"/>
  <c r="C145" i="1"/>
  <c r="C146" i="1"/>
  <c r="C147" i="1"/>
  <c r="C148" i="1"/>
  <c r="C149" i="1"/>
  <c r="C150" i="1"/>
  <c r="C151" i="1"/>
  <c r="C152" i="1"/>
  <c r="C153" i="1"/>
  <c r="I153" i="1" s="1"/>
  <c r="C154" i="1"/>
  <c r="C155" i="1"/>
  <c r="C156" i="1"/>
  <c r="C157" i="1"/>
  <c r="C158" i="1"/>
  <c r="C159" i="1"/>
  <c r="C160" i="1"/>
  <c r="C161" i="1"/>
  <c r="C162" i="1"/>
  <c r="C163" i="1"/>
  <c r="I163" i="1" s="1"/>
  <c r="C164" i="1"/>
  <c r="C165" i="1"/>
  <c r="C166" i="1"/>
  <c r="C167" i="1"/>
  <c r="C168" i="1"/>
  <c r="C169" i="1"/>
  <c r="C170" i="1"/>
  <c r="C171" i="1"/>
  <c r="C172" i="1"/>
  <c r="C173" i="1"/>
  <c r="I173" i="1" s="1"/>
  <c r="C174" i="1"/>
  <c r="C175" i="1"/>
  <c r="C176" i="1"/>
  <c r="C177" i="1"/>
  <c r="C178" i="1"/>
  <c r="C179" i="1"/>
  <c r="C180" i="1"/>
  <c r="C181" i="1"/>
  <c r="C182" i="1"/>
  <c r="C183" i="1"/>
  <c r="I183" i="1" s="1"/>
  <c r="C184" i="1"/>
  <c r="C185" i="1"/>
  <c r="C186" i="1"/>
  <c r="C187" i="1"/>
  <c r="C188" i="1"/>
  <c r="C189" i="1"/>
  <c r="C190" i="1"/>
  <c r="C191" i="1"/>
  <c r="C192" i="1"/>
  <c r="C193" i="1"/>
  <c r="I193" i="1" s="1"/>
  <c r="C194" i="1"/>
  <c r="C195" i="1"/>
  <c r="C196" i="1"/>
  <c r="C197" i="1"/>
  <c r="C198" i="1"/>
  <c r="C199" i="1"/>
  <c r="C200" i="1"/>
  <c r="C201" i="1"/>
  <c r="C202" i="1"/>
  <c r="C203" i="1"/>
  <c r="I203" i="1" s="1"/>
  <c r="C204" i="1"/>
  <c r="C205" i="1"/>
  <c r="C206" i="1"/>
  <c r="C207" i="1"/>
  <c r="C208" i="1"/>
  <c r="C209" i="1"/>
  <c r="C210" i="1"/>
  <c r="C211" i="1"/>
  <c r="C212" i="1"/>
  <c r="C213" i="1"/>
  <c r="I213" i="1" s="1"/>
  <c r="C214" i="1"/>
  <c r="C215" i="1"/>
  <c r="C216" i="1"/>
  <c r="C217" i="1"/>
  <c r="C218" i="1"/>
  <c r="C219" i="1"/>
  <c r="C220" i="1"/>
  <c r="C221" i="1"/>
  <c r="C222" i="1"/>
  <c r="C223" i="1"/>
  <c r="I223" i="1" s="1"/>
  <c r="C224" i="1"/>
  <c r="C225" i="1"/>
  <c r="C226" i="1"/>
  <c r="C227" i="1"/>
  <c r="C228" i="1"/>
  <c r="C229" i="1"/>
  <c r="C230" i="1"/>
  <c r="C231" i="1"/>
  <c r="C232" i="1"/>
  <c r="C233" i="1"/>
  <c r="I233" i="1" s="1"/>
  <c r="C234" i="1"/>
  <c r="C235" i="1"/>
  <c r="C236" i="1"/>
  <c r="C237" i="1"/>
  <c r="C238" i="1"/>
  <c r="C239" i="1"/>
  <c r="C240" i="1"/>
  <c r="C241" i="1"/>
  <c r="C242" i="1"/>
  <c r="C243" i="1"/>
  <c r="I243" i="1" s="1"/>
  <c r="C244" i="1"/>
  <c r="C245" i="1"/>
  <c r="C246" i="1"/>
  <c r="C247" i="1"/>
  <c r="C248" i="1"/>
  <c r="C249" i="1"/>
  <c r="C250" i="1"/>
  <c r="C251" i="1"/>
  <c r="C252" i="1"/>
  <c r="C253" i="1"/>
  <c r="I253" i="1" s="1"/>
  <c r="C254" i="1"/>
  <c r="C255" i="1"/>
  <c r="C256" i="1"/>
  <c r="C257" i="1"/>
  <c r="C258" i="1"/>
  <c r="C259" i="1"/>
  <c r="C260" i="1"/>
  <c r="C261" i="1"/>
  <c r="C262" i="1"/>
  <c r="C263" i="1"/>
  <c r="I263" i="1" s="1"/>
  <c r="C264" i="1"/>
  <c r="C265" i="1"/>
  <c r="C266" i="1"/>
  <c r="C267" i="1"/>
  <c r="C268" i="1"/>
  <c r="C269" i="1"/>
  <c r="C270" i="1"/>
  <c r="C271" i="1"/>
  <c r="C272" i="1"/>
  <c r="C273" i="1"/>
  <c r="I273" i="1" s="1"/>
  <c r="C274" i="1"/>
  <c r="C275" i="1"/>
  <c r="C276" i="1"/>
  <c r="C277" i="1"/>
  <c r="C278" i="1"/>
  <c r="C279" i="1"/>
  <c r="C280" i="1"/>
  <c r="C281" i="1"/>
  <c r="C282" i="1"/>
  <c r="C283" i="1"/>
  <c r="I283" i="1" s="1"/>
  <c r="C284" i="1"/>
  <c r="C285" i="1"/>
  <c r="C286" i="1"/>
  <c r="C287" i="1"/>
  <c r="C288" i="1"/>
  <c r="C289" i="1"/>
  <c r="C290" i="1"/>
  <c r="C291" i="1"/>
  <c r="C292" i="1"/>
  <c r="C293" i="1"/>
  <c r="I293" i="1" s="1"/>
  <c r="C294" i="1"/>
  <c r="C295" i="1"/>
  <c r="C296" i="1"/>
  <c r="C297" i="1"/>
  <c r="C298" i="1"/>
  <c r="C299" i="1"/>
  <c r="C300" i="1"/>
  <c r="C301" i="1"/>
  <c r="C302" i="1"/>
  <c r="C303" i="1"/>
  <c r="I303" i="1" s="1"/>
  <c r="C304" i="1"/>
  <c r="C305" i="1"/>
  <c r="C306" i="1"/>
  <c r="C307" i="1"/>
  <c r="C308" i="1"/>
  <c r="C309" i="1"/>
  <c r="C310" i="1"/>
  <c r="C311" i="1"/>
  <c r="C312" i="1"/>
  <c r="C313" i="1"/>
  <c r="I313" i="1" s="1"/>
  <c r="C314" i="1"/>
  <c r="C315" i="1"/>
  <c r="C316" i="1"/>
  <c r="C317" i="1"/>
  <c r="C318" i="1"/>
  <c r="C319" i="1"/>
  <c r="C320" i="1"/>
  <c r="C321" i="1"/>
  <c r="C322" i="1"/>
  <c r="C323" i="1"/>
  <c r="I323" i="1" s="1"/>
  <c r="C324" i="1"/>
  <c r="C325" i="1"/>
  <c r="C326" i="1"/>
  <c r="C327" i="1"/>
  <c r="C328" i="1"/>
  <c r="C329" i="1"/>
  <c r="C330" i="1"/>
  <c r="C331" i="1"/>
  <c r="C332" i="1"/>
  <c r="C333" i="1"/>
  <c r="I333" i="1" s="1"/>
  <c r="C334" i="1"/>
  <c r="C335" i="1"/>
  <c r="C336" i="1"/>
  <c r="C337" i="1"/>
  <c r="C338" i="1"/>
  <c r="C339" i="1"/>
  <c r="C340" i="1"/>
  <c r="C341" i="1"/>
  <c r="C342" i="1"/>
  <c r="C343" i="1"/>
  <c r="I343" i="1" s="1"/>
  <c r="C344" i="1"/>
  <c r="C345" i="1"/>
  <c r="C346" i="1"/>
  <c r="C347" i="1"/>
  <c r="C348" i="1"/>
  <c r="C349" i="1"/>
  <c r="C350" i="1"/>
  <c r="C351" i="1"/>
  <c r="C352" i="1"/>
  <c r="C353" i="1"/>
  <c r="I353" i="1" s="1"/>
  <c r="C354" i="1"/>
  <c r="C355" i="1"/>
  <c r="C356" i="1"/>
  <c r="C357" i="1"/>
  <c r="C358" i="1"/>
  <c r="C359" i="1"/>
  <c r="C360" i="1"/>
  <c r="C361" i="1"/>
  <c r="C362" i="1"/>
  <c r="C363" i="1"/>
  <c r="I363" i="1" s="1"/>
  <c r="C364" i="1"/>
  <c r="C365" i="1"/>
  <c r="C366" i="1"/>
  <c r="C367" i="1"/>
  <c r="C368" i="1"/>
  <c r="C369" i="1"/>
  <c r="C370" i="1"/>
  <c r="C371" i="1"/>
  <c r="C372" i="1"/>
  <c r="C373" i="1"/>
  <c r="I373" i="1" s="1"/>
  <c r="C374" i="1"/>
  <c r="C375" i="1"/>
  <c r="C376" i="1"/>
  <c r="C377" i="1"/>
  <c r="C378" i="1"/>
  <c r="C379" i="1"/>
  <c r="C380" i="1"/>
  <c r="C381" i="1"/>
  <c r="C382" i="1"/>
  <c r="C383" i="1"/>
  <c r="I383" i="1" s="1"/>
  <c r="C384" i="1"/>
  <c r="C385" i="1"/>
  <c r="C386" i="1"/>
  <c r="C387" i="1"/>
  <c r="C388" i="1"/>
  <c r="C389" i="1"/>
  <c r="C390" i="1"/>
  <c r="C391" i="1"/>
  <c r="C392" i="1"/>
  <c r="C393" i="1"/>
  <c r="I393" i="1" s="1"/>
  <c r="C394" i="1"/>
  <c r="C395" i="1"/>
  <c r="C396" i="1"/>
  <c r="C397" i="1"/>
  <c r="C398" i="1"/>
  <c r="C399" i="1"/>
  <c r="C400" i="1"/>
  <c r="C401" i="1"/>
  <c r="C402" i="1"/>
  <c r="C403" i="1"/>
  <c r="I403" i="1" s="1"/>
  <c r="C404" i="1"/>
  <c r="C405" i="1"/>
  <c r="C406" i="1"/>
  <c r="C407" i="1"/>
  <c r="C408" i="1"/>
  <c r="C409" i="1"/>
  <c r="C410" i="1"/>
  <c r="C411" i="1"/>
  <c r="C412" i="1"/>
  <c r="C413" i="1"/>
  <c r="I413" i="1" s="1"/>
  <c r="C414" i="1"/>
  <c r="C415" i="1"/>
  <c r="C416" i="1"/>
  <c r="C417" i="1"/>
  <c r="C418" i="1"/>
  <c r="C419" i="1"/>
  <c r="C420" i="1"/>
  <c r="C421" i="1"/>
  <c r="C422" i="1"/>
  <c r="C423" i="1"/>
  <c r="I423" i="1" s="1"/>
  <c r="C424" i="1"/>
  <c r="C425" i="1"/>
  <c r="C426" i="1"/>
  <c r="C427" i="1"/>
  <c r="C428" i="1"/>
  <c r="C429" i="1"/>
  <c r="C430" i="1"/>
  <c r="C431" i="1"/>
  <c r="C432" i="1"/>
  <c r="C433" i="1"/>
  <c r="I433" i="1" s="1"/>
  <c r="C434" i="1"/>
  <c r="C435" i="1"/>
  <c r="C436" i="1"/>
  <c r="C437" i="1"/>
  <c r="C438" i="1"/>
  <c r="C439" i="1"/>
  <c r="C440" i="1"/>
  <c r="C441" i="1"/>
  <c r="C442" i="1"/>
  <c r="C443" i="1"/>
  <c r="I443" i="1" s="1"/>
  <c r="C444" i="1"/>
  <c r="C445" i="1"/>
  <c r="C446" i="1"/>
  <c r="C447" i="1"/>
  <c r="C448" i="1"/>
  <c r="C449" i="1"/>
  <c r="C450" i="1"/>
  <c r="C451" i="1"/>
  <c r="C452" i="1"/>
  <c r="C453" i="1"/>
  <c r="I453" i="1" s="1"/>
  <c r="C454" i="1"/>
  <c r="C455" i="1"/>
  <c r="C456" i="1"/>
  <c r="C457" i="1"/>
  <c r="C458" i="1"/>
  <c r="C459" i="1"/>
  <c r="C460" i="1"/>
  <c r="C461" i="1"/>
  <c r="C462" i="1"/>
  <c r="C463" i="1"/>
  <c r="I463" i="1" s="1"/>
  <c r="C464" i="1"/>
  <c r="C465" i="1"/>
  <c r="C466" i="1"/>
  <c r="C467" i="1"/>
  <c r="C468" i="1"/>
  <c r="C469" i="1"/>
  <c r="C470" i="1"/>
  <c r="C471" i="1"/>
  <c r="C472" i="1"/>
  <c r="C473" i="1"/>
  <c r="I473" i="1" s="1"/>
  <c r="C474" i="1"/>
  <c r="C475" i="1"/>
  <c r="C476" i="1"/>
  <c r="C477" i="1"/>
  <c r="C478" i="1"/>
  <c r="C479" i="1"/>
  <c r="C480" i="1"/>
  <c r="C481" i="1"/>
  <c r="C482" i="1"/>
  <c r="C483" i="1"/>
  <c r="I483" i="1" s="1"/>
  <c r="C484" i="1"/>
  <c r="C485" i="1"/>
  <c r="C486" i="1"/>
  <c r="C487" i="1"/>
  <c r="C488" i="1"/>
  <c r="C489" i="1"/>
  <c r="C490" i="1"/>
  <c r="C491" i="1"/>
  <c r="C492" i="1"/>
  <c r="C493" i="1"/>
  <c r="I493" i="1" s="1"/>
  <c r="C494" i="1"/>
  <c r="C495" i="1"/>
  <c r="C496" i="1"/>
  <c r="C497" i="1"/>
  <c r="C498" i="1"/>
  <c r="C499" i="1"/>
  <c r="C500" i="1"/>
  <c r="C501" i="1"/>
  <c r="C502" i="1"/>
  <c r="C503" i="1"/>
  <c r="I503" i="1" s="1"/>
  <c r="C504" i="1"/>
  <c r="C505" i="1"/>
  <c r="C506" i="1"/>
  <c r="C507" i="1"/>
  <c r="C508" i="1"/>
  <c r="C509" i="1"/>
  <c r="C510" i="1"/>
  <c r="C511" i="1"/>
  <c r="C512" i="1"/>
  <c r="C513" i="1"/>
  <c r="I513" i="1" s="1"/>
  <c r="C514" i="1"/>
  <c r="C515" i="1"/>
  <c r="C516" i="1"/>
  <c r="C517" i="1"/>
  <c r="C518" i="1"/>
  <c r="C519" i="1"/>
  <c r="C520" i="1"/>
  <c r="C521" i="1"/>
  <c r="C522" i="1"/>
  <c r="C523" i="1"/>
  <c r="I523" i="1" s="1"/>
  <c r="C524" i="1"/>
  <c r="C525" i="1"/>
  <c r="C526" i="1"/>
  <c r="C527" i="1"/>
  <c r="C528" i="1"/>
  <c r="C529" i="1"/>
  <c r="C530" i="1"/>
  <c r="C2" i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2" i="1"/>
  <c r="B2" i="1" s="1"/>
  <c r="I120" i="1" l="1"/>
  <c r="I100" i="1"/>
  <c r="I80" i="1"/>
  <c r="I60" i="1"/>
  <c r="I40" i="1"/>
  <c r="I20" i="1"/>
  <c r="I116" i="1"/>
  <c r="I96" i="1"/>
  <c r="I76" i="1"/>
  <c r="I56" i="1"/>
  <c r="I36" i="1"/>
  <c r="I16" i="1"/>
  <c r="I112" i="1"/>
  <c r="I92" i="1"/>
  <c r="I72" i="1"/>
  <c r="I52" i="1"/>
  <c r="I32" i="1"/>
  <c r="I12" i="1"/>
  <c r="I528" i="1"/>
  <c r="I508" i="1"/>
  <c r="I488" i="1"/>
  <c r="I468" i="1"/>
  <c r="I448" i="1"/>
  <c r="I428" i="1"/>
  <c r="I408" i="1"/>
  <c r="I388" i="1"/>
  <c r="I368" i="1"/>
  <c r="I348" i="1"/>
  <c r="I328" i="1"/>
  <c r="I308" i="1"/>
  <c r="I288" i="1"/>
  <c r="I268" i="1"/>
  <c r="I248" i="1"/>
  <c r="I228" i="1"/>
  <c r="I208" i="1"/>
  <c r="I188" i="1"/>
  <c r="I168" i="1"/>
  <c r="I148" i="1"/>
  <c r="I128" i="1"/>
  <c r="I108" i="1"/>
  <c r="I88" i="1"/>
  <c r="I68" i="1"/>
  <c r="I48" i="1"/>
  <c r="I28" i="1"/>
  <c r="I8" i="1"/>
  <c r="I124" i="1"/>
  <c r="I104" i="1"/>
  <c r="I84" i="1"/>
  <c r="I64" i="1"/>
  <c r="I44" i="1"/>
  <c r="I24" i="1"/>
  <c r="I4" i="1"/>
  <c r="B305" i="1"/>
  <c r="B404" i="1"/>
  <c r="B264" i="1"/>
  <c r="B523" i="1"/>
  <c r="B243" i="1"/>
  <c r="B522" i="1"/>
  <c r="B502" i="1"/>
  <c r="B482" i="1"/>
  <c r="B462" i="1"/>
  <c r="B442" i="1"/>
  <c r="B422" i="1"/>
  <c r="B402" i="1"/>
  <c r="B382" i="1"/>
  <c r="B362" i="1"/>
  <c r="B342" i="1"/>
  <c r="B322" i="1"/>
  <c r="B302" i="1"/>
  <c r="B282" i="1"/>
  <c r="B262" i="1"/>
  <c r="B242" i="1"/>
  <c r="B222" i="1"/>
  <c r="B202" i="1"/>
  <c r="B182" i="1"/>
  <c r="B162" i="1"/>
  <c r="B142" i="1"/>
  <c r="B122" i="1"/>
  <c r="B365" i="1"/>
  <c r="B165" i="1"/>
  <c r="B444" i="1"/>
  <c r="B164" i="1"/>
  <c r="B223" i="1"/>
  <c r="B501" i="1"/>
  <c r="B461" i="1"/>
  <c r="B441" i="1"/>
  <c r="B421" i="1"/>
  <c r="B401" i="1"/>
  <c r="B381" i="1"/>
  <c r="B361" i="1"/>
  <c r="B341" i="1"/>
  <c r="B321" i="1"/>
  <c r="B301" i="1"/>
  <c r="B281" i="1"/>
  <c r="B261" i="1"/>
  <c r="B241" i="1"/>
  <c r="B221" i="1"/>
  <c r="B201" i="1"/>
  <c r="B181" i="1"/>
  <c r="B161" i="1"/>
  <c r="B141" i="1"/>
  <c r="B121" i="1"/>
  <c r="I130" i="1"/>
  <c r="I110" i="1"/>
  <c r="I90" i="1"/>
  <c r="I70" i="1"/>
  <c r="I50" i="1"/>
  <c r="I30" i="1"/>
  <c r="I10" i="1"/>
  <c r="B385" i="1"/>
  <c r="B125" i="1"/>
  <c r="B464" i="1"/>
  <c r="B503" i="1"/>
  <c r="B163" i="1"/>
  <c r="B521" i="1"/>
  <c r="B481" i="1"/>
  <c r="B520" i="1"/>
  <c r="B500" i="1"/>
  <c r="B480" i="1"/>
  <c r="B460" i="1"/>
  <c r="B440" i="1"/>
  <c r="B420" i="1"/>
  <c r="B400" i="1"/>
  <c r="B380" i="1"/>
  <c r="B360" i="1"/>
  <c r="B340" i="1"/>
  <c r="B320" i="1"/>
  <c r="B300" i="1"/>
  <c r="B280" i="1"/>
  <c r="B260" i="1"/>
  <c r="B240" i="1"/>
  <c r="B220" i="1"/>
  <c r="B200" i="1"/>
  <c r="B180" i="1"/>
  <c r="B160" i="1"/>
  <c r="B140" i="1"/>
  <c r="B120" i="1"/>
  <c r="B459" i="1"/>
  <c r="B485" i="1"/>
  <c r="B344" i="1"/>
  <c r="B519" i="1"/>
  <c r="B339" i="1"/>
  <c r="B259" i="1"/>
  <c r="B179" i="1"/>
  <c r="B478" i="1"/>
  <c r="B418" i="1"/>
  <c r="B378" i="1"/>
  <c r="B338" i="1"/>
  <c r="B298" i="1"/>
  <c r="B258" i="1"/>
  <c r="B238" i="1"/>
  <c r="B218" i="1"/>
  <c r="B198" i="1"/>
  <c r="B178" i="1"/>
  <c r="B158" i="1"/>
  <c r="B138" i="1"/>
  <c r="B118" i="1"/>
  <c r="B359" i="1"/>
  <c r="B239" i="1"/>
  <c r="B498" i="1"/>
  <c r="B438" i="1"/>
  <c r="B318" i="1"/>
  <c r="B517" i="1"/>
  <c r="B457" i="1"/>
  <c r="B397" i="1"/>
  <c r="B337" i="1"/>
  <c r="B297" i="1"/>
  <c r="B257" i="1"/>
  <c r="B237" i="1"/>
  <c r="B217" i="1"/>
  <c r="B197" i="1"/>
  <c r="B177" i="1"/>
  <c r="B137" i="1"/>
  <c r="B117" i="1"/>
  <c r="I126" i="1"/>
  <c r="I106" i="1"/>
  <c r="I86" i="1"/>
  <c r="I66" i="1"/>
  <c r="I46" i="1"/>
  <c r="I26" i="1"/>
  <c r="I6" i="1"/>
  <c r="B285" i="1"/>
  <c r="B443" i="1"/>
  <c r="B279" i="1"/>
  <c r="B518" i="1"/>
  <c r="B458" i="1"/>
  <c r="B398" i="1"/>
  <c r="B358" i="1"/>
  <c r="B278" i="1"/>
  <c r="B497" i="1"/>
  <c r="B477" i="1"/>
  <c r="B437" i="1"/>
  <c r="B417" i="1"/>
  <c r="B377" i="1"/>
  <c r="B357" i="1"/>
  <c r="B317" i="1"/>
  <c r="B277" i="1"/>
  <c r="B157" i="1"/>
  <c r="B516" i="1"/>
  <c r="B496" i="1"/>
  <c r="B476" i="1"/>
  <c r="B456" i="1"/>
  <c r="B436" i="1"/>
  <c r="B416" i="1"/>
  <c r="B396" i="1"/>
  <c r="B376" i="1"/>
  <c r="B356" i="1"/>
  <c r="B336" i="1"/>
  <c r="B316" i="1"/>
  <c r="B296" i="1"/>
  <c r="B276" i="1"/>
  <c r="B256" i="1"/>
  <c r="B236" i="1"/>
  <c r="B216" i="1"/>
  <c r="B196" i="1"/>
  <c r="B176" i="1"/>
  <c r="B156" i="1"/>
  <c r="B136" i="1"/>
  <c r="B116" i="1"/>
  <c r="B405" i="1"/>
  <c r="B204" i="1"/>
  <c r="B203" i="1"/>
  <c r="B419" i="1"/>
  <c r="B219" i="1"/>
  <c r="B495" i="1"/>
  <c r="B415" i="1"/>
  <c r="B355" i="1"/>
  <c r="B335" i="1"/>
  <c r="B315" i="1"/>
  <c r="B295" i="1"/>
  <c r="B275" i="1"/>
  <c r="B255" i="1"/>
  <c r="B235" i="1"/>
  <c r="B215" i="1"/>
  <c r="B195" i="1"/>
  <c r="B175" i="1"/>
  <c r="B155" i="1"/>
  <c r="B135" i="1"/>
  <c r="B115" i="1"/>
  <c r="B505" i="1"/>
  <c r="B304" i="1"/>
  <c r="B423" i="1"/>
  <c r="B263" i="1"/>
  <c r="B379" i="1"/>
  <c r="B119" i="1"/>
  <c r="B515" i="1"/>
  <c r="B475" i="1"/>
  <c r="B514" i="1"/>
  <c r="B454" i="1"/>
  <c r="B414" i="1"/>
  <c r="B394" i="1"/>
  <c r="B334" i="1"/>
  <c r="B314" i="1"/>
  <c r="B294" i="1"/>
  <c r="B274" i="1"/>
  <c r="B254" i="1"/>
  <c r="B234" i="1"/>
  <c r="B214" i="1"/>
  <c r="B194" i="1"/>
  <c r="B174" i="1"/>
  <c r="B154" i="1"/>
  <c r="B134" i="1"/>
  <c r="B114" i="1"/>
  <c r="B245" i="1"/>
  <c r="B284" i="1"/>
  <c r="B124" i="1"/>
  <c r="B403" i="1"/>
  <c r="B323" i="1"/>
  <c r="B479" i="1"/>
  <c r="B299" i="1"/>
  <c r="B139" i="1"/>
  <c r="B435" i="1"/>
  <c r="B375" i="1"/>
  <c r="B494" i="1"/>
  <c r="B434" i="1"/>
  <c r="B374" i="1"/>
  <c r="B493" i="1"/>
  <c r="B433" i="1"/>
  <c r="B393" i="1"/>
  <c r="B333" i="1"/>
  <c r="B273" i="1"/>
  <c r="B213" i="1"/>
  <c r="B153" i="1"/>
  <c r="I122" i="1"/>
  <c r="I102" i="1"/>
  <c r="I82" i="1"/>
  <c r="I62" i="1"/>
  <c r="I42" i="1"/>
  <c r="I22" i="1"/>
  <c r="B465" i="1"/>
  <c r="B265" i="1"/>
  <c r="B504" i="1"/>
  <c r="B364" i="1"/>
  <c r="B244" i="1"/>
  <c r="B144" i="1"/>
  <c r="B363" i="1"/>
  <c r="B159" i="1"/>
  <c r="B455" i="1"/>
  <c r="B395" i="1"/>
  <c r="B474" i="1"/>
  <c r="B354" i="1"/>
  <c r="B513" i="1"/>
  <c r="B473" i="1"/>
  <c r="B453" i="1"/>
  <c r="B413" i="1"/>
  <c r="B373" i="1"/>
  <c r="B353" i="1"/>
  <c r="B313" i="1"/>
  <c r="B293" i="1"/>
  <c r="B253" i="1"/>
  <c r="B233" i="1"/>
  <c r="B193" i="1"/>
  <c r="B173" i="1"/>
  <c r="B133" i="1"/>
  <c r="B113" i="1"/>
  <c r="B512" i="1"/>
  <c r="B492" i="1"/>
  <c r="B472" i="1"/>
  <c r="B452" i="1"/>
  <c r="B432" i="1"/>
  <c r="B412" i="1"/>
  <c r="B392" i="1"/>
  <c r="B372" i="1"/>
  <c r="B352" i="1"/>
  <c r="B332" i="1"/>
  <c r="B312" i="1"/>
  <c r="B292" i="1"/>
  <c r="B272" i="1"/>
  <c r="B252" i="1"/>
  <c r="B232" i="1"/>
  <c r="B212" i="1"/>
  <c r="B192" i="1"/>
  <c r="B172" i="1"/>
  <c r="B152" i="1"/>
  <c r="B132" i="1"/>
  <c r="B112" i="1"/>
  <c r="B345" i="1"/>
  <c r="B224" i="1"/>
  <c r="B483" i="1"/>
  <c r="B183" i="1"/>
  <c r="B499" i="1"/>
  <c r="B491" i="1"/>
  <c r="B451" i="1"/>
  <c r="B411" i="1"/>
  <c r="B391" i="1"/>
  <c r="B371" i="1"/>
  <c r="B351" i="1"/>
  <c r="B331" i="1"/>
  <c r="B311" i="1"/>
  <c r="B291" i="1"/>
  <c r="B271" i="1"/>
  <c r="B251" i="1"/>
  <c r="B231" i="1"/>
  <c r="B211" i="1"/>
  <c r="B191" i="1"/>
  <c r="B171" i="1"/>
  <c r="B151" i="1"/>
  <c r="B131" i="1"/>
  <c r="B111" i="1"/>
  <c r="B325" i="1"/>
  <c r="B145" i="1"/>
  <c r="B384" i="1"/>
  <c r="B343" i="1"/>
  <c r="B319" i="1"/>
  <c r="B199" i="1"/>
  <c r="B511" i="1"/>
  <c r="B471" i="1"/>
  <c r="B431" i="1"/>
  <c r="B530" i="1"/>
  <c r="B510" i="1"/>
  <c r="B490" i="1"/>
  <c r="B470" i="1"/>
  <c r="B450" i="1"/>
  <c r="B430" i="1"/>
  <c r="B410" i="1"/>
  <c r="B390" i="1"/>
  <c r="B370" i="1"/>
  <c r="B350" i="1"/>
  <c r="B330" i="1"/>
  <c r="B310" i="1"/>
  <c r="B290" i="1"/>
  <c r="B270" i="1"/>
  <c r="B250" i="1"/>
  <c r="B230" i="1"/>
  <c r="B210" i="1"/>
  <c r="B190" i="1"/>
  <c r="B170" i="1"/>
  <c r="B150" i="1"/>
  <c r="B130" i="1"/>
  <c r="B110" i="1"/>
  <c r="B425" i="1"/>
  <c r="B225" i="1"/>
  <c r="B424" i="1"/>
  <c r="B383" i="1"/>
  <c r="B303" i="1"/>
  <c r="B123" i="1"/>
  <c r="B399" i="1"/>
  <c r="B509" i="1"/>
  <c r="B449" i="1"/>
  <c r="B389" i="1"/>
  <c r="B329" i="1"/>
  <c r="B309" i="1"/>
  <c r="B249" i="1"/>
  <c r="B209" i="1"/>
  <c r="B189" i="1"/>
  <c r="B169" i="1"/>
  <c r="B149" i="1"/>
  <c r="B129" i="1"/>
  <c r="B109" i="1"/>
  <c r="I518" i="1"/>
  <c r="I498" i="1"/>
  <c r="I478" i="1"/>
  <c r="I458" i="1"/>
  <c r="I438" i="1"/>
  <c r="I418" i="1"/>
  <c r="I398" i="1"/>
  <c r="I378" i="1"/>
  <c r="I358" i="1"/>
  <c r="I338" i="1"/>
  <c r="I318" i="1"/>
  <c r="I298" i="1"/>
  <c r="I278" i="1"/>
  <c r="I258" i="1"/>
  <c r="I238" i="1"/>
  <c r="I218" i="1"/>
  <c r="I198" i="1"/>
  <c r="I178" i="1"/>
  <c r="I158" i="1"/>
  <c r="I138" i="1"/>
  <c r="I118" i="1"/>
  <c r="I98" i="1"/>
  <c r="I78" i="1"/>
  <c r="I58" i="1"/>
  <c r="I38" i="1"/>
  <c r="I18" i="1"/>
  <c r="B525" i="1"/>
  <c r="B205" i="1"/>
  <c r="B484" i="1"/>
  <c r="B184" i="1"/>
  <c r="B283" i="1"/>
  <c r="B489" i="1"/>
  <c r="B369" i="1"/>
  <c r="B229" i="1"/>
  <c r="B508" i="1"/>
  <c r="B468" i="1"/>
  <c r="B448" i="1"/>
  <c r="B428" i="1"/>
  <c r="B408" i="1"/>
  <c r="B388" i="1"/>
  <c r="B368" i="1"/>
  <c r="B348" i="1"/>
  <c r="B328" i="1"/>
  <c r="B308" i="1"/>
  <c r="B288" i="1"/>
  <c r="B268" i="1"/>
  <c r="B248" i="1"/>
  <c r="B228" i="1"/>
  <c r="B208" i="1"/>
  <c r="B188" i="1"/>
  <c r="B168" i="1"/>
  <c r="B148" i="1"/>
  <c r="B128" i="1"/>
  <c r="B108" i="1"/>
  <c r="B185" i="1"/>
  <c r="B524" i="1"/>
  <c r="B463" i="1"/>
  <c r="B143" i="1"/>
  <c r="B429" i="1"/>
  <c r="B269" i="1"/>
  <c r="B528" i="1"/>
  <c r="B488" i="1"/>
  <c r="B527" i="1"/>
  <c r="B507" i="1"/>
  <c r="B487" i="1"/>
  <c r="B467" i="1"/>
  <c r="B447" i="1"/>
  <c r="B427" i="1"/>
  <c r="B407" i="1"/>
  <c r="B387" i="1"/>
  <c r="B367" i="1"/>
  <c r="B347" i="1"/>
  <c r="B327" i="1"/>
  <c r="B307" i="1"/>
  <c r="B287" i="1"/>
  <c r="B267" i="1"/>
  <c r="B247" i="1"/>
  <c r="B227" i="1"/>
  <c r="B207" i="1"/>
  <c r="B187" i="1"/>
  <c r="B167" i="1"/>
  <c r="B147" i="1"/>
  <c r="B127" i="1"/>
  <c r="B107" i="1"/>
  <c r="B445" i="1"/>
  <c r="B324" i="1"/>
  <c r="B439" i="1"/>
  <c r="B529" i="1"/>
  <c r="B469" i="1"/>
  <c r="B409" i="1"/>
  <c r="B349" i="1"/>
  <c r="B289" i="1"/>
  <c r="B526" i="1"/>
  <c r="B506" i="1"/>
  <c r="B486" i="1"/>
  <c r="B466" i="1"/>
  <c r="B446" i="1"/>
  <c r="B426" i="1"/>
  <c r="B406" i="1"/>
  <c r="B386" i="1"/>
  <c r="B366" i="1"/>
  <c r="B346" i="1"/>
  <c r="B326" i="1"/>
  <c r="B306" i="1"/>
  <c r="B286" i="1"/>
  <c r="B266" i="1"/>
  <c r="B246" i="1"/>
  <c r="B226" i="1"/>
  <c r="B206" i="1"/>
  <c r="B186" i="1"/>
  <c r="B166" i="1"/>
  <c r="B146" i="1"/>
  <c r="B126" i="1"/>
  <c r="B106" i="1"/>
  <c r="Q4" i="1"/>
  <c r="I519" i="1"/>
  <c r="I499" i="1"/>
  <c r="I479" i="1"/>
  <c r="I459" i="1"/>
  <c r="I439" i="1"/>
  <c r="I419" i="1"/>
  <c r="I399" i="1"/>
  <c r="I379" i="1"/>
  <c r="I359" i="1"/>
  <c r="I339" i="1"/>
  <c r="I319" i="1"/>
  <c r="I299" i="1"/>
  <c r="I279" i="1"/>
  <c r="I259" i="1"/>
  <c r="I239" i="1"/>
  <c r="I219" i="1"/>
  <c r="I199" i="1"/>
  <c r="I179" i="1"/>
  <c r="I159" i="1"/>
  <c r="I139" i="1"/>
  <c r="I517" i="1"/>
  <c r="I497" i="1"/>
  <c r="I477" i="1"/>
  <c r="I457" i="1"/>
  <c r="I437" i="1"/>
  <c r="I417" i="1"/>
  <c r="I397" i="1"/>
  <c r="I377" i="1"/>
  <c r="I357" i="1"/>
  <c r="I337" i="1"/>
  <c r="I317" i="1"/>
  <c r="I297" i="1"/>
  <c r="I277" i="1"/>
  <c r="I257" i="1"/>
  <c r="I237" i="1"/>
  <c r="I217" i="1"/>
  <c r="I197" i="1"/>
  <c r="I177" i="1"/>
  <c r="I157" i="1"/>
  <c r="I521" i="1"/>
  <c r="I501" i="1"/>
  <c r="I481" i="1"/>
  <c r="I461" i="1"/>
  <c r="I441" i="1"/>
  <c r="I421" i="1"/>
  <c r="I401" i="1"/>
  <c r="I381" i="1"/>
  <c r="I361" i="1"/>
  <c r="I341" i="1"/>
  <c r="I321" i="1"/>
  <c r="I301" i="1"/>
  <c r="I281" i="1"/>
  <c r="I261" i="1"/>
  <c r="I241" i="1"/>
  <c r="I221" i="1"/>
  <c r="I201" i="1"/>
  <c r="I181" i="1"/>
  <c r="I161" i="1"/>
  <c r="I141" i="1"/>
  <c r="I520" i="1"/>
  <c r="I500" i="1"/>
  <c r="I480" i="1"/>
  <c r="I460" i="1"/>
  <c r="I440" i="1"/>
  <c r="I420" i="1"/>
  <c r="I400" i="1"/>
  <c r="I380" i="1"/>
  <c r="I360" i="1"/>
  <c r="I340" i="1"/>
  <c r="I320" i="1"/>
  <c r="I300" i="1"/>
  <c r="I280" i="1"/>
  <c r="I260" i="1"/>
  <c r="I240" i="1"/>
  <c r="I220" i="1"/>
  <c r="I200" i="1"/>
  <c r="I180" i="1"/>
  <c r="I160" i="1"/>
  <c r="I140" i="1"/>
  <c r="I516" i="1"/>
  <c r="I496" i="1"/>
  <c r="I476" i="1"/>
  <c r="I456" i="1"/>
  <c r="I436" i="1"/>
  <c r="I416" i="1"/>
  <c r="I396" i="1"/>
  <c r="I376" i="1"/>
  <c r="I356" i="1"/>
  <c r="I336" i="1"/>
  <c r="I316" i="1"/>
  <c r="I296" i="1"/>
  <c r="I276" i="1"/>
  <c r="I256" i="1"/>
  <c r="I236" i="1"/>
  <c r="I216" i="1"/>
  <c r="I196" i="1"/>
  <c r="I176" i="1"/>
  <c r="I156" i="1"/>
  <c r="I136" i="1"/>
  <c r="I515" i="1"/>
  <c r="I495" i="1"/>
  <c r="I475" i="1"/>
  <c r="I455" i="1"/>
  <c r="I435" i="1"/>
  <c r="I415" i="1"/>
  <c r="I395" i="1"/>
  <c r="I375" i="1"/>
  <c r="I355" i="1"/>
  <c r="I335" i="1"/>
  <c r="I315" i="1"/>
  <c r="I295" i="1"/>
  <c r="I275" i="1"/>
  <c r="I255" i="1"/>
  <c r="I235" i="1"/>
  <c r="I215" i="1"/>
  <c r="I195" i="1"/>
  <c r="I175" i="1"/>
  <c r="I155" i="1"/>
  <c r="I135" i="1"/>
  <c r="I115" i="1"/>
  <c r="I95" i="1"/>
  <c r="I75" i="1"/>
  <c r="I55" i="1"/>
  <c r="I35" i="1"/>
  <c r="I15" i="1"/>
  <c r="I514" i="1"/>
  <c r="I494" i="1"/>
  <c r="I474" i="1"/>
  <c r="I454" i="1"/>
  <c r="I434" i="1"/>
  <c r="I414" i="1"/>
  <c r="I394" i="1"/>
  <c r="I374" i="1"/>
  <c r="I354" i="1"/>
  <c r="I334" i="1"/>
  <c r="I314" i="1"/>
  <c r="I294" i="1"/>
  <c r="I274" i="1"/>
  <c r="I254" i="1"/>
  <c r="I234" i="1"/>
  <c r="I214" i="1"/>
  <c r="I194" i="1"/>
  <c r="I174" i="1"/>
  <c r="I154" i="1"/>
  <c r="I134" i="1"/>
  <c r="I512" i="1"/>
  <c r="I492" i="1"/>
  <c r="I472" i="1"/>
  <c r="I452" i="1"/>
  <c r="I432" i="1"/>
  <c r="I412" i="1"/>
  <c r="I392" i="1"/>
  <c r="I372" i="1"/>
  <c r="I352" i="1"/>
  <c r="I332" i="1"/>
  <c r="I312" i="1"/>
  <c r="I292" i="1"/>
  <c r="I272" i="1"/>
  <c r="I252" i="1"/>
  <c r="I232" i="1"/>
  <c r="I212" i="1"/>
  <c r="I192" i="1"/>
  <c r="I172" i="1"/>
  <c r="I152" i="1"/>
  <c r="I132" i="1"/>
  <c r="I2" i="1"/>
  <c r="I511" i="1"/>
  <c r="I491" i="1"/>
  <c r="I471" i="1"/>
  <c r="I451" i="1"/>
  <c r="I431" i="1"/>
  <c r="I411" i="1"/>
  <c r="I391" i="1"/>
  <c r="I371" i="1"/>
  <c r="I351" i="1"/>
  <c r="I331" i="1"/>
  <c r="I311" i="1"/>
  <c r="I291" i="1"/>
  <c r="I271" i="1"/>
  <c r="I251" i="1"/>
  <c r="I231" i="1"/>
  <c r="I211" i="1"/>
  <c r="I191" i="1"/>
  <c r="I171" i="1"/>
  <c r="I151" i="1"/>
  <c r="I131" i="1"/>
  <c r="I111" i="1"/>
  <c r="I91" i="1"/>
  <c r="I71" i="1"/>
  <c r="I51" i="1"/>
  <c r="I31" i="1"/>
  <c r="I11" i="1"/>
  <c r="I530" i="1"/>
  <c r="I510" i="1"/>
  <c r="I490" i="1"/>
  <c r="I470" i="1"/>
  <c r="I450" i="1"/>
  <c r="I430" i="1"/>
  <c r="I410" i="1"/>
  <c r="I390" i="1"/>
  <c r="I370" i="1"/>
  <c r="I350" i="1"/>
  <c r="I330" i="1"/>
  <c r="I310" i="1"/>
  <c r="I290" i="1"/>
  <c r="I270" i="1"/>
  <c r="I250" i="1"/>
  <c r="I230" i="1"/>
  <c r="I210" i="1"/>
  <c r="I190" i="1"/>
  <c r="I170" i="1"/>
  <c r="I150" i="1"/>
  <c r="I529" i="1"/>
  <c r="I509" i="1"/>
  <c r="I489" i="1"/>
  <c r="I469" i="1"/>
  <c r="I449" i="1"/>
  <c r="I429" i="1"/>
  <c r="I409" i="1"/>
  <c r="I389" i="1"/>
  <c r="I369" i="1"/>
  <c r="I349" i="1"/>
  <c r="I329" i="1"/>
  <c r="I309" i="1"/>
  <c r="I289" i="1"/>
  <c r="I269" i="1"/>
  <c r="I249" i="1"/>
  <c r="I229" i="1"/>
  <c r="I209" i="1"/>
  <c r="I189" i="1"/>
  <c r="I169" i="1"/>
  <c r="I149" i="1"/>
  <c r="I527" i="1"/>
  <c r="I507" i="1"/>
  <c r="I487" i="1"/>
  <c r="I467" i="1"/>
  <c r="I447" i="1"/>
  <c r="I427" i="1"/>
  <c r="I407" i="1"/>
  <c r="I387" i="1"/>
  <c r="I367" i="1"/>
  <c r="I347" i="1"/>
  <c r="I327" i="1"/>
  <c r="I307" i="1"/>
  <c r="I287" i="1"/>
  <c r="I267" i="1"/>
  <c r="I247" i="1"/>
  <c r="I227" i="1"/>
  <c r="I207" i="1"/>
  <c r="I187" i="1"/>
  <c r="I167" i="1"/>
  <c r="I147" i="1"/>
  <c r="I127" i="1"/>
  <c r="I107" i="1"/>
  <c r="I87" i="1"/>
  <c r="I67" i="1"/>
  <c r="I47" i="1"/>
  <c r="I27" i="1"/>
  <c r="I7" i="1"/>
  <c r="I526" i="1"/>
  <c r="I506" i="1"/>
  <c r="I486" i="1"/>
  <c r="I466" i="1"/>
  <c r="I446" i="1"/>
  <c r="I426" i="1"/>
  <c r="I406" i="1"/>
  <c r="I386" i="1"/>
  <c r="I366" i="1"/>
  <c r="I346" i="1"/>
  <c r="I326" i="1"/>
  <c r="I306" i="1"/>
  <c r="I286" i="1"/>
  <c r="I266" i="1"/>
  <c r="I246" i="1"/>
  <c r="I226" i="1"/>
  <c r="I206" i="1"/>
  <c r="I186" i="1"/>
  <c r="I166" i="1"/>
  <c r="I146" i="1"/>
  <c r="I525" i="1"/>
  <c r="I505" i="1"/>
  <c r="I485" i="1"/>
  <c r="I465" i="1"/>
  <c r="I445" i="1"/>
  <c r="I425" i="1"/>
  <c r="I405" i="1"/>
  <c r="I385" i="1"/>
  <c r="I365" i="1"/>
  <c r="I345" i="1"/>
  <c r="I325" i="1"/>
  <c r="I305" i="1"/>
  <c r="I285" i="1"/>
  <c r="I265" i="1"/>
  <c r="I245" i="1"/>
  <c r="I225" i="1"/>
  <c r="I205" i="1"/>
  <c r="I185" i="1"/>
  <c r="I165" i="1"/>
  <c r="I145" i="1"/>
  <c r="I524" i="1"/>
  <c r="I504" i="1"/>
  <c r="I484" i="1"/>
  <c r="I464" i="1"/>
  <c r="I444" i="1"/>
  <c r="I424" i="1"/>
  <c r="I404" i="1"/>
  <c r="I384" i="1"/>
  <c r="I364" i="1"/>
  <c r="I344" i="1"/>
  <c r="I324" i="1"/>
  <c r="I304" i="1"/>
  <c r="I284" i="1"/>
  <c r="I264" i="1"/>
  <c r="I244" i="1"/>
  <c r="I224" i="1"/>
  <c r="I204" i="1"/>
  <c r="I184" i="1"/>
  <c r="I164" i="1"/>
  <c r="I144" i="1"/>
  <c r="I522" i="1"/>
  <c r="I502" i="1"/>
  <c r="I482" i="1"/>
  <c r="I462" i="1"/>
  <c r="I442" i="1"/>
  <c r="I422" i="1"/>
  <c r="I402" i="1"/>
  <c r="I382" i="1"/>
  <c r="I362" i="1"/>
  <c r="I342" i="1"/>
  <c r="I322" i="1"/>
  <c r="I302" i="1"/>
  <c r="I282" i="1"/>
  <c r="I262" i="1"/>
  <c r="I242" i="1"/>
  <c r="I222" i="1"/>
  <c r="I202" i="1"/>
  <c r="I182" i="1"/>
  <c r="I162" i="1"/>
  <c r="I142" i="1"/>
  <c r="P4" i="1"/>
  <c r="S4" i="1"/>
  <c r="R4" i="1"/>
  <c r="Q2" i="1"/>
  <c r="P2" i="1"/>
  <c r="S2" i="1"/>
  <c r="R2" i="1"/>
  <c r="P3" i="1"/>
  <c r="S3" i="1"/>
  <c r="R3" i="1"/>
  <c r="Q3" i="1"/>
  <c r="P7" i="1" l="1"/>
  <c r="P6" i="1"/>
  <c r="Q6" i="1"/>
  <c r="R6" i="1"/>
  <c r="S6" i="1"/>
</calcChain>
</file>

<file path=xl/sharedStrings.xml><?xml version="1.0" encoding="utf-8"?>
<sst xmlns="http://schemas.openxmlformats.org/spreadsheetml/2006/main" count="58" uniqueCount="17">
  <si>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</si>
  <si>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</si>
  <si>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</si>
  <si>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</si>
  <si>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</si>
  <si>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</si>
  <si>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</si>
  <si>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</si>
  <si>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</si>
  <si>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</si>
  <si>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</si>
  <si>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</si>
  <si>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</si>
  <si>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</si>
  <si>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</si>
  <si>
    <t>Re</t>
  </si>
  <si>
    <t xml:space="preserve"> Beta0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</si>
</sst>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0"/>
  <sheetViews>
    <sheetView tabSelected="1" topLeftCell="A492" workbookViewId="0">
      <selection activeCell="E534" sqref="E534"/>
    </sheetView>
  </sheetViews>
  <sheetFormatPr defaultRowHeight="15" x14ac:dyDescent="0.25"/>
  <cols>
    <col min="4" max="4" width="13.140625" bestFit="1" customWidth="1"/>
    <col min="16" max="16" width="12" bestFit="1" customWidth="1"/>
  </cols>
  <sheetData>
    <row r="1" spans="1:19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9" x14ac:dyDescent="0.25">
      <c r="A2">
        <f>-'R1'!H2</f>
        <v>44</v>
      </c>
      <c r="B2">
        <f>DEGREES(ATAN(-SIN(RADIANS(('R1'!I2)))/(COS(RADIANS(Sheet1!A2))*COS(RADIANS('R1'!I2)))))</f>
        <v>53.317641506405714</v>
      </c>
      <c r="C2">
        <f>AVERAGE('R1'!J2,'R2'!J2,'R3'!J2)</f>
        <v>1.18</v>
      </c>
      <c r="D2">
        <f>AVERAGE('R1'!K2,'R2'!K2,'R3'!K2)</f>
        <v>22.382515583333333</v>
      </c>
      <c r="E2">
        <f>AVERAGE('R1'!L2,'R2'!L2,'R3'!L2)</f>
        <v>2.0393725433311292</v>
      </c>
      <c r="F2">
        <f>AVERAGE('R1'!M2,'R2'!M2,'R3'!M2)</f>
        <v>-2.4543216139922457</v>
      </c>
      <c r="G2">
        <f>AVERAGE('R1'!N2,'R2'!N2,'R3'!N2)</f>
        <v>-1.9537883194912127</v>
      </c>
      <c r="H2">
        <f>AVERAGE('R1'!O2,'R2'!O2,'R3'!O2)</f>
        <v>-1.786111162423631</v>
      </c>
      <c r="I2">
        <f>10^5*C2*D2*0.003/1.8</f>
        <v>4401.8947313888893</v>
      </c>
      <c r="K2">
        <f>_xlfn.STDEV.S('R1'!L2,'R2'!L2,'R3'!L2)</f>
        <v>4.9808636534315782E-3</v>
      </c>
      <c r="L2">
        <f>_xlfn.STDEV.S('R1'!M2,'R2'!M2,'R3'!M2)</f>
        <v>3.7543862738571468E-3</v>
      </c>
      <c r="M2">
        <f>_xlfn.STDEV.S('R1'!N2,'R2'!N2,'R3'!N2)</f>
        <v>6.0845946015379545E-3</v>
      </c>
      <c r="N2">
        <f>_xlfn.STDEV.S('R1'!O2,'R2'!O2,'R3'!O2)</f>
        <v>2.7250235167728871E-3</v>
      </c>
      <c r="P2">
        <f>MAX(K:K)</f>
        <v>2.5590673087519149E-2</v>
      </c>
      <c r="Q2">
        <f t="shared" ref="Q2:S2" si="0">MAX(L:L)</f>
        <v>3.3497587689217581E-2</v>
      </c>
      <c r="R2">
        <f t="shared" si="0"/>
        <v>4.734869572938516E-2</v>
      </c>
      <c r="S2">
        <f t="shared" si="0"/>
        <v>2.229668278704218E-2</v>
      </c>
    </row>
    <row r="3" spans="1:19" x14ac:dyDescent="0.25">
      <c r="A3">
        <f>-'R1'!H3</f>
        <v>44</v>
      </c>
      <c r="B3">
        <f>DEGREES(ATAN(-SIN(RADIANS(('R1'!I3)))/(COS(RADIANS(Sheet1!A3))*COS(RADIANS('R1'!I3)))))</f>
        <v>49.394314915379752</v>
      </c>
      <c r="C3">
        <f>AVERAGE('R1'!J3,'R2'!J3,'R3'!J3)</f>
        <v>1.18</v>
      </c>
      <c r="D3">
        <f>AVERAGE('R1'!K3,'R2'!K3,'R3'!K3)</f>
        <v>22.966257083333335</v>
      </c>
      <c r="E3">
        <f>AVERAGE('R1'!L3,'R2'!L3,'R3'!L3)</f>
        <v>1.9036447925278297</v>
      </c>
      <c r="F3">
        <f>AVERAGE('R1'!M3,'R2'!M3,'R3'!M3)</f>
        <v>-2.3456219237451528</v>
      </c>
      <c r="G3">
        <f>AVERAGE('R1'!N3,'R2'!N3,'R3'!N3)</f>
        <v>-1.7519454955126854</v>
      </c>
      <c r="H3">
        <f>AVERAGE('R1'!O3,'R2'!O3,'R3'!O3)</f>
        <v>-1.6344887181901069</v>
      </c>
      <c r="I3">
        <f t="shared" ref="I3:I66" si="1">10^5*C3*D3*0.003/1.8</f>
        <v>4516.6972263888892</v>
      </c>
      <c r="K3">
        <f>_xlfn.STDEV.S('R1'!L3,'R2'!L3,'R3'!L3)</f>
        <v>7.6440351147571695E-3</v>
      </c>
      <c r="L3">
        <f>_xlfn.STDEV.S('R1'!M3,'R2'!M3,'R3'!M3)</f>
        <v>6.6597815392189482E-3</v>
      </c>
      <c r="M3">
        <f>_xlfn.STDEV.S('R1'!N3,'R2'!N3,'R3'!N3)</f>
        <v>7.1797829172111846E-3</v>
      </c>
      <c r="N3">
        <f>_xlfn.STDEV.S('R1'!O3,'R2'!O3,'R3'!O3)</f>
        <v>6.2598879967617344E-3</v>
      </c>
      <c r="P3">
        <f>MIN(K:K)</f>
        <v>9.4916067741554239E-5</v>
      </c>
      <c r="Q3">
        <f t="shared" ref="Q3:S3" si="2">MIN(L:L)</f>
        <v>2.0393260176571908E-4</v>
      </c>
      <c r="R3">
        <f t="shared" si="2"/>
        <v>1.2674180039382344E-4</v>
      </c>
      <c r="S3">
        <f t="shared" si="2"/>
        <v>1.0666233758183802E-4</v>
      </c>
    </row>
    <row r="4" spans="1:19" x14ac:dyDescent="0.25">
      <c r="A4">
        <f>-'R1'!H4</f>
        <v>44</v>
      </c>
      <c r="B4">
        <f>DEGREES(ATAN(-SIN(RADIANS(('R1'!I4)))/(COS(RADIANS(Sheet1!A4))*COS(RADIANS('R1'!I4)))))</f>
        <v>45.285419134418312</v>
      </c>
      <c r="C4">
        <f>AVERAGE('R1'!J4,'R2'!J4,'R3'!J4)</f>
        <v>1.18</v>
      </c>
      <c r="D4">
        <f>AVERAGE('R1'!K4,'R2'!K4,'R3'!K4)</f>
        <v>23.444568416666669</v>
      </c>
      <c r="E4">
        <f>AVERAGE('R1'!L4,'R2'!L4,'R3'!L4)</f>
        <v>1.7949211308513249</v>
      </c>
      <c r="F4">
        <f>AVERAGE('R1'!M4,'R2'!M4,'R3'!M4)</f>
        <v>-2.2988947629060843</v>
      </c>
      <c r="G4">
        <f>AVERAGE('R1'!N4,'R2'!N4,'R3'!N4)</f>
        <v>-1.6272466171331263</v>
      </c>
      <c r="H4">
        <f>AVERAGE('R1'!O4,'R2'!O4,'R3'!O4)</f>
        <v>-1.5142920160836386</v>
      </c>
      <c r="I4">
        <f t="shared" si="1"/>
        <v>4610.7651219444451</v>
      </c>
      <c r="K4">
        <f>_xlfn.STDEV.S('R1'!L4,'R2'!L4,'R3'!L4)</f>
        <v>3.6470736489156363E-3</v>
      </c>
      <c r="L4">
        <f>_xlfn.STDEV.S('R1'!M4,'R2'!M4,'R3'!M4)</f>
        <v>5.4653985976927597E-3</v>
      </c>
      <c r="M4">
        <f>_xlfn.STDEV.S('R1'!N4,'R2'!N4,'R3'!N4)</f>
        <v>5.1365296614195519E-3</v>
      </c>
      <c r="N4">
        <f>_xlfn.STDEV.S('R1'!O4,'R2'!O4,'R3'!O4)</f>
        <v>4.7638399962957583E-3</v>
      </c>
      <c r="P4">
        <f>AVERAGE(K:K)</f>
        <v>4.5025574674602362E-3</v>
      </c>
      <c r="Q4">
        <f t="shared" ref="Q4:S4" si="3">AVERAGE(L:L)</f>
        <v>4.7430198170534755E-3</v>
      </c>
      <c r="R4">
        <f t="shared" si="3"/>
        <v>4.2145235017880369E-3</v>
      </c>
      <c r="S4">
        <f t="shared" si="3"/>
        <v>3.688258692047535E-3</v>
      </c>
    </row>
    <row r="5" spans="1:19" x14ac:dyDescent="0.25">
      <c r="A5">
        <f>-'R1'!H5</f>
        <v>44</v>
      </c>
      <c r="B5">
        <f>DEGREES(ATAN(-SIN(RADIANS(('R1'!I5)))/(COS(RADIANS(Sheet1!A5))*COS(RADIANS('R1'!I5)))))</f>
        <v>40.979886989205063</v>
      </c>
      <c r="C5">
        <f>AVERAGE('R1'!J5,'R2'!J5,'R3'!J5)</f>
        <v>1.18</v>
      </c>
      <c r="D5">
        <f>AVERAGE('R1'!K5,'R2'!K5,'R3'!K5)</f>
        <v>23.427320833333336</v>
      </c>
      <c r="E5">
        <f>AVERAGE('R1'!L5,'R2'!L5,'R3'!L5)</f>
        <v>1.6751120657696401</v>
      </c>
      <c r="F5">
        <f>AVERAGE('R1'!M5,'R2'!M5,'R3'!M5)</f>
        <v>-2.2972558865258992</v>
      </c>
      <c r="G5">
        <f>AVERAGE('R1'!N5,'R2'!N5,'R3'!N5)</f>
        <v>-1.5391928120790415</v>
      </c>
      <c r="H5">
        <f>AVERAGE('R1'!O5,'R2'!O5,'R3'!O5)</f>
        <v>-1.4143983912241571</v>
      </c>
      <c r="I5">
        <f t="shared" si="1"/>
        <v>4607.3730972222238</v>
      </c>
      <c r="K5">
        <f>_xlfn.STDEV.S('R1'!L5,'R2'!L5,'R3'!L5)</f>
        <v>3.4866368455811919E-3</v>
      </c>
      <c r="L5">
        <f>_xlfn.STDEV.S('R1'!M5,'R2'!M5,'R3'!M5)</f>
        <v>6.8039842980262754E-3</v>
      </c>
      <c r="M5">
        <f>_xlfn.STDEV.S('R1'!N5,'R2'!N5,'R3'!N5)</f>
        <v>6.6591003245701696E-3</v>
      </c>
      <c r="N5">
        <f>_xlfn.STDEV.S('R1'!O5,'R2'!O5,'R3'!O5)</f>
        <v>2.5832855504271876E-3</v>
      </c>
    </row>
    <row r="6" spans="1:19" x14ac:dyDescent="0.25">
      <c r="A6">
        <f>-'R1'!H6</f>
        <v>44</v>
      </c>
      <c r="B6">
        <f>DEGREES(ATAN(-SIN(RADIANS(('R1'!I6)))/(COS(RADIANS(Sheet1!A6))*COS(RADIANS('R1'!I6)))))</f>
        <v>36.470444456761925</v>
      </c>
      <c r="C6">
        <f>AVERAGE('R1'!J6,'R2'!J6,'R3'!J6)</f>
        <v>1.18</v>
      </c>
      <c r="D6">
        <f>AVERAGE('R1'!K6,'R2'!K6,'R3'!K6)</f>
        <v>22.47517483333333</v>
      </c>
      <c r="E6">
        <f>AVERAGE('R1'!L6,'R2'!L6,'R3'!L6)</f>
        <v>1.5446430579893395</v>
      </c>
      <c r="F6">
        <f>AVERAGE('R1'!M6,'R2'!M6,'R3'!M6)</f>
        <v>-2.3217699811967099</v>
      </c>
      <c r="G6">
        <f>AVERAGE('R1'!N6,'R2'!N6,'R3'!N6)</f>
        <v>-1.4782452028980895</v>
      </c>
      <c r="H6">
        <f>AVERAGE('R1'!O6,'R2'!O6,'R3'!O6)</f>
        <v>-1.3258118105247034</v>
      </c>
      <c r="I6">
        <f t="shared" si="1"/>
        <v>4420.1177172222215</v>
      </c>
      <c r="K6">
        <f>_xlfn.STDEV.S('R1'!L6,'R2'!L6,'R3'!L6)</f>
        <v>3.8014525233789212E-3</v>
      </c>
      <c r="L6">
        <f>_xlfn.STDEV.S('R1'!M6,'R2'!M6,'R3'!M6)</f>
        <v>7.1797023135832866E-3</v>
      </c>
      <c r="M6">
        <f>_xlfn.STDEV.S('R1'!N6,'R2'!N6,'R3'!N6)</f>
        <v>5.1451928302085033E-3</v>
      </c>
      <c r="N6">
        <f>_xlfn.STDEV.S('R1'!O6,'R2'!O6,'R3'!O6)</f>
        <v>2.8706188996086264E-3</v>
      </c>
      <c r="P6">
        <f>AVERAGE(P2:P4)</f>
        <v>1.0062715540906981E-2</v>
      </c>
      <c r="Q6">
        <f t="shared" ref="Q6:S6" si="4">AVERAGE(Q2:Q4)</f>
        <v>1.2814846702678925E-2</v>
      </c>
      <c r="R6">
        <f t="shared" si="4"/>
        <v>1.7229987010522339E-2</v>
      </c>
      <c r="S6">
        <f t="shared" si="4"/>
        <v>8.697201272223851E-3</v>
      </c>
    </row>
    <row r="7" spans="1:19" x14ac:dyDescent="0.25">
      <c r="A7">
        <f>-'R1'!H7</f>
        <v>44</v>
      </c>
      <c r="B7">
        <f>DEGREES(ATAN(-SIN(RADIANS(('R1'!I7)))/(COS(RADIANS(Sheet1!A7))*COS(RADIANS('R1'!I7)))))</f>
        <v>31.755051399893443</v>
      </c>
      <c r="C7">
        <f>AVERAGE('R1'!J7,'R2'!J7,'R3'!J7)</f>
        <v>1.18</v>
      </c>
      <c r="D7">
        <f>AVERAGE('R1'!K7,'R2'!K7,'R3'!K7)</f>
        <v>21.757783583333335</v>
      </c>
      <c r="E7">
        <f>AVERAGE('R1'!L7,'R2'!L7,'R3'!L7)</f>
        <v>1.4005778933738284</v>
      </c>
      <c r="F7">
        <f>AVERAGE('R1'!M7,'R2'!M7,'R3'!M7)</f>
        <v>-2.3751302248588293</v>
      </c>
      <c r="G7">
        <f>AVERAGE('R1'!N7,'R2'!N7,'R3'!N7)</f>
        <v>-1.4379393109109453</v>
      </c>
      <c r="H7">
        <f>AVERAGE('R1'!O7,'R2'!O7,'R3'!O7)</f>
        <v>-1.2522590794949087</v>
      </c>
      <c r="I7">
        <f t="shared" si="1"/>
        <v>4279.0307713888897</v>
      </c>
      <c r="K7">
        <f>_xlfn.STDEV.S('R1'!L7,'R2'!L7,'R3'!L7)</f>
        <v>3.4474881506328789E-3</v>
      </c>
      <c r="L7">
        <f>_xlfn.STDEV.S('R1'!M7,'R2'!M7,'R3'!M7)</f>
        <v>8.7365803375197993E-3</v>
      </c>
      <c r="M7">
        <f>_xlfn.STDEV.S('R1'!N7,'R2'!N7,'R3'!N7)</f>
        <v>7.0357830158611521E-3</v>
      </c>
      <c r="N7">
        <f>_xlfn.STDEV.S('R1'!O7,'R2'!O7,'R3'!O7)</f>
        <v>2.6116348469501119E-3</v>
      </c>
      <c r="P7">
        <f>AVERAGE(I:I)</f>
        <v>4390.789487954542</v>
      </c>
    </row>
    <row r="8" spans="1:19" x14ac:dyDescent="0.25">
      <c r="A8">
        <f>-'R1'!H8</f>
        <v>44</v>
      </c>
      <c r="B8">
        <f>DEGREES(ATAN(-SIN(RADIANS(('R1'!I8)))/(COS(RADIANS(Sheet1!A8))*COS(RADIANS('R1'!I8)))))</f>
        <v>26.838414444764965</v>
      </c>
      <c r="C8">
        <f>AVERAGE('R1'!J8,'R2'!J8,'R3'!J8)</f>
        <v>1.18</v>
      </c>
      <c r="D8">
        <f>AVERAGE('R1'!K8,'R2'!K8,'R3'!K8)</f>
        <v>21.115727583333335</v>
      </c>
      <c r="E8">
        <f>AVERAGE('R1'!L8,'R2'!L8,'R3'!L8)</f>
        <v>1.2467835959574582</v>
      </c>
      <c r="F8">
        <f>AVERAGE('R1'!M8,'R2'!M8,'R3'!M8)</f>
        <v>-2.4728558245614276</v>
      </c>
      <c r="G8">
        <f>AVERAGE('R1'!N8,'R2'!N8,'R3'!N8)</f>
        <v>-1.4310445657569126</v>
      </c>
      <c r="H8">
        <f>AVERAGE('R1'!O8,'R2'!O8,'R3'!O8)</f>
        <v>-1.1981234674220793</v>
      </c>
      <c r="I8">
        <f t="shared" si="1"/>
        <v>4152.7597580555566</v>
      </c>
      <c r="K8">
        <f>_xlfn.STDEV.S('R1'!L8,'R2'!L8,'R3'!L8)</f>
        <v>1.9673559275555767E-3</v>
      </c>
      <c r="L8">
        <f>_xlfn.STDEV.S('R1'!M8,'R2'!M8,'R3'!M8)</f>
        <v>1.1425935240782807E-2</v>
      </c>
      <c r="M8">
        <f>_xlfn.STDEV.S('R1'!N8,'R2'!N8,'R3'!N8)</f>
        <v>9.4703120164360867E-3</v>
      </c>
      <c r="N8">
        <f>_xlfn.STDEV.S('R1'!O8,'R2'!O8,'R3'!O8)</f>
        <v>5.9593559252813953E-3</v>
      </c>
    </row>
    <row r="9" spans="1:19" x14ac:dyDescent="0.25">
      <c r="A9">
        <f>-'R1'!H9</f>
        <v>44</v>
      </c>
      <c r="B9">
        <f>DEGREES(ATAN(-SIN(RADIANS(('R1'!I9)))/(COS(RADIANS(Sheet1!A9))*COS(RADIANS('R1'!I9)))))</f>
        <v>21.733362927744114</v>
      </c>
      <c r="C9">
        <f>AVERAGE('R1'!J9,'R2'!J9,'R3'!J9)</f>
        <v>1.18</v>
      </c>
      <c r="D9">
        <f>AVERAGE('R1'!K9,'R2'!K9,'R3'!K9)</f>
        <v>21.446131833333336</v>
      </c>
      <c r="E9">
        <f>AVERAGE('R1'!L9,'R2'!L9,'R3'!L9)</f>
        <v>1.0755058777343702</v>
      </c>
      <c r="F9">
        <f>AVERAGE('R1'!M9,'R2'!M9,'R3'!M9)</f>
        <v>-2.5748667417263404</v>
      </c>
      <c r="G9">
        <f>AVERAGE('R1'!N9,'R2'!N9,'R3'!N9)</f>
        <v>-1.4322467942108619</v>
      </c>
      <c r="H9">
        <f>AVERAGE('R1'!O9,'R2'!O9,'R3'!O9)</f>
        <v>-1.1461108987360886</v>
      </c>
      <c r="I9">
        <f t="shared" si="1"/>
        <v>4217.739260555556</v>
      </c>
      <c r="K9">
        <f>_xlfn.STDEV.S('R1'!L9,'R2'!L9,'R3'!L9)</f>
        <v>5.1884032979488603E-3</v>
      </c>
      <c r="L9">
        <f>_xlfn.STDEV.S('R1'!M9,'R2'!M9,'R3'!M9)</f>
        <v>3.2119546569302011E-3</v>
      </c>
      <c r="M9">
        <f>_xlfn.STDEV.S('R1'!N9,'R2'!N9,'R3'!N9)</f>
        <v>1.9566815948498005E-3</v>
      </c>
      <c r="N9">
        <f>_xlfn.STDEV.S('R1'!O9,'R2'!O9,'R3'!O9)</f>
        <v>2.0974238147970009E-3</v>
      </c>
    </row>
    <row r="10" spans="1:19" x14ac:dyDescent="0.25">
      <c r="A10">
        <f>-'R1'!H10</f>
        <v>44</v>
      </c>
      <c r="B10">
        <f>DEGREES(ATAN(-SIN(RADIANS(('R1'!I10)))/(COS(RADIANS(Sheet1!A10))*COS(RADIANS('R1'!I10)))))</f>
        <v>16.461798422084197</v>
      </c>
      <c r="C10">
        <f>AVERAGE('R1'!J10,'R2'!J10,'R3'!J10)</f>
        <v>1.18</v>
      </c>
      <c r="D10">
        <f>AVERAGE('R1'!K10,'R2'!K10,'R3'!K10)</f>
        <v>22.219703666666664</v>
      </c>
      <c r="E10">
        <f>AVERAGE('R1'!L10,'R2'!L10,'R3'!L10)</f>
        <v>0.88672779939558222</v>
      </c>
      <c r="F10">
        <f>AVERAGE('R1'!M10,'R2'!M10,'R3'!M10)</f>
        <v>-2.6911681443869675</v>
      </c>
      <c r="G10">
        <f>AVERAGE('R1'!N10,'R2'!N10,'R3'!N10)</f>
        <v>-1.441995466986655</v>
      </c>
      <c r="H10">
        <f>AVERAGE('R1'!O10,'R2'!O10,'R3'!O10)</f>
        <v>-1.1020006652280145</v>
      </c>
      <c r="I10">
        <f t="shared" si="1"/>
        <v>4369.8750544444438</v>
      </c>
      <c r="K10">
        <f>_xlfn.STDEV.S('R1'!L10,'R2'!L10,'R3'!L10)</f>
        <v>9.168394151152337E-3</v>
      </c>
      <c r="L10">
        <f>_xlfn.STDEV.S('R1'!M10,'R2'!M10,'R3'!M10)</f>
        <v>2.6918540284347702E-3</v>
      </c>
      <c r="M10">
        <f>_xlfn.STDEV.S('R1'!N10,'R2'!N10,'R3'!N10)</f>
        <v>4.024633812711462E-3</v>
      </c>
      <c r="N10">
        <f>_xlfn.STDEV.S('R1'!O10,'R2'!O10,'R3'!O10)</f>
        <v>5.8187618642629628E-3</v>
      </c>
    </row>
    <row r="11" spans="1:19" x14ac:dyDescent="0.25">
      <c r="A11">
        <f>-'R1'!H11</f>
        <v>44</v>
      </c>
      <c r="B11">
        <f>DEGREES(ATAN(-SIN(RADIANS(('R1'!I11)))/(COS(RADIANS(Sheet1!A11))*COS(RADIANS('R1'!I11)))))</f>
        <v>11.054892671059431</v>
      </c>
      <c r="C11">
        <f>AVERAGE('R1'!J11,'R2'!J11,'R3'!J11)</f>
        <v>1.18</v>
      </c>
      <c r="D11">
        <f>AVERAGE('R1'!K11,'R2'!K11,'R3'!K11)</f>
        <v>22.859023500000003</v>
      </c>
      <c r="E11">
        <f>AVERAGE('R1'!L11,'R2'!L11,'R3'!L11)</f>
        <v>0.66809933438261382</v>
      </c>
      <c r="F11">
        <f>AVERAGE('R1'!M11,'R2'!M11,'R3'!M11)</f>
        <v>-2.8722023672581538</v>
      </c>
      <c r="G11">
        <f>AVERAGE('R1'!N11,'R2'!N11,'R3'!N11)</f>
        <v>-1.5050031584631702</v>
      </c>
      <c r="H11">
        <f>AVERAGE('R1'!O11,'R2'!O11,'R3'!O11)</f>
        <v>-1.0785439762302282</v>
      </c>
      <c r="I11">
        <f t="shared" si="1"/>
        <v>4495.6079550000004</v>
      </c>
      <c r="K11">
        <f>_xlfn.STDEV.S('R1'!L11,'R2'!L11,'R3'!L11)</f>
        <v>3.0819053115272916E-3</v>
      </c>
      <c r="L11">
        <f>_xlfn.STDEV.S('R1'!M11,'R2'!M11,'R3'!M11)</f>
        <v>8.9158365866962488E-3</v>
      </c>
      <c r="M11">
        <f>_xlfn.STDEV.S('R1'!N11,'R2'!N11,'R3'!N11)</f>
        <v>5.3170342739136001E-3</v>
      </c>
      <c r="N11">
        <f>_xlfn.STDEV.S('R1'!O11,'R2'!O11,'R3'!O11)</f>
        <v>3.9562167390632388E-3</v>
      </c>
    </row>
    <row r="12" spans="1:19" x14ac:dyDescent="0.25">
      <c r="A12">
        <f>-'R1'!H12</f>
        <v>44</v>
      </c>
      <c r="B12">
        <f>DEGREES(ATAN(-SIN(RADIANS(('R1'!I12)))/(COS(RADIANS(Sheet1!A12))*COS(RADIANS('R1'!I12)))))</f>
        <v>5.5522607339018597</v>
      </c>
      <c r="C12">
        <f>AVERAGE('R1'!J12,'R2'!J12,'R3'!J12)</f>
        <v>1.18</v>
      </c>
      <c r="D12">
        <f>AVERAGE('R1'!K12,'R2'!K12,'R3'!K12)</f>
        <v>23.372251166666668</v>
      </c>
      <c r="E12">
        <f>AVERAGE('R1'!L12,'R2'!L12,'R3'!L12)</f>
        <v>0.41327212161798377</v>
      </c>
      <c r="F12">
        <f>AVERAGE('R1'!M12,'R2'!M12,'R3'!M12)</f>
        <v>-3.1242716749279769</v>
      </c>
      <c r="G12">
        <f>AVERAGE('R1'!N12,'R2'!N12,'R3'!N12)</f>
        <v>-1.6254057007755689</v>
      </c>
      <c r="H12">
        <f>AVERAGE('R1'!O12,'R2'!O12,'R3'!O12)</f>
        <v>-1.0788595986678293</v>
      </c>
      <c r="I12">
        <f t="shared" si="1"/>
        <v>4596.5427294444453</v>
      </c>
      <c r="K12">
        <f>_xlfn.STDEV.S('R1'!L12,'R2'!L12,'R3'!L12)</f>
        <v>7.2653893980141886E-4</v>
      </c>
      <c r="L12">
        <f>_xlfn.STDEV.S('R1'!M12,'R2'!M12,'R3'!M12)</f>
        <v>9.4189841607661227E-3</v>
      </c>
      <c r="M12">
        <f>_xlfn.STDEV.S('R1'!N12,'R2'!N12,'R3'!N12)</f>
        <v>5.0304147083661752E-3</v>
      </c>
      <c r="N12">
        <f>_xlfn.STDEV.S('R1'!O12,'R2'!O12,'R3'!O12)</f>
        <v>1.8920276925564463E-3</v>
      </c>
    </row>
    <row r="13" spans="1:19" x14ac:dyDescent="0.25">
      <c r="A13">
        <f>-'R1'!H13</f>
        <v>44</v>
      </c>
      <c r="B13">
        <f>DEGREES(ATAN(-SIN(RADIANS(('R1'!I13)))/(COS(RADIANS(Sheet1!A13))*COS(RADIANS('R1'!I13)))))</f>
        <v>0</v>
      </c>
      <c r="C13">
        <f>AVERAGE('R1'!J13,'R2'!J13,'R3'!J13)</f>
        <v>1.18</v>
      </c>
      <c r="D13">
        <f>AVERAGE('R1'!K13,'R2'!K13,'R3'!K13)</f>
        <v>23.306800666666664</v>
      </c>
      <c r="E13">
        <f>AVERAGE('R1'!L13,'R2'!L13,'R3'!L13)</f>
        <v>0.10733689606802543</v>
      </c>
      <c r="F13">
        <f>AVERAGE('R1'!M13,'R2'!M13,'R3'!M13)</f>
        <v>-3.4598661173158036</v>
      </c>
      <c r="G13">
        <f>AVERAGE('R1'!N13,'R2'!N13,'R3'!N13)</f>
        <v>-1.800540264744301</v>
      </c>
      <c r="H13">
        <f>AVERAGE('R1'!O13,'R2'!O13,'R3'!O13)</f>
        <v>-1.099369725230501</v>
      </c>
      <c r="I13">
        <f t="shared" si="1"/>
        <v>4583.6707977777778</v>
      </c>
      <c r="K13">
        <f>_xlfn.STDEV.S('R1'!L13,'R2'!L13,'R3'!L13)</f>
        <v>7.4763413261863428E-3</v>
      </c>
      <c r="L13">
        <f>_xlfn.STDEV.S('R1'!M13,'R2'!M13,'R3'!M13)</f>
        <v>1.7117904237820347E-2</v>
      </c>
      <c r="M13">
        <f>_xlfn.STDEV.S('R1'!N13,'R2'!N13,'R3'!N13)</f>
        <v>1.3382254626592208E-2</v>
      </c>
      <c r="N13">
        <f>_xlfn.STDEV.S('R1'!O13,'R2'!O13,'R3'!O13)</f>
        <v>5.5275461917822406E-3</v>
      </c>
    </row>
    <row r="14" spans="1:19" x14ac:dyDescent="0.25">
      <c r="A14">
        <f>-'R1'!H14</f>
        <v>44</v>
      </c>
      <c r="B14">
        <f>DEGREES(ATAN(-SIN(RADIANS(('R1'!I14)))/(COS(RADIANS(Sheet1!A14))*COS(RADIANS('R1'!I14)))))</f>
        <v>-5.5522607339018597</v>
      </c>
      <c r="C14">
        <f>AVERAGE('R1'!J14,'R2'!J14,'R3'!J14)</f>
        <v>1.18</v>
      </c>
      <c r="D14">
        <f>AVERAGE('R1'!K14,'R2'!K14,'R3'!K14)</f>
        <v>22.666805749999998</v>
      </c>
      <c r="E14">
        <f>AVERAGE('R1'!L14,'R2'!L14,'R3'!L14)</f>
        <v>-0.23838438671750742</v>
      </c>
      <c r="F14">
        <f>AVERAGE('R1'!M14,'R2'!M14,'R3'!M14)</f>
        <v>-3.3737904115076298</v>
      </c>
      <c r="G14">
        <f>AVERAGE('R1'!N14,'R2'!N14,'R3'!N14)</f>
        <v>-1.7523601010870067</v>
      </c>
      <c r="H14">
        <f>AVERAGE('R1'!O14,'R2'!O14,'R3'!O14)</f>
        <v>-1.0975230751336735</v>
      </c>
      <c r="I14">
        <f t="shared" si="1"/>
        <v>4457.8051308333334</v>
      </c>
      <c r="K14">
        <f>_xlfn.STDEV.S('R1'!L14,'R2'!L14,'R3'!L14)</f>
        <v>3.5921002674877025E-3</v>
      </c>
      <c r="L14">
        <f>_xlfn.STDEV.S('R1'!M14,'R2'!M14,'R3'!M14)</f>
        <v>2.4450131275090995E-2</v>
      </c>
      <c r="M14">
        <f>_xlfn.STDEV.S('R1'!N14,'R2'!N14,'R3'!N14)</f>
        <v>1.5395933919781519E-2</v>
      </c>
      <c r="N14">
        <f>_xlfn.STDEV.S('R1'!O14,'R2'!O14,'R3'!O14)</f>
        <v>9.923741295648443E-3</v>
      </c>
    </row>
    <row r="15" spans="1:19" x14ac:dyDescent="0.25">
      <c r="A15">
        <f>-'R1'!H15</f>
        <v>44</v>
      </c>
      <c r="B15">
        <f>DEGREES(ATAN(-SIN(RADIANS(('R1'!I15)))/(COS(RADIANS(Sheet1!A15))*COS(RADIANS('R1'!I15)))))</f>
        <v>-11.054892671059431</v>
      </c>
      <c r="C15">
        <f>AVERAGE('R1'!J15,'R2'!J15,'R3'!J15)</f>
        <v>1.18</v>
      </c>
      <c r="D15">
        <f>AVERAGE('R1'!K15,'R2'!K15,'R3'!K15)</f>
        <v>21.916829083333329</v>
      </c>
      <c r="E15">
        <f>AVERAGE('R1'!L15,'R2'!L15,'R3'!L15)</f>
        <v>-0.5314578371671228</v>
      </c>
      <c r="F15">
        <f>AVERAGE('R1'!M15,'R2'!M15,'R3'!M15)</f>
        <v>-3.1288110084428191</v>
      </c>
      <c r="G15">
        <f>AVERAGE('R1'!N15,'R2'!N15,'R3'!N15)</f>
        <v>-1.6333097547500568</v>
      </c>
      <c r="H15">
        <f>AVERAGE('R1'!O15,'R2'!O15,'R3'!O15)</f>
        <v>-1.0980777317567447</v>
      </c>
      <c r="I15">
        <f t="shared" si="1"/>
        <v>4310.3097197222214</v>
      </c>
      <c r="K15">
        <f>_xlfn.STDEV.S('R1'!L15,'R2'!L15,'R3'!L15)</f>
        <v>7.8544238521006966E-3</v>
      </c>
      <c r="L15">
        <f>_xlfn.STDEV.S('R1'!M15,'R2'!M15,'R3'!M15)</f>
        <v>1.1060266765066161E-2</v>
      </c>
      <c r="M15">
        <f>_xlfn.STDEV.S('R1'!N15,'R2'!N15,'R3'!N15)</f>
        <v>9.6026414112800884E-3</v>
      </c>
      <c r="N15">
        <f>_xlfn.STDEV.S('R1'!O15,'R2'!O15,'R3'!O15)</f>
        <v>4.8771509013834022E-3</v>
      </c>
    </row>
    <row r="16" spans="1:19" x14ac:dyDescent="0.25">
      <c r="A16">
        <f>-'R1'!H16</f>
        <v>44</v>
      </c>
      <c r="B16">
        <f>DEGREES(ATAN(-SIN(RADIANS(('R1'!I16)))/(COS(RADIANS(Sheet1!A16))*COS(RADIANS('R1'!I16)))))</f>
        <v>-16.461798422084197</v>
      </c>
      <c r="C16">
        <f>AVERAGE('R1'!J16,'R2'!J16,'R3'!J16)</f>
        <v>1.18</v>
      </c>
      <c r="D16">
        <f>AVERAGE('R1'!K16,'R2'!K16,'R3'!K16)</f>
        <v>21.312387333333334</v>
      </c>
      <c r="E16">
        <f>AVERAGE('R1'!L16,'R2'!L16,'R3'!L16)</f>
        <v>-0.79068117132285065</v>
      </c>
      <c r="F16">
        <f>AVERAGE('R1'!M16,'R2'!M16,'R3'!M16)</f>
        <v>-2.924013869238776</v>
      </c>
      <c r="G16">
        <f>AVERAGE('R1'!N16,'R2'!N16,'R3'!N16)</f>
        <v>-1.5510547849896028</v>
      </c>
      <c r="H16">
        <f>AVERAGE('R1'!O16,'R2'!O16,'R3'!O16)</f>
        <v>-1.1112730670922286</v>
      </c>
      <c r="I16">
        <f t="shared" si="1"/>
        <v>4191.4361755555556</v>
      </c>
      <c r="K16">
        <f>_xlfn.STDEV.S('R1'!L16,'R2'!L16,'R3'!L16)</f>
        <v>2.8616033049821579E-3</v>
      </c>
      <c r="L16">
        <f>_xlfn.STDEV.S('R1'!M16,'R2'!M16,'R3'!M16)</f>
        <v>1.5738411735676663E-2</v>
      </c>
      <c r="M16">
        <f>_xlfn.STDEV.S('R1'!N16,'R2'!N16,'R3'!N16)</f>
        <v>1.2553332377335724E-2</v>
      </c>
      <c r="N16">
        <f>_xlfn.STDEV.S('R1'!O16,'R2'!O16,'R3'!O16)</f>
        <v>8.2230275855835963E-3</v>
      </c>
    </row>
    <row r="17" spans="1:14" x14ac:dyDescent="0.25">
      <c r="A17">
        <f>-'R1'!H17</f>
        <v>44</v>
      </c>
      <c r="B17">
        <f>DEGREES(ATAN(-SIN(RADIANS(('R1'!I17)))/(COS(RADIANS(Sheet1!A17))*COS(RADIANS('R1'!I17)))))</f>
        <v>-21.733362927744114</v>
      </c>
      <c r="C17">
        <f>AVERAGE('R1'!J17,'R2'!J17,'R3'!J17)</f>
        <v>1.18</v>
      </c>
      <c r="D17">
        <f>AVERAGE('R1'!K17,'R2'!K17,'R3'!K17)</f>
        <v>21.474770500000002</v>
      </c>
      <c r="E17">
        <f>AVERAGE('R1'!L17,'R2'!L17,'R3'!L17)</f>
        <v>-1.0222958204100114</v>
      </c>
      <c r="F17">
        <f>AVERAGE('R1'!M17,'R2'!M17,'R3'!M17)</f>
        <v>-2.7728795209339183</v>
      </c>
      <c r="G17">
        <f>AVERAGE('R1'!N17,'R2'!N17,'R3'!N17)</f>
        <v>-1.5171946589868792</v>
      </c>
      <c r="H17">
        <f>AVERAGE('R1'!O17,'R2'!O17,'R3'!O17)</f>
        <v>-1.143986551382173</v>
      </c>
      <c r="I17">
        <f t="shared" si="1"/>
        <v>4223.3715316666667</v>
      </c>
      <c r="K17">
        <f>_xlfn.STDEV.S('R1'!L17,'R2'!L17,'R3'!L17)</f>
        <v>3.8095561037025071E-3</v>
      </c>
      <c r="L17">
        <f>_xlfn.STDEV.S('R1'!M17,'R2'!M17,'R3'!M17)</f>
        <v>3.9458670471958449E-3</v>
      </c>
      <c r="M17">
        <f>_xlfn.STDEV.S('R1'!N17,'R2'!N17,'R3'!N17)</f>
        <v>2.840433195975697E-4</v>
      </c>
      <c r="N17">
        <f>_xlfn.STDEV.S('R1'!O17,'R2'!O17,'R3'!O17)</f>
        <v>3.6155340179027276E-3</v>
      </c>
    </row>
    <row r="18" spans="1:14" x14ac:dyDescent="0.25">
      <c r="A18">
        <f>-'R1'!H18</f>
        <v>44</v>
      </c>
      <c r="B18">
        <f>DEGREES(ATAN(-SIN(RADIANS(('R1'!I18)))/(COS(RADIANS(Sheet1!A18))*COS(RADIANS('R1'!I18)))))</f>
        <v>-26.838414444764965</v>
      </c>
      <c r="C18">
        <f>AVERAGE('R1'!J18,'R2'!J18,'R3'!J18)</f>
        <v>1.18</v>
      </c>
      <c r="D18">
        <f>AVERAGE('R1'!K18,'R2'!K18,'R3'!K18)</f>
        <v>22.059314666666666</v>
      </c>
      <c r="E18">
        <f>AVERAGE('R1'!L18,'R2'!L18,'R3'!L18)</f>
        <v>-1.2204552052447863</v>
      </c>
      <c r="F18">
        <f>AVERAGE('R1'!M18,'R2'!M18,'R3'!M18)</f>
        <v>-2.6257876683443881</v>
      </c>
      <c r="G18">
        <f>AVERAGE('R1'!N18,'R2'!N18,'R3'!N18)</f>
        <v>-1.487105839641778</v>
      </c>
      <c r="H18">
        <f>AVERAGE('R1'!O18,'R2'!O18,'R3'!O18)</f>
        <v>-1.183481767637548</v>
      </c>
      <c r="I18">
        <f t="shared" si="1"/>
        <v>4338.3318844444448</v>
      </c>
      <c r="K18">
        <f>_xlfn.STDEV.S('R1'!L18,'R2'!L18,'R3'!L18)</f>
        <v>6.1443029193839717E-3</v>
      </c>
      <c r="L18">
        <f>_xlfn.STDEV.S('R1'!M18,'R2'!M18,'R3'!M18)</f>
        <v>8.646849972981421E-3</v>
      </c>
      <c r="M18">
        <f>_xlfn.STDEV.S('R1'!N18,'R2'!N18,'R3'!N18)</f>
        <v>9.2490927252053424E-3</v>
      </c>
      <c r="N18">
        <f>_xlfn.STDEV.S('R1'!O18,'R2'!O18,'R3'!O18)</f>
        <v>3.3191911280240766E-3</v>
      </c>
    </row>
    <row r="19" spans="1:14" x14ac:dyDescent="0.25">
      <c r="A19">
        <f>-'R1'!H19</f>
        <v>44</v>
      </c>
      <c r="B19">
        <f>DEGREES(ATAN(-SIN(RADIANS(('R1'!I19)))/(COS(RADIANS(Sheet1!A19))*COS(RADIANS('R1'!I19)))))</f>
        <v>-31.755051399893443</v>
      </c>
      <c r="C19">
        <f>AVERAGE('R1'!J19,'R2'!J19,'R3'!J19)</f>
        <v>1.18</v>
      </c>
      <c r="D19">
        <f>AVERAGE('R1'!K19,'R2'!K19,'R3'!K19)</f>
        <v>22.738137833333337</v>
      </c>
      <c r="E19">
        <f>AVERAGE('R1'!L19,'R2'!L19,'R3'!L19)</f>
        <v>-1.4009839622623492</v>
      </c>
      <c r="F19">
        <f>AVERAGE('R1'!M19,'R2'!M19,'R3'!M19)</f>
        <v>-2.4897597908133529</v>
      </c>
      <c r="G19">
        <f>AVERAGE('R1'!N19,'R2'!N19,'R3'!N19)</f>
        <v>-1.4710097594444898</v>
      </c>
      <c r="H19">
        <f>AVERAGE('R1'!O19,'R2'!O19,'R3'!O19)</f>
        <v>-1.2313998958919701</v>
      </c>
      <c r="I19">
        <f t="shared" si="1"/>
        <v>4471.8337738888895</v>
      </c>
      <c r="K19">
        <f>_xlfn.STDEV.S('R1'!L19,'R2'!L19,'R3'!L19)</f>
        <v>5.2356186531865015E-3</v>
      </c>
      <c r="L19">
        <f>_xlfn.STDEV.S('R1'!M19,'R2'!M19,'R3'!M19)</f>
        <v>4.4694385835768206E-3</v>
      </c>
      <c r="M19">
        <f>_xlfn.STDEV.S('R1'!N19,'R2'!N19,'R3'!N19)</f>
        <v>3.3213599764895588E-3</v>
      </c>
      <c r="N19">
        <f>_xlfn.STDEV.S('R1'!O19,'R2'!O19,'R3'!O19)</f>
        <v>4.1429758667854257E-3</v>
      </c>
    </row>
    <row r="20" spans="1:14" x14ac:dyDescent="0.25">
      <c r="A20">
        <f>-'R1'!H20</f>
        <v>44</v>
      </c>
      <c r="B20">
        <f>DEGREES(ATAN(-SIN(RADIANS(('R1'!I20)))/(COS(RADIANS(Sheet1!A20))*COS(RADIANS('R1'!I20)))))</f>
        <v>-36.470444456761925</v>
      </c>
      <c r="C20">
        <f>AVERAGE('R1'!J20,'R2'!J20,'R3'!J20)</f>
        <v>1.18</v>
      </c>
      <c r="D20">
        <f>AVERAGE('R1'!K20,'R2'!K20,'R3'!K20)</f>
        <v>23.288964583333335</v>
      </c>
      <c r="E20">
        <f>AVERAGE('R1'!L20,'R2'!L20,'R3'!L20)</f>
        <v>-1.5629512400371659</v>
      </c>
      <c r="F20">
        <f>AVERAGE('R1'!M20,'R2'!M20,'R3'!M20)</f>
        <v>-2.3920379243317038</v>
      </c>
      <c r="G20">
        <f>AVERAGE('R1'!N20,'R2'!N20,'R3'!N20)</f>
        <v>-1.4868265725417411</v>
      </c>
      <c r="H20">
        <f>AVERAGE('R1'!O20,'R2'!O20,'R3'!O20)</f>
        <v>-1.287303105054191</v>
      </c>
      <c r="I20">
        <f t="shared" si="1"/>
        <v>4580.1630347222226</v>
      </c>
      <c r="K20">
        <f>_xlfn.STDEV.S('R1'!L20,'R2'!L20,'R3'!L20)</f>
        <v>3.7714737596359375E-3</v>
      </c>
      <c r="L20">
        <f>_xlfn.STDEV.S('R1'!M20,'R2'!M20,'R3'!M20)</f>
        <v>5.0568884682625596E-3</v>
      </c>
      <c r="M20">
        <f>_xlfn.STDEV.S('R1'!N20,'R2'!N20,'R3'!N20)</f>
        <v>1.4620574388218425E-3</v>
      </c>
      <c r="N20">
        <f>_xlfn.STDEV.S('R1'!O20,'R2'!O20,'R3'!O20)</f>
        <v>1.1956561793261265E-3</v>
      </c>
    </row>
    <row r="21" spans="1:14" x14ac:dyDescent="0.25">
      <c r="A21">
        <f>-'R1'!H21</f>
        <v>44</v>
      </c>
      <c r="B21">
        <f>DEGREES(ATAN(-SIN(RADIANS(('R1'!I21)))/(COS(RADIANS(Sheet1!A21))*COS(RADIANS('R1'!I21)))))</f>
        <v>-40.979886989205063</v>
      </c>
      <c r="C21">
        <f>AVERAGE('R1'!J21,'R2'!J21,'R3'!J21)</f>
        <v>1.18</v>
      </c>
      <c r="D21">
        <f>AVERAGE('R1'!K21,'R2'!K21,'R3'!K21)</f>
        <v>23.343169499999998</v>
      </c>
      <c r="E21">
        <f>AVERAGE('R1'!L21,'R2'!L21,'R3'!L21)</f>
        <v>-1.698329284130663</v>
      </c>
      <c r="F21">
        <f>AVERAGE('R1'!M21,'R2'!M21,'R3'!M21)</f>
        <v>-2.3144088025814376</v>
      </c>
      <c r="G21">
        <f>AVERAGE('R1'!N21,'R2'!N21,'R3'!N21)</f>
        <v>-1.5126813058212611</v>
      </c>
      <c r="H21">
        <f>AVERAGE('R1'!O21,'R2'!O21,'R3'!O21)</f>
        <v>-1.3529703980695225</v>
      </c>
      <c r="I21">
        <f t="shared" si="1"/>
        <v>4590.8233349999991</v>
      </c>
      <c r="K21">
        <f>_xlfn.STDEV.S('R1'!L21,'R2'!L21,'R3'!L21)</f>
        <v>3.2296801163142217E-3</v>
      </c>
      <c r="L21">
        <f>_xlfn.STDEV.S('R1'!M21,'R2'!M21,'R3'!M21)</f>
        <v>6.6862845079669123E-3</v>
      </c>
      <c r="M21">
        <f>_xlfn.STDEV.S('R1'!N21,'R2'!N21,'R3'!N21)</f>
        <v>6.239056599992303E-3</v>
      </c>
      <c r="N21">
        <f>_xlfn.STDEV.S('R1'!O21,'R2'!O21,'R3'!O21)</f>
        <v>3.537802861634362E-3</v>
      </c>
    </row>
    <row r="22" spans="1:14" x14ac:dyDescent="0.25">
      <c r="A22">
        <f>-'R1'!H22</f>
        <v>44</v>
      </c>
      <c r="B22">
        <f>DEGREES(ATAN(-SIN(RADIANS(('R1'!I22)))/(COS(RADIANS(Sheet1!A22))*COS(RADIANS('R1'!I22)))))</f>
        <v>-45.285419134418312</v>
      </c>
      <c r="C22">
        <f>AVERAGE('R1'!J22,'R2'!J22,'R3'!J22)</f>
        <v>1.18</v>
      </c>
      <c r="D22">
        <f>AVERAGE('R1'!K22,'R2'!K22,'R3'!K22)</f>
        <v>22.870039333333334</v>
      </c>
      <c r="E22">
        <f>AVERAGE('R1'!L22,'R2'!L22,'R3'!L22)</f>
        <v>-1.8090730687277297</v>
      </c>
      <c r="F22">
        <f>AVERAGE('R1'!M22,'R2'!M22,'R3'!M22)</f>
        <v>-2.2849225257529446</v>
      </c>
      <c r="G22">
        <f>AVERAGE('R1'!N22,'R2'!N22,'R3'!N22)</f>
        <v>-1.5720542120257159</v>
      </c>
      <c r="H22">
        <f>AVERAGE('R1'!O22,'R2'!O22,'R3'!O22)</f>
        <v>-1.434639554035928</v>
      </c>
      <c r="I22">
        <f t="shared" si="1"/>
        <v>4497.7744022222232</v>
      </c>
      <c r="K22">
        <f>_xlfn.STDEV.S('R1'!L22,'R2'!L22,'R3'!L22)</f>
        <v>3.575068647653004E-3</v>
      </c>
      <c r="L22">
        <f>_xlfn.STDEV.S('R1'!M22,'R2'!M22,'R3'!M22)</f>
        <v>4.8047305168926226E-3</v>
      </c>
      <c r="M22">
        <f>_xlfn.STDEV.S('R1'!N22,'R2'!N22,'R3'!N22)</f>
        <v>1.7401011780358226E-3</v>
      </c>
      <c r="N22">
        <f>_xlfn.STDEV.S('R1'!O22,'R2'!O22,'R3'!O22)</f>
        <v>1.3946742687642206E-3</v>
      </c>
    </row>
    <row r="23" spans="1:14" x14ac:dyDescent="0.25">
      <c r="A23">
        <f>-'R1'!H23</f>
        <v>44</v>
      </c>
      <c r="B23">
        <f>DEGREES(ATAN(-SIN(RADIANS(('R1'!I23)))/(COS(RADIANS(Sheet1!A23))*COS(RADIANS('R1'!I23)))))</f>
        <v>-49.394314915379752</v>
      </c>
      <c r="C23">
        <f>AVERAGE('R1'!J23,'R2'!J23,'R3'!J23)</f>
        <v>1.18</v>
      </c>
      <c r="D23">
        <f>AVERAGE('R1'!K23,'R2'!K23,'R3'!K23)</f>
        <v>22.0844685</v>
      </c>
      <c r="E23">
        <f>AVERAGE('R1'!L23,'R2'!L23,'R3'!L23)</f>
        <v>-1.9071253956843519</v>
      </c>
      <c r="F23">
        <f>AVERAGE('R1'!M23,'R2'!M23,'R3'!M23)</f>
        <v>-2.2862480679393897</v>
      </c>
      <c r="G23">
        <f>AVERAGE('R1'!N23,'R2'!N23,'R3'!N23)</f>
        <v>-1.6558212254778872</v>
      </c>
      <c r="H23">
        <f>AVERAGE('R1'!O23,'R2'!O23,'R3'!O23)</f>
        <v>-1.5275749515996913</v>
      </c>
      <c r="I23">
        <f t="shared" si="1"/>
        <v>4343.2788049999999</v>
      </c>
      <c r="K23">
        <f>_xlfn.STDEV.S('R1'!L23,'R2'!L23,'R3'!L23)</f>
        <v>1.0645546007501774E-2</v>
      </c>
      <c r="L23">
        <f>_xlfn.STDEV.S('R1'!M23,'R2'!M23,'R3'!M23)</f>
        <v>1.1955714237315359E-2</v>
      </c>
      <c r="M23">
        <f>_xlfn.STDEV.S('R1'!N23,'R2'!N23,'R3'!N23)</f>
        <v>1.700004586574301E-2</v>
      </c>
      <c r="N23">
        <f>_xlfn.STDEV.S('R1'!O23,'R2'!O23,'R3'!O23)</f>
        <v>7.4369889635444919E-3</v>
      </c>
    </row>
    <row r="24" spans="1:14" x14ac:dyDescent="0.25">
      <c r="A24">
        <f>-'R1'!H24</f>
        <v>44</v>
      </c>
      <c r="B24">
        <f>DEGREES(ATAN(-SIN(RADIANS(('R1'!I24)))/(COS(RADIANS(Sheet1!A24))*COS(RADIANS('R1'!I24)))))</f>
        <v>-53.317641506405714</v>
      </c>
      <c r="C24">
        <f>AVERAGE('R1'!J24,'R2'!J24,'R3'!J24)</f>
        <v>1.18</v>
      </c>
      <c r="D24">
        <f>AVERAGE('R1'!K24,'R2'!K24,'R3'!K24)</f>
        <v>21.473327749999999</v>
      </c>
      <c r="E24">
        <f>AVERAGE('R1'!L24,'R2'!L24,'R3'!L24)</f>
        <v>-2.030950981405875</v>
      </c>
      <c r="F24">
        <f>AVERAGE('R1'!M24,'R2'!M24,'R3'!M24)</f>
        <v>-2.348055460549332</v>
      </c>
      <c r="G24">
        <f>AVERAGE('R1'!N24,'R2'!N24,'R3'!N24)</f>
        <v>-1.8128922288054092</v>
      </c>
      <c r="H24">
        <f>AVERAGE('R1'!O24,'R2'!O24,'R3'!O24)</f>
        <v>-1.6428209505239177</v>
      </c>
      <c r="I24">
        <f t="shared" si="1"/>
        <v>4223.0877908333332</v>
      </c>
      <c r="K24">
        <f>_xlfn.STDEV.S('R1'!L24,'R2'!L24,'R3'!L24)</f>
        <v>2.5590673087519149E-2</v>
      </c>
      <c r="L24">
        <f>_xlfn.STDEV.S('R1'!M24,'R2'!M24,'R3'!M24)</f>
        <v>3.3497587689217581E-2</v>
      </c>
      <c r="M24">
        <f>_xlfn.STDEV.S('R1'!N24,'R2'!N24,'R3'!N24)</f>
        <v>4.734869572938516E-2</v>
      </c>
      <c r="N24">
        <f>_xlfn.STDEV.S('R1'!O24,'R2'!O24,'R3'!O24)</f>
        <v>2.229668278704218E-2</v>
      </c>
    </row>
    <row r="25" spans="1:14" x14ac:dyDescent="0.25">
      <c r="A25">
        <f>-'R1'!H25</f>
        <v>40</v>
      </c>
      <c r="B25">
        <f>DEGREES(ATAN(-SIN(RADIANS(('R1'!I25)))/(COS(RADIANS(Sheet1!A25))*COS(RADIANS('R1'!I25)))))</f>
        <v>51.576359961556868</v>
      </c>
      <c r="C25">
        <f>AVERAGE('R1'!J25,'R2'!J25,'R3'!J25)</f>
        <v>1.18</v>
      </c>
      <c r="D25">
        <f>AVERAGE('R1'!K25,'R2'!K25,'R3'!K25)</f>
        <v>21.536295333333339</v>
      </c>
      <c r="E25">
        <f>AVERAGE('R1'!L25,'R2'!L25,'R3'!L25)</f>
        <v>1.9614088932382827</v>
      </c>
      <c r="F25">
        <f>AVERAGE('R1'!M25,'R2'!M25,'R3'!M25)</f>
        <v>-2.2758229998084358</v>
      </c>
      <c r="G25">
        <f>AVERAGE('R1'!N25,'R2'!N25,'R3'!N25)</f>
        <v>-1.7225931536039061</v>
      </c>
      <c r="H25">
        <f>AVERAGE('R1'!O25,'R2'!O25,'R3'!O25)</f>
        <v>-1.6115247631440652</v>
      </c>
      <c r="I25">
        <f t="shared" si="1"/>
        <v>4235.4714155555566</v>
      </c>
      <c r="K25">
        <f>_xlfn.STDEV.S('R1'!L25,'R2'!L25,'R3'!L25)</f>
        <v>8.0283838352302461E-3</v>
      </c>
      <c r="L25">
        <f>_xlfn.STDEV.S('R1'!M25,'R2'!M25,'R3'!M25)</f>
        <v>4.6113271071683525E-3</v>
      </c>
      <c r="M25">
        <f>_xlfn.STDEV.S('R1'!N25,'R2'!N25,'R3'!N25)</f>
        <v>6.7499665482519313E-3</v>
      </c>
      <c r="N25">
        <f>_xlfn.STDEV.S('R1'!O25,'R2'!O25,'R3'!O25)</f>
        <v>5.2802011520597571E-3</v>
      </c>
    </row>
    <row r="26" spans="1:14" x14ac:dyDescent="0.25">
      <c r="A26">
        <f>-'R1'!H26</f>
        <v>40</v>
      </c>
      <c r="B26">
        <f>DEGREES(ATAN(-SIN(RADIANS(('R1'!I26)))/(COS(RADIANS(Sheet1!A26))*COS(RADIANS('R1'!I26)))))</f>
        <v>47.605913955135343</v>
      </c>
      <c r="C26">
        <f>AVERAGE('R1'!J26,'R2'!J26,'R3'!J26)</f>
        <v>1.18</v>
      </c>
      <c r="D26">
        <f>AVERAGE('R1'!K26,'R2'!K26,'R3'!K26)</f>
        <v>21.828094916666668</v>
      </c>
      <c r="E26">
        <f>AVERAGE('R1'!L26,'R2'!L26,'R3'!L26)</f>
        <v>1.7948616914792552</v>
      </c>
      <c r="F26">
        <f>AVERAGE('R1'!M26,'R2'!M26,'R3'!M26)</f>
        <v>-2.1657693575706123</v>
      </c>
      <c r="G26">
        <f>AVERAGE('R1'!N26,'R2'!N26,'R3'!N26)</f>
        <v>-1.5084891019927846</v>
      </c>
      <c r="H26">
        <f>AVERAGE('R1'!O26,'R2'!O26,'R3'!O26)</f>
        <v>-1.4476283693211383</v>
      </c>
      <c r="I26">
        <f t="shared" si="1"/>
        <v>4292.8586669444448</v>
      </c>
      <c r="K26">
        <f>_xlfn.STDEV.S('R1'!L26,'R2'!L26,'R3'!L26)</f>
        <v>1.1899685753004673E-2</v>
      </c>
      <c r="L26">
        <f>_xlfn.STDEV.S('R1'!M26,'R2'!M26,'R3'!M26)</f>
        <v>7.8067668952313349E-3</v>
      </c>
      <c r="M26">
        <f>_xlfn.STDEV.S('R1'!N26,'R2'!N26,'R3'!N26)</f>
        <v>4.8435599981765066E-3</v>
      </c>
      <c r="N26">
        <f>_xlfn.STDEV.S('R1'!O26,'R2'!O26,'R3'!O26)</f>
        <v>1.1548473063035713E-3</v>
      </c>
    </row>
    <row r="27" spans="1:14" x14ac:dyDescent="0.25">
      <c r="A27">
        <f>-'R1'!H27</f>
        <v>40</v>
      </c>
      <c r="B27">
        <f>DEGREES(ATAN(-SIN(RADIANS(('R1'!I27)))/(COS(RADIANS(Sheet1!A27))*COS(RADIANS('R1'!I27)))))</f>
        <v>43.48399800633365</v>
      </c>
      <c r="C27">
        <f>AVERAGE('R1'!J27,'R2'!J27,'R3'!J27)</f>
        <v>1.18</v>
      </c>
      <c r="D27">
        <f>AVERAGE('R1'!K27,'R2'!K27,'R3'!K27)</f>
        <v>22.315227416666669</v>
      </c>
      <c r="E27">
        <f>AVERAGE('R1'!L27,'R2'!L27,'R3'!L27)</f>
        <v>1.7126353976585922</v>
      </c>
      <c r="F27">
        <f>AVERAGE('R1'!M27,'R2'!M27,'R3'!M27)</f>
        <v>-2.0285778071641043</v>
      </c>
      <c r="G27">
        <f>AVERAGE('R1'!N27,'R2'!N27,'R3'!N27)</f>
        <v>-1.3445210260919094</v>
      </c>
      <c r="H27">
        <f>AVERAGE('R1'!O27,'R2'!O27,'R3'!O27)</f>
        <v>-1.3048532145956551</v>
      </c>
      <c r="I27">
        <f t="shared" si="1"/>
        <v>4388.6613919444453</v>
      </c>
      <c r="K27">
        <f>_xlfn.STDEV.S('R1'!L27,'R2'!L27,'R3'!L27)</f>
        <v>2.0914087657014E-2</v>
      </c>
      <c r="L27">
        <f>_xlfn.STDEV.S('R1'!M27,'R2'!M27,'R3'!M27)</f>
        <v>6.5347828995924624E-3</v>
      </c>
      <c r="M27">
        <f>_xlfn.STDEV.S('R1'!N27,'R2'!N27,'R3'!N27)</f>
        <v>9.9733795954781972E-3</v>
      </c>
      <c r="N27">
        <f>_xlfn.STDEV.S('R1'!O27,'R2'!O27,'R3'!O27)</f>
        <v>1.8904196347851461E-3</v>
      </c>
    </row>
    <row r="28" spans="1:14" x14ac:dyDescent="0.25">
      <c r="A28">
        <f>-'R1'!H28</f>
        <v>40</v>
      </c>
      <c r="B28">
        <f>DEGREES(ATAN(-SIN(RADIANS(('R1'!I28)))/(COS(RADIANS(Sheet1!A28))*COS(RADIANS('R1'!I28)))))</f>
        <v>39.204435233296593</v>
      </c>
      <c r="C28">
        <f>AVERAGE('R1'!J28,'R2'!J28,'R3'!J28)</f>
        <v>1.18</v>
      </c>
      <c r="D28">
        <f>AVERAGE('R1'!K28,'R2'!K28,'R3'!K28)</f>
        <v>22.897690749999999</v>
      </c>
      <c r="E28">
        <f>AVERAGE('R1'!L28,'R2'!L28,'R3'!L28)</f>
        <v>1.5880367261523147</v>
      </c>
      <c r="F28">
        <f>AVERAGE('R1'!M28,'R2'!M28,'R3'!M28)</f>
        <v>-1.9940887560240856</v>
      </c>
      <c r="G28">
        <f>AVERAGE('R1'!N28,'R2'!N28,'R3'!N28)</f>
        <v>-1.2319605954389259</v>
      </c>
      <c r="H28">
        <f>AVERAGE('R1'!O28,'R2'!O28,'R3'!O28)</f>
        <v>-1.1925082279612214</v>
      </c>
      <c r="I28">
        <f t="shared" si="1"/>
        <v>4503.2125141666666</v>
      </c>
      <c r="K28">
        <f>_xlfn.STDEV.S('R1'!L28,'R2'!L28,'R3'!L28)</f>
        <v>8.6128911139148993E-3</v>
      </c>
      <c r="L28">
        <f>_xlfn.STDEV.S('R1'!M28,'R2'!M28,'R3'!M28)</f>
        <v>6.4240531545293389E-3</v>
      </c>
      <c r="M28">
        <f>_xlfn.STDEV.S('R1'!N28,'R2'!N28,'R3'!N28)</f>
        <v>9.5448136352115544E-3</v>
      </c>
      <c r="N28">
        <f>_xlfn.STDEV.S('R1'!O28,'R2'!O28,'R3'!O28)</f>
        <v>5.6884168381804876E-3</v>
      </c>
    </row>
    <row r="29" spans="1:14" x14ac:dyDescent="0.25">
      <c r="A29">
        <f>-'R1'!H29</f>
        <v>40</v>
      </c>
      <c r="B29">
        <f>DEGREES(ATAN(-SIN(RADIANS(('R1'!I29)))/(COS(RADIANS(Sheet1!A29))*COS(RADIANS('R1'!I29)))))</f>
        <v>34.764413107862225</v>
      </c>
      <c r="C29">
        <f>AVERAGE('R1'!J29,'R2'!J29,'R3'!J29)</f>
        <v>1.18</v>
      </c>
      <c r="D29">
        <f>AVERAGE('R1'!K29,'R2'!K29,'R3'!K29)</f>
        <v>22.892782</v>
      </c>
      <c r="E29">
        <f>AVERAGE('R1'!L29,'R2'!L29,'R3'!L29)</f>
        <v>1.4447207103964519</v>
      </c>
      <c r="F29">
        <f>AVERAGE('R1'!M29,'R2'!M29,'R3'!M29)</f>
        <v>-2.0078064816570773</v>
      </c>
      <c r="G29">
        <f>AVERAGE('R1'!N29,'R2'!N29,'R3'!N29)</f>
        <v>-1.1511917009576467</v>
      </c>
      <c r="H29">
        <f>AVERAGE('R1'!O29,'R2'!O29,'R3'!O29)</f>
        <v>-1.1005459495098942</v>
      </c>
      <c r="I29">
        <f t="shared" si="1"/>
        <v>4502.2471266666662</v>
      </c>
      <c r="K29">
        <f>_xlfn.STDEV.S('R1'!L29,'R2'!L29,'R3'!L29)</f>
        <v>8.5772313394958735E-3</v>
      </c>
      <c r="L29">
        <f>_xlfn.STDEV.S('R1'!M29,'R2'!M29,'R3'!M29)</f>
        <v>2.3784812244754174E-3</v>
      </c>
      <c r="M29">
        <f>_xlfn.STDEV.S('R1'!N29,'R2'!N29,'R3'!N29)</f>
        <v>3.7614963495279795E-3</v>
      </c>
      <c r="N29">
        <f>_xlfn.STDEV.S('R1'!O29,'R2'!O29,'R3'!O29)</f>
        <v>2.8071918132264511E-3</v>
      </c>
    </row>
    <row r="30" spans="1:14" x14ac:dyDescent="0.25">
      <c r="A30">
        <f>-'R1'!H30</f>
        <v>40</v>
      </c>
      <c r="B30">
        <f>DEGREES(ATAN(-SIN(RADIANS(('R1'!I30)))/(COS(RADIANS(Sheet1!A30))*COS(RADIANS('R1'!I30)))))</f>
        <v>30.165358572591657</v>
      </c>
      <c r="C30">
        <f>AVERAGE('R1'!J30,'R2'!J30,'R3'!J30)</f>
        <v>1.18</v>
      </c>
      <c r="D30">
        <f>AVERAGE('R1'!K30,'R2'!K30,'R3'!K30)</f>
        <v>22.475635583333332</v>
      </c>
      <c r="E30">
        <f>AVERAGE('R1'!L30,'R2'!L30,'R3'!L30)</f>
        <v>1.2958015376684067</v>
      </c>
      <c r="F30">
        <f>AVERAGE('R1'!M30,'R2'!M30,'R3'!M30)</f>
        <v>-2.0530345576501587</v>
      </c>
      <c r="G30">
        <f>AVERAGE('R1'!N30,'R2'!N30,'R3'!N30)</f>
        <v>-1.0998412690795651</v>
      </c>
      <c r="H30">
        <f>AVERAGE('R1'!O30,'R2'!O30,'R3'!O30)</f>
        <v>-1.0239442385481423</v>
      </c>
      <c r="I30">
        <f t="shared" si="1"/>
        <v>4420.2083313888888</v>
      </c>
      <c r="K30">
        <f>_xlfn.STDEV.S('R1'!L30,'R2'!L30,'R3'!L30)</f>
        <v>1.5795319780851347E-3</v>
      </c>
      <c r="L30">
        <f>_xlfn.STDEV.S('R1'!M30,'R2'!M30,'R3'!M30)</f>
        <v>1.7909866705736641E-3</v>
      </c>
      <c r="M30">
        <f>_xlfn.STDEV.S('R1'!N30,'R2'!N30,'R3'!N30)</f>
        <v>2.1566613669437296E-3</v>
      </c>
      <c r="N30">
        <f>_xlfn.STDEV.S('R1'!O30,'R2'!O30,'R3'!O30)</f>
        <v>2.0868303053884767E-3</v>
      </c>
    </row>
    <row r="31" spans="1:14" x14ac:dyDescent="0.25">
      <c r="A31">
        <f>-'R1'!H31</f>
        <v>40</v>
      </c>
      <c r="B31">
        <f>DEGREES(ATAN(-SIN(RADIANS(('R1'!I31)))/(COS(RADIANS(Sheet1!A31))*COS(RADIANS('R1'!I31)))))</f>
        <v>25.413766880049252</v>
      </c>
      <c r="C31">
        <f>AVERAGE('R1'!J31,'R2'!J31,'R3'!J31)</f>
        <v>1.18</v>
      </c>
      <c r="D31">
        <f>AVERAGE('R1'!K31,'R2'!K31,'R3'!K31)</f>
        <v>22.203543749999998</v>
      </c>
      <c r="E31">
        <f>AVERAGE('R1'!L31,'R2'!L31,'R3'!L31)</f>
        <v>1.1489843074746817</v>
      </c>
      <c r="F31">
        <f>AVERAGE('R1'!M31,'R2'!M31,'R3'!M31)</f>
        <v>-2.1131631094205319</v>
      </c>
      <c r="G31">
        <f>AVERAGE('R1'!N31,'R2'!N31,'R3'!N31)</f>
        <v>-1.0712516310984694</v>
      </c>
      <c r="H31">
        <f>AVERAGE('R1'!O31,'R2'!O31,'R3'!O31)</f>
        <v>-0.9560721448463938</v>
      </c>
      <c r="I31">
        <f t="shared" si="1"/>
        <v>4366.696937499999</v>
      </c>
      <c r="K31">
        <f>_xlfn.STDEV.S('R1'!L31,'R2'!L31,'R3'!L31)</f>
        <v>8.2330684990378092E-4</v>
      </c>
      <c r="L31">
        <f>_xlfn.STDEV.S('R1'!M31,'R2'!M31,'R3'!M31)</f>
        <v>2.2379237839867324E-4</v>
      </c>
      <c r="M31">
        <f>_xlfn.STDEV.S('R1'!N31,'R2'!N31,'R3'!N31)</f>
        <v>1.9354126958603156E-3</v>
      </c>
      <c r="N31">
        <f>_xlfn.STDEV.S('R1'!O31,'R2'!O31,'R3'!O31)</f>
        <v>1.2054115285216737E-3</v>
      </c>
    </row>
    <row r="32" spans="1:14" x14ac:dyDescent="0.25">
      <c r="A32">
        <f>-'R1'!H32</f>
        <v>40</v>
      </c>
      <c r="B32">
        <f>DEGREES(ATAN(-SIN(RADIANS(('R1'!I32)))/(COS(RADIANS(Sheet1!A32))*COS(RADIANS('R1'!I32)))))</f>
        <v>20.5218555971705</v>
      </c>
      <c r="C32">
        <f>AVERAGE('R1'!J32,'R2'!J32,'R3'!J32)</f>
        <v>1.18</v>
      </c>
      <c r="D32">
        <f>AVERAGE('R1'!K32,'R2'!K32,'R3'!K32)</f>
        <v>21.976366333333331</v>
      </c>
      <c r="E32">
        <f>AVERAGE('R1'!L32,'R2'!L32,'R3'!L32)</f>
        <v>0.99371933992386419</v>
      </c>
      <c r="F32">
        <f>AVERAGE('R1'!M32,'R2'!M32,'R3'!M32)</f>
        <v>-2.1820587105910705</v>
      </c>
      <c r="G32">
        <f>AVERAGE('R1'!N32,'R2'!N32,'R3'!N32)</f>
        <v>-1.0536189251097376</v>
      </c>
      <c r="H32">
        <f>AVERAGE('R1'!O32,'R2'!O32,'R3'!O32)</f>
        <v>-0.89783862631035471</v>
      </c>
      <c r="I32">
        <f t="shared" si="1"/>
        <v>4322.0187122222214</v>
      </c>
      <c r="K32">
        <f>_xlfn.STDEV.S('R1'!L32,'R2'!L32,'R3'!L32)</f>
        <v>5.0222019451373471E-4</v>
      </c>
      <c r="L32">
        <f>_xlfn.STDEV.S('R1'!M32,'R2'!M32,'R3'!M32)</f>
        <v>4.8338058314995819E-3</v>
      </c>
      <c r="M32">
        <f>_xlfn.STDEV.S('R1'!N32,'R2'!N32,'R3'!N32)</f>
        <v>5.0913854581596148E-3</v>
      </c>
      <c r="N32">
        <f>_xlfn.STDEV.S('R1'!O32,'R2'!O32,'R3'!O32)</f>
        <v>1.4108960134338576E-3</v>
      </c>
    </row>
    <row r="33" spans="1:14" x14ac:dyDescent="0.25">
      <c r="A33">
        <f>-'R1'!H33</f>
        <v>40</v>
      </c>
      <c r="B33">
        <f>DEGREES(ATAN(-SIN(RADIANS(('R1'!I33)))/(COS(RADIANS(Sheet1!A33))*COS(RADIANS('R1'!I33)))))</f>
        <v>15.507892018560797</v>
      </c>
      <c r="C33">
        <f>AVERAGE('R1'!J33,'R2'!J33,'R3'!J33)</f>
        <v>1.18</v>
      </c>
      <c r="D33">
        <f>AVERAGE('R1'!K33,'R2'!K33,'R3'!K33)</f>
        <v>22.003391333333337</v>
      </c>
      <c r="E33">
        <f>AVERAGE('R1'!L33,'R2'!L33,'R3'!L33)</f>
        <v>0.80980188923476781</v>
      </c>
      <c r="F33">
        <f>AVERAGE('R1'!M33,'R2'!M33,'R3'!M33)</f>
        <v>-2.2851862409811514</v>
      </c>
      <c r="G33">
        <f>AVERAGE('R1'!N33,'R2'!N33,'R3'!N33)</f>
        <v>-1.0560947029994647</v>
      </c>
      <c r="H33">
        <f>AVERAGE('R1'!O33,'R2'!O33,'R3'!O33)</f>
        <v>-0.84232206679842603</v>
      </c>
      <c r="I33">
        <f t="shared" si="1"/>
        <v>4327.3336288888895</v>
      </c>
      <c r="K33">
        <f>_xlfn.STDEV.S('R1'!L33,'R2'!L33,'R3'!L33)</f>
        <v>1.7533804050287394E-3</v>
      </c>
      <c r="L33">
        <f>_xlfn.STDEV.S('R1'!M33,'R2'!M33,'R3'!M33)</f>
        <v>5.0048517879505644E-3</v>
      </c>
      <c r="M33">
        <f>_xlfn.STDEV.S('R1'!N33,'R2'!N33,'R3'!N33)</f>
        <v>4.219524967186211E-3</v>
      </c>
      <c r="N33">
        <f>_xlfn.STDEV.S('R1'!O33,'R2'!O33,'R3'!O33)</f>
        <v>7.8752208918315297E-4</v>
      </c>
    </row>
    <row r="34" spans="1:14" x14ac:dyDescent="0.25">
      <c r="A34">
        <f>-'R1'!H34</f>
        <v>40</v>
      </c>
      <c r="B34">
        <f>DEGREES(ATAN(-SIN(RADIANS(('R1'!I34)))/(COS(RADIANS(Sheet1!A34))*COS(RADIANS('R1'!I34)))))</f>
        <v>10.396047080877794</v>
      </c>
      <c r="C34">
        <f>AVERAGE('R1'!J34,'R2'!J34,'R3'!J34)</f>
        <v>1.18</v>
      </c>
      <c r="D34">
        <f>AVERAGE('R1'!K34,'R2'!K34,'R3'!K34)</f>
        <v>22.216109583333335</v>
      </c>
      <c r="E34">
        <f>AVERAGE('R1'!L34,'R2'!L34,'R3'!L34)</f>
        <v>0.60552848945933235</v>
      </c>
      <c r="F34">
        <f>AVERAGE('R1'!M34,'R2'!M34,'R3'!M34)</f>
        <v>-2.4192623875329615</v>
      </c>
      <c r="G34">
        <f>AVERAGE('R1'!N34,'R2'!N34,'R3'!N34)</f>
        <v>-1.0855530336591703</v>
      </c>
      <c r="H34">
        <f>AVERAGE('R1'!O34,'R2'!O34,'R3'!O34)</f>
        <v>-0.79915809000792226</v>
      </c>
      <c r="I34">
        <f t="shared" si="1"/>
        <v>4369.1682180555563</v>
      </c>
      <c r="K34">
        <f>_xlfn.STDEV.S('R1'!L34,'R2'!L34,'R3'!L34)</f>
        <v>7.6449559889882343E-3</v>
      </c>
      <c r="L34">
        <f>_xlfn.STDEV.S('R1'!M34,'R2'!M34,'R3'!M34)</f>
        <v>3.7399698211622616E-3</v>
      </c>
      <c r="M34">
        <f>_xlfn.STDEV.S('R1'!N34,'R2'!N34,'R3'!N34)</f>
        <v>4.5605311818234613E-3</v>
      </c>
      <c r="N34">
        <f>_xlfn.STDEV.S('R1'!O34,'R2'!O34,'R3'!O34)</f>
        <v>2.4694407520757856E-3</v>
      </c>
    </row>
    <row r="35" spans="1:14" x14ac:dyDescent="0.25">
      <c r="A35">
        <f>-'R1'!H35</f>
        <v>40</v>
      </c>
      <c r="B35">
        <f>DEGREES(ATAN(-SIN(RADIANS(('R1'!I35)))/(COS(RADIANS(Sheet1!A35))*COS(RADIANS('R1'!I35)))))</f>
        <v>5.2156742986237852</v>
      </c>
      <c r="C35">
        <f>AVERAGE('R1'!J35,'R2'!J35,'R3'!J35)</f>
        <v>1.18</v>
      </c>
      <c r="D35">
        <f>AVERAGE('R1'!K35,'R2'!K35,'R3'!K35)</f>
        <v>22.443383583333333</v>
      </c>
      <c r="E35">
        <f>AVERAGE('R1'!L35,'R2'!L35,'R3'!L35)</f>
        <v>0.37167813251498799</v>
      </c>
      <c r="F35">
        <f>AVERAGE('R1'!M35,'R2'!M35,'R3'!M35)</f>
        <v>-2.5929159686525014</v>
      </c>
      <c r="G35">
        <f>AVERAGE('R1'!N35,'R2'!N35,'R3'!N35)</f>
        <v>-1.1446365771154017</v>
      </c>
      <c r="H35">
        <f>AVERAGE('R1'!O35,'R2'!O35,'R3'!O35)</f>
        <v>-0.77251216570481995</v>
      </c>
      <c r="I35">
        <f t="shared" si="1"/>
        <v>4413.8654380555554</v>
      </c>
      <c r="K35">
        <f>_xlfn.STDEV.S('R1'!L35,'R2'!L35,'R3'!L35)</f>
        <v>7.0344362926812124E-3</v>
      </c>
      <c r="L35">
        <f>_xlfn.STDEV.S('R1'!M35,'R2'!M35,'R3'!M35)</f>
        <v>4.5931835304558848E-3</v>
      </c>
      <c r="M35">
        <f>_xlfn.STDEV.S('R1'!N35,'R2'!N35,'R3'!N35)</f>
        <v>1.4259416090996019E-3</v>
      </c>
      <c r="N35">
        <f>_xlfn.STDEV.S('R1'!O35,'R2'!O35,'R3'!O35)</f>
        <v>2.2307865261844426E-3</v>
      </c>
    </row>
    <row r="36" spans="1:14" x14ac:dyDescent="0.25">
      <c r="A36">
        <f>-'R1'!H36</f>
        <v>40</v>
      </c>
      <c r="B36">
        <f>DEGREES(ATAN(-SIN(RADIANS(('R1'!I36)))/(COS(RADIANS(Sheet1!A36))*COS(RADIANS('R1'!I36)))))</f>
        <v>0</v>
      </c>
      <c r="C36">
        <f>AVERAGE('R1'!J36,'R2'!J36,'R3'!J36)</f>
        <v>1.18</v>
      </c>
      <c r="D36">
        <f>AVERAGE('R1'!K36,'R2'!K36,'R3'!K36)</f>
        <v>22.582598749999999</v>
      </c>
      <c r="E36">
        <f>AVERAGE('R1'!L36,'R2'!L36,'R3'!L36)</f>
        <v>9.2174897864164718E-2</v>
      </c>
      <c r="F36">
        <f>AVERAGE('R1'!M36,'R2'!M36,'R3'!M36)</f>
        <v>-2.816411691735734</v>
      </c>
      <c r="G36">
        <f>AVERAGE('R1'!N36,'R2'!N36,'R3'!N36)</f>
        <v>-1.2347201567555335</v>
      </c>
      <c r="H36">
        <f>AVERAGE('R1'!O36,'R2'!O36,'R3'!O36)</f>
        <v>-0.7525238305538906</v>
      </c>
      <c r="I36">
        <f t="shared" si="1"/>
        <v>4441.2444208333336</v>
      </c>
      <c r="K36">
        <f>_xlfn.STDEV.S('R1'!L36,'R2'!L36,'R3'!L36)</f>
        <v>1.894165285577683E-3</v>
      </c>
      <c r="L36">
        <f>_xlfn.STDEV.S('R1'!M36,'R2'!M36,'R3'!M36)</f>
        <v>9.6864530224562793E-3</v>
      </c>
      <c r="M36">
        <f>_xlfn.STDEV.S('R1'!N36,'R2'!N36,'R3'!N36)</f>
        <v>7.9297649276765369E-3</v>
      </c>
      <c r="N36">
        <f>_xlfn.STDEV.S('R1'!O36,'R2'!O36,'R3'!O36)</f>
        <v>2.04164706452865E-3</v>
      </c>
    </row>
    <row r="37" spans="1:14" x14ac:dyDescent="0.25">
      <c r="A37">
        <f>-'R1'!H37</f>
        <v>40</v>
      </c>
      <c r="B37">
        <f>DEGREES(ATAN(-SIN(RADIANS(('R1'!I37)))/(COS(RADIANS(Sheet1!A37))*COS(RADIANS('R1'!I37)))))</f>
        <v>-5.2156742986237852</v>
      </c>
      <c r="C37">
        <f>AVERAGE('R1'!J37,'R2'!J37,'R3'!J37)</f>
        <v>1.18</v>
      </c>
      <c r="D37">
        <f>AVERAGE('R1'!K37,'R2'!K37,'R3'!K37)</f>
        <v>22.861011000000001</v>
      </c>
      <c r="E37">
        <f>AVERAGE('R1'!L37,'R2'!L37,'R3'!L37)</f>
        <v>-0.20500054225328315</v>
      </c>
      <c r="F37">
        <f>AVERAGE('R1'!M37,'R2'!M37,'R3'!M37)</f>
        <v>-2.753418200645148</v>
      </c>
      <c r="G37">
        <f>AVERAGE('R1'!N37,'R2'!N37,'R3'!N37)</f>
        <v>-1.2054364917979596</v>
      </c>
      <c r="H37">
        <f>AVERAGE('R1'!O37,'R2'!O37,'R3'!O37)</f>
        <v>-0.76435507761016319</v>
      </c>
      <c r="I37">
        <f t="shared" si="1"/>
        <v>4495.9988300000005</v>
      </c>
      <c r="K37">
        <f>_xlfn.STDEV.S('R1'!L37,'R2'!L37,'R3'!L37)</f>
        <v>9.6197154085405339E-3</v>
      </c>
      <c r="L37">
        <f>_xlfn.STDEV.S('R1'!M37,'R2'!M37,'R3'!M37)</f>
        <v>9.8970624164791982E-3</v>
      </c>
      <c r="M37">
        <f>_xlfn.STDEV.S('R1'!N37,'R2'!N37,'R3'!N37)</f>
        <v>6.2091159891682988E-3</v>
      </c>
      <c r="N37">
        <f>_xlfn.STDEV.S('R1'!O37,'R2'!O37,'R3'!O37)</f>
        <v>2.5503937526124378E-3</v>
      </c>
    </row>
    <row r="38" spans="1:14" x14ac:dyDescent="0.25">
      <c r="A38">
        <f>-'R1'!H38</f>
        <v>40</v>
      </c>
      <c r="B38">
        <f>DEGREES(ATAN(-SIN(RADIANS(('R1'!I38)))/(COS(RADIANS(Sheet1!A38))*COS(RADIANS('R1'!I38)))))</f>
        <v>-10.396047080877794</v>
      </c>
      <c r="C38">
        <f>AVERAGE('R1'!J38,'R2'!J38,'R3'!J38)</f>
        <v>1.18</v>
      </c>
      <c r="D38">
        <f>AVERAGE('R1'!K38,'R2'!K38,'R3'!K38)</f>
        <v>22.460111083333334</v>
      </c>
      <c r="E38">
        <f>AVERAGE('R1'!L38,'R2'!L38,'R3'!L38)</f>
        <v>-0.46977309074578938</v>
      </c>
      <c r="F38">
        <f>AVERAGE('R1'!M38,'R2'!M38,'R3'!M38)</f>
        <v>-2.5701675775824433</v>
      </c>
      <c r="G38">
        <f>AVERAGE('R1'!N38,'R2'!N38,'R3'!N38)</f>
        <v>-1.1273951920883143</v>
      </c>
      <c r="H38">
        <f>AVERAGE('R1'!O38,'R2'!O38,'R3'!O38)</f>
        <v>-0.78544777353061201</v>
      </c>
      <c r="I38">
        <f t="shared" si="1"/>
        <v>4417.1551797222219</v>
      </c>
      <c r="K38">
        <f>_xlfn.STDEV.S('R1'!L38,'R2'!L38,'R3'!L38)</f>
        <v>5.0386565161584301E-3</v>
      </c>
      <c r="L38">
        <f>_xlfn.STDEV.S('R1'!M38,'R2'!M38,'R3'!M38)</f>
        <v>1.0954187482329505E-2</v>
      </c>
      <c r="M38">
        <f>_xlfn.STDEV.S('R1'!N38,'R2'!N38,'R3'!N38)</f>
        <v>8.326289807605922E-3</v>
      </c>
      <c r="N38">
        <f>_xlfn.STDEV.S('R1'!O38,'R2'!O38,'R3'!O38)</f>
        <v>4.8996533505558286E-3</v>
      </c>
    </row>
    <row r="39" spans="1:14" x14ac:dyDescent="0.25">
      <c r="A39">
        <f>-'R1'!H39</f>
        <v>40</v>
      </c>
      <c r="B39">
        <f>DEGREES(ATAN(-SIN(RADIANS(('R1'!I39)))/(COS(RADIANS(Sheet1!A39))*COS(RADIANS('R1'!I39)))))</f>
        <v>-15.507892018560797</v>
      </c>
      <c r="C39">
        <f>AVERAGE('R1'!J39,'R2'!J39,'R3'!J39)</f>
        <v>1.18</v>
      </c>
      <c r="D39">
        <f>AVERAGE('R1'!K39,'R2'!K39,'R3'!K39)</f>
        <v>22.191346333333332</v>
      </c>
      <c r="E39">
        <f>AVERAGE('R1'!L39,'R2'!L39,'R3'!L39)</f>
        <v>-0.70765372986950803</v>
      </c>
      <c r="F39">
        <f>AVERAGE('R1'!M39,'R2'!M39,'R3'!M39)</f>
        <v>-2.4349814611458886</v>
      </c>
      <c r="G39">
        <f>AVERAGE('R1'!N39,'R2'!N39,'R3'!N39)</f>
        <v>-1.0980453297575912</v>
      </c>
      <c r="H39">
        <f>AVERAGE('R1'!O39,'R2'!O39,'R3'!O39)</f>
        <v>-0.82394040547250358</v>
      </c>
      <c r="I39">
        <f t="shared" si="1"/>
        <v>4364.2981122222218</v>
      </c>
      <c r="K39">
        <f>_xlfn.STDEV.S('R1'!L39,'R2'!L39,'R3'!L39)</f>
        <v>3.0678089480757251E-3</v>
      </c>
      <c r="L39">
        <f>_xlfn.STDEV.S('R1'!M39,'R2'!M39,'R3'!M39)</f>
        <v>8.5749228153838685E-3</v>
      </c>
      <c r="M39">
        <f>_xlfn.STDEV.S('R1'!N39,'R2'!N39,'R3'!N39)</f>
        <v>5.479663385341605E-3</v>
      </c>
      <c r="N39">
        <f>_xlfn.STDEV.S('R1'!O39,'R2'!O39,'R3'!O39)</f>
        <v>4.0091837559190421E-3</v>
      </c>
    </row>
    <row r="40" spans="1:14" x14ac:dyDescent="0.25">
      <c r="A40">
        <f>-'R1'!H40</f>
        <v>40</v>
      </c>
      <c r="B40">
        <f>DEGREES(ATAN(-SIN(RADIANS(('R1'!I40)))/(COS(RADIANS(Sheet1!A40))*COS(RADIANS('R1'!I40)))))</f>
        <v>-20.5218555971705</v>
      </c>
      <c r="C40">
        <f>AVERAGE('R1'!J40,'R2'!J40,'R3'!J40)</f>
        <v>1.18</v>
      </c>
      <c r="D40">
        <f>AVERAGE('R1'!K40,'R2'!K40,'R3'!K40)</f>
        <v>21.968015249999997</v>
      </c>
      <c r="E40">
        <f>AVERAGE('R1'!L40,'R2'!L40,'R3'!L40)</f>
        <v>-0.91074194925089691</v>
      </c>
      <c r="F40">
        <f>AVERAGE('R1'!M40,'R2'!M40,'R3'!M40)</f>
        <v>-2.3037631286613207</v>
      </c>
      <c r="G40">
        <f>AVERAGE('R1'!N40,'R2'!N40,'R3'!N40)</f>
        <v>-1.0674248667655533</v>
      </c>
      <c r="H40">
        <f>AVERAGE('R1'!O40,'R2'!O40,'R3'!O40)</f>
        <v>-0.86509128037481597</v>
      </c>
      <c r="I40">
        <f t="shared" si="1"/>
        <v>4320.3763324999991</v>
      </c>
      <c r="K40">
        <f>_xlfn.STDEV.S('R1'!L40,'R2'!L40,'R3'!L40)</f>
        <v>3.5771392894129355E-3</v>
      </c>
      <c r="L40">
        <f>_xlfn.STDEV.S('R1'!M40,'R2'!M40,'R3'!M40)</f>
        <v>1.3469711797469188E-2</v>
      </c>
      <c r="M40">
        <f>_xlfn.STDEV.S('R1'!N40,'R2'!N40,'R3'!N40)</f>
        <v>1.1620934147340502E-2</v>
      </c>
      <c r="N40">
        <f>_xlfn.STDEV.S('R1'!O40,'R2'!O40,'R3'!O40)</f>
        <v>4.0381622203144504E-3</v>
      </c>
    </row>
    <row r="41" spans="1:14" x14ac:dyDescent="0.25">
      <c r="A41">
        <f>-'R1'!H41</f>
        <v>40</v>
      </c>
      <c r="B41">
        <f>DEGREES(ATAN(-SIN(RADIANS(('R1'!I41)))/(COS(RADIANS(Sheet1!A41))*COS(RADIANS('R1'!I41)))))</f>
        <v>-25.413766880049252</v>
      </c>
      <c r="C41">
        <f>AVERAGE('R1'!J41,'R2'!J41,'R3'!J41)</f>
        <v>1.18</v>
      </c>
      <c r="D41">
        <f>AVERAGE('R1'!K41,'R2'!K41,'R3'!K41)</f>
        <v>21.986952000000002</v>
      </c>
      <c r="E41">
        <f>AVERAGE('R1'!L41,'R2'!L41,'R3'!L41)</f>
        <v>-1.096528956540362</v>
      </c>
      <c r="F41">
        <f>AVERAGE('R1'!M41,'R2'!M41,'R3'!M41)</f>
        <v>-2.2039591127681657</v>
      </c>
      <c r="G41">
        <f>AVERAGE('R1'!N41,'R2'!N41,'R3'!N41)</f>
        <v>-1.068289271063479</v>
      </c>
      <c r="H41">
        <f>AVERAGE('R1'!O41,'R2'!O41,'R3'!O41)</f>
        <v>-0.9247474929347449</v>
      </c>
      <c r="I41">
        <f t="shared" si="1"/>
        <v>4324.1005599999999</v>
      </c>
      <c r="K41">
        <f>_xlfn.STDEV.S('R1'!L41,'R2'!L41,'R3'!L41)</f>
        <v>4.4416515627751108E-3</v>
      </c>
      <c r="L41">
        <f>_xlfn.STDEV.S('R1'!M41,'R2'!M41,'R3'!M41)</f>
        <v>7.2149252461914592E-3</v>
      </c>
      <c r="M41">
        <f>_xlfn.STDEV.S('R1'!N41,'R2'!N41,'R3'!N41)</f>
        <v>6.5050057648449126E-3</v>
      </c>
      <c r="N41">
        <f>_xlfn.STDEV.S('R1'!O41,'R2'!O41,'R3'!O41)</f>
        <v>4.8705226001087391E-3</v>
      </c>
    </row>
    <row r="42" spans="1:14" x14ac:dyDescent="0.25">
      <c r="A42">
        <f>-'R1'!H42</f>
        <v>40</v>
      </c>
      <c r="B42">
        <f>DEGREES(ATAN(-SIN(RADIANS(('R1'!I42)))/(COS(RADIANS(Sheet1!A42))*COS(RADIANS('R1'!I42)))))</f>
        <v>-30.165358572591657</v>
      </c>
      <c r="C42">
        <f>AVERAGE('R1'!J42,'R2'!J42,'R3'!J42)</f>
        <v>1.18</v>
      </c>
      <c r="D42">
        <f>AVERAGE('R1'!K42,'R2'!K42,'R3'!K42)</f>
        <v>22.136526416666666</v>
      </c>
      <c r="E42">
        <f>AVERAGE('R1'!L42,'R2'!L42,'R3'!L42)</f>
        <v>-1.2704542585465617</v>
      </c>
      <c r="F42">
        <f>AVERAGE('R1'!M42,'R2'!M42,'R3'!M42)</f>
        <v>-2.1132584669123067</v>
      </c>
      <c r="G42">
        <f>AVERAGE('R1'!N42,'R2'!N42,'R3'!N42)</f>
        <v>-1.0809665715705326</v>
      </c>
      <c r="H42">
        <f>AVERAGE('R1'!O42,'R2'!O42,'R3'!O42)</f>
        <v>-0.98688298572411204</v>
      </c>
      <c r="I42">
        <f t="shared" si="1"/>
        <v>4353.5168619444439</v>
      </c>
      <c r="K42">
        <f>_xlfn.STDEV.S('R1'!L42,'R2'!L42,'R3'!L42)</f>
        <v>2.3822888534897951E-3</v>
      </c>
      <c r="L42">
        <f>_xlfn.STDEV.S('R1'!M42,'R2'!M42,'R3'!M42)</f>
        <v>9.1919628611286299E-3</v>
      </c>
      <c r="M42">
        <f>_xlfn.STDEV.S('R1'!N42,'R2'!N42,'R3'!N42)</f>
        <v>6.5065658190799069E-3</v>
      </c>
      <c r="N42">
        <f>_xlfn.STDEV.S('R1'!O42,'R2'!O42,'R3'!O42)</f>
        <v>2.0957246035128723E-3</v>
      </c>
    </row>
    <row r="43" spans="1:14" x14ac:dyDescent="0.25">
      <c r="A43">
        <f>-'R1'!H43</f>
        <v>40</v>
      </c>
      <c r="B43">
        <f>DEGREES(ATAN(-SIN(RADIANS(('R1'!I43)))/(COS(RADIANS(Sheet1!A43))*COS(RADIANS('R1'!I43)))))</f>
        <v>-34.764413107862225</v>
      </c>
      <c r="C43">
        <f>AVERAGE('R1'!J43,'R2'!J43,'R3'!J43)</f>
        <v>1.18</v>
      </c>
      <c r="D43">
        <f>AVERAGE('R1'!K43,'R2'!K43,'R3'!K43)</f>
        <v>22.319448500000004</v>
      </c>
      <c r="E43">
        <f>AVERAGE('R1'!L43,'R2'!L43,'R3'!L43)</f>
        <v>-1.423423541878704</v>
      </c>
      <c r="F43">
        <f>AVERAGE('R1'!M43,'R2'!M43,'R3'!M43)</f>
        <v>-2.0457005798571166</v>
      </c>
      <c r="G43">
        <f>AVERAGE('R1'!N43,'R2'!N43,'R3'!N43)</f>
        <v>-1.1164979272172613</v>
      </c>
      <c r="H43">
        <f>AVERAGE('R1'!O43,'R2'!O43,'R3'!O43)</f>
        <v>-1.0553902420816097</v>
      </c>
      <c r="I43">
        <f t="shared" si="1"/>
        <v>4389.4915383333346</v>
      </c>
      <c r="K43">
        <f>_xlfn.STDEV.S('R1'!L43,'R2'!L43,'R3'!L43)</f>
        <v>2.3645752766804987E-3</v>
      </c>
      <c r="L43">
        <f>_xlfn.STDEV.S('R1'!M43,'R2'!M43,'R3'!M43)</f>
        <v>5.0384048635725709E-3</v>
      </c>
      <c r="M43">
        <f>_xlfn.STDEV.S('R1'!N43,'R2'!N43,'R3'!N43)</f>
        <v>4.5426829984025552E-3</v>
      </c>
      <c r="N43">
        <f>_xlfn.STDEV.S('R1'!O43,'R2'!O43,'R3'!O43)</f>
        <v>5.336603274337051E-3</v>
      </c>
    </row>
    <row r="44" spans="1:14" x14ac:dyDescent="0.25">
      <c r="A44">
        <f>-'R1'!H44</f>
        <v>40</v>
      </c>
      <c r="B44">
        <f>DEGREES(ATAN(-SIN(RADIANS(('R1'!I44)))/(COS(RADIANS(Sheet1!A44))*COS(RADIANS('R1'!I44)))))</f>
        <v>-39.204435233296593</v>
      </c>
      <c r="C44">
        <f>AVERAGE('R1'!J44,'R2'!J44,'R3'!J44)</f>
        <v>1.18</v>
      </c>
      <c r="D44">
        <f>AVERAGE('R1'!K44,'R2'!K44,'R3'!K44)</f>
        <v>22.504129916666667</v>
      </c>
      <c r="E44">
        <f>AVERAGE('R1'!L44,'R2'!L44,'R3'!L44)</f>
        <v>-1.5585123917203092</v>
      </c>
      <c r="F44">
        <f>AVERAGE('R1'!M44,'R2'!M44,'R3'!M44)</f>
        <v>-1.9816417289782606</v>
      </c>
      <c r="G44">
        <f>AVERAGE('R1'!N44,'R2'!N44,'R3'!N44)</f>
        <v>-1.155873306415852</v>
      </c>
      <c r="H44">
        <f>AVERAGE('R1'!O44,'R2'!O44,'R3'!O44)</f>
        <v>-1.1215064078297263</v>
      </c>
      <c r="I44">
        <f t="shared" si="1"/>
        <v>4425.812216944445</v>
      </c>
      <c r="K44">
        <f>_xlfn.STDEV.S('R1'!L44,'R2'!L44,'R3'!L44)</f>
        <v>7.0015915891418591E-3</v>
      </c>
      <c r="L44">
        <f>_xlfn.STDEV.S('R1'!M44,'R2'!M44,'R3'!M44)</f>
        <v>7.5399611404890193E-3</v>
      </c>
      <c r="M44">
        <f>_xlfn.STDEV.S('R1'!N44,'R2'!N44,'R3'!N44)</f>
        <v>1.2127353863937091E-2</v>
      </c>
      <c r="N44">
        <f>_xlfn.STDEV.S('R1'!O44,'R2'!O44,'R3'!O44)</f>
        <v>3.1056290660460462E-3</v>
      </c>
    </row>
    <row r="45" spans="1:14" x14ac:dyDescent="0.25">
      <c r="A45">
        <f>-'R1'!H45</f>
        <v>40</v>
      </c>
      <c r="B45">
        <f>DEGREES(ATAN(-SIN(RADIANS(('R1'!I45)))/(COS(RADIANS(Sheet1!A45))*COS(RADIANS('R1'!I45)))))</f>
        <v>-43.48399800633365</v>
      </c>
      <c r="C45">
        <f>AVERAGE('R1'!J45,'R2'!J45,'R3'!J45)</f>
        <v>1.18</v>
      </c>
      <c r="D45">
        <f>AVERAGE('R1'!K45,'R2'!K45,'R3'!K45)</f>
        <v>22.887278333333331</v>
      </c>
      <c r="E45">
        <f>AVERAGE('R1'!L45,'R2'!L45,'R3'!L45)</f>
        <v>-1.6961424898935296</v>
      </c>
      <c r="F45">
        <f>AVERAGE('R1'!M45,'R2'!M45,'R3'!M45)</f>
        <v>-1.9559868962338001</v>
      </c>
      <c r="G45">
        <f>AVERAGE('R1'!N45,'R2'!N45,'R3'!N45)</f>
        <v>-1.23361507060414</v>
      </c>
      <c r="H45">
        <f>AVERAGE('R1'!O45,'R2'!O45,'R3'!O45)</f>
        <v>-1.2086053750254557</v>
      </c>
      <c r="I45">
        <f t="shared" si="1"/>
        <v>4501.1647388888887</v>
      </c>
      <c r="K45">
        <f>_xlfn.STDEV.S('R1'!L45,'R2'!L45,'R3'!L45)</f>
        <v>6.2483323643076046E-3</v>
      </c>
      <c r="L45">
        <f>_xlfn.STDEV.S('R1'!M45,'R2'!M45,'R3'!M45)</f>
        <v>5.6561460480003302E-3</v>
      </c>
      <c r="M45">
        <f>_xlfn.STDEV.S('R1'!N45,'R2'!N45,'R3'!N45)</f>
        <v>6.0494131715649081E-3</v>
      </c>
      <c r="N45">
        <f>_xlfn.STDEV.S('R1'!O45,'R2'!O45,'R3'!O45)</f>
        <v>6.9664026932404893E-3</v>
      </c>
    </row>
    <row r="46" spans="1:14" x14ac:dyDescent="0.25">
      <c r="A46">
        <f>-'R1'!H46</f>
        <v>40</v>
      </c>
      <c r="B46">
        <f>DEGREES(ATAN(-SIN(RADIANS(('R1'!I46)))/(COS(RADIANS(Sheet1!A46))*COS(RADIANS('R1'!I46)))))</f>
        <v>-47.605913955135343</v>
      </c>
      <c r="C46">
        <f>AVERAGE('R1'!J46,'R2'!J46,'R3'!J46)</f>
        <v>1.18</v>
      </c>
      <c r="D46">
        <f>AVERAGE('R1'!K46,'R2'!K46,'R3'!K46)</f>
        <v>22.746853666666667</v>
      </c>
      <c r="E46">
        <f>AVERAGE('R1'!L46,'R2'!L46,'R3'!L46)</f>
        <v>-1.8118241413024936</v>
      </c>
      <c r="F46">
        <f>AVERAGE('R1'!M46,'R2'!M46,'R3'!M46)</f>
        <v>-1.9714896822378234</v>
      </c>
      <c r="G46">
        <f>AVERAGE('R1'!N46,'R2'!N46,'R3'!N46)</f>
        <v>-1.3359083722183218</v>
      </c>
      <c r="H46">
        <f>AVERAGE('R1'!O46,'R2'!O46,'R3'!O46)</f>
        <v>-1.3093809273667836</v>
      </c>
      <c r="I46">
        <f t="shared" si="1"/>
        <v>4473.5478877777778</v>
      </c>
      <c r="K46">
        <f>_xlfn.STDEV.S('R1'!L46,'R2'!L46,'R3'!L46)</f>
        <v>5.8260881475654712E-3</v>
      </c>
      <c r="L46">
        <f>_xlfn.STDEV.S('R1'!M46,'R2'!M46,'R3'!M46)</f>
        <v>5.8533201291245656E-3</v>
      </c>
      <c r="M46">
        <f>_xlfn.STDEV.S('R1'!N46,'R2'!N46,'R3'!N46)</f>
        <v>8.1677744796774185E-3</v>
      </c>
      <c r="N46">
        <f>_xlfn.STDEV.S('R1'!O46,'R2'!O46,'R3'!O46)</f>
        <v>3.0051985775767531E-3</v>
      </c>
    </row>
    <row r="47" spans="1:14" x14ac:dyDescent="0.25">
      <c r="A47">
        <f>-'R1'!H47</f>
        <v>40</v>
      </c>
      <c r="B47">
        <f>DEGREES(ATAN(-SIN(RADIANS(('R1'!I47)))/(COS(RADIANS(Sheet1!A47))*COS(RADIANS('R1'!I47)))))</f>
        <v>-51.576359961556868</v>
      </c>
      <c r="C47">
        <f>AVERAGE('R1'!J47,'R2'!J47,'R3'!J47)</f>
        <v>1.18</v>
      </c>
      <c r="D47">
        <f>AVERAGE('R1'!K47,'R2'!K47,'R3'!K47)</f>
        <v>22.386561416666666</v>
      </c>
      <c r="E47">
        <f>AVERAGE('R1'!L47,'R2'!L47,'R3'!L47)</f>
        <v>-1.9453744640183419</v>
      </c>
      <c r="F47">
        <f>AVERAGE('R1'!M47,'R2'!M47,'R3'!M47)</f>
        <v>-2.0525198661613309</v>
      </c>
      <c r="G47">
        <f>AVERAGE('R1'!N47,'R2'!N47,'R3'!N47)</f>
        <v>-1.5048349451890888</v>
      </c>
      <c r="H47">
        <f>AVERAGE('R1'!O47,'R2'!O47,'R3'!O47)</f>
        <v>-1.440285600949234</v>
      </c>
      <c r="I47">
        <f t="shared" si="1"/>
        <v>4402.6904119444443</v>
      </c>
      <c r="K47">
        <f>_xlfn.STDEV.S('R1'!L47,'R2'!L47,'R3'!L47)</f>
        <v>3.5131924132484624E-3</v>
      </c>
      <c r="L47">
        <f>_xlfn.STDEV.S('R1'!M47,'R2'!M47,'R3'!M47)</f>
        <v>4.4717792826472003E-3</v>
      </c>
      <c r="M47">
        <f>_xlfn.STDEV.S('R1'!N47,'R2'!N47,'R3'!N47)</f>
        <v>8.7812837013996736E-3</v>
      </c>
      <c r="N47">
        <f>_xlfn.STDEV.S('R1'!O47,'R2'!O47,'R3'!O47)</f>
        <v>3.0966506861994235E-3</v>
      </c>
    </row>
    <row r="48" spans="1:14" x14ac:dyDescent="0.25">
      <c r="A48">
        <f>-'R1'!H48</f>
        <v>36</v>
      </c>
      <c r="B48">
        <f>DEGREES(ATAN(-SIN(RADIANS(('R1'!I48)))/(COS(RADIANS(Sheet1!A48))*COS(RADIANS('R1'!I48)))))</f>
        <v>50.045016920059574</v>
      </c>
      <c r="C48">
        <f>AVERAGE('R1'!J48,'R2'!J48,'R3'!J48)</f>
        <v>1.18</v>
      </c>
      <c r="D48">
        <f>AVERAGE('R1'!K48,'R2'!K48,'R3'!K48)</f>
        <v>22.055881500000002</v>
      </c>
      <c r="E48">
        <f>AVERAGE('R1'!L48,'R2'!L48,'R3'!L48)</f>
        <v>1.917512269200629</v>
      </c>
      <c r="F48">
        <f>AVERAGE('R1'!M48,'R2'!M48,'R3'!M48)</f>
        <v>-2.0719879491707327</v>
      </c>
      <c r="G48">
        <f>AVERAGE('R1'!N48,'R2'!N48,'R3'!N48)</f>
        <v>-1.5153294392882561</v>
      </c>
      <c r="H48">
        <f>AVERAGE('R1'!O48,'R2'!O48,'R3'!O48)</f>
        <v>-1.4521547353881765</v>
      </c>
      <c r="I48">
        <f t="shared" si="1"/>
        <v>4337.6566949999997</v>
      </c>
      <c r="K48">
        <f>_xlfn.STDEV.S('R1'!L48,'R2'!L48,'R3'!L48)</f>
        <v>4.8151054318837936E-3</v>
      </c>
      <c r="L48">
        <f>_xlfn.STDEV.S('R1'!M48,'R2'!M48,'R3'!M48)</f>
        <v>1.145177891354175E-2</v>
      </c>
      <c r="M48">
        <f>_xlfn.STDEV.S('R1'!N48,'R2'!N48,'R3'!N48)</f>
        <v>1.3673636077663717E-2</v>
      </c>
      <c r="N48">
        <f>_xlfn.STDEV.S('R1'!O48,'R2'!O48,'R3'!O48)</f>
        <v>3.1546678316493465E-3</v>
      </c>
    </row>
    <row r="49" spans="1:14" x14ac:dyDescent="0.25">
      <c r="A49">
        <f>-'R1'!H49</f>
        <v>36</v>
      </c>
      <c r="B49">
        <f>DEGREES(ATAN(-SIN(RADIANS(('R1'!I49)))/(COS(RADIANS(Sheet1!A49))*COS(RADIANS('R1'!I49)))))</f>
        <v>46.045688589723383</v>
      </c>
      <c r="C49">
        <f>AVERAGE('R1'!J49,'R2'!J49,'R3'!J49)</f>
        <v>1.18</v>
      </c>
      <c r="D49">
        <f>AVERAGE('R1'!K49,'R2'!K49,'R3'!K49)</f>
        <v>21.990626750000001</v>
      </c>
      <c r="E49">
        <f>AVERAGE('R1'!L49,'R2'!L49,'R3'!L49)</f>
        <v>1.7539625076094814</v>
      </c>
      <c r="F49">
        <f>AVERAGE('R1'!M49,'R2'!M49,'R3'!M49)</f>
        <v>-1.9986398792061386</v>
      </c>
      <c r="G49">
        <f>AVERAGE('R1'!N49,'R2'!N49,'R3'!N49)</f>
        <v>-1.3298492063731377</v>
      </c>
      <c r="H49">
        <f>AVERAGE('R1'!O49,'R2'!O49,'R3'!O49)</f>
        <v>-1.2987953861873873</v>
      </c>
      <c r="I49">
        <f t="shared" si="1"/>
        <v>4324.8232608333337</v>
      </c>
      <c r="K49">
        <f>_xlfn.STDEV.S('R1'!L49,'R2'!L49,'R3'!L49)</f>
        <v>4.6348894107714443E-3</v>
      </c>
      <c r="L49">
        <f>_xlfn.STDEV.S('R1'!M49,'R2'!M49,'R3'!M49)</f>
        <v>4.8610940786639233E-3</v>
      </c>
      <c r="M49">
        <f>_xlfn.STDEV.S('R1'!N49,'R2'!N49,'R3'!N49)</f>
        <v>3.306523958991807E-3</v>
      </c>
      <c r="N49">
        <f>_xlfn.STDEV.S('R1'!O49,'R2'!O49,'R3'!O49)</f>
        <v>4.5152906275944434E-3</v>
      </c>
    </row>
    <row r="50" spans="1:14" x14ac:dyDescent="0.25">
      <c r="A50">
        <f>-'R1'!H50</f>
        <v>36</v>
      </c>
      <c r="B50">
        <f>DEGREES(ATAN(-SIN(RADIANS(('R1'!I50)))/(COS(RADIANS(Sheet1!A50))*COS(RADIANS('R1'!I50)))))</f>
        <v>41.925613925819086</v>
      </c>
      <c r="C50">
        <f>AVERAGE('R1'!J50,'R2'!J50,'R3'!J50)</f>
        <v>1.18</v>
      </c>
      <c r="D50">
        <f>AVERAGE('R1'!K50,'R2'!K50,'R3'!K50)</f>
        <v>22.218441166666668</v>
      </c>
      <c r="E50">
        <f>AVERAGE('R1'!L50,'R2'!L50,'R3'!L50)</f>
        <v>1.6426128693160129</v>
      </c>
      <c r="F50">
        <f>AVERAGE('R1'!M50,'R2'!M50,'R3'!M50)</f>
        <v>-1.8808308629311152</v>
      </c>
      <c r="G50">
        <f>AVERAGE('R1'!N50,'R2'!N50,'R3'!N50)</f>
        <v>-1.160836794204311</v>
      </c>
      <c r="H50">
        <f>AVERAGE('R1'!O50,'R2'!O50,'R3'!O50)</f>
        <v>-1.1576345250143101</v>
      </c>
      <c r="I50">
        <f t="shared" si="1"/>
        <v>4369.6267627777779</v>
      </c>
      <c r="K50">
        <f>_xlfn.STDEV.S('R1'!L50,'R2'!L50,'R3'!L50)</f>
        <v>5.4970299438045168E-3</v>
      </c>
      <c r="L50">
        <f>_xlfn.STDEV.S('R1'!M50,'R2'!M50,'R3'!M50)</f>
        <v>4.6467105678466647E-3</v>
      </c>
      <c r="M50">
        <f>_xlfn.STDEV.S('R1'!N50,'R2'!N50,'R3'!N50)</f>
        <v>3.5066955348688118E-3</v>
      </c>
      <c r="N50">
        <f>_xlfn.STDEV.S('R1'!O50,'R2'!O50,'R3'!O50)</f>
        <v>2.5473572803679347E-3</v>
      </c>
    </row>
    <row r="51" spans="1:14" x14ac:dyDescent="0.25">
      <c r="A51">
        <f>-'R1'!H51</f>
        <v>36</v>
      </c>
      <c r="B51">
        <f>DEGREES(ATAN(-SIN(RADIANS(('R1'!I51)))/(COS(RADIANS(Sheet1!A51))*COS(RADIANS('R1'!I51)))))</f>
        <v>37.681815805789164</v>
      </c>
      <c r="C51">
        <f>AVERAGE('R1'!J51,'R2'!J51,'R3'!J51)</f>
        <v>1.18</v>
      </c>
      <c r="D51">
        <f>AVERAGE('R1'!K51,'R2'!K51,'R3'!K51)</f>
        <v>22.436507166666662</v>
      </c>
      <c r="E51">
        <f>AVERAGE('R1'!L51,'R2'!L51,'R3'!L51)</f>
        <v>1.5175648496396636</v>
      </c>
      <c r="F51">
        <f>AVERAGE('R1'!M51,'R2'!M51,'R3'!M51)</f>
        <v>-1.7963216966921498</v>
      </c>
      <c r="G51">
        <f>AVERAGE('R1'!N51,'R2'!N51,'R3'!N51)</f>
        <v>-1.021798171355506</v>
      </c>
      <c r="H51">
        <f>AVERAGE('R1'!O51,'R2'!O51,'R3'!O51)</f>
        <v>-1.0344493760223636</v>
      </c>
      <c r="I51">
        <f t="shared" si="1"/>
        <v>4412.5130761111104</v>
      </c>
      <c r="K51">
        <f>_xlfn.STDEV.S('R1'!L51,'R2'!L51,'R3'!L51)</f>
        <v>5.5802912321873252E-3</v>
      </c>
      <c r="L51">
        <f>_xlfn.STDEV.S('R1'!M51,'R2'!M51,'R3'!M51)</f>
        <v>3.0204714750019599E-3</v>
      </c>
      <c r="M51">
        <f>_xlfn.STDEV.S('R1'!N51,'R2'!N51,'R3'!N51)</f>
        <v>3.3216894489940217E-3</v>
      </c>
      <c r="N51">
        <f>_xlfn.STDEV.S('R1'!O51,'R2'!O51,'R3'!O51)</f>
        <v>1.560915784184342E-3</v>
      </c>
    </row>
    <row r="52" spans="1:14" x14ac:dyDescent="0.25">
      <c r="A52">
        <f>-'R1'!H52</f>
        <v>36</v>
      </c>
      <c r="B52">
        <f>DEGREES(ATAN(-SIN(RADIANS(('R1'!I52)))/(COS(RADIANS(Sheet1!A52))*COS(RADIANS('R1'!I52)))))</f>
        <v>33.314077817276932</v>
      </c>
      <c r="C52">
        <f>AVERAGE('R1'!J52,'R2'!J52,'R3'!J52)</f>
        <v>1.18</v>
      </c>
      <c r="D52">
        <f>AVERAGE('R1'!K52,'R2'!K52,'R3'!K52)</f>
        <v>22.560610749999999</v>
      </c>
      <c r="E52">
        <f>AVERAGE('R1'!L52,'R2'!L52,'R3'!L52)</f>
        <v>1.3843696487569381</v>
      </c>
      <c r="F52">
        <f>AVERAGE('R1'!M52,'R2'!M52,'R3'!M52)</f>
        <v>-1.7861313439239475</v>
      </c>
      <c r="G52">
        <f>AVERAGE('R1'!N52,'R2'!N52,'R3'!N52)</f>
        <v>-0.93023639718614859</v>
      </c>
      <c r="H52">
        <f>AVERAGE('R1'!O52,'R2'!O52,'R3'!O52)</f>
        <v>-0.93456196536661462</v>
      </c>
      <c r="I52">
        <f t="shared" si="1"/>
        <v>4436.9201141666672</v>
      </c>
      <c r="K52">
        <f>_xlfn.STDEV.S('R1'!L52,'R2'!L52,'R3'!L52)</f>
        <v>4.0570050640040926E-3</v>
      </c>
      <c r="L52">
        <f>_xlfn.STDEV.S('R1'!M52,'R2'!M52,'R3'!M52)</f>
        <v>5.8870826510586862E-3</v>
      </c>
      <c r="M52">
        <f>_xlfn.STDEV.S('R1'!N52,'R2'!N52,'R3'!N52)</f>
        <v>5.7465719025328018E-3</v>
      </c>
      <c r="N52">
        <f>_xlfn.STDEV.S('R1'!O52,'R2'!O52,'R3'!O52)</f>
        <v>8.9514634285865063E-4</v>
      </c>
    </row>
    <row r="53" spans="1:14" x14ac:dyDescent="0.25">
      <c r="A53">
        <f>-'R1'!H53</f>
        <v>36</v>
      </c>
      <c r="B53">
        <f>DEGREES(ATAN(-SIN(RADIANS(('R1'!I53)))/(COS(RADIANS(Sheet1!A53))*COS(RADIANS('R1'!I53)))))</f>
        <v>28.825436554649738</v>
      </c>
      <c r="C53">
        <f>AVERAGE('R1'!J53,'R2'!J53,'R3'!J53)</f>
        <v>1.18</v>
      </c>
      <c r="D53">
        <f>AVERAGE('R1'!K53,'R2'!K53,'R3'!K53)</f>
        <v>22.955089083333334</v>
      </c>
      <c r="E53">
        <f>AVERAGE('R1'!L53,'R2'!L53,'R3'!L53)</f>
        <v>1.2419878627982046</v>
      </c>
      <c r="F53">
        <f>AVERAGE('R1'!M53,'R2'!M53,'R3'!M53)</f>
        <v>-1.8026821132622652</v>
      </c>
      <c r="G53">
        <f>AVERAGE('R1'!N53,'R2'!N53,'R3'!N53)</f>
        <v>-0.86370865611312286</v>
      </c>
      <c r="H53">
        <f>AVERAGE('R1'!O53,'R2'!O53,'R3'!O53)</f>
        <v>-0.84786319850867997</v>
      </c>
      <c r="I53">
        <f t="shared" si="1"/>
        <v>4514.5008530555551</v>
      </c>
      <c r="K53">
        <f>_xlfn.STDEV.S('R1'!L53,'R2'!L53,'R3'!L53)</f>
        <v>3.7338774692303504E-3</v>
      </c>
      <c r="L53">
        <f>_xlfn.STDEV.S('R1'!M53,'R2'!M53,'R3'!M53)</f>
        <v>1.1890593007315236E-3</v>
      </c>
      <c r="M53">
        <f>_xlfn.STDEV.S('R1'!N53,'R2'!N53,'R3'!N53)</f>
        <v>1.6094071860001606E-3</v>
      </c>
      <c r="N53">
        <f>_xlfn.STDEV.S('R1'!O53,'R2'!O53,'R3'!O53)</f>
        <v>1.5975065432853304E-3</v>
      </c>
    </row>
    <row r="54" spans="1:14" x14ac:dyDescent="0.25">
      <c r="A54">
        <f>-'R1'!H54</f>
        <v>36</v>
      </c>
      <c r="B54">
        <f>DEGREES(ATAN(-SIN(RADIANS(('R1'!I54)))/(COS(RADIANS(Sheet1!A54))*COS(RADIANS('R1'!I54)))))</f>
        <v>24.22259689172926</v>
      </c>
      <c r="C54">
        <f>AVERAGE('R1'!J54,'R2'!J54,'R3'!J54)</f>
        <v>1.18</v>
      </c>
      <c r="D54">
        <f>AVERAGE('R1'!K54,'R2'!K54,'R3'!K54)</f>
        <v>22.622462333333331</v>
      </c>
      <c r="E54">
        <f>AVERAGE('R1'!L54,'R2'!L54,'R3'!L54)</f>
        <v>1.0966690740852267</v>
      </c>
      <c r="F54">
        <f>AVERAGE('R1'!M54,'R2'!M54,'R3'!M54)</f>
        <v>-1.8315247840015976</v>
      </c>
      <c r="G54">
        <f>AVERAGE('R1'!N54,'R2'!N54,'R3'!N54)</f>
        <v>-0.81295444054914168</v>
      </c>
      <c r="H54">
        <f>AVERAGE('R1'!O54,'R2'!O54,'R3'!O54)</f>
        <v>-0.76822262299643029</v>
      </c>
      <c r="I54">
        <f t="shared" si="1"/>
        <v>4449.0842588888881</v>
      </c>
      <c r="K54">
        <f>_xlfn.STDEV.S('R1'!L54,'R2'!L54,'R3'!L54)</f>
        <v>3.4306351761666022E-3</v>
      </c>
      <c r="L54">
        <f>_xlfn.STDEV.S('R1'!M54,'R2'!M54,'R3'!M54)</f>
        <v>1.6164308960919551E-3</v>
      </c>
      <c r="M54">
        <f>_xlfn.STDEV.S('R1'!N54,'R2'!N54,'R3'!N54)</f>
        <v>2.1571926829405813E-3</v>
      </c>
      <c r="N54">
        <f>_xlfn.STDEV.S('R1'!O54,'R2'!O54,'R3'!O54)</f>
        <v>3.2309439727871061E-3</v>
      </c>
    </row>
    <row r="55" spans="1:14" x14ac:dyDescent="0.25">
      <c r="A55">
        <f>-'R1'!H55</f>
        <v>36</v>
      </c>
      <c r="B55">
        <f>DEGREES(ATAN(-SIN(RADIANS(('R1'!I55)))/(COS(RADIANS(Sheet1!A55))*COS(RADIANS('R1'!I55)))))</f>
        <v>19.516199251096932</v>
      </c>
      <c r="C55">
        <f>AVERAGE('R1'!J55,'R2'!J55,'R3'!J55)</f>
        <v>1.18</v>
      </c>
      <c r="D55">
        <f>AVERAGE('R1'!K55,'R2'!K55,'R3'!K55)</f>
        <v>22.298335333333331</v>
      </c>
      <c r="E55">
        <f>AVERAGE('R1'!L55,'R2'!L55,'R3'!L55)</f>
        <v>0.93187137498741413</v>
      </c>
      <c r="F55">
        <f>AVERAGE('R1'!M55,'R2'!M55,'R3'!M55)</f>
        <v>-1.8934234262683949</v>
      </c>
      <c r="G55">
        <f>AVERAGE('R1'!N55,'R2'!N55,'R3'!N55)</f>
        <v>-0.7840294492159231</v>
      </c>
      <c r="H55">
        <f>AVERAGE('R1'!O55,'R2'!O55,'R3'!O55)</f>
        <v>-0.69871762478248012</v>
      </c>
      <c r="I55">
        <f t="shared" si="1"/>
        <v>4385.3392822222213</v>
      </c>
      <c r="K55">
        <f>_xlfn.STDEV.S('R1'!L55,'R2'!L55,'R3'!L55)</f>
        <v>3.6417026827753134E-3</v>
      </c>
      <c r="L55">
        <f>_xlfn.STDEV.S('R1'!M55,'R2'!M55,'R3'!M55)</f>
        <v>3.0438505772541185E-3</v>
      </c>
      <c r="M55">
        <f>_xlfn.STDEV.S('R1'!N55,'R2'!N55,'R3'!N55)</f>
        <v>1.9513889327763972E-3</v>
      </c>
      <c r="N55">
        <f>_xlfn.STDEV.S('R1'!O55,'R2'!O55,'R3'!O55)</f>
        <v>8.001021143892688E-4</v>
      </c>
    </row>
    <row r="56" spans="1:14" x14ac:dyDescent="0.25">
      <c r="A56">
        <f>-'R1'!H56</f>
        <v>36</v>
      </c>
      <c r="B56">
        <f>DEGREES(ATAN(-SIN(RADIANS(('R1'!I56)))/(COS(RADIANS(Sheet1!A56))*COS(RADIANS('R1'!I56)))))</f>
        <v>14.720865361542916</v>
      </c>
      <c r="C56">
        <f>AVERAGE('R1'!J56,'R2'!J56,'R3'!J56)</f>
        <v>1.18</v>
      </c>
      <c r="D56">
        <f>AVERAGE('R1'!K56,'R2'!K56,'R3'!K56)</f>
        <v>22.061763333333332</v>
      </c>
      <c r="E56">
        <f>AVERAGE('R1'!L56,'R2'!L56,'R3'!L56)</f>
        <v>0.7514326687330547</v>
      </c>
      <c r="F56">
        <f>AVERAGE('R1'!M56,'R2'!M56,'R3'!M56)</f>
        <v>-1.9854237226247602</v>
      </c>
      <c r="G56">
        <f>AVERAGE('R1'!N56,'R2'!N56,'R3'!N56)</f>
        <v>-0.77829262225512841</v>
      </c>
      <c r="H56">
        <f>AVERAGE('R1'!O56,'R2'!O56,'R3'!O56)</f>
        <v>-0.63769809508899156</v>
      </c>
      <c r="I56">
        <f t="shared" si="1"/>
        <v>4338.8134555555553</v>
      </c>
      <c r="K56">
        <f>_xlfn.STDEV.S('R1'!L56,'R2'!L56,'R3'!L56)</f>
        <v>4.2356504679799168E-4</v>
      </c>
      <c r="L56">
        <f>_xlfn.STDEV.S('R1'!M56,'R2'!M56,'R3'!M56)</f>
        <v>6.9246162163891182E-3</v>
      </c>
      <c r="M56">
        <f>_xlfn.STDEV.S('R1'!N56,'R2'!N56,'R3'!N56)</f>
        <v>4.7592822142430314E-3</v>
      </c>
      <c r="N56">
        <f>_xlfn.STDEV.S('R1'!O56,'R2'!O56,'R3'!O56)</f>
        <v>1.6836814173915859E-3</v>
      </c>
    </row>
    <row r="57" spans="1:14" x14ac:dyDescent="0.25">
      <c r="A57">
        <f>-'R1'!H57</f>
        <v>36</v>
      </c>
      <c r="B57">
        <f>DEGREES(ATAN(-SIN(RADIANS(('R1'!I57)))/(COS(RADIANS(Sheet1!A57))*COS(RADIANS('R1'!I57)))))</f>
        <v>9.8549609037615156</v>
      </c>
      <c r="C57">
        <f>AVERAGE('R1'!J57,'R2'!J57,'R3'!J57)</f>
        <v>1.18</v>
      </c>
      <c r="D57">
        <f>AVERAGE('R1'!K57,'R2'!K57,'R3'!K57)</f>
        <v>21.883169666666664</v>
      </c>
      <c r="E57">
        <f>AVERAGE('R1'!L57,'R2'!L57,'R3'!L57)</f>
        <v>0.5521703503046097</v>
      </c>
      <c r="F57">
        <f>AVERAGE('R1'!M57,'R2'!M57,'R3'!M57)</f>
        <v>-2.0882348913138866</v>
      </c>
      <c r="G57">
        <f>AVERAGE('R1'!N57,'R2'!N57,'R3'!N57)</f>
        <v>-0.78080158203908212</v>
      </c>
      <c r="H57">
        <f>AVERAGE('R1'!O57,'R2'!O57,'R3'!O57)</f>
        <v>-0.58445631134622344</v>
      </c>
      <c r="I57">
        <f t="shared" si="1"/>
        <v>4303.6900344444439</v>
      </c>
      <c r="K57">
        <f>_xlfn.STDEV.S('R1'!L57,'R2'!L57,'R3'!L57)</f>
        <v>4.802678837365338E-3</v>
      </c>
      <c r="L57">
        <f>_xlfn.STDEV.S('R1'!M57,'R2'!M57,'R3'!M57)</f>
        <v>4.4245936892941739E-3</v>
      </c>
      <c r="M57">
        <f>_xlfn.STDEV.S('R1'!N57,'R2'!N57,'R3'!N57)</f>
        <v>7.367297302788769E-3</v>
      </c>
      <c r="N57">
        <f>_xlfn.STDEV.S('R1'!O57,'R2'!O57,'R3'!O57)</f>
        <v>6.594541792912384E-3</v>
      </c>
    </row>
    <row r="58" spans="1:14" x14ac:dyDescent="0.25">
      <c r="A58">
        <f>-'R1'!H58</f>
        <v>36</v>
      </c>
      <c r="B58">
        <f>DEGREES(ATAN(-SIN(RADIANS(('R1'!I58)))/(COS(RADIANS(Sheet1!A58))*COS(RADIANS('R1'!I58)))))</f>
        <v>4.940042441862353</v>
      </c>
      <c r="C58">
        <f>AVERAGE('R1'!J58,'R2'!J58,'R3'!J58)</f>
        <v>1.18</v>
      </c>
      <c r="D58">
        <f>AVERAGE('R1'!K58,'R2'!K58,'R3'!K58)</f>
        <v>21.801984000000001</v>
      </c>
      <c r="E58">
        <f>AVERAGE('R1'!L58,'R2'!L58,'R3'!L58)</f>
        <v>0.33357580939327147</v>
      </c>
      <c r="F58">
        <f>AVERAGE('R1'!M58,'R2'!M58,'R3'!M58)</f>
        <v>-2.2147017200975077</v>
      </c>
      <c r="G58">
        <f>AVERAGE('R1'!N58,'R2'!N58,'R3'!N58)</f>
        <v>-0.80450748930284688</v>
      </c>
      <c r="H58">
        <f>AVERAGE('R1'!O58,'R2'!O58,'R3'!O58)</f>
        <v>-0.53428429573890646</v>
      </c>
      <c r="I58">
        <f t="shared" si="1"/>
        <v>4287.7235200000005</v>
      </c>
      <c r="K58">
        <f>_xlfn.STDEV.S('R1'!L58,'R2'!L58,'R3'!L58)</f>
        <v>3.6455364448711486E-3</v>
      </c>
      <c r="L58">
        <f>_xlfn.STDEV.S('R1'!M58,'R2'!M58,'R3'!M58)</f>
        <v>8.1387745021409309E-3</v>
      </c>
      <c r="M58">
        <f>_xlfn.STDEV.S('R1'!N58,'R2'!N58,'R3'!N58)</f>
        <v>7.5779434756019556E-3</v>
      </c>
      <c r="N58">
        <f>_xlfn.STDEV.S('R1'!O58,'R2'!O58,'R3'!O58)</f>
        <v>4.0164442572306995E-3</v>
      </c>
    </row>
    <row r="59" spans="1:14" x14ac:dyDescent="0.25">
      <c r="A59">
        <f>-'R1'!H59</f>
        <v>36</v>
      </c>
      <c r="B59">
        <f>DEGREES(ATAN(-SIN(RADIANS(('R1'!I59)))/(COS(RADIANS(Sheet1!A59))*COS(RADIANS('R1'!I59)))))</f>
        <v>0</v>
      </c>
      <c r="C59">
        <f>AVERAGE('R1'!J59,'R2'!J59,'R3'!J59)</f>
        <v>1.18</v>
      </c>
      <c r="D59">
        <f>AVERAGE('R1'!K59,'R2'!K59,'R3'!K59)</f>
        <v>22.091728750000001</v>
      </c>
      <c r="E59">
        <f>AVERAGE('R1'!L59,'R2'!L59,'R3'!L59)</f>
        <v>8.382677618069441E-2</v>
      </c>
      <c r="F59">
        <f>AVERAGE('R1'!M59,'R2'!M59,'R3'!M59)</f>
        <v>-2.36461625493863</v>
      </c>
      <c r="G59">
        <f>AVERAGE('R1'!N59,'R2'!N59,'R3'!N59)</f>
        <v>-0.84214053421546986</v>
      </c>
      <c r="H59">
        <f>AVERAGE('R1'!O59,'R2'!O59,'R3'!O59)</f>
        <v>-0.49398232761742383</v>
      </c>
      <c r="I59">
        <f t="shared" si="1"/>
        <v>4344.7066541666663</v>
      </c>
      <c r="K59">
        <f>_xlfn.STDEV.S('R1'!L59,'R2'!L59,'R3'!L59)</f>
        <v>9.7541167682344432E-4</v>
      </c>
      <c r="L59">
        <f>_xlfn.STDEV.S('R1'!M59,'R2'!M59,'R3'!M59)</f>
        <v>2.7473825030890657E-3</v>
      </c>
      <c r="M59">
        <f>_xlfn.STDEV.S('R1'!N59,'R2'!N59,'R3'!N59)</f>
        <v>5.0195002581307326E-3</v>
      </c>
      <c r="N59">
        <f>_xlfn.STDEV.S('R1'!O59,'R2'!O59,'R3'!O59)</f>
        <v>3.4095673600841622E-3</v>
      </c>
    </row>
    <row r="60" spans="1:14" x14ac:dyDescent="0.25">
      <c r="A60">
        <f>-'R1'!H60</f>
        <v>36</v>
      </c>
      <c r="B60">
        <f>DEGREES(ATAN(-SIN(RADIANS(('R1'!I60)))/(COS(RADIANS(Sheet1!A60))*COS(RADIANS('R1'!I60)))))</f>
        <v>-4.940042441862353</v>
      </c>
      <c r="C60">
        <f>AVERAGE('R1'!J60,'R2'!J60,'R3'!J60)</f>
        <v>1.18</v>
      </c>
      <c r="D60">
        <f>AVERAGE('R1'!K60,'R2'!K60,'R3'!K60)</f>
        <v>22.28772591666667</v>
      </c>
      <c r="E60">
        <f>AVERAGE('R1'!L60,'R2'!L60,'R3'!L60)</f>
        <v>-0.18082863763501958</v>
      </c>
      <c r="F60">
        <f>AVERAGE('R1'!M60,'R2'!M60,'R3'!M60)</f>
        <v>-2.3151662105762596</v>
      </c>
      <c r="G60">
        <f>AVERAGE('R1'!N60,'R2'!N60,'R3'!N60)</f>
        <v>-0.8228555514583098</v>
      </c>
      <c r="H60">
        <f>AVERAGE('R1'!O60,'R2'!O60,'R3'!O60)</f>
        <v>-0.5125970154095576</v>
      </c>
      <c r="I60">
        <f t="shared" si="1"/>
        <v>4383.2527636111117</v>
      </c>
      <c r="K60">
        <f>_xlfn.STDEV.S('R1'!L60,'R2'!L60,'R3'!L60)</f>
        <v>1.6320963288500921E-3</v>
      </c>
      <c r="L60">
        <f>_xlfn.STDEV.S('R1'!M60,'R2'!M60,'R3'!M60)</f>
        <v>2.0799191319326635E-3</v>
      </c>
      <c r="M60">
        <f>_xlfn.STDEV.S('R1'!N60,'R2'!N60,'R3'!N60)</f>
        <v>3.5348619533125143E-3</v>
      </c>
      <c r="N60">
        <f>_xlfn.STDEV.S('R1'!O60,'R2'!O60,'R3'!O60)</f>
        <v>2.0773137548814186E-3</v>
      </c>
    </row>
    <row r="61" spans="1:14" x14ac:dyDescent="0.25">
      <c r="A61">
        <f>-'R1'!H61</f>
        <v>36</v>
      </c>
      <c r="B61">
        <f>DEGREES(ATAN(-SIN(RADIANS(('R1'!I61)))/(COS(RADIANS(Sheet1!A61))*COS(RADIANS('R1'!I61)))))</f>
        <v>-9.8549609037615156</v>
      </c>
      <c r="C61">
        <f>AVERAGE('R1'!J61,'R2'!J61,'R3'!J61)</f>
        <v>1.18</v>
      </c>
      <c r="D61">
        <f>AVERAGE('R1'!K61,'R2'!K61,'R3'!K61)</f>
        <v>22.556395749999997</v>
      </c>
      <c r="E61">
        <f>AVERAGE('R1'!L61,'R2'!L61,'R3'!L61)</f>
        <v>-0.42582491297847364</v>
      </c>
      <c r="F61">
        <f>AVERAGE('R1'!M61,'R2'!M61,'R3'!M61)</f>
        <v>-2.1806883225187566</v>
      </c>
      <c r="G61">
        <f>AVERAGE('R1'!N61,'R2'!N61,'R3'!N61)</f>
        <v>-0.78456960357738748</v>
      </c>
      <c r="H61">
        <f>AVERAGE('R1'!O61,'R2'!O61,'R3'!O61)</f>
        <v>-0.55294299145476888</v>
      </c>
      <c r="I61">
        <f t="shared" si="1"/>
        <v>4436.0911641666662</v>
      </c>
      <c r="K61">
        <f>_xlfn.STDEV.S('R1'!L61,'R2'!L61,'R3'!L61)</f>
        <v>4.9890165742049611E-3</v>
      </c>
      <c r="L61">
        <f>_xlfn.STDEV.S('R1'!M61,'R2'!M61,'R3'!M61)</f>
        <v>5.3472594356613924E-3</v>
      </c>
      <c r="M61">
        <f>_xlfn.STDEV.S('R1'!N61,'R2'!N61,'R3'!N61)</f>
        <v>3.8240964281893559E-3</v>
      </c>
      <c r="N61">
        <f>_xlfn.STDEV.S('R1'!O61,'R2'!O61,'R3'!O61)</f>
        <v>6.912769727587569E-4</v>
      </c>
    </row>
    <row r="62" spans="1:14" x14ac:dyDescent="0.25">
      <c r="A62">
        <f>-'R1'!H62</f>
        <v>36</v>
      </c>
      <c r="B62">
        <f>DEGREES(ATAN(-SIN(RADIANS(('R1'!I62)))/(COS(RADIANS(Sheet1!A62))*COS(RADIANS('R1'!I62)))))</f>
        <v>-14.720865361542916</v>
      </c>
      <c r="C62">
        <f>AVERAGE('R1'!J62,'R2'!J62,'R3'!J62)</f>
        <v>1.18</v>
      </c>
      <c r="D62">
        <f>AVERAGE('R1'!K62,'R2'!K62,'R3'!K62)</f>
        <v>22.784767583333334</v>
      </c>
      <c r="E62">
        <f>AVERAGE('R1'!L62,'R2'!L62,'R3'!L62)</f>
        <v>-0.64755481534155934</v>
      </c>
      <c r="F62">
        <f>AVERAGE('R1'!M62,'R2'!M62,'R3'!M62)</f>
        <v>-2.0794258865140525</v>
      </c>
      <c r="G62">
        <f>AVERAGE('R1'!N62,'R2'!N62,'R3'!N62)</f>
        <v>-0.77451351367481458</v>
      </c>
      <c r="H62">
        <f>AVERAGE('R1'!O62,'R2'!O62,'R3'!O62)</f>
        <v>-0.60442437988568576</v>
      </c>
      <c r="I62">
        <f t="shared" si="1"/>
        <v>4481.0042913888892</v>
      </c>
      <c r="K62">
        <f>_xlfn.STDEV.S('R1'!L62,'R2'!L62,'R3'!L62)</f>
        <v>4.233125418381797E-3</v>
      </c>
      <c r="L62">
        <f>_xlfn.STDEV.S('R1'!M62,'R2'!M62,'R3'!M62)</f>
        <v>9.3105145710987134E-4</v>
      </c>
      <c r="M62">
        <f>_xlfn.STDEV.S('R1'!N62,'R2'!N62,'R3'!N62)</f>
        <v>3.7888631076385213E-3</v>
      </c>
      <c r="N62">
        <f>_xlfn.STDEV.S('R1'!O62,'R2'!O62,'R3'!O62)</f>
        <v>3.8991713462684118E-3</v>
      </c>
    </row>
    <row r="63" spans="1:14" x14ac:dyDescent="0.25">
      <c r="A63">
        <f>-'R1'!H63</f>
        <v>36</v>
      </c>
      <c r="B63">
        <f>DEGREES(ATAN(-SIN(RADIANS(('R1'!I63)))/(COS(RADIANS(Sheet1!A63))*COS(RADIANS('R1'!I63)))))</f>
        <v>-19.516199251096932</v>
      </c>
      <c r="C63">
        <f>AVERAGE('R1'!J63,'R2'!J63,'R3'!J63)</f>
        <v>1.18</v>
      </c>
      <c r="D63">
        <f>AVERAGE('R1'!K63,'R2'!K63,'R3'!K63)</f>
        <v>22.804578666666668</v>
      </c>
      <c r="E63">
        <f>AVERAGE('R1'!L63,'R2'!L63,'R3'!L63)</f>
        <v>-0.84607577681102974</v>
      </c>
      <c r="F63">
        <f>AVERAGE('R1'!M63,'R2'!M63,'R3'!M63)</f>
        <v>-1.9892809938007492</v>
      </c>
      <c r="G63">
        <f>AVERAGE('R1'!N63,'R2'!N63,'R3'!N63)</f>
        <v>-0.77588572727285088</v>
      </c>
      <c r="H63">
        <f>AVERAGE('R1'!O63,'R2'!O63,'R3'!O63)</f>
        <v>-0.666230480889904</v>
      </c>
      <c r="I63">
        <f t="shared" si="1"/>
        <v>4484.900471111112</v>
      </c>
      <c r="K63">
        <f>_xlfn.STDEV.S('R1'!L63,'R2'!L63,'R3'!L63)</f>
        <v>8.7701290355721787E-3</v>
      </c>
      <c r="L63">
        <f>_xlfn.STDEV.S('R1'!M63,'R2'!M63,'R3'!M63)</f>
        <v>7.6640204339148551E-3</v>
      </c>
      <c r="M63">
        <f>_xlfn.STDEV.S('R1'!N63,'R2'!N63,'R3'!N63)</f>
        <v>9.0407189851193486E-3</v>
      </c>
      <c r="N63">
        <f>_xlfn.STDEV.S('R1'!O63,'R2'!O63,'R3'!O63)</f>
        <v>1.0266692543752856E-2</v>
      </c>
    </row>
    <row r="64" spans="1:14" x14ac:dyDescent="0.25">
      <c r="A64">
        <f>-'R1'!H64</f>
        <v>36</v>
      </c>
      <c r="B64">
        <f>DEGREES(ATAN(-SIN(RADIANS(('R1'!I64)))/(COS(RADIANS(Sheet1!A64))*COS(RADIANS('R1'!I64)))))</f>
        <v>-24.22259689172926</v>
      </c>
      <c r="C64">
        <f>AVERAGE('R1'!J64,'R2'!J64,'R3'!J64)</f>
        <v>1.18</v>
      </c>
      <c r="D64">
        <f>AVERAGE('R1'!K64,'R2'!K64,'R3'!K64)</f>
        <v>22.436179999999997</v>
      </c>
      <c r="E64">
        <f>AVERAGE('R1'!L64,'R2'!L64,'R3'!L64)</f>
        <v>-1.0191095075628109</v>
      </c>
      <c r="F64">
        <f>AVERAGE('R1'!M64,'R2'!M64,'R3'!M64)</f>
        <v>-1.903438871323889</v>
      </c>
      <c r="G64">
        <f>AVERAGE('R1'!N64,'R2'!N64,'R3'!N64)</f>
        <v>-0.78086369745197948</v>
      </c>
      <c r="H64">
        <f>AVERAGE('R1'!O64,'R2'!O64,'R3'!O64)</f>
        <v>-0.73186163470864141</v>
      </c>
      <c r="I64">
        <f t="shared" si="1"/>
        <v>4412.4487333333327</v>
      </c>
      <c r="K64">
        <f>_xlfn.STDEV.S('R1'!L64,'R2'!L64,'R3'!L64)</f>
        <v>8.6589995003813773E-4</v>
      </c>
      <c r="L64">
        <f>_xlfn.STDEV.S('R1'!M64,'R2'!M64,'R3'!M64)</f>
        <v>4.3668435931477206E-3</v>
      </c>
      <c r="M64">
        <f>_xlfn.STDEV.S('R1'!N64,'R2'!N64,'R3'!N64)</f>
        <v>2.1565626699774076E-3</v>
      </c>
      <c r="N64">
        <f>_xlfn.STDEV.S('R1'!O64,'R2'!O64,'R3'!O64)</f>
        <v>4.6679579544130151E-3</v>
      </c>
    </row>
    <row r="65" spans="1:14" x14ac:dyDescent="0.25">
      <c r="A65">
        <f>-'R1'!H65</f>
        <v>36</v>
      </c>
      <c r="B65">
        <f>DEGREES(ATAN(-SIN(RADIANS(('R1'!I65)))/(COS(RADIANS(Sheet1!A65))*COS(RADIANS('R1'!I65)))))</f>
        <v>-28.825436554649738</v>
      </c>
      <c r="C65">
        <f>AVERAGE('R1'!J65,'R2'!J65,'R3'!J65)</f>
        <v>1.18</v>
      </c>
      <c r="D65">
        <f>AVERAGE('R1'!K65,'R2'!K65,'R3'!K65)</f>
        <v>22.107959583333336</v>
      </c>
      <c r="E65">
        <f>AVERAGE('R1'!L65,'R2'!L65,'R3'!L65)</f>
        <v>-1.1769827159314623</v>
      </c>
      <c r="F65">
        <f>AVERAGE('R1'!M65,'R2'!M65,'R3'!M65)</f>
        <v>-1.8375833484225232</v>
      </c>
      <c r="G65">
        <f>AVERAGE('R1'!N65,'R2'!N65,'R3'!N65)</f>
        <v>-0.81105629983095551</v>
      </c>
      <c r="H65">
        <f>AVERAGE('R1'!O65,'R2'!O65,'R3'!O65)</f>
        <v>-0.79830210609709729</v>
      </c>
      <c r="I65">
        <f t="shared" si="1"/>
        <v>4347.8987180555569</v>
      </c>
      <c r="K65">
        <f>_xlfn.STDEV.S('R1'!L65,'R2'!L65,'R3'!L65)</f>
        <v>1.883321527933508E-3</v>
      </c>
      <c r="L65">
        <f>_xlfn.STDEV.S('R1'!M65,'R2'!M65,'R3'!M65)</f>
        <v>4.2371371869980093E-3</v>
      </c>
      <c r="M65">
        <f>_xlfn.STDEV.S('R1'!N65,'R2'!N65,'R3'!N65)</f>
        <v>3.0597364577087185E-3</v>
      </c>
      <c r="N65">
        <f>_xlfn.STDEV.S('R1'!O65,'R2'!O65,'R3'!O65)</f>
        <v>2.0064648080514963E-3</v>
      </c>
    </row>
    <row r="66" spans="1:14" x14ac:dyDescent="0.25">
      <c r="A66">
        <f>-'R1'!H66</f>
        <v>36</v>
      </c>
      <c r="B66">
        <f>DEGREES(ATAN(-SIN(RADIANS(('R1'!I66)))/(COS(RADIANS(Sheet1!A66))*COS(RADIANS('R1'!I66)))))</f>
        <v>-33.314077817276932</v>
      </c>
      <c r="C66">
        <f>AVERAGE('R1'!J66,'R2'!J66,'R3'!J66)</f>
        <v>1.18</v>
      </c>
      <c r="D66">
        <f>AVERAGE('R1'!K66,'R2'!K66,'R3'!K66)</f>
        <v>21.767424999999999</v>
      </c>
      <c r="E66">
        <f>AVERAGE('R1'!L66,'R2'!L66,'R3'!L66)</f>
        <v>-1.3237039947593208</v>
      </c>
      <c r="F66">
        <f>AVERAGE('R1'!M66,'R2'!M66,'R3'!M66)</f>
        <v>-1.7905715928712935</v>
      </c>
      <c r="G66">
        <f>AVERAGE('R1'!N66,'R2'!N66,'R3'!N66)</f>
        <v>-0.85576751939644546</v>
      </c>
      <c r="H66">
        <f>AVERAGE('R1'!O66,'R2'!O66,'R3'!O66)</f>
        <v>-0.87609016264294615</v>
      </c>
      <c r="I66">
        <f t="shared" si="1"/>
        <v>4280.9269166666663</v>
      </c>
      <c r="K66">
        <f>_xlfn.STDEV.S('R1'!L66,'R2'!L66,'R3'!L66)</f>
        <v>3.0965389701733343E-3</v>
      </c>
      <c r="L66">
        <f>_xlfn.STDEV.S('R1'!M66,'R2'!M66,'R3'!M66)</f>
        <v>6.5926343476292596E-3</v>
      </c>
      <c r="M66">
        <f>_xlfn.STDEV.S('R1'!N66,'R2'!N66,'R3'!N66)</f>
        <v>6.0845552704131981E-3</v>
      </c>
      <c r="N66">
        <f>_xlfn.STDEV.S('R1'!O66,'R2'!O66,'R3'!O66)</f>
        <v>2.7025307796204384E-3</v>
      </c>
    </row>
    <row r="67" spans="1:14" x14ac:dyDescent="0.25">
      <c r="A67">
        <f>-'R1'!H67</f>
        <v>36</v>
      </c>
      <c r="B67">
        <f>DEGREES(ATAN(-SIN(RADIANS(('R1'!I67)))/(COS(RADIANS(Sheet1!A67))*COS(RADIANS('R1'!I67)))))</f>
        <v>-37.681815805789164</v>
      </c>
      <c r="C67">
        <f>AVERAGE('R1'!J67,'R2'!J67,'R3'!J67)</f>
        <v>1.18</v>
      </c>
      <c r="D67">
        <f>AVERAGE('R1'!K67,'R2'!K67,'R3'!K67)</f>
        <v>21.764760249999998</v>
      </c>
      <c r="E67">
        <f>AVERAGE('R1'!L67,'R2'!L67,'R3'!L67)</f>
        <v>-1.457883493952824</v>
      </c>
      <c r="F67">
        <f>AVERAGE('R1'!M67,'R2'!M67,'R3'!M67)</f>
        <v>-1.7472151410659498</v>
      </c>
      <c r="G67">
        <f>AVERAGE('R1'!N67,'R2'!N67,'R3'!N67)</f>
        <v>-0.90795643185916397</v>
      </c>
      <c r="H67">
        <f>AVERAGE('R1'!O67,'R2'!O67,'R3'!O67)</f>
        <v>-0.95799282622087245</v>
      </c>
      <c r="I67">
        <f t="shared" ref="I67:I130" si="5">10^5*C67*D67*0.003/1.8</f>
        <v>4280.4028491666668</v>
      </c>
      <c r="K67">
        <f>_xlfn.STDEV.S('R1'!L67,'R2'!L67,'R3'!L67)</f>
        <v>1.3752108215790402E-3</v>
      </c>
      <c r="L67">
        <f>_xlfn.STDEV.S('R1'!M67,'R2'!M67,'R3'!M67)</f>
        <v>4.2000508885728866E-3</v>
      </c>
      <c r="M67">
        <f>_xlfn.STDEV.S('R1'!N67,'R2'!N67,'R3'!N67)</f>
        <v>6.4521887916342505E-3</v>
      </c>
      <c r="N67">
        <f>_xlfn.STDEV.S('R1'!O67,'R2'!O67,'R3'!O67)</f>
        <v>2.9155939551233586E-3</v>
      </c>
    </row>
    <row r="68" spans="1:14" x14ac:dyDescent="0.25">
      <c r="A68">
        <f>-'R1'!H68</f>
        <v>36</v>
      </c>
      <c r="B68">
        <f>DEGREES(ATAN(-SIN(RADIANS(('R1'!I68)))/(COS(RADIANS(Sheet1!A68))*COS(RADIANS('R1'!I68)))))</f>
        <v>-41.925613925819086</v>
      </c>
      <c r="C68">
        <f>AVERAGE('R1'!J68,'R2'!J68,'R3'!J68)</f>
        <v>1.18</v>
      </c>
      <c r="D68">
        <f>AVERAGE('R1'!K68,'R2'!K68,'R3'!K68)</f>
        <v>22.013827916666667</v>
      </c>
      <c r="E68">
        <f>AVERAGE('R1'!L68,'R2'!L68,'R3'!L68)</f>
        <v>-1.5939576609346329</v>
      </c>
      <c r="F68">
        <f>AVERAGE('R1'!M68,'R2'!M68,'R3'!M68)</f>
        <v>-1.7303785993692944</v>
      </c>
      <c r="G68">
        <f>AVERAGE('R1'!N68,'R2'!N68,'R3'!N68)</f>
        <v>-0.99004766108441922</v>
      </c>
      <c r="H68">
        <f>AVERAGE('R1'!O68,'R2'!O68,'R3'!O68)</f>
        <v>-1.0471176853539037</v>
      </c>
      <c r="I68">
        <f t="shared" si="5"/>
        <v>4329.3861569444452</v>
      </c>
      <c r="K68">
        <f>_xlfn.STDEV.S('R1'!L68,'R2'!L68,'R3'!L68)</f>
        <v>3.0742992987359934E-3</v>
      </c>
      <c r="L68">
        <f>_xlfn.STDEV.S('R1'!M68,'R2'!M68,'R3'!M68)</f>
        <v>5.4457222009658074E-3</v>
      </c>
      <c r="M68">
        <f>_xlfn.STDEV.S('R1'!N68,'R2'!N68,'R3'!N68)</f>
        <v>6.8363133317013393E-3</v>
      </c>
      <c r="N68">
        <f>_xlfn.STDEV.S('R1'!O68,'R2'!O68,'R3'!O68)</f>
        <v>3.7667325264014112E-3</v>
      </c>
    </row>
    <row r="69" spans="1:14" x14ac:dyDescent="0.25">
      <c r="A69">
        <f>-'R1'!H69</f>
        <v>36</v>
      </c>
      <c r="B69">
        <f>DEGREES(ATAN(-SIN(RADIANS(('R1'!I69)))/(COS(RADIANS(Sheet1!A69))*COS(RADIANS('R1'!I69)))))</f>
        <v>-46.045688589723383</v>
      </c>
      <c r="C69">
        <f>AVERAGE('R1'!J69,'R2'!J69,'R3'!J69)</f>
        <v>1.18</v>
      </c>
      <c r="D69">
        <f>AVERAGE('R1'!K69,'R2'!K69,'R3'!K69)</f>
        <v>22.194086249999998</v>
      </c>
      <c r="E69">
        <f>AVERAGE('R1'!L69,'R2'!L69,'R3'!L69)</f>
        <v>-1.759150159486411</v>
      </c>
      <c r="F69">
        <f>AVERAGE('R1'!M69,'R2'!M69,'R3'!M69)</f>
        <v>-1.761743352729199</v>
      </c>
      <c r="G69">
        <f>AVERAGE('R1'!N69,'R2'!N69,'R3'!N69)</f>
        <v>-1.1357839776999812</v>
      </c>
      <c r="H69">
        <f>AVERAGE('R1'!O69,'R2'!O69,'R3'!O69)</f>
        <v>-1.1574671199258633</v>
      </c>
      <c r="I69">
        <f t="shared" si="5"/>
        <v>4364.8369624999996</v>
      </c>
      <c r="K69">
        <f>_xlfn.STDEV.S('R1'!L69,'R2'!L69,'R3'!L69)</f>
        <v>4.2146069369116334E-3</v>
      </c>
      <c r="L69">
        <f>_xlfn.STDEV.S('R1'!M69,'R2'!M69,'R3'!M69)</f>
        <v>6.8876307173497808E-3</v>
      </c>
      <c r="M69">
        <f>_xlfn.STDEV.S('R1'!N69,'R2'!N69,'R3'!N69)</f>
        <v>9.4112371074477879E-3</v>
      </c>
      <c r="N69">
        <f>_xlfn.STDEV.S('R1'!O69,'R2'!O69,'R3'!O69)</f>
        <v>2.2752330967613608E-3</v>
      </c>
    </row>
    <row r="70" spans="1:14" x14ac:dyDescent="0.25">
      <c r="A70">
        <f>-'R1'!H70</f>
        <v>36</v>
      </c>
      <c r="B70">
        <f>DEGREES(ATAN(-SIN(RADIANS(('R1'!I70)))/(COS(RADIANS(Sheet1!A70))*COS(RADIANS('R1'!I70)))))</f>
        <v>-50.045016920059574</v>
      </c>
      <c r="C70">
        <f>AVERAGE('R1'!J70,'R2'!J70,'R3'!J70)</f>
        <v>1.18</v>
      </c>
      <c r="D70">
        <f>AVERAGE('R1'!K70,'R2'!K70,'R3'!K70)</f>
        <v>22.806943416666666</v>
      </c>
      <c r="E70">
        <f>AVERAGE('R1'!L70,'R2'!L70,'R3'!L70)</f>
        <v>-1.904551916892852</v>
      </c>
      <c r="F70">
        <f>AVERAGE('R1'!M70,'R2'!M70,'R3'!M70)</f>
        <v>-1.8396728242041924</v>
      </c>
      <c r="G70">
        <f>AVERAGE('R1'!N70,'R2'!N70,'R3'!N70)</f>
        <v>-1.3063573453409836</v>
      </c>
      <c r="H70">
        <f>AVERAGE('R1'!O70,'R2'!O70,'R3'!O70)</f>
        <v>-1.2970529824501178</v>
      </c>
      <c r="I70">
        <f t="shared" si="5"/>
        <v>4485.3655386111113</v>
      </c>
      <c r="K70">
        <f>_xlfn.STDEV.S('R1'!L70,'R2'!L70,'R3'!L70)</f>
        <v>8.9929419808807071E-4</v>
      </c>
      <c r="L70">
        <f>_xlfn.STDEV.S('R1'!M70,'R2'!M70,'R3'!M70)</f>
        <v>4.4249482315468734E-3</v>
      </c>
      <c r="M70">
        <f>_xlfn.STDEV.S('R1'!N70,'R2'!N70,'R3'!N70)</f>
        <v>3.9080119992660842E-3</v>
      </c>
      <c r="N70">
        <f>_xlfn.STDEV.S('R1'!O70,'R2'!O70,'R3'!O70)</f>
        <v>3.4278221445165151E-3</v>
      </c>
    </row>
    <row r="71" spans="1:14" x14ac:dyDescent="0.25">
      <c r="A71">
        <f>-'R1'!H71</f>
        <v>32</v>
      </c>
      <c r="B71">
        <f>DEGREES(ATAN(-SIN(RADIANS(('R1'!I71)))/(COS(RADIANS(Sheet1!A71))*COS(RADIANS('R1'!I71)))))</f>
        <v>48.711059881009497</v>
      </c>
      <c r="C71">
        <f>AVERAGE('R1'!J71,'R2'!J71,'R3'!J71)</f>
        <v>1.18</v>
      </c>
      <c r="D71">
        <f>AVERAGE('R1'!K71,'R2'!K71,'R3'!K71)</f>
        <v>23.066655166666667</v>
      </c>
      <c r="E71">
        <f>AVERAGE('R1'!L71,'R2'!L71,'R3'!L71)</f>
        <v>1.896834458426288</v>
      </c>
      <c r="F71">
        <f>AVERAGE('R1'!M71,'R2'!M71,'R3'!M71)</f>
        <v>-1.9021833086895779</v>
      </c>
      <c r="G71">
        <f>AVERAGE('R1'!N71,'R2'!N71,'R3'!N71)</f>
        <v>-1.3568350122372077</v>
      </c>
      <c r="H71">
        <f>AVERAGE('R1'!O71,'R2'!O71,'R3'!O71)</f>
        <v>-1.3410089328815318</v>
      </c>
      <c r="I71">
        <f t="shared" si="5"/>
        <v>4536.4421827777778</v>
      </c>
      <c r="K71">
        <f>_xlfn.STDEV.S('R1'!L71,'R2'!L71,'R3'!L71)</f>
        <v>2.0329345622811718E-3</v>
      </c>
      <c r="L71">
        <f>_xlfn.STDEV.S('R1'!M71,'R2'!M71,'R3'!M71)</f>
        <v>5.0784705655027461E-3</v>
      </c>
      <c r="M71">
        <f>_xlfn.STDEV.S('R1'!N71,'R2'!N71,'R3'!N71)</f>
        <v>8.0332091185955721E-3</v>
      </c>
      <c r="N71">
        <f>_xlfn.STDEV.S('R1'!O71,'R2'!O71,'R3'!O71)</f>
        <v>2.3791610556199512E-3</v>
      </c>
    </row>
    <row r="72" spans="1:14" x14ac:dyDescent="0.25">
      <c r="A72">
        <f>-'R1'!H72</f>
        <v>32</v>
      </c>
      <c r="B72">
        <f>DEGREES(ATAN(-SIN(RADIANS(('R1'!I72)))/(COS(RADIANS(Sheet1!A72))*COS(RADIANS('R1'!I72)))))</f>
        <v>44.69611169166604</v>
      </c>
      <c r="C72">
        <f>AVERAGE('R1'!J72,'R2'!J72,'R3'!J72)</f>
        <v>1.18</v>
      </c>
      <c r="D72">
        <f>AVERAGE('R1'!K72,'R2'!K72,'R3'!K72)</f>
        <v>22.666983083333335</v>
      </c>
      <c r="E72">
        <f>AVERAGE('R1'!L72,'R2'!L72,'R3'!L72)</f>
        <v>1.7333984220694694</v>
      </c>
      <c r="F72">
        <f>AVERAGE('R1'!M72,'R2'!M72,'R3'!M72)</f>
        <v>-1.811692498843658</v>
      </c>
      <c r="G72">
        <f>AVERAGE('R1'!N72,'R2'!N72,'R3'!N72)</f>
        <v>-1.1650099588050009</v>
      </c>
      <c r="H72">
        <f>AVERAGE('R1'!O72,'R2'!O72,'R3'!O72)</f>
        <v>-1.1750403395197477</v>
      </c>
      <c r="I72">
        <f t="shared" si="5"/>
        <v>4457.8400063888894</v>
      </c>
      <c r="K72">
        <f>_xlfn.STDEV.S('R1'!L72,'R2'!L72,'R3'!L72)</f>
        <v>2.0710287644649097E-3</v>
      </c>
      <c r="L72">
        <f>_xlfn.STDEV.S('R1'!M72,'R2'!M72,'R3'!M72)</f>
        <v>1.4039288339305527E-3</v>
      </c>
      <c r="M72">
        <f>_xlfn.STDEV.S('R1'!N72,'R2'!N72,'R3'!N72)</f>
        <v>2.4492333759722051E-3</v>
      </c>
      <c r="N72">
        <f>_xlfn.STDEV.S('R1'!O72,'R2'!O72,'R3'!O72)</f>
        <v>1.9159888150522076E-3</v>
      </c>
    </row>
    <row r="73" spans="1:14" x14ac:dyDescent="0.25">
      <c r="A73">
        <f>-'R1'!H73</f>
        <v>32</v>
      </c>
      <c r="B73">
        <f>DEGREES(ATAN(-SIN(RADIANS(('R1'!I73)))/(COS(RADIANS(Sheet1!A73))*COS(RADIANS('R1'!I73)))))</f>
        <v>40.587432696870117</v>
      </c>
      <c r="C73">
        <f>AVERAGE('R1'!J73,'R2'!J73,'R3'!J73)</f>
        <v>1.18</v>
      </c>
      <c r="D73">
        <f>AVERAGE('R1'!K73,'R2'!K73,'R3'!K73)</f>
        <v>22.316737249999999</v>
      </c>
      <c r="E73">
        <f>AVERAGE('R1'!L73,'R2'!L73,'R3'!L73)</f>
        <v>1.6108907739091987</v>
      </c>
      <c r="F73">
        <f>AVERAGE('R1'!M73,'R2'!M73,'R3'!M73)</f>
        <v>-1.712176530187157</v>
      </c>
      <c r="G73">
        <f>AVERAGE('R1'!N73,'R2'!N73,'R3'!N73)</f>
        <v>-1.0040127062823199</v>
      </c>
      <c r="H73">
        <f>AVERAGE('R1'!O73,'R2'!O73,'R3'!O73)</f>
        <v>-1.0388747696042357</v>
      </c>
      <c r="I73">
        <f t="shared" si="5"/>
        <v>4388.9583258333323</v>
      </c>
      <c r="K73">
        <f>_xlfn.STDEV.S('R1'!L73,'R2'!L73,'R3'!L73)</f>
        <v>3.168914492959642E-3</v>
      </c>
      <c r="L73">
        <f>_xlfn.STDEV.S('R1'!M73,'R2'!M73,'R3'!M73)</f>
        <v>7.5638257042519471E-4</v>
      </c>
      <c r="M73">
        <f>_xlfn.STDEV.S('R1'!N73,'R2'!N73,'R3'!N73)</f>
        <v>3.0156272753345042E-3</v>
      </c>
      <c r="N73">
        <f>_xlfn.STDEV.S('R1'!O73,'R2'!O73,'R3'!O73)</f>
        <v>1.6754038993240801E-3</v>
      </c>
    </row>
    <row r="74" spans="1:14" x14ac:dyDescent="0.25">
      <c r="A74">
        <f>-'R1'!H74</f>
        <v>32</v>
      </c>
      <c r="B74">
        <f>DEGREES(ATAN(-SIN(RADIANS(('R1'!I74)))/(COS(RADIANS(Sheet1!A74))*COS(RADIANS('R1'!I74)))))</f>
        <v>36.383993076218225</v>
      </c>
      <c r="C74">
        <f>AVERAGE('R1'!J74,'R2'!J74,'R3'!J74)</f>
        <v>1.18</v>
      </c>
      <c r="D74">
        <f>AVERAGE('R1'!K74,'R2'!K74,'R3'!K74)</f>
        <v>21.738179916666667</v>
      </c>
      <c r="E74">
        <f>AVERAGE('R1'!L74,'R2'!L74,'R3'!L74)</f>
        <v>1.4928690739531554</v>
      </c>
      <c r="F74">
        <f>AVERAGE('R1'!M74,'R2'!M74,'R3'!M74)</f>
        <v>-1.631673228928032</v>
      </c>
      <c r="G74">
        <f>AVERAGE('R1'!N74,'R2'!N74,'R3'!N74)</f>
        <v>-0.87199734749144164</v>
      </c>
      <c r="H74">
        <f>AVERAGE('R1'!O74,'R2'!O74,'R3'!O74)</f>
        <v>-0.91505535502573887</v>
      </c>
      <c r="I74">
        <f t="shared" si="5"/>
        <v>4275.1753836111111</v>
      </c>
      <c r="K74">
        <f>_xlfn.STDEV.S('R1'!L74,'R2'!L74,'R3'!L74)</f>
        <v>4.6620977882384817E-4</v>
      </c>
      <c r="L74">
        <f>_xlfn.STDEV.S('R1'!M74,'R2'!M74,'R3'!M74)</f>
        <v>1.2652569442470885E-3</v>
      </c>
      <c r="M74">
        <f>_xlfn.STDEV.S('R1'!N74,'R2'!N74,'R3'!N74)</f>
        <v>1.6670885683020148E-3</v>
      </c>
      <c r="N74">
        <f>_xlfn.STDEV.S('R1'!O74,'R2'!O74,'R3'!O74)</f>
        <v>3.2543411273537398E-4</v>
      </c>
    </row>
    <row r="75" spans="1:14" x14ac:dyDescent="0.25">
      <c r="A75">
        <f>-'R1'!H75</f>
        <v>32</v>
      </c>
      <c r="B75">
        <f>DEGREES(ATAN(-SIN(RADIANS(('R1'!I75)))/(COS(RADIANS(Sheet1!A75))*COS(RADIANS('R1'!I75)))))</f>
        <v>32.086900972819144</v>
      </c>
      <c r="C75">
        <f>AVERAGE('R1'!J75,'R2'!J75,'R3'!J75)</f>
        <v>1.18</v>
      </c>
      <c r="D75">
        <f>AVERAGE('R1'!K75,'R2'!K75,'R3'!K75)</f>
        <v>21.754628666666665</v>
      </c>
      <c r="E75">
        <f>AVERAGE('R1'!L75,'R2'!L75,'R3'!L75)</f>
        <v>1.3676706817391497</v>
      </c>
      <c r="F75">
        <f>AVERAGE('R1'!M75,'R2'!M75,'R3'!M75)</f>
        <v>-1.5906695703066138</v>
      </c>
      <c r="G75">
        <f>AVERAGE('R1'!N75,'R2'!N75,'R3'!N75)</f>
        <v>-0.76743847721850067</v>
      </c>
      <c r="H75">
        <f>AVERAGE('R1'!O75,'R2'!O75,'R3'!O75)</f>
        <v>-0.8053585868623182</v>
      </c>
      <c r="I75">
        <f t="shared" si="5"/>
        <v>4278.4103044444437</v>
      </c>
      <c r="K75">
        <f>_xlfn.STDEV.S('R1'!L75,'R2'!L75,'R3'!L75)</f>
        <v>5.7272561658728545E-3</v>
      </c>
      <c r="L75">
        <f>_xlfn.STDEV.S('R1'!M75,'R2'!M75,'R3'!M75)</f>
        <v>2.2952252476800585E-3</v>
      </c>
      <c r="M75">
        <f>_xlfn.STDEV.S('R1'!N75,'R2'!N75,'R3'!N75)</f>
        <v>2.9976342748214949E-3</v>
      </c>
      <c r="N75">
        <f>_xlfn.STDEV.S('R1'!O75,'R2'!O75,'R3'!O75)</f>
        <v>2.7106355259465058E-3</v>
      </c>
    </row>
    <row r="76" spans="1:14" x14ac:dyDescent="0.25">
      <c r="A76">
        <f>-'R1'!H76</f>
        <v>32</v>
      </c>
      <c r="B76">
        <f>DEGREES(ATAN(-SIN(RADIANS(('R1'!I76)))/(COS(RADIANS(Sheet1!A76))*COS(RADIANS('R1'!I76)))))</f>
        <v>27.699654729206667</v>
      </c>
      <c r="C76">
        <f>AVERAGE('R1'!J76,'R2'!J76,'R3'!J76)</f>
        <v>1.18</v>
      </c>
      <c r="D76">
        <f>AVERAGE('R1'!K76,'R2'!K76,'R3'!K76)</f>
        <v>22.007696416666665</v>
      </c>
      <c r="E76">
        <f>AVERAGE('R1'!L76,'R2'!L76,'R3'!L76)</f>
        <v>1.2279950398877924</v>
      </c>
      <c r="F76">
        <f>AVERAGE('R1'!M76,'R2'!M76,'R3'!M76)</f>
        <v>-1.5887117651557732</v>
      </c>
      <c r="G76">
        <f>AVERAGE('R1'!N76,'R2'!N76,'R3'!N76)</f>
        <v>-0.6884383826943733</v>
      </c>
      <c r="H76">
        <f>AVERAGE('R1'!O76,'R2'!O76,'R3'!O76)</f>
        <v>-0.70746221555732636</v>
      </c>
      <c r="I76">
        <f t="shared" si="5"/>
        <v>4328.1802952777771</v>
      </c>
      <c r="K76">
        <f>_xlfn.STDEV.S('R1'!L76,'R2'!L76,'R3'!L76)</f>
        <v>1.3594906504726155E-3</v>
      </c>
      <c r="L76">
        <f>_xlfn.STDEV.S('R1'!M76,'R2'!M76,'R3'!M76)</f>
        <v>1.3040295539573541E-3</v>
      </c>
      <c r="M76">
        <f>_xlfn.STDEV.S('R1'!N76,'R2'!N76,'R3'!N76)</f>
        <v>1.1765833943878064E-3</v>
      </c>
      <c r="N76">
        <f>_xlfn.STDEV.S('R1'!O76,'R2'!O76,'R3'!O76)</f>
        <v>2.882987634177107E-4</v>
      </c>
    </row>
    <row r="77" spans="1:14" x14ac:dyDescent="0.25">
      <c r="A77">
        <f>-'R1'!H77</f>
        <v>32</v>
      </c>
      <c r="B77">
        <f>DEGREES(ATAN(-SIN(RADIANS(('R1'!I77)))/(COS(RADIANS(Sheet1!A77))*COS(RADIANS('R1'!I77)))))</f>
        <v>23.228324501561271</v>
      </c>
      <c r="C77">
        <f>AVERAGE('R1'!J77,'R2'!J77,'R3'!J77)</f>
        <v>1.18</v>
      </c>
      <c r="D77">
        <f>AVERAGE('R1'!K77,'R2'!K77,'R3'!K77)</f>
        <v>22.205439916666666</v>
      </c>
      <c r="E77">
        <f>AVERAGE('R1'!L77,'R2'!L77,'R3'!L77)</f>
        <v>1.0765174977687992</v>
      </c>
      <c r="F77">
        <f>AVERAGE('R1'!M77,'R2'!M77,'R3'!M77)</f>
        <v>-1.6154956576500421</v>
      </c>
      <c r="G77">
        <f>AVERAGE('R1'!N77,'R2'!N77,'R3'!N77)</f>
        <v>-0.63433258576977769</v>
      </c>
      <c r="H77">
        <f>AVERAGE('R1'!O77,'R2'!O77,'R3'!O77)</f>
        <v>-0.61858166904716627</v>
      </c>
      <c r="I77">
        <f t="shared" si="5"/>
        <v>4367.0698502777777</v>
      </c>
      <c r="K77">
        <f>_xlfn.STDEV.S('R1'!L77,'R2'!L77,'R3'!L77)</f>
        <v>4.0949760465609506E-3</v>
      </c>
      <c r="L77">
        <f>_xlfn.STDEV.S('R1'!M77,'R2'!M77,'R3'!M77)</f>
        <v>2.4318562602804695E-3</v>
      </c>
      <c r="M77">
        <f>_xlfn.STDEV.S('R1'!N77,'R2'!N77,'R3'!N77)</f>
        <v>3.2326007803465439E-3</v>
      </c>
      <c r="N77">
        <f>_xlfn.STDEV.S('R1'!O77,'R2'!O77,'R3'!O77)</f>
        <v>1.9132409299982337E-3</v>
      </c>
    </row>
    <row r="78" spans="1:14" x14ac:dyDescent="0.25">
      <c r="A78">
        <f>-'R1'!H78</f>
        <v>32</v>
      </c>
      <c r="B78">
        <f>DEGREES(ATAN(-SIN(RADIANS(('R1'!I78)))/(COS(RADIANS(Sheet1!A78))*COS(RADIANS('R1'!I78)))))</f>
        <v>18.681627509923402</v>
      </c>
      <c r="C78">
        <f>AVERAGE('R1'!J78,'R2'!J78,'R3'!J78)</f>
        <v>1.18</v>
      </c>
      <c r="D78">
        <f>AVERAGE('R1'!K78,'R2'!K78,'R3'!K78)</f>
        <v>22.847177833333333</v>
      </c>
      <c r="E78">
        <f>AVERAGE('R1'!L78,'R2'!L78,'R3'!L78)</f>
        <v>0.898439204311413</v>
      </c>
      <c r="F78">
        <f>AVERAGE('R1'!M78,'R2'!M78,'R3'!M78)</f>
        <v>-1.6717280059317117</v>
      </c>
      <c r="G78">
        <f>AVERAGE('R1'!N78,'R2'!N78,'R3'!N78)</f>
        <v>-0.59103536491470232</v>
      </c>
      <c r="H78">
        <f>AVERAGE('R1'!O78,'R2'!O78,'R3'!O78)</f>
        <v>-0.53879423362887635</v>
      </c>
      <c r="I78">
        <f t="shared" si="5"/>
        <v>4493.2783072222228</v>
      </c>
      <c r="K78">
        <f>_xlfn.STDEV.S('R1'!L78,'R2'!L78,'R3'!L78)</f>
        <v>4.6545026297664816E-3</v>
      </c>
      <c r="L78">
        <f>_xlfn.STDEV.S('R1'!M78,'R2'!M78,'R3'!M78)</f>
        <v>2.4133685716234911E-3</v>
      </c>
      <c r="M78">
        <f>_xlfn.STDEV.S('R1'!N78,'R2'!N78,'R3'!N78)</f>
        <v>1.3724033797518063E-3</v>
      </c>
      <c r="N78">
        <f>_xlfn.STDEV.S('R1'!O78,'R2'!O78,'R3'!O78)</f>
        <v>1.1438553703170621E-4</v>
      </c>
    </row>
    <row r="79" spans="1:14" x14ac:dyDescent="0.25">
      <c r="A79">
        <f>-'R1'!H79</f>
        <v>32</v>
      </c>
      <c r="B79">
        <f>DEGREES(ATAN(-SIN(RADIANS(('R1'!I79)))/(COS(RADIANS(Sheet1!A79))*COS(RADIANS('R1'!I79)))))</f>
        <v>14.070864136056453</v>
      </c>
      <c r="C79">
        <f>AVERAGE('R1'!J79,'R2'!J79,'R3'!J79)</f>
        <v>1.18</v>
      </c>
      <c r="D79">
        <f>AVERAGE('R1'!K79,'R2'!K79,'R3'!K79)</f>
        <v>23.078395333333333</v>
      </c>
      <c r="E79">
        <f>AVERAGE('R1'!L79,'R2'!L79,'R3'!L79)</f>
        <v>0.70555285762914899</v>
      </c>
      <c r="F79">
        <f>AVERAGE('R1'!M79,'R2'!M79,'R3'!M79)</f>
        <v>-1.7512953963941731</v>
      </c>
      <c r="G79">
        <f>AVERAGE('R1'!N79,'R2'!N79,'R3'!N79)</f>
        <v>-0.56391872921352415</v>
      </c>
      <c r="H79">
        <f>AVERAGE('R1'!O79,'R2'!O79,'R3'!O79)</f>
        <v>-0.47300585615523399</v>
      </c>
      <c r="I79">
        <f t="shared" si="5"/>
        <v>4538.7510822222221</v>
      </c>
      <c r="K79">
        <f>_xlfn.STDEV.S('R1'!L79,'R2'!L79,'R3'!L79)</f>
        <v>2.0543616791536346E-3</v>
      </c>
      <c r="L79">
        <f>_xlfn.STDEV.S('R1'!M79,'R2'!M79,'R3'!M79)</f>
        <v>2.6680634513615198E-3</v>
      </c>
      <c r="M79">
        <f>_xlfn.STDEV.S('R1'!N79,'R2'!N79,'R3'!N79)</f>
        <v>2.3808033587083013E-3</v>
      </c>
      <c r="N79">
        <f>_xlfn.STDEV.S('R1'!O79,'R2'!O79,'R3'!O79)</f>
        <v>3.3558503572330054E-3</v>
      </c>
    </row>
    <row r="80" spans="1:14" x14ac:dyDescent="0.25">
      <c r="A80">
        <f>-'R1'!H80</f>
        <v>32</v>
      </c>
      <c r="B80">
        <f>DEGREES(ATAN(-SIN(RADIANS(('R1'!I80)))/(COS(RADIANS(Sheet1!A80))*COS(RADIANS('R1'!I80)))))</f>
        <v>9.4096915772201388</v>
      </c>
      <c r="C80">
        <f>AVERAGE('R1'!J80,'R2'!J80,'R3'!J80)</f>
        <v>1.18</v>
      </c>
      <c r="D80">
        <f>AVERAGE('R1'!K80,'R2'!K80,'R3'!K80)</f>
        <v>22.77316325</v>
      </c>
      <c r="E80">
        <f>AVERAGE('R1'!L80,'R2'!L80,'R3'!L80)</f>
        <v>0.50958002853655637</v>
      </c>
      <c r="F80">
        <f>AVERAGE('R1'!M80,'R2'!M80,'R3'!M80)</f>
        <v>-1.838188281485919</v>
      </c>
      <c r="G80">
        <f>AVERAGE('R1'!N80,'R2'!N80,'R3'!N80)</f>
        <v>-0.5506437395497964</v>
      </c>
      <c r="H80">
        <f>AVERAGE('R1'!O80,'R2'!O80,'R3'!O80)</f>
        <v>-0.41195994287124499</v>
      </c>
      <c r="I80">
        <f t="shared" si="5"/>
        <v>4478.7221058333334</v>
      </c>
      <c r="K80">
        <f>_xlfn.STDEV.S('R1'!L80,'R2'!L80,'R3'!L80)</f>
        <v>3.7845828409476634E-3</v>
      </c>
      <c r="L80">
        <f>_xlfn.STDEV.S('R1'!M80,'R2'!M80,'R3'!M80)</f>
        <v>2.8984608518670225E-3</v>
      </c>
      <c r="M80">
        <f>_xlfn.STDEV.S('R1'!N80,'R2'!N80,'R3'!N80)</f>
        <v>3.3647905312875039E-3</v>
      </c>
      <c r="N80">
        <f>_xlfn.STDEV.S('R1'!O80,'R2'!O80,'R3'!O80)</f>
        <v>3.927463961611451E-3</v>
      </c>
    </row>
    <row r="81" spans="1:14" x14ac:dyDescent="0.25">
      <c r="A81">
        <f>-'R1'!H81</f>
        <v>32</v>
      </c>
      <c r="B81">
        <f>DEGREES(ATAN(-SIN(RADIANS(('R1'!I81)))/(COS(RADIANS(Sheet1!A81))*COS(RADIANS('R1'!I81)))))</f>
        <v>4.7137278648813155</v>
      </c>
      <c r="C81">
        <f>AVERAGE('R1'!J81,'R2'!J81,'R3'!J81)</f>
        <v>1.18</v>
      </c>
      <c r="D81">
        <f>AVERAGE('R1'!K81,'R2'!K81,'R3'!K81)</f>
        <v>22.413484833333332</v>
      </c>
      <c r="E81">
        <f>AVERAGE('R1'!L81,'R2'!L81,'R3'!L81)</f>
        <v>0.30642853896035277</v>
      </c>
      <c r="F81">
        <f>AVERAGE('R1'!M81,'R2'!M81,'R3'!M81)</f>
        <v>-1.9217303265229742</v>
      </c>
      <c r="G81">
        <f>AVERAGE('R1'!N81,'R2'!N81,'R3'!N81)</f>
        <v>-0.54652690131520343</v>
      </c>
      <c r="H81">
        <f>AVERAGE('R1'!O81,'R2'!O81,'R3'!O81)</f>
        <v>-0.35126834425343967</v>
      </c>
      <c r="I81">
        <f t="shared" si="5"/>
        <v>4407.9853505555557</v>
      </c>
      <c r="K81">
        <f>_xlfn.STDEV.S('R1'!L81,'R2'!L81,'R3'!L81)</f>
        <v>4.5941220675824214E-3</v>
      </c>
      <c r="L81">
        <f>_xlfn.STDEV.S('R1'!M81,'R2'!M81,'R3'!M81)</f>
        <v>1.7096480129367554E-3</v>
      </c>
      <c r="M81">
        <f>_xlfn.STDEV.S('R1'!N81,'R2'!N81,'R3'!N81)</f>
        <v>3.6496082043811361E-3</v>
      </c>
      <c r="N81">
        <f>_xlfn.STDEV.S('R1'!O81,'R2'!O81,'R3'!O81)</f>
        <v>2.1902541777012439E-3</v>
      </c>
    </row>
    <row r="82" spans="1:14" x14ac:dyDescent="0.25">
      <c r="A82">
        <f>-'R1'!H82</f>
        <v>32</v>
      </c>
      <c r="B82">
        <f>DEGREES(ATAN(-SIN(RADIANS(('R1'!I82)))/(COS(RADIANS(Sheet1!A82))*COS(RADIANS('R1'!I82)))))</f>
        <v>0</v>
      </c>
      <c r="C82">
        <f>AVERAGE('R1'!J82,'R2'!J82,'R3'!J82)</f>
        <v>1.18</v>
      </c>
      <c r="D82">
        <f>AVERAGE('R1'!K82,'R2'!K82,'R3'!K82)</f>
        <v>21.948309083333339</v>
      </c>
      <c r="E82">
        <f>AVERAGE('R1'!L82,'R2'!L82,'R3'!L82)</f>
        <v>6.7484404535014461E-2</v>
      </c>
      <c r="F82">
        <f>AVERAGE('R1'!M82,'R2'!M82,'R3'!M82)</f>
        <v>-2.0380781270956736</v>
      </c>
      <c r="G82">
        <f>AVERAGE('R1'!N82,'R2'!N82,'R3'!N82)</f>
        <v>-0.56364808421534474</v>
      </c>
      <c r="H82">
        <f>AVERAGE('R1'!O82,'R2'!O82,'R3'!O82)</f>
        <v>-0.29758826081029666</v>
      </c>
      <c r="I82">
        <f t="shared" si="5"/>
        <v>4316.5007863888895</v>
      </c>
      <c r="K82">
        <f>_xlfn.STDEV.S('R1'!L82,'R2'!L82,'R3'!L82)</f>
        <v>7.0667905260622761E-3</v>
      </c>
      <c r="L82">
        <f>_xlfn.STDEV.S('R1'!M82,'R2'!M82,'R3'!M82)</f>
        <v>6.5861460367730032E-3</v>
      </c>
      <c r="M82">
        <f>_xlfn.STDEV.S('R1'!N82,'R2'!N82,'R3'!N82)</f>
        <v>2.6199925721861581E-3</v>
      </c>
      <c r="N82">
        <f>_xlfn.STDEV.S('R1'!O82,'R2'!O82,'R3'!O82)</f>
        <v>4.3675945599265442E-3</v>
      </c>
    </row>
    <row r="83" spans="1:14" x14ac:dyDescent="0.25">
      <c r="A83">
        <f>-'R1'!H83</f>
        <v>32</v>
      </c>
      <c r="B83">
        <f>DEGREES(ATAN(-SIN(RADIANS(('R1'!I83)))/(COS(RADIANS(Sheet1!A83))*COS(RADIANS('R1'!I83)))))</f>
        <v>-4.7137278648813155</v>
      </c>
      <c r="C83">
        <f>AVERAGE('R1'!J83,'R2'!J83,'R3'!J83)</f>
        <v>1.18</v>
      </c>
      <c r="D83">
        <f>AVERAGE('R1'!K83,'R2'!K83,'R3'!K83)</f>
        <v>21.670486999999998</v>
      </c>
      <c r="E83">
        <f>AVERAGE('R1'!L83,'R2'!L83,'R3'!L83)</f>
        <v>-0.17390210927562191</v>
      </c>
      <c r="F83">
        <f>AVERAGE('R1'!M83,'R2'!M83,'R3'!M83)</f>
        <v>-1.9939854292933692</v>
      </c>
      <c r="G83">
        <f>AVERAGE('R1'!N83,'R2'!N83,'R3'!N83)</f>
        <v>-0.55706266732252896</v>
      </c>
      <c r="H83">
        <f>AVERAGE('R1'!O83,'R2'!O83,'R3'!O83)</f>
        <v>-0.31999003465700798</v>
      </c>
      <c r="I83">
        <f t="shared" si="5"/>
        <v>4261.8624433333325</v>
      </c>
      <c r="K83">
        <f>_xlfn.STDEV.S('R1'!L83,'R2'!L83,'R3'!L83)</f>
        <v>8.1254623509051784E-4</v>
      </c>
      <c r="L83">
        <f>_xlfn.STDEV.S('R1'!M83,'R2'!M83,'R3'!M83)</f>
        <v>3.1589583596418648E-3</v>
      </c>
      <c r="M83">
        <f>_xlfn.STDEV.S('R1'!N83,'R2'!N83,'R3'!N83)</f>
        <v>4.0844227469494258E-3</v>
      </c>
      <c r="N83">
        <f>_xlfn.STDEV.S('R1'!O83,'R2'!O83,'R3'!O83)</f>
        <v>5.6491927105999651E-3</v>
      </c>
    </row>
    <row r="84" spans="1:14" x14ac:dyDescent="0.25">
      <c r="A84">
        <f>-'R1'!H84</f>
        <v>32</v>
      </c>
      <c r="B84">
        <f>DEGREES(ATAN(-SIN(RADIANS(('R1'!I84)))/(COS(RADIANS(Sheet1!A84))*COS(RADIANS('R1'!I84)))))</f>
        <v>-9.4096915772201388</v>
      </c>
      <c r="C84">
        <f>AVERAGE('R1'!J84,'R2'!J84,'R3'!J84)</f>
        <v>1.18</v>
      </c>
      <c r="D84">
        <f>AVERAGE('R1'!K84,'R2'!K84,'R3'!K84)</f>
        <v>21.879353249999998</v>
      </c>
      <c r="E84">
        <f>AVERAGE('R1'!L84,'R2'!L84,'R3'!L84)</f>
        <v>-0.39644993751532437</v>
      </c>
      <c r="F84">
        <f>AVERAGE('R1'!M84,'R2'!M84,'R3'!M84)</f>
        <v>-1.8922784473916037</v>
      </c>
      <c r="G84">
        <f>AVERAGE('R1'!N84,'R2'!N84,'R3'!N84)</f>
        <v>-0.54056303720308829</v>
      </c>
      <c r="H84">
        <f>AVERAGE('R1'!O84,'R2'!O84,'R3'!O84)</f>
        <v>-0.37091281329306719</v>
      </c>
      <c r="I84">
        <f t="shared" si="5"/>
        <v>4302.9394725000002</v>
      </c>
      <c r="K84">
        <f>_xlfn.STDEV.S('R1'!L84,'R2'!L84,'R3'!L84)</f>
        <v>4.5097832375004462E-3</v>
      </c>
      <c r="L84">
        <f>_xlfn.STDEV.S('R1'!M84,'R2'!M84,'R3'!M84)</f>
        <v>3.8514928540327388E-3</v>
      </c>
      <c r="M84">
        <f>_xlfn.STDEV.S('R1'!N84,'R2'!N84,'R3'!N84)</f>
        <v>3.4078142736214717E-3</v>
      </c>
      <c r="N84">
        <f>_xlfn.STDEV.S('R1'!O84,'R2'!O84,'R3'!O84)</f>
        <v>4.3090831724816965E-3</v>
      </c>
    </row>
    <row r="85" spans="1:14" x14ac:dyDescent="0.25">
      <c r="A85">
        <f>-'R1'!H85</f>
        <v>32</v>
      </c>
      <c r="B85">
        <f>DEGREES(ATAN(-SIN(RADIANS(('R1'!I85)))/(COS(RADIANS(Sheet1!A85))*COS(RADIANS('R1'!I85)))))</f>
        <v>-14.070864136056453</v>
      </c>
      <c r="C85">
        <f>AVERAGE('R1'!J85,'R2'!J85,'R3'!J85)</f>
        <v>1.18</v>
      </c>
      <c r="D85">
        <f>AVERAGE('R1'!K85,'R2'!K85,'R3'!K85)</f>
        <v>22.069584083333336</v>
      </c>
      <c r="E85">
        <f>AVERAGE('R1'!L85,'R2'!L85,'R3'!L85)</f>
        <v>-0.59869187290525705</v>
      </c>
      <c r="F85">
        <f>AVERAGE('R1'!M85,'R2'!M85,'R3'!M85)</f>
        <v>-1.8197689204664684</v>
      </c>
      <c r="G85">
        <f>AVERAGE('R1'!N85,'R2'!N85,'R3'!N85)</f>
        <v>-0.54772739462257036</v>
      </c>
      <c r="H85">
        <f>AVERAGE('R1'!O85,'R2'!O85,'R3'!O85)</f>
        <v>-0.42906655655787757</v>
      </c>
      <c r="I85">
        <f t="shared" si="5"/>
        <v>4340.3515363888891</v>
      </c>
      <c r="K85">
        <f>_xlfn.STDEV.S('R1'!L85,'R2'!L85,'R3'!L85)</f>
        <v>3.3097149424782244E-3</v>
      </c>
      <c r="L85">
        <f>_xlfn.STDEV.S('R1'!M85,'R2'!M85,'R3'!M85)</f>
        <v>2.0447848268111911E-3</v>
      </c>
      <c r="M85">
        <f>_xlfn.STDEV.S('R1'!N85,'R2'!N85,'R3'!N85)</f>
        <v>1.1179863649866846E-3</v>
      </c>
      <c r="N85">
        <f>_xlfn.STDEV.S('R1'!O85,'R2'!O85,'R3'!O85)</f>
        <v>4.2076172106953018E-3</v>
      </c>
    </row>
    <row r="86" spans="1:14" x14ac:dyDescent="0.25">
      <c r="A86">
        <f>-'R1'!H86</f>
        <v>32</v>
      </c>
      <c r="B86">
        <f>DEGREES(ATAN(-SIN(RADIANS(('R1'!I86)))/(COS(RADIANS(Sheet1!A86))*COS(RADIANS('R1'!I86)))))</f>
        <v>-18.681627509923402</v>
      </c>
      <c r="C86">
        <f>AVERAGE('R1'!J86,'R2'!J86,'R3'!J86)</f>
        <v>1.18</v>
      </c>
      <c r="D86">
        <f>AVERAGE('R1'!K86,'R2'!K86,'R3'!K86)</f>
        <v>22.602423166666668</v>
      </c>
      <c r="E86">
        <f>AVERAGE('R1'!L86,'R2'!L86,'R3'!L86)</f>
        <v>-0.7882824491973891</v>
      </c>
      <c r="F86">
        <f>AVERAGE('R1'!M86,'R2'!M86,'R3'!M86)</f>
        <v>-1.7545971895834747</v>
      </c>
      <c r="G86">
        <f>AVERAGE('R1'!N86,'R2'!N86,'R3'!N86)</f>
        <v>-0.56504529814696203</v>
      </c>
      <c r="H86">
        <f>AVERAGE('R1'!O86,'R2'!O86,'R3'!O86)</f>
        <v>-0.50483837327488634</v>
      </c>
      <c r="I86">
        <f t="shared" si="5"/>
        <v>4445.1432227777777</v>
      </c>
      <c r="K86">
        <f>_xlfn.STDEV.S('R1'!L86,'R2'!L86,'R3'!L86)</f>
        <v>4.2808900418423879E-3</v>
      </c>
      <c r="L86">
        <f>_xlfn.STDEV.S('R1'!M86,'R2'!M86,'R3'!M86)</f>
        <v>6.1762838895215288E-3</v>
      </c>
      <c r="M86">
        <f>_xlfn.STDEV.S('R1'!N86,'R2'!N86,'R3'!N86)</f>
        <v>5.4555792354539388E-3</v>
      </c>
      <c r="N86">
        <f>_xlfn.STDEV.S('R1'!O86,'R2'!O86,'R3'!O86)</f>
        <v>4.2810966395190851E-3</v>
      </c>
    </row>
    <row r="87" spans="1:14" x14ac:dyDescent="0.25">
      <c r="A87">
        <f>-'R1'!H87</f>
        <v>32</v>
      </c>
      <c r="B87">
        <f>DEGREES(ATAN(-SIN(RADIANS(('R1'!I87)))/(COS(RADIANS(Sheet1!A87))*COS(RADIANS('R1'!I87)))))</f>
        <v>-23.228324501561271</v>
      </c>
      <c r="C87">
        <f>AVERAGE('R1'!J87,'R2'!J87,'R3'!J87)</f>
        <v>1.18</v>
      </c>
      <c r="D87">
        <f>AVERAGE('R1'!K87,'R2'!K87,'R3'!K87)</f>
        <v>23.015761749999999</v>
      </c>
      <c r="E87">
        <f>AVERAGE('R1'!L87,'R2'!L87,'R3'!L87)</f>
        <v>-0.96038713235790307</v>
      </c>
      <c r="F87">
        <f>AVERAGE('R1'!M87,'R2'!M87,'R3'!M87)</f>
        <v>-1.6793049082409628</v>
      </c>
      <c r="G87">
        <f>AVERAGE('R1'!N87,'R2'!N87,'R3'!N87)</f>
        <v>-0.58571038904600259</v>
      </c>
      <c r="H87">
        <f>AVERAGE('R1'!O87,'R2'!O87,'R3'!O87)</f>
        <v>-0.57280296446632339</v>
      </c>
      <c r="I87">
        <f t="shared" si="5"/>
        <v>4526.4331441666664</v>
      </c>
      <c r="K87">
        <f>_xlfn.STDEV.S('R1'!L87,'R2'!L87,'R3'!L87)</f>
        <v>3.9518443509008912E-3</v>
      </c>
      <c r="L87">
        <f>_xlfn.STDEV.S('R1'!M87,'R2'!M87,'R3'!M87)</f>
        <v>5.6499757646307205E-3</v>
      </c>
      <c r="M87">
        <f>_xlfn.STDEV.S('R1'!N87,'R2'!N87,'R3'!N87)</f>
        <v>4.0082861783789147E-3</v>
      </c>
      <c r="N87">
        <f>_xlfn.STDEV.S('R1'!O87,'R2'!O87,'R3'!O87)</f>
        <v>3.8306919849263573E-3</v>
      </c>
    </row>
    <row r="88" spans="1:14" x14ac:dyDescent="0.25">
      <c r="A88">
        <f>-'R1'!H88</f>
        <v>32</v>
      </c>
      <c r="B88">
        <f>DEGREES(ATAN(-SIN(RADIANS(('R1'!I88)))/(COS(RADIANS(Sheet1!A88))*COS(RADIANS('R1'!I88)))))</f>
        <v>-27.699654729206667</v>
      </c>
      <c r="C88">
        <f>AVERAGE('R1'!J88,'R2'!J88,'R3'!J88)</f>
        <v>1.18</v>
      </c>
      <c r="D88">
        <f>AVERAGE('R1'!K88,'R2'!K88,'R3'!K88)</f>
        <v>23.045942999999998</v>
      </c>
      <c r="E88">
        <f>AVERAGE('R1'!L88,'R2'!L88,'R3'!L88)</f>
        <v>-1.1222928173846034</v>
      </c>
      <c r="F88">
        <f>AVERAGE('R1'!M88,'R2'!M88,'R3'!M88)</f>
        <v>-1.6308256824236054</v>
      </c>
      <c r="G88">
        <f>AVERAGE('R1'!N88,'R2'!N88,'R3'!N88)</f>
        <v>-0.62778059392760077</v>
      </c>
      <c r="H88">
        <f>AVERAGE('R1'!O88,'R2'!O88,'R3'!O88)</f>
        <v>-0.65046764580706351</v>
      </c>
      <c r="I88">
        <f t="shared" si="5"/>
        <v>4532.3687899999995</v>
      </c>
      <c r="K88">
        <f>_xlfn.STDEV.S('R1'!L88,'R2'!L88,'R3'!L88)</f>
        <v>2.21183410528554E-3</v>
      </c>
      <c r="L88">
        <f>_xlfn.STDEV.S('R1'!M88,'R2'!M88,'R3'!M88)</f>
        <v>6.4966114116787595E-4</v>
      </c>
      <c r="M88">
        <f>_xlfn.STDEV.S('R1'!N88,'R2'!N88,'R3'!N88)</f>
        <v>6.187881167617783E-4</v>
      </c>
      <c r="N88">
        <f>_xlfn.STDEV.S('R1'!O88,'R2'!O88,'R3'!O88)</f>
        <v>6.3236893122735761E-4</v>
      </c>
    </row>
    <row r="89" spans="1:14" x14ac:dyDescent="0.25">
      <c r="A89">
        <f>-'R1'!H89</f>
        <v>32</v>
      </c>
      <c r="B89">
        <f>DEGREES(ATAN(-SIN(RADIANS(('R1'!I89)))/(COS(RADIANS(Sheet1!A89))*COS(RADIANS('R1'!I89)))))</f>
        <v>-32.086900972819144</v>
      </c>
      <c r="C89">
        <f>AVERAGE('R1'!J89,'R2'!J89,'R3'!J89)</f>
        <v>1.18</v>
      </c>
      <c r="D89">
        <f>AVERAGE('R1'!K89,'R2'!K89,'R3'!K89)</f>
        <v>22.673241749999999</v>
      </c>
      <c r="E89">
        <f>AVERAGE('R1'!L89,'R2'!L89,'R3'!L89)</f>
        <v>-1.2632612924695932</v>
      </c>
      <c r="F89">
        <f>AVERAGE('R1'!M89,'R2'!M89,'R3'!M89)</f>
        <v>-1.5974768850118479</v>
      </c>
      <c r="G89">
        <f>AVERAGE('R1'!N89,'R2'!N89,'R3'!N89)</f>
        <v>-0.68005849815233432</v>
      </c>
      <c r="H89">
        <f>AVERAGE('R1'!O89,'R2'!O89,'R3'!O89)</f>
        <v>-0.73098355877451937</v>
      </c>
      <c r="I89">
        <f t="shared" si="5"/>
        <v>4459.0708774999994</v>
      </c>
      <c r="K89">
        <f>_xlfn.STDEV.S('R1'!L89,'R2'!L89,'R3'!L89)</f>
        <v>3.6027576134725339E-3</v>
      </c>
      <c r="L89">
        <f>_xlfn.STDEV.S('R1'!M89,'R2'!M89,'R3'!M89)</f>
        <v>3.138479382113043E-3</v>
      </c>
      <c r="M89">
        <f>_xlfn.STDEV.S('R1'!N89,'R2'!N89,'R3'!N89)</f>
        <v>1.0987874413994803E-3</v>
      </c>
      <c r="N89">
        <f>_xlfn.STDEV.S('R1'!O89,'R2'!O89,'R3'!O89)</f>
        <v>2.7651793186052025E-3</v>
      </c>
    </row>
    <row r="90" spans="1:14" x14ac:dyDescent="0.25">
      <c r="A90">
        <f>-'R1'!H90</f>
        <v>32</v>
      </c>
      <c r="B90">
        <f>DEGREES(ATAN(-SIN(RADIANS(('R1'!I90)))/(COS(RADIANS(Sheet1!A90))*COS(RADIANS('R1'!I90)))))</f>
        <v>-36.383993076218225</v>
      </c>
      <c r="C90">
        <f>AVERAGE('R1'!J90,'R2'!J90,'R3'!J90)</f>
        <v>1.18</v>
      </c>
      <c r="D90">
        <f>AVERAGE('R1'!K90,'R2'!K90,'R3'!K90)</f>
        <v>22.25964883333333</v>
      </c>
      <c r="E90">
        <f>AVERAGE('R1'!L90,'R2'!L90,'R3'!L90)</f>
        <v>-1.3888292353689267</v>
      </c>
      <c r="F90">
        <f>AVERAGE('R1'!M90,'R2'!M90,'R3'!M90)</f>
        <v>-1.5817830333412923</v>
      </c>
      <c r="G90">
        <f>AVERAGE('R1'!N90,'R2'!N90,'R3'!N90)</f>
        <v>-0.74669187212596366</v>
      </c>
      <c r="H90">
        <f>AVERAGE('R1'!O90,'R2'!O90,'R3'!O90)</f>
        <v>-0.82485613656163104</v>
      </c>
      <c r="I90">
        <f t="shared" si="5"/>
        <v>4377.7309372222217</v>
      </c>
      <c r="K90">
        <f>_xlfn.STDEV.S('R1'!L90,'R2'!L90,'R3'!L90)</f>
        <v>3.9303575599967215E-3</v>
      </c>
      <c r="L90">
        <f>_xlfn.STDEV.S('R1'!M90,'R2'!M90,'R3'!M90)</f>
        <v>3.671339291677767E-3</v>
      </c>
      <c r="M90">
        <f>_xlfn.STDEV.S('R1'!N90,'R2'!N90,'R3'!N90)</f>
        <v>1.9140531224371711E-3</v>
      </c>
      <c r="N90">
        <f>_xlfn.STDEV.S('R1'!O90,'R2'!O90,'R3'!O90)</f>
        <v>2.974027543518722E-3</v>
      </c>
    </row>
    <row r="91" spans="1:14" x14ac:dyDescent="0.25">
      <c r="A91">
        <f>-'R1'!H91</f>
        <v>32</v>
      </c>
      <c r="B91">
        <f>DEGREES(ATAN(-SIN(RADIANS(('R1'!I91)))/(COS(RADIANS(Sheet1!A91))*COS(RADIANS('R1'!I91)))))</f>
        <v>-40.587432696870117</v>
      </c>
      <c r="C91">
        <f>AVERAGE('R1'!J91,'R2'!J91,'R3'!J91)</f>
        <v>1.18</v>
      </c>
      <c r="D91">
        <f>AVERAGE('R1'!K91,'R2'!K91,'R3'!K91)</f>
        <v>21.699573583333333</v>
      </c>
      <c r="E91">
        <f>AVERAGE('R1'!L91,'R2'!L91,'R3'!L91)</f>
        <v>-1.509260191670269</v>
      </c>
      <c r="F91">
        <f>AVERAGE('R1'!M91,'R2'!M91,'R3'!M91)</f>
        <v>-1.5941010932083828</v>
      </c>
      <c r="G91">
        <f>AVERAGE('R1'!N91,'R2'!N91,'R3'!N91)</f>
        <v>-0.83430391632710599</v>
      </c>
      <c r="H91">
        <f>AVERAGE('R1'!O91,'R2'!O91,'R3'!O91)</f>
        <v>-0.93173492039058781</v>
      </c>
      <c r="I91">
        <f t="shared" si="5"/>
        <v>4267.5828047222221</v>
      </c>
      <c r="K91">
        <f>_xlfn.STDEV.S('R1'!L91,'R2'!L91,'R3'!L91)</f>
        <v>3.5060272764756767E-3</v>
      </c>
      <c r="L91">
        <f>_xlfn.STDEV.S('R1'!M91,'R2'!M91,'R3'!M91)</f>
        <v>4.7015621092177419E-3</v>
      </c>
      <c r="M91">
        <f>_xlfn.STDEV.S('R1'!N91,'R2'!N91,'R3'!N91)</f>
        <v>2.4786564289064512E-3</v>
      </c>
      <c r="N91">
        <f>_xlfn.STDEV.S('R1'!O91,'R2'!O91,'R3'!O91)</f>
        <v>3.5216043527701089E-3</v>
      </c>
    </row>
    <row r="92" spans="1:14" x14ac:dyDescent="0.25">
      <c r="A92">
        <f>-'R1'!H92</f>
        <v>32</v>
      </c>
      <c r="B92">
        <f>DEGREES(ATAN(-SIN(RADIANS(('R1'!I92)))/(COS(RADIANS(Sheet1!A92))*COS(RADIANS('R1'!I92)))))</f>
        <v>-44.69611169166604</v>
      </c>
      <c r="C92">
        <f>AVERAGE('R1'!J92,'R2'!J92,'R3'!J92)</f>
        <v>1.18</v>
      </c>
      <c r="D92">
        <f>AVERAGE('R1'!K92,'R2'!K92,'R3'!K92)</f>
        <v>21.613216083333331</v>
      </c>
      <c r="E92">
        <f>AVERAGE('R1'!L92,'R2'!L92,'R3'!L92)</f>
        <v>-1.6314148094810375</v>
      </c>
      <c r="F92">
        <f>AVERAGE('R1'!M92,'R2'!M92,'R3'!M92)</f>
        <v>-1.6452721264097756</v>
      </c>
      <c r="G92">
        <f>AVERAGE('R1'!N92,'R2'!N92,'R3'!N92)</f>
        <v>-0.95655962215332468</v>
      </c>
      <c r="H92">
        <f>AVERAGE('R1'!O92,'R2'!O92,'R3'!O92)</f>
        <v>-1.0538643192688719</v>
      </c>
      <c r="I92">
        <f t="shared" si="5"/>
        <v>4250.5991630555554</v>
      </c>
      <c r="K92">
        <f>_xlfn.STDEV.S('R1'!L92,'R2'!L92,'R3'!L92)</f>
        <v>1.18219719637928E-2</v>
      </c>
      <c r="L92">
        <f>_xlfn.STDEV.S('R1'!M92,'R2'!M92,'R3'!M92)</f>
        <v>1.9003192021126809E-3</v>
      </c>
      <c r="M92">
        <f>_xlfn.STDEV.S('R1'!N92,'R2'!N92,'R3'!N92)</f>
        <v>8.5312714076937642E-3</v>
      </c>
      <c r="N92">
        <f>_xlfn.STDEV.S('R1'!O92,'R2'!O92,'R3'!O92)</f>
        <v>2.7994255221173471E-3</v>
      </c>
    </row>
    <row r="93" spans="1:14" x14ac:dyDescent="0.25">
      <c r="A93">
        <f>-'R1'!H93</f>
        <v>32</v>
      </c>
      <c r="B93">
        <f>DEGREES(ATAN(-SIN(RADIANS(('R1'!I93)))/(COS(RADIANS(Sheet1!A93))*COS(RADIANS('R1'!I93)))))</f>
        <v>-48.711059881009497</v>
      </c>
      <c r="C93">
        <f>AVERAGE('R1'!J93,'R2'!J93,'R3'!J93)</f>
        <v>1.18</v>
      </c>
      <c r="D93">
        <f>AVERAGE('R1'!K93,'R2'!K93,'R3'!K93)</f>
        <v>21.851078000000001</v>
      </c>
      <c r="E93">
        <f>AVERAGE('R1'!L93,'R2'!L93,'R3'!L93)</f>
        <v>-1.7777867714636895</v>
      </c>
      <c r="F93">
        <f>AVERAGE('R1'!M93,'R2'!M93,'R3'!M93)</f>
        <v>-1.7039763036629705</v>
      </c>
      <c r="G93">
        <f>AVERAGE('R1'!N93,'R2'!N93,'R3'!N93)</f>
        <v>-1.1134359241541654</v>
      </c>
      <c r="H93">
        <f>AVERAGE('R1'!O93,'R2'!O93,'R3'!O93)</f>
        <v>-1.1832337497680196</v>
      </c>
      <c r="I93">
        <f t="shared" si="5"/>
        <v>4297.3786733333327</v>
      </c>
      <c r="K93">
        <f>_xlfn.STDEV.S('R1'!L93,'R2'!L93,'R3'!L93)</f>
        <v>2.2131097004062281E-2</v>
      </c>
      <c r="L93">
        <f>_xlfn.STDEV.S('R1'!M93,'R2'!M93,'R3'!M93)</f>
        <v>1.247813511063346E-2</v>
      </c>
      <c r="M93">
        <f>_xlfn.STDEV.S('R1'!N93,'R2'!N93,'R3'!N93)</f>
        <v>7.0455671322649308E-3</v>
      </c>
      <c r="N93">
        <f>_xlfn.STDEV.S('R1'!O93,'R2'!O93,'R3'!O93)</f>
        <v>2.764793411499226E-3</v>
      </c>
    </row>
    <row r="94" spans="1:14" x14ac:dyDescent="0.25">
      <c r="A94">
        <f>-'R1'!H94</f>
        <v>28</v>
      </c>
      <c r="B94">
        <f>DEGREES(ATAN(-SIN(RADIANS(('R1'!I94)))/(COS(RADIANS(Sheet1!A94))*COS(RADIANS('R1'!I94)))))</f>
        <v>47.562731505879128</v>
      </c>
      <c r="C94">
        <f>AVERAGE('R1'!J94,'R2'!J94,'R3'!J94)</f>
        <v>1.18</v>
      </c>
      <c r="D94">
        <f>AVERAGE('R1'!K94,'R2'!K94,'R3'!K94)</f>
        <v>22.346866250000001</v>
      </c>
      <c r="E94">
        <f>AVERAGE('R1'!L94,'R2'!L94,'R3'!L94)</f>
        <v>1.9370174508776881</v>
      </c>
      <c r="F94">
        <f>AVERAGE('R1'!M94,'R2'!M94,'R3'!M94)</f>
        <v>-1.7762989179219921</v>
      </c>
      <c r="G94">
        <f>AVERAGE('R1'!N94,'R2'!N94,'R3'!N94)</f>
        <v>-1.286579776893042</v>
      </c>
      <c r="H94">
        <f>AVERAGE('R1'!O94,'R2'!O94,'R3'!O94)</f>
        <v>-1.2715357272475947</v>
      </c>
      <c r="I94">
        <f t="shared" si="5"/>
        <v>4394.8836958333341</v>
      </c>
      <c r="K94">
        <f>_xlfn.STDEV.S('R1'!L94,'R2'!L94,'R3'!L94)</f>
        <v>5.5005167249149558E-3</v>
      </c>
      <c r="L94">
        <f>_xlfn.STDEV.S('R1'!M94,'R2'!M94,'R3'!M94)</f>
        <v>7.8365720004471943E-3</v>
      </c>
      <c r="M94">
        <f>_xlfn.STDEV.S('R1'!N94,'R2'!N94,'R3'!N94)</f>
        <v>1.1074723066838404E-2</v>
      </c>
      <c r="N94">
        <f>_xlfn.STDEV.S('R1'!O94,'R2'!O94,'R3'!O94)</f>
        <v>4.612692894723971E-3</v>
      </c>
    </row>
    <row r="95" spans="1:14" x14ac:dyDescent="0.25">
      <c r="A95">
        <f>-'R1'!H95</f>
        <v>28</v>
      </c>
      <c r="B95">
        <f>DEGREES(ATAN(-SIN(RADIANS(('R1'!I95)))/(COS(RADIANS(Sheet1!A95))*COS(RADIANS('R1'!I95)))))</f>
        <v>43.541410263843531</v>
      </c>
      <c r="C95">
        <f>AVERAGE('R1'!J95,'R2'!J95,'R3'!J95)</f>
        <v>1.18</v>
      </c>
      <c r="D95">
        <f>AVERAGE('R1'!K95,'R2'!K95,'R3'!K95)</f>
        <v>22.901790916666666</v>
      </c>
      <c r="E95">
        <f>AVERAGE('R1'!L95,'R2'!L95,'R3'!L95)</f>
        <v>1.7511987419187811</v>
      </c>
      <c r="F95">
        <f>AVERAGE('R1'!M95,'R2'!M95,'R3'!M95)</f>
        <v>-1.6720104356593577</v>
      </c>
      <c r="G95">
        <f>AVERAGE('R1'!N95,'R2'!N95,'R3'!N95)</f>
        <v>-1.0729612083711375</v>
      </c>
      <c r="H95">
        <f>AVERAGE('R1'!O95,'R2'!O95,'R3'!O95)</f>
        <v>-1.091600076433882</v>
      </c>
      <c r="I95">
        <f t="shared" si="5"/>
        <v>4504.0188802777775</v>
      </c>
      <c r="K95">
        <f>_xlfn.STDEV.S('R1'!L95,'R2'!L95,'R3'!L95)</f>
        <v>3.3470493018220031E-3</v>
      </c>
      <c r="L95">
        <f>_xlfn.STDEV.S('R1'!M95,'R2'!M95,'R3'!M95)</f>
        <v>5.3741103379285312E-3</v>
      </c>
      <c r="M95">
        <f>_xlfn.STDEV.S('R1'!N95,'R2'!N95,'R3'!N95)</f>
        <v>4.9671303521411385E-3</v>
      </c>
      <c r="N95">
        <f>_xlfn.STDEV.S('R1'!O95,'R2'!O95,'R3'!O95)</f>
        <v>1.1427716562325916E-3</v>
      </c>
    </row>
    <row r="96" spans="1:14" x14ac:dyDescent="0.25">
      <c r="A96">
        <f>-'R1'!H96</f>
        <v>28</v>
      </c>
      <c r="B96">
        <f>DEGREES(ATAN(-SIN(RADIANS(('R1'!I96)))/(COS(RADIANS(Sheet1!A96))*COS(RADIANS('R1'!I96)))))</f>
        <v>39.449608335498439</v>
      </c>
      <c r="C96">
        <f>AVERAGE('R1'!J96,'R2'!J96,'R3'!J96)</f>
        <v>1.18</v>
      </c>
      <c r="D96">
        <f>AVERAGE('R1'!K96,'R2'!K96,'R3'!K96)</f>
        <v>23.008007666666668</v>
      </c>
      <c r="E96">
        <f>AVERAGE('R1'!L96,'R2'!L96,'R3'!L96)</f>
        <v>1.6225990679529074</v>
      </c>
      <c r="F96">
        <f>AVERAGE('R1'!M96,'R2'!M96,'R3'!M96)</f>
        <v>-1.5696294669685606</v>
      </c>
      <c r="G96">
        <f>AVERAGE('R1'!N96,'R2'!N96,'R3'!N96)</f>
        <v>-0.90463426532152147</v>
      </c>
      <c r="H96">
        <f>AVERAGE('R1'!O96,'R2'!O96,'R3'!O96)</f>
        <v>-0.94698772876542403</v>
      </c>
      <c r="I96">
        <f t="shared" si="5"/>
        <v>4524.9081744444447</v>
      </c>
      <c r="K96">
        <f>_xlfn.STDEV.S('R1'!L96,'R2'!L96,'R3'!L96)</f>
        <v>2.4202513174967836E-3</v>
      </c>
      <c r="L96">
        <f>_xlfn.STDEV.S('R1'!M96,'R2'!M96,'R3'!M96)</f>
        <v>2.9914757966031241E-3</v>
      </c>
      <c r="M96">
        <f>_xlfn.STDEV.S('R1'!N96,'R2'!N96,'R3'!N96)</f>
        <v>3.4459224770026081E-3</v>
      </c>
      <c r="N96">
        <f>_xlfn.STDEV.S('R1'!O96,'R2'!O96,'R3'!O96)</f>
        <v>2.336067492576018E-3</v>
      </c>
    </row>
    <row r="97" spans="1:14" x14ac:dyDescent="0.25">
      <c r="A97">
        <f>-'R1'!H97</f>
        <v>28</v>
      </c>
      <c r="B97">
        <f>DEGREES(ATAN(-SIN(RADIANS(('R1'!I97)))/(COS(RADIANS(Sheet1!A97))*COS(RADIANS('R1'!I97)))))</f>
        <v>35.287360012327973</v>
      </c>
      <c r="C97">
        <f>AVERAGE('R1'!J97,'R2'!J97,'R3'!J97)</f>
        <v>1.18</v>
      </c>
      <c r="D97">
        <f>AVERAGE('R1'!K97,'R2'!K97,'R3'!K97)</f>
        <v>22.632266833333333</v>
      </c>
      <c r="E97">
        <f>AVERAGE('R1'!L97,'R2'!L97,'R3'!L97)</f>
        <v>1.4973784296460881</v>
      </c>
      <c r="F97">
        <f>AVERAGE('R1'!M97,'R2'!M97,'R3'!M97)</f>
        <v>-1.4911165818200087</v>
      </c>
      <c r="G97">
        <f>AVERAGE('R1'!N97,'R2'!N97,'R3'!N97)</f>
        <v>-0.76902685242694224</v>
      </c>
      <c r="H97">
        <f>AVERAGE('R1'!O97,'R2'!O97,'R3'!O97)</f>
        <v>-0.81587202742246578</v>
      </c>
      <c r="I97">
        <f t="shared" si="5"/>
        <v>4451.0124772222225</v>
      </c>
      <c r="K97">
        <f>_xlfn.STDEV.S('R1'!L97,'R2'!L97,'R3'!L97)</f>
        <v>4.6375994339768085E-3</v>
      </c>
      <c r="L97">
        <f>_xlfn.STDEV.S('R1'!M97,'R2'!M97,'R3'!M97)</f>
        <v>1.828662980871486E-3</v>
      </c>
      <c r="M97">
        <f>_xlfn.STDEV.S('R1'!N97,'R2'!N97,'R3'!N97)</f>
        <v>2.8339253765007804E-3</v>
      </c>
      <c r="N97">
        <f>_xlfn.STDEV.S('R1'!O97,'R2'!O97,'R3'!O97)</f>
        <v>2.1254962426581988E-3</v>
      </c>
    </row>
    <row r="98" spans="1:14" x14ac:dyDescent="0.25">
      <c r="A98">
        <f>-'R1'!H98</f>
        <v>28</v>
      </c>
      <c r="B98">
        <f>DEGREES(ATAN(-SIN(RADIANS(('R1'!I98)))/(COS(RADIANS(Sheet1!A98))*COS(RADIANS('R1'!I98)))))</f>
        <v>31.056274317680661</v>
      </c>
      <c r="C98">
        <f>AVERAGE('R1'!J98,'R2'!J98,'R3'!J98)</f>
        <v>1.18</v>
      </c>
      <c r="D98">
        <f>AVERAGE('R1'!K98,'R2'!K98,'R3'!K98)</f>
        <v>22.301531999999998</v>
      </c>
      <c r="E98">
        <f>AVERAGE('R1'!L98,'R2'!L98,'R3'!L98)</f>
        <v>1.3756753293824284</v>
      </c>
      <c r="F98">
        <f>AVERAGE('R1'!M98,'R2'!M98,'R3'!M98)</f>
        <v>-1.4391578125652664</v>
      </c>
      <c r="G98">
        <f>AVERAGE('R1'!N98,'R2'!N98,'R3'!N98)</f>
        <v>-0.65882028051882424</v>
      </c>
      <c r="H98">
        <f>AVERAGE('R1'!O98,'R2'!O98,'R3'!O98)</f>
        <v>-0.6952502484427926</v>
      </c>
      <c r="I98">
        <f t="shared" si="5"/>
        <v>4385.9679599999999</v>
      </c>
      <c r="K98">
        <f>_xlfn.STDEV.S('R1'!L98,'R2'!L98,'R3'!L98)</f>
        <v>2.0804010443926826E-3</v>
      </c>
      <c r="L98">
        <f>_xlfn.STDEV.S('R1'!M98,'R2'!M98,'R3'!M98)</f>
        <v>1.9344315793568964E-3</v>
      </c>
      <c r="M98">
        <f>_xlfn.STDEV.S('R1'!N98,'R2'!N98,'R3'!N98)</f>
        <v>2.566266455613858E-3</v>
      </c>
      <c r="N98">
        <f>_xlfn.STDEV.S('R1'!O98,'R2'!O98,'R3'!O98)</f>
        <v>8.0722284181955907E-4</v>
      </c>
    </row>
    <row r="99" spans="1:14" x14ac:dyDescent="0.25">
      <c r="A99">
        <f>-'R1'!H99</f>
        <v>28</v>
      </c>
      <c r="B99">
        <f>DEGREES(ATAN(-SIN(RADIANS(('R1'!I99)))/(COS(RADIANS(Sheet1!A99))*COS(RADIANS('R1'!I99)))))</f>
        <v>26.759647654377044</v>
      </c>
      <c r="C99">
        <f>AVERAGE('R1'!J99,'R2'!J99,'R3'!J99)</f>
        <v>1.18</v>
      </c>
      <c r="D99">
        <f>AVERAGE('R1'!K99,'R2'!K99,'R3'!K99)</f>
        <v>21.984862416666669</v>
      </c>
      <c r="E99">
        <f>AVERAGE('R1'!L99,'R2'!L99,'R3'!L99)</f>
        <v>1.234550219715377</v>
      </c>
      <c r="F99">
        <f>AVERAGE('R1'!M99,'R2'!M99,'R3'!M99)</f>
        <v>-1.426661799891136</v>
      </c>
      <c r="G99">
        <f>AVERAGE('R1'!N99,'R2'!N99,'R3'!N99)</f>
        <v>-0.57241014803863877</v>
      </c>
      <c r="H99">
        <f>AVERAGE('R1'!O99,'R2'!O99,'R3'!O99)</f>
        <v>-0.5856014045114869</v>
      </c>
      <c r="I99">
        <f t="shared" si="5"/>
        <v>4323.689608611111</v>
      </c>
      <c r="K99">
        <f>_xlfn.STDEV.S('R1'!L99,'R2'!L99,'R3'!L99)</f>
        <v>5.8147290697071518E-3</v>
      </c>
      <c r="L99">
        <f>_xlfn.STDEV.S('R1'!M99,'R2'!M99,'R3'!M99)</f>
        <v>2.8430464198385438E-3</v>
      </c>
      <c r="M99">
        <f>_xlfn.STDEV.S('R1'!N99,'R2'!N99,'R3'!N99)</f>
        <v>2.7034523116505086E-3</v>
      </c>
      <c r="N99">
        <f>_xlfn.STDEV.S('R1'!O99,'R2'!O99,'R3'!O99)</f>
        <v>2.0479429354907904E-3</v>
      </c>
    </row>
    <row r="100" spans="1:14" x14ac:dyDescent="0.25">
      <c r="A100">
        <f>-'R1'!H100</f>
        <v>28</v>
      </c>
      <c r="B100">
        <f>DEGREES(ATAN(-SIN(RADIANS(('R1'!I100)))/(COS(RADIANS(Sheet1!A100))*COS(RADIANS('R1'!I100)))))</f>
        <v>22.402523646885253</v>
      </c>
      <c r="C100">
        <f>AVERAGE('R1'!J100,'R2'!J100,'R3'!J100)</f>
        <v>1.18</v>
      </c>
      <c r="D100">
        <f>AVERAGE('R1'!K100,'R2'!K100,'R3'!K100)</f>
        <v>21.784882666666665</v>
      </c>
      <c r="E100">
        <f>AVERAGE('R1'!L100,'R2'!L100,'R3'!L100)</f>
        <v>1.0767069784783947</v>
      </c>
      <c r="F100">
        <f>AVERAGE('R1'!M100,'R2'!M100,'R3'!M100)</f>
        <v>-1.4435884542621527</v>
      </c>
      <c r="G100">
        <f>AVERAGE('R1'!N100,'R2'!N100,'R3'!N100)</f>
        <v>-0.50934460018468408</v>
      </c>
      <c r="H100">
        <f>AVERAGE('R1'!O100,'R2'!O100,'R3'!O100)</f>
        <v>-0.48329277813910559</v>
      </c>
      <c r="I100">
        <f t="shared" si="5"/>
        <v>4284.3602577777774</v>
      </c>
      <c r="K100">
        <f>_xlfn.STDEV.S('R1'!L100,'R2'!L100,'R3'!L100)</f>
        <v>8.2253488579406991E-4</v>
      </c>
      <c r="L100">
        <f>_xlfn.STDEV.S('R1'!M100,'R2'!M100,'R3'!M100)</f>
        <v>2.2041746335070018E-3</v>
      </c>
      <c r="M100">
        <f>_xlfn.STDEV.S('R1'!N100,'R2'!N100,'R3'!N100)</f>
        <v>1.3674767823773403E-3</v>
      </c>
      <c r="N100">
        <f>_xlfn.STDEV.S('R1'!O100,'R2'!O100,'R3'!O100)</f>
        <v>2.3966799052118409E-3</v>
      </c>
    </row>
    <row r="101" spans="1:14" x14ac:dyDescent="0.25">
      <c r="A101">
        <f>-'R1'!H101</f>
        <v>28</v>
      </c>
      <c r="B101">
        <f>DEGREES(ATAN(-SIN(RADIANS(('R1'!I101)))/(COS(RADIANS(Sheet1!A101))*COS(RADIANS('R1'!I101)))))</f>
        <v>17.991683837765329</v>
      </c>
      <c r="C101">
        <f>AVERAGE('R1'!J101,'R2'!J101,'R3'!J101)</f>
        <v>1.18</v>
      </c>
      <c r="D101">
        <f>AVERAGE('R1'!K101,'R2'!K101,'R3'!K101)</f>
        <v>22.014145500000001</v>
      </c>
      <c r="E101">
        <f>AVERAGE('R1'!L101,'R2'!L101,'R3'!L101)</f>
        <v>0.89121883108338773</v>
      </c>
      <c r="F101">
        <f>AVERAGE('R1'!M101,'R2'!M101,'R3'!M101)</f>
        <v>-1.4809725673732259</v>
      </c>
      <c r="G101">
        <f>AVERAGE('R1'!N101,'R2'!N101,'R3'!N101)</f>
        <v>-0.44749667955714867</v>
      </c>
      <c r="H101">
        <f>AVERAGE('R1'!O101,'R2'!O101,'R3'!O101)</f>
        <v>-0.38987928955093132</v>
      </c>
      <c r="I101">
        <f t="shared" si="5"/>
        <v>4329.4486150000002</v>
      </c>
      <c r="K101">
        <f>_xlfn.STDEV.S('R1'!L101,'R2'!L101,'R3'!L101)</f>
        <v>5.4991312652005759E-3</v>
      </c>
      <c r="L101">
        <f>_xlfn.STDEV.S('R1'!M101,'R2'!M101,'R3'!M101)</f>
        <v>2.6579992151558639E-3</v>
      </c>
      <c r="M101">
        <f>_xlfn.STDEV.S('R1'!N101,'R2'!N101,'R3'!N101)</f>
        <v>4.6136338091294946E-4</v>
      </c>
      <c r="N101">
        <f>_xlfn.STDEV.S('R1'!O101,'R2'!O101,'R3'!O101)</f>
        <v>9.4853068975081121E-4</v>
      </c>
    </row>
    <row r="102" spans="1:14" x14ac:dyDescent="0.25">
      <c r="A102">
        <f>-'R1'!H102</f>
        <v>28</v>
      </c>
      <c r="B102">
        <f>DEGREES(ATAN(-SIN(RADIANS(('R1'!I102)))/(COS(RADIANS(Sheet1!A102))*COS(RADIANS('R1'!I102)))))</f>
        <v>13.535556072482301</v>
      </c>
      <c r="C102">
        <f>AVERAGE('R1'!J102,'R2'!J102,'R3'!J102)</f>
        <v>1.18</v>
      </c>
      <c r="D102">
        <f>AVERAGE('R1'!K102,'R2'!K102,'R3'!K102)</f>
        <v>22.25650225</v>
      </c>
      <c r="E102">
        <f>AVERAGE('R1'!L102,'R2'!L102,'R3'!L102)</f>
        <v>0.69473624251070953</v>
      </c>
      <c r="F102">
        <f>AVERAGE('R1'!M102,'R2'!M102,'R3'!M102)</f>
        <v>-1.5510554994583436</v>
      </c>
      <c r="G102">
        <f>AVERAGE('R1'!N102,'R2'!N102,'R3'!N102)</f>
        <v>-0.40967787887292867</v>
      </c>
      <c r="H102">
        <f>AVERAGE('R1'!O102,'R2'!O102,'R3'!O102)</f>
        <v>-0.31889605428400963</v>
      </c>
      <c r="I102">
        <f t="shared" si="5"/>
        <v>4377.1121091666673</v>
      </c>
      <c r="K102">
        <f>_xlfn.STDEV.S('R1'!L102,'R2'!L102,'R3'!L102)</f>
        <v>8.0695521518805487E-3</v>
      </c>
      <c r="L102">
        <f>_xlfn.STDEV.S('R1'!M102,'R2'!M102,'R3'!M102)</f>
        <v>3.3249111468318048E-3</v>
      </c>
      <c r="M102">
        <f>_xlfn.STDEV.S('R1'!N102,'R2'!N102,'R3'!N102)</f>
        <v>4.5784258656690006E-3</v>
      </c>
      <c r="N102">
        <f>_xlfn.STDEV.S('R1'!O102,'R2'!O102,'R3'!O102)</f>
        <v>5.014029197781913E-3</v>
      </c>
    </row>
    <row r="103" spans="1:14" x14ac:dyDescent="0.25">
      <c r="A103">
        <f>-'R1'!H103</f>
        <v>28</v>
      </c>
      <c r="B103">
        <f>DEGREES(ATAN(-SIN(RADIANS(('R1'!I103)))/(COS(RADIANS(Sheet1!A103))*COS(RADIANS('R1'!I103)))))</f>
        <v>9.0440332369115684</v>
      </c>
      <c r="C103">
        <f>AVERAGE('R1'!J103,'R2'!J103,'R3'!J103)</f>
        <v>1.18</v>
      </c>
      <c r="D103">
        <f>AVERAGE('R1'!K103,'R2'!K103,'R3'!K103)</f>
        <v>22.591459500000003</v>
      </c>
      <c r="E103">
        <f>AVERAGE('R1'!L103,'R2'!L103,'R3'!L103)</f>
        <v>0.49442082849512348</v>
      </c>
      <c r="F103">
        <f>AVERAGE('R1'!M103,'R2'!M103,'R3'!M103)</f>
        <v>-1.6277439410666901</v>
      </c>
      <c r="G103">
        <f>AVERAGE('R1'!N103,'R2'!N103,'R3'!N103)</f>
        <v>-0.38473055388252986</v>
      </c>
      <c r="H103">
        <f>AVERAGE('R1'!O103,'R2'!O103,'R3'!O103)</f>
        <v>-0.25736987169243641</v>
      </c>
      <c r="I103">
        <f t="shared" si="5"/>
        <v>4442.9870350000001</v>
      </c>
      <c r="K103">
        <f>_xlfn.STDEV.S('R1'!L103,'R2'!L103,'R3'!L103)</f>
        <v>8.1485317230970914E-3</v>
      </c>
      <c r="L103">
        <f>_xlfn.STDEV.S('R1'!M103,'R2'!M103,'R3'!M103)</f>
        <v>5.9445162376399992E-3</v>
      </c>
      <c r="M103">
        <f>_xlfn.STDEV.S('R1'!N103,'R2'!N103,'R3'!N103)</f>
        <v>2.7482692546033157E-3</v>
      </c>
      <c r="N103">
        <f>_xlfn.STDEV.S('R1'!O103,'R2'!O103,'R3'!O103)</f>
        <v>6.5306543429223523E-3</v>
      </c>
    </row>
    <row r="104" spans="1:14" x14ac:dyDescent="0.25">
      <c r="A104">
        <f>-'R1'!H104</f>
        <v>28</v>
      </c>
      <c r="B104">
        <f>DEGREES(ATAN(-SIN(RADIANS(('R1'!I104)))/(COS(RADIANS(Sheet1!A104))*COS(RADIANS('R1'!I104)))))</f>
        <v>4.5282031595057557</v>
      </c>
      <c r="C104">
        <f>AVERAGE('R1'!J104,'R2'!J104,'R3'!J104)</f>
        <v>1.18</v>
      </c>
      <c r="D104">
        <f>AVERAGE('R1'!K104,'R2'!K104,'R3'!K104)</f>
        <v>22.979107916666663</v>
      </c>
      <c r="E104">
        <f>AVERAGE('R1'!L104,'R2'!L104,'R3'!L104)</f>
        <v>0.28263968129330663</v>
      </c>
      <c r="F104">
        <f>AVERAGE('R1'!M104,'R2'!M104,'R3'!M104)</f>
        <v>-1.7026705276193599</v>
      </c>
      <c r="G104">
        <f>AVERAGE('R1'!N104,'R2'!N104,'R3'!N104)</f>
        <v>-0.36753448840060171</v>
      </c>
      <c r="H104">
        <f>AVERAGE('R1'!O104,'R2'!O104,'R3'!O104)</f>
        <v>-0.20142566187839406</v>
      </c>
      <c r="I104">
        <f t="shared" si="5"/>
        <v>4519.224556944444</v>
      </c>
      <c r="K104">
        <f>_xlfn.STDEV.S('R1'!L104,'R2'!L104,'R3'!L104)</f>
        <v>8.394336341882927E-3</v>
      </c>
      <c r="L104">
        <f>_xlfn.STDEV.S('R1'!M104,'R2'!M104,'R3'!M104)</f>
        <v>7.9546787924934404E-3</v>
      </c>
      <c r="M104">
        <f>_xlfn.STDEV.S('R1'!N104,'R2'!N104,'R3'!N104)</f>
        <v>6.0539342988153253E-3</v>
      </c>
      <c r="N104">
        <f>_xlfn.STDEV.S('R1'!O104,'R2'!O104,'R3'!O104)</f>
        <v>4.6349716304468326E-3</v>
      </c>
    </row>
    <row r="105" spans="1:14" x14ac:dyDescent="0.25">
      <c r="A105">
        <f>-'R1'!H105</f>
        <v>28</v>
      </c>
      <c r="B105">
        <f>DEGREES(ATAN(-SIN(RADIANS(('R1'!I105)))/(COS(RADIANS(Sheet1!A105))*COS(RADIANS('R1'!I105)))))</f>
        <v>0</v>
      </c>
      <c r="C105">
        <f>AVERAGE('R1'!J105,'R2'!J105,'R3'!J105)</f>
        <v>1.18</v>
      </c>
      <c r="D105">
        <f>AVERAGE('R1'!K105,'R2'!K105,'R3'!K105)</f>
        <v>22.768265249999999</v>
      </c>
      <c r="E105">
        <f>AVERAGE('R1'!L105,'R2'!L105,'R3'!L105)</f>
        <v>7.1346805459599996E-2</v>
      </c>
      <c r="F105">
        <f>AVERAGE('R1'!M105,'R2'!M105,'R3'!M105)</f>
        <v>-1.7824428784315041</v>
      </c>
      <c r="G105">
        <f>AVERAGE('R1'!N105,'R2'!N105,'R3'!N105)</f>
        <v>-0.36703789511721457</v>
      </c>
      <c r="H105">
        <f>AVERAGE('R1'!O105,'R2'!O105,'R3'!O105)</f>
        <v>-0.14015979507021012</v>
      </c>
      <c r="I105">
        <f t="shared" si="5"/>
        <v>4477.7588324999997</v>
      </c>
      <c r="K105">
        <f>_xlfn.STDEV.S('R1'!L105,'R2'!L105,'R3'!L105)</f>
        <v>2.6714388628092255E-3</v>
      </c>
      <c r="L105">
        <f>_xlfn.STDEV.S('R1'!M105,'R2'!M105,'R3'!M105)</f>
        <v>7.0382285241633678E-3</v>
      </c>
      <c r="M105">
        <f>_xlfn.STDEV.S('R1'!N105,'R2'!N105,'R3'!N105)</f>
        <v>4.3849764099168813E-3</v>
      </c>
      <c r="N105">
        <f>_xlfn.STDEV.S('R1'!O105,'R2'!O105,'R3'!O105)</f>
        <v>3.8055814054451542E-3</v>
      </c>
    </row>
    <row r="106" spans="1:14" x14ac:dyDescent="0.25">
      <c r="A106">
        <f>-'R1'!H106</f>
        <v>28</v>
      </c>
      <c r="B106">
        <f>DEGREES(ATAN(-SIN(RADIANS(('R1'!I106)))/(COS(RADIANS(Sheet1!A106))*COS(RADIANS('R1'!I106)))))</f>
        <v>-4.5282031595057557</v>
      </c>
      <c r="C106">
        <f>AVERAGE('R1'!J106,'R2'!J106,'R3'!J106)</f>
        <v>1.18</v>
      </c>
      <c r="D106">
        <f>AVERAGE('R1'!K106,'R2'!K106,'R3'!K106)</f>
        <v>22.381044500000002</v>
      </c>
      <c r="E106">
        <f>AVERAGE('R1'!L106,'R2'!L106,'R3'!L106)</f>
        <v>-0.16126942768982766</v>
      </c>
      <c r="F106">
        <f>AVERAGE('R1'!M106,'R2'!M106,'R3'!M106)</f>
        <v>-1.7518258948367418</v>
      </c>
      <c r="G106">
        <f>AVERAGE('R1'!N106,'R2'!N106,'R3'!N106)</f>
        <v>-0.36625710841526199</v>
      </c>
      <c r="H106">
        <f>AVERAGE('R1'!O106,'R2'!O106,'R3'!O106)</f>
        <v>-0.1605878229491276</v>
      </c>
      <c r="I106">
        <f t="shared" si="5"/>
        <v>4401.6054183333335</v>
      </c>
      <c r="K106">
        <f>_xlfn.STDEV.S('R1'!L106,'R2'!L106,'R3'!L106)</f>
        <v>4.4423002560933077E-3</v>
      </c>
      <c r="L106">
        <f>_xlfn.STDEV.S('R1'!M106,'R2'!M106,'R3'!M106)</f>
        <v>5.4201842032060342E-3</v>
      </c>
      <c r="M106">
        <f>_xlfn.STDEV.S('R1'!N106,'R2'!N106,'R3'!N106)</f>
        <v>5.0148492756764982E-3</v>
      </c>
      <c r="N106">
        <f>_xlfn.STDEV.S('R1'!O106,'R2'!O106,'R3'!O106)</f>
        <v>6.3663495840904048E-3</v>
      </c>
    </row>
    <row r="107" spans="1:14" x14ac:dyDescent="0.25">
      <c r="A107">
        <f>-'R1'!H107</f>
        <v>28</v>
      </c>
      <c r="B107">
        <f>DEGREES(ATAN(-SIN(RADIANS(('R1'!I107)))/(COS(RADIANS(Sheet1!A107))*COS(RADIANS('R1'!I107)))))</f>
        <v>-9.0440332369115684</v>
      </c>
      <c r="C107">
        <f>AVERAGE('R1'!J107,'R2'!J107,'R3'!J107)</f>
        <v>1.18</v>
      </c>
      <c r="D107">
        <f>AVERAGE('R1'!K107,'R2'!K107,'R3'!K107)</f>
        <v>22.117450666666667</v>
      </c>
      <c r="E107">
        <f>AVERAGE('R1'!L107,'R2'!L107,'R3'!L107)</f>
        <v>-0.36615585601489498</v>
      </c>
      <c r="F107">
        <f>AVERAGE('R1'!M107,'R2'!M107,'R3'!M107)</f>
        <v>-1.6787109988967222</v>
      </c>
      <c r="G107">
        <f>AVERAGE('R1'!N107,'R2'!N107,'R3'!N107)</f>
        <v>-0.36663654929208084</v>
      </c>
      <c r="H107">
        <f>AVERAGE('R1'!O107,'R2'!O107,'R3'!O107)</f>
        <v>-0.21805767935152742</v>
      </c>
      <c r="I107">
        <f t="shared" si="5"/>
        <v>4349.765297777778</v>
      </c>
      <c r="K107">
        <f>_xlfn.STDEV.S('R1'!L107,'R2'!L107,'R3'!L107)</f>
        <v>3.7355099718209776E-3</v>
      </c>
      <c r="L107">
        <f>_xlfn.STDEV.S('R1'!M107,'R2'!M107,'R3'!M107)</f>
        <v>3.6229023602909372E-3</v>
      </c>
      <c r="M107">
        <f>_xlfn.STDEV.S('R1'!N107,'R2'!N107,'R3'!N107)</f>
        <v>3.7506785112959985E-3</v>
      </c>
      <c r="N107">
        <f>_xlfn.STDEV.S('R1'!O107,'R2'!O107,'R3'!O107)</f>
        <v>2.4751597481593246E-3</v>
      </c>
    </row>
    <row r="108" spans="1:14" x14ac:dyDescent="0.25">
      <c r="A108">
        <f>-'R1'!H108</f>
        <v>28</v>
      </c>
      <c r="B108">
        <f>DEGREES(ATAN(-SIN(RADIANS(('R1'!I108)))/(COS(RADIANS(Sheet1!A108))*COS(RADIANS('R1'!I108)))))</f>
        <v>-13.535556072482301</v>
      </c>
      <c r="C108">
        <f>AVERAGE('R1'!J108,'R2'!J108,'R3'!J108)</f>
        <v>1.18</v>
      </c>
      <c r="D108">
        <f>AVERAGE('R1'!K108,'R2'!K108,'R3'!K108)</f>
        <v>21.855575000000002</v>
      </c>
      <c r="E108">
        <f>AVERAGE('R1'!L108,'R2'!L108,'R3'!L108)</f>
        <v>-0.56476256756577869</v>
      </c>
      <c r="F108">
        <f>AVERAGE('R1'!M108,'R2'!M108,'R3'!M108)</f>
        <v>-1.6117796090644887</v>
      </c>
      <c r="G108">
        <f>AVERAGE('R1'!N108,'R2'!N108,'R3'!N108)</f>
        <v>-0.37987577371931708</v>
      </c>
      <c r="H108">
        <f>AVERAGE('R1'!O108,'R2'!O108,'R3'!O108)</f>
        <v>-0.28031138877078626</v>
      </c>
      <c r="I108">
        <f t="shared" si="5"/>
        <v>4298.2630833333333</v>
      </c>
      <c r="K108">
        <f>_xlfn.STDEV.S('R1'!L108,'R2'!L108,'R3'!L108)</f>
        <v>4.3749517091498484E-4</v>
      </c>
      <c r="L108">
        <f>_xlfn.STDEV.S('R1'!M108,'R2'!M108,'R3'!M108)</f>
        <v>2.0393260176571908E-4</v>
      </c>
      <c r="M108">
        <f>_xlfn.STDEV.S('R1'!N108,'R2'!N108,'R3'!N108)</f>
        <v>1.4784159750926009E-3</v>
      </c>
      <c r="N108">
        <f>_xlfn.STDEV.S('R1'!O108,'R2'!O108,'R3'!O108)</f>
        <v>2.9466550469540278E-3</v>
      </c>
    </row>
    <row r="109" spans="1:14" x14ac:dyDescent="0.25">
      <c r="A109">
        <f>-'R1'!H109</f>
        <v>28</v>
      </c>
      <c r="B109">
        <f>DEGREES(ATAN(-SIN(RADIANS(('R1'!I109)))/(COS(RADIANS(Sheet1!A109))*COS(RADIANS('R1'!I109)))))</f>
        <v>-17.991683837765329</v>
      </c>
      <c r="C109">
        <f>AVERAGE('R1'!J109,'R2'!J109,'R3'!J109)</f>
        <v>1.18</v>
      </c>
      <c r="D109">
        <f>AVERAGE('R1'!K109,'R2'!K109,'R3'!K109)</f>
        <v>21.996839583333337</v>
      </c>
      <c r="E109">
        <f>AVERAGE('R1'!L109,'R2'!L109,'R3'!L109)</f>
        <v>-0.74929859357441153</v>
      </c>
      <c r="F109">
        <f>AVERAGE('R1'!M109,'R2'!M109,'R3'!M109)</f>
        <v>-1.5573845048187591</v>
      </c>
      <c r="G109">
        <f>AVERAGE('R1'!N109,'R2'!N109,'R3'!N109)</f>
        <v>-0.40945749674199533</v>
      </c>
      <c r="H109">
        <f>AVERAGE('R1'!O109,'R2'!O109,'R3'!O109)</f>
        <v>-0.35077413677702546</v>
      </c>
      <c r="I109">
        <f t="shared" si="5"/>
        <v>4326.0451180555565</v>
      </c>
      <c r="K109">
        <f>_xlfn.STDEV.S('R1'!L109,'R2'!L109,'R3'!L109)</f>
        <v>3.0611081410145636E-3</v>
      </c>
      <c r="L109">
        <f>_xlfn.STDEV.S('R1'!M109,'R2'!M109,'R3'!M109)</f>
        <v>5.1361470427503768E-3</v>
      </c>
      <c r="M109">
        <f>_xlfn.STDEV.S('R1'!N109,'R2'!N109,'R3'!N109)</f>
        <v>5.3150076156153695E-3</v>
      </c>
      <c r="N109">
        <f>_xlfn.STDEV.S('R1'!O109,'R2'!O109,'R3'!O109)</f>
        <v>5.0176331908100636E-3</v>
      </c>
    </row>
    <row r="110" spans="1:14" x14ac:dyDescent="0.25">
      <c r="A110">
        <f>-'R1'!H110</f>
        <v>28</v>
      </c>
      <c r="B110">
        <f>DEGREES(ATAN(-SIN(RADIANS(('R1'!I110)))/(COS(RADIANS(Sheet1!A110))*COS(RADIANS('R1'!I110)))))</f>
        <v>-22.402523646885253</v>
      </c>
      <c r="C110">
        <f>AVERAGE('R1'!J110,'R2'!J110,'R3'!J110)</f>
        <v>1.18</v>
      </c>
      <c r="D110">
        <f>AVERAGE('R1'!K110,'R2'!K110,'R3'!K110)</f>
        <v>22.190535833333332</v>
      </c>
      <c r="E110">
        <f>AVERAGE('R1'!L110,'R2'!L110,'R3'!L110)</f>
        <v>-0.92921113642113118</v>
      </c>
      <c r="F110">
        <f>AVERAGE('R1'!M110,'R2'!M110,'R3'!M110)</f>
        <v>-1.493591997383106</v>
      </c>
      <c r="G110">
        <f>AVERAGE('R1'!N110,'R2'!N110,'R3'!N110)</f>
        <v>-0.44416196439278416</v>
      </c>
      <c r="H110">
        <f>AVERAGE('R1'!O110,'R2'!O110,'R3'!O110)</f>
        <v>-0.42476850182595599</v>
      </c>
      <c r="I110">
        <f t="shared" si="5"/>
        <v>4364.1387138888886</v>
      </c>
      <c r="K110">
        <f>_xlfn.STDEV.S('R1'!L110,'R2'!L110,'R3'!L110)</f>
        <v>4.0118017360404766E-3</v>
      </c>
      <c r="L110">
        <f>_xlfn.STDEV.S('R1'!M110,'R2'!M110,'R3'!M110)</f>
        <v>1.2842182726225397E-3</v>
      </c>
      <c r="M110">
        <f>_xlfn.STDEV.S('R1'!N110,'R2'!N110,'R3'!N110)</f>
        <v>2.2427926574034259E-3</v>
      </c>
      <c r="N110">
        <f>_xlfn.STDEV.S('R1'!O110,'R2'!O110,'R3'!O110)</f>
        <v>3.4957722991784345E-3</v>
      </c>
    </row>
    <row r="111" spans="1:14" x14ac:dyDescent="0.25">
      <c r="A111">
        <f>-'R1'!H111</f>
        <v>28</v>
      </c>
      <c r="B111">
        <f>DEGREES(ATAN(-SIN(RADIANS(('R1'!I111)))/(COS(RADIANS(Sheet1!A111))*COS(RADIANS('R1'!I111)))))</f>
        <v>-26.759647654377044</v>
      </c>
      <c r="C111">
        <f>AVERAGE('R1'!J111,'R2'!J111,'R3'!J111)</f>
        <v>1.18</v>
      </c>
      <c r="D111">
        <f>AVERAGE('R1'!K111,'R2'!K111,'R3'!K111)</f>
        <v>22.403317916666669</v>
      </c>
      <c r="E111">
        <f>AVERAGE('R1'!L111,'R2'!L111,'R3'!L111)</f>
        <v>-1.0882900366127395</v>
      </c>
      <c r="F111">
        <f>AVERAGE('R1'!M111,'R2'!M111,'R3'!M111)</f>
        <v>-1.4556811616488474</v>
      </c>
      <c r="G111">
        <f>AVERAGE('R1'!N111,'R2'!N111,'R3'!N111)</f>
        <v>-0.49589628964487958</v>
      </c>
      <c r="H111">
        <f>AVERAGE('R1'!O111,'R2'!O111,'R3'!O111)</f>
        <v>-0.51004026992373197</v>
      </c>
      <c r="I111">
        <f t="shared" si="5"/>
        <v>4405.985856944445</v>
      </c>
      <c r="K111">
        <f>_xlfn.STDEV.S('R1'!L111,'R2'!L111,'R3'!L111)</f>
        <v>2.4472877300390893E-3</v>
      </c>
      <c r="L111">
        <f>_xlfn.STDEV.S('R1'!M111,'R2'!M111,'R3'!M111)</f>
        <v>3.700005092345234E-3</v>
      </c>
      <c r="M111">
        <f>_xlfn.STDEV.S('R1'!N111,'R2'!N111,'R3'!N111)</f>
        <v>2.3712078576142229E-3</v>
      </c>
      <c r="N111">
        <f>_xlfn.STDEV.S('R1'!O111,'R2'!O111,'R3'!O111)</f>
        <v>1.7157158455370501E-3</v>
      </c>
    </row>
    <row r="112" spans="1:14" x14ac:dyDescent="0.25">
      <c r="A112">
        <f>-'R1'!H112</f>
        <v>28</v>
      </c>
      <c r="B112">
        <f>DEGREES(ATAN(-SIN(RADIANS(('R1'!I112)))/(COS(RADIANS(Sheet1!A112))*COS(RADIANS('R1'!I112)))))</f>
        <v>-31.056274317680661</v>
      </c>
      <c r="C112">
        <f>AVERAGE('R1'!J112,'R2'!J112,'R3'!J112)</f>
        <v>1.18</v>
      </c>
      <c r="D112">
        <f>AVERAGE('R1'!K112,'R2'!K112,'R3'!K112)</f>
        <v>22.763336333333331</v>
      </c>
      <c r="E112">
        <f>AVERAGE('R1'!L112,'R2'!L112,'R3'!L112)</f>
        <v>-1.2269687260785325</v>
      </c>
      <c r="F112">
        <f>AVERAGE('R1'!M112,'R2'!M112,'R3'!M112)</f>
        <v>-1.4359701646742025</v>
      </c>
      <c r="G112">
        <f>AVERAGE('R1'!N112,'R2'!N112,'R3'!N112)</f>
        <v>-0.55662163738715309</v>
      </c>
      <c r="H112">
        <f>AVERAGE('R1'!O112,'R2'!O112,'R3'!O112)</f>
        <v>-0.61176336348515692</v>
      </c>
      <c r="I112">
        <f t="shared" si="5"/>
        <v>4476.7894788888889</v>
      </c>
      <c r="K112">
        <f>_xlfn.STDEV.S('R1'!L112,'R2'!L112,'R3'!L112)</f>
        <v>2.2825992855443852E-3</v>
      </c>
      <c r="L112">
        <f>_xlfn.STDEV.S('R1'!M112,'R2'!M112,'R3'!M112)</f>
        <v>3.0375243044117235E-3</v>
      </c>
      <c r="M112">
        <f>_xlfn.STDEV.S('R1'!N112,'R2'!N112,'R3'!N112)</f>
        <v>2.8593493507880737E-3</v>
      </c>
      <c r="N112">
        <f>_xlfn.STDEV.S('R1'!O112,'R2'!O112,'R3'!O112)</f>
        <v>1.5728414475651769E-3</v>
      </c>
    </row>
    <row r="113" spans="1:14" x14ac:dyDescent="0.25">
      <c r="A113">
        <f>-'R1'!H113</f>
        <v>28</v>
      </c>
      <c r="B113">
        <f>DEGREES(ATAN(-SIN(RADIANS(('R1'!I113)))/(COS(RADIANS(Sheet1!A113))*COS(RADIANS('R1'!I113)))))</f>
        <v>-35.287360012327973</v>
      </c>
      <c r="C113">
        <f>AVERAGE('R1'!J113,'R2'!J113,'R3'!J113)</f>
        <v>1.18</v>
      </c>
      <c r="D113">
        <f>AVERAGE('R1'!K113,'R2'!K113,'R3'!K113)</f>
        <v>22.896034083333333</v>
      </c>
      <c r="E113">
        <f>AVERAGE('R1'!L113,'R2'!L113,'R3'!L113)</f>
        <v>-1.3620111061627178</v>
      </c>
      <c r="F113">
        <f>AVERAGE('R1'!M113,'R2'!M113,'R3'!M113)</f>
        <v>-1.4401119678044918</v>
      </c>
      <c r="G113">
        <f>AVERAGE('R1'!N113,'R2'!N113,'R3'!N113)</f>
        <v>-0.63661565154763278</v>
      </c>
      <c r="H113">
        <f>AVERAGE('R1'!O113,'R2'!O113,'R3'!O113)</f>
        <v>-0.71480227568759813</v>
      </c>
      <c r="I113">
        <f t="shared" si="5"/>
        <v>4502.8867030555548</v>
      </c>
      <c r="K113">
        <f>_xlfn.STDEV.S('R1'!L113,'R2'!L113,'R3'!L113)</f>
        <v>8.2188068867784499E-4</v>
      </c>
      <c r="L113">
        <f>_xlfn.STDEV.S('R1'!M113,'R2'!M113,'R3'!M113)</f>
        <v>1.5404737748238102E-3</v>
      </c>
      <c r="M113">
        <f>_xlfn.STDEV.S('R1'!N113,'R2'!N113,'R3'!N113)</f>
        <v>2.3942272581670811E-3</v>
      </c>
      <c r="N113">
        <f>_xlfn.STDEV.S('R1'!O113,'R2'!O113,'R3'!O113)</f>
        <v>1.9766274310702133E-3</v>
      </c>
    </row>
    <row r="114" spans="1:14" x14ac:dyDescent="0.25">
      <c r="A114">
        <f>-'R1'!H114</f>
        <v>28</v>
      </c>
      <c r="B114">
        <f>DEGREES(ATAN(-SIN(RADIANS(('R1'!I114)))/(COS(RADIANS(Sheet1!A114))*COS(RADIANS('R1'!I114)))))</f>
        <v>-39.449608335498439</v>
      </c>
      <c r="C114">
        <f>AVERAGE('R1'!J114,'R2'!J114,'R3'!J114)</f>
        <v>1.18</v>
      </c>
      <c r="D114">
        <f>AVERAGE('R1'!K114,'R2'!K114,'R3'!K114)</f>
        <v>22.4711085</v>
      </c>
      <c r="E114">
        <f>AVERAGE('R1'!L114,'R2'!L114,'R3'!L114)</f>
        <v>-1.4863249216495182</v>
      </c>
      <c r="F114">
        <f>AVERAGE('R1'!M114,'R2'!M114,'R3'!M114)</f>
        <v>-1.4690845715581358</v>
      </c>
      <c r="G114">
        <f>AVERAGE('R1'!N114,'R2'!N114,'R3'!N114)</f>
        <v>-0.73807207490447035</v>
      </c>
      <c r="H114">
        <f>AVERAGE('R1'!O114,'R2'!O114,'R3'!O114)</f>
        <v>-0.83030680335581142</v>
      </c>
      <c r="I114">
        <f t="shared" si="5"/>
        <v>4419.3180049999992</v>
      </c>
      <c r="K114">
        <f>_xlfn.STDEV.S('R1'!L114,'R2'!L114,'R3'!L114)</f>
        <v>4.3061827383443774E-3</v>
      </c>
      <c r="L114">
        <f>_xlfn.STDEV.S('R1'!M114,'R2'!M114,'R3'!M114)</f>
        <v>2.1699676175746742E-3</v>
      </c>
      <c r="M114">
        <f>_xlfn.STDEV.S('R1'!N114,'R2'!N114,'R3'!N114)</f>
        <v>4.3778214372956221E-3</v>
      </c>
      <c r="N114">
        <f>_xlfn.STDEV.S('R1'!O114,'R2'!O114,'R3'!O114)</f>
        <v>2.9687325627126525E-3</v>
      </c>
    </row>
    <row r="115" spans="1:14" x14ac:dyDescent="0.25">
      <c r="A115">
        <f>-'R1'!H115</f>
        <v>28</v>
      </c>
      <c r="B115">
        <f>DEGREES(ATAN(-SIN(RADIANS(('R1'!I115)))/(COS(RADIANS(Sheet1!A115))*COS(RADIANS('R1'!I115)))))</f>
        <v>-43.541410263843531</v>
      </c>
      <c r="C115">
        <f>AVERAGE('R1'!J115,'R2'!J115,'R3'!J115)</f>
        <v>1.18</v>
      </c>
      <c r="D115">
        <f>AVERAGE('R1'!K115,'R2'!K115,'R3'!K115)</f>
        <v>22.207161833333334</v>
      </c>
      <c r="E115">
        <f>AVERAGE('R1'!L115,'R2'!L115,'R3'!L115)</f>
        <v>-1.6143424329583382</v>
      </c>
      <c r="F115">
        <f>AVERAGE('R1'!M115,'R2'!M115,'R3'!M115)</f>
        <v>-1.525993603952533</v>
      </c>
      <c r="G115">
        <f>AVERAGE('R1'!N115,'R2'!N115,'R3'!N115)</f>
        <v>-0.8678251311117311</v>
      </c>
      <c r="H115">
        <f>AVERAGE('R1'!O115,'R2'!O115,'R3'!O115)</f>
        <v>-0.95475448864795232</v>
      </c>
      <c r="I115">
        <f t="shared" si="5"/>
        <v>4367.4084938888882</v>
      </c>
      <c r="K115">
        <f>_xlfn.STDEV.S('R1'!L115,'R2'!L115,'R3'!L115)</f>
        <v>4.0385878255904612E-3</v>
      </c>
      <c r="L115">
        <f>_xlfn.STDEV.S('R1'!M115,'R2'!M115,'R3'!M115)</f>
        <v>3.4451667431386218E-3</v>
      </c>
      <c r="M115">
        <f>_xlfn.STDEV.S('R1'!N115,'R2'!N115,'R3'!N115)</f>
        <v>4.5419882123178294E-3</v>
      </c>
      <c r="N115">
        <f>_xlfn.STDEV.S('R1'!O115,'R2'!O115,'R3'!O115)</f>
        <v>4.1112564277994458E-3</v>
      </c>
    </row>
    <row r="116" spans="1:14" x14ac:dyDescent="0.25">
      <c r="A116">
        <f>-'R1'!H116</f>
        <v>28</v>
      </c>
      <c r="B116">
        <f>DEGREES(ATAN(-SIN(RADIANS(('R1'!I116)))/(COS(RADIANS(Sheet1!A116))*COS(RADIANS('R1'!I116)))))</f>
        <v>-47.562731505879128</v>
      </c>
      <c r="C116">
        <f>AVERAGE('R1'!J116,'R2'!J116,'R3'!J116)</f>
        <v>1.18</v>
      </c>
      <c r="D116">
        <f>AVERAGE('R1'!K116,'R2'!K116,'R3'!K116)</f>
        <v>21.963535583333336</v>
      </c>
      <c r="E116">
        <f>AVERAGE('R1'!L116,'R2'!L116,'R3'!L116)</f>
        <v>-1.7586658629641676</v>
      </c>
      <c r="F116">
        <f>AVERAGE('R1'!M116,'R2'!M116,'R3'!M116)</f>
        <v>-1.6225096254175477</v>
      </c>
      <c r="G116">
        <f>AVERAGE('R1'!N116,'R2'!N116,'R3'!N116)</f>
        <v>-1.0445121047122414</v>
      </c>
      <c r="H116">
        <f>AVERAGE('R1'!O116,'R2'!O116,'R3'!O116)</f>
        <v>-1.0964596428139475</v>
      </c>
      <c r="I116">
        <f t="shared" si="5"/>
        <v>4319.4953313888891</v>
      </c>
      <c r="K116">
        <f>_xlfn.STDEV.S('R1'!L116,'R2'!L116,'R3'!L116)</f>
        <v>9.8823376439023192E-4</v>
      </c>
      <c r="L116">
        <f>_xlfn.STDEV.S('R1'!M116,'R2'!M116,'R3'!M116)</f>
        <v>1.21092157661717E-2</v>
      </c>
      <c r="M116">
        <f>_xlfn.STDEV.S('R1'!N116,'R2'!N116,'R3'!N116)</f>
        <v>9.6463038927308703E-3</v>
      </c>
      <c r="N116">
        <f>_xlfn.STDEV.S('R1'!O116,'R2'!O116,'R3'!O116)</f>
        <v>2.3522596362343107E-3</v>
      </c>
    </row>
    <row r="117" spans="1:14" x14ac:dyDescent="0.25">
      <c r="A117">
        <f>-'R1'!H117</f>
        <v>24</v>
      </c>
      <c r="B117">
        <f>DEGREES(ATAN(-SIN(RADIANS(('R1'!I117)))/(COS(RADIANS(Sheet1!A117))*COS(RADIANS('R1'!I117)))))</f>
        <v>46.589384435425394</v>
      </c>
      <c r="C117">
        <f>AVERAGE('R1'!J117,'R2'!J117,'R3'!J117)</f>
        <v>1.18</v>
      </c>
      <c r="D117">
        <f>AVERAGE('R1'!K117,'R2'!K117,'R3'!K117)</f>
        <v>21.967383333333334</v>
      </c>
      <c r="E117">
        <f>AVERAGE('R1'!L117,'R2'!L117,'R3'!L117)</f>
        <v>2.0352272466953312</v>
      </c>
      <c r="F117">
        <f>AVERAGE('R1'!M117,'R2'!M117,'R3'!M117)</f>
        <v>-1.6555934401995733</v>
      </c>
      <c r="G117">
        <f>AVERAGE('R1'!N117,'R2'!N117,'R3'!N117)</f>
        <v>-1.2792227563141401</v>
      </c>
      <c r="H117">
        <f>AVERAGE('R1'!O117,'R2'!O117,'R3'!O117)</f>
        <v>-1.222380989326626</v>
      </c>
      <c r="I117">
        <f t="shared" si="5"/>
        <v>4320.2520555555557</v>
      </c>
      <c r="K117">
        <f>_xlfn.STDEV.S('R1'!L117,'R2'!L117,'R3'!L117)</f>
        <v>1.7786999043760395E-3</v>
      </c>
      <c r="L117">
        <f>_xlfn.STDEV.S('R1'!M117,'R2'!M117,'R3'!M117)</f>
        <v>4.118714120475736E-3</v>
      </c>
      <c r="M117">
        <f>_xlfn.STDEV.S('R1'!N117,'R2'!N117,'R3'!N117)</f>
        <v>1.3815237049541857E-3</v>
      </c>
      <c r="N117">
        <f>_xlfn.STDEV.S('R1'!O117,'R2'!O117,'R3'!O117)</f>
        <v>1.7804731446081007E-3</v>
      </c>
    </row>
    <row r="118" spans="1:14" x14ac:dyDescent="0.25">
      <c r="A118">
        <f>-'R1'!H118</f>
        <v>24</v>
      </c>
      <c r="B118">
        <f>DEGREES(ATAN(-SIN(RADIANS(('R1'!I118)))/(COS(RADIANS(Sheet1!A118))*COS(RADIANS('R1'!I118)))))</f>
        <v>42.567751063132313</v>
      </c>
      <c r="C118">
        <f>AVERAGE('R1'!J118,'R2'!J118,'R3'!J118)</f>
        <v>1.18</v>
      </c>
      <c r="D118">
        <f>AVERAGE('R1'!K118,'R2'!K118,'R3'!K118)</f>
        <v>22.219786166666665</v>
      </c>
      <c r="E118">
        <f>AVERAGE('R1'!L118,'R2'!L118,'R3'!L118)</f>
        <v>1.837915393915299</v>
      </c>
      <c r="F118">
        <f>AVERAGE('R1'!M118,'R2'!M118,'R3'!M118)</f>
        <v>-1.538146640735639</v>
      </c>
      <c r="G118">
        <f>AVERAGE('R1'!N118,'R2'!N118,'R3'!N118)</f>
        <v>-1.0417403770316722</v>
      </c>
      <c r="H118">
        <f>AVERAGE('R1'!O118,'R2'!O118,'R3'!O118)</f>
        <v>-1.0312249933457247</v>
      </c>
      <c r="I118">
        <f t="shared" si="5"/>
        <v>4369.8912794444441</v>
      </c>
      <c r="K118">
        <f>_xlfn.STDEV.S('R1'!L118,'R2'!L118,'R3'!L118)</f>
        <v>5.9553951908964259E-3</v>
      </c>
      <c r="L118">
        <f>_xlfn.STDEV.S('R1'!M118,'R2'!M118,'R3'!M118)</f>
        <v>5.8884283937054678E-3</v>
      </c>
      <c r="M118">
        <f>_xlfn.STDEV.S('R1'!N118,'R2'!N118,'R3'!N118)</f>
        <v>6.9084185772151051E-3</v>
      </c>
      <c r="N118">
        <f>_xlfn.STDEV.S('R1'!O118,'R2'!O118,'R3'!O118)</f>
        <v>4.7891500889383201E-3</v>
      </c>
    </row>
    <row r="119" spans="1:14" x14ac:dyDescent="0.25">
      <c r="A119">
        <f>-'R1'!H119</f>
        <v>24</v>
      </c>
      <c r="B119">
        <f>DEGREES(ATAN(-SIN(RADIANS(('R1'!I119)))/(COS(RADIANS(Sheet1!A119))*COS(RADIANS('R1'!I119)))))</f>
        <v>38.495223358359183</v>
      </c>
      <c r="C119">
        <f>AVERAGE('R1'!J119,'R2'!J119,'R3'!J119)</f>
        <v>1.18</v>
      </c>
      <c r="D119">
        <f>AVERAGE('R1'!K119,'R2'!K119,'R3'!K119)</f>
        <v>22.394336249999999</v>
      </c>
      <c r="E119">
        <f>AVERAGE('R1'!L119,'R2'!L119,'R3'!L119)</f>
        <v>1.6836707367149986</v>
      </c>
      <c r="F119">
        <f>AVERAGE('R1'!M119,'R2'!M119,'R3'!M119)</f>
        <v>-1.4316762510863601</v>
      </c>
      <c r="G119">
        <f>AVERAGE('R1'!N119,'R2'!N119,'R3'!N119)</f>
        <v>-0.85572784415084457</v>
      </c>
      <c r="H119">
        <f>AVERAGE('R1'!O119,'R2'!O119,'R3'!O119)</f>
        <v>-0.87064309014434771</v>
      </c>
      <c r="I119">
        <f t="shared" si="5"/>
        <v>4404.2194624999993</v>
      </c>
      <c r="K119">
        <f>_xlfn.STDEV.S('R1'!L119,'R2'!L119,'R3'!L119)</f>
        <v>2.8800709021369613E-3</v>
      </c>
      <c r="L119">
        <f>_xlfn.STDEV.S('R1'!M119,'R2'!M119,'R3'!M119)</f>
        <v>2.4545819003984879E-3</v>
      </c>
      <c r="M119">
        <f>_xlfn.STDEV.S('R1'!N119,'R2'!N119,'R3'!N119)</f>
        <v>3.8471044162222833E-3</v>
      </c>
      <c r="N119">
        <f>_xlfn.STDEV.S('R1'!O119,'R2'!O119,'R3'!O119)</f>
        <v>1.4724920977310511E-3</v>
      </c>
    </row>
    <row r="120" spans="1:14" x14ac:dyDescent="0.25">
      <c r="A120">
        <f>-'R1'!H120</f>
        <v>24</v>
      </c>
      <c r="B120">
        <f>DEGREES(ATAN(-SIN(RADIANS(('R1'!I120)))/(COS(RADIANS(Sheet1!A120))*COS(RADIANS('R1'!I120)))))</f>
        <v>34.372309890771753</v>
      </c>
      <c r="C120">
        <f>AVERAGE('R1'!J120,'R2'!J120,'R3'!J120)</f>
        <v>1.18</v>
      </c>
      <c r="D120">
        <f>AVERAGE('R1'!K120,'R2'!K120,'R3'!K120)</f>
        <v>22.684948833333333</v>
      </c>
      <c r="E120">
        <f>AVERAGE('R1'!L120,'R2'!L120,'R3'!L120)</f>
        <v>1.5409033036036426</v>
      </c>
      <c r="F120">
        <f>AVERAGE('R1'!M120,'R2'!M120,'R3'!M120)</f>
        <v>-1.3529765380363958</v>
      </c>
      <c r="G120">
        <f>AVERAGE('R1'!N120,'R2'!N120,'R3'!N120)</f>
        <v>-0.70627116974041382</v>
      </c>
      <c r="H120">
        <f>AVERAGE('R1'!O120,'R2'!O120,'R3'!O120)</f>
        <v>-0.72635833452710685</v>
      </c>
      <c r="I120">
        <f t="shared" si="5"/>
        <v>4461.3732705555549</v>
      </c>
      <c r="K120">
        <f>_xlfn.STDEV.S('R1'!L120,'R2'!L120,'R3'!L120)</f>
        <v>5.3170436839297631E-3</v>
      </c>
      <c r="L120">
        <f>_xlfn.STDEV.S('R1'!M120,'R2'!M120,'R3'!M120)</f>
        <v>4.6200090988252149E-3</v>
      </c>
      <c r="M120">
        <f>_xlfn.STDEV.S('R1'!N120,'R2'!N120,'R3'!N120)</f>
        <v>8.1764500080966675E-3</v>
      </c>
      <c r="N120">
        <f>_xlfn.STDEV.S('R1'!O120,'R2'!O120,'R3'!O120)</f>
        <v>2.004399781226773E-3</v>
      </c>
    </row>
    <row r="121" spans="1:14" x14ac:dyDescent="0.25">
      <c r="A121">
        <f>-'R1'!H121</f>
        <v>24</v>
      </c>
      <c r="B121">
        <f>DEGREES(ATAN(-SIN(RADIANS(('R1'!I121)))/(COS(RADIANS(Sheet1!A121))*COS(RADIANS('R1'!I121)))))</f>
        <v>30.200622081370245</v>
      </c>
      <c r="C121">
        <f>AVERAGE('R1'!J121,'R2'!J121,'R3'!J121)</f>
        <v>1.18</v>
      </c>
      <c r="D121">
        <f>AVERAGE('R1'!K121,'R2'!K121,'R3'!K121)</f>
        <v>22.975610750000001</v>
      </c>
      <c r="E121">
        <f>AVERAGE('R1'!L121,'R2'!L121,'R3'!L121)</f>
        <v>1.4099331963930695</v>
      </c>
      <c r="F121">
        <f>AVERAGE('R1'!M121,'R2'!M121,'R3'!M121)</f>
        <v>-1.3021066141323558</v>
      </c>
      <c r="G121">
        <f>AVERAGE('R1'!N121,'R2'!N121,'R3'!N121)</f>
        <v>-0.59122822106810446</v>
      </c>
      <c r="H121">
        <f>AVERAGE('R1'!O121,'R2'!O121,'R3'!O121)</f>
        <v>-0.59340150281367021</v>
      </c>
      <c r="I121">
        <f t="shared" si="5"/>
        <v>4518.5367808333331</v>
      </c>
      <c r="K121">
        <f>_xlfn.STDEV.S('R1'!L121,'R2'!L121,'R3'!L121)</f>
        <v>3.0853948959317641E-3</v>
      </c>
      <c r="L121">
        <f>_xlfn.STDEV.S('R1'!M121,'R2'!M121,'R3'!M121)</f>
        <v>1.4005302850009305E-3</v>
      </c>
      <c r="M121">
        <f>_xlfn.STDEV.S('R1'!N121,'R2'!N121,'R3'!N121)</f>
        <v>3.3180708838828183E-3</v>
      </c>
      <c r="N121">
        <f>_xlfn.STDEV.S('R1'!O121,'R2'!O121,'R3'!O121)</f>
        <v>2.094140292000658E-3</v>
      </c>
    </row>
    <row r="122" spans="1:14" x14ac:dyDescent="0.25">
      <c r="A122">
        <f>-'R1'!H122</f>
        <v>24</v>
      </c>
      <c r="B122">
        <f>DEGREES(ATAN(-SIN(RADIANS(('R1'!I122)))/(COS(RADIANS(Sheet1!A122))*COS(RADIANS('R1'!I122)))))</f>
        <v>25.982912809070061</v>
      </c>
      <c r="C122">
        <f>AVERAGE('R1'!J122,'R2'!J122,'R3'!J122)</f>
        <v>1.18</v>
      </c>
      <c r="D122">
        <f>AVERAGE('R1'!K122,'R2'!K122,'R3'!K122)</f>
        <v>22.524059833333336</v>
      </c>
      <c r="E122">
        <f>AVERAGE('R1'!L122,'R2'!L122,'R3'!L122)</f>
        <v>1.2695450181889747</v>
      </c>
      <c r="F122">
        <f>AVERAGE('R1'!M122,'R2'!M122,'R3'!M122)</f>
        <v>-1.2719044592352928</v>
      </c>
      <c r="G122">
        <f>AVERAGE('R1'!N122,'R2'!N122,'R3'!N122)</f>
        <v>-0.49654008466091559</v>
      </c>
      <c r="H122">
        <f>AVERAGE('R1'!O122,'R2'!O122,'R3'!O122)</f>
        <v>-0.46483530937469003</v>
      </c>
      <c r="I122">
        <f t="shared" si="5"/>
        <v>4429.7317672222225</v>
      </c>
      <c r="K122">
        <f>_xlfn.STDEV.S('R1'!L122,'R2'!L122,'R3'!L122)</f>
        <v>2.3882919681107464E-3</v>
      </c>
      <c r="L122">
        <f>_xlfn.STDEV.S('R1'!M122,'R2'!M122,'R3'!M122)</f>
        <v>4.0265907521874044E-3</v>
      </c>
      <c r="M122">
        <f>_xlfn.STDEV.S('R1'!N122,'R2'!N122,'R3'!N122)</f>
        <v>5.2020964322024193E-4</v>
      </c>
      <c r="N122">
        <f>_xlfn.STDEV.S('R1'!O122,'R2'!O122,'R3'!O122)</f>
        <v>1.673889633637653E-3</v>
      </c>
    </row>
    <row r="123" spans="1:14" x14ac:dyDescent="0.25">
      <c r="A123">
        <f>-'R1'!H123</f>
        <v>24</v>
      </c>
      <c r="B123">
        <f>DEGREES(ATAN(-SIN(RADIANS(('R1'!I123)))/(COS(RADIANS(Sheet1!A123))*COS(RADIANS('R1'!I123)))))</f>
        <v>21.723080079379415</v>
      </c>
      <c r="C123">
        <f>AVERAGE('R1'!J123,'R2'!J123,'R3'!J123)</f>
        <v>1.18</v>
      </c>
      <c r="D123">
        <f>AVERAGE('R1'!K123,'R2'!K123,'R3'!K123)</f>
        <v>22.187031999999999</v>
      </c>
      <c r="E123">
        <f>AVERAGE('R1'!L123,'R2'!L123,'R3'!L123)</f>
        <v>1.0912738932810442</v>
      </c>
      <c r="F123">
        <f>AVERAGE('R1'!M123,'R2'!M123,'R3'!M123)</f>
        <v>-1.2786736744418927</v>
      </c>
      <c r="G123">
        <f>AVERAGE('R1'!N123,'R2'!N123,'R3'!N123)</f>
        <v>-0.41189000712874552</v>
      </c>
      <c r="H123">
        <f>AVERAGE('R1'!O123,'R2'!O123,'R3'!O123)</f>
        <v>-0.34667308053874235</v>
      </c>
      <c r="I123">
        <f t="shared" si="5"/>
        <v>4363.4496266666656</v>
      </c>
      <c r="K123">
        <f>_xlfn.STDEV.S('R1'!L123,'R2'!L123,'R3'!L123)</f>
        <v>3.3932940861071399E-3</v>
      </c>
      <c r="L123">
        <f>_xlfn.STDEV.S('R1'!M123,'R2'!M123,'R3'!M123)</f>
        <v>3.9925806847688934E-3</v>
      </c>
      <c r="M123">
        <f>_xlfn.STDEV.S('R1'!N123,'R2'!N123,'R3'!N123)</f>
        <v>1.6324932434986397E-3</v>
      </c>
      <c r="N123">
        <f>_xlfn.STDEV.S('R1'!O123,'R2'!O123,'R3'!O123)</f>
        <v>1.8723827867502363E-3</v>
      </c>
    </row>
    <row r="124" spans="1:14" x14ac:dyDescent="0.25">
      <c r="A124">
        <f>-'R1'!H124</f>
        <v>24</v>
      </c>
      <c r="B124">
        <f>DEGREES(ATAN(-SIN(RADIANS(('R1'!I124)))/(COS(RADIANS(Sheet1!A124))*COS(RADIANS('R1'!I124)))))</f>
        <v>17.426129149372727</v>
      </c>
      <c r="C124">
        <f>AVERAGE('R1'!J124,'R2'!J124,'R3'!J124)</f>
        <v>1.18</v>
      </c>
      <c r="D124">
        <f>AVERAGE('R1'!K124,'R2'!K124,'R3'!K124)</f>
        <v>21.957883083333332</v>
      </c>
      <c r="E124">
        <f>AVERAGE('R1'!L124,'R2'!L124,'R3'!L124)</f>
        <v>0.9041742581975134</v>
      </c>
      <c r="F124">
        <f>AVERAGE('R1'!M124,'R2'!M124,'R3'!M124)</f>
        <v>-1.305688488991402</v>
      </c>
      <c r="G124">
        <f>AVERAGE('R1'!N124,'R2'!N124,'R3'!N124)</f>
        <v>-0.34295152505838949</v>
      </c>
      <c r="H124">
        <f>AVERAGE('R1'!O124,'R2'!O124,'R3'!O124)</f>
        <v>-0.24710210898932541</v>
      </c>
      <c r="I124">
        <f t="shared" si="5"/>
        <v>4318.3836730555549</v>
      </c>
      <c r="K124">
        <f>_xlfn.STDEV.S('R1'!L124,'R2'!L124,'R3'!L124)</f>
        <v>2.5429539548161833E-3</v>
      </c>
      <c r="L124">
        <f>_xlfn.STDEV.S('R1'!M124,'R2'!M124,'R3'!M124)</f>
        <v>2.5355991234066238E-3</v>
      </c>
      <c r="M124">
        <f>_xlfn.STDEV.S('R1'!N124,'R2'!N124,'R3'!N124)</f>
        <v>2.4272521168706967E-3</v>
      </c>
      <c r="N124">
        <f>_xlfn.STDEV.S('R1'!O124,'R2'!O124,'R3'!O124)</f>
        <v>5.2197682674301757E-3</v>
      </c>
    </row>
    <row r="125" spans="1:14" x14ac:dyDescent="0.25">
      <c r="A125">
        <f>-'R1'!H125</f>
        <v>24</v>
      </c>
      <c r="B125">
        <f>DEGREES(ATAN(-SIN(RADIANS(('R1'!I125)))/(COS(RADIANS(Sheet1!A125))*COS(RADIANS('R1'!I125)))))</f>
        <v>13.09808863151425</v>
      </c>
      <c r="C125">
        <f>AVERAGE('R1'!J125,'R2'!J125,'R3'!J125)</f>
        <v>1.18</v>
      </c>
      <c r="D125">
        <f>AVERAGE('R1'!K125,'R2'!K125,'R3'!K125)</f>
        <v>22.020282999999996</v>
      </c>
      <c r="E125">
        <f>AVERAGE('R1'!L125,'R2'!L125,'R3'!L125)</f>
        <v>0.71428224028598752</v>
      </c>
      <c r="F125">
        <f>AVERAGE('R1'!M125,'R2'!M125,'R3'!M125)</f>
        <v>-1.3644054423312797</v>
      </c>
      <c r="G125">
        <f>AVERAGE('R1'!N125,'R2'!N125,'R3'!N125)</f>
        <v>-0.29582291172544528</v>
      </c>
      <c r="H125">
        <f>AVERAGE('R1'!O125,'R2'!O125,'R3'!O125)</f>
        <v>-0.17155844009049415</v>
      </c>
      <c r="I125">
        <f t="shared" si="5"/>
        <v>4330.6556566666659</v>
      </c>
      <c r="K125">
        <f>_xlfn.STDEV.S('R1'!L125,'R2'!L125,'R3'!L125)</f>
        <v>1.9179797418193705E-3</v>
      </c>
      <c r="L125">
        <f>_xlfn.STDEV.S('R1'!M125,'R2'!M125,'R3'!M125)</f>
        <v>3.4358920979619435E-3</v>
      </c>
      <c r="M125">
        <f>_xlfn.STDEV.S('R1'!N125,'R2'!N125,'R3'!N125)</f>
        <v>2.581161374362261E-3</v>
      </c>
      <c r="N125">
        <f>_xlfn.STDEV.S('R1'!O125,'R2'!O125,'R3'!O125)</f>
        <v>7.0153533142845248E-4</v>
      </c>
    </row>
    <row r="126" spans="1:14" x14ac:dyDescent="0.25">
      <c r="A126">
        <f>-'R1'!H126</f>
        <v>24</v>
      </c>
      <c r="B126">
        <f>DEGREES(ATAN(-SIN(RADIANS(('R1'!I126)))/(COS(RADIANS(Sheet1!A126))*COS(RADIANS('R1'!I126)))))</f>
        <v>8.7458791850141893</v>
      </c>
      <c r="C126">
        <f>AVERAGE('R1'!J126,'R2'!J126,'R3'!J126)</f>
        <v>1.18</v>
      </c>
      <c r="D126">
        <f>AVERAGE('R1'!K126,'R2'!K126,'R3'!K126)</f>
        <v>22.222610249999999</v>
      </c>
      <c r="E126">
        <f>AVERAGE('R1'!L126,'R2'!L126,'R3'!L126)</f>
        <v>0.50850472432590121</v>
      </c>
      <c r="F126">
        <f>AVERAGE('R1'!M126,'R2'!M126,'R3'!M126)</f>
        <v>-1.4371984467416166</v>
      </c>
      <c r="G126">
        <f>AVERAGE('R1'!N126,'R2'!N126,'R3'!N126)</f>
        <v>-0.26316065759323698</v>
      </c>
      <c r="H126">
        <f>AVERAGE('R1'!O126,'R2'!O126,'R3'!O126)</f>
        <v>-0.11017143906229586</v>
      </c>
      <c r="I126">
        <f t="shared" si="5"/>
        <v>4370.446682499999</v>
      </c>
      <c r="K126">
        <f>_xlfn.STDEV.S('R1'!L126,'R2'!L126,'R3'!L126)</f>
        <v>1.2971161942162003E-3</v>
      </c>
      <c r="L126">
        <f>_xlfn.STDEV.S('R1'!M126,'R2'!M126,'R3'!M126)</f>
        <v>4.7609442984216264E-3</v>
      </c>
      <c r="M126">
        <f>_xlfn.STDEV.S('R1'!N126,'R2'!N126,'R3'!N126)</f>
        <v>1.4333284695023625E-3</v>
      </c>
      <c r="N126">
        <f>_xlfn.STDEV.S('R1'!O126,'R2'!O126,'R3'!O126)</f>
        <v>3.1100409244546232E-3</v>
      </c>
    </row>
    <row r="127" spans="1:14" x14ac:dyDescent="0.25">
      <c r="A127">
        <f>-'R1'!H127</f>
        <v>24</v>
      </c>
      <c r="B127">
        <f>DEGREES(ATAN(-SIN(RADIANS(('R1'!I127)))/(COS(RADIANS(Sheet1!A127))*COS(RADIANS('R1'!I127)))))</f>
        <v>4.3771372039965373</v>
      </c>
      <c r="C127">
        <f>AVERAGE('R1'!J127,'R2'!J127,'R3'!J127)</f>
        <v>1.18</v>
      </c>
      <c r="D127">
        <f>AVERAGE('R1'!K127,'R2'!K127,'R3'!K127)</f>
        <v>22.388978666666663</v>
      </c>
      <c r="E127">
        <f>AVERAGE('R1'!L127,'R2'!L127,'R3'!L127)</f>
        <v>0.29290618549837233</v>
      </c>
      <c r="F127">
        <f>AVERAGE('R1'!M127,'R2'!M127,'R3'!M127)</f>
        <v>-1.5104769232299144</v>
      </c>
      <c r="G127">
        <f>AVERAGE('R1'!N127,'R2'!N127,'R3'!N127)</f>
        <v>-0.23933530260674143</v>
      </c>
      <c r="H127">
        <f>AVERAGE('R1'!O127,'R2'!O127,'R3'!O127)</f>
        <v>-5.6667972203273381E-2</v>
      </c>
      <c r="I127">
        <f t="shared" si="5"/>
        <v>4403.165804444443</v>
      </c>
      <c r="K127">
        <f>_xlfn.STDEV.S('R1'!L127,'R2'!L127,'R3'!L127)</f>
        <v>3.2888566114667658E-3</v>
      </c>
      <c r="L127">
        <f>_xlfn.STDEV.S('R1'!M127,'R2'!M127,'R3'!M127)</f>
        <v>2.1220869424898757E-3</v>
      </c>
      <c r="M127">
        <f>_xlfn.STDEV.S('R1'!N127,'R2'!N127,'R3'!N127)</f>
        <v>1.6907197606286636E-3</v>
      </c>
      <c r="N127">
        <f>_xlfn.STDEV.S('R1'!O127,'R2'!O127,'R3'!O127)</f>
        <v>3.1908177797305933E-3</v>
      </c>
    </row>
    <row r="128" spans="1:14" x14ac:dyDescent="0.25">
      <c r="A128">
        <f>-'R1'!H128</f>
        <v>24</v>
      </c>
      <c r="B128">
        <f>DEGREES(ATAN(-SIN(RADIANS(('R1'!I128)))/(COS(RADIANS(Sheet1!A128))*COS(RADIANS('R1'!I128)))))</f>
        <v>0</v>
      </c>
      <c r="C128">
        <f>AVERAGE('R1'!J128,'R2'!J128,'R3'!J128)</f>
        <v>1.18</v>
      </c>
      <c r="D128">
        <f>AVERAGE('R1'!K128,'R2'!K128,'R3'!K128)</f>
        <v>22.50709625</v>
      </c>
      <c r="E128">
        <f>AVERAGE('R1'!L128,'R2'!L128,'R3'!L128)</f>
        <v>7.4534951640952737E-2</v>
      </c>
      <c r="F128">
        <f>AVERAGE('R1'!M128,'R2'!M128,'R3'!M128)</f>
        <v>-1.5777176550727823</v>
      </c>
      <c r="G128">
        <f>AVERAGE('R1'!N128,'R2'!N128,'R3'!N128)</f>
        <v>-0.22825313468921807</v>
      </c>
      <c r="H128">
        <f>AVERAGE('R1'!O128,'R2'!O128,'R3'!O128)</f>
        <v>2.980846188724406E-3</v>
      </c>
      <c r="I128">
        <f t="shared" si="5"/>
        <v>4426.3955958333327</v>
      </c>
      <c r="K128">
        <f>_xlfn.STDEV.S('R1'!L128,'R2'!L128,'R3'!L128)</f>
        <v>2.9591596664495967E-3</v>
      </c>
      <c r="L128">
        <f>_xlfn.STDEV.S('R1'!M128,'R2'!M128,'R3'!M128)</f>
        <v>3.5442129357186746E-3</v>
      </c>
      <c r="M128">
        <f>_xlfn.STDEV.S('R1'!N128,'R2'!N128,'R3'!N128)</f>
        <v>4.0909566906452933E-3</v>
      </c>
      <c r="N128">
        <f>_xlfn.STDEV.S('R1'!O128,'R2'!O128,'R3'!O128)</f>
        <v>5.4643945456864362E-3</v>
      </c>
    </row>
    <row r="129" spans="1:14" x14ac:dyDescent="0.25">
      <c r="A129">
        <f>-'R1'!H129</f>
        <v>24</v>
      </c>
      <c r="B129">
        <f>DEGREES(ATAN(-SIN(RADIANS(('R1'!I129)))/(COS(RADIANS(Sheet1!A129))*COS(RADIANS('R1'!I129)))))</f>
        <v>-4.3771372039965373</v>
      </c>
      <c r="C129">
        <f>AVERAGE('R1'!J129,'R2'!J129,'R3'!J129)</f>
        <v>1.18</v>
      </c>
      <c r="D129">
        <f>AVERAGE('R1'!K129,'R2'!K129,'R3'!K129)</f>
        <v>22.573500583333331</v>
      </c>
      <c r="E129">
        <f>AVERAGE('R1'!L129,'R2'!L129,'R3'!L129)</f>
        <v>-0.15123661991599249</v>
      </c>
      <c r="F129">
        <f>AVERAGE('R1'!M129,'R2'!M129,'R3'!M129)</f>
        <v>-1.549516387880274</v>
      </c>
      <c r="G129">
        <f>AVERAGE('R1'!N129,'R2'!N129,'R3'!N129)</f>
        <v>-0.2256540259840297</v>
      </c>
      <c r="H129">
        <f>AVERAGE('R1'!O129,'R2'!O129,'R3'!O129)</f>
        <v>-2.0649567447239808E-2</v>
      </c>
      <c r="I129">
        <f t="shared" si="5"/>
        <v>4439.4551147222219</v>
      </c>
      <c r="K129">
        <f>_xlfn.STDEV.S('R1'!L129,'R2'!L129,'R3'!L129)</f>
        <v>7.9729114783599713E-4</v>
      </c>
      <c r="L129">
        <f>_xlfn.STDEV.S('R1'!M129,'R2'!M129,'R3'!M129)</f>
        <v>4.2739137085107811E-3</v>
      </c>
      <c r="M129">
        <f>_xlfn.STDEV.S('R1'!N129,'R2'!N129,'R3'!N129)</f>
        <v>2.7151972829007214E-3</v>
      </c>
      <c r="N129">
        <f>_xlfn.STDEV.S('R1'!O129,'R2'!O129,'R3'!O129)</f>
        <v>7.0625487340981886E-3</v>
      </c>
    </row>
    <row r="130" spans="1:14" x14ac:dyDescent="0.25">
      <c r="A130">
        <f>-'R1'!H130</f>
        <v>24</v>
      </c>
      <c r="B130">
        <f>DEGREES(ATAN(-SIN(RADIANS(('R1'!I130)))/(COS(RADIANS(Sheet1!A130))*COS(RADIANS('R1'!I130)))))</f>
        <v>-8.7458791850141893</v>
      </c>
      <c r="C130">
        <f>AVERAGE('R1'!J130,'R2'!J130,'R3'!J130)</f>
        <v>1.18</v>
      </c>
      <c r="D130">
        <f>AVERAGE('R1'!K130,'R2'!K130,'R3'!K130)</f>
        <v>22.119779250000004</v>
      </c>
      <c r="E130">
        <f>AVERAGE('R1'!L130,'R2'!L130,'R3'!L130)</f>
        <v>-0.35796126821217888</v>
      </c>
      <c r="F130">
        <f>AVERAGE('R1'!M130,'R2'!M130,'R3'!M130)</f>
        <v>-1.4878786946114229</v>
      </c>
      <c r="G130">
        <f>AVERAGE('R1'!N130,'R2'!N130,'R3'!N130)</f>
        <v>-0.23426530457776504</v>
      </c>
      <c r="H130">
        <f>AVERAGE('R1'!O130,'R2'!O130,'R3'!O130)</f>
        <v>-8.6526255605920074E-2</v>
      </c>
      <c r="I130">
        <f t="shared" si="5"/>
        <v>4350.2232525000009</v>
      </c>
      <c r="K130">
        <f>_xlfn.STDEV.S('R1'!L130,'R2'!L130,'R3'!L130)</f>
        <v>5.5861768284413158E-4</v>
      </c>
      <c r="L130">
        <f>_xlfn.STDEV.S('R1'!M130,'R2'!M130,'R3'!M130)</f>
        <v>5.3856182538535666E-3</v>
      </c>
      <c r="M130">
        <f>_xlfn.STDEV.S('R1'!N130,'R2'!N130,'R3'!N130)</f>
        <v>3.6765073495907191E-3</v>
      </c>
      <c r="N130">
        <f>_xlfn.STDEV.S('R1'!O130,'R2'!O130,'R3'!O130)</f>
        <v>3.5838011925483468E-3</v>
      </c>
    </row>
    <row r="131" spans="1:14" x14ac:dyDescent="0.25">
      <c r="A131">
        <f>-'R1'!H131</f>
        <v>24</v>
      </c>
      <c r="B131">
        <f>DEGREES(ATAN(-SIN(RADIANS(('R1'!I131)))/(COS(RADIANS(Sheet1!A131))*COS(RADIANS('R1'!I131)))))</f>
        <v>-13.09808863151425</v>
      </c>
      <c r="C131">
        <f>AVERAGE('R1'!J131,'R2'!J131,'R3'!J131)</f>
        <v>1.18</v>
      </c>
      <c r="D131">
        <f>AVERAGE('R1'!K131,'R2'!K131,'R3'!K131)</f>
        <v>21.805173416666666</v>
      </c>
      <c r="E131">
        <f>AVERAGE('R1'!L131,'R2'!L131,'R3'!L131)</f>
        <v>-0.55087304001498028</v>
      </c>
      <c r="F131">
        <f>AVERAGE('R1'!M131,'R2'!M131,'R3'!M131)</f>
        <v>-1.4330756679355712</v>
      </c>
      <c r="G131">
        <f>AVERAGE('R1'!N131,'R2'!N131,'R3'!N131)</f>
        <v>-0.25884726082711523</v>
      </c>
      <c r="H131">
        <f>AVERAGE('R1'!O131,'R2'!O131,'R3'!O131)</f>
        <v>-0.14941153856910863</v>
      </c>
      <c r="I131">
        <f t="shared" ref="I131:I194" si="6">10^5*C131*D131*0.003/1.8</f>
        <v>4288.3507719444442</v>
      </c>
      <c r="K131">
        <f>_xlfn.STDEV.S('R1'!L131,'R2'!L131,'R3'!L131)</f>
        <v>1.320376849232689E-3</v>
      </c>
      <c r="L131">
        <f>_xlfn.STDEV.S('R1'!M131,'R2'!M131,'R3'!M131)</f>
        <v>1.6932252109583175E-3</v>
      </c>
      <c r="M131">
        <f>_xlfn.STDEV.S('R1'!N131,'R2'!N131,'R3'!N131)</f>
        <v>1.9168720346551746E-3</v>
      </c>
      <c r="N131">
        <f>_xlfn.STDEV.S('R1'!O131,'R2'!O131,'R3'!O131)</f>
        <v>5.8423728261557085E-4</v>
      </c>
    </row>
    <row r="132" spans="1:14" x14ac:dyDescent="0.25">
      <c r="A132">
        <f>-'R1'!H132</f>
        <v>24</v>
      </c>
      <c r="B132">
        <f>DEGREES(ATAN(-SIN(RADIANS(('R1'!I132)))/(COS(RADIANS(Sheet1!A132))*COS(RADIANS('R1'!I132)))))</f>
        <v>-17.426129149372727</v>
      </c>
      <c r="C132">
        <f>AVERAGE('R1'!J132,'R2'!J132,'R3'!J132)</f>
        <v>1.18</v>
      </c>
      <c r="D132">
        <f>AVERAGE('R1'!K132,'R2'!K132,'R3'!K132)</f>
        <v>21.552259416666669</v>
      </c>
      <c r="E132">
        <f>AVERAGE('R1'!L132,'R2'!L132,'R3'!L132)</f>
        <v>-0.74338444857369268</v>
      </c>
      <c r="F132">
        <f>AVERAGE('R1'!M132,'R2'!M132,'R3'!M132)</f>
        <v>-1.3758007142201851</v>
      </c>
      <c r="G132">
        <f>AVERAGE('R1'!N132,'R2'!N132,'R3'!N132)</f>
        <v>-0.29618698698072521</v>
      </c>
      <c r="H132">
        <f>AVERAGE('R1'!O132,'R2'!O132,'R3'!O132)</f>
        <v>-0.2112570319187268</v>
      </c>
      <c r="I132">
        <f t="shared" si="6"/>
        <v>4238.6110186111109</v>
      </c>
      <c r="K132">
        <f>_xlfn.STDEV.S('R1'!L132,'R2'!L132,'R3'!L132)</f>
        <v>2.1373883269638987E-3</v>
      </c>
      <c r="L132">
        <f>_xlfn.STDEV.S('R1'!M132,'R2'!M132,'R3'!M132)</f>
        <v>6.4250557613201344E-4</v>
      </c>
      <c r="M132">
        <f>_xlfn.STDEV.S('R1'!N132,'R2'!N132,'R3'!N132)</f>
        <v>2.4453359326454469E-3</v>
      </c>
      <c r="N132">
        <f>_xlfn.STDEV.S('R1'!O132,'R2'!O132,'R3'!O132)</f>
        <v>2.5274418024735074E-3</v>
      </c>
    </row>
    <row r="133" spans="1:14" x14ac:dyDescent="0.25">
      <c r="A133">
        <f>-'R1'!H133</f>
        <v>24</v>
      </c>
      <c r="B133">
        <f>DEGREES(ATAN(-SIN(RADIANS(('R1'!I133)))/(COS(RADIANS(Sheet1!A133))*COS(RADIANS('R1'!I133)))))</f>
        <v>-21.723080079379415</v>
      </c>
      <c r="C133">
        <f>AVERAGE('R1'!J133,'R2'!J133,'R3'!J133)</f>
        <v>1.18</v>
      </c>
      <c r="D133">
        <f>AVERAGE('R1'!K133,'R2'!K133,'R3'!K133)</f>
        <v>21.53477775</v>
      </c>
      <c r="E133">
        <f>AVERAGE('R1'!L133,'R2'!L133,'R3'!L133)</f>
        <v>-0.93233872661335315</v>
      </c>
      <c r="F133">
        <f>AVERAGE('R1'!M133,'R2'!M133,'R3'!M133)</f>
        <v>-1.3186241042946711</v>
      </c>
      <c r="G133">
        <f>AVERAGE('R1'!N133,'R2'!N133,'R3'!N133)</f>
        <v>-0.34075555435621691</v>
      </c>
      <c r="H133">
        <f>AVERAGE('R1'!O133,'R2'!O133,'R3'!O133)</f>
        <v>-0.29850899033233785</v>
      </c>
      <c r="I133">
        <f t="shared" si="6"/>
        <v>4235.1729574999999</v>
      </c>
      <c r="K133">
        <f>_xlfn.STDEV.S('R1'!L133,'R2'!L133,'R3'!L133)</f>
        <v>5.2448009856537201E-3</v>
      </c>
      <c r="L133">
        <f>_xlfn.STDEV.S('R1'!M133,'R2'!M133,'R3'!M133)</f>
        <v>3.4609211982789478E-4</v>
      </c>
      <c r="M133">
        <f>_xlfn.STDEV.S('R1'!N133,'R2'!N133,'R3'!N133)</f>
        <v>8.0060523711284913E-4</v>
      </c>
      <c r="N133">
        <f>_xlfn.STDEV.S('R1'!O133,'R2'!O133,'R3'!O133)</f>
        <v>1.2021241181764187E-3</v>
      </c>
    </row>
    <row r="134" spans="1:14" x14ac:dyDescent="0.25">
      <c r="A134">
        <f>-'R1'!H134</f>
        <v>24</v>
      </c>
      <c r="B134">
        <f>DEGREES(ATAN(-SIN(RADIANS(('R1'!I134)))/(COS(RADIANS(Sheet1!A134))*COS(RADIANS('R1'!I134)))))</f>
        <v>-25.982912809070061</v>
      </c>
      <c r="C134">
        <f>AVERAGE('R1'!J134,'R2'!J134,'R3'!J134)</f>
        <v>1.18</v>
      </c>
      <c r="D134">
        <f>AVERAGE('R1'!K134,'R2'!K134,'R3'!K134)</f>
        <v>22.236193333333333</v>
      </c>
      <c r="E134">
        <f>AVERAGE('R1'!L134,'R2'!L134,'R3'!L134)</f>
        <v>-1.1013181600472211</v>
      </c>
      <c r="F134">
        <f>AVERAGE('R1'!M134,'R2'!M134,'R3'!M134)</f>
        <v>-1.2771824648579522</v>
      </c>
      <c r="G134">
        <f>AVERAGE('R1'!N134,'R2'!N134,'R3'!N134)</f>
        <v>-0.39864746881077928</v>
      </c>
      <c r="H134">
        <f>AVERAGE('R1'!O134,'R2'!O134,'R3'!O134)</f>
        <v>-0.39639963453771659</v>
      </c>
      <c r="I134">
        <f t="shared" si="6"/>
        <v>4373.1180222222229</v>
      </c>
      <c r="K134">
        <f>_xlfn.STDEV.S('R1'!L134,'R2'!L134,'R3'!L134)</f>
        <v>8.7796897583553881E-4</v>
      </c>
      <c r="L134">
        <f>_xlfn.STDEV.S('R1'!M134,'R2'!M134,'R3'!M134)</f>
        <v>4.3834134792422163E-3</v>
      </c>
      <c r="M134">
        <f>_xlfn.STDEV.S('R1'!N134,'R2'!N134,'R3'!N134)</f>
        <v>2.7450901772520468E-3</v>
      </c>
      <c r="N134">
        <f>_xlfn.STDEV.S('R1'!O134,'R2'!O134,'R3'!O134)</f>
        <v>2.1581691745835522E-3</v>
      </c>
    </row>
    <row r="135" spans="1:14" x14ac:dyDescent="0.25">
      <c r="A135">
        <f>-'R1'!H135</f>
        <v>24</v>
      </c>
      <c r="B135">
        <f>DEGREES(ATAN(-SIN(RADIANS(('R1'!I135)))/(COS(RADIANS(Sheet1!A135))*COS(RADIANS('R1'!I135)))))</f>
        <v>-30.200622081370245</v>
      </c>
      <c r="C135">
        <f>AVERAGE('R1'!J135,'R2'!J135,'R3'!J135)</f>
        <v>1.18</v>
      </c>
      <c r="D135">
        <f>AVERAGE('R1'!K135,'R2'!K135,'R3'!K135)</f>
        <v>22.852824833333333</v>
      </c>
      <c r="E135">
        <f>AVERAGE('R1'!L135,'R2'!L135,'R3'!L135)</f>
        <v>-1.2502256235227884</v>
      </c>
      <c r="F135">
        <f>AVERAGE('R1'!M135,'R2'!M135,'R3'!M135)</f>
        <v>-1.2603424242925518</v>
      </c>
      <c r="G135">
        <f>AVERAGE('R1'!N135,'R2'!N135,'R3'!N135)</f>
        <v>-0.46602333164180171</v>
      </c>
      <c r="H135">
        <f>AVERAGE('R1'!O135,'R2'!O135,'R3'!O135)</f>
        <v>-0.5033162888261421</v>
      </c>
      <c r="I135">
        <f t="shared" si="6"/>
        <v>4494.3888838888888</v>
      </c>
      <c r="K135">
        <f>_xlfn.STDEV.S('R1'!L135,'R2'!L135,'R3'!L135)</f>
        <v>3.7423625357946304E-3</v>
      </c>
      <c r="L135">
        <f>_xlfn.STDEV.S('R1'!M135,'R2'!M135,'R3'!M135)</f>
        <v>2.8240438976487718E-3</v>
      </c>
      <c r="M135">
        <f>_xlfn.STDEV.S('R1'!N135,'R2'!N135,'R3'!N135)</f>
        <v>2.8947449308603262E-3</v>
      </c>
      <c r="N135">
        <f>_xlfn.STDEV.S('R1'!O135,'R2'!O135,'R3'!O135)</f>
        <v>2.3483823732235471E-3</v>
      </c>
    </row>
    <row r="136" spans="1:14" x14ac:dyDescent="0.25">
      <c r="A136">
        <f>-'R1'!H136</f>
        <v>24</v>
      </c>
      <c r="B136">
        <f>DEGREES(ATAN(-SIN(RADIANS(('R1'!I136)))/(COS(RADIANS(Sheet1!A136))*COS(RADIANS('R1'!I136)))))</f>
        <v>-34.372309890771753</v>
      </c>
      <c r="C136">
        <f>AVERAGE('R1'!J136,'R2'!J136,'R3'!J136)</f>
        <v>1.18</v>
      </c>
      <c r="D136">
        <f>AVERAGE('R1'!K136,'R2'!K136,'R3'!K136)</f>
        <v>23.293806333333336</v>
      </c>
      <c r="E136">
        <f>AVERAGE('R1'!L136,'R2'!L136,'R3'!L136)</f>
        <v>-1.3813483715536921</v>
      </c>
      <c r="F136">
        <f>AVERAGE('R1'!M136,'R2'!M136,'R3'!M136)</f>
        <v>-1.2793909551296569</v>
      </c>
      <c r="G136">
        <f>AVERAGE('R1'!N136,'R2'!N136,'R3'!N136)</f>
        <v>-0.55826692150983481</v>
      </c>
      <c r="H136">
        <f>AVERAGE('R1'!O136,'R2'!O136,'R3'!O136)</f>
        <v>-0.61825396518428255</v>
      </c>
      <c r="I136">
        <f t="shared" si="6"/>
        <v>4581.1152455555566</v>
      </c>
      <c r="K136">
        <f>_xlfn.STDEV.S('R1'!L136,'R2'!L136,'R3'!L136)</f>
        <v>1.12472981392458E-3</v>
      </c>
      <c r="L136">
        <f>_xlfn.STDEV.S('R1'!M136,'R2'!M136,'R3'!M136)</f>
        <v>1.9991242465184416E-3</v>
      </c>
      <c r="M136">
        <f>_xlfn.STDEV.S('R1'!N136,'R2'!N136,'R3'!N136)</f>
        <v>1.5116753650059424E-3</v>
      </c>
      <c r="N136">
        <f>_xlfn.STDEV.S('R1'!O136,'R2'!O136,'R3'!O136)</f>
        <v>6.926998762077155E-4</v>
      </c>
    </row>
    <row r="137" spans="1:14" x14ac:dyDescent="0.25">
      <c r="A137">
        <f>-'R1'!H137</f>
        <v>24</v>
      </c>
      <c r="B137">
        <f>DEGREES(ATAN(-SIN(RADIANS(('R1'!I137)))/(COS(RADIANS(Sheet1!A137))*COS(RADIANS('R1'!I137)))))</f>
        <v>-38.495223358359183</v>
      </c>
      <c r="C137">
        <f>AVERAGE('R1'!J137,'R2'!J137,'R3'!J137)</f>
        <v>1.18</v>
      </c>
      <c r="D137">
        <f>AVERAGE('R1'!K137,'R2'!K137,'R3'!K137)</f>
        <v>23.267650666666668</v>
      </c>
      <c r="E137">
        <f>AVERAGE('R1'!L137,'R2'!L137,'R3'!L137)</f>
        <v>-1.5180631950034327</v>
      </c>
      <c r="F137">
        <f>AVERAGE('R1'!M137,'R2'!M137,'R3'!M137)</f>
        <v>-1.3147273905241945</v>
      </c>
      <c r="G137">
        <f>AVERAGE('R1'!N137,'R2'!N137,'R3'!N137)</f>
        <v>-0.66817008203181327</v>
      </c>
      <c r="H137">
        <f>AVERAGE('R1'!O137,'R2'!O137,'R3'!O137)</f>
        <v>-0.74023010978212211</v>
      </c>
      <c r="I137">
        <f t="shared" si="6"/>
        <v>4575.9712977777781</v>
      </c>
      <c r="K137">
        <f>_xlfn.STDEV.S('R1'!L137,'R2'!L137,'R3'!L137)</f>
        <v>2.1003275816720924E-3</v>
      </c>
      <c r="L137">
        <f>_xlfn.STDEV.S('R1'!M137,'R2'!M137,'R3'!M137)</f>
        <v>3.1274552725109022E-3</v>
      </c>
      <c r="M137">
        <f>_xlfn.STDEV.S('R1'!N137,'R2'!N137,'R3'!N137)</f>
        <v>4.5928209229682436E-3</v>
      </c>
      <c r="N137">
        <f>_xlfn.STDEV.S('R1'!O137,'R2'!O137,'R3'!O137)</f>
        <v>4.0109686881449969E-3</v>
      </c>
    </row>
    <row r="138" spans="1:14" x14ac:dyDescent="0.25">
      <c r="A138">
        <f>-'R1'!H138</f>
        <v>24</v>
      </c>
      <c r="B138">
        <f>DEGREES(ATAN(-SIN(RADIANS(('R1'!I138)))/(COS(RADIANS(Sheet1!A138))*COS(RADIANS('R1'!I138)))))</f>
        <v>-42.567751063132313</v>
      </c>
      <c r="C138">
        <f>AVERAGE('R1'!J138,'R2'!J138,'R3'!J138)</f>
        <v>1.18</v>
      </c>
      <c r="D138">
        <f>AVERAGE('R1'!K138,'R2'!K138,'R3'!K138)</f>
        <v>22.644516083333333</v>
      </c>
      <c r="E138">
        <f>AVERAGE('R1'!L138,'R2'!L138,'R3'!L138)</f>
        <v>-1.6657780038389083</v>
      </c>
      <c r="F138">
        <f>AVERAGE('R1'!M138,'R2'!M138,'R3'!M138)</f>
        <v>-1.3753780698073552</v>
      </c>
      <c r="G138">
        <f>AVERAGE('R1'!N138,'R2'!N138,'R3'!N138)</f>
        <v>-0.81431559144051546</v>
      </c>
      <c r="H138">
        <f>AVERAGE('R1'!O138,'R2'!O138,'R3'!O138)</f>
        <v>-0.87766945240417904</v>
      </c>
      <c r="I138">
        <f t="shared" si="6"/>
        <v>4453.421496388889</v>
      </c>
      <c r="K138">
        <f>_xlfn.STDEV.S('R1'!L138,'R2'!L138,'R3'!L138)</f>
        <v>2.228420516720832E-3</v>
      </c>
      <c r="L138">
        <f>_xlfn.STDEV.S('R1'!M138,'R2'!M138,'R3'!M138)</f>
        <v>2.2266378817531766E-3</v>
      </c>
      <c r="M138">
        <f>_xlfn.STDEV.S('R1'!N138,'R2'!N138,'R3'!N138)</f>
        <v>4.7569331090542609E-3</v>
      </c>
      <c r="N138">
        <f>_xlfn.STDEV.S('R1'!O138,'R2'!O138,'R3'!O138)</f>
        <v>1.7400855944446954E-3</v>
      </c>
    </row>
    <row r="139" spans="1:14" x14ac:dyDescent="0.25">
      <c r="A139">
        <f>-'R1'!H139</f>
        <v>24</v>
      </c>
      <c r="B139">
        <f>DEGREES(ATAN(-SIN(RADIANS(('R1'!I139)))/(COS(RADIANS(Sheet1!A139))*COS(RADIANS('R1'!I139)))))</f>
        <v>-46.589384435425394</v>
      </c>
      <c r="C139">
        <f>AVERAGE('R1'!J139,'R2'!J139,'R3'!J139)</f>
        <v>1.18</v>
      </c>
      <c r="D139">
        <f>AVERAGE('R1'!K139,'R2'!K139,'R3'!K139)</f>
        <v>21.865937166666669</v>
      </c>
      <c r="E139">
        <f>AVERAGE('R1'!L139,'R2'!L139,'R3'!L139)</f>
        <v>-1.833384605622254</v>
      </c>
      <c r="F139">
        <f>AVERAGE('R1'!M139,'R2'!M139,'R3'!M139)</f>
        <v>-1.463488783009528</v>
      </c>
      <c r="G139">
        <f>AVERAGE('R1'!N139,'R2'!N139,'R3'!N139)</f>
        <v>-0.99983251268186324</v>
      </c>
      <c r="H139">
        <f>AVERAGE('R1'!O139,'R2'!O139,'R3'!O139)</f>
        <v>-1.0335614583463364</v>
      </c>
      <c r="I139">
        <f t="shared" si="6"/>
        <v>4300.3009761111107</v>
      </c>
      <c r="K139">
        <f>_xlfn.STDEV.S('R1'!L139,'R2'!L139,'R3'!L139)</f>
        <v>2.7565190217137062E-3</v>
      </c>
      <c r="L139">
        <f>_xlfn.STDEV.S('R1'!M139,'R2'!M139,'R3'!M139)</f>
        <v>4.6776590932628547E-3</v>
      </c>
      <c r="M139">
        <f>_xlfn.STDEV.S('R1'!N139,'R2'!N139,'R3'!N139)</f>
        <v>2.3816092251552961E-3</v>
      </c>
      <c r="N139">
        <f>_xlfn.STDEV.S('R1'!O139,'R2'!O139,'R3'!O139)</f>
        <v>2.1026047336976197E-3</v>
      </c>
    </row>
    <row r="140" spans="1:14" x14ac:dyDescent="0.25">
      <c r="A140">
        <f>-'R1'!H140</f>
        <v>20</v>
      </c>
      <c r="B140">
        <f>DEGREES(ATAN(-SIN(RADIANS(('R1'!I140)))/(COS(RADIANS(Sheet1!A140))*COS(RADIANS('R1'!I140)))))</f>
        <v>45.781668962964282</v>
      </c>
      <c r="C140">
        <f>AVERAGE('R1'!J140,'R2'!J140,'R3'!J140)</f>
        <v>1.18</v>
      </c>
      <c r="D140">
        <f>AVERAGE('R1'!K140,'R2'!K140,'R3'!K140)</f>
        <v>21.44115175</v>
      </c>
      <c r="E140">
        <f>AVERAGE('R1'!L140,'R2'!L140,'R3'!L140)</f>
        <v>2.2042662371959132</v>
      </c>
      <c r="F140">
        <f>AVERAGE('R1'!M140,'R2'!M140,'R3'!M140)</f>
        <v>-1.5084888656736419</v>
      </c>
      <c r="G140">
        <f>AVERAGE('R1'!N140,'R2'!N140,'R3'!N140)</f>
        <v>-1.3260548557767358</v>
      </c>
      <c r="H140">
        <f>AVERAGE('R1'!O140,'R2'!O140,'R3'!O140)</f>
        <v>-1.2006084799068937</v>
      </c>
      <c r="I140">
        <f t="shared" si="6"/>
        <v>4216.7598441666669</v>
      </c>
      <c r="K140">
        <f>_xlfn.STDEV.S('R1'!L140,'R2'!L140,'R3'!L140)</f>
        <v>2.9375755313652717E-3</v>
      </c>
      <c r="L140">
        <f>_xlfn.STDEV.S('R1'!M140,'R2'!M140,'R3'!M140)</f>
        <v>2.9380828608131914E-3</v>
      </c>
      <c r="M140">
        <f>_xlfn.STDEV.S('R1'!N140,'R2'!N140,'R3'!N140)</f>
        <v>2.9272793095705889E-3</v>
      </c>
      <c r="N140">
        <f>_xlfn.STDEV.S('R1'!O140,'R2'!O140,'R3'!O140)</f>
        <v>4.2036562577435629E-4</v>
      </c>
    </row>
    <row r="141" spans="1:14" x14ac:dyDescent="0.25">
      <c r="A141">
        <f>-'R1'!H141</f>
        <v>20</v>
      </c>
      <c r="B141">
        <f>DEGREES(ATAN(-SIN(RADIANS(('R1'!I141)))/(COS(RADIANS(Sheet1!A141))*COS(RADIANS('R1'!I141)))))</f>
        <v>41.763297417742614</v>
      </c>
      <c r="C141">
        <f>AVERAGE('R1'!J141,'R2'!J141,'R3'!J141)</f>
        <v>1.18</v>
      </c>
      <c r="D141">
        <f>AVERAGE('R1'!K141,'R2'!K141,'R3'!K141)</f>
        <v>21.421032083333333</v>
      </c>
      <c r="E141">
        <f>AVERAGE('R1'!L141,'R2'!L141,'R3'!L141)</f>
        <v>1.9730164511000652</v>
      </c>
      <c r="F141">
        <f>AVERAGE('R1'!M141,'R2'!M141,'R3'!M141)</f>
        <v>-1.3782403604971807</v>
      </c>
      <c r="G141">
        <f>AVERAGE('R1'!N141,'R2'!N141,'R3'!N141)</f>
        <v>-1.0525305398164988</v>
      </c>
      <c r="H141">
        <f>AVERAGE('R1'!O141,'R2'!O141,'R3'!O141)</f>
        <v>-0.9857608348739112</v>
      </c>
      <c r="I141">
        <f t="shared" si="6"/>
        <v>4212.8029763888881</v>
      </c>
      <c r="K141">
        <f>_xlfn.STDEV.S('R1'!L141,'R2'!L141,'R3'!L141)</f>
        <v>9.2759387307898584E-3</v>
      </c>
      <c r="L141">
        <f>_xlfn.STDEV.S('R1'!M141,'R2'!M141,'R3'!M141)</f>
        <v>2.0304473721724178E-3</v>
      </c>
      <c r="M141">
        <f>_xlfn.STDEV.S('R1'!N141,'R2'!N141,'R3'!N141)</f>
        <v>4.3829137633827047E-3</v>
      </c>
      <c r="N141">
        <f>_xlfn.STDEV.S('R1'!O141,'R2'!O141,'R3'!O141)</f>
        <v>2.974932622125258E-3</v>
      </c>
    </row>
    <row r="142" spans="1:14" x14ac:dyDescent="0.25">
      <c r="A142">
        <f>-'R1'!H142</f>
        <v>20</v>
      </c>
      <c r="B142">
        <f>DEGREES(ATAN(-SIN(RADIANS(('R1'!I142)))/(COS(RADIANS(Sheet1!A142))*COS(RADIANS('R1'!I142)))))</f>
        <v>37.710134449764993</v>
      </c>
      <c r="C142">
        <f>AVERAGE('R1'!J142,'R2'!J142,'R3'!J142)</f>
        <v>1.18</v>
      </c>
      <c r="D142">
        <f>AVERAGE('R1'!K142,'R2'!K142,'R3'!K142)</f>
        <v>21.724623583333329</v>
      </c>
      <c r="E142">
        <f>AVERAGE('R1'!L142,'R2'!L142,'R3'!L142)</f>
        <v>1.789571673381553</v>
      </c>
      <c r="F142">
        <f>AVERAGE('R1'!M142,'R2'!M142,'R3'!M142)</f>
        <v>-1.2726791597472367</v>
      </c>
      <c r="G142">
        <f>AVERAGE('R1'!N142,'R2'!N142,'R3'!N142)</f>
        <v>-0.84009968738096197</v>
      </c>
      <c r="H142">
        <f>AVERAGE('R1'!O142,'R2'!O142,'R3'!O142)</f>
        <v>-0.80522826071977593</v>
      </c>
      <c r="I142">
        <f t="shared" si="6"/>
        <v>4272.5093047222217</v>
      </c>
      <c r="K142">
        <f>_xlfn.STDEV.S('R1'!L142,'R2'!L142,'R3'!L142)</f>
        <v>7.5630588561934227E-3</v>
      </c>
      <c r="L142">
        <f>_xlfn.STDEV.S('R1'!M142,'R2'!M142,'R3'!M142)</f>
        <v>2.4978059895399396E-3</v>
      </c>
      <c r="M142">
        <f>_xlfn.STDEV.S('R1'!N142,'R2'!N142,'R3'!N142)</f>
        <v>5.8018497714054313E-3</v>
      </c>
      <c r="N142">
        <f>_xlfn.STDEV.S('R1'!O142,'R2'!O142,'R3'!O142)</f>
        <v>4.5237078467970119E-3</v>
      </c>
    </row>
    <row r="143" spans="1:14" x14ac:dyDescent="0.25">
      <c r="A143">
        <f>-'R1'!H143</f>
        <v>20</v>
      </c>
      <c r="B143">
        <f>DEGREES(ATAN(-SIN(RADIANS(('R1'!I143)))/(COS(RADIANS(Sheet1!A143))*COS(RADIANS('R1'!I143)))))</f>
        <v>33.622796746730245</v>
      </c>
      <c r="C143">
        <f>AVERAGE('R1'!J143,'R2'!J143,'R3'!J143)</f>
        <v>1.18</v>
      </c>
      <c r="D143">
        <f>AVERAGE('R1'!K143,'R2'!K143,'R3'!K143)</f>
        <v>22.322998999999999</v>
      </c>
      <c r="E143">
        <f>AVERAGE('R1'!L143,'R2'!L143,'R3'!L143)</f>
        <v>1.6191818848524597</v>
      </c>
      <c r="F143">
        <f>AVERAGE('R1'!M143,'R2'!M143,'R3'!M143)</f>
        <v>-1.2033741922154275</v>
      </c>
      <c r="G143">
        <f>AVERAGE('R1'!N143,'R2'!N143,'R3'!N143)</f>
        <v>-0.67395464822783879</v>
      </c>
      <c r="H143">
        <f>AVERAGE('R1'!O143,'R2'!O143,'R3'!O143)</f>
        <v>-0.65413984465171426</v>
      </c>
      <c r="I143">
        <f t="shared" si="6"/>
        <v>4390.1898033333327</v>
      </c>
      <c r="K143">
        <f>_xlfn.STDEV.S('R1'!L143,'R2'!L143,'R3'!L143)</f>
        <v>2.2362285081740964E-3</v>
      </c>
      <c r="L143">
        <f>_xlfn.STDEV.S('R1'!M143,'R2'!M143,'R3'!M143)</f>
        <v>3.7737617185549842E-3</v>
      </c>
      <c r="M143">
        <f>_xlfn.STDEV.S('R1'!N143,'R2'!N143,'R3'!N143)</f>
        <v>4.2281782117486864E-4</v>
      </c>
      <c r="N143">
        <f>_xlfn.STDEV.S('R1'!O143,'R2'!O143,'R3'!O143)</f>
        <v>1.5757940929267719E-3</v>
      </c>
    </row>
    <row r="144" spans="1:14" x14ac:dyDescent="0.25">
      <c r="A144">
        <f>-'R1'!H144</f>
        <v>20</v>
      </c>
      <c r="B144">
        <f>DEGREES(ATAN(-SIN(RADIANS(('R1'!I144)))/(COS(RADIANS(Sheet1!A144))*COS(RADIANS('R1'!I144)))))</f>
        <v>29.502629281345779</v>
      </c>
      <c r="C144">
        <f>AVERAGE('R1'!J144,'R2'!J144,'R3'!J144)</f>
        <v>1.18</v>
      </c>
      <c r="D144">
        <f>AVERAGE('R1'!K144,'R2'!K144,'R3'!K144)</f>
        <v>22.894536333333335</v>
      </c>
      <c r="E144">
        <f>AVERAGE('R1'!L144,'R2'!L144,'R3'!L144)</f>
        <v>1.4744368216110406</v>
      </c>
      <c r="F144">
        <f>AVERAGE('R1'!M144,'R2'!M144,'R3'!M144)</f>
        <v>-1.139979520521968</v>
      </c>
      <c r="G144">
        <f>AVERAGE('R1'!N144,'R2'!N144,'R3'!N144)</f>
        <v>-0.54326559910878847</v>
      </c>
      <c r="H144">
        <f>AVERAGE('R1'!O144,'R2'!O144,'R3'!O144)</f>
        <v>-0.50204259632798498</v>
      </c>
      <c r="I144">
        <f t="shared" si="6"/>
        <v>4502.5921455555563</v>
      </c>
      <c r="K144">
        <f>_xlfn.STDEV.S('R1'!L144,'R2'!L144,'R3'!L144)</f>
        <v>1.2381469224407664E-3</v>
      </c>
      <c r="L144">
        <f>_xlfn.STDEV.S('R1'!M144,'R2'!M144,'R3'!M144)</f>
        <v>3.3892155941097517E-4</v>
      </c>
      <c r="M144">
        <f>_xlfn.STDEV.S('R1'!N144,'R2'!N144,'R3'!N144)</f>
        <v>2.3704062989283047E-3</v>
      </c>
      <c r="N144">
        <f>_xlfn.STDEV.S('R1'!O144,'R2'!O144,'R3'!O144)</f>
        <v>1.8155201480248224E-3</v>
      </c>
    </row>
    <row r="145" spans="1:14" x14ac:dyDescent="0.25">
      <c r="A145">
        <f>-'R1'!H145</f>
        <v>20</v>
      </c>
      <c r="B145">
        <f>DEGREES(ATAN(-SIN(RADIANS(('R1'!I145)))/(COS(RADIANS(Sheet1!A145))*COS(RADIANS('R1'!I145)))))</f>
        <v>25.351709771061881</v>
      </c>
      <c r="C145">
        <f>AVERAGE('R1'!J145,'R2'!J145,'R3'!J145)</f>
        <v>1.18</v>
      </c>
      <c r="D145">
        <f>AVERAGE('R1'!K145,'R2'!K145,'R3'!K145)</f>
        <v>23.131013083333329</v>
      </c>
      <c r="E145">
        <f>AVERAGE('R1'!L145,'R2'!L145,'R3'!L145)</f>
        <v>1.3360440328539871</v>
      </c>
      <c r="F145">
        <f>AVERAGE('R1'!M145,'R2'!M145,'R3'!M145)</f>
        <v>-1.0898246278895014</v>
      </c>
      <c r="G145">
        <f>AVERAGE('R1'!N145,'R2'!N145,'R3'!N145)</f>
        <v>-0.43836824772925026</v>
      </c>
      <c r="H145">
        <f>AVERAGE('R1'!O145,'R2'!O145,'R3'!O145)</f>
        <v>-0.3572465805350622</v>
      </c>
      <c r="I145">
        <f t="shared" si="6"/>
        <v>4549.0992397222208</v>
      </c>
      <c r="K145">
        <f>_xlfn.STDEV.S('R1'!L145,'R2'!L145,'R3'!L145)</f>
        <v>3.1914304000590483E-3</v>
      </c>
      <c r="L145">
        <f>_xlfn.STDEV.S('R1'!M145,'R2'!M145,'R3'!M145)</f>
        <v>5.9956918953031225E-3</v>
      </c>
      <c r="M145">
        <f>_xlfn.STDEV.S('R1'!N145,'R2'!N145,'R3'!N145)</f>
        <v>2.5297230280388002E-3</v>
      </c>
      <c r="N145">
        <f>_xlfn.STDEV.S('R1'!O145,'R2'!O145,'R3'!O145)</f>
        <v>6.0216388804860662E-3</v>
      </c>
    </row>
    <row r="146" spans="1:14" x14ac:dyDescent="0.25">
      <c r="A146">
        <f>-'R1'!H146</f>
        <v>20</v>
      </c>
      <c r="B146">
        <f>DEGREES(ATAN(-SIN(RADIANS(('R1'!I146)))/(COS(RADIANS(Sheet1!A146))*COS(RADIANS('R1'!I146)))))</f>
        <v>21.172832185162978</v>
      </c>
      <c r="C146">
        <f>AVERAGE('R1'!J146,'R2'!J146,'R3'!J146)</f>
        <v>1.18</v>
      </c>
      <c r="D146">
        <f>AVERAGE('R1'!K146,'R2'!K146,'R3'!K146)</f>
        <v>22.79091975</v>
      </c>
      <c r="E146">
        <f>AVERAGE('R1'!L146,'R2'!L146,'R3'!L146)</f>
        <v>1.1502907843222119</v>
      </c>
      <c r="F146">
        <f>AVERAGE('R1'!M146,'R2'!M146,'R3'!M146)</f>
        <v>-1.0936178100695855</v>
      </c>
      <c r="G146">
        <f>AVERAGE('R1'!N146,'R2'!N146,'R3'!N146)</f>
        <v>-0.34548418161663941</v>
      </c>
      <c r="H146">
        <f>AVERAGE('R1'!O146,'R2'!O146,'R3'!O146)</f>
        <v>-0.22924276825769405</v>
      </c>
      <c r="I146">
        <f t="shared" si="6"/>
        <v>4482.2142174999999</v>
      </c>
      <c r="K146">
        <f>_xlfn.STDEV.S('R1'!L146,'R2'!L146,'R3'!L146)</f>
        <v>2.9189765564783515E-3</v>
      </c>
      <c r="L146">
        <f>_xlfn.STDEV.S('R1'!M146,'R2'!M146,'R3'!M146)</f>
        <v>3.7222539060622235E-3</v>
      </c>
      <c r="M146">
        <f>_xlfn.STDEV.S('R1'!N146,'R2'!N146,'R3'!N146)</f>
        <v>1.2329575557284936E-3</v>
      </c>
      <c r="N146">
        <f>_xlfn.STDEV.S('R1'!O146,'R2'!O146,'R3'!O146)</f>
        <v>3.4606670028969454E-3</v>
      </c>
    </row>
    <row r="147" spans="1:14" x14ac:dyDescent="0.25">
      <c r="A147">
        <f>-'R1'!H147</f>
        <v>20</v>
      </c>
      <c r="B147">
        <f>DEGREES(ATAN(-SIN(RADIANS(('R1'!I147)))/(COS(RADIANS(Sheet1!A147))*COS(RADIANS('R1'!I147)))))</f>
        <v>16.969467099429082</v>
      </c>
      <c r="C147">
        <f>AVERAGE('R1'!J147,'R2'!J147,'R3'!J147)</f>
        <v>1.18</v>
      </c>
      <c r="D147">
        <f>AVERAGE('R1'!K147,'R2'!K147,'R3'!K147)</f>
        <v>22.414478750000001</v>
      </c>
      <c r="E147">
        <f>AVERAGE('R1'!L147,'R2'!L147,'R3'!L147)</f>
        <v>0.9513798263603217</v>
      </c>
      <c r="F147">
        <f>AVERAGE('R1'!M147,'R2'!M147,'R3'!M147)</f>
        <v>-1.1240920643596393</v>
      </c>
      <c r="G147">
        <f>AVERAGE('R1'!N147,'R2'!N147,'R3'!N147)</f>
        <v>-0.26934406678883077</v>
      </c>
      <c r="H147">
        <f>AVERAGE('R1'!O147,'R2'!O147,'R3'!O147)</f>
        <v>-0.11589916086986761</v>
      </c>
      <c r="I147">
        <f t="shared" si="6"/>
        <v>4408.1808208333341</v>
      </c>
      <c r="K147">
        <f>_xlfn.STDEV.S('R1'!L147,'R2'!L147,'R3'!L147)</f>
        <v>7.7382087537829387E-3</v>
      </c>
      <c r="L147">
        <f>_xlfn.STDEV.S('R1'!M147,'R2'!M147,'R3'!M147)</f>
        <v>3.9369791454249431E-3</v>
      </c>
      <c r="M147">
        <f>_xlfn.STDEV.S('R1'!N147,'R2'!N147,'R3'!N147)</f>
        <v>1.2978967542044584E-3</v>
      </c>
      <c r="N147">
        <f>_xlfn.STDEV.S('R1'!O147,'R2'!O147,'R3'!O147)</f>
        <v>2.1910694642037999E-3</v>
      </c>
    </row>
    <row r="148" spans="1:14" x14ac:dyDescent="0.25">
      <c r="A148">
        <f>-'R1'!H148</f>
        <v>20</v>
      </c>
      <c r="B148">
        <f>DEGREES(ATAN(-SIN(RADIANS(('R1'!I148)))/(COS(RADIANS(Sheet1!A148))*COS(RADIANS('R1'!I148)))))</f>
        <v>12.745697846757086</v>
      </c>
      <c r="C148">
        <f>AVERAGE('R1'!J148,'R2'!J148,'R3'!J148)</f>
        <v>1.18</v>
      </c>
      <c r="D148">
        <f>AVERAGE('R1'!K148,'R2'!K148,'R3'!K148)</f>
        <v>22.008936333333335</v>
      </c>
      <c r="E148">
        <f>AVERAGE('R1'!L148,'R2'!L148,'R3'!L148)</f>
        <v>0.74156203860997805</v>
      </c>
      <c r="F148">
        <f>AVERAGE('R1'!M148,'R2'!M148,'R3'!M148)</f>
        <v>-1.1865140135937839</v>
      </c>
      <c r="G148">
        <f>AVERAGE('R1'!N148,'R2'!N148,'R3'!N148)</f>
        <v>-0.21480587625435607</v>
      </c>
      <c r="H148">
        <f>AVERAGE('R1'!O148,'R2'!O148,'R3'!O148)</f>
        <v>-2.7992947071355873E-2</v>
      </c>
      <c r="I148">
        <f t="shared" si="6"/>
        <v>4328.4241455555566</v>
      </c>
      <c r="K148">
        <f>_xlfn.STDEV.S('R1'!L148,'R2'!L148,'R3'!L148)</f>
        <v>1.6795103010225525E-3</v>
      </c>
      <c r="L148">
        <f>_xlfn.STDEV.S('R1'!M148,'R2'!M148,'R3'!M148)</f>
        <v>6.4620537768155873E-3</v>
      </c>
      <c r="M148">
        <f>_xlfn.STDEV.S('R1'!N148,'R2'!N148,'R3'!N148)</f>
        <v>2.1286531135498842E-3</v>
      </c>
      <c r="N148">
        <f>_xlfn.STDEV.S('R1'!O148,'R2'!O148,'R3'!O148)</f>
        <v>6.1951376611992116E-3</v>
      </c>
    </row>
    <row r="149" spans="1:14" x14ac:dyDescent="0.25">
      <c r="A149">
        <f>-'R1'!H149</f>
        <v>20</v>
      </c>
      <c r="B149">
        <f>DEGREES(ATAN(-SIN(RADIANS(('R1'!I149)))/(COS(RADIANS(Sheet1!A149))*COS(RADIANS('R1'!I149)))))</f>
        <v>8.5061328568771426</v>
      </c>
      <c r="C149">
        <f>AVERAGE('R1'!J149,'R2'!J149,'R3'!J149)</f>
        <v>1.18</v>
      </c>
      <c r="D149">
        <f>AVERAGE('R1'!K149,'R2'!K149,'R3'!K149)</f>
        <v>21.708544999999997</v>
      </c>
      <c r="E149">
        <f>AVERAGE('R1'!L149,'R2'!L149,'R3'!L149)</f>
        <v>0.53107174242828481</v>
      </c>
      <c r="F149">
        <f>AVERAGE('R1'!M149,'R2'!M149,'R3'!M149)</f>
        <v>-1.2581256119900395</v>
      </c>
      <c r="G149">
        <f>AVERAGE('R1'!N149,'R2'!N149,'R3'!N149)</f>
        <v>-0.17751500620744334</v>
      </c>
      <c r="H149">
        <f>AVERAGE('R1'!O149,'R2'!O149,'R3'!O149)</f>
        <v>3.3279013604801913E-2</v>
      </c>
      <c r="I149">
        <f t="shared" si="6"/>
        <v>4269.3471833333324</v>
      </c>
      <c r="K149">
        <f>_xlfn.STDEV.S('R1'!L149,'R2'!L149,'R3'!L149)</f>
        <v>2.6520607392839218E-3</v>
      </c>
      <c r="L149">
        <f>_xlfn.STDEV.S('R1'!M149,'R2'!M149,'R3'!M149)</f>
        <v>2.1946079231121803E-3</v>
      </c>
      <c r="M149">
        <f>_xlfn.STDEV.S('R1'!N149,'R2'!N149,'R3'!N149)</f>
        <v>9.8637850777794924E-4</v>
      </c>
      <c r="N149">
        <f>_xlfn.STDEV.S('R1'!O149,'R2'!O149,'R3'!O149)</f>
        <v>3.6598542047825123E-3</v>
      </c>
    </row>
    <row r="150" spans="1:14" x14ac:dyDescent="0.25">
      <c r="A150">
        <f>-'R1'!H150</f>
        <v>20</v>
      </c>
      <c r="B150">
        <f>DEGREES(ATAN(-SIN(RADIANS(('R1'!I150)))/(COS(RADIANS(Sheet1!A150))*COS(RADIANS('R1'!I150)))))</f>
        <v>4.2557962016512016</v>
      </c>
      <c r="C150">
        <f>AVERAGE('R1'!J150,'R2'!J150,'R3'!J150)</f>
        <v>1.18</v>
      </c>
      <c r="D150">
        <f>AVERAGE('R1'!K150,'R2'!K150,'R3'!K150)</f>
        <v>21.974156333333337</v>
      </c>
      <c r="E150">
        <f>AVERAGE('R1'!L150,'R2'!L150,'R3'!L150)</f>
        <v>0.29724715619286513</v>
      </c>
      <c r="F150">
        <f>AVERAGE('R1'!M150,'R2'!M150,'R3'!M150)</f>
        <v>-1.3293012713967503</v>
      </c>
      <c r="G150">
        <f>AVERAGE('R1'!N150,'R2'!N150,'R3'!N150)</f>
        <v>-0.14414228805019658</v>
      </c>
      <c r="H150">
        <f>AVERAGE('R1'!O150,'R2'!O150,'R3'!O150)</f>
        <v>8.2537795184857737E-2</v>
      </c>
      <c r="I150">
        <f t="shared" si="6"/>
        <v>4321.5840788888891</v>
      </c>
      <c r="K150">
        <f>_xlfn.STDEV.S('R1'!L150,'R2'!L150,'R3'!L150)</f>
        <v>9.266963492725941E-4</v>
      </c>
      <c r="L150">
        <f>_xlfn.STDEV.S('R1'!M150,'R2'!M150,'R3'!M150)</f>
        <v>2.9781266419600496E-3</v>
      </c>
      <c r="M150">
        <f>_xlfn.STDEV.S('R1'!N150,'R2'!N150,'R3'!N150)</f>
        <v>3.6177207425769696E-3</v>
      </c>
      <c r="N150">
        <f>_xlfn.STDEV.S('R1'!O150,'R2'!O150,'R3'!O150)</f>
        <v>6.9027742424522867E-4</v>
      </c>
    </row>
    <row r="151" spans="1:14" x14ac:dyDescent="0.25">
      <c r="A151">
        <f>-'R1'!H151</f>
        <v>20</v>
      </c>
      <c r="B151">
        <f>DEGREES(ATAN(-SIN(RADIANS(('R1'!I151)))/(COS(RADIANS(Sheet1!A151))*COS(RADIANS('R1'!I151)))))</f>
        <v>0</v>
      </c>
      <c r="C151">
        <f>AVERAGE('R1'!J151,'R2'!J151,'R3'!J151)</f>
        <v>1.18</v>
      </c>
      <c r="D151">
        <f>AVERAGE('R1'!K151,'R2'!K151,'R3'!K151)</f>
        <v>22.192513083333335</v>
      </c>
      <c r="E151">
        <f>AVERAGE('R1'!L151,'R2'!L151,'R3'!L151)</f>
        <v>6.5588844871660015E-2</v>
      </c>
      <c r="F151">
        <f>AVERAGE('R1'!M151,'R2'!M151,'R3'!M151)</f>
        <v>-1.3958133349224695</v>
      </c>
      <c r="G151">
        <f>AVERAGE('R1'!N151,'R2'!N151,'R3'!N151)</f>
        <v>-0.13062591805492538</v>
      </c>
      <c r="H151">
        <f>AVERAGE('R1'!O151,'R2'!O151,'R3'!O151)</f>
        <v>0.13726683802662168</v>
      </c>
      <c r="I151">
        <f t="shared" si="6"/>
        <v>4364.5275730555559</v>
      </c>
      <c r="K151">
        <f>_xlfn.STDEV.S('R1'!L151,'R2'!L151,'R3'!L151)</f>
        <v>8.6500817487938884E-3</v>
      </c>
      <c r="L151">
        <f>_xlfn.STDEV.S('R1'!M151,'R2'!M151,'R3'!M151)</f>
        <v>7.5970299516667401E-4</v>
      </c>
      <c r="M151">
        <f>_xlfn.STDEV.S('R1'!N151,'R2'!N151,'R3'!N151)</f>
        <v>2.0156127759165129E-3</v>
      </c>
      <c r="N151">
        <f>_xlfn.STDEV.S('R1'!O151,'R2'!O151,'R3'!O151)</f>
        <v>2.1212522222766785E-3</v>
      </c>
    </row>
    <row r="152" spans="1:14" x14ac:dyDescent="0.25">
      <c r="A152">
        <f>-'R1'!H152</f>
        <v>20</v>
      </c>
      <c r="B152">
        <f>DEGREES(ATAN(-SIN(RADIANS(('R1'!I152)))/(COS(RADIANS(Sheet1!A152))*COS(RADIANS('R1'!I152)))))</f>
        <v>-4.2557962016512016</v>
      </c>
      <c r="C152">
        <f>AVERAGE('R1'!J152,'R2'!J152,'R3'!J152)</f>
        <v>1.18</v>
      </c>
      <c r="D152">
        <f>AVERAGE('R1'!K152,'R2'!K152,'R3'!K152)</f>
        <v>22.614632833333335</v>
      </c>
      <c r="E152">
        <f>AVERAGE('R1'!L152,'R2'!L152,'R3'!L152)</f>
        <v>-0.15328044879820094</v>
      </c>
      <c r="F152">
        <f>AVERAGE('R1'!M152,'R2'!M152,'R3'!M152)</f>
        <v>-1.3712988223186906</v>
      </c>
      <c r="G152">
        <f>AVERAGE('R1'!N152,'R2'!N152,'R3'!N152)</f>
        <v>-0.12991520383747734</v>
      </c>
      <c r="H152">
        <f>AVERAGE('R1'!O152,'R2'!O152,'R3'!O152)</f>
        <v>0.10220123875230568</v>
      </c>
      <c r="I152">
        <f t="shared" si="6"/>
        <v>4447.5444572222223</v>
      </c>
      <c r="K152">
        <f>_xlfn.STDEV.S('R1'!L152,'R2'!L152,'R3'!L152)</f>
        <v>4.9821387353697196E-3</v>
      </c>
      <c r="L152">
        <f>_xlfn.STDEV.S('R1'!M152,'R2'!M152,'R3'!M152)</f>
        <v>5.2938364082723531E-3</v>
      </c>
      <c r="M152">
        <f>_xlfn.STDEV.S('R1'!N152,'R2'!N152,'R3'!N152)</f>
        <v>2.5110751746320326E-3</v>
      </c>
      <c r="N152">
        <f>_xlfn.STDEV.S('R1'!O152,'R2'!O152,'R3'!O152)</f>
        <v>1.5185402464761284E-3</v>
      </c>
    </row>
    <row r="153" spans="1:14" x14ac:dyDescent="0.25">
      <c r="A153">
        <f>-'R1'!H153</f>
        <v>20</v>
      </c>
      <c r="B153">
        <f>DEGREES(ATAN(-SIN(RADIANS(('R1'!I153)))/(COS(RADIANS(Sheet1!A153))*COS(RADIANS('R1'!I153)))))</f>
        <v>-8.5061328568771426</v>
      </c>
      <c r="C153">
        <f>AVERAGE('R1'!J153,'R2'!J153,'R3'!J153)</f>
        <v>1.18</v>
      </c>
      <c r="D153">
        <f>AVERAGE('R1'!K153,'R2'!K153,'R3'!K153)</f>
        <v>23.121235833333333</v>
      </c>
      <c r="E153">
        <f>AVERAGE('R1'!L153,'R2'!L153,'R3'!L153)</f>
        <v>-0.36651288260350151</v>
      </c>
      <c r="F153">
        <f>AVERAGE('R1'!M153,'R2'!M153,'R3'!M153)</f>
        <v>-1.310014960713912</v>
      </c>
      <c r="G153">
        <f>AVERAGE('R1'!N153,'R2'!N153,'R3'!N153)</f>
        <v>-0.14204520978113314</v>
      </c>
      <c r="H153">
        <f>AVERAGE('R1'!O153,'R2'!O153,'R3'!O153)</f>
        <v>2.5979246836044776E-2</v>
      </c>
      <c r="I153">
        <f t="shared" si="6"/>
        <v>4547.1763805555556</v>
      </c>
      <c r="K153">
        <f>_xlfn.STDEV.S('R1'!L153,'R2'!L153,'R3'!L153)</f>
        <v>3.7518904659214528E-3</v>
      </c>
      <c r="L153">
        <f>_xlfn.STDEV.S('R1'!M153,'R2'!M153,'R3'!M153)</f>
        <v>8.060920123611915E-4</v>
      </c>
      <c r="M153">
        <f>_xlfn.STDEV.S('R1'!N153,'R2'!N153,'R3'!N153)</f>
        <v>1.3951377194076032E-3</v>
      </c>
      <c r="N153">
        <f>_xlfn.STDEV.S('R1'!O153,'R2'!O153,'R3'!O153)</f>
        <v>2.871155068213083E-3</v>
      </c>
    </row>
    <row r="154" spans="1:14" x14ac:dyDescent="0.25">
      <c r="A154">
        <f>-'R1'!H154</f>
        <v>20</v>
      </c>
      <c r="B154">
        <f>DEGREES(ATAN(-SIN(RADIANS(('R1'!I154)))/(COS(RADIANS(Sheet1!A154))*COS(RADIANS('R1'!I154)))))</f>
        <v>-12.745697846757086</v>
      </c>
      <c r="C154">
        <f>AVERAGE('R1'!J154,'R2'!J154,'R3'!J154)</f>
        <v>1.18</v>
      </c>
      <c r="D154">
        <f>AVERAGE('R1'!K154,'R2'!K154,'R3'!K154)</f>
        <v>22.891237749999998</v>
      </c>
      <c r="E154">
        <f>AVERAGE('R1'!L154,'R2'!L154,'R3'!L154)</f>
        <v>-0.57302260897178492</v>
      </c>
      <c r="F154">
        <f>AVERAGE('R1'!M154,'R2'!M154,'R3'!M154)</f>
        <v>-1.2494756459918206</v>
      </c>
      <c r="G154">
        <f>AVERAGE('R1'!N154,'R2'!N154,'R3'!N154)</f>
        <v>-0.16912014505018247</v>
      </c>
      <c r="H154">
        <f>AVERAGE('R1'!O154,'R2'!O154,'R3'!O154)</f>
        <v>-4.047703604076771E-2</v>
      </c>
      <c r="I154">
        <f t="shared" si="6"/>
        <v>4501.9434241666659</v>
      </c>
      <c r="K154">
        <f>_xlfn.STDEV.S('R1'!L154,'R2'!L154,'R3'!L154)</f>
        <v>3.5495807767473115E-3</v>
      </c>
      <c r="L154">
        <f>_xlfn.STDEV.S('R1'!M154,'R2'!M154,'R3'!M154)</f>
        <v>3.3688862348629444E-3</v>
      </c>
      <c r="M154">
        <f>_xlfn.STDEV.S('R1'!N154,'R2'!N154,'R3'!N154)</f>
        <v>1.1572470509112406E-3</v>
      </c>
      <c r="N154">
        <f>_xlfn.STDEV.S('R1'!O154,'R2'!O154,'R3'!O154)</f>
        <v>1.8293687008950604E-3</v>
      </c>
    </row>
    <row r="155" spans="1:14" x14ac:dyDescent="0.25">
      <c r="A155">
        <f>-'R1'!H155</f>
        <v>20</v>
      </c>
      <c r="B155">
        <f>DEGREES(ATAN(-SIN(RADIANS(('R1'!I155)))/(COS(RADIANS(Sheet1!A155))*COS(RADIANS('R1'!I155)))))</f>
        <v>-16.969467099429082</v>
      </c>
      <c r="C155">
        <f>AVERAGE('R1'!J155,'R2'!J155,'R3'!J155)</f>
        <v>1.18</v>
      </c>
      <c r="D155">
        <f>AVERAGE('R1'!K155,'R2'!K155,'R3'!K155)</f>
        <v>22.491735833333337</v>
      </c>
      <c r="E155">
        <f>AVERAGE('R1'!L155,'R2'!L155,'R3'!L155)</f>
        <v>-0.7841103712168529</v>
      </c>
      <c r="F155">
        <f>AVERAGE('R1'!M155,'R2'!M155,'R3'!M155)</f>
        <v>-1.1805835288798709</v>
      </c>
      <c r="G155">
        <f>AVERAGE('R1'!N155,'R2'!N155,'R3'!N155)</f>
        <v>-0.21405462183787616</v>
      </c>
      <c r="H155">
        <f>AVERAGE('R1'!O155,'R2'!O155,'R3'!O155)</f>
        <v>-0.10526505830859323</v>
      </c>
      <c r="I155">
        <f t="shared" si="6"/>
        <v>4423.3747138888893</v>
      </c>
      <c r="K155">
        <f>_xlfn.STDEV.S('R1'!L155,'R2'!L155,'R3'!L155)</f>
        <v>2.6126002220007803E-3</v>
      </c>
      <c r="L155">
        <f>_xlfn.STDEV.S('R1'!M155,'R2'!M155,'R3'!M155)</f>
        <v>3.8868660450323321E-3</v>
      </c>
      <c r="M155">
        <f>_xlfn.STDEV.S('R1'!N155,'R2'!N155,'R3'!N155)</f>
        <v>1.6274683741838776E-3</v>
      </c>
      <c r="N155">
        <f>_xlfn.STDEV.S('R1'!O155,'R2'!O155,'R3'!O155)</f>
        <v>2.2598028964461417E-3</v>
      </c>
    </row>
    <row r="156" spans="1:14" x14ac:dyDescent="0.25">
      <c r="A156">
        <f>-'R1'!H156</f>
        <v>20</v>
      </c>
      <c r="B156">
        <f>DEGREES(ATAN(-SIN(RADIANS(('R1'!I156)))/(COS(RADIANS(Sheet1!A156))*COS(RADIANS('R1'!I156)))))</f>
        <v>-21.172832185162978</v>
      </c>
      <c r="C156">
        <f>AVERAGE('R1'!J156,'R2'!J156,'R3'!J156)</f>
        <v>1.18</v>
      </c>
      <c r="D156">
        <f>AVERAGE('R1'!K156,'R2'!K156,'R3'!K156)</f>
        <v>22.229654833333331</v>
      </c>
      <c r="E156">
        <f>AVERAGE('R1'!L156,'R2'!L156,'R3'!L156)</f>
        <v>-0.97476759880165054</v>
      </c>
      <c r="F156">
        <f>AVERAGE('R1'!M156,'R2'!M156,'R3'!M156)</f>
        <v>-1.1259996862547323</v>
      </c>
      <c r="G156">
        <f>AVERAGE('R1'!N156,'R2'!N156,'R3'!N156)</f>
        <v>-0.26098731397853286</v>
      </c>
      <c r="H156">
        <f>AVERAGE('R1'!O156,'R2'!O156,'R3'!O156)</f>
        <v>-0.19333511776972126</v>
      </c>
      <c r="I156">
        <f t="shared" si="6"/>
        <v>4371.8321172222213</v>
      </c>
      <c r="K156">
        <f>_xlfn.STDEV.S('R1'!L156,'R2'!L156,'R3'!L156)</f>
        <v>3.6006375344379026E-3</v>
      </c>
      <c r="L156">
        <f>_xlfn.STDEV.S('R1'!M156,'R2'!M156,'R3'!M156)</f>
        <v>5.8863289375870476E-3</v>
      </c>
      <c r="M156">
        <f>_xlfn.STDEV.S('R1'!N156,'R2'!N156,'R3'!N156)</f>
        <v>4.3069436387931648E-3</v>
      </c>
      <c r="N156">
        <f>_xlfn.STDEV.S('R1'!O156,'R2'!O156,'R3'!O156)</f>
        <v>8.1268974172495553E-3</v>
      </c>
    </row>
    <row r="157" spans="1:14" x14ac:dyDescent="0.25">
      <c r="A157">
        <f>-'R1'!H157</f>
        <v>20</v>
      </c>
      <c r="B157">
        <f>DEGREES(ATAN(-SIN(RADIANS(('R1'!I157)))/(COS(RADIANS(Sheet1!A157))*COS(RADIANS('R1'!I157)))))</f>
        <v>-25.351709771061881</v>
      </c>
      <c r="C157">
        <f>AVERAGE('R1'!J157,'R2'!J157,'R3'!J157)</f>
        <v>1.18</v>
      </c>
      <c r="D157">
        <f>AVERAGE('R1'!K157,'R2'!K157,'R3'!K157)</f>
        <v>21.708523083333333</v>
      </c>
      <c r="E157">
        <f>AVERAGE('R1'!L157,'R2'!L157,'R3'!L157)</f>
        <v>-1.145838260277193</v>
      </c>
      <c r="F157">
        <f>AVERAGE('R1'!M157,'R2'!M157,'R3'!M157)</f>
        <v>-1.0812702533828564</v>
      </c>
      <c r="G157">
        <f>AVERAGE('R1'!N157,'R2'!N157,'R3'!N157)</f>
        <v>-0.32143979578295562</v>
      </c>
      <c r="H157">
        <f>AVERAGE('R1'!O157,'R2'!O157,'R3'!O157)</f>
        <v>-0.29264248125362607</v>
      </c>
      <c r="I157">
        <f t="shared" si="6"/>
        <v>4269.3428730555552</v>
      </c>
      <c r="K157">
        <f>_xlfn.STDEV.S('R1'!L157,'R2'!L157,'R3'!L157)</f>
        <v>2.1243536496391652E-3</v>
      </c>
      <c r="L157">
        <f>_xlfn.STDEV.S('R1'!M157,'R2'!M157,'R3'!M157)</f>
        <v>7.4771846051922732E-4</v>
      </c>
      <c r="M157">
        <f>_xlfn.STDEV.S('R1'!N157,'R2'!N157,'R3'!N157)</f>
        <v>2.6052612824977455E-3</v>
      </c>
      <c r="N157">
        <f>_xlfn.STDEV.S('R1'!O157,'R2'!O157,'R3'!O157)</f>
        <v>2.991570768408633E-3</v>
      </c>
    </row>
    <row r="158" spans="1:14" x14ac:dyDescent="0.25">
      <c r="A158">
        <f>-'R1'!H158</f>
        <v>20</v>
      </c>
      <c r="B158">
        <f>DEGREES(ATAN(-SIN(RADIANS(('R1'!I158)))/(COS(RADIANS(Sheet1!A158))*COS(RADIANS('R1'!I158)))))</f>
        <v>-29.502629281345779</v>
      </c>
      <c r="C158">
        <f>AVERAGE('R1'!J158,'R2'!J158,'R3'!J158)</f>
        <v>1.18</v>
      </c>
      <c r="D158">
        <f>AVERAGE('R1'!K158,'R2'!K158,'R3'!K158)</f>
        <v>21.515122583333333</v>
      </c>
      <c r="E158">
        <f>AVERAGE('R1'!L158,'R2'!L158,'R3'!L158)</f>
        <v>-1.3007757878351629</v>
      </c>
      <c r="F158">
        <f>AVERAGE('R1'!M158,'R2'!M158,'R3'!M158)</f>
        <v>-1.0765453349864818</v>
      </c>
      <c r="G158">
        <f>AVERAGE('R1'!N158,'R2'!N158,'R3'!N158)</f>
        <v>-0.40199130108539155</v>
      </c>
      <c r="H158">
        <f>AVERAGE('R1'!O158,'R2'!O158,'R3'!O158)</f>
        <v>-0.40110622986370253</v>
      </c>
      <c r="I158">
        <f t="shared" si="6"/>
        <v>4231.3074413888889</v>
      </c>
      <c r="K158">
        <f>_xlfn.STDEV.S('R1'!L158,'R2'!L158,'R3'!L158)</f>
        <v>3.6373140864732439E-3</v>
      </c>
      <c r="L158">
        <f>_xlfn.STDEV.S('R1'!M158,'R2'!M158,'R3'!M158)</f>
        <v>4.3166587198216607E-3</v>
      </c>
      <c r="M158">
        <f>_xlfn.STDEV.S('R1'!N158,'R2'!N158,'R3'!N158)</f>
        <v>2.4876616208336652E-3</v>
      </c>
      <c r="N158">
        <f>_xlfn.STDEV.S('R1'!O158,'R2'!O158,'R3'!O158)</f>
        <v>4.109682477933958E-3</v>
      </c>
    </row>
    <row r="159" spans="1:14" x14ac:dyDescent="0.25">
      <c r="A159">
        <f>-'R1'!H159</f>
        <v>20</v>
      </c>
      <c r="B159">
        <f>DEGREES(ATAN(-SIN(RADIANS(('R1'!I159)))/(COS(RADIANS(Sheet1!A159))*COS(RADIANS('R1'!I159)))))</f>
        <v>-33.622796746730245</v>
      </c>
      <c r="C159">
        <f>AVERAGE('R1'!J159,'R2'!J159,'R3'!J159)</f>
        <v>1.18</v>
      </c>
      <c r="D159">
        <f>AVERAGE('R1'!K159,'R2'!K159,'R3'!K159)</f>
        <v>21.728702999999999</v>
      </c>
      <c r="E159">
        <f>AVERAGE('R1'!L159,'R2'!L159,'R3'!L159)</f>
        <v>-1.4415597144081047</v>
      </c>
      <c r="F159">
        <f>AVERAGE('R1'!M159,'R2'!M159,'R3'!M159)</f>
        <v>-1.1077186923616846</v>
      </c>
      <c r="G159">
        <f>AVERAGE('R1'!N159,'R2'!N159,'R3'!N159)</f>
        <v>-0.50735275781469225</v>
      </c>
      <c r="H159">
        <f>AVERAGE('R1'!O159,'R2'!O159,'R3'!O159)</f>
        <v>-0.52649284646487571</v>
      </c>
      <c r="I159">
        <f t="shared" si="6"/>
        <v>4273.3115900000003</v>
      </c>
      <c r="K159">
        <f>_xlfn.STDEV.S('R1'!L159,'R2'!L159,'R3'!L159)</f>
        <v>4.4688054032753282E-3</v>
      </c>
      <c r="L159">
        <f>_xlfn.STDEV.S('R1'!M159,'R2'!M159,'R3'!M159)</f>
        <v>4.2304597172385513E-3</v>
      </c>
      <c r="M159">
        <f>_xlfn.STDEV.S('R1'!N159,'R2'!N159,'R3'!N159)</f>
        <v>1.6120145165386779E-3</v>
      </c>
      <c r="N159">
        <f>_xlfn.STDEV.S('R1'!O159,'R2'!O159,'R3'!O159)</f>
        <v>1.0666233758183802E-4</v>
      </c>
    </row>
    <row r="160" spans="1:14" x14ac:dyDescent="0.25">
      <c r="A160">
        <f>-'R1'!H160</f>
        <v>20</v>
      </c>
      <c r="B160">
        <f>DEGREES(ATAN(-SIN(RADIANS(('R1'!I160)))/(COS(RADIANS(Sheet1!A160))*COS(RADIANS('R1'!I160)))))</f>
        <v>-37.710134449764993</v>
      </c>
      <c r="C160">
        <f>AVERAGE('R1'!J160,'R2'!J160,'R3'!J160)</f>
        <v>1.18</v>
      </c>
      <c r="D160">
        <f>AVERAGE('R1'!K160,'R2'!K160,'R3'!K160)</f>
        <v>21.943063166666665</v>
      </c>
      <c r="E160">
        <f>AVERAGE('R1'!L160,'R2'!L160,'R3'!L160)</f>
        <v>-1.5983075153951953</v>
      </c>
      <c r="F160">
        <f>AVERAGE('R1'!M160,'R2'!M160,'R3'!M160)</f>
        <v>-1.1549528446178794</v>
      </c>
      <c r="G160">
        <f>AVERAGE('R1'!N160,'R2'!N160,'R3'!N160)</f>
        <v>-0.6420939031493923</v>
      </c>
      <c r="H160">
        <f>AVERAGE('R1'!O160,'R2'!O160,'R3'!O160)</f>
        <v>-0.66455086309865674</v>
      </c>
      <c r="I160">
        <f t="shared" si="6"/>
        <v>4315.4690894444439</v>
      </c>
      <c r="K160">
        <f>_xlfn.STDEV.S('R1'!L160,'R2'!L160,'R3'!L160)</f>
        <v>7.4124224077384213E-3</v>
      </c>
      <c r="L160">
        <f>_xlfn.STDEV.S('R1'!M160,'R2'!M160,'R3'!M160)</f>
        <v>7.089695172308042E-3</v>
      </c>
      <c r="M160">
        <f>_xlfn.STDEV.S('R1'!N160,'R2'!N160,'R3'!N160)</f>
        <v>3.6846200231566142E-3</v>
      </c>
      <c r="N160">
        <f>_xlfn.STDEV.S('R1'!O160,'R2'!O160,'R3'!O160)</f>
        <v>2.0737235824739536E-3</v>
      </c>
    </row>
    <row r="161" spans="1:14" x14ac:dyDescent="0.25">
      <c r="A161">
        <f>-'R1'!H161</f>
        <v>20</v>
      </c>
      <c r="B161">
        <f>DEGREES(ATAN(-SIN(RADIANS(('R1'!I161)))/(COS(RADIANS(Sheet1!A161))*COS(RADIANS('R1'!I161)))))</f>
        <v>-41.763297417742614</v>
      </c>
      <c r="C161">
        <f>AVERAGE('R1'!J161,'R2'!J161,'R3'!J161)</f>
        <v>1.18</v>
      </c>
      <c r="D161">
        <f>AVERAGE('R1'!K161,'R2'!K161,'R3'!K161)</f>
        <v>22.468058416666665</v>
      </c>
      <c r="E161">
        <f>AVERAGE('R1'!L161,'R2'!L161,'R3'!L161)</f>
        <v>-1.7684468672785492</v>
      </c>
      <c r="F161">
        <f>AVERAGE('R1'!M161,'R2'!M161,'R3'!M161)</f>
        <v>-1.235286655602426</v>
      </c>
      <c r="G161">
        <f>AVERAGE('R1'!N161,'R2'!N161,'R3'!N161)</f>
        <v>-0.81348017456062349</v>
      </c>
      <c r="H161">
        <f>AVERAGE('R1'!O161,'R2'!O161,'R3'!O161)</f>
        <v>-0.82057485870775204</v>
      </c>
      <c r="I161">
        <f t="shared" si="6"/>
        <v>4418.7181552777774</v>
      </c>
      <c r="K161">
        <f>_xlfn.STDEV.S('R1'!L161,'R2'!L161,'R3'!L161)</f>
        <v>3.2515926166197468E-3</v>
      </c>
      <c r="L161">
        <f>_xlfn.STDEV.S('R1'!M161,'R2'!M161,'R3'!M161)</f>
        <v>2.228540030990182E-3</v>
      </c>
      <c r="M161">
        <f>_xlfn.STDEV.S('R1'!N161,'R2'!N161,'R3'!N161)</f>
        <v>3.2497542029525464E-3</v>
      </c>
      <c r="N161">
        <f>_xlfn.STDEV.S('R1'!O161,'R2'!O161,'R3'!O161)</f>
        <v>2.2744736841343429E-3</v>
      </c>
    </row>
    <row r="162" spans="1:14" x14ac:dyDescent="0.25">
      <c r="A162">
        <f>-'R1'!H162</f>
        <v>20</v>
      </c>
      <c r="B162">
        <f>DEGREES(ATAN(-SIN(RADIANS(('R1'!I162)))/(COS(RADIANS(Sheet1!A162))*COS(RADIANS('R1'!I162)))))</f>
        <v>-45.781668962964282</v>
      </c>
      <c r="C162">
        <f>AVERAGE('R1'!J162,'R2'!J162,'R3'!J162)</f>
        <v>1.18</v>
      </c>
      <c r="D162">
        <f>AVERAGE('R1'!K162,'R2'!K162,'R3'!K162)</f>
        <v>22.76634816666667</v>
      </c>
      <c r="E162">
        <f>AVERAGE('R1'!L162,'R2'!L162,'R3'!L162)</f>
        <v>-1.9728149241334509</v>
      </c>
      <c r="F162">
        <f>AVERAGE('R1'!M162,'R2'!M162,'R3'!M162)</f>
        <v>-1.3240900987152602</v>
      </c>
      <c r="G162">
        <f>AVERAGE('R1'!N162,'R2'!N162,'R3'!N162)</f>
        <v>-1.021893291205763</v>
      </c>
      <c r="H162">
        <f>AVERAGE('R1'!O162,'R2'!O162,'R3'!O162)</f>
        <v>-1.0014145648102304</v>
      </c>
      <c r="I162">
        <f t="shared" si="6"/>
        <v>4477.3818061111124</v>
      </c>
      <c r="K162">
        <f>_xlfn.STDEV.S('R1'!L162,'R2'!L162,'R3'!L162)</f>
        <v>6.8189516064703325E-3</v>
      </c>
      <c r="L162">
        <f>_xlfn.STDEV.S('R1'!M162,'R2'!M162,'R3'!M162)</f>
        <v>2.3313735984674313E-3</v>
      </c>
      <c r="M162">
        <f>_xlfn.STDEV.S('R1'!N162,'R2'!N162,'R3'!N162)</f>
        <v>5.4986152695694519E-3</v>
      </c>
      <c r="N162">
        <f>_xlfn.STDEV.S('R1'!O162,'R2'!O162,'R3'!O162)</f>
        <v>3.3192747400077726E-3</v>
      </c>
    </row>
    <row r="163" spans="1:14" x14ac:dyDescent="0.25">
      <c r="A163">
        <f>-'R1'!H163</f>
        <v>16</v>
      </c>
      <c r="B163">
        <f>DEGREES(ATAN(-SIN(RADIANS(('R1'!I163)))/(COS(RADIANS(Sheet1!A163))*COS(RADIANS('R1'!I163)))))</f>
        <v>45.131634150601585</v>
      </c>
      <c r="C163">
        <f>AVERAGE('R1'!J163,'R2'!J163,'R3'!J163)</f>
        <v>1.18</v>
      </c>
      <c r="D163">
        <f>AVERAGE('R1'!K163,'R2'!K163,'R3'!K163)</f>
        <v>22.826716416666667</v>
      </c>
      <c r="E163">
        <f>AVERAGE('R1'!L163,'R2'!L163,'R3'!L163)</f>
        <v>2.4172762697661763</v>
      </c>
      <c r="F163">
        <f>AVERAGE('R1'!M163,'R2'!M163,'R3'!M163)</f>
        <v>-1.308893572353822</v>
      </c>
      <c r="G163">
        <f>AVERAGE('R1'!N163,'R2'!N163,'R3'!N163)</f>
        <v>-1.3939094144818072</v>
      </c>
      <c r="H163">
        <f>AVERAGE('R1'!O163,'R2'!O163,'R3'!O163)</f>
        <v>-1.1907668930297788</v>
      </c>
      <c r="I163">
        <f t="shared" si="6"/>
        <v>4489.2542286111111</v>
      </c>
      <c r="K163">
        <f>_xlfn.STDEV.S('R1'!L163,'R2'!L163,'R3'!L163)</f>
        <v>1.2733267135125141E-2</v>
      </c>
      <c r="L163">
        <f>_xlfn.STDEV.S('R1'!M163,'R2'!M163,'R3'!M163)</f>
        <v>3.2911411857334295E-3</v>
      </c>
      <c r="M163">
        <f>_xlfn.STDEV.S('R1'!N163,'R2'!N163,'R3'!N163)</f>
        <v>1.0695829555243957E-2</v>
      </c>
      <c r="N163">
        <f>_xlfn.STDEV.S('R1'!O163,'R2'!O163,'R3'!O163)</f>
        <v>4.3540089239771191E-3</v>
      </c>
    </row>
    <row r="164" spans="1:14" x14ac:dyDescent="0.25">
      <c r="A164">
        <f>-'R1'!H164</f>
        <v>16</v>
      </c>
      <c r="B164">
        <f>DEGREES(ATAN(-SIN(RADIANS(('R1'!I164)))/(COS(RADIANS(Sheet1!A164))*COS(RADIANS('R1'!I164)))))</f>
        <v>41.118191358294368</v>
      </c>
      <c r="C164">
        <f>AVERAGE('R1'!J164,'R2'!J164,'R3'!J164)</f>
        <v>1.18</v>
      </c>
      <c r="D164">
        <f>AVERAGE('R1'!K164,'R2'!K164,'R3'!K164)</f>
        <v>22.71945058333333</v>
      </c>
      <c r="E164">
        <f>AVERAGE('R1'!L164,'R2'!L164,'R3'!L164)</f>
        <v>2.1331905600497034</v>
      </c>
      <c r="F164">
        <f>AVERAGE('R1'!M164,'R2'!M164,'R3'!M164)</f>
        <v>-1.1734487344534654</v>
      </c>
      <c r="G164">
        <f>AVERAGE('R1'!N164,'R2'!N164,'R3'!N164)</f>
        <v>-1.0757626635995272</v>
      </c>
      <c r="H164">
        <f>AVERAGE('R1'!O164,'R2'!O164,'R3'!O164)</f>
        <v>-0.94994161595756188</v>
      </c>
      <c r="I164">
        <f t="shared" si="6"/>
        <v>4468.1586147222215</v>
      </c>
      <c r="K164">
        <f>_xlfn.STDEV.S('R1'!L164,'R2'!L164,'R3'!L164)</f>
        <v>2.7707080644047842E-3</v>
      </c>
      <c r="L164">
        <f>_xlfn.STDEV.S('R1'!M164,'R2'!M164,'R3'!M164)</f>
        <v>3.1685465545126228E-3</v>
      </c>
      <c r="M164">
        <f>_xlfn.STDEV.S('R1'!N164,'R2'!N164,'R3'!N164)</f>
        <v>1.1244430214441322E-3</v>
      </c>
      <c r="N164">
        <f>_xlfn.STDEV.S('R1'!O164,'R2'!O164,'R3'!O164)</f>
        <v>1.8536423739912008E-3</v>
      </c>
    </row>
    <row r="165" spans="1:14" x14ac:dyDescent="0.25">
      <c r="A165">
        <f>-'R1'!H165</f>
        <v>16</v>
      </c>
      <c r="B165">
        <f>DEGREES(ATAN(-SIN(RADIANS(('R1'!I165)))/(COS(RADIANS(Sheet1!A165))*COS(RADIANS('R1'!I165)))))</f>
        <v>37.082782431142171</v>
      </c>
      <c r="C165">
        <f>AVERAGE('R1'!J165,'R2'!J165,'R3'!J165)</f>
        <v>1.18</v>
      </c>
      <c r="D165">
        <f>AVERAGE('R1'!K165,'R2'!K165,'R3'!K165)</f>
        <v>22.372657250000003</v>
      </c>
      <c r="E165">
        <f>AVERAGE('R1'!L165,'R2'!L165,'R3'!L165)</f>
        <v>1.9051484170148447</v>
      </c>
      <c r="F165">
        <f>AVERAGE('R1'!M165,'R2'!M165,'R3'!M165)</f>
        <v>-1.0755964236217757</v>
      </c>
      <c r="G165">
        <f>AVERAGE('R1'!N165,'R2'!N165,'R3'!N165)</f>
        <v>-0.83127002332833433</v>
      </c>
      <c r="H165">
        <f>AVERAGE('R1'!O165,'R2'!O165,'R3'!O165)</f>
        <v>-0.75294662712626337</v>
      </c>
      <c r="I165">
        <f t="shared" si="6"/>
        <v>4399.9559258333338</v>
      </c>
      <c r="K165">
        <f>_xlfn.STDEV.S('R1'!L165,'R2'!L165,'R3'!L165)</f>
        <v>4.8027374736094143E-3</v>
      </c>
      <c r="L165">
        <f>_xlfn.STDEV.S('R1'!M165,'R2'!M165,'R3'!M165)</f>
        <v>1.678982321468529E-3</v>
      </c>
      <c r="M165">
        <f>_xlfn.STDEV.S('R1'!N165,'R2'!N165,'R3'!N165)</f>
        <v>3.3804644235654333E-3</v>
      </c>
      <c r="N165">
        <f>_xlfn.STDEV.S('R1'!O165,'R2'!O165,'R3'!O165)</f>
        <v>3.380139160800062E-3</v>
      </c>
    </row>
    <row r="166" spans="1:14" x14ac:dyDescent="0.25">
      <c r="A166">
        <f>-'R1'!H166</f>
        <v>16</v>
      </c>
      <c r="B166">
        <f>DEGREES(ATAN(-SIN(RADIANS(('R1'!I166)))/(COS(RADIANS(Sheet1!A166))*COS(RADIANS('R1'!I166)))))</f>
        <v>33.025931133441695</v>
      </c>
      <c r="C166">
        <f>AVERAGE('R1'!J166,'R2'!J166,'R3'!J166)</f>
        <v>1.18</v>
      </c>
      <c r="D166">
        <f>AVERAGE('R1'!K166,'R2'!K166,'R3'!K166)</f>
        <v>22.070101749999996</v>
      </c>
      <c r="E166">
        <f>AVERAGE('R1'!L166,'R2'!L166,'R3'!L166)</f>
        <v>1.7113520697664637</v>
      </c>
      <c r="F166">
        <f>AVERAGE('R1'!M166,'R2'!M166,'R3'!M166)</f>
        <v>-1.0065492058447745</v>
      </c>
      <c r="G166">
        <f>AVERAGE('R1'!N166,'R2'!N166,'R3'!N166)</f>
        <v>-0.64702506586068209</v>
      </c>
      <c r="H166">
        <f>AVERAGE('R1'!O166,'R2'!O166,'R3'!O166)</f>
        <v>-0.58523508696139082</v>
      </c>
      <c r="I166">
        <f t="shared" si="6"/>
        <v>4340.4533441666663</v>
      </c>
      <c r="K166">
        <f>_xlfn.STDEV.S('R1'!L166,'R2'!L166,'R3'!L166)</f>
        <v>8.5200340266990086E-3</v>
      </c>
      <c r="L166">
        <f>_xlfn.STDEV.S('R1'!M166,'R2'!M166,'R3'!M166)</f>
        <v>2.5768121741886023E-3</v>
      </c>
      <c r="M166">
        <f>_xlfn.STDEV.S('R1'!N166,'R2'!N166,'R3'!N166)</f>
        <v>4.9814542935333814E-3</v>
      </c>
      <c r="N166">
        <f>_xlfn.STDEV.S('R1'!O166,'R2'!O166,'R3'!O166)</f>
        <v>9.2815387536211811E-4</v>
      </c>
    </row>
    <row r="167" spans="1:14" x14ac:dyDescent="0.25">
      <c r="A167">
        <f>-'R1'!H167</f>
        <v>16</v>
      </c>
      <c r="B167">
        <f>DEGREES(ATAN(-SIN(RADIANS(('R1'!I167)))/(COS(RADIANS(Sheet1!A167))*COS(RADIANS('R1'!I167)))))</f>
        <v>28.948605633454871</v>
      </c>
      <c r="C167">
        <f>AVERAGE('R1'!J167,'R2'!J167,'R3'!J167)</f>
        <v>1.18</v>
      </c>
      <c r="D167">
        <f>AVERAGE('R1'!K167,'R2'!K167,'R3'!K167)</f>
        <v>21.874463500000001</v>
      </c>
      <c r="E167">
        <f>AVERAGE('R1'!L167,'R2'!L167,'R3'!L167)</f>
        <v>1.5669063109689911</v>
      </c>
      <c r="F167">
        <f>AVERAGE('R1'!M167,'R2'!M167,'R3'!M167)</f>
        <v>-0.93322219127147443</v>
      </c>
      <c r="G167">
        <f>AVERAGE('R1'!N167,'R2'!N167,'R3'!N167)</f>
        <v>-0.50419551081364544</v>
      </c>
      <c r="H167">
        <f>AVERAGE('R1'!O167,'R2'!O167,'R3'!O167)</f>
        <v>-0.42330336945737557</v>
      </c>
      <c r="I167">
        <f t="shared" si="6"/>
        <v>4301.9778216666664</v>
      </c>
      <c r="K167">
        <f>_xlfn.STDEV.S('R1'!L167,'R2'!L167,'R3'!L167)</f>
        <v>3.2761857104152423E-3</v>
      </c>
      <c r="L167">
        <f>_xlfn.STDEV.S('R1'!M167,'R2'!M167,'R3'!M167)</f>
        <v>3.8196458415224329E-3</v>
      </c>
      <c r="M167">
        <f>_xlfn.STDEV.S('R1'!N167,'R2'!N167,'R3'!N167)</f>
        <v>3.1958831837189377E-3</v>
      </c>
      <c r="N167">
        <f>_xlfn.STDEV.S('R1'!O167,'R2'!O167,'R3'!O167)</f>
        <v>2.4027888224398284E-3</v>
      </c>
    </row>
    <row r="168" spans="1:14" x14ac:dyDescent="0.25">
      <c r="A168">
        <f>-'R1'!H168</f>
        <v>16</v>
      </c>
      <c r="B168">
        <f>DEGREES(ATAN(-SIN(RADIANS(('R1'!I168)))/(COS(RADIANS(Sheet1!A168))*COS(RADIANS('R1'!I168)))))</f>
        <v>24.852211192112133</v>
      </c>
      <c r="C168">
        <f>AVERAGE('R1'!J168,'R2'!J168,'R3'!J168)</f>
        <v>1.18</v>
      </c>
      <c r="D168">
        <f>AVERAGE('R1'!K168,'R2'!K168,'R3'!K168)</f>
        <v>21.937721499999999</v>
      </c>
      <c r="E168">
        <f>AVERAGE('R1'!L168,'R2'!L168,'R3'!L168)</f>
        <v>1.4297927224549867</v>
      </c>
      <c r="F168">
        <f>AVERAGE('R1'!M168,'R2'!M168,'R3'!M168)</f>
        <v>-0.86794025061699198</v>
      </c>
      <c r="G168">
        <f>AVERAGE('R1'!N168,'R2'!N168,'R3'!N168)</f>
        <v>-0.38889830255808366</v>
      </c>
      <c r="H168">
        <f>AVERAGE('R1'!O168,'R2'!O168,'R3'!O168)</f>
        <v>-0.26608034122743457</v>
      </c>
      <c r="I168">
        <f t="shared" si="6"/>
        <v>4314.4185616666664</v>
      </c>
      <c r="K168">
        <f>_xlfn.STDEV.S('R1'!L168,'R2'!L168,'R3'!L168)</f>
        <v>3.1424786830093854E-3</v>
      </c>
      <c r="L168">
        <f>_xlfn.STDEV.S('R1'!M168,'R2'!M168,'R3'!M168)</f>
        <v>1.7465548592096921E-3</v>
      </c>
      <c r="M168">
        <f>_xlfn.STDEV.S('R1'!N168,'R2'!N168,'R3'!N168)</f>
        <v>1.3616415313260056E-3</v>
      </c>
      <c r="N168">
        <f>_xlfn.STDEV.S('R1'!O168,'R2'!O168,'R3'!O168)</f>
        <v>4.0423562103714193E-4</v>
      </c>
    </row>
    <row r="169" spans="1:14" x14ac:dyDescent="0.25">
      <c r="A169">
        <f>-'R1'!H169</f>
        <v>16</v>
      </c>
      <c r="B169">
        <f>DEGREES(ATAN(-SIN(RADIANS(('R1'!I169)))/(COS(RADIANS(Sheet1!A169))*COS(RADIANS('R1'!I169)))))</f>
        <v>20.738571475352053</v>
      </c>
      <c r="C169">
        <f>AVERAGE('R1'!J169,'R2'!J169,'R3'!J169)</f>
        <v>1.18</v>
      </c>
      <c r="D169">
        <f>AVERAGE('R1'!K169,'R2'!K169,'R3'!K169)</f>
        <v>22.150770500000004</v>
      </c>
      <c r="E169">
        <f>AVERAGE('R1'!L169,'R2'!L169,'R3'!L169)</f>
        <v>1.2391598275279134</v>
      </c>
      <c r="F169">
        <f>AVERAGE('R1'!M169,'R2'!M169,'R3'!M169)</f>
        <v>-0.86547745065401793</v>
      </c>
      <c r="G169">
        <f>AVERAGE('R1'!N169,'R2'!N169,'R3'!N169)</f>
        <v>-0.28365149155010844</v>
      </c>
      <c r="H169">
        <f>AVERAGE('R1'!O169,'R2'!O169,'R3'!O169)</f>
        <v>-0.13147857485229775</v>
      </c>
      <c r="I169">
        <f t="shared" si="6"/>
        <v>4356.3181983333334</v>
      </c>
      <c r="K169">
        <f>_xlfn.STDEV.S('R1'!L169,'R2'!L169,'R3'!L169)</f>
        <v>6.8323159754099944E-3</v>
      </c>
      <c r="L169">
        <f>_xlfn.STDEV.S('R1'!M169,'R2'!M169,'R3'!M169)</f>
        <v>1.7201059941702687E-3</v>
      </c>
      <c r="M169">
        <f>_xlfn.STDEV.S('R1'!N169,'R2'!N169,'R3'!N169)</f>
        <v>1.077798421374268E-3</v>
      </c>
      <c r="N169">
        <f>_xlfn.STDEV.S('R1'!O169,'R2'!O169,'R3'!O169)</f>
        <v>1.8930822766776399E-3</v>
      </c>
    </row>
    <row r="170" spans="1:14" x14ac:dyDescent="0.25">
      <c r="A170">
        <f>-'R1'!H170</f>
        <v>16</v>
      </c>
      <c r="B170">
        <f>DEGREES(ATAN(-SIN(RADIANS(('R1'!I170)))/(COS(RADIANS(Sheet1!A170))*COS(RADIANS('R1'!I170)))))</f>
        <v>16.609898016932938</v>
      </c>
      <c r="C170">
        <f>AVERAGE('R1'!J170,'R2'!J170,'R3'!J170)</f>
        <v>1.18</v>
      </c>
      <c r="D170">
        <f>AVERAGE('R1'!K170,'R2'!K170,'R3'!K170)</f>
        <v>22.649511333333333</v>
      </c>
      <c r="E170">
        <f>AVERAGE('R1'!L170,'R2'!L170,'R3'!L170)</f>
        <v>1.0382620651533883</v>
      </c>
      <c r="F170">
        <f>AVERAGE('R1'!M170,'R2'!M170,'R3'!M170)</f>
        <v>-0.89221036521248254</v>
      </c>
      <c r="G170">
        <f>AVERAGE('R1'!N170,'R2'!N170,'R3'!N170)</f>
        <v>-0.20781664718558035</v>
      </c>
      <c r="H170">
        <f>AVERAGE('R1'!O170,'R2'!O170,'R3'!O170)</f>
        <v>-1.2403766555819346E-2</v>
      </c>
      <c r="I170">
        <f t="shared" si="6"/>
        <v>4454.4038955555552</v>
      </c>
      <c r="K170">
        <f>_xlfn.STDEV.S('R1'!L170,'R2'!L170,'R3'!L170)</f>
        <v>2.9579669886820648E-3</v>
      </c>
      <c r="L170">
        <f>_xlfn.STDEV.S('R1'!M170,'R2'!M170,'R3'!M170)</f>
        <v>4.1988975516093017E-3</v>
      </c>
      <c r="M170">
        <f>_xlfn.STDEV.S('R1'!N170,'R2'!N170,'R3'!N170)</f>
        <v>2.0808681851855705E-3</v>
      </c>
      <c r="N170">
        <f>_xlfn.STDEV.S('R1'!O170,'R2'!O170,'R3'!O170)</f>
        <v>1.9564055154870264E-3</v>
      </c>
    </row>
    <row r="171" spans="1:14" x14ac:dyDescent="0.25">
      <c r="A171">
        <f>-'R1'!H171</f>
        <v>16</v>
      </c>
      <c r="B171">
        <f>DEGREES(ATAN(-SIN(RADIANS(('R1'!I171)))/(COS(RADIANS(Sheet1!A171))*COS(RADIANS('R1'!I171)))))</f>
        <v>12.468747879350856</v>
      </c>
      <c r="C171">
        <f>AVERAGE('R1'!J171,'R2'!J171,'R3'!J171)</f>
        <v>1.18</v>
      </c>
      <c r="D171">
        <f>AVERAGE('R1'!K171,'R2'!K171,'R3'!K171)</f>
        <v>22.701976000000002</v>
      </c>
      <c r="E171">
        <f>AVERAGE('R1'!L171,'R2'!L171,'R3'!L171)</f>
        <v>0.81241286475241392</v>
      </c>
      <c r="F171">
        <f>AVERAGE('R1'!M171,'R2'!M171,'R3'!M171)</f>
        <v>-0.96430730546442278</v>
      </c>
      <c r="G171">
        <f>AVERAGE('R1'!N171,'R2'!N171,'R3'!N171)</f>
        <v>-0.15296510733863808</v>
      </c>
      <c r="H171">
        <f>AVERAGE('R1'!O171,'R2'!O171,'R3'!O171)</f>
        <v>8.7910909453538688E-2</v>
      </c>
      <c r="I171">
        <f t="shared" si="6"/>
        <v>4464.7219466666666</v>
      </c>
      <c r="K171">
        <f>_xlfn.STDEV.S('R1'!L171,'R2'!L171,'R3'!L171)</f>
        <v>5.8217723647613559E-3</v>
      </c>
      <c r="L171">
        <f>_xlfn.STDEV.S('R1'!M171,'R2'!M171,'R3'!M171)</f>
        <v>4.2461561356135161E-3</v>
      </c>
      <c r="M171">
        <f>_xlfn.STDEV.S('R1'!N171,'R2'!N171,'R3'!N171)</f>
        <v>1.5630548921224895E-3</v>
      </c>
      <c r="N171">
        <f>_xlfn.STDEV.S('R1'!O171,'R2'!O171,'R3'!O171)</f>
        <v>2.3060177521335877E-3</v>
      </c>
    </row>
    <row r="172" spans="1:14" x14ac:dyDescent="0.25">
      <c r="A172">
        <f>-'R1'!H172</f>
        <v>16</v>
      </c>
      <c r="B172">
        <f>DEGREES(ATAN(-SIN(RADIANS(('R1'!I172)))/(COS(RADIANS(Sheet1!A172))*COS(RADIANS('R1'!I172)))))</f>
        <v>8.3179701536192301</v>
      </c>
      <c r="C172">
        <f>AVERAGE('R1'!J172,'R2'!J172,'R3'!J172)</f>
        <v>1.18</v>
      </c>
      <c r="D172">
        <f>AVERAGE('R1'!K172,'R2'!K172,'R3'!K172)</f>
        <v>22.807931</v>
      </c>
      <c r="E172">
        <f>AVERAGE('R1'!L172,'R2'!L172,'R3'!L172)</f>
        <v>0.5611910307047655</v>
      </c>
      <c r="F172">
        <f>AVERAGE('R1'!M172,'R2'!M172,'R3'!M172)</f>
        <v>-1.0591679587351062</v>
      </c>
      <c r="G172">
        <f>AVERAGE('R1'!N172,'R2'!N172,'R3'!N172)</f>
        <v>-0.11239515177324229</v>
      </c>
      <c r="H172">
        <f>AVERAGE('R1'!O172,'R2'!O172,'R3'!O172)</f>
        <v>0.1572571178106793</v>
      </c>
      <c r="I172">
        <f t="shared" si="6"/>
        <v>4485.5597633333336</v>
      </c>
      <c r="K172">
        <f>_xlfn.STDEV.S('R1'!L172,'R2'!L172,'R3'!L172)</f>
        <v>3.6497080936708655E-3</v>
      </c>
      <c r="L172">
        <f>_xlfn.STDEV.S('R1'!M172,'R2'!M172,'R3'!M172)</f>
        <v>6.2940611886245961E-3</v>
      </c>
      <c r="M172">
        <f>_xlfn.STDEV.S('R1'!N172,'R2'!N172,'R3'!N172)</f>
        <v>2.3054781916948702E-3</v>
      </c>
      <c r="N172">
        <f>_xlfn.STDEV.S('R1'!O172,'R2'!O172,'R3'!O172)</f>
        <v>7.6376686648523279E-3</v>
      </c>
    </row>
    <row r="173" spans="1:14" x14ac:dyDescent="0.25">
      <c r="A173">
        <f>-'R1'!H173</f>
        <v>16</v>
      </c>
      <c r="B173">
        <f>DEGREES(ATAN(-SIN(RADIANS(('R1'!I173)))/(COS(RADIANS(Sheet1!A173))*COS(RADIANS('R1'!I173)))))</f>
        <v>4.1606425592731879</v>
      </c>
      <c r="C173">
        <f>AVERAGE('R1'!J173,'R2'!J173,'R3'!J173)</f>
        <v>1.18</v>
      </c>
      <c r="D173">
        <f>AVERAGE('R1'!K173,'R2'!K173,'R3'!K173)</f>
        <v>22.562079916666665</v>
      </c>
      <c r="E173">
        <f>AVERAGE('R1'!L173,'R2'!L173,'R3'!L173)</f>
        <v>0.3145534302162139</v>
      </c>
      <c r="F173">
        <f>AVERAGE('R1'!M173,'R2'!M173,'R3'!M173)</f>
        <v>-1.1393068865050522</v>
      </c>
      <c r="G173">
        <f>AVERAGE('R1'!N173,'R2'!N173,'R3'!N173)</f>
        <v>-8.3375987001174726E-2</v>
      </c>
      <c r="H173">
        <f>AVERAGE('R1'!O173,'R2'!O173,'R3'!O173)</f>
        <v>0.21403524627988021</v>
      </c>
      <c r="I173">
        <f t="shared" si="6"/>
        <v>4437.2090502777774</v>
      </c>
      <c r="K173">
        <f>_xlfn.STDEV.S('R1'!L173,'R2'!L173,'R3'!L173)</f>
        <v>4.0511779849663346E-3</v>
      </c>
      <c r="L173">
        <f>_xlfn.STDEV.S('R1'!M173,'R2'!M173,'R3'!M173)</f>
        <v>4.9337165784967872E-3</v>
      </c>
      <c r="M173">
        <f>_xlfn.STDEV.S('R1'!N173,'R2'!N173,'R3'!N173)</f>
        <v>1.4339866322060431E-3</v>
      </c>
      <c r="N173">
        <f>_xlfn.STDEV.S('R1'!O173,'R2'!O173,'R3'!O173)</f>
        <v>3.9392024178045212E-3</v>
      </c>
    </row>
    <row r="174" spans="1:14" x14ac:dyDescent="0.25">
      <c r="A174">
        <f>-'R1'!H174</f>
        <v>16</v>
      </c>
      <c r="B174">
        <f>DEGREES(ATAN(-SIN(RADIANS(('R1'!I174)))/(COS(RADIANS(Sheet1!A174))*COS(RADIANS('R1'!I174)))))</f>
        <v>0</v>
      </c>
      <c r="C174">
        <f>AVERAGE('R1'!J174,'R2'!J174,'R3'!J174)</f>
        <v>1.18</v>
      </c>
      <c r="D174">
        <f>AVERAGE('R1'!K174,'R2'!K174,'R3'!K174)</f>
        <v>22.353464750000001</v>
      </c>
      <c r="E174">
        <f>AVERAGE('R1'!L174,'R2'!L174,'R3'!L174)</f>
        <v>6.6874584677223833E-2</v>
      </c>
      <c r="F174">
        <f>AVERAGE('R1'!M174,'R2'!M174,'R3'!M174)</f>
        <v>-1.2089990883080601</v>
      </c>
      <c r="G174">
        <f>AVERAGE('R1'!N174,'R2'!N174,'R3'!N174)</f>
        <v>-6.5311648119243573E-2</v>
      </c>
      <c r="H174">
        <f>AVERAGE('R1'!O174,'R2'!O174,'R3'!O174)</f>
        <v>0.26753922978094774</v>
      </c>
      <c r="I174">
        <f t="shared" si="6"/>
        <v>4396.1814008333331</v>
      </c>
      <c r="K174">
        <f>_xlfn.STDEV.S('R1'!L174,'R2'!L174,'R3'!L174)</f>
        <v>4.3080977783807421E-3</v>
      </c>
      <c r="L174">
        <f>_xlfn.STDEV.S('R1'!M174,'R2'!M174,'R3'!M174)</f>
        <v>3.3648947640921236E-3</v>
      </c>
      <c r="M174">
        <f>_xlfn.STDEV.S('R1'!N174,'R2'!N174,'R3'!N174)</f>
        <v>4.8070352469705725E-4</v>
      </c>
      <c r="N174">
        <f>_xlfn.STDEV.S('R1'!O174,'R2'!O174,'R3'!O174)</f>
        <v>3.4120667122283016E-3</v>
      </c>
    </row>
    <row r="175" spans="1:14" x14ac:dyDescent="0.25">
      <c r="A175">
        <f>-'R1'!H175</f>
        <v>16</v>
      </c>
      <c r="B175">
        <f>DEGREES(ATAN(-SIN(RADIANS(('R1'!I175)))/(COS(RADIANS(Sheet1!A175))*COS(RADIANS('R1'!I175)))))</f>
        <v>-4.1606425592731879</v>
      </c>
      <c r="C175">
        <f>AVERAGE('R1'!J175,'R2'!J175,'R3'!J175)</f>
        <v>1.18</v>
      </c>
      <c r="D175">
        <f>AVERAGE('R1'!K175,'R2'!K175,'R3'!K175)</f>
        <v>22.089831333333336</v>
      </c>
      <c r="E175">
        <f>AVERAGE('R1'!L175,'R2'!L175,'R3'!L175)</f>
        <v>-0.16802500901674758</v>
      </c>
      <c r="F175">
        <f>AVERAGE('R1'!M175,'R2'!M175,'R3'!M175)</f>
        <v>-1.1854976312282626</v>
      </c>
      <c r="G175">
        <f>AVERAGE('R1'!N175,'R2'!N175,'R3'!N175)</f>
        <v>-6.4668406394770228E-2</v>
      </c>
      <c r="H175">
        <f>AVERAGE('R1'!O175,'R2'!O175,'R3'!O175)</f>
        <v>0.22173028598405295</v>
      </c>
      <c r="I175">
        <f t="shared" si="6"/>
        <v>4344.3334955555556</v>
      </c>
      <c r="K175">
        <f>_xlfn.STDEV.S('R1'!L175,'R2'!L175,'R3'!L175)</f>
        <v>4.0860177848809823E-4</v>
      </c>
      <c r="L175">
        <f>_xlfn.STDEV.S('R1'!M175,'R2'!M175,'R3'!M175)</f>
        <v>3.5976023984011965E-4</v>
      </c>
      <c r="M175">
        <f>_xlfn.STDEV.S('R1'!N175,'R2'!N175,'R3'!N175)</f>
        <v>1.4482076471703995E-3</v>
      </c>
      <c r="N175">
        <f>_xlfn.STDEV.S('R1'!O175,'R2'!O175,'R3'!O175)</f>
        <v>2.7897102933248136E-3</v>
      </c>
    </row>
    <row r="176" spans="1:14" x14ac:dyDescent="0.25">
      <c r="A176">
        <f>-'R1'!H176</f>
        <v>16</v>
      </c>
      <c r="B176">
        <f>DEGREES(ATAN(-SIN(RADIANS(('R1'!I176)))/(COS(RADIANS(Sheet1!A176))*COS(RADIANS('R1'!I176)))))</f>
        <v>-8.3179701536192301</v>
      </c>
      <c r="C176">
        <f>AVERAGE('R1'!J176,'R2'!J176,'R3'!J176)</f>
        <v>1.18</v>
      </c>
      <c r="D176">
        <f>AVERAGE('R1'!K176,'R2'!K176,'R3'!K176)</f>
        <v>21.891415833333337</v>
      </c>
      <c r="E176">
        <f>AVERAGE('R1'!L176,'R2'!L176,'R3'!L176)</f>
        <v>-0.39650759074716696</v>
      </c>
      <c r="F176">
        <f>AVERAGE('R1'!M176,'R2'!M176,'R3'!M176)</f>
        <v>-1.1204033121769614</v>
      </c>
      <c r="G176">
        <f>AVERAGE('R1'!N176,'R2'!N176,'R3'!N176)</f>
        <v>-7.7762270790444593E-2</v>
      </c>
      <c r="H176">
        <f>AVERAGE('R1'!O176,'R2'!O176,'R3'!O176)</f>
        <v>0.14585079884634658</v>
      </c>
      <c r="I176">
        <f t="shared" si="6"/>
        <v>4305.3117805555567</v>
      </c>
      <c r="K176">
        <f>_xlfn.STDEV.S('R1'!L176,'R2'!L176,'R3'!L176)</f>
        <v>7.0112569289897814E-3</v>
      </c>
      <c r="L176">
        <f>_xlfn.STDEV.S('R1'!M176,'R2'!M176,'R3'!M176)</f>
        <v>2.9838288109839514E-3</v>
      </c>
      <c r="M176">
        <f>_xlfn.STDEV.S('R1'!N176,'R2'!N176,'R3'!N176)</f>
        <v>8.8787969678373981E-4</v>
      </c>
      <c r="N176">
        <f>_xlfn.STDEV.S('R1'!O176,'R2'!O176,'R3'!O176)</f>
        <v>3.5877399928180564E-3</v>
      </c>
    </row>
    <row r="177" spans="1:14" x14ac:dyDescent="0.25">
      <c r="A177">
        <f>-'R1'!H177</f>
        <v>16</v>
      </c>
      <c r="B177">
        <f>DEGREES(ATAN(-SIN(RADIANS(('R1'!I177)))/(COS(RADIANS(Sheet1!A177))*COS(RADIANS('R1'!I177)))))</f>
        <v>-12.468747879350856</v>
      </c>
      <c r="C177">
        <f>AVERAGE('R1'!J177,'R2'!J177,'R3'!J177)</f>
        <v>1.18</v>
      </c>
      <c r="D177">
        <f>AVERAGE('R1'!K177,'R2'!K177,'R3'!K177)</f>
        <v>22.131881500000002</v>
      </c>
      <c r="E177">
        <f>AVERAGE('R1'!L177,'R2'!L177,'R3'!L177)</f>
        <v>-0.62229715210721703</v>
      </c>
      <c r="F177">
        <f>AVERAGE('R1'!M177,'R2'!M177,'R3'!M177)</f>
        <v>-1.0523368574954015</v>
      </c>
      <c r="G177">
        <f>AVERAGE('R1'!N177,'R2'!N177,'R3'!N177)</f>
        <v>-0.11250566481477246</v>
      </c>
      <c r="H177">
        <f>AVERAGE('R1'!O177,'R2'!O177,'R3'!O177)</f>
        <v>7.2242806029159806E-2</v>
      </c>
      <c r="I177">
        <f t="shared" si="6"/>
        <v>4352.6033616666673</v>
      </c>
      <c r="K177">
        <f>_xlfn.STDEV.S('R1'!L177,'R2'!L177,'R3'!L177)</f>
        <v>4.8304871065261911E-3</v>
      </c>
      <c r="L177">
        <f>_xlfn.STDEV.S('R1'!M177,'R2'!M177,'R3'!M177)</f>
        <v>4.20931677949999E-3</v>
      </c>
      <c r="M177">
        <f>_xlfn.STDEV.S('R1'!N177,'R2'!N177,'R3'!N177)</f>
        <v>6.9948800587981547E-4</v>
      </c>
      <c r="N177">
        <f>_xlfn.STDEV.S('R1'!O177,'R2'!O177,'R3'!O177)</f>
        <v>3.4550086589383911E-3</v>
      </c>
    </row>
    <row r="178" spans="1:14" x14ac:dyDescent="0.25">
      <c r="A178">
        <f>-'R1'!H178</f>
        <v>16</v>
      </c>
      <c r="B178">
        <f>DEGREES(ATAN(-SIN(RADIANS(('R1'!I178)))/(COS(RADIANS(Sheet1!A178))*COS(RADIANS('R1'!I178)))))</f>
        <v>-16.609898016932938</v>
      </c>
      <c r="C178">
        <f>AVERAGE('R1'!J178,'R2'!J178,'R3'!J178)</f>
        <v>1.18</v>
      </c>
      <c r="D178">
        <f>AVERAGE('R1'!K178,'R2'!K178,'R3'!K178)</f>
        <v>22.34436225</v>
      </c>
      <c r="E178">
        <f>AVERAGE('R1'!L178,'R2'!L178,'R3'!L178)</f>
        <v>-0.84894462732599596</v>
      </c>
      <c r="F178">
        <f>AVERAGE('R1'!M178,'R2'!M178,'R3'!M178)</f>
        <v>-0.96909643312320648</v>
      </c>
      <c r="G178">
        <f>AVERAGE('R1'!N178,'R2'!N178,'R3'!N178)</f>
        <v>-0.15235375435155116</v>
      </c>
      <c r="H178">
        <f>AVERAGE('R1'!O178,'R2'!O178,'R3'!O178)</f>
        <v>-5.682498927792972E-3</v>
      </c>
      <c r="I178">
        <f t="shared" si="6"/>
        <v>4394.3912424999999</v>
      </c>
      <c r="K178">
        <f>_xlfn.STDEV.S('R1'!L178,'R2'!L178,'R3'!L178)</f>
        <v>5.369743688269599E-3</v>
      </c>
      <c r="L178">
        <f>_xlfn.STDEV.S('R1'!M178,'R2'!M178,'R3'!M178)</f>
        <v>3.9027738613117854E-3</v>
      </c>
      <c r="M178">
        <f>_xlfn.STDEV.S('R1'!N178,'R2'!N178,'R3'!N178)</f>
        <v>3.809089505431617E-3</v>
      </c>
      <c r="N178">
        <f>_xlfn.STDEV.S('R1'!O178,'R2'!O178,'R3'!O178)</f>
        <v>3.954971442869046E-3</v>
      </c>
    </row>
    <row r="179" spans="1:14" x14ac:dyDescent="0.25">
      <c r="A179">
        <f>-'R1'!H179</f>
        <v>16</v>
      </c>
      <c r="B179">
        <f>DEGREES(ATAN(-SIN(RADIANS(('R1'!I179)))/(COS(RADIANS(Sheet1!A179))*COS(RADIANS('R1'!I179)))))</f>
        <v>-20.738571475352053</v>
      </c>
      <c r="C179">
        <f>AVERAGE('R1'!J179,'R2'!J179,'R3'!J179)</f>
        <v>1.18</v>
      </c>
      <c r="D179">
        <f>AVERAGE('R1'!K179,'R2'!K179,'R3'!K179)</f>
        <v>22.624912500000004</v>
      </c>
      <c r="E179">
        <f>AVERAGE('R1'!L179,'R2'!L179,'R3'!L179)</f>
        <v>-1.0490377612333284</v>
      </c>
      <c r="F179">
        <f>AVERAGE('R1'!M179,'R2'!M179,'R3'!M179)</f>
        <v>-0.90514577931637996</v>
      </c>
      <c r="G179">
        <f>AVERAGE('R1'!N179,'R2'!N179,'R3'!N179)</f>
        <v>-0.20217351033822148</v>
      </c>
      <c r="H179">
        <f>AVERAGE('R1'!O179,'R2'!O179,'R3'!O179)</f>
        <v>-9.7737284860898985E-2</v>
      </c>
      <c r="I179">
        <f t="shared" si="6"/>
        <v>4449.5661250000003</v>
      </c>
      <c r="K179">
        <f>_xlfn.STDEV.S('R1'!L179,'R2'!L179,'R3'!L179)</f>
        <v>3.1727171691116871E-3</v>
      </c>
      <c r="L179">
        <f>_xlfn.STDEV.S('R1'!M179,'R2'!M179,'R3'!M179)</f>
        <v>3.1052044083081662E-3</v>
      </c>
      <c r="M179">
        <f>_xlfn.STDEV.S('R1'!N179,'R2'!N179,'R3'!N179)</f>
        <v>2.3908380917036331E-3</v>
      </c>
      <c r="N179">
        <f>_xlfn.STDEV.S('R1'!O179,'R2'!O179,'R3'!O179)</f>
        <v>2.6090150809408488E-3</v>
      </c>
    </row>
    <row r="180" spans="1:14" x14ac:dyDescent="0.25">
      <c r="A180">
        <f>-'R1'!H180</f>
        <v>16</v>
      </c>
      <c r="B180">
        <f>DEGREES(ATAN(-SIN(RADIANS(('R1'!I180)))/(COS(RADIANS(Sheet1!A180))*COS(RADIANS('R1'!I180)))))</f>
        <v>-24.852211192112133</v>
      </c>
      <c r="C180">
        <f>AVERAGE('R1'!J180,'R2'!J180,'R3'!J180)</f>
        <v>1.18</v>
      </c>
      <c r="D180">
        <f>AVERAGE('R1'!K180,'R2'!K180,'R3'!K180)</f>
        <v>22.709972249999996</v>
      </c>
      <c r="E180">
        <f>AVERAGE('R1'!L180,'R2'!L180,'R3'!L180)</f>
        <v>-1.2271894141959658</v>
      </c>
      <c r="F180">
        <f>AVERAGE('R1'!M180,'R2'!M180,'R3'!M180)</f>
        <v>-0.86735248668755538</v>
      </c>
      <c r="G180">
        <f>AVERAGE('R1'!N180,'R2'!N180,'R3'!N180)</f>
        <v>-0.26514878031663563</v>
      </c>
      <c r="H180">
        <f>AVERAGE('R1'!O180,'R2'!O180,'R3'!O180)</f>
        <v>-0.20542718776209332</v>
      </c>
      <c r="I180">
        <f t="shared" si="6"/>
        <v>4466.2945424999998</v>
      </c>
      <c r="K180">
        <f>_xlfn.STDEV.S('R1'!L180,'R2'!L180,'R3'!L180)</f>
        <v>2.7923727723852755E-3</v>
      </c>
      <c r="L180">
        <f>_xlfn.STDEV.S('R1'!M180,'R2'!M180,'R3'!M180)</f>
        <v>1.8934439026827418E-3</v>
      </c>
      <c r="M180">
        <f>_xlfn.STDEV.S('R1'!N180,'R2'!N180,'R3'!N180)</f>
        <v>1.8545218277082652E-3</v>
      </c>
      <c r="N180">
        <f>_xlfn.STDEV.S('R1'!O180,'R2'!O180,'R3'!O180)</f>
        <v>3.31579783090203E-3</v>
      </c>
    </row>
    <row r="181" spans="1:14" x14ac:dyDescent="0.25">
      <c r="A181">
        <f>-'R1'!H181</f>
        <v>16</v>
      </c>
      <c r="B181">
        <f>DEGREES(ATAN(-SIN(RADIANS(('R1'!I181)))/(COS(RADIANS(Sheet1!A181))*COS(RADIANS('R1'!I181)))))</f>
        <v>-28.948605633454871</v>
      </c>
      <c r="C181">
        <f>AVERAGE('R1'!J181,'R2'!J181,'R3'!J181)</f>
        <v>1.18</v>
      </c>
      <c r="D181">
        <f>AVERAGE('R1'!K181,'R2'!K181,'R3'!K181)</f>
        <v>22.604512</v>
      </c>
      <c r="E181">
        <f>AVERAGE('R1'!L181,'R2'!L181,'R3'!L181)</f>
        <v>-1.3979978559229238</v>
      </c>
      <c r="F181">
        <f>AVERAGE('R1'!M181,'R2'!M181,'R3'!M181)</f>
        <v>-0.87586561395642182</v>
      </c>
      <c r="G181">
        <f>AVERAGE('R1'!N181,'R2'!N181,'R3'!N181)</f>
        <v>-0.36620275061084712</v>
      </c>
      <c r="H181">
        <f>AVERAGE('R1'!O181,'R2'!O181,'R3'!O181)</f>
        <v>-0.32260276272182759</v>
      </c>
      <c r="I181">
        <f t="shared" si="6"/>
        <v>4445.5540266666667</v>
      </c>
      <c r="K181">
        <f>_xlfn.STDEV.S('R1'!L181,'R2'!L181,'R3'!L181)</f>
        <v>1.3707465979055534E-3</v>
      </c>
      <c r="L181">
        <f>_xlfn.STDEV.S('R1'!M181,'R2'!M181,'R3'!M181)</f>
        <v>1.4394116496105136E-3</v>
      </c>
      <c r="M181">
        <f>_xlfn.STDEV.S('R1'!N181,'R2'!N181,'R3'!N181)</f>
        <v>2.754620887163235E-3</v>
      </c>
      <c r="N181">
        <f>_xlfn.STDEV.S('R1'!O181,'R2'!O181,'R3'!O181)</f>
        <v>2.8567349551951674E-3</v>
      </c>
    </row>
    <row r="182" spans="1:14" x14ac:dyDescent="0.25">
      <c r="A182">
        <f>-'R1'!H182</f>
        <v>16</v>
      </c>
      <c r="B182">
        <f>DEGREES(ATAN(-SIN(RADIANS(('R1'!I182)))/(COS(RADIANS(Sheet1!A182))*COS(RADIANS('R1'!I182)))))</f>
        <v>-33.025931133441695</v>
      </c>
      <c r="C182">
        <f>AVERAGE('R1'!J182,'R2'!J182,'R3'!J182)</f>
        <v>1.18</v>
      </c>
      <c r="D182">
        <f>AVERAGE('R1'!K182,'R2'!K182,'R3'!K182)</f>
        <v>22.256139000000001</v>
      </c>
      <c r="E182">
        <f>AVERAGE('R1'!L182,'R2'!L182,'R3'!L182)</f>
        <v>-1.5395954688302187</v>
      </c>
      <c r="F182">
        <f>AVERAGE('R1'!M182,'R2'!M182,'R3'!M182)</f>
        <v>-0.93030637362527013</v>
      </c>
      <c r="G182">
        <f>AVERAGE('R1'!N182,'R2'!N182,'R3'!N182)</f>
        <v>-0.48573212637821378</v>
      </c>
      <c r="H182">
        <f>AVERAGE('R1'!O182,'R2'!O182,'R3'!O182)</f>
        <v>-0.45544817697854006</v>
      </c>
      <c r="I182">
        <f t="shared" si="6"/>
        <v>4377.0406700000003</v>
      </c>
      <c r="K182">
        <f>_xlfn.STDEV.S('R1'!L182,'R2'!L182,'R3'!L182)</f>
        <v>2.6115994886771565E-3</v>
      </c>
      <c r="L182">
        <f>_xlfn.STDEV.S('R1'!M182,'R2'!M182,'R3'!M182)</f>
        <v>5.1289728447167417E-3</v>
      </c>
      <c r="M182">
        <f>_xlfn.STDEV.S('R1'!N182,'R2'!N182,'R3'!N182)</f>
        <v>3.8345277436588614E-3</v>
      </c>
      <c r="N182">
        <f>_xlfn.STDEV.S('R1'!O182,'R2'!O182,'R3'!O182)</f>
        <v>4.5946625988675348E-3</v>
      </c>
    </row>
    <row r="183" spans="1:14" x14ac:dyDescent="0.25">
      <c r="A183">
        <f>-'R1'!H183</f>
        <v>16</v>
      </c>
      <c r="B183">
        <f>DEGREES(ATAN(-SIN(RADIANS(('R1'!I183)))/(COS(RADIANS(Sheet1!A183))*COS(RADIANS('R1'!I183)))))</f>
        <v>-37.082782431142171</v>
      </c>
      <c r="C183">
        <f>AVERAGE('R1'!J183,'R2'!J183,'R3'!J183)</f>
        <v>1.18</v>
      </c>
      <c r="D183">
        <f>AVERAGE('R1'!K183,'R2'!K183,'R3'!K183)</f>
        <v>22.163360583333333</v>
      </c>
      <c r="E183">
        <f>AVERAGE('R1'!L183,'R2'!L183,'R3'!L183)</f>
        <v>-1.7037599945020265</v>
      </c>
      <c r="F183">
        <f>AVERAGE('R1'!M183,'R2'!M183,'R3'!M183)</f>
        <v>-0.98954282094561286</v>
      </c>
      <c r="G183">
        <f>AVERAGE('R1'!N183,'R2'!N183,'R3'!N183)</f>
        <v>-0.63590350876927626</v>
      </c>
      <c r="H183">
        <f>AVERAGE('R1'!O183,'R2'!O183,'R3'!O183)</f>
        <v>-0.6015501955916831</v>
      </c>
      <c r="I183">
        <f t="shared" si="6"/>
        <v>4358.7942480555557</v>
      </c>
      <c r="K183">
        <f>_xlfn.STDEV.S('R1'!L183,'R2'!L183,'R3'!L183)</f>
        <v>1.2389203577712899E-3</v>
      </c>
      <c r="L183">
        <f>_xlfn.STDEV.S('R1'!M183,'R2'!M183,'R3'!M183)</f>
        <v>6.1877842138389743E-3</v>
      </c>
      <c r="M183">
        <f>_xlfn.STDEV.S('R1'!N183,'R2'!N183,'R3'!N183)</f>
        <v>2.8618477964224378E-3</v>
      </c>
      <c r="N183">
        <f>_xlfn.STDEV.S('R1'!O183,'R2'!O183,'R3'!O183)</f>
        <v>6.1649248196809182E-3</v>
      </c>
    </row>
    <row r="184" spans="1:14" x14ac:dyDescent="0.25">
      <c r="A184">
        <f>-'R1'!H184</f>
        <v>16</v>
      </c>
      <c r="B184">
        <f>DEGREES(ATAN(-SIN(RADIANS(('R1'!I184)))/(COS(RADIANS(Sheet1!A184))*COS(RADIANS('R1'!I184)))))</f>
        <v>-41.118191358294368</v>
      </c>
      <c r="C184">
        <f>AVERAGE('R1'!J184,'R2'!J184,'R3'!J184)</f>
        <v>1.18</v>
      </c>
      <c r="D184">
        <f>AVERAGE('R1'!K184,'R2'!K184,'R3'!K184)</f>
        <v>21.869773749999997</v>
      </c>
      <c r="E184">
        <f>AVERAGE('R1'!L184,'R2'!L184,'R3'!L184)</f>
        <v>-1.909100549964365</v>
      </c>
      <c r="F184">
        <f>AVERAGE('R1'!M184,'R2'!M184,'R3'!M184)</f>
        <v>-1.0677827038961054</v>
      </c>
      <c r="G184">
        <f>AVERAGE('R1'!N184,'R2'!N184,'R3'!N184)</f>
        <v>-0.83249692670771225</v>
      </c>
      <c r="H184">
        <f>AVERAGE('R1'!O184,'R2'!O184,'R3'!O184)</f>
        <v>-0.76823413618178904</v>
      </c>
      <c r="I184">
        <f t="shared" si="6"/>
        <v>4301.0555041666657</v>
      </c>
      <c r="K184">
        <f>_xlfn.STDEV.S('R1'!L184,'R2'!L184,'R3'!L184)</f>
        <v>4.4847405632355087E-3</v>
      </c>
      <c r="L184">
        <f>_xlfn.STDEV.S('R1'!M184,'R2'!M184,'R3'!M184)</f>
        <v>1.9106514608460386E-3</v>
      </c>
      <c r="M184">
        <f>_xlfn.STDEV.S('R1'!N184,'R2'!N184,'R3'!N184)</f>
        <v>1.9933613432525548E-3</v>
      </c>
      <c r="N184">
        <f>_xlfn.STDEV.S('R1'!O184,'R2'!O184,'R3'!O184)</f>
        <v>4.4357494328521978E-3</v>
      </c>
    </row>
    <row r="185" spans="1:14" x14ac:dyDescent="0.25">
      <c r="A185">
        <f>-'R1'!H185</f>
        <v>16</v>
      </c>
      <c r="B185">
        <f>DEGREES(ATAN(-SIN(RADIANS(('R1'!I185)))/(COS(RADIANS(Sheet1!A185))*COS(RADIANS('R1'!I185)))))</f>
        <v>-45.131634150601585</v>
      </c>
      <c r="C185">
        <f>AVERAGE('R1'!J185,'R2'!J185,'R3'!J185)</f>
        <v>1.18</v>
      </c>
      <c r="D185">
        <f>AVERAGE('R1'!K185,'R2'!K185,'R3'!K185)</f>
        <v>22.03812975</v>
      </c>
      <c r="E185">
        <f>AVERAGE('R1'!L185,'R2'!L185,'R3'!L185)</f>
        <v>-2.1454172173185286</v>
      </c>
      <c r="F185">
        <f>AVERAGE('R1'!M185,'R2'!M185,'R3'!M185)</f>
        <v>-1.1827026621459502</v>
      </c>
      <c r="G185">
        <f>AVERAGE('R1'!N185,'R2'!N185,'R3'!N185)</f>
        <v>-1.0870975315671776</v>
      </c>
      <c r="H185">
        <f>AVERAGE('R1'!O185,'R2'!O185,'R3'!O185)</f>
        <v>-0.97119202107001612</v>
      </c>
      <c r="I185">
        <f t="shared" si="6"/>
        <v>4334.1655175000005</v>
      </c>
      <c r="K185">
        <f>_xlfn.STDEV.S('R1'!L185,'R2'!L185,'R3'!L185)</f>
        <v>3.4735185669863815E-3</v>
      </c>
      <c r="L185">
        <f>_xlfn.STDEV.S('R1'!M185,'R2'!M185,'R3'!M185)</f>
        <v>4.398308560389726E-3</v>
      </c>
      <c r="M185">
        <f>_xlfn.STDEV.S('R1'!N185,'R2'!N185,'R3'!N185)</f>
        <v>3.0573362502500567E-3</v>
      </c>
      <c r="N185">
        <f>_xlfn.STDEV.S('R1'!O185,'R2'!O185,'R3'!O185)</f>
        <v>4.0454698147515955E-3</v>
      </c>
    </row>
    <row r="186" spans="1:14" x14ac:dyDescent="0.25">
      <c r="A186">
        <f>-'R1'!H186</f>
        <v>12</v>
      </c>
      <c r="B186">
        <f>DEGREES(ATAN(-SIN(RADIANS(('R1'!I186)))/(COS(RADIANS(Sheet1!A186))*COS(RADIANS('R1'!I186)))))</f>
        <v>44.632773428056808</v>
      </c>
      <c r="C186">
        <f>AVERAGE('R1'!J186,'R2'!J186,'R3'!J186)</f>
        <v>1.18</v>
      </c>
      <c r="D186">
        <f>AVERAGE('R1'!K186,'R2'!K186,'R3'!K186)</f>
        <v>22.310367333333335</v>
      </c>
      <c r="E186">
        <f>AVERAGE('R1'!L186,'R2'!L186,'R3'!L186)</f>
        <v>2.7068027454105192</v>
      </c>
      <c r="F186">
        <f>AVERAGE('R1'!M186,'R2'!M186,'R3'!M186)</f>
        <v>-1.0805125576139234</v>
      </c>
      <c r="G186">
        <f>AVERAGE('R1'!N186,'R2'!N186,'R3'!N186)</f>
        <v>-1.5324338722379451</v>
      </c>
      <c r="H186">
        <f>AVERAGE('R1'!O186,'R2'!O186,'R3'!O186)</f>
        <v>-1.2028156267731813</v>
      </c>
      <c r="I186">
        <f t="shared" si="6"/>
        <v>4387.7055755555557</v>
      </c>
      <c r="K186">
        <f>_xlfn.STDEV.S('R1'!L186,'R2'!L186,'R3'!L186)</f>
        <v>3.563842033334816E-3</v>
      </c>
      <c r="L186">
        <f>_xlfn.STDEV.S('R1'!M186,'R2'!M186,'R3'!M186)</f>
        <v>2.7025006996864442E-3</v>
      </c>
      <c r="M186">
        <f>_xlfn.STDEV.S('R1'!N186,'R2'!N186,'R3'!N186)</f>
        <v>4.1281773810867683E-3</v>
      </c>
      <c r="N186">
        <f>_xlfn.STDEV.S('R1'!O186,'R2'!O186,'R3'!O186)</f>
        <v>5.1085812143745425E-3</v>
      </c>
    </row>
    <row r="187" spans="1:14" x14ac:dyDescent="0.25">
      <c r="A187">
        <f>-'R1'!H187</f>
        <v>12</v>
      </c>
      <c r="B187">
        <f>DEGREES(ATAN(-SIN(RADIANS(('R1'!I187)))/(COS(RADIANS(Sheet1!A187))*COS(RADIANS('R1'!I187)))))</f>
        <v>40.624498244732152</v>
      </c>
      <c r="C187">
        <f>AVERAGE('R1'!J187,'R2'!J187,'R3'!J187)</f>
        <v>1.18</v>
      </c>
      <c r="D187">
        <f>AVERAGE('R1'!K187,'R2'!K187,'R3'!K187)</f>
        <v>22.668343666666669</v>
      </c>
      <c r="E187">
        <f>AVERAGE('R1'!L187,'R2'!L187,'R3'!L187)</f>
        <v>2.343202356753102</v>
      </c>
      <c r="F187">
        <f>AVERAGE('R1'!M187,'R2'!M187,'R3'!M187)</f>
        <v>-0.95170224904981937</v>
      </c>
      <c r="G187">
        <f>AVERAGE('R1'!N187,'R2'!N187,'R3'!N187)</f>
        <v>-1.1488325318786432</v>
      </c>
      <c r="H187">
        <f>AVERAGE('R1'!O187,'R2'!O187,'R3'!O187)</f>
        <v>-0.93314271582465791</v>
      </c>
      <c r="I187">
        <f t="shared" si="6"/>
        <v>4458.1075877777785</v>
      </c>
      <c r="K187">
        <f>_xlfn.STDEV.S('R1'!L187,'R2'!L187,'R3'!L187)</f>
        <v>8.8121045127312787E-3</v>
      </c>
      <c r="L187">
        <f>_xlfn.STDEV.S('R1'!M187,'R2'!M187,'R3'!M187)</f>
        <v>4.3681170275471828E-3</v>
      </c>
      <c r="M187">
        <f>_xlfn.STDEV.S('R1'!N187,'R2'!N187,'R3'!N187)</f>
        <v>8.5788086605005729E-3</v>
      </c>
      <c r="N187">
        <f>_xlfn.STDEV.S('R1'!O187,'R2'!O187,'R3'!O187)</f>
        <v>3.9104739917833666E-3</v>
      </c>
    </row>
    <row r="188" spans="1:14" x14ac:dyDescent="0.25">
      <c r="A188">
        <f>-'R1'!H188</f>
        <v>12</v>
      </c>
      <c r="B188">
        <f>DEGREES(ATAN(-SIN(RADIANS(('R1'!I188)))/(COS(RADIANS(Sheet1!A188))*COS(RADIANS('R1'!I188)))))</f>
        <v>36.604002006988381</v>
      </c>
      <c r="C188">
        <f>AVERAGE('R1'!J188,'R2'!J188,'R3'!J188)</f>
        <v>1.18</v>
      </c>
      <c r="D188">
        <f>AVERAGE('R1'!K188,'R2'!K188,'R3'!K188)</f>
        <v>22.913235416666666</v>
      </c>
      <c r="E188">
        <f>AVERAGE('R1'!L188,'R2'!L188,'R3'!L188)</f>
        <v>2.0490730131807062</v>
      </c>
      <c r="F188">
        <f>AVERAGE('R1'!M188,'R2'!M188,'R3'!M188)</f>
        <v>-0.85819619064296138</v>
      </c>
      <c r="G188">
        <f>AVERAGE('R1'!N188,'R2'!N188,'R3'!N188)</f>
        <v>-0.85976138270943014</v>
      </c>
      <c r="H188">
        <f>AVERAGE('R1'!O188,'R2'!O188,'R3'!O188)</f>
        <v>-0.70620166339079982</v>
      </c>
      <c r="I188">
        <f t="shared" si="6"/>
        <v>4506.2696319444449</v>
      </c>
      <c r="K188">
        <f>_xlfn.STDEV.S('R1'!L188,'R2'!L188,'R3'!L188)</f>
        <v>3.9246655655648041E-3</v>
      </c>
      <c r="L188">
        <f>_xlfn.STDEV.S('R1'!M188,'R2'!M188,'R3'!M188)</f>
        <v>1.6653901882719097E-3</v>
      </c>
      <c r="M188">
        <f>_xlfn.STDEV.S('R1'!N188,'R2'!N188,'R3'!N188)</f>
        <v>2.1374745792505836E-3</v>
      </c>
      <c r="N188">
        <f>_xlfn.STDEV.S('R1'!O188,'R2'!O188,'R3'!O188)</f>
        <v>4.8088078425411697E-3</v>
      </c>
    </row>
    <row r="189" spans="1:14" x14ac:dyDescent="0.25">
      <c r="A189">
        <f>-'R1'!H189</f>
        <v>12</v>
      </c>
      <c r="B189">
        <f>DEGREES(ATAN(-SIN(RADIANS(('R1'!I189)))/(COS(RADIANS(Sheet1!A189))*COS(RADIANS('R1'!I189)))))</f>
        <v>32.571632726288172</v>
      </c>
      <c r="C189">
        <f>AVERAGE('R1'!J189,'R2'!J189,'R3'!J189)</f>
        <v>1.18</v>
      </c>
      <c r="D189">
        <f>AVERAGE('R1'!K189,'R2'!K189,'R3'!K189)</f>
        <v>22.701158916666667</v>
      </c>
      <c r="E189">
        <f>AVERAGE('R1'!L189,'R2'!L189,'R3'!L189)</f>
        <v>1.8321320804704901</v>
      </c>
      <c r="F189">
        <f>AVERAGE('R1'!M189,'R2'!M189,'R3'!M189)</f>
        <v>-0.79143194231849778</v>
      </c>
      <c r="G189">
        <f>AVERAGE('R1'!N189,'R2'!N189,'R3'!N189)</f>
        <v>-0.64766448942205912</v>
      </c>
      <c r="H189">
        <f>AVERAGE('R1'!O189,'R2'!O189,'R3'!O189)</f>
        <v>-0.52295938081553872</v>
      </c>
      <c r="I189">
        <f t="shared" si="6"/>
        <v>4464.5612536111112</v>
      </c>
      <c r="K189">
        <f>_xlfn.STDEV.S('R1'!L189,'R2'!L189,'R3'!L189)</f>
        <v>8.157591872678744E-3</v>
      </c>
      <c r="L189">
        <f>_xlfn.STDEV.S('R1'!M189,'R2'!M189,'R3'!M189)</f>
        <v>3.1667803816785218E-3</v>
      </c>
      <c r="M189">
        <f>_xlfn.STDEV.S('R1'!N189,'R2'!N189,'R3'!N189)</f>
        <v>4.4312496321536679E-3</v>
      </c>
      <c r="N189">
        <f>_xlfn.STDEV.S('R1'!O189,'R2'!O189,'R3'!O189)</f>
        <v>1.7892474383410446E-3</v>
      </c>
    </row>
    <row r="190" spans="1:14" x14ac:dyDescent="0.25">
      <c r="A190">
        <f>-'R1'!H190</f>
        <v>12</v>
      </c>
      <c r="B190">
        <f>DEGREES(ATAN(-SIN(RADIANS(('R1'!I190)))/(COS(RADIANS(Sheet1!A190))*COS(RADIANS('R1'!I190)))))</f>
        <v>28.527978326363606</v>
      </c>
      <c r="C190">
        <f>AVERAGE('R1'!J190,'R2'!J190,'R3'!J190)</f>
        <v>1.18</v>
      </c>
      <c r="D190">
        <f>AVERAGE('R1'!K190,'R2'!K190,'R3'!K190)</f>
        <v>22.333224916666666</v>
      </c>
      <c r="E190">
        <f>AVERAGE('R1'!L190,'R2'!L190,'R3'!L190)</f>
        <v>1.6659021716333315</v>
      </c>
      <c r="F190">
        <f>AVERAGE('R1'!M190,'R2'!M190,'R3'!M190)</f>
        <v>-0.7156581519389249</v>
      </c>
      <c r="G190">
        <f>AVERAGE('R1'!N190,'R2'!N190,'R3'!N190)</f>
        <v>-0.48708130128591226</v>
      </c>
      <c r="H190">
        <f>AVERAGE('R1'!O190,'R2'!O190,'R3'!O190)</f>
        <v>-0.35230157616537477</v>
      </c>
      <c r="I190">
        <f t="shared" si="6"/>
        <v>4392.2009002777777</v>
      </c>
      <c r="K190">
        <f>_xlfn.STDEV.S('R1'!L190,'R2'!L190,'R3'!L190)</f>
        <v>5.1204531458662848E-3</v>
      </c>
      <c r="L190">
        <f>_xlfn.STDEV.S('R1'!M190,'R2'!M190,'R3'!M190)</f>
        <v>3.5566413326158868E-3</v>
      </c>
      <c r="M190">
        <f>_xlfn.STDEV.S('R1'!N190,'R2'!N190,'R3'!N190)</f>
        <v>3.6450851079078781E-3</v>
      </c>
      <c r="N190">
        <f>_xlfn.STDEV.S('R1'!O190,'R2'!O190,'R3'!O190)</f>
        <v>5.7414422345914463E-3</v>
      </c>
    </row>
    <row r="191" spans="1:14" x14ac:dyDescent="0.25">
      <c r="A191">
        <f>-'R1'!H191</f>
        <v>12</v>
      </c>
      <c r="B191">
        <f>DEGREES(ATAN(-SIN(RADIANS(('R1'!I191)))/(COS(RADIANS(Sheet1!A191))*COS(RADIANS('R1'!I191)))))</f>
        <v>24.473858605038014</v>
      </c>
      <c r="C191">
        <f>AVERAGE('R1'!J191,'R2'!J191,'R3'!J191)</f>
        <v>1.18</v>
      </c>
      <c r="D191">
        <f>AVERAGE('R1'!K191,'R2'!K191,'R3'!K191)</f>
        <v>22.060270833333334</v>
      </c>
      <c r="E191">
        <f>AVERAGE('R1'!L191,'R2'!L191,'R3'!L191)</f>
        <v>1.5086215511171182</v>
      </c>
      <c r="F191">
        <f>AVERAGE('R1'!M191,'R2'!M191,'R3'!M191)</f>
        <v>-0.65206997034879599</v>
      </c>
      <c r="G191">
        <f>AVERAGE('R1'!N191,'R2'!N191,'R3'!N191)</f>
        <v>-0.35337240735055825</v>
      </c>
      <c r="H191">
        <f>AVERAGE('R1'!O191,'R2'!O191,'R3'!O191)</f>
        <v>-0.18681386324943072</v>
      </c>
      <c r="I191">
        <f t="shared" si="6"/>
        <v>4338.5199305555561</v>
      </c>
      <c r="K191">
        <f>_xlfn.STDEV.S('R1'!L191,'R2'!L191,'R3'!L191)</f>
        <v>1.8064182734428796E-3</v>
      </c>
      <c r="L191">
        <f>_xlfn.STDEV.S('R1'!M191,'R2'!M191,'R3'!M191)</f>
        <v>4.1653070732046308E-3</v>
      </c>
      <c r="M191">
        <f>_xlfn.STDEV.S('R1'!N191,'R2'!N191,'R3'!N191)</f>
        <v>1.3890017299377077E-3</v>
      </c>
      <c r="N191">
        <f>_xlfn.STDEV.S('R1'!O191,'R2'!O191,'R3'!O191)</f>
        <v>2.0706495526136778E-3</v>
      </c>
    </row>
    <row r="192" spans="1:14" x14ac:dyDescent="0.25">
      <c r="A192">
        <f>-'R1'!H192</f>
        <v>12</v>
      </c>
      <c r="B192">
        <f>DEGREES(ATAN(-SIN(RADIANS(('R1'!I192)))/(COS(RADIANS(Sheet1!A192))*COS(RADIANS('R1'!I192)))))</f>
        <v>20.410311753659691</v>
      </c>
      <c r="C192">
        <f>AVERAGE('R1'!J192,'R2'!J192,'R3'!J192)</f>
        <v>1.18</v>
      </c>
      <c r="D192">
        <f>AVERAGE('R1'!K192,'R2'!K192,'R3'!K192)</f>
        <v>21.934116166666666</v>
      </c>
      <c r="E192">
        <f>AVERAGE('R1'!L192,'R2'!L192,'R3'!L192)</f>
        <v>1.3433951606438157</v>
      </c>
      <c r="F192">
        <f>AVERAGE('R1'!M192,'R2'!M192,'R3'!M192)</f>
        <v>-0.62070323203448885</v>
      </c>
      <c r="G192">
        <f>AVERAGE('R1'!N192,'R2'!N192,'R3'!N192)</f>
        <v>-0.24582587311896187</v>
      </c>
      <c r="H192">
        <f>AVERAGE('R1'!O192,'R2'!O192,'R3'!O192)</f>
        <v>-4.8845211082169944E-2</v>
      </c>
      <c r="I192">
        <f t="shared" si="6"/>
        <v>4313.7095127777775</v>
      </c>
      <c r="K192">
        <f>_xlfn.STDEV.S('R1'!L192,'R2'!L192,'R3'!L192)</f>
        <v>3.1791637673476113E-3</v>
      </c>
      <c r="L192">
        <f>_xlfn.STDEV.S('R1'!M192,'R2'!M192,'R3'!M192)</f>
        <v>2.6585214803998974E-3</v>
      </c>
      <c r="M192">
        <f>_xlfn.STDEV.S('R1'!N192,'R2'!N192,'R3'!N192)</f>
        <v>1.6316936474897426E-3</v>
      </c>
      <c r="N192">
        <f>_xlfn.STDEV.S('R1'!O192,'R2'!O192,'R3'!O192)</f>
        <v>4.1425463072487035E-3</v>
      </c>
    </row>
    <row r="193" spans="1:14" x14ac:dyDescent="0.25">
      <c r="A193">
        <f>-'R1'!H193</f>
        <v>12</v>
      </c>
      <c r="B193">
        <f>DEGREES(ATAN(-SIN(RADIANS(('R1'!I193)))/(COS(RADIANS(Sheet1!A193))*COS(RADIANS('R1'!I193)))))</f>
        <v>16.338575476506957</v>
      </c>
      <c r="C193">
        <f>AVERAGE('R1'!J193,'R2'!J193,'R3'!J193)</f>
        <v>1.18</v>
      </c>
      <c r="D193">
        <f>AVERAGE('R1'!K193,'R2'!K193,'R3'!K193)</f>
        <v>22.128762166666672</v>
      </c>
      <c r="E193">
        <f>AVERAGE('R1'!L193,'R2'!L193,'R3'!L193)</f>
        <v>1.1599332869765424</v>
      </c>
      <c r="F193">
        <f>AVERAGE('R1'!M193,'R2'!M193,'R3'!M193)</f>
        <v>-0.62489997444750667</v>
      </c>
      <c r="G193">
        <f>AVERAGE('R1'!N193,'R2'!N193,'R3'!N193)</f>
        <v>-0.16843455675384711</v>
      </c>
      <c r="H193">
        <f>AVERAGE('R1'!O193,'R2'!O193,'R3'!O193)</f>
        <v>7.9098366749286386E-2</v>
      </c>
      <c r="I193">
        <f t="shared" si="6"/>
        <v>4351.9898927777786</v>
      </c>
      <c r="K193">
        <f>_xlfn.STDEV.S('R1'!L193,'R2'!L193,'R3'!L193)</f>
        <v>4.1993371898795262E-3</v>
      </c>
      <c r="L193">
        <f>_xlfn.STDEV.S('R1'!M193,'R2'!M193,'R3'!M193)</f>
        <v>5.0058464281310102E-3</v>
      </c>
      <c r="M193">
        <f>_xlfn.STDEV.S('R1'!N193,'R2'!N193,'R3'!N193)</f>
        <v>3.1060625206996862E-3</v>
      </c>
      <c r="N193">
        <f>_xlfn.STDEV.S('R1'!O193,'R2'!O193,'R3'!O193)</f>
        <v>4.2260916372582717E-4</v>
      </c>
    </row>
    <row r="194" spans="1:14" x14ac:dyDescent="0.25">
      <c r="A194">
        <f>-'R1'!H194</f>
        <v>12</v>
      </c>
      <c r="B194">
        <f>DEGREES(ATAN(-SIN(RADIANS(('R1'!I194)))/(COS(RADIANS(Sheet1!A194))*COS(RADIANS('R1'!I194)))))</f>
        <v>12.260062948059348</v>
      </c>
      <c r="C194">
        <f>AVERAGE('R1'!J194,'R2'!J194,'R3'!J194)</f>
        <v>1.18</v>
      </c>
      <c r="D194">
        <f>AVERAGE('R1'!K194,'R2'!K194,'R3'!K194)</f>
        <v>22.352013583333331</v>
      </c>
      <c r="E194">
        <f>AVERAGE('R1'!L194,'R2'!L194,'R3'!L194)</f>
        <v>0.91143698904440951</v>
      </c>
      <c r="F194">
        <f>AVERAGE('R1'!M194,'R2'!M194,'R3'!M194)</f>
        <v>-0.70306586342139943</v>
      </c>
      <c r="G194">
        <f>AVERAGE('R1'!N194,'R2'!N194,'R3'!N194)</f>
        <v>-0.10698879932458676</v>
      </c>
      <c r="H194">
        <f>AVERAGE('R1'!O194,'R2'!O194,'R3'!O194)</f>
        <v>0.1823693869307077</v>
      </c>
      <c r="I194">
        <f t="shared" si="6"/>
        <v>4395.8960047222217</v>
      </c>
      <c r="K194">
        <f>_xlfn.STDEV.S('R1'!L194,'R2'!L194,'R3'!L194)</f>
        <v>5.9088288909062278E-3</v>
      </c>
      <c r="L194">
        <f>_xlfn.STDEV.S('R1'!M194,'R2'!M194,'R3'!M194)</f>
        <v>3.3829202277507447E-3</v>
      </c>
      <c r="M194">
        <f>_xlfn.STDEV.S('R1'!N194,'R2'!N194,'R3'!N194)</f>
        <v>8.2181897789370697E-4</v>
      </c>
      <c r="N194">
        <f>_xlfn.STDEV.S('R1'!O194,'R2'!O194,'R3'!O194)</f>
        <v>3.9805075626618306E-3</v>
      </c>
    </row>
    <row r="195" spans="1:14" x14ac:dyDescent="0.25">
      <c r="A195">
        <f>-'R1'!H195</f>
        <v>12</v>
      </c>
      <c r="B195">
        <f>DEGREES(ATAN(-SIN(RADIANS(('R1'!I195)))/(COS(RADIANS(Sheet1!A195))*COS(RADIANS('R1'!I195)))))</f>
        <v>8.1763340518815415</v>
      </c>
      <c r="C195">
        <f>AVERAGE('R1'!J195,'R2'!J195,'R3'!J195)</f>
        <v>1.18</v>
      </c>
      <c r="D195">
        <f>AVERAGE('R1'!K195,'R2'!K195,'R3'!K195)</f>
        <v>22.468187</v>
      </c>
      <c r="E195">
        <f>AVERAGE('R1'!L195,'R2'!L195,'R3'!L195)</f>
        <v>0.65426647517418324</v>
      </c>
      <c r="F195">
        <f>AVERAGE('R1'!M195,'R2'!M195,'R3'!M195)</f>
        <v>-0.8129094911688699</v>
      </c>
      <c r="G195">
        <f>AVERAGE('R1'!N195,'R2'!N195,'R3'!N195)</f>
        <v>-7.7519522459885928E-2</v>
      </c>
      <c r="H195">
        <f>AVERAGE('R1'!O195,'R2'!O195,'R3'!O195)</f>
        <v>0.25941689940358259</v>
      </c>
      <c r="I195">
        <f t="shared" ref="I195:I258" si="7">10^5*C195*D195*0.003/1.8</f>
        <v>4418.7434433333337</v>
      </c>
      <c r="K195">
        <f>_xlfn.STDEV.S('R1'!L195,'R2'!L195,'R3'!L195)</f>
        <v>7.076234229770456E-3</v>
      </c>
      <c r="L195">
        <f>_xlfn.STDEV.S('R1'!M195,'R2'!M195,'R3'!M195)</f>
        <v>5.6387866554757559E-3</v>
      </c>
      <c r="M195">
        <f>_xlfn.STDEV.S('R1'!N195,'R2'!N195,'R3'!N195)</f>
        <v>2.8956557921556714E-3</v>
      </c>
      <c r="N195">
        <f>_xlfn.STDEV.S('R1'!O195,'R2'!O195,'R3'!O195)</f>
        <v>5.4771798630214039E-3</v>
      </c>
    </row>
    <row r="196" spans="1:14" x14ac:dyDescent="0.25">
      <c r="A196">
        <f>-'R1'!H196</f>
        <v>12</v>
      </c>
      <c r="B196">
        <f>DEGREES(ATAN(-SIN(RADIANS(('R1'!I196)))/(COS(RADIANS(Sheet1!A196))*COS(RADIANS('R1'!I196)))))</f>
        <v>4.0890625478299265</v>
      </c>
      <c r="C196">
        <f>AVERAGE('R1'!J196,'R2'!J196,'R3'!J196)</f>
        <v>1.18</v>
      </c>
      <c r="D196">
        <f>AVERAGE('R1'!K196,'R2'!K196,'R3'!K196)</f>
        <v>22.813163250000002</v>
      </c>
      <c r="E196">
        <f>AVERAGE('R1'!L196,'R2'!L196,'R3'!L196)</f>
        <v>0.37733769248269233</v>
      </c>
      <c r="F196">
        <f>AVERAGE('R1'!M196,'R2'!M196,'R3'!M196)</f>
        <v>-0.90073783598312052</v>
      </c>
      <c r="G196">
        <f>AVERAGE('R1'!N196,'R2'!N196,'R3'!N196)</f>
        <v>-4.8584609382448629E-2</v>
      </c>
      <c r="H196">
        <f>AVERAGE('R1'!O196,'R2'!O196,'R3'!O196)</f>
        <v>0.33570155838638066</v>
      </c>
      <c r="I196">
        <f t="shared" si="7"/>
        <v>4486.5887725000011</v>
      </c>
      <c r="K196">
        <f>_xlfn.STDEV.S('R1'!L196,'R2'!L196,'R3'!L196)</f>
        <v>1.7047086637152914E-3</v>
      </c>
      <c r="L196">
        <f>_xlfn.STDEV.S('R1'!M196,'R2'!M196,'R3'!M196)</f>
        <v>2.539739809117556E-3</v>
      </c>
      <c r="M196">
        <f>_xlfn.STDEV.S('R1'!N196,'R2'!N196,'R3'!N196)</f>
        <v>4.7617545132975616E-3</v>
      </c>
      <c r="N196">
        <f>_xlfn.STDEV.S('R1'!O196,'R2'!O196,'R3'!O196)</f>
        <v>2.8889788016863119E-3</v>
      </c>
    </row>
    <row r="197" spans="1:14" x14ac:dyDescent="0.25">
      <c r="A197">
        <f>-'R1'!H197</f>
        <v>12</v>
      </c>
      <c r="B197">
        <f>DEGREES(ATAN(-SIN(RADIANS(('R1'!I197)))/(COS(RADIANS(Sheet1!A197))*COS(RADIANS('R1'!I197)))))</f>
        <v>0</v>
      </c>
      <c r="C197">
        <f>AVERAGE('R1'!J197,'R2'!J197,'R3'!J197)</f>
        <v>1.18</v>
      </c>
      <c r="D197">
        <f>AVERAGE('R1'!K197,'R2'!K197,'R3'!K197)</f>
        <v>22.743804833333332</v>
      </c>
      <c r="E197">
        <f>AVERAGE('R1'!L197,'R2'!L197,'R3'!L197)</f>
        <v>8.7769646950483005E-2</v>
      </c>
      <c r="F197">
        <f>AVERAGE('R1'!M197,'R2'!M197,'R3'!M197)</f>
        <v>-0.98708721877706473</v>
      </c>
      <c r="G197">
        <f>AVERAGE('R1'!N197,'R2'!N197,'R3'!N197)</f>
        <v>-2.5249482491222105E-2</v>
      </c>
      <c r="H197">
        <f>AVERAGE('R1'!O197,'R2'!O197,'R3'!O197)</f>
        <v>0.40851928323527592</v>
      </c>
      <c r="I197">
        <f t="shared" si="7"/>
        <v>4472.9482838888889</v>
      </c>
      <c r="K197">
        <f>_xlfn.STDEV.S('R1'!L197,'R2'!L197,'R3'!L197)</f>
        <v>5.6946050033894503E-3</v>
      </c>
      <c r="L197">
        <f>_xlfn.STDEV.S('R1'!M197,'R2'!M197,'R3'!M197)</f>
        <v>3.9371476245589499E-3</v>
      </c>
      <c r="M197">
        <f>_xlfn.STDEV.S('R1'!N197,'R2'!N197,'R3'!N197)</f>
        <v>4.9792187165239145E-3</v>
      </c>
      <c r="N197">
        <f>_xlfn.STDEV.S('R1'!O197,'R2'!O197,'R3'!O197)</f>
        <v>2.254418776309974E-3</v>
      </c>
    </row>
    <row r="198" spans="1:14" x14ac:dyDescent="0.25">
      <c r="A198">
        <f>-'R1'!H198</f>
        <v>12</v>
      </c>
      <c r="B198">
        <f>DEGREES(ATAN(-SIN(RADIANS(('R1'!I198)))/(COS(RADIANS(Sheet1!A198))*COS(RADIANS('R1'!I198)))))</f>
        <v>-4.0890625478299265</v>
      </c>
      <c r="C198">
        <f>AVERAGE('R1'!J198,'R2'!J198,'R3'!J198)</f>
        <v>1.18</v>
      </c>
      <c r="D198">
        <f>AVERAGE('R1'!K198,'R2'!K198,'R3'!K198)</f>
        <v>22.355101166666667</v>
      </c>
      <c r="E198">
        <f>AVERAGE('R1'!L198,'R2'!L198,'R3'!L198)</f>
        <v>-0.206020903340941</v>
      </c>
      <c r="F198">
        <f>AVERAGE('R1'!M198,'R2'!M198,'R3'!M198)</f>
        <v>-0.95686664069366767</v>
      </c>
      <c r="G198">
        <f>AVERAGE('R1'!N198,'R2'!N198,'R3'!N198)</f>
        <v>-2.6689077599228634E-2</v>
      </c>
      <c r="H198">
        <f>AVERAGE('R1'!O198,'R2'!O198,'R3'!O198)</f>
        <v>0.35715465185952211</v>
      </c>
      <c r="I198">
        <f t="shared" si="7"/>
        <v>4396.5032294444445</v>
      </c>
      <c r="K198">
        <f>_xlfn.STDEV.S('R1'!L198,'R2'!L198,'R3'!L198)</f>
        <v>4.2938381867532781E-3</v>
      </c>
      <c r="L198">
        <f>_xlfn.STDEV.S('R1'!M198,'R2'!M198,'R3'!M198)</f>
        <v>3.5465067968524291E-3</v>
      </c>
      <c r="M198">
        <f>_xlfn.STDEV.S('R1'!N198,'R2'!N198,'R3'!N198)</f>
        <v>2.4286455902519052E-3</v>
      </c>
      <c r="N198">
        <f>_xlfn.STDEV.S('R1'!O198,'R2'!O198,'R3'!O198)</f>
        <v>4.7498330863334891E-3</v>
      </c>
    </row>
    <row r="199" spans="1:14" x14ac:dyDescent="0.25">
      <c r="A199">
        <f>-'R1'!H199</f>
        <v>12</v>
      </c>
      <c r="B199">
        <f>DEGREES(ATAN(-SIN(RADIANS(('R1'!I199)))/(COS(RADIANS(Sheet1!A199))*COS(RADIANS('R1'!I199)))))</f>
        <v>-8.1763340518815415</v>
      </c>
      <c r="C199">
        <f>AVERAGE('R1'!J199,'R2'!J199,'R3'!J199)</f>
        <v>1.18</v>
      </c>
      <c r="D199">
        <f>AVERAGE('R1'!K199,'R2'!K199,'R3'!K199)</f>
        <v>22.069758166666663</v>
      </c>
      <c r="E199">
        <f>AVERAGE('R1'!L199,'R2'!L199,'R3'!L199)</f>
        <v>-0.46110668329675875</v>
      </c>
      <c r="F199">
        <f>AVERAGE('R1'!M199,'R2'!M199,'R3'!M199)</f>
        <v>-0.89670895102575032</v>
      </c>
      <c r="G199">
        <f>AVERAGE('R1'!N199,'R2'!N199,'R3'!N199)</f>
        <v>-4.2440282990095481E-2</v>
      </c>
      <c r="H199">
        <f>AVERAGE('R1'!O199,'R2'!O199,'R3'!O199)</f>
        <v>0.25880218699824981</v>
      </c>
      <c r="I199">
        <f t="shared" si="7"/>
        <v>4340.3857727777768</v>
      </c>
      <c r="K199">
        <f>_xlfn.STDEV.S('R1'!L199,'R2'!L199,'R3'!L199)</f>
        <v>4.9752328244822147E-3</v>
      </c>
      <c r="L199">
        <f>_xlfn.STDEV.S('R1'!M199,'R2'!M199,'R3'!M199)</f>
        <v>2.109830665883901E-3</v>
      </c>
      <c r="M199">
        <f>_xlfn.STDEV.S('R1'!N199,'R2'!N199,'R3'!N199)</f>
        <v>3.3114067154772966E-3</v>
      </c>
      <c r="N199">
        <f>_xlfn.STDEV.S('R1'!O199,'R2'!O199,'R3'!O199)</f>
        <v>4.5915094393270666E-3</v>
      </c>
    </row>
    <row r="200" spans="1:14" x14ac:dyDescent="0.25">
      <c r="A200">
        <f>-'R1'!H200</f>
        <v>12</v>
      </c>
      <c r="B200">
        <f>DEGREES(ATAN(-SIN(RADIANS(('R1'!I200)))/(COS(RADIANS(Sheet1!A200))*COS(RADIANS('R1'!I200)))))</f>
        <v>-12.260062948059348</v>
      </c>
      <c r="C200">
        <f>AVERAGE('R1'!J200,'R2'!J200,'R3'!J200)</f>
        <v>1.18</v>
      </c>
      <c r="D200">
        <f>AVERAGE('R1'!K200,'R2'!K200,'R3'!K200)</f>
        <v>21.953710916666665</v>
      </c>
      <c r="E200">
        <f>AVERAGE('R1'!L200,'R2'!L200,'R3'!L200)</f>
        <v>-0.70701355336068605</v>
      </c>
      <c r="F200">
        <f>AVERAGE('R1'!M200,'R2'!M200,'R3'!M200)</f>
        <v>-0.82724474368769785</v>
      </c>
      <c r="G200">
        <f>AVERAGE('R1'!N200,'R2'!N200,'R3'!N200)</f>
        <v>-7.1645395156637884E-2</v>
      </c>
      <c r="H200">
        <f>AVERAGE('R1'!O200,'R2'!O200,'R3'!O200)</f>
        <v>0.16600762410317846</v>
      </c>
      <c r="I200">
        <f t="shared" si="7"/>
        <v>4317.5631469444443</v>
      </c>
      <c r="K200">
        <f>_xlfn.STDEV.S('R1'!L200,'R2'!L200,'R3'!L200)</f>
        <v>8.3100335915873701E-4</v>
      </c>
      <c r="L200">
        <f>_xlfn.STDEV.S('R1'!M200,'R2'!M200,'R3'!M200)</f>
        <v>3.7499978201553127E-3</v>
      </c>
      <c r="M200">
        <f>_xlfn.STDEV.S('R1'!N200,'R2'!N200,'R3'!N200)</f>
        <v>3.0418739894301984E-3</v>
      </c>
      <c r="N200">
        <f>_xlfn.STDEV.S('R1'!O200,'R2'!O200,'R3'!O200)</f>
        <v>4.7531708746177933E-3</v>
      </c>
    </row>
    <row r="201" spans="1:14" x14ac:dyDescent="0.25">
      <c r="A201">
        <f>-'R1'!H201</f>
        <v>12</v>
      </c>
      <c r="B201">
        <f>DEGREES(ATAN(-SIN(RADIANS(('R1'!I201)))/(COS(RADIANS(Sheet1!A201))*COS(RADIANS('R1'!I201)))))</f>
        <v>-16.338575476506957</v>
      </c>
      <c r="C201">
        <f>AVERAGE('R1'!J201,'R2'!J201,'R3'!J201)</f>
        <v>1.18</v>
      </c>
      <c r="D201">
        <f>AVERAGE('R1'!K201,'R2'!K201,'R3'!K201)</f>
        <v>22.212293333333331</v>
      </c>
      <c r="E201">
        <f>AVERAGE('R1'!L201,'R2'!L201,'R3'!L201)</f>
        <v>-0.94022120163637224</v>
      </c>
      <c r="F201">
        <f>AVERAGE('R1'!M201,'R2'!M201,'R3'!M201)</f>
        <v>-0.73717993032322404</v>
      </c>
      <c r="G201">
        <f>AVERAGE('R1'!N201,'R2'!N201,'R3'!N201)</f>
        <v>-0.10691702127686591</v>
      </c>
      <c r="H201">
        <f>AVERAGE('R1'!O201,'R2'!O201,'R3'!O201)</f>
        <v>7.7933558653667481E-2</v>
      </c>
      <c r="I201">
        <f t="shared" si="7"/>
        <v>4368.4176888888887</v>
      </c>
      <c r="K201">
        <f>_xlfn.STDEV.S('R1'!L201,'R2'!L201,'R3'!L201)</f>
        <v>1.5820049764091889E-3</v>
      </c>
      <c r="L201">
        <f>_xlfn.STDEV.S('R1'!M201,'R2'!M201,'R3'!M201)</f>
        <v>3.6832558586739604E-3</v>
      </c>
      <c r="M201">
        <f>_xlfn.STDEV.S('R1'!N201,'R2'!N201,'R3'!N201)</f>
        <v>2.1712244638038163E-3</v>
      </c>
      <c r="N201">
        <f>_xlfn.STDEV.S('R1'!O201,'R2'!O201,'R3'!O201)</f>
        <v>4.9739909219231951E-3</v>
      </c>
    </row>
    <row r="202" spans="1:14" x14ac:dyDescent="0.25">
      <c r="A202">
        <f>-'R1'!H202</f>
        <v>12</v>
      </c>
      <c r="B202">
        <f>DEGREES(ATAN(-SIN(RADIANS(('R1'!I202)))/(COS(RADIANS(Sheet1!A202))*COS(RADIANS('R1'!I202)))))</f>
        <v>-20.410311753659691</v>
      </c>
      <c r="C202">
        <f>AVERAGE('R1'!J202,'R2'!J202,'R3'!J202)</f>
        <v>1.18</v>
      </c>
      <c r="D202">
        <f>AVERAGE('R1'!K202,'R2'!K202,'R3'!K202)</f>
        <v>22.397912416666667</v>
      </c>
      <c r="E202">
        <f>AVERAGE('R1'!L202,'R2'!L202,'R3'!L202)</f>
        <v>-1.1434077367136453</v>
      </c>
      <c r="F202">
        <f>AVERAGE('R1'!M202,'R2'!M202,'R3'!M202)</f>
        <v>-0.67515564250574667</v>
      </c>
      <c r="G202">
        <f>AVERAGE('R1'!N202,'R2'!N202,'R3'!N202)</f>
        <v>-0.16264814676126957</v>
      </c>
      <c r="H202">
        <f>AVERAGE('R1'!O202,'R2'!O202,'R3'!O202)</f>
        <v>-1.8044899792073719E-2</v>
      </c>
      <c r="I202">
        <f t="shared" si="7"/>
        <v>4404.9227752777779</v>
      </c>
      <c r="K202">
        <f>_xlfn.STDEV.S('R1'!L202,'R2'!L202,'R3'!L202)</f>
        <v>2.8472342379383215E-3</v>
      </c>
      <c r="L202">
        <f>_xlfn.STDEV.S('R1'!M202,'R2'!M202,'R3'!M202)</f>
        <v>3.5244707881323381E-3</v>
      </c>
      <c r="M202">
        <f>_xlfn.STDEV.S('R1'!N202,'R2'!N202,'R3'!N202)</f>
        <v>2.8707476439004754E-3</v>
      </c>
      <c r="N202">
        <f>_xlfn.STDEV.S('R1'!O202,'R2'!O202,'R3'!O202)</f>
        <v>2.4840031871555136E-3</v>
      </c>
    </row>
    <row r="203" spans="1:14" x14ac:dyDescent="0.25">
      <c r="A203">
        <f>-'R1'!H203</f>
        <v>12</v>
      </c>
      <c r="B203">
        <f>DEGREES(ATAN(-SIN(RADIANS(('R1'!I203)))/(COS(RADIANS(Sheet1!A203))*COS(RADIANS('R1'!I203)))))</f>
        <v>-24.473858605038014</v>
      </c>
      <c r="C203">
        <f>AVERAGE('R1'!J203,'R2'!J203,'R3'!J203)</f>
        <v>1.18</v>
      </c>
      <c r="D203">
        <f>AVERAGE('R1'!K203,'R2'!K203,'R3'!K203)</f>
        <v>22.515562166666669</v>
      </c>
      <c r="E203">
        <f>AVERAGE('R1'!L203,'R2'!L203,'R3'!L203)</f>
        <v>-1.3431451494070112</v>
      </c>
      <c r="F203">
        <f>AVERAGE('R1'!M203,'R2'!M203,'R3'!M203)</f>
        <v>-0.6405605291001244</v>
      </c>
      <c r="G203">
        <f>AVERAGE('R1'!N203,'R2'!N203,'R3'!N203)</f>
        <v>-0.24379826585533562</v>
      </c>
      <c r="H203">
        <f>AVERAGE('R1'!O203,'R2'!O203,'R3'!O203)</f>
        <v>-0.12060841186352077</v>
      </c>
      <c r="I203">
        <f t="shared" si="7"/>
        <v>4428.0605594444451</v>
      </c>
      <c r="K203">
        <f>_xlfn.STDEV.S('R1'!L203,'R2'!L203,'R3'!L203)</f>
        <v>1.3132996653605286E-3</v>
      </c>
      <c r="L203">
        <f>_xlfn.STDEV.S('R1'!M203,'R2'!M203,'R3'!M203)</f>
        <v>4.8252577932062007E-3</v>
      </c>
      <c r="M203">
        <f>_xlfn.STDEV.S('R1'!N203,'R2'!N203,'R3'!N203)</f>
        <v>2.8793338687770459E-3</v>
      </c>
      <c r="N203">
        <f>_xlfn.STDEV.S('R1'!O203,'R2'!O203,'R3'!O203)</f>
        <v>6.6920375072646995E-3</v>
      </c>
    </row>
    <row r="204" spans="1:14" x14ac:dyDescent="0.25">
      <c r="A204">
        <f>-'R1'!H204</f>
        <v>12</v>
      </c>
      <c r="B204">
        <f>DEGREES(ATAN(-SIN(RADIANS(('R1'!I204)))/(COS(RADIANS(Sheet1!A204))*COS(RADIANS('R1'!I204)))))</f>
        <v>-28.527978326363606</v>
      </c>
      <c r="C204">
        <f>AVERAGE('R1'!J204,'R2'!J204,'R3'!J204)</f>
        <v>1.18</v>
      </c>
      <c r="D204">
        <f>AVERAGE('R1'!K204,'R2'!K204,'R3'!K204)</f>
        <v>22.654577583333332</v>
      </c>
      <c r="E204">
        <f>AVERAGE('R1'!L204,'R2'!L204,'R3'!L204)</f>
        <v>-1.4982807289528923</v>
      </c>
      <c r="F204">
        <f>AVERAGE('R1'!M204,'R2'!M204,'R3'!M204)</f>
        <v>-0.67186853008167324</v>
      </c>
      <c r="G204">
        <f>AVERAGE('R1'!N204,'R2'!N204,'R3'!N204)</f>
        <v>-0.34581342561605077</v>
      </c>
      <c r="H204">
        <f>AVERAGE('R1'!O204,'R2'!O204,'R3'!O204)</f>
        <v>-0.24830937132781253</v>
      </c>
      <c r="I204">
        <f t="shared" si="7"/>
        <v>4455.4002580555552</v>
      </c>
      <c r="K204">
        <f>_xlfn.STDEV.S('R1'!L204,'R2'!L204,'R3'!L204)</f>
        <v>3.1127558198603992E-3</v>
      </c>
      <c r="L204">
        <f>_xlfn.STDEV.S('R1'!M204,'R2'!M204,'R3'!M204)</f>
        <v>8.283724349368621E-4</v>
      </c>
      <c r="M204">
        <f>_xlfn.STDEV.S('R1'!N204,'R2'!N204,'R3'!N204)</f>
        <v>5.5436099536306253E-4</v>
      </c>
      <c r="N204">
        <f>_xlfn.STDEV.S('R1'!O204,'R2'!O204,'R3'!O204)</f>
        <v>4.8327368821388028E-3</v>
      </c>
    </row>
    <row r="205" spans="1:14" x14ac:dyDescent="0.25">
      <c r="A205">
        <f>-'R1'!H205</f>
        <v>12</v>
      </c>
      <c r="B205">
        <f>DEGREES(ATAN(-SIN(RADIANS(('R1'!I205)))/(COS(RADIANS(Sheet1!A205))*COS(RADIANS('R1'!I205)))))</f>
        <v>-32.571632726288172</v>
      </c>
      <c r="C205">
        <f>AVERAGE('R1'!J205,'R2'!J205,'R3'!J205)</f>
        <v>1.18</v>
      </c>
      <c r="D205">
        <f>AVERAGE('R1'!K205,'R2'!K205,'R3'!K205)</f>
        <v>22.775949666666666</v>
      </c>
      <c r="E205">
        <f>AVERAGE('R1'!L205,'R2'!L205,'R3'!L205)</f>
        <v>-1.6453388643163454</v>
      </c>
      <c r="F205">
        <f>AVERAGE('R1'!M205,'R2'!M205,'R3'!M205)</f>
        <v>-0.72500764657682293</v>
      </c>
      <c r="G205">
        <f>AVERAGE('R1'!N205,'R2'!N205,'R3'!N205)</f>
        <v>-0.47268275219203898</v>
      </c>
      <c r="H205">
        <f>AVERAGE('R1'!O205,'R2'!O205,'R3'!O205)</f>
        <v>-0.38562297957310071</v>
      </c>
      <c r="I205">
        <f t="shared" si="7"/>
        <v>4479.2701011111103</v>
      </c>
      <c r="K205">
        <f>_xlfn.STDEV.S('R1'!L205,'R2'!L205,'R3'!L205)</f>
        <v>2.2684682838441583E-3</v>
      </c>
      <c r="L205">
        <f>_xlfn.STDEV.S('R1'!M205,'R2'!M205,'R3'!M205)</f>
        <v>9.9385536473647808E-4</v>
      </c>
      <c r="M205">
        <f>_xlfn.STDEV.S('R1'!N205,'R2'!N205,'R3'!N205)</f>
        <v>1.2869171547609437E-3</v>
      </c>
      <c r="N205">
        <f>_xlfn.STDEV.S('R1'!O205,'R2'!O205,'R3'!O205)</f>
        <v>3.8636668260286738E-3</v>
      </c>
    </row>
    <row r="206" spans="1:14" x14ac:dyDescent="0.25">
      <c r="A206">
        <f>-'R1'!H206</f>
        <v>12</v>
      </c>
      <c r="B206">
        <f>DEGREES(ATAN(-SIN(RADIANS(('R1'!I206)))/(COS(RADIANS(Sheet1!A206))*COS(RADIANS('R1'!I206)))))</f>
        <v>-36.604002006988381</v>
      </c>
      <c r="C206">
        <f>AVERAGE('R1'!J206,'R2'!J206,'R3'!J206)</f>
        <v>1.18</v>
      </c>
      <c r="D206">
        <f>AVERAGE('R1'!K206,'R2'!K206,'R3'!K206)</f>
        <v>22.361292000000002</v>
      </c>
      <c r="E206">
        <f>AVERAGE('R1'!L206,'R2'!L206,'R3'!L206)</f>
        <v>-1.8289957371133825</v>
      </c>
      <c r="F206">
        <f>AVERAGE('R1'!M206,'R2'!M206,'R3'!M206)</f>
        <v>-0.79835324518144513</v>
      </c>
      <c r="G206">
        <f>AVERAGE('R1'!N206,'R2'!N206,'R3'!N206)</f>
        <v>-0.64652003368445454</v>
      </c>
      <c r="H206">
        <f>AVERAGE('R1'!O206,'R2'!O206,'R3'!O206)</f>
        <v>-0.54233207380921722</v>
      </c>
      <c r="I206">
        <f t="shared" si="7"/>
        <v>4397.7207600000002</v>
      </c>
      <c r="K206">
        <f>_xlfn.STDEV.S('R1'!L206,'R2'!L206,'R3'!L206)</f>
        <v>2.2207766883652739E-3</v>
      </c>
      <c r="L206">
        <f>_xlfn.STDEV.S('R1'!M206,'R2'!M206,'R3'!M206)</f>
        <v>5.395178083677136E-3</v>
      </c>
      <c r="M206">
        <f>_xlfn.STDEV.S('R1'!N206,'R2'!N206,'R3'!N206)</f>
        <v>3.6416172698577509E-3</v>
      </c>
      <c r="N206">
        <f>_xlfn.STDEV.S('R1'!O206,'R2'!O206,'R3'!O206)</f>
        <v>4.804031988861192E-3</v>
      </c>
    </row>
    <row r="207" spans="1:14" x14ac:dyDescent="0.25">
      <c r="A207">
        <f>-'R1'!H207</f>
        <v>12</v>
      </c>
      <c r="B207">
        <f>DEGREES(ATAN(-SIN(RADIANS(('R1'!I207)))/(COS(RADIANS(Sheet1!A207))*COS(RADIANS('R1'!I207)))))</f>
        <v>-40.624498244732152</v>
      </c>
      <c r="C207">
        <f>AVERAGE('R1'!J207,'R2'!J207,'R3'!J207)</f>
        <v>1.18</v>
      </c>
      <c r="D207">
        <f>AVERAGE('R1'!K207,'R2'!K207,'R3'!K207)</f>
        <v>22.066355583333333</v>
      </c>
      <c r="E207">
        <f>AVERAGE('R1'!L207,'R2'!L207,'R3'!L207)</f>
        <v>-2.0739605436150841</v>
      </c>
      <c r="F207">
        <f>AVERAGE('R1'!M207,'R2'!M207,'R3'!M207)</f>
        <v>-0.88001278441719977</v>
      </c>
      <c r="G207">
        <f>AVERAGE('R1'!N207,'R2'!N207,'R3'!N207)</f>
        <v>-0.88275129925953466</v>
      </c>
      <c r="H207">
        <f>AVERAGE('R1'!O207,'R2'!O207,'R3'!O207)</f>
        <v>-0.7273363768486395</v>
      </c>
      <c r="I207">
        <f t="shared" si="7"/>
        <v>4339.7165980555556</v>
      </c>
      <c r="K207">
        <f>_xlfn.STDEV.S('R1'!L207,'R2'!L207,'R3'!L207)</f>
        <v>3.768422407546353E-3</v>
      </c>
      <c r="L207">
        <f>_xlfn.STDEV.S('R1'!M207,'R2'!M207,'R3'!M207)</f>
        <v>1.0893308062300082E-3</v>
      </c>
      <c r="M207">
        <f>_xlfn.STDEV.S('R1'!N207,'R2'!N207,'R3'!N207)</f>
        <v>6.1470462064410307E-3</v>
      </c>
      <c r="N207">
        <f>_xlfn.STDEV.S('R1'!O207,'R2'!O207,'R3'!O207)</f>
        <v>1.8344477387765843E-3</v>
      </c>
    </row>
    <row r="208" spans="1:14" x14ac:dyDescent="0.25">
      <c r="A208">
        <f>-'R1'!H208</f>
        <v>12</v>
      </c>
      <c r="B208">
        <f>DEGREES(ATAN(-SIN(RADIANS(('R1'!I208)))/(COS(RADIANS(Sheet1!A208))*COS(RADIANS('R1'!I208)))))</f>
        <v>-44.632773428056808</v>
      </c>
      <c r="C208">
        <f>AVERAGE('R1'!J208,'R2'!J208,'R3'!J208)</f>
        <v>1.18</v>
      </c>
      <c r="D208">
        <f>AVERAGE('R1'!K208,'R2'!K208,'R3'!K208)</f>
        <v>21.814926</v>
      </c>
      <c r="E208">
        <f>AVERAGE('R1'!L208,'R2'!L208,'R3'!L208)</f>
        <v>-2.373453337190472</v>
      </c>
      <c r="F208">
        <f>AVERAGE('R1'!M208,'R2'!M208,'R3'!M208)</f>
        <v>-0.99680196873420401</v>
      </c>
      <c r="G208">
        <f>AVERAGE('R1'!N208,'R2'!N208,'R3'!N208)</f>
        <v>-1.1876057384731575</v>
      </c>
      <c r="H208">
        <f>AVERAGE('R1'!O208,'R2'!O208,'R3'!O208)</f>
        <v>-0.95468754259779898</v>
      </c>
      <c r="I208">
        <f t="shared" si="7"/>
        <v>4290.2687800000003</v>
      </c>
      <c r="K208">
        <f>_xlfn.STDEV.S('R1'!L208,'R2'!L208,'R3'!L208)</f>
        <v>1.0108383517279988E-2</v>
      </c>
      <c r="L208">
        <f>_xlfn.STDEV.S('R1'!M208,'R2'!M208,'R3'!M208)</f>
        <v>2.9499578768044442E-3</v>
      </c>
      <c r="M208">
        <f>_xlfn.STDEV.S('R1'!N208,'R2'!N208,'R3'!N208)</f>
        <v>8.5955699501049556E-3</v>
      </c>
      <c r="N208">
        <f>_xlfn.STDEV.S('R1'!O208,'R2'!O208,'R3'!O208)</f>
        <v>5.7024805686628445E-3</v>
      </c>
    </row>
    <row r="209" spans="1:14" x14ac:dyDescent="0.25">
      <c r="A209">
        <f>-'R1'!H209</f>
        <v>8</v>
      </c>
      <c r="B209">
        <f>DEGREES(ATAN(-SIN(RADIANS(('R1'!I209)))/(COS(RADIANS(Sheet1!A209))*COS(RADIANS('R1'!I209)))))</f>
        <v>44.280037446618948</v>
      </c>
      <c r="C209">
        <f>AVERAGE('R1'!J209,'R2'!J209,'R3'!J209)</f>
        <v>1.18</v>
      </c>
      <c r="D209">
        <f>AVERAGE('R1'!K209,'R2'!K209,'R3'!K209)</f>
        <v>22.367424166666666</v>
      </c>
      <c r="E209">
        <f>AVERAGE('R1'!L209,'R2'!L209,'R3'!L209)</f>
        <v>3.0747215584796876</v>
      </c>
      <c r="F209">
        <f>AVERAGE('R1'!M209,'R2'!M209,'R3'!M209)</f>
        <v>-0.79469652487790443</v>
      </c>
      <c r="G209">
        <f>AVERAGE('R1'!N209,'R2'!N209,'R3'!N209)</f>
        <v>-1.7326183735561411</v>
      </c>
      <c r="H209">
        <f>AVERAGE('R1'!O209,'R2'!O209,'R3'!O209)</f>
        <v>-1.2405026286331389</v>
      </c>
      <c r="I209">
        <f t="shared" si="7"/>
        <v>4398.9267527777783</v>
      </c>
      <c r="K209">
        <f>_xlfn.STDEV.S('R1'!L209,'R2'!L209,'R3'!L209)</f>
        <v>8.2400614019045668E-3</v>
      </c>
      <c r="L209">
        <f>_xlfn.STDEV.S('R1'!M209,'R2'!M209,'R3'!M209)</f>
        <v>3.4465029854096252E-3</v>
      </c>
      <c r="M209">
        <f>_xlfn.STDEV.S('R1'!N209,'R2'!N209,'R3'!N209)</f>
        <v>6.5613607262287772E-3</v>
      </c>
      <c r="N209">
        <f>_xlfn.STDEV.S('R1'!O209,'R2'!O209,'R3'!O209)</f>
        <v>1.1851157953991674E-3</v>
      </c>
    </row>
    <row r="210" spans="1:14" x14ac:dyDescent="0.25">
      <c r="A210">
        <f>-'R1'!H210</f>
        <v>8</v>
      </c>
      <c r="B210">
        <f>DEGREES(ATAN(-SIN(RADIANS(('R1'!I210)))/(COS(RADIANS(Sheet1!A210))*COS(RADIANS('R1'!I210)))))</f>
        <v>40.276138588852518</v>
      </c>
      <c r="C210">
        <f>AVERAGE('R1'!J210,'R2'!J210,'R3'!J210)</f>
        <v>1.18</v>
      </c>
      <c r="D210">
        <f>AVERAGE('R1'!K210,'R2'!K210,'R3'!K210)</f>
        <v>22.495908</v>
      </c>
      <c r="E210">
        <f>AVERAGE('R1'!L210,'R2'!L210,'R3'!L210)</f>
        <v>2.5791080379070794</v>
      </c>
      <c r="F210">
        <f>AVERAGE('R1'!M210,'R2'!M210,'R3'!M210)</f>
        <v>-0.68162018670792579</v>
      </c>
      <c r="G210">
        <f>AVERAGE('R1'!N210,'R2'!N210,'R3'!N210)</f>
        <v>-1.2496955881688399</v>
      </c>
      <c r="H210">
        <f>AVERAGE('R1'!O210,'R2'!O210,'R3'!O210)</f>
        <v>-0.91742869917342595</v>
      </c>
      <c r="I210">
        <f t="shared" si="7"/>
        <v>4424.1952399999991</v>
      </c>
      <c r="K210">
        <f>_xlfn.STDEV.S('R1'!L210,'R2'!L210,'R3'!L210)</f>
        <v>1.7158008845327734E-3</v>
      </c>
      <c r="L210">
        <f>_xlfn.STDEV.S('R1'!M210,'R2'!M210,'R3'!M210)</f>
        <v>5.662949095730006E-3</v>
      </c>
      <c r="M210">
        <f>_xlfn.STDEV.S('R1'!N210,'R2'!N210,'R3'!N210)</f>
        <v>5.1765703476684714E-3</v>
      </c>
      <c r="N210">
        <f>_xlfn.STDEV.S('R1'!O210,'R2'!O210,'R3'!O210)</f>
        <v>2.4188201851106685E-3</v>
      </c>
    </row>
    <row r="211" spans="1:14" x14ac:dyDescent="0.25">
      <c r="A211">
        <f>-'R1'!H211</f>
        <v>8</v>
      </c>
      <c r="B211">
        <f>DEGREES(ATAN(-SIN(RADIANS(('R1'!I211)))/(COS(RADIANS(Sheet1!A211))*COS(RADIANS('R1'!I211)))))</f>
        <v>36.2668517150396</v>
      </c>
      <c r="C211">
        <f>AVERAGE('R1'!J211,'R2'!J211,'R3'!J211)</f>
        <v>1.18</v>
      </c>
      <c r="D211">
        <f>AVERAGE('R1'!K211,'R2'!K211,'R3'!K211)</f>
        <v>22.547838083333332</v>
      </c>
      <c r="E211">
        <f>AVERAGE('R1'!L211,'R2'!L211,'R3'!L211)</f>
        <v>2.2448611087640171</v>
      </c>
      <c r="F211">
        <f>AVERAGE('R1'!M211,'R2'!M211,'R3'!M211)</f>
        <v>-0.60256472969387176</v>
      </c>
      <c r="G211">
        <f>AVERAGE('R1'!N211,'R2'!N211,'R3'!N211)</f>
        <v>-0.92336390159220916</v>
      </c>
      <c r="H211">
        <f>AVERAGE('R1'!O211,'R2'!O211,'R3'!O211)</f>
        <v>-0.67258032447492155</v>
      </c>
      <c r="I211">
        <f t="shared" si="7"/>
        <v>4434.4081563888885</v>
      </c>
      <c r="K211">
        <f>_xlfn.STDEV.S('R1'!L211,'R2'!L211,'R3'!L211)</f>
        <v>1.9548116271829205E-3</v>
      </c>
      <c r="L211">
        <f>_xlfn.STDEV.S('R1'!M211,'R2'!M211,'R3'!M211)</f>
        <v>4.2393479285906793E-3</v>
      </c>
      <c r="M211">
        <f>_xlfn.STDEV.S('R1'!N211,'R2'!N211,'R3'!N211)</f>
        <v>4.0227586293021238E-3</v>
      </c>
      <c r="N211">
        <f>_xlfn.STDEV.S('R1'!O211,'R2'!O211,'R3'!O211)</f>
        <v>1.3023181227515078E-3</v>
      </c>
    </row>
    <row r="212" spans="1:14" x14ac:dyDescent="0.25">
      <c r="A212">
        <f>-'R1'!H212</f>
        <v>8</v>
      </c>
      <c r="B212">
        <f>DEGREES(ATAN(-SIN(RADIANS(('R1'!I212)))/(COS(RADIANS(Sheet1!A212))*COS(RADIANS('R1'!I212)))))</f>
        <v>32.252347723135095</v>
      </c>
      <c r="C212">
        <f>AVERAGE('R1'!J212,'R2'!J212,'R3'!J212)</f>
        <v>1.18</v>
      </c>
      <c r="D212">
        <f>AVERAGE('R1'!K212,'R2'!K212,'R3'!K212)</f>
        <v>22.62183383333333</v>
      </c>
      <c r="E212">
        <f>AVERAGE('R1'!L212,'R2'!L212,'R3'!L212)</f>
        <v>1.9895554972631799</v>
      </c>
      <c r="F212">
        <f>AVERAGE('R1'!M212,'R2'!M212,'R3'!M212)</f>
        <v>-0.53525796846093832</v>
      </c>
      <c r="G212">
        <f>AVERAGE('R1'!N212,'R2'!N212,'R3'!N212)</f>
        <v>-0.67578400375784609</v>
      </c>
      <c r="H212">
        <f>AVERAGE('R1'!O212,'R2'!O212,'R3'!O212)</f>
        <v>-0.46865576309861173</v>
      </c>
      <c r="I212">
        <f t="shared" si="7"/>
        <v>4448.9606538888884</v>
      </c>
      <c r="K212">
        <f>_xlfn.STDEV.S('R1'!L212,'R2'!L212,'R3'!L212)</f>
        <v>5.0219818263219562E-3</v>
      </c>
      <c r="L212">
        <f>_xlfn.STDEV.S('R1'!M212,'R2'!M212,'R3'!M212)</f>
        <v>6.0303447854860677E-3</v>
      </c>
      <c r="M212">
        <f>_xlfn.STDEV.S('R1'!N212,'R2'!N212,'R3'!N212)</f>
        <v>1.9778475058689852E-3</v>
      </c>
      <c r="N212">
        <f>_xlfn.STDEV.S('R1'!O212,'R2'!O212,'R3'!O212)</f>
        <v>3.2456101539092251E-3</v>
      </c>
    </row>
    <row r="213" spans="1:14" x14ac:dyDescent="0.25">
      <c r="A213">
        <f>-'R1'!H213</f>
        <v>8</v>
      </c>
      <c r="B213">
        <f>DEGREES(ATAN(-SIN(RADIANS(('R1'!I213)))/(COS(RADIANS(Sheet1!A213))*COS(RADIANS('R1'!I213)))))</f>
        <v>28.23290083045832</v>
      </c>
      <c r="C213">
        <f>AVERAGE('R1'!J213,'R2'!J213,'R3'!J213)</f>
        <v>1.18</v>
      </c>
      <c r="D213">
        <f>AVERAGE('R1'!K213,'R2'!K213,'R3'!K213)</f>
        <v>22.61753358333333</v>
      </c>
      <c r="E213">
        <f>AVERAGE('R1'!L213,'R2'!L213,'R3'!L213)</f>
        <v>1.7815314006827505</v>
      </c>
      <c r="F213">
        <f>AVERAGE('R1'!M213,'R2'!M213,'R3'!M213)</f>
        <v>-0.47879364640532479</v>
      </c>
      <c r="G213">
        <f>AVERAGE('R1'!N213,'R2'!N213,'R3'!N213)</f>
        <v>-0.48403035463746319</v>
      </c>
      <c r="H213">
        <f>AVERAGE('R1'!O213,'R2'!O213,'R3'!O213)</f>
        <v>-0.29517282176205278</v>
      </c>
      <c r="I213">
        <f t="shared" si="7"/>
        <v>4448.1149380555544</v>
      </c>
      <c r="K213">
        <f>_xlfn.STDEV.S('R1'!L213,'R2'!L213,'R3'!L213)</f>
        <v>4.7716895285181016E-3</v>
      </c>
      <c r="L213">
        <f>_xlfn.STDEV.S('R1'!M213,'R2'!M213,'R3'!M213)</f>
        <v>6.6767904708859346E-3</v>
      </c>
      <c r="M213">
        <f>_xlfn.STDEV.S('R1'!N213,'R2'!N213,'R3'!N213)</f>
        <v>3.1095729466654965E-3</v>
      </c>
      <c r="N213">
        <f>_xlfn.STDEV.S('R1'!O213,'R2'!O213,'R3'!O213)</f>
        <v>5.6742906949577374E-3</v>
      </c>
    </row>
    <row r="214" spans="1:14" x14ac:dyDescent="0.25">
      <c r="A214">
        <f>-'R1'!H214</f>
        <v>8</v>
      </c>
      <c r="B214">
        <f>DEGREES(ATAN(-SIN(RADIANS(('R1'!I214)))/(COS(RADIANS(Sheet1!A214))*COS(RADIANS('R1'!I214)))))</f>
        <v>24.208883875277589</v>
      </c>
      <c r="C214">
        <f>AVERAGE('R1'!J214,'R2'!J214,'R3'!J214)</f>
        <v>1.18</v>
      </c>
      <c r="D214">
        <f>AVERAGE('R1'!K214,'R2'!K214,'R3'!K214)</f>
        <v>22.498427416666669</v>
      </c>
      <c r="E214">
        <f>AVERAGE('R1'!L214,'R2'!L214,'R3'!L214)</f>
        <v>1.6052177059781998</v>
      </c>
      <c r="F214">
        <f>AVERAGE('R1'!M214,'R2'!M214,'R3'!M214)</f>
        <v>-0.41440611077520684</v>
      </c>
      <c r="G214">
        <f>AVERAGE('R1'!N214,'R2'!N214,'R3'!N214)</f>
        <v>-0.33407165067610906</v>
      </c>
      <c r="H214">
        <f>AVERAGE('R1'!O214,'R2'!O214,'R3'!O214)</f>
        <v>-0.13652290947403176</v>
      </c>
      <c r="I214">
        <f t="shared" si="7"/>
        <v>4424.6907252777783</v>
      </c>
      <c r="K214">
        <f>_xlfn.STDEV.S('R1'!L214,'R2'!L214,'R3'!L214)</f>
        <v>5.2612568852787173E-3</v>
      </c>
      <c r="L214">
        <f>_xlfn.STDEV.S('R1'!M214,'R2'!M214,'R3'!M214)</f>
        <v>2.8572195015557082E-3</v>
      </c>
      <c r="M214">
        <f>_xlfn.STDEV.S('R1'!N214,'R2'!N214,'R3'!N214)</f>
        <v>1.4940098308198957E-3</v>
      </c>
      <c r="N214">
        <f>_xlfn.STDEV.S('R1'!O214,'R2'!O214,'R3'!O214)</f>
        <v>5.3414175770786576E-3</v>
      </c>
    </row>
    <row r="215" spans="1:14" x14ac:dyDescent="0.25">
      <c r="A215">
        <f>-'R1'!H215</f>
        <v>8</v>
      </c>
      <c r="B215">
        <f>DEGREES(ATAN(-SIN(RADIANS(('R1'!I215)))/(COS(RADIANS(Sheet1!A215))*COS(RADIANS('R1'!I215)))))</f>
        <v>20.180761513231211</v>
      </c>
      <c r="C215">
        <f>AVERAGE('R1'!J215,'R2'!J215,'R3'!J215)</f>
        <v>1.18</v>
      </c>
      <c r="D215">
        <f>AVERAGE('R1'!K215,'R2'!K215,'R3'!K215)</f>
        <v>22.141815166666664</v>
      </c>
      <c r="E215">
        <f>AVERAGE('R1'!L215,'R2'!L215,'R3'!L215)</f>
        <v>1.4319841786137373</v>
      </c>
      <c r="F215">
        <f>AVERAGE('R1'!M215,'R2'!M215,'R3'!M215)</f>
        <v>-0.3839644861284312</v>
      </c>
      <c r="G215">
        <f>AVERAGE('R1'!N215,'R2'!N215,'R3'!N215)</f>
        <v>-0.2195027855822039</v>
      </c>
      <c r="H215">
        <f>AVERAGE('R1'!O215,'R2'!O215,'R3'!O215)</f>
        <v>1.2964339440547154E-2</v>
      </c>
      <c r="I215">
        <f t="shared" si="7"/>
        <v>4354.5569827777781</v>
      </c>
      <c r="K215">
        <f>_xlfn.STDEV.S('R1'!L215,'R2'!L215,'R3'!L215)</f>
        <v>3.6245675974063115E-3</v>
      </c>
      <c r="L215">
        <f>_xlfn.STDEV.S('R1'!M215,'R2'!M215,'R3'!M215)</f>
        <v>2.6393166694845794E-3</v>
      </c>
      <c r="M215">
        <f>_xlfn.STDEV.S('R1'!N215,'R2'!N215,'R3'!N215)</f>
        <v>1.1035002941423696E-3</v>
      </c>
      <c r="N215">
        <f>_xlfn.STDEV.S('R1'!O215,'R2'!O215,'R3'!O215)</f>
        <v>1.7269850180942235E-4</v>
      </c>
    </row>
    <row r="216" spans="1:14" x14ac:dyDescent="0.25">
      <c r="A216">
        <f>-'R1'!H216</f>
        <v>8</v>
      </c>
      <c r="B216">
        <f>DEGREES(ATAN(-SIN(RADIANS(('R1'!I216)))/(COS(RADIANS(Sheet1!A216))*COS(RADIANS('R1'!I216)))))</f>
        <v>16.149081403494897</v>
      </c>
      <c r="C216">
        <f>AVERAGE('R1'!J216,'R2'!J216,'R3'!J216)</f>
        <v>1.18</v>
      </c>
      <c r="D216">
        <f>AVERAGE('R1'!K216,'R2'!K216,'R3'!K216)</f>
        <v>21.840133749999996</v>
      </c>
      <c r="E216">
        <f>AVERAGE('R1'!L216,'R2'!L216,'R3'!L216)</f>
        <v>1.2451204396889937</v>
      </c>
      <c r="F216">
        <f>AVERAGE('R1'!M216,'R2'!M216,'R3'!M216)</f>
        <v>-0.37098158900701089</v>
      </c>
      <c r="G216">
        <f>AVERAGE('R1'!N216,'R2'!N216,'R3'!N216)</f>
        <v>-0.13105333872198013</v>
      </c>
      <c r="H216">
        <f>AVERAGE('R1'!O216,'R2'!O216,'R3'!O216)</f>
        <v>0.14603617787701093</v>
      </c>
      <c r="I216">
        <f t="shared" si="7"/>
        <v>4295.2263041666665</v>
      </c>
      <c r="K216">
        <f>_xlfn.STDEV.S('R1'!L216,'R2'!L216,'R3'!L216)</f>
        <v>1.3874677458324161E-3</v>
      </c>
      <c r="L216">
        <f>_xlfn.STDEV.S('R1'!M216,'R2'!M216,'R3'!M216)</f>
        <v>1.7146957414299619E-3</v>
      </c>
      <c r="M216">
        <f>_xlfn.STDEV.S('R1'!N216,'R2'!N216,'R3'!N216)</f>
        <v>1.2045541862371984E-3</v>
      </c>
      <c r="N216">
        <f>_xlfn.STDEV.S('R1'!O216,'R2'!O216,'R3'!O216)</f>
        <v>2.6022930259519965E-3</v>
      </c>
    </row>
    <row r="217" spans="1:14" x14ac:dyDescent="0.25">
      <c r="A217">
        <f>-'R1'!H217</f>
        <v>8</v>
      </c>
      <c r="B217">
        <f>DEGREES(ATAN(-SIN(RADIANS(('R1'!I217)))/(COS(RADIANS(Sheet1!A217))*COS(RADIANS('R1'!I217)))))</f>
        <v>12.114463536188838</v>
      </c>
      <c r="C217">
        <f>AVERAGE('R1'!J217,'R2'!J217,'R3'!J217)</f>
        <v>1.18</v>
      </c>
      <c r="D217">
        <f>AVERAGE('R1'!K217,'R2'!K217,'R3'!K217)</f>
        <v>21.747553999999997</v>
      </c>
      <c r="E217">
        <f>AVERAGE('R1'!L217,'R2'!L217,'R3'!L217)</f>
        <v>1.0177523941592088</v>
      </c>
      <c r="F217">
        <f>AVERAGE('R1'!M217,'R2'!M217,'R3'!M217)</f>
        <v>-0.42369409280012921</v>
      </c>
      <c r="G217">
        <f>AVERAGE('R1'!N217,'R2'!N217,'R3'!N217)</f>
        <v>-7.3233001478752197E-2</v>
      </c>
      <c r="H217">
        <f>AVERAGE('R1'!O217,'R2'!O217,'R3'!O217)</f>
        <v>0.25932784805203096</v>
      </c>
      <c r="I217">
        <f t="shared" si="7"/>
        <v>4277.0189533333323</v>
      </c>
      <c r="K217">
        <f>_xlfn.STDEV.S('R1'!L217,'R2'!L217,'R3'!L217)</f>
        <v>7.273100017109597E-3</v>
      </c>
      <c r="L217">
        <f>_xlfn.STDEV.S('R1'!M217,'R2'!M217,'R3'!M217)</f>
        <v>5.9069039806970243E-3</v>
      </c>
      <c r="M217">
        <f>_xlfn.STDEV.S('R1'!N217,'R2'!N217,'R3'!N217)</f>
        <v>1.9317973118414533E-3</v>
      </c>
      <c r="N217">
        <f>_xlfn.STDEV.S('R1'!O217,'R2'!O217,'R3'!O217)</f>
        <v>2.8955659465599772E-3</v>
      </c>
    </row>
    <row r="218" spans="1:14" x14ac:dyDescent="0.25">
      <c r="A218">
        <f>-'R1'!H218</f>
        <v>8</v>
      </c>
      <c r="B218">
        <f>DEGREES(ATAN(-SIN(RADIANS(('R1'!I218)))/(COS(RADIANS(Sheet1!A218))*COS(RADIANS('R1'!I218)))))</f>
        <v>8.0775879081011936</v>
      </c>
      <c r="C218">
        <f>AVERAGE('R1'!J218,'R2'!J218,'R3'!J218)</f>
        <v>1.18</v>
      </c>
      <c r="D218">
        <f>AVERAGE('R1'!K218,'R2'!K218,'R3'!K218)</f>
        <v>22.367640166666664</v>
      </c>
      <c r="E218">
        <f>AVERAGE('R1'!L218,'R2'!L218,'R3'!L218)</f>
        <v>0.76074427799216249</v>
      </c>
      <c r="F218">
        <f>AVERAGE('R1'!M218,'R2'!M218,'R3'!M218)</f>
        <v>-0.51716059263335767</v>
      </c>
      <c r="G218">
        <f>AVERAGE('R1'!N218,'R2'!N218,'R3'!N218)</f>
        <v>-4.6393048979250007E-2</v>
      </c>
      <c r="H218">
        <f>AVERAGE('R1'!O218,'R2'!O218,'R3'!O218)</f>
        <v>0.35923060547253272</v>
      </c>
      <c r="I218">
        <f t="shared" si="7"/>
        <v>4398.9692327777766</v>
      </c>
      <c r="K218">
        <f>_xlfn.STDEV.S('R1'!L218,'R2'!L218,'R3'!L218)</f>
        <v>4.6545271013599286E-3</v>
      </c>
      <c r="L218">
        <f>_xlfn.STDEV.S('R1'!M218,'R2'!M218,'R3'!M218)</f>
        <v>3.2845981294908938E-3</v>
      </c>
      <c r="M218">
        <f>_xlfn.STDEV.S('R1'!N218,'R2'!N218,'R3'!N218)</f>
        <v>1.3374147355591024E-3</v>
      </c>
      <c r="N218">
        <f>_xlfn.STDEV.S('R1'!O218,'R2'!O218,'R3'!O218)</f>
        <v>4.0991942270470023E-3</v>
      </c>
    </row>
    <row r="219" spans="1:14" x14ac:dyDescent="0.25">
      <c r="A219">
        <f>-'R1'!H219</f>
        <v>8</v>
      </c>
      <c r="B219">
        <f>DEGREES(ATAN(-SIN(RADIANS(('R1'!I219)))/(COS(RADIANS(Sheet1!A219))*COS(RADIANS('R1'!I219)))))</f>
        <v>4.0391808057079874</v>
      </c>
      <c r="C219">
        <f>AVERAGE('R1'!J219,'R2'!J219,'R3'!J219)</f>
        <v>1.18</v>
      </c>
      <c r="D219">
        <f>AVERAGE('R1'!K219,'R2'!K219,'R3'!K219)</f>
        <v>22.663390333333336</v>
      </c>
      <c r="E219">
        <f>AVERAGE('R1'!L219,'R2'!L219,'R3'!L219)</f>
        <v>0.44847205174887167</v>
      </c>
      <c r="F219">
        <f>AVERAGE('R1'!M219,'R2'!M219,'R3'!M219)</f>
        <v>-0.6216962543849166</v>
      </c>
      <c r="G219">
        <f>AVERAGE('R1'!N219,'R2'!N219,'R3'!N219)</f>
        <v>-2.1147454426310452E-2</v>
      </c>
      <c r="H219">
        <f>AVERAGE('R1'!O219,'R2'!O219,'R3'!O219)</f>
        <v>0.46024627744867502</v>
      </c>
      <c r="I219">
        <f t="shared" si="7"/>
        <v>4457.1334322222228</v>
      </c>
      <c r="K219">
        <f>_xlfn.STDEV.S('R1'!L219,'R2'!L219,'R3'!L219)</f>
        <v>3.5597795103359262E-3</v>
      </c>
      <c r="L219">
        <f>_xlfn.STDEV.S('R1'!M219,'R2'!M219,'R3'!M219)</f>
        <v>5.451797154883027E-3</v>
      </c>
      <c r="M219">
        <f>_xlfn.STDEV.S('R1'!N219,'R2'!N219,'R3'!N219)</f>
        <v>3.0547478507059827E-3</v>
      </c>
      <c r="N219">
        <f>_xlfn.STDEV.S('R1'!O219,'R2'!O219,'R3'!O219)</f>
        <v>2.9506320411234943E-3</v>
      </c>
    </row>
    <row r="220" spans="1:14" x14ac:dyDescent="0.25">
      <c r="A220">
        <f>-'R1'!H220</f>
        <v>8</v>
      </c>
      <c r="B220">
        <f>DEGREES(ATAN(-SIN(RADIANS(('R1'!I220)))/(COS(RADIANS(Sheet1!A220))*COS(RADIANS('R1'!I220)))))</f>
        <v>0</v>
      </c>
      <c r="C220">
        <f>AVERAGE('R1'!J220,'R2'!J220,'R3'!J220)</f>
        <v>1.18</v>
      </c>
      <c r="D220">
        <f>AVERAGE('R1'!K220,'R2'!K220,'R3'!K220)</f>
        <v>22.685064749999999</v>
      </c>
      <c r="E220">
        <f>AVERAGE('R1'!L220,'R2'!L220,'R3'!L220)</f>
        <v>0.11871734287387024</v>
      </c>
      <c r="F220">
        <f>AVERAGE('R1'!M220,'R2'!M220,'R3'!M220)</f>
        <v>-0.70435893556952711</v>
      </c>
      <c r="G220">
        <f>AVERAGE('R1'!N220,'R2'!N220,'R3'!N220)</f>
        <v>-5.6413568601906203E-3</v>
      </c>
      <c r="H220">
        <f>AVERAGE('R1'!O220,'R2'!O220,'R3'!O220)</f>
        <v>0.56788205681499748</v>
      </c>
      <c r="I220">
        <f t="shared" si="7"/>
        <v>4461.3960674999998</v>
      </c>
      <c r="K220">
        <f>_xlfn.STDEV.S('R1'!L220,'R2'!L220,'R3'!L220)</f>
        <v>1.5126054099318905E-3</v>
      </c>
      <c r="L220">
        <f>_xlfn.STDEV.S('R1'!M220,'R2'!M220,'R3'!M220)</f>
        <v>1.7477791589532942E-3</v>
      </c>
      <c r="M220">
        <f>_xlfn.STDEV.S('R1'!N220,'R2'!N220,'R3'!N220)</f>
        <v>7.2172545771781102E-4</v>
      </c>
      <c r="N220">
        <f>_xlfn.STDEV.S('R1'!O220,'R2'!O220,'R3'!O220)</f>
        <v>3.8157086458851324E-3</v>
      </c>
    </row>
    <row r="221" spans="1:14" x14ac:dyDescent="0.25">
      <c r="A221">
        <f>-'R1'!H221</f>
        <v>8</v>
      </c>
      <c r="B221">
        <f>DEGREES(ATAN(-SIN(RADIANS(('R1'!I221)))/(COS(RADIANS(Sheet1!A221))*COS(RADIANS('R1'!I221)))))</f>
        <v>-4.0391808057079874</v>
      </c>
      <c r="C221">
        <f>AVERAGE('R1'!J221,'R2'!J221,'R3'!J221)</f>
        <v>1.18</v>
      </c>
      <c r="D221">
        <f>AVERAGE('R1'!K221,'R2'!K221,'R3'!K221)</f>
        <v>22.756429416666666</v>
      </c>
      <c r="E221">
        <f>AVERAGE('R1'!L221,'R2'!L221,'R3'!L221)</f>
        <v>-0.25082190055528059</v>
      </c>
      <c r="F221">
        <f>AVERAGE('R1'!M221,'R2'!M221,'R3'!M221)</f>
        <v>-0.6860303579609176</v>
      </c>
      <c r="G221">
        <f>AVERAGE('R1'!N221,'R2'!N221,'R3'!N221)</f>
        <v>-6.808903783415767E-3</v>
      </c>
      <c r="H221">
        <f>AVERAGE('R1'!O221,'R2'!O221,'R3'!O221)</f>
        <v>0.49817914635152188</v>
      </c>
      <c r="I221">
        <f t="shared" si="7"/>
        <v>4475.4311186111117</v>
      </c>
      <c r="K221">
        <f>_xlfn.STDEV.S('R1'!L221,'R2'!L221,'R3'!L221)</f>
        <v>2.5985965593650416E-3</v>
      </c>
      <c r="L221">
        <f>_xlfn.STDEV.S('R1'!M221,'R2'!M221,'R3'!M221)</f>
        <v>5.9613901414979882E-3</v>
      </c>
      <c r="M221">
        <f>_xlfn.STDEV.S('R1'!N221,'R2'!N221,'R3'!N221)</f>
        <v>2.1713218490836518E-3</v>
      </c>
      <c r="N221">
        <f>_xlfn.STDEV.S('R1'!O221,'R2'!O221,'R3'!O221)</f>
        <v>3.6706567763291616E-3</v>
      </c>
    </row>
    <row r="222" spans="1:14" x14ac:dyDescent="0.25">
      <c r="A222">
        <f>-'R1'!H222</f>
        <v>8</v>
      </c>
      <c r="B222">
        <f>DEGREES(ATAN(-SIN(RADIANS(('R1'!I222)))/(COS(RADIANS(Sheet1!A222))*COS(RADIANS('R1'!I222)))))</f>
        <v>-8.0775879081011936</v>
      </c>
      <c r="C222">
        <f>AVERAGE('R1'!J222,'R2'!J222,'R3'!J222)</f>
        <v>1.18</v>
      </c>
      <c r="D222">
        <f>AVERAGE('R1'!K222,'R2'!K222,'R3'!K222)</f>
        <v>22.512499666666667</v>
      </c>
      <c r="E222">
        <f>AVERAGE('R1'!L222,'R2'!L222,'R3'!L222)</f>
        <v>-0.55076579100195988</v>
      </c>
      <c r="F222">
        <f>AVERAGE('R1'!M222,'R2'!M222,'R3'!M222)</f>
        <v>-0.62128827521925389</v>
      </c>
      <c r="G222">
        <f>AVERAGE('R1'!N222,'R2'!N222,'R3'!N222)</f>
        <v>-2.0230223936775944E-2</v>
      </c>
      <c r="H222">
        <f>AVERAGE('R1'!O222,'R2'!O222,'R3'!O222)</f>
        <v>0.36804842474515814</v>
      </c>
      <c r="I222">
        <f t="shared" si="7"/>
        <v>4427.458267777778</v>
      </c>
      <c r="K222">
        <f>_xlfn.STDEV.S('R1'!L222,'R2'!L222,'R3'!L222)</f>
        <v>1.5196000262295087E-3</v>
      </c>
      <c r="L222">
        <f>_xlfn.STDEV.S('R1'!M222,'R2'!M222,'R3'!M222)</f>
        <v>6.3914037389050963E-3</v>
      </c>
      <c r="M222">
        <f>_xlfn.STDEV.S('R1'!N222,'R2'!N222,'R3'!N222)</f>
        <v>3.1940211364560357E-3</v>
      </c>
      <c r="N222">
        <f>_xlfn.STDEV.S('R1'!O222,'R2'!O222,'R3'!O222)</f>
        <v>3.8380168120382692E-3</v>
      </c>
    </row>
    <row r="223" spans="1:14" x14ac:dyDescent="0.25">
      <c r="A223">
        <f>-'R1'!H223</f>
        <v>8</v>
      </c>
      <c r="B223">
        <f>DEGREES(ATAN(-SIN(RADIANS(('R1'!I223)))/(COS(RADIANS(Sheet1!A223))*COS(RADIANS('R1'!I223)))))</f>
        <v>-12.114463536188838</v>
      </c>
      <c r="C223">
        <f>AVERAGE('R1'!J223,'R2'!J223,'R3'!J223)</f>
        <v>1.18</v>
      </c>
      <c r="D223">
        <f>AVERAGE('R1'!K223,'R2'!K223,'R3'!K223)</f>
        <v>22.409314749999997</v>
      </c>
      <c r="E223">
        <f>AVERAGE('R1'!L223,'R2'!L223,'R3'!L223)</f>
        <v>-0.81127554047546979</v>
      </c>
      <c r="F223">
        <f>AVERAGE('R1'!M223,'R2'!M223,'R3'!M223)</f>
        <v>-0.55762055405784527</v>
      </c>
      <c r="G223">
        <f>AVERAGE('R1'!N223,'R2'!N223,'R3'!N223)</f>
        <v>-4.2737468034927811E-2</v>
      </c>
      <c r="H223">
        <f>AVERAGE('R1'!O223,'R2'!O223,'R3'!O223)</f>
        <v>0.25805698063478666</v>
      </c>
      <c r="I223">
        <f t="shared" si="7"/>
        <v>4407.1652341666668</v>
      </c>
      <c r="K223">
        <f>_xlfn.STDEV.S('R1'!L223,'R2'!L223,'R3'!L223)</f>
        <v>2.0364192293079288E-3</v>
      </c>
      <c r="L223">
        <f>_xlfn.STDEV.S('R1'!M223,'R2'!M223,'R3'!M223)</f>
        <v>4.0689354285332237E-3</v>
      </c>
      <c r="M223">
        <f>_xlfn.STDEV.S('R1'!N223,'R2'!N223,'R3'!N223)</f>
        <v>2.518578842847488E-3</v>
      </c>
      <c r="N223">
        <f>_xlfn.STDEV.S('R1'!O223,'R2'!O223,'R3'!O223)</f>
        <v>2.4346429413736421E-3</v>
      </c>
    </row>
    <row r="224" spans="1:14" x14ac:dyDescent="0.25">
      <c r="A224">
        <f>-'R1'!H224</f>
        <v>8</v>
      </c>
      <c r="B224">
        <f>DEGREES(ATAN(-SIN(RADIANS(('R1'!I224)))/(COS(RADIANS(Sheet1!A224))*COS(RADIANS('R1'!I224)))))</f>
        <v>-16.149081403494897</v>
      </c>
      <c r="C224">
        <f>AVERAGE('R1'!J224,'R2'!J224,'R3'!J224)</f>
        <v>1.18</v>
      </c>
      <c r="D224">
        <f>AVERAGE('R1'!K224,'R2'!K224,'R3'!K224)</f>
        <v>22.122667916666668</v>
      </c>
      <c r="E224">
        <f>AVERAGE('R1'!L224,'R2'!L224,'R3'!L224)</f>
        <v>-1.039941760688166</v>
      </c>
      <c r="F224">
        <f>AVERAGE('R1'!M224,'R2'!M224,'R3'!M224)</f>
        <v>-0.48730711273925564</v>
      </c>
      <c r="G224">
        <f>AVERAGE('R1'!N224,'R2'!N224,'R3'!N224)</f>
        <v>-8.0306707528241275E-2</v>
      </c>
      <c r="H224">
        <f>AVERAGE('R1'!O224,'R2'!O224,'R3'!O224)</f>
        <v>0.16087130912097722</v>
      </c>
      <c r="I224">
        <f t="shared" si="7"/>
        <v>4350.7913569444445</v>
      </c>
      <c r="K224">
        <f>_xlfn.STDEV.S('R1'!L224,'R2'!L224,'R3'!L224)</f>
        <v>3.3710620950248068E-3</v>
      </c>
      <c r="L224">
        <f>_xlfn.STDEV.S('R1'!M224,'R2'!M224,'R3'!M224)</f>
        <v>1.4837945817754684E-3</v>
      </c>
      <c r="M224">
        <f>_xlfn.STDEV.S('R1'!N224,'R2'!N224,'R3'!N224)</f>
        <v>2.7185502187870633E-3</v>
      </c>
      <c r="N224">
        <f>_xlfn.STDEV.S('R1'!O224,'R2'!O224,'R3'!O224)</f>
        <v>1.8421503371486754E-3</v>
      </c>
    </row>
    <row r="225" spans="1:14" x14ac:dyDescent="0.25">
      <c r="A225">
        <f>-'R1'!H225</f>
        <v>8</v>
      </c>
      <c r="B225">
        <f>DEGREES(ATAN(-SIN(RADIANS(('R1'!I225)))/(COS(RADIANS(Sheet1!A225))*COS(RADIANS('R1'!I225)))))</f>
        <v>-20.180761513231211</v>
      </c>
      <c r="C225">
        <f>AVERAGE('R1'!J225,'R2'!J225,'R3'!J225)</f>
        <v>1.18</v>
      </c>
      <c r="D225">
        <f>AVERAGE('R1'!K225,'R2'!K225,'R3'!K225)</f>
        <v>21.780980333333332</v>
      </c>
      <c r="E225">
        <f>AVERAGE('R1'!L225,'R2'!L225,'R3'!L225)</f>
        <v>-1.2440375037758273</v>
      </c>
      <c r="F225">
        <f>AVERAGE('R1'!M225,'R2'!M225,'R3'!M225)</f>
        <v>-0.44248355588820915</v>
      </c>
      <c r="G225">
        <f>AVERAGE('R1'!N225,'R2'!N225,'R3'!N225)</f>
        <v>-0.13782850204324637</v>
      </c>
      <c r="H225">
        <f>AVERAGE('R1'!O225,'R2'!O225,'R3'!O225)</f>
        <v>6.1124049787261769E-2</v>
      </c>
      <c r="I225">
        <f t="shared" si="7"/>
        <v>4283.5927988888889</v>
      </c>
      <c r="K225">
        <f>_xlfn.STDEV.S('R1'!L225,'R2'!L225,'R3'!L225)</f>
        <v>3.5797534272865791E-3</v>
      </c>
      <c r="L225">
        <f>_xlfn.STDEV.S('R1'!M225,'R2'!M225,'R3'!M225)</f>
        <v>2.2719168598870983E-3</v>
      </c>
      <c r="M225">
        <f>_xlfn.STDEV.S('R1'!N225,'R2'!N225,'R3'!N225)</f>
        <v>1.1873834608661659E-3</v>
      </c>
      <c r="N225">
        <f>_xlfn.STDEV.S('R1'!O225,'R2'!O225,'R3'!O225)</f>
        <v>2.4167115796038096E-3</v>
      </c>
    </row>
    <row r="226" spans="1:14" x14ac:dyDescent="0.25">
      <c r="A226">
        <f>-'R1'!H226</f>
        <v>8</v>
      </c>
      <c r="B226">
        <f>DEGREES(ATAN(-SIN(RADIANS(('R1'!I226)))/(COS(RADIANS(Sheet1!A226))*COS(RADIANS('R1'!I226)))))</f>
        <v>-24.208883875277589</v>
      </c>
      <c r="C226">
        <f>AVERAGE('R1'!J226,'R2'!J226,'R3'!J226)</f>
        <v>1.18</v>
      </c>
      <c r="D226">
        <f>AVERAGE('R1'!K226,'R2'!K226,'R3'!K226)</f>
        <v>21.899576416666665</v>
      </c>
      <c r="E226">
        <f>AVERAGE('R1'!L226,'R2'!L226,'R3'!L226)</f>
        <v>-1.4348252085102982</v>
      </c>
      <c r="F226">
        <f>AVERAGE('R1'!M226,'R2'!M226,'R3'!M226)</f>
        <v>-0.41419869992732589</v>
      </c>
      <c r="G226">
        <f>AVERAGE('R1'!N226,'R2'!N226,'R3'!N226)</f>
        <v>-0.22036870487856197</v>
      </c>
      <c r="H226">
        <f>AVERAGE('R1'!O226,'R2'!O226,'R3'!O226)</f>
        <v>-4.4253901961616965E-2</v>
      </c>
      <c r="I226">
        <f t="shared" si="7"/>
        <v>4306.9166952777778</v>
      </c>
      <c r="K226">
        <f>_xlfn.STDEV.S('R1'!L226,'R2'!L226,'R3'!L226)</f>
        <v>8.0184288288483565E-4</v>
      </c>
      <c r="L226">
        <f>_xlfn.STDEV.S('R1'!M226,'R2'!M226,'R3'!M226)</f>
        <v>3.8647764544624038E-3</v>
      </c>
      <c r="M226">
        <f>_xlfn.STDEV.S('R1'!N226,'R2'!N226,'R3'!N226)</f>
        <v>1.288650114130447E-3</v>
      </c>
      <c r="N226">
        <f>_xlfn.STDEV.S('R1'!O226,'R2'!O226,'R3'!O226)</f>
        <v>7.1050907276600135E-3</v>
      </c>
    </row>
    <row r="227" spans="1:14" x14ac:dyDescent="0.25">
      <c r="A227">
        <f>-'R1'!H227</f>
        <v>8</v>
      </c>
      <c r="B227">
        <f>DEGREES(ATAN(-SIN(RADIANS(('R1'!I227)))/(COS(RADIANS(Sheet1!A227))*COS(RADIANS('R1'!I227)))))</f>
        <v>-28.23290083045832</v>
      </c>
      <c r="C227">
        <f>AVERAGE('R1'!J227,'R2'!J227,'R3'!J227)</f>
        <v>1.18</v>
      </c>
      <c r="D227">
        <f>AVERAGE('R1'!K227,'R2'!K227,'R3'!K227)</f>
        <v>22.492935166666665</v>
      </c>
      <c r="E227">
        <f>AVERAGE('R1'!L227,'R2'!L227,'R3'!L227)</f>
        <v>-1.599380395844465</v>
      </c>
      <c r="F227">
        <f>AVERAGE('R1'!M227,'R2'!M227,'R3'!M227)</f>
        <v>-0.44978649382139363</v>
      </c>
      <c r="G227">
        <f>AVERAGE('R1'!N227,'R2'!N227,'R3'!N227)</f>
        <v>-0.33899061801206026</v>
      </c>
      <c r="H227">
        <f>AVERAGE('R1'!O227,'R2'!O227,'R3'!O227)</f>
        <v>-0.18139489494557323</v>
      </c>
      <c r="I227">
        <f t="shared" si="7"/>
        <v>4423.6105827777774</v>
      </c>
      <c r="K227">
        <f>_xlfn.STDEV.S('R1'!L227,'R2'!L227,'R3'!L227)</f>
        <v>1.0788581032327167E-3</v>
      </c>
      <c r="L227">
        <f>_xlfn.STDEV.S('R1'!M227,'R2'!M227,'R3'!M227)</f>
        <v>3.8890091917638554E-3</v>
      </c>
      <c r="M227">
        <f>_xlfn.STDEV.S('R1'!N227,'R2'!N227,'R3'!N227)</f>
        <v>1.3443872322712344E-3</v>
      </c>
      <c r="N227">
        <f>_xlfn.STDEV.S('R1'!O227,'R2'!O227,'R3'!O227)</f>
        <v>6.0871092624541333E-3</v>
      </c>
    </row>
    <row r="228" spans="1:14" x14ac:dyDescent="0.25">
      <c r="A228">
        <f>-'R1'!H228</f>
        <v>8</v>
      </c>
      <c r="B228">
        <f>DEGREES(ATAN(-SIN(RADIANS(('R1'!I228)))/(COS(RADIANS(Sheet1!A228))*COS(RADIANS('R1'!I228)))))</f>
        <v>-32.252347723135095</v>
      </c>
      <c r="C228">
        <f>AVERAGE('R1'!J228,'R2'!J228,'R3'!J228)</f>
        <v>1.18</v>
      </c>
      <c r="D228">
        <f>AVERAGE('R1'!K228,'R2'!K228,'R3'!K228)</f>
        <v>22.652087333333331</v>
      </c>
      <c r="E228">
        <f>AVERAGE('R1'!L228,'R2'!L228,'R3'!L228)</f>
        <v>-1.77402885662418</v>
      </c>
      <c r="F228">
        <f>AVERAGE('R1'!M228,'R2'!M228,'R3'!M228)</f>
        <v>-0.49722885801937489</v>
      </c>
      <c r="G228">
        <f>AVERAGE('R1'!N228,'R2'!N228,'R3'!N228)</f>
        <v>-0.48132605186306893</v>
      </c>
      <c r="H228">
        <f>AVERAGE('R1'!O228,'R2'!O228,'R3'!O228)</f>
        <v>-0.32828591656095157</v>
      </c>
      <c r="I228">
        <f t="shared" si="7"/>
        <v>4454.9105088888882</v>
      </c>
      <c r="K228">
        <f>_xlfn.STDEV.S('R1'!L228,'R2'!L228,'R3'!L228)</f>
        <v>6.3930562723276321E-3</v>
      </c>
      <c r="L228">
        <f>_xlfn.STDEV.S('R1'!M228,'R2'!M228,'R3'!M228)</f>
        <v>4.5110389385017149E-3</v>
      </c>
      <c r="M228">
        <f>_xlfn.STDEV.S('R1'!N228,'R2'!N228,'R3'!N228)</f>
        <v>4.245703280016261E-3</v>
      </c>
      <c r="N228">
        <f>_xlfn.STDEV.S('R1'!O228,'R2'!O228,'R3'!O228)</f>
        <v>3.6601150600178538E-3</v>
      </c>
    </row>
    <row r="229" spans="1:14" x14ac:dyDescent="0.25">
      <c r="A229">
        <f>-'R1'!H229</f>
        <v>8</v>
      </c>
      <c r="B229">
        <f>DEGREES(ATAN(-SIN(RADIANS(('R1'!I229)))/(COS(RADIANS(Sheet1!A229))*COS(RADIANS('R1'!I229)))))</f>
        <v>-36.2668517150396</v>
      </c>
      <c r="C229">
        <f>AVERAGE('R1'!J229,'R2'!J229,'R3'!J229)</f>
        <v>1.18</v>
      </c>
      <c r="D229">
        <f>AVERAGE('R1'!K229,'R2'!K229,'R3'!K229)</f>
        <v>22.751715999999998</v>
      </c>
      <c r="E229">
        <f>AVERAGE('R1'!L229,'R2'!L229,'R3'!L229)</f>
        <v>-1.9895776899738411</v>
      </c>
      <c r="F229">
        <f>AVERAGE('R1'!M229,'R2'!M229,'R3'!M229)</f>
        <v>-0.55693128143297432</v>
      </c>
      <c r="G229">
        <f>AVERAGE('R1'!N229,'R2'!N229,'R3'!N229)</f>
        <v>-0.67740385502849865</v>
      </c>
      <c r="H229">
        <f>AVERAGE('R1'!O229,'R2'!O229,'R3'!O229)</f>
        <v>-0.49111845041721264</v>
      </c>
      <c r="I229">
        <f t="shared" si="7"/>
        <v>4474.5041466666662</v>
      </c>
      <c r="K229">
        <f>_xlfn.STDEV.S('R1'!L229,'R2'!L229,'R3'!L229)</f>
        <v>4.7617619920693058E-3</v>
      </c>
      <c r="L229">
        <f>_xlfn.STDEV.S('R1'!M229,'R2'!M229,'R3'!M229)</f>
        <v>3.1982745771684624E-3</v>
      </c>
      <c r="M229">
        <f>_xlfn.STDEV.S('R1'!N229,'R2'!N229,'R3'!N229)</f>
        <v>5.0240279023592615E-3</v>
      </c>
      <c r="N229">
        <f>_xlfn.STDEV.S('R1'!O229,'R2'!O229,'R3'!O229)</f>
        <v>4.4489981690540399E-3</v>
      </c>
    </row>
    <row r="230" spans="1:14" x14ac:dyDescent="0.25">
      <c r="A230">
        <f>-'R1'!H230</f>
        <v>8</v>
      </c>
      <c r="B230">
        <f>DEGREES(ATAN(-SIN(RADIANS(('R1'!I230)))/(COS(RADIANS(Sheet1!A230))*COS(RADIANS('R1'!I230)))))</f>
        <v>-40.276138588852518</v>
      </c>
      <c r="C230">
        <f>AVERAGE('R1'!J230,'R2'!J230,'R3'!J230)</f>
        <v>1.18</v>
      </c>
      <c r="D230">
        <f>AVERAGE('R1'!K230,'R2'!K230,'R3'!K230)</f>
        <v>22.726506499999999</v>
      </c>
      <c r="E230">
        <f>AVERAGE('R1'!L230,'R2'!L230,'R3'!L230)</f>
        <v>-2.2662763012498055</v>
      </c>
      <c r="F230">
        <f>AVERAGE('R1'!M230,'R2'!M230,'R3'!M230)</f>
        <v>-0.63799475265574046</v>
      </c>
      <c r="G230">
        <f>AVERAGE('R1'!N230,'R2'!N230,'R3'!N230)</f>
        <v>-0.94521545215011515</v>
      </c>
      <c r="H230">
        <f>AVERAGE('R1'!O230,'R2'!O230,'R3'!O230)</f>
        <v>-0.68946198039629636</v>
      </c>
      <c r="I230">
        <f t="shared" si="7"/>
        <v>4469.5462783333332</v>
      </c>
      <c r="K230">
        <f>_xlfn.STDEV.S('R1'!L230,'R2'!L230,'R3'!L230)</f>
        <v>5.7941301686137703E-3</v>
      </c>
      <c r="L230">
        <f>_xlfn.STDEV.S('R1'!M230,'R2'!M230,'R3'!M230)</f>
        <v>3.3616666870710404E-3</v>
      </c>
      <c r="M230">
        <f>_xlfn.STDEV.S('R1'!N230,'R2'!N230,'R3'!N230)</f>
        <v>4.5728703111665957E-3</v>
      </c>
      <c r="N230">
        <f>_xlfn.STDEV.S('R1'!O230,'R2'!O230,'R3'!O230)</f>
        <v>2.8413089543610289E-3</v>
      </c>
    </row>
    <row r="231" spans="1:14" x14ac:dyDescent="0.25">
      <c r="A231">
        <f>-'R1'!H231</f>
        <v>8</v>
      </c>
      <c r="B231">
        <f>DEGREES(ATAN(-SIN(RADIANS(('R1'!I231)))/(COS(RADIANS(Sheet1!A231))*COS(RADIANS('R1'!I231)))))</f>
        <v>-44.280037446618948</v>
      </c>
      <c r="C231">
        <f>AVERAGE('R1'!J231,'R2'!J231,'R3'!J231)</f>
        <v>1.18</v>
      </c>
      <c r="D231">
        <f>AVERAGE('R1'!K231,'R2'!K231,'R3'!K231)</f>
        <v>22.387581749999999</v>
      </c>
      <c r="E231">
        <f>AVERAGE('R1'!L231,'R2'!L231,'R3'!L231)</f>
        <v>-2.6341907372014699</v>
      </c>
      <c r="F231">
        <f>AVERAGE('R1'!M231,'R2'!M231,'R3'!M231)</f>
        <v>-0.72747087088001017</v>
      </c>
      <c r="G231">
        <f>AVERAGE('R1'!N231,'R2'!N231,'R3'!N231)</f>
        <v>-1.301930617262127</v>
      </c>
      <c r="H231">
        <f>AVERAGE('R1'!O231,'R2'!O231,'R3'!O231)</f>
        <v>-0.94100315511580013</v>
      </c>
      <c r="I231">
        <f t="shared" si="7"/>
        <v>4402.8910774999995</v>
      </c>
      <c r="K231">
        <f>_xlfn.STDEV.S('R1'!L231,'R2'!L231,'R3'!L231)</f>
        <v>5.7252607597190266E-3</v>
      </c>
      <c r="L231">
        <f>_xlfn.STDEV.S('R1'!M231,'R2'!M231,'R3'!M231)</f>
        <v>1.044429837574841E-3</v>
      </c>
      <c r="M231">
        <f>_xlfn.STDEV.S('R1'!N231,'R2'!N231,'R3'!N231)</f>
        <v>5.7252344192695063E-3</v>
      </c>
      <c r="N231">
        <f>_xlfn.STDEV.S('R1'!O231,'R2'!O231,'R3'!O231)</f>
        <v>4.5194256941280915E-3</v>
      </c>
    </row>
    <row r="232" spans="1:14" x14ac:dyDescent="0.25">
      <c r="A232">
        <f>-'R1'!H232</f>
        <v>4</v>
      </c>
      <c r="B232">
        <f>DEGREES(ATAN(-SIN(RADIANS(('R1'!I232)))/(COS(RADIANS(Sheet1!A232))*COS(RADIANS('R1'!I232)))))</f>
        <v>44.069830293849904</v>
      </c>
      <c r="C232">
        <f>AVERAGE('R1'!J232,'R2'!J232,'R3'!J232)</f>
        <v>1.18</v>
      </c>
      <c r="D232">
        <f>AVERAGE('R1'!K232,'R2'!K232,'R3'!K232)</f>
        <v>21.885323833333331</v>
      </c>
      <c r="E232">
        <f>AVERAGE('R1'!L232,'R2'!L232,'R3'!L232)</f>
        <v>3.5157219140224547</v>
      </c>
      <c r="F232">
        <f>AVERAGE('R1'!M232,'R2'!M232,'R3'!M232)</f>
        <v>-0.40386061975649995</v>
      </c>
      <c r="G232">
        <f>AVERAGE('R1'!N232,'R2'!N232,'R3'!N232)</f>
        <v>-1.9735801800560939</v>
      </c>
      <c r="H232">
        <f>AVERAGE('R1'!O232,'R2'!O232,'R3'!O232)</f>
        <v>-1.2842856104200535</v>
      </c>
      <c r="I232">
        <f t="shared" si="7"/>
        <v>4304.1136872222223</v>
      </c>
      <c r="K232">
        <f>_xlfn.STDEV.S('R1'!L232,'R2'!L232,'R3'!L232)</f>
        <v>1.403587722673838E-2</v>
      </c>
      <c r="L232">
        <f>_xlfn.STDEV.S('R1'!M232,'R2'!M232,'R3'!M232)</f>
        <v>6.3000771762145181E-3</v>
      </c>
      <c r="M232">
        <f>_xlfn.STDEV.S('R1'!N232,'R2'!N232,'R3'!N232)</f>
        <v>8.3683292233294702E-3</v>
      </c>
      <c r="N232">
        <f>_xlfn.STDEV.S('R1'!O232,'R2'!O232,'R3'!O232)</f>
        <v>8.8306679280341274E-3</v>
      </c>
    </row>
    <row r="233" spans="1:14" x14ac:dyDescent="0.25">
      <c r="A233">
        <f>-'R1'!H233</f>
        <v>4</v>
      </c>
      <c r="B233">
        <f>DEGREES(ATAN(-SIN(RADIANS(('R1'!I233)))/(COS(RADIANS(Sheet1!A233))*COS(RADIANS('R1'!I233)))))</f>
        <v>40.068822978998547</v>
      </c>
      <c r="C233">
        <f>AVERAGE('R1'!J233,'R2'!J233,'R3'!J233)</f>
        <v>1.18</v>
      </c>
      <c r="D233">
        <f>AVERAGE('R1'!K233,'R2'!K233,'R3'!K233)</f>
        <v>21.636636916666664</v>
      </c>
      <c r="E233">
        <f>AVERAGE('R1'!L233,'R2'!L233,'R3'!L233)</f>
        <v>2.8913695742998002</v>
      </c>
      <c r="F233">
        <f>AVERAGE('R1'!M233,'R2'!M233,'R3'!M233)</f>
        <v>-0.33335365072315931</v>
      </c>
      <c r="G233">
        <f>AVERAGE('R1'!N233,'R2'!N233,'R3'!N233)</f>
        <v>-1.3911376577076282</v>
      </c>
      <c r="H233">
        <f>AVERAGE('R1'!O233,'R2'!O233,'R3'!O233)</f>
        <v>-0.91473419607562523</v>
      </c>
      <c r="I233">
        <f t="shared" si="7"/>
        <v>4255.2052602777776</v>
      </c>
      <c r="K233">
        <f>_xlfn.STDEV.S('R1'!L233,'R2'!L233,'R3'!L233)</f>
        <v>1.1393575137917314E-2</v>
      </c>
      <c r="L233">
        <f>_xlfn.STDEV.S('R1'!M233,'R2'!M233,'R3'!M233)</f>
        <v>2.7510975167833393E-3</v>
      </c>
      <c r="M233">
        <f>_xlfn.STDEV.S('R1'!N233,'R2'!N233,'R3'!N233)</f>
        <v>9.0392445889287618E-3</v>
      </c>
      <c r="N233">
        <f>_xlfn.STDEV.S('R1'!O233,'R2'!O233,'R3'!O233)</f>
        <v>3.3680640745210361E-3</v>
      </c>
    </row>
    <row r="234" spans="1:14" x14ac:dyDescent="0.25">
      <c r="A234">
        <f>-'R1'!H234</f>
        <v>4</v>
      </c>
      <c r="B234">
        <f>DEGREES(ATAN(-SIN(RADIANS(('R1'!I234)))/(COS(RADIANS(Sheet1!A234))*COS(RADIANS('R1'!I234)))))</f>
        <v>36.066475262469574</v>
      </c>
      <c r="C234">
        <f>AVERAGE('R1'!J234,'R2'!J234,'R3'!J234)</f>
        <v>1.18</v>
      </c>
      <c r="D234">
        <f>AVERAGE('R1'!K234,'R2'!K234,'R3'!K234)</f>
        <v>21.461081500000002</v>
      </c>
      <c r="E234">
        <f>AVERAGE('R1'!L234,'R2'!L234,'R3'!L234)</f>
        <v>2.4733173300437259</v>
      </c>
      <c r="F234">
        <f>AVERAGE('R1'!M234,'R2'!M234,'R3'!M234)</f>
        <v>-0.28642093797456097</v>
      </c>
      <c r="G234">
        <f>AVERAGE('R1'!N234,'R2'!N234,'R3'!N234)</f>
        <v>-1.0077930523109659</v>
      </c>
      <c r="H234">
        <f>AVERAGE('R1'!O234,'R2'!O234,'R3'!O234)</f>
        <v>-0.64465212243654346</v>
      </c>
      <c r="I234">
        <f t="shared" si="7"/>
        <v>4220.6793616666664</v>
      </c>
      <c r="K234">
        <f>_xlfn.STDEV.S('R1'!L234,'R2'!L234,'R3'!L234)</f>
        <v>9.6056396568802646E-3</v>
      </c>
      <c r="L234">
        <f>_xlfn.STDEV.S('R1'!M234,'R2'!M234,'R3'!M234)</f>
        <v>6.334326084274095E-3</v>
      </c>
      <c r="M234">
        <f>_xlfn.STDEV.S('R1'!N234,'R2'!N234,'R3'!N234)</f>
        <v>6.2621596571862887E-3</v>
      </c>
      <c r="N234">
        <f>_xlfn.STDEV.S('R1'!O234,'R2'!O234,'R3'!O234)</f>
        <v>3.0522143014637473E-3</v>
      </c>
    </row>
    <row r="235" spans="1:14" x14ac:dyDescent="0.25">
      <c r="A235">
        <f>-'R1'!H235</f>
        <v>4</v>
      </c>
      <c r="B235">
        <f>DEGREES(ATAN(-SIN(RADIANS(('R1'!I235)))/(COS(RADIANS(Sheet1!A235))*COS(RADIANS('R1'!I235)))))</f>
        <v>32.062832231023428</v>
      </c>
      <c r="C235">
        <f>AVERAGE('R1'!J235,'R2'!J235,'R3'!J235)</f>
        <v>1.18</v>
      </c>
      <c r="D235">
        <f>AVERAGE('R1'!K235,'R2'!K235,'R3'!K235)</f>
        <v>21.65182283333333</v>
      </c>
      <c r="E235">
        <f>AVERAGE('R1'!L235,'R2'!L235,'R3'!L235)</f>
        <v>2.1641421677707382</v>
      </c>
      <c r="F235">
        <f>AVERAGE('R1'!M235,'R2'!M235,'R3'!M235)</f>
        <v>-0.24248853266815865</v>
      </c>
      <c r="G235">
        <f>AVERAGE('R1'!N235,'R2'!N235,'R3'!N235)</f>
        <v>-0.71811043917876993</v>
      </c>
      <c r="H235">
        <f>AVERAGE('R1'!O235,'R2'!O235,'R3'!O235)</f>
        <v>-0.42408034507228959</v>
      </c>
      <c r="I235">
        <f t="shared" si="7"/>
        <v>4258.1918238888884</v>
      </c>
      <c r="K235">
        <f>_xlfn.STDEV.S('R1'!L235,'R2'!L235,'R3'!L235)</f>
        <v>3.8011113782073988E-3</v>
      </c>
      <c r="L235">
        <f>_xlfn.STDEV.S('R1'!M235,'R2'!M235,'R3'!M235)</f>
        <v>1.6685703500826854E-3</v>
      </c>
      <c r="M235">
        <f>_xlfn.STDEV.S('R1'!N235,'R2'!N235,'R3'!N235)</f>
        <v>4.5580196845827186E-3</v>
      </c>
      <c r="N235">
        <f>_xlfn.STDEV.S('R1'!O235,'R2'!O235,'R3'!O235)</f>
        <v>6.929409058491179E-3</v>
      </c>
    </row>
    <row r="236" spans="1:14" x14ac:dyDescent="0.25">
      <c r="A236">
        <f>-'R1'!H236</f>
        <v>4</v>
      </c>
      <c r="B236">
        <f>DEGREES(ATAN(-SIN(RADIANS(('R1'!I236)))/(COS(RADIANS(Sheet1!A236))*COS(RADIANS('R1'!I236)))))</f>
        <v>28.057964295258</v>
      </c>
      <c r="C236">
        <f>AVERAGE('R1'!J236,'R2'!J236,'R3'!J236)</f>
        <v>1.18</v>
      </c>
      <c r="D236">
        <f>AVERAGE('R1'!K236,'R2'!K236,'R3'!K236)</f>
        <v>22.312966250000002</v>
      </c>
      <c r="E236">
        <f>AVERAGE('R1'!L236,'R2'!L236,'R3'!L236)</f>
        <v>1.9101024857745363</v>
      </c>
      <c r="F236">
        <f>AVERAGE('R1'!M236,'R2'!M236,'R3'!M236)</f>
        <v>-0.19426211439778326</v>
      </c>
      <c r="G236">
        <f>AVERAGE('R1'!N236,'R2'!N236,'R3'!N236)</f>
        <v>-0.49125034889253388</v>
      </c>
      <c r="H236">
        <f>AVERAGE('R1'!O236,'R2'!O236,'R3'!O236)</f>
        <v>-0.23770838090182492</v>
      </c>
      <c r="I236">
        <f t="shared" si="7"/>
        <v>4388.2166958333337</v>
      </c>
      <c r="K236">
        <f>_xlfn.STDEV.S('R1'!L236,'R2'!L236,'R3'!L236)</f>
        <v>4.4758946918337286E-3</v>
      </c>
      <c r="L236">
        <f>_xlfn.STDEV.S('R1'!M236,'R2'!M236,'R3'!M236)</f>
        <v>5.1965314370969254E-3</v>
      </c>
      <c r="M236">
        <f>_xlfn.STDEV.S('R1'!N236,'R2'!N236,'R3'!N236)</f>
        <v>1.4641037359872748E-3</v>
      </c>
      <c r="N236">
        <f>_xlfn.STDEV.S('R1'!O236,'R2'!O236,'R3'!O236)</f>
        <v>7.7044986148564519E-3</v>
      </c>
    </row>
    <row r="237" spans="1:14" x14ac:dyDescent="0.25">
      <c r="A237">
        <f>-'R1'!H237</f>
        <v>4</v>
      </c>
      <c r="B237">
        <f>DEGREES(ATAN(-SIN(RADIANS(('R1'!I237)))/(COS(RADIANS(Sheet1!A237))*COS(RADIANS('R1'!I237)))))</f>
        <v>24.051965857834489</v>
      </c>
      <c r="C237">
        <f>AVERAGE('R1'!J237,'R2'!J237,'R3'!J237)</f>
        <v>1.18</v>
      </c>
      <c r="D237">
        <f>AVERAGE('R1'!K237,'R2'!K237,'R3'!K237)</f>
        <v>22.88989616666667</v>
      </c>
      <c r="E237">
        <f>AVERAGE('R1'!L237,'R2'!L237,'R3'!L237)</f>
        <v>1.7016916822106021</v>
      </c>
      <c r="F237">
        <f>AVERAGE('R1'!M237,'R2'!M237,'R3'!M237)</f>
        <v>-0.1608203326543679</v>
      </c>
      <c r="G237">
        <f>AVERAGE('R1'!N237,'R2'!N237,'R3'!N237)</f>
        <v>-0.32564032999255715</v>
      </c>
      <c r="H237">
        <f>AVERAGE('R1'!O237,'R2'!O237,'R3'!O237)</f>
        <v>-7.6135053898960012E-2</v>
      </c>
      <c r="I237">
        <f t="shared" si="7"/>
        <v>4501.6795794444452</v>
      </c>
      <c r="K237">
        <f>_xlfn.STDEV.S('R1'!L237,'R2'!L237,'R3'!L237)</f>
        <v>1.2367990892314214E-2</v>
      </c>
      <c r="L237">
        <f>_xlfn.STDEV.S('R1'!M237,'R2'!M237,'R3'!M237)</f>
        <v>6.0115488793762023E-3</v>
      </c>
      <c r="M237">
        <f>_xlfn.STDEV.S('R1'!N237,'R2'!N237,'R3'!N237)</f>
        <v>2.2061123480876456E-3</v>
      </c>
      <c r="N237">
        <f>_xlfn.STDEV.S('R1'!O237,'R2'!O237,'R3'!O237)</f>
        <v>4.1119823808908997E-3</v>
      </c>
    </row>
    <row r="238" spans="1:14" x14ac:dyDescent="0.25">
      <c r="A238">
        <f>-'R1'!H238</f>
        <v>4</v>
      </c>
      <c r="B238">
        <f>DEGREES(ATAN(-SIN(RADIANS(('R1'!I238)))/(COS(RADIANS(Sheet1!A238))*COS(RADIANS('R1'!I238)))))</f>
        <v>20.044953503068641</v>
      </c>
      <c r="C238">
        <f>AVERAGE('R1'!J238,'R2'!J238,'R3'!J238)</f>
        <v>1.18</v>
      </c>
      <c r="D238">
        <f>AVERAGE('R1'!K238,'R2'!K238,'R3'!K238)</f>
        <v>22.942916916666672</v>
      </c>
      <c r="E238">
        <f>AVERAGE('R1'!L238,'R2'!L238,'R3'!L238)</f>
        <v>1.509559101812161</v>
      </c>
      <c r="F238">
        <f>AVERAGE('R1'!M238,'R2'!M238,'R3'!M238)</f>
        <v>-0.1408954915418856</v>
      </c>
      <c r="G238">
        <f>AVERAGE('R1'!N238,'R2'!N238,'R3'!N238)</f>
        <v>-0.1999788075899028</v>
      </c>
      <c r="H238">
        <f>AVERAGE('R1'!O238,'R2'!O238,'R3'!O238)</f>
        <v>6.9012465555938263E-2</v>
      </c>
      <c r="I238">
        <f t="shared" si="7"/>
        <v>4512.1069936111116</v>
      </c>
      <c r="K238">
        <f>_xlfn.STDEV.S('R1'!L238,'R2'!L238,'R3'!L238)</f>
        <v>4.1905950023244133E-3</v>
      </c>
      <c r="L238">
        <f>_xlfn.STDEV.S('R1'!M238,'R2'!M238,'R3'!M238)</f>
        <v>5.214827756632982E-3</v>
      </c>
      <c r="M238">
        <f>_xlfn.STDEV.S('R1'!N238,'R2'!N238,'R3'!N238)</f>
        <v>1.6243341776967413E-3</v>
      </c>
      <c r="N238">
        <f>_xlfn.STDEV.S('R1'!O238,'R2'!O238,'R3'!O238)</f>
        <v>2.4761414383245492E-3</v>
      </c>
    </row>
    <row r="239" spans="1:14" x14ac:dyDescent="0.25">
      <c r="A239">
        <f>-'R1'!H239</f>
        <v>4</v>
      </c>
      <c r="B239">
        <f>DEGREES(ATAN(-SIN(RADIANS(('R1'!I239)))/(COS(RADIANS(Sheet1!A239))*COS(RADIANS('R1'!I239)))))</f>
        <v>16.037063740993869</v>
      </c>
      <c r="C239">
        <f>AVERAGE('R1'!J239,'R2'!J239,'R3'!J239)</f>
        <v>1.18</v>
      </c>
      <c r="D239">
        <f>AVERAGE('R1'!K239,'R2'!K239,'R3'!K239)</f>
        <v>23.008441833333336</v>
      </c>
      <c r="E239">
        <f>AVERAGE('R1'!L239,'R2'!L239,'R3'!L239)</f>
        <v>1.3231748636845551</v>
      </c>
      <c r="F239">
        <f>AVERAGE('R1'!M239,'R2'!M239,'R3'!M239)</f>
        <v>-0.12889072252165482</v>
      </c>
      <c r="G239">
        <f>AVERAGE('R1'!N239,'R2'!N239,'R3'!N239)</f>
        <v>-0.11019019037574573</v>
      </c>
      <c r="H239">
        <f>AVERAGE('R1'!O239,'R2'!O239,'R3'!O239)</f>
        <v>0.20538020308186167</v>
      </c>
      <c r="I239">
        <f t="shared" si="7"/>
        <v>4524.9935605555565</v>
      </c>
      <c r="K239">
        <f>_xlfn.STDEV.S('R1'!L239,'R2'!L239,'R3'!L239)</f>
        <v>4.5626974666692242E-3</v>
      </c>
      <c r="L239">
        <f>_xlfn.STDEV.S('R1'!M239,'R2'!M239,'R3'!M239)</f>
        <v>4.0460267523952176E-3</v>
      </c>
      <c r="M239">
        <f>_xlfn.STDEV.S('R1'!N239,'R2'!N239,'R3'!N239)</f>
        <v>2.7256292380243301E-3</v>
      </c>
      <c r="N239">
        <f>_xlfn.STDEV.S('R1'!O239,'R2'!O239,'R3'!O239)</f>
        <v>4.1127733051056839E-3</v>
      </c>
    </row>
    <row r="240" spans="1:14" x14ac:dyDescent="0.25">
      <c r="A240">
        <f>-'R1'!H240</f>
        <v>4</v>
      </c>
      <c r="B240">
        <f>DEGREES(ATAN(-SIN(RADIANS(('R1'!I240)))/(COS(RADIANS(Sheet1!A240))*COS(RADIANS('R1'!I240)))))</f>
        <v>12.028450348745874</v>
      </c>
      <c r="C240">
        <f>AVERAGE('R1'!J240,'R2'!J240,'R3'!J240)</f>
        <v>1.18</v>
      </c>
      <c r="D240">
        <f>AVERAGE('R1'!K240,'R2'!K240,'R3'!K240)</f>
        <v>22.792816416666668</v>
      </c>
      <c r="E240">
        <f>AVERAGE('R1'!L240,'R2'!L240,'R3'!L240)</f>
        <v>1.1052597088144578</v>
      </c>
      <c r="F240">
        <f>AVERAGE('R1'!M240,'R2'!M240,'R3'!M240)</f>
        <v>-0.15946032361827248</v>
      </c>
      <c r="G240">
        <f>AVERAGE('R1'!N240,'R2'!N240,'R3'!N240)</f>
        <v>-5.184590434101316E-2</v>
      </c>
      <c r="H240">
        <f>AVERAGE('R1'!O240,'R2'!O240,'R3'!O240)</f>
        <v>0.3294625646283964</v>
      </c>
      <c r="I240">
        <f t="shared" si="7"/>
        <v>4482.5872286111116</v>
      </c>
      <c r="K240">
        <f>_xlfn.STDEV.S('R1'!L240,'R2'!L240,'R3'!L240)</f>
        <v>1.2458298414909677E-2</v>
      </c>
      <c r="L240">
        <f>_xlfn.STDEV.S('R1'!M240,'R2'!M240,'R3'!M240)</f>
        <v>2.1134603929544708E-3</v>
      </c>
      <c r="M240">
        <f>_xlfn.STDEV.S('R1'!N240,'R2'!N240,'R3'!N240)</f>
        <v>5.2859909434294734E-3</v>
      </c>
      <c r="N240">
        <f>_xlfn.STDEV.S('R1'!O240,'R2'!O240,'R3'!O240)</f>
        <v>3.4508020953959002E-3</v>
      </c>
    </row>
    <row r="241" spans="1:14" x14ac:dyDescent="0.25">
      <c r="A241">
        <f>-'R1'!H241</f>
        <v>4</v>
      </c>
      <c r="B241">
        <f>DEGREES(ATAN(-SIN(RADIANS(('R1'!I241)))/(COS(RADIANS(Sheet1!A241))*COS(RADIANS('R1'!I241)))))</f>
        <v>8.0192813611150822</v>
      </c>
      <c r="C241">
        <f>AVERAGE('R1'!J241,'R2'!J241,'R3'!J241)</f>
        <v>1.18</v>
      </c>
      <c r="D241">
        <f>AVERAGE('R1'!K241,'R2'!K241,'R3'!K241)</f>
        <v>22.026367250000003</v>
      </c>
      <c r="E241">
        <f>AVERAGE('R1'!L241,'R2'!L241,'R3'!L241)</f>
        <v>0.8533303941775775</v>
      </c>
      <c r="F241">
        <f>AVERAGE('R1'!M241,'R2'!M241,'R3'!M241)</f>
        <v>-0.2193735075874618</v>
      </c>
      <c r="G241">
        <f>AVERAGE('R1'!N241,'R2'!N241,'R3'!N241)</f>
        <v>-1.8922677140453703E-2</v>
      </c>
      <c r="H241">
        <f>AVERAGE('R1'!O241,'R2'!O241,'R3'!O241)</f>
        <v>0.45200954695322282</v>
      </c>
      <c r="I241">
        <f t="shared" si="7"/>
        <v>4331.8522258333342</v>
      </c>
      <c r="K241">
        <f>_xlfn.STDEV.S('R1'!L241,'R2'!L241,'R3'!L241)</f>
        <v>8.9115177441924324E-3</v>
      </c>
      <c r="L241">
        <f>_xlfn.STDEV.S('R1'!M241,'R2'!M241,'R3'!M241)</f>
        <v>9.9916692988564152E-3</v>
      </c>
      <c r="M241">
        <f>_xlfn.STDEV.S('R1'!N241,'R2'!N241,'R3'!N241)</f>
        <v>2.3942729169050643E-3</v>
      </c>
      <c r="N241">
        <f>_xlfn.STDEV.S('R1'!O241,'R2'!O241,'R3'!O241)</f>
        <v>5.6794742999978906E-3</v>
      </c>
    </row>
    <row r="242" spans="1:14" x14ac:dyDescent="0.25">
      <c r="A242">
        <f>-'R1'!H242</f>
        <v>4</v>
      </c>
      <c r="B242">
        <f>DEGREES(ATAN(-SIN(RADIANS(('R1'!I242)))/(COS(RADIANS(Sheet1!A242))*COS(RADIANS('R1'!I242)))))</f>
        <v>4.0097357700975991</v>
      </c>
      <c r="C242">
        <f>AVERAGE('R1'!J242,'R2'!J242,'R3'!J242)</f>
        <v>1.18</v>
      </c>
      <c r="D242">
        <f>AVERAGE('R1'!K242,'R2'!K242,'R3'!K242)</f>
        <v>21.789238916666665</v>
      </c>
      <c r="E242">
        <f>AVERAGE('R1'!L242,'R2'!L242,'R3'!L242)</f>
        <v>0.54130030490464132</v>
      </c>
      <c r="F242">
        <f>AVERAGE('R1'!M242,'R2'!M242,'R3'!M242)</f>
        <v>-0.28800329754698478</v>
      </c>
      <c r="G242">
        <f>AVERAGE('R1'!N242,'R2'!N242,'R3'!N242)</f>
        <v>-5.1818524318355324E-3</v>
      </c>
      <c r="H242">
        <f>AVERAGE('R1'!O242,'R2'!O242,'R3'!O242)</f>
        <v>0.58832759095051967</v>
      </c>
      <c r="I242">
        <f t="shared" si="7"/>
        <v>4285.2169869444442</v>
      </c>
      <c r="K242">
        <f>_xlfn.STDEV.S('R1'!L242,'R2'!L242,'R3'!L242)</f>
        <v>7.7256017350522113E-3</v>
      </c>
      <c r="L242">
        <f>_xlfn.STDEV.S('R1'!M242,'R2'!M242,'R3'!M242)</f>
        <v>7.3627516776130237E-3</v>
      </c>
      <c r="M242">
        <f>_xlfn.STDEV.S('R1'!N242,'R2'!N242,'R3'!N242)</f>
        <v>2.1010763280409155E-3</v>
      </c>
      <c r="N242">
        <f>_xlfn.STDEV.S('R1'!O242,'R2'!O242,'R3'!O242)</f>
        <v>5.3028913181402022E-3</v>
      </c>
    </row>
    <row r="243" spans="1:14" x14ac:dyDescent="0.25">
      <c r="A243">
        <f>-'R1'!H243</f>
        <v>4</v>
      </c>
      <c r="B243">
        <f>DEGREES(ATAN(-SIN(RADIANS(('R1'!I243)))/(COS(RADIANS(Sheet1!A243))*COS(RADIANS('R1'!I243)))))</f>
        <v>0</v>
      </c>
      <c r="C243">
        <f>AVERAGE('R1'!J243,'R2'!J243,'R3'!J243)</f>
        <v>1.18</v>
      </c>
      <c r="D243">
        <f>AVERAGE('R1'!K243,'R2'!K243,'R3'!K243)</f>
        <v>21.589874749999996</v>
      </c>
      <c r="E243">
        <f>AVERAGE('R1'!L243,'R2'!L243,'R3'!L243)</f>
        <v>0.16423313597100889</v>
      </c>
      <c r="F243">
        <f>AVERAGE('R1'!M243,'R2'!M243,'R3'!M243)</f>
        <v>-0.34112751037277073</v>
      </c>
      <c r="G243">
        <f>AVERAGE('R1'!N243,'R2'!N243,'R3'!N243)</f>
        <v>-3.0387996377610736E-3</v>
      </c>
      <c r="H243">
        <f>AVERAGE('R1'!O243,'R2'!O243,'R3'!O243)</f>
        <v>0.74872302167128246</v>
      </c>
      <c r="I243">
        <f t="shared" si="7"/>
        <v>4246.0087008333321</v>
      </c>
      <c r="K243">
        <f>_xlfn.STDEV.S('R1'!L243,'R2'!L243,'R3'!L243)</f>
        <v>9.3718262010864962E-3</v>
      </c>
      <c r="L243">
        <f>_xlfn.STDEV.S('R1'!M243,'R2'!M243,'R3'!M243)</f>
        <v>1.1972513547183096E-2</v>
      </c>
      <c r="M243">
        <f>_xlfn.STDEV.S('R1'!N243,'R2'!N243,'R3'!N243)</f>
        <v>2.8615311982761499E-3</v>
      </c>
      <c r="N243">
        <f>_xlfn.STDEV.S('R1'!O243,'R2'!O243,'R3'!O243)</f>
        <v>4.778971014793779E-3</v>
      </c>
    </row>
    <row r="244" spans="1:14" x14ac:dyDescent="0.25">
      <c r="A244">
        <f>-'R1'!H244</f>
        <v>4</v>
      </c>
      <c r="B244">
        <f>DEGREES(ATAN(-SIN(RADIANS(('R1'!I244)))/(COS(RADIANS(Sheet1!A244))*COS(RADIANS('R1'!I244)))))</f>
        <v>-4.0097357700975991</v>
      </c>
      <c r="C244">
        <f>AVERAGE('R1'!J244,'R2'!J244,'R3'!J244)</f>
        <v>1.18</v>
      </c>
      <c r="D244">
        <f>AVERAGE('R1'!K244,'R2'!K244,'R3'!K244)</f>
        <v>21.844926166666667</v>
      </c>
      <c r="E244">
        <f>AVERAGE('R1'!L244,'R2'!L244,'R3'!L244)</f>
        <v>-0.27071989444367911</v>
      </c>
      <c r="F244">
        <f>AVERAGE('R1'!M244,'R2'!M244,'R3'!M244)</f>
        <v>-0.33228068489797996</v>
      </c>
      <c r="G244">
        <f>AVERAGE('R1'!N244,'R2'!N244,'R3'!N244)</f>
        <v>2.974282748549674E-3</v>
      </c>
      <c r="H244">
        <f>AVERAGE('R1'!O244,'R2'!O244,'R3'!O244)</f>
        <v>0.68641599123427222</v>
      </c>
      <c r="I244">
        <f t="shared" si="7"/>
        <v>4296.1688127777779</v>
      </c>
      <c r="K244">
        <f>_xlfn.STDEV.S('R1'!L244,'R2'!L244,'R3'!L244)</f>
        <v>3.4020333191705815E-3</v>
      </c>
      <c r="L244">
        <f>_xlfn.STDEV.S('R1'!M244,'R2'!M244,'R3'!M244)</f>
        <v>5.9428007415347414E-3</v>
      </c>
      <c r="M244">
        <f>_xlfn.STDEV.S('R1'!N244,'R2'!N244,'R3'!N244)</f>
        <v>4.8096172257510372E-3</v>
      </c>
      <c r="N244">
        <f>_xlfn.STDEV.S('R1'!O244,'R2'!O244,'R3'!O244)</f>
        <v>5.7012622600250912E-3</v>
      </c>
    </row>
    <row r="245" spans="1:14" x14ac:dyDescent="0.25">
      <c r="A245">
        <f>-'R1'!H245</f>
        <v>4</v>
      </c>
      <c r="B245">
        <f>DEGREES(ATAN(-SIN(RADIANS(('R1'!I245)))/(COS(RADIANS(Sheet1!A245))*COS(RADIANS('R1'!I245)))))</f>
        <v>-8.0192813611150822</v>
      </c>
      <c r="C245">
        <f>AVERAGE('R1'!J245,'R2'!J245,'R3'!J245)</f>
        <v>1.18</v>
      </c>
      <c r="D245">
        <f>AVERAGE('R1'!K245,'R2'!K245,'R3'!K245)</f>
        <v>22.484605666666667</v>
      </c>
      <c r="E245">
        <f>AVERAGE('R1'!L245,'R2'!L245,'R3'!L245)</f>
        <v>-0.62234244735728517</v>
      </c>
      <c r="F245">
        <f>AVERAGE('R1'!M245,'R2'!M245,'R3'!M245)</f>
        <v>-0.30635450712084006</v>
      </c>
      <c r="G245">
        <f>AVERAGE('R1'!N245,'R2'!N245,'R3'!N245)</f>
        <v>-9.727076452982937E-3</v>
      </c>
      <c r="H245">
        <f>AVERAGE('R1'!O245,'R2'!O245,'R3'!O245)</f>
        <v>0.51424900900325676</v>
      </c>
      <c r="I245">
        <f t="shared" si="7"/>
        <v>4421.9724477777781</v>
      </c>
      <c r="K245">
        <f>_xlfn.STDEV.S('R1'!L245,'R2'!L245,'R3'!L245)</f>
        <v>3.3409504274819284E-3</v>
      </c>
      <c r="L245">
        <f>_xlfn.STDEV.S('R1'!M245,'R2'!M245,'R3'!M245)</f>
        <v>3.5712086880840652E-3</v>
      </c>
      <c r="M245">
        <f>_xlfn.STDEV.S('R1'!N245,'R2'!N245,'R3'!N245)</f>
        <v>2.1955566151964671E-3</v>
      </c>
      <c r="N245">
        <f>_xlfn.STDEV.S('R1'!O245,'R2'!O245,'R3'!O245)</f>
        <v>4.8784476462973353E-3</v>
      </c>
    </row>
    <row r="246" spans="1:14" x14ac:dyDescent="0.25">
      <c r="A246">
        <f>-'R1'!H246</f>
        <v>4</v>
      </c>
      <c r="B246">
        <f>DEGREES(ATAN(-SIN(RADIANS(('R1'!I246)))/(COS(RADIANS(Sheet1!A246))*COS(RADIANS('R1'!I246)))))</f>
        <v>-12.028450348745874</v>
      </c>
      <c r="C246">
        <f>AVERAGE('R1'!J246,'R2'!J246,'R3'!J246)</f>
        <v>1.18</v>
      </c>
      <c r="D246">
        <f>AVERAGE('R1'!K246,'R2'!K246,'R3'!K246)</f>
        <v>23.036900333333335</v>
      </c>
      <c r="E246">
        <f>AVERAGE('R1'!L246,'R2'!L246,'R3'!L246)</f>
        <v>-0.89627692377305868</v>
      </c>
      <c r="F246">
        <f>AVERAGE('R1'!M246,'R2'!M246,'R3'!M246)</f>
        <v>-0.26487335392078587</v>
      </c>
      <c r="G246">
        <f>AVERAGE('R1'!N246,'R2'!N246,'R3'!N246)</f>
        <v>-2.6581482585639308E-2</v>
      </c>
      <c r="H246">
        <f>AVERAGE('R1'!O246,'R2'!O246,'R3'!O246)</f>
        <v>0.37327045080661247</v>
      </c>
      <c r="I246">
        <f t="shared" si="7"/>
        <v>4530.5903988888886</v>
      </c>
      <c r="K246">
        <f>_xlfn.STDEV.S('R1'!L246,'R2'!L246,'R3'!L246)</f>
        <v>4.2689877058075852E-3</v>
      </c>
      <c r="L246">
        <f>_xlfn.STDEV.S('R1'!M246,'R2'!M246,'R3'!M246)</f>
        <v>6.5184169329508086E-3</v>
      </c>
      <c r="M246">
        <f>_xlfn.STDEV.S('R1'!N246,'R2'!N246,'R3'!N246)</f>
        <v>2.5351647685591451E-3</v>
      </c>
      <c r="N246">
        <f>_xlfn.STDEV.S('R1'!O246,'R2'!O246,'R3'!O246)</f>
        <v>4.6803702541931306E-3</v>
      </c>
    </row>
    <row r="247" spans="1:14" x14ac:dyDescent="0.25">
      <c r="A247">
        <f>-'R1'!H247</f>
        <v>4</v>
      </c>
      <c r="B247">
        <f>DEGREES(ATAN(-SIN(RADIANS(('R1'!I247)))/(COS(RADIANS(Sheet1!A247))*COS(RADIANS('R1'!I247)))))</f>
        <v>-16.037063740993869</v>
      </c>
      <c r="C247">
        <f>AVERAGE('R1'!J247,'R2'!J247,'R3'!J247)</f>
        <v>1.18</v>
      </c>
      <c r="D247">
        <f>AVERAGE('R1'!K247,'R2'!K247,'R3'!K247)</f>
        <v>23.062134916666665</v>
      </c>
      <c r="E247">
        <f>AVERAGE('R1'!L247,'R2'!L247,'R3'!L247)</f>
        <v>-1.1329164878055213</v>
      </c>
      <c r="F247">
        <f>AVERAGE('R1'!M247,'R2'!M247,'R3'!M247)</f>
        <v>-0.23749446670505939</v>
      </c>
      <c r="G247">
        <f>AVERAGE('R1'!N247,'R2'!N247,'R3'!N247)</f>
        <v>-6.7906038745917122E-2</v>
      </c>
      <c r="H247">
        <f>AVERAGE('R1'!O247,'R2'!O247,'R3'!O247)</f>
        <v>0.24703336591441141</v>
      </c>
      <c r="I247">
        <f t="shared" si="7"/>
        <v>4535.5532002777773</v>
      </c>
      <c r="K247">
        <f>_xlfn.STDEV.S('R1'!L247,'R2'!L247,'R3'!L247)</f>
        <v>3.6894493604542012E-3</v>
      </c>
      <c r="L247">
        <f>_xlfn.STDEV.S('R1'!M247,'R2'!M247,'R3'!M247)</f>
        <v>3.8305458530842164E-3</v>
      </c>
      <c r="M247">
        <f>_xlfn.STDEV.S('R1'!N247,'R2'!N247,'R3'!N247)</f>
        <v>2.5635537548675349E-3</v>
      </c>
      <c r="N247">
        <f>_xlfn.STDEV.S('R1'!O247,'R2'!O247,'R3'!O247)</f>
        <v>3.9695042919218595E-3</v>
      </c>
    </row>
    <row r="248" spans="1:14" x14ac:dyDescent="0.25">
      <c r="A248">
        <f>-'R1'!H248</f>
        <v>4</v>
      </c>
      <c r="B248">
        <f>DEGREES(ATAN(-SIN(RADIANS(('R1'!I248)))/(COS(RADIANS(Sheet1!A248))*COS(RADIANS('R1'!I248)))))</f>
        <v>-20.044953503068641</v>
      </c>
      <c r="C248">
        <f>AVERAGE('R1'!J248,'R2'!J248,'R3'!J248)</f>
        <v>1.18</v>
      </c>
      <c r="D248">
        <f>AVERAGE('R1'!K248,'R2'!K248,'R3'!K248)</f>
        <v>23.068153249999998</v>
      </c>
      <c r="E248">
        <f>AVERAGE('R1'!L248,'R2'!L248,'R3'!L248)</f>
        <v>-1.3310780326140856</v>
      </c>
      <c r="F248">
        <f>AVERAGE('R1'!M248,'R2'!M248,'R3'!M248)</f>
        <v>-0.20722171235678863</v>
      </c>
      <c r="G248">
        <f>AVERAGE('R1'!N248,'R2'!N248,'R3'!N248)</f>
        <v>-0.12673347476777949</v>
      </c>
      <c r="H248">
        <f>AVERAGE('R1'!O248,'R2'!O248,'R3'!O248)</f>
        <v>0.14320790139790759</v>
      </c>
      <c r="I248">
        <f t="shared" si="7"/>
        <v>4536.7368058333332</v>
      </c>
      <c r="K248">
        <f>_xlfn.STDEV.S('R1'!L248,'R2'!L248,'R3'!L248)</f>
        <v>2.0524556785222275E-3</v>
      </c>
      <c r="L248">
        <f>_xlfn.STDEV.S('R1'!M248,'R2'!M248,'R3'!M248)</f>
        <v>3.1801083535510847E-3</v>
      </c>
      <c r="M248">
        <f>_xlfn.STDEV.S('R1'!N248,'R2'!N248,'R3'!N248)</f>
        <v>1.9788628648738714E-3</v>
      </c>
      <c r="N248">
        <f>_xlfn.STDEV.S('R1'!O248,'R2'!O248,'R3'!O248)</f>
        <v>5.2850431974530848E-3</v>
      </c>
    </row>
    <row r="249" spans="1:14" x14ac:dyDescent="0.25">
      <c r="A249">
        <f>-'R1'!H249</f>
        <v>4</v>
      </c>
      <c r="B249">
        <f>DEGREES(ATAN(-SIN(RADIANS(('R1'!I249)))/(COS(RADIANS(Sheet1!A249))*COS(RADIANS('R1'!I249)))))</f>
        <v>-24.051965857834489</v>
      </c>
      <c r="C249">
        <f>AVERAGE('R1'!J249,'R2'!J249,'R3'!J249)</f>
        <v>1.18</v>
      </c>
      <c r="D249">
        <f>AVERAGE('R1'!K249,'R2'!K249,'R3'!K249)</f>
        <v>22.431589750000001</v>
      </c>
      <c r="E249">
        <f>AVERAGE('R1'!L249,'R2'!L249,'R3'!L249)</f>
        <v>-1.5232529844916456</v>
      </c>
      <c r="F249">
        <f>AVERAGE('R1'!M249,'R2'!M249,'R3'!M249)</f>
        <v>-0.18460400673883556</v>
      </c>
      <c r="G249">
        <f>AVERAGE('R1'!N249,'R2'!N249,'R3'!N249)</f>
        <v>-0.21672590694140184</v>
      </c>
      <c r="H249">
        <f>AVERAGE('R1'!O249,'R2'!O249,'R3'!O249)</f>
        <v>3.2675847847215431E-2</v>
      </c>
      <c r="I249">
        <f t="shared" si="7"/>
        <v>4411.545984166667</v>
      </c>
      <c r="K249">
        <f>_xlfn.STDEV.S('R1'!L249,'R2'!L249,'R3'!L249)</f>
        <v>4.2709317177162505E-3</v>
      </c>
      <c r="L249">
        <f>_xlfn.STDEV.S('R1'!M249,'R2'!M249,'R3'!M249)</f>
        <v>3.2253172874782566E-3</v>
      </c>
      <c r="M249">
        <f>_xlfn.STDEV.S('R1'!N249,'R2'!N249,'R3'!N249)</f>
        <v>2.5510593896200225E-3</v>
      </c>
      <c r="N249">
        <f>_xlfn.STDEV.S('R1'!O249,'R2'!O249,'R3'!O249)</f>
        <v>4.4055922203084415E-3</v>
      </c>
    </row>
    <row r="250" spans="1:14" x14ac:dyDescent="0.25">
      <c r="A250">
        <f>-'R1'!H250</f>
        <v>4</v>
      </c>
      <c r="B250">
        <f>DEGREES(ATAN(-SIN(RADIANS(('R1'!I250)))/(COS(RADIANS(Sheet1!A250))*COS(RADIANS('R1'!I250)))))</f>
        <v>-28.057964295258</v>
      </c>
      <c r="C250">
        <f>AVERAGE('R1'!J250,'R2'!J250,'R3'!J250)</f>
        <v>1.18</v>
      </c>
      <c r="D250">
        <f>AVERAGE('R1'!K250,'R2'!K250,'R3'!K250)</f>
        <v>21.837642583333334</v>
      </c>
      <c r="E250">
        <f>AVERAGE('R1'!L250,'R2'!L250,'R3'!L250)</f>
        <v>-1.7019817304095721</v>
      </c>
      <c r="F250">
        <f>AVERAGE('R1'!M250,'R2'!M250,'R3'!M250)</f>
        <v>-0.20670971722701981</v>
      </c>
      <c r="G250">
        <f>AVERAGE('R1'!N250,'R2'!N250,'R3'!N250)</f>
        <v>-0.34011253608846176</v>
      </c>
      <c r="H250">
        <f>AVERAGE('R1'!O250,'R2'!O250,'R3'!O250)</f>
        <v>-9.913959444610132E-2</v>
      </c>
      <c r="I250">
        <f t="shared" si="7"/>
        <v>4294.7363747222225</v>
      </c>
      <c r="K250">
        <f>_xlfn.STDEV.S('R1'!L250,'R2'!L250,'R3'!L250)</f>
        <v>2.6349935839682322E-3</v>
      </c>
      <c r="L250">
        <f>_xlfn.STDEV.S('R1'!M250,'R2'!M250,'R3'!M250)</f>
        <v>4.9282192774564356E-3</v>
      </c>
      <c r="M250">
        <f>_xlfn.STDEV.S('R1'!N250,'R2'!N250,'R3'!N250)</f>
        <v>8.4081590223596201E-4</v>
      </c>
      <c r="N250">
        <f>_xlfn.STDEV.S('R1'!O250,'R2'!O250,'R3'!O250)</f>
        <v>1.5334919299743435E-3</v>
      </c>
    </row>
    <row r="251" spans="1:14" x14ac:dyDescent="0.25">
      <c r="A251">
        <f>-'R1'!H251</f>
        <v>4</v>
      </c>
      <c r="B251">
        <f>DEGREES(ATAN(-SIN(RADIANS(('R1'!I251)))/(COS(RADIANS(Sheet1!A251))*COS(RADIANS('R1'!I251)))))</f>
        <v>-32.062832231023428</v>
      </c>
      <c r="C251">
        <f>AVERAGE('R1'!J251,'R2'!J251,'R3'!J251)</f>
        <v>1.18</v>
      </c>
      <c r="D251">
        <f>AVERAGE('R1'!K251,'R2'!K251,'R3'!K251)</f>
        <v>21.659747166666666</v>
      </c>
      <c r="E251">
        <f>AVERAGE('R1'!L251,'R2'!L251,'R3'!L251)</f>
        <v>-1.9161476932019925</v>
      </c>
      <c r="F251">
        <f>AVERAGE('R1'!M251,'R2'!M251,'R3'!M251)</f>
        <v>-0.23396993457212142</v>
      </c>
      <c r="G251">
        <f>AVERAGE('R1'!N251,'R2'!N251,'R3'!N251)</f>
        <v>-0.5066002959057746</v>
      </c>
      <c r="H251">
        <f>AVERAGE('R1'!O251,'R2'!O251,'R3'!O251)</f>
        <v>-0.255502491717575</v>
      </c>
      <c r="I251">
        <f t="shared" si="7"/>
        <v>4259.7502761111109</v>
      </c>
      <c r="K251">
        <f>_xlfn.STDEV.S('R1'!L251,'R2'!L251,'R3'!L251)</f>
        <v>5.4458482341677291E-3</v>
      </c>
      <c r="L251">
        <f>_xlfn.STDEV.S('R1'!M251,'R2'!M251,'R3'!M251)</f>
        <v>1.1020204350734069E-2</v>
      </c>
      <c r="M251">
        <f>_xlfn.STDEV.S('R1'!N251,'R2'!N251,'R3'!N251)</f>
        <v>2.0497364630287069E-3</v>
      </c>
      <c r="N251">
        <f>_xlfn.STDEV.S('R1'!O251,'R2'!O251,'R3'!O251)</f>
        <v>3.2943690157171352E-3</v>
      </c>
    </row>
    <row r="252" spans="1:14" x14ac:dyDescent="0.25">
      <c r="A252">
        <f>-'R1'!H252</f>
        <v>4</v>
      </c>
      <c r="B252">
        <f>DEGREES(ATAN(-SIN(RADIANS(('R1'!I252)))/(COS(RADIANS(Sheet1!A252))*COS(RADIANS('R1'!I252)))))</f>
        <v>-36.066475262469574</v>
      </c>
      <c r="C252">
        <f>AVERAGE('R1'!J252,'R2'!J252,'R3'!J252)</f>
        <v>1.18</v>
      </c>
      <c r="D252">
        <f>AVERAGE('R1'!K252,'R2'!K252,'R3'!K252)</f>
        <v>21.632281333333328</v>
      </c>
      <c r="E252">
        <f>AVERAGE('R1'!L252,'R2'!L252,'R3'!L252)</f>
        <v>-2.1810918503774244</v>
      </c>
      <c r="F252">
        <f>AVERAGE('R1'!M252,'R2'!M252,'R3'!M252)</f>
        <v>-0.26559774028413746</v>
      </c>
      <c r="G252">
        <f>AVERAGE('R1'!N252,'R2'!N252,'R3'!N252)</f>
        <v>-0.73502367783498901</v>
      </c>
      <c r="H252">
        <f>AVERAGE('R1'!O252,'R2'!O252,'R3'!O252)</f>
        <v>-0.43807077754884766</v>
      </c>
      <c r="I252">
        <f t="shared" si="7"/>
        <v>4254.3486622222208</v>
      </c>
      <c r="K252">
        <f>_xlfn.STDEV.S('R1'!L252,'R2'!L252,'R3'!L252)</f>
        <v>1.7829728610491255E-3</v>
      </c>
      <c r="L252">
        <f>_xlfn.STDEV.S('R1'!M252,'R2'!M252,'R3'!M252)</f>
        <v>6.045229871815304E-3</v>
      </c>
      <c r="M252">
        <f>_xlfn.STDEV.S('R1'!N252,'R2'!N252,'R3'!N252)</f>
        <v>6.1264404589114986E-3</v>
      </c>
      <c r="N252">
        <f>_xlfn.STDEV.S('R1'!O252,'R2'!O252,'R3'!O252)</f>
        <v>4.4776965568456562E-3</v>
      </c>
    </row>
    <row r="253" spans="1:14" x14ac:dyDescent="0.25">
      <c r="A253">
        <f>-'R1'!H253</f>
        <v>4</v>
      </c>
      <c r="B253">
        <f>DEGREES(ATAN(-SIN(RADIANS(('R1'!I253)))/(COS(RADIANS(Sheet1!A253))*COS(RADIANS('R1'!I253)))))</f>
        <v>-40.068822978998547</v>
      </c>
      <c r="C253">
        <f>AVERAGE('R1'!J253,'R2'!J253,'R3'!J253)</f>
        <v>1.18</v>
      </c>
      <c r="D253">
        <f>AVERAGE('R1'!K253,'R2'!K253,'R3'!K253)</f>
        <v>22.044772416666671</v>
      </c>
      <c r="E253">
        <f>AVERAGE('R1'!L253,'R2'!L253,'R3'!L253)</f>
        <v>-2.5062142597896551</v>
      </c>
      <c r="F253">
        <f>AVERAGE('R1'!M253,'R2'!M253,'R3'!M253)</f>
        <v>-0.30770999570420315</v>
      </c>
      <c r="G253">
        <f>AVERAGE('R1'!N253,'R2'!N253,'R3'!N253)</f>
        <v>-1.0324498829921576</v>
      </c>
      <c r="H253">
        <f>AVERAGE('R1'!O253,'R2'!O253,'R3'!O253)</f>
        <v>-0.65531079151749871</v>
      </c>
      <c r="I253">
        <f t="shared" si="7"/>
        <v>4335.4719086111118</v>
      </c>
      <c r="K253">
        <f>_xlfn.STDEV.S('R1'!L253,'R2'!L253,'R3'!L253)</f>
        <v>5.0300409543195474E-3</v>
      </c>
      <c r="L253">
        <f>_xlfn.STDEV.S('R1'!M253,'R2'!M253,'R3'!M253)</f>
        <v>9.8995797699951895E-3</v>
      </c>
      <c r="M253">
        <f>_xlfn.STDEV.S('R1'!N253,'R2'!N253,'R3'!N253)</f>
        <v>3.542294235789915E-3</v>
      </c>
      <c r="N253">
        <f>_xlfn.STDEV.S('R1'!O253,'R2'!O253,'R3'!O253)</f>
        <v>5.5333447321272459E-3</v>
      </c>
    </row>
    <row r="254" spans="1:14" x14ac:dyDescent="0.25">
      <c r="A254">
        <f>-'R1'!H254</f>
        <v>4</v>
      </c>
      <c r="B254">
        <f>DEGREES(ATAN(-SIN(RADIANS(('R1'!I254)))/(COS(RADIANS(Sheet1!A254))*COS(RADIANS('R1'!I254)))))</f>
        <v>-44.069830293849904</v>
      </c>
      <c r="C254">
        <f>AVERAGE('R1'!J254,'R2'!J254,'R3'!J254)</f>
        <v>1.18</v>
      </c>
      <c r="D254">
        <f>AVERAGE('R1'!K254,'R2'!K254,'R3'!K254)</f>
        <v>22.667015833333334</v>
      </c>
      <c r="E254">
        <f>AVERAGE('R1'!L254,'R2'!L254,'R3'!L254)</f>
        <v>-2.9438960917382953</v>
      </c>
      <c r="F254">
        <f>AVERAGE('R1'!M254,'R2'!M254,'R3'!M254)</f>
        <v>-0.3621375020060611</v>
      </c>
      <c r="G254">
        <f>AVERAGE('R1'!N254,'R2'!N254,'R3'!N254)</f>
        <v>-1.4389222142691223</v>
      </c>
      <c r="H254">
        <f>AVERAGE('R1'!O254,'R2'!O254,'R3'!O254)</f>
        <v>-0.9325737199845161</v>
      </c>
      <c r="I254">
        <f t="shared" si="7"/>
        <v>4457.8464472222222</v>
      </c>
      <c r="K254">
        <f>_xlfn.STDEV.S('R1'!L254,'R2'!L254,'R3'!L254)</f>
        <v>2.5760653755498731E-3</v>
      </c>
      <c r="L254">
        <f>_xlfn.STDEV.S('R1'!M254,'R2'!M254,'R3'!M254)</f>
        <v>8.8694574630755734E-3</v>
      </c>
      <c r="M254">
        <f>_xlfn.STDEV.S('R1'!N254,'R2'!N254,'R3'!N254)</f>
        <v>1.307634449159537E-3</v>
      </c>
      <c r="N254">
        <f>_xlfn.STDEV.S('R1'!O254,'R2'!O254,'R3'!O254)</f>
        <v>3.4299288888704131E-3</v>
      </c>
    </row>
    <row r="255" spans="1:14" x14ac:dyDescent="0.25">
      <c r="A255">
        <f>-'R1'!H255</f>
        <v>0</v>
      </c>
      <c r="B255">
        <f>DEGREES(ATAN(-SIN(RADIANS(('R1'!I255)))/(COS(RADIANS(Sheet1!A255))*COS(RADIANS('R1'!I255)))))</f>
        <v>44</v>
      </c>
      <c r="C255">
        <f>AVERAGE('R1'!J255,'R2'!J255,'R3'!J255)</f>
        <v>1.18</v>
      </c>
      <c r="D255">
        <f>AVERAGE('R1'!K255,'R2'!K255,'R3'!K255)</f>
        <v>23.351612249999999</v>
      </c>
      <c r="E255">
        <f>AVERAGE('R1'!L255,'R2'!L255,'R3'!L255)</f>
        <v>3.836416425718125</v>
      </c>
      <c r="F255">
        <f>AVERAGE('R1'!M255,'R2'!M255,'R3'!M255)</f>
        <v>0.12332754116627458</v>
      </c>
      <c r="G255">
        <f>AVERAGE('R1'!N255,'R2'!N255,'R3'!N255)</f>
        <v>-2.1565834040577965</v>
      </c>
      <c r="H255">
        <f>AVERAGE('R1'!O255,'R2'!O255,'R3'!O255)</f>
        <v>-1.3251950099225895</v>
      </c>
      <c r="I255">
        <f t="shared" si="7"/>
        <v>4592.4837424999996</v>
      </c>
      <c r="K255">
        <f>_xlfn.STDEV.S('R1'!L255,'R2'!L255,'R3'!L255)</f>
        <v>1.9244824618958507E-2</v>
      </c>
      <c r="L255">
        <f>_xlfn.STDEV.S('R1'!M255,'R2'!M255,'R3'!M255)</f>
        <v>1.1414071835286463E-2</v>
      </c>
      <c r="M255">
        <f>_xlfn.STDEV.S('R1'!N255,'R2'!N255,'R3'!N255)</f>
        <v>9.0630875455736618E-3</v>
      </c>
      <c r="N255">
        <f>_xlfn.STDEV.S('R1'!O255,'R2'!O255,'R3'!O255)</f>
        <v>5.9844012570373492E-3</v>
      </c>
    </row>
    <row r="256" spans="1:14" x14ac:dyDescent="0.25">
      <c r="A256">
        <f>-'R1'!H256</f>
        <v>0</v>
      </c>
      <c r="B256">
        <f>DEGREES(ATAN(-SIN(RADIANS(('R1'!I256)))/(COS(RADIANS(Sheet1!A256))*COS(RADIANS('R1'!I256)))))</f>
        <v>40</v>
      </c>
      <c r="C256">
        <f>AVERAGE('R1'!J256,'R2'!J256,'R3'!J256)</f>
        <v>1.18</v>
      </c>
      <c r="D256">
        <f>AVERAGE('R1'!K256,'R2'!K256,'R3'!K256)</f>
        <v>23.365260249999995</v>
      </c>
      <c r="E256">
        <f>AVERAGE('R1'!L256,'R2'!L256,'R3'!L256)</f>
        <v>3.1006319833248952</v>
      </c>
      <c r="F256">
        <f>AVERAGE('R1'!M256,'R2'!M256,'R3'!M256)</f>
        <v>0.1066945512964938</v>
      </c>
      <c r="G256">
        <f>AVERAGE('R1'!N256,'R2'!N256,'R3'!N256)</f>
        <v>-1.4966721768892448</v>
      </c>
      <c r="H256">
        <f>AVERAGE('R1'!O256,'R2'!O256,'R3'!O256)</f>
        <v>-0.91956131038038491</v>
      </c>
      <c r="I256">
        <f t="shared" si="7"/>
        <v>4595.1678491666653</v>
      </c>
      <c r="K256">
        <f>_xlfn.STDEV.S('R1'!L256,'R2'!L256,'R3'!L256)</f>
        <v>8.6315378532019725E-3</v>
      </c>
      <c r="L256">
        <f>_xlfn.STDEV.S('R1'!M256,'R2'!M256,'R3'!M256)</f>
        <v>5.8864323867058128E-3</v>
      </c>
      <c r="M256">
        <f>_xlfn.STDEV.S('R1'!N256,'R2'!N256,'R3'!N256)</f>
        <v>6.0558184764114001E-3</v>
      </c>
      <c r="N256">
        <f>_xlfn.STDEV.S('R1'!O256,'R2'!O256,'R3'!O256)</f>
        <v>6.7714668487031515E-3</v>
      </c>
    </row>
    <row r="257" spans="1:14" x14ac:dyDescent="0.25">
      <c r="A257">
        <f>-'R1'!H257</f>
        <v>0</v>
      </c>
      <c r="B257">
        <f>DEGREES(ATAN(-SIN(RADIANS(('R1'!I257)))/(COS(RADIANS(Sheet1!A257))*COS(RADIANS('R1'!I257)))))</f>
        <v>36</v>
      </c>
      <c r="C257">
        <f>AVERAGE('R1'!J257,'R2'!J257,'R3'!J257)</f>
        <v>1.18</v>
      </c>
      <c r="D257">
        <f>AVERAGE('R1'!K257,'R2'!K257,'R3'!K257)</f>
        <v>22.720489999999998</v>
      </c>
      <c r="E257">
        <f>AVERAGE('R1'!L257,'R2'!L257,'R3'!L257)</f>
        <v>2.6081939030082655</v>
      </c>
      <c r="F257">
        <f>AVERAGE('R1'!M257,'R2'!M257,'R3'!M257)</f>
        <v>9.7734288902551383E-2</v>
      </c>
      <c r="G257">
        <f>AVERAGE('R1'!N257,'R2'!N257,'R3'!N257)</f>
        <v>-1.0565480286876892</v>
      </c>
      <c r="H257">
        <f>AVERAGE('R1'!O257,'R2'!O257,'R3'!O257)</f>
        <v>-0.62817222350594693</v>
      </c>
      <c r="I257">
        <f t="shared" si="7"/>
        <v>4468.3630333333331</v>
      </c>
      <c r="K257">
        <f>_xlfn.STDEV.S('R1'!L257,'R2'!L257,'R3'!L257)</f>
        <v>1.1754393056394304E-2</v>
      </c>
      <c r="L257">
        <f>_xlfn.STDEV.S('R1'!M257,'R2'!M257,'R3'!M257)</f>
        <v>1.7961352548661623E-2</v>
      </c>
      <c r="M257">
        <f>_xlfn.STDEV.S('R1'!N257,'R2'!N257,'R3'!N257)</f>
        <v>7.3939996775203064E-3</v>
      </c>
      <c r="N257">
        <f>_xlfn.STDEV.S('R1'!O257,'R2'!O257,'R3'!O257)</f>
        <v>5.4613530452318334E-3</v>
      </c>
    </row>
    <row r="258" spans="1:14" x14ac:dyDescent="0.25">
      <c r="A258">
        <f>-'R1'!H258</f>
        <v>0</v>
      </c>
      <c r="B258">
        <f>DEGREES(ATAN(-SIN(RADIANS(('R1'!I258)))/(COS(RADIANS(Sheet1!A258))*COS(RADIANS('R1'!I258)))))</f>
        <v>32</v>
      </c>
      <c r="C258">
        <f>AVERAGE('R1'!J258,'R2'!J258,'R3'!J258)</f>
        <v>1.18</v>
      </c>
      <c r="D258">
        <f>AVERAGE('R1'!K258,'R2'!K258,'R3'!K258)</f>
        <v>21.948780333333332</v>
      </c>
      <c r="E258">
        <f>AVERAGE('R1'!L258,'R2'!L258,'R3'!L258)</f>
        <v>2.2449601107115851</v>
      </c>
      <c r="F258">
        <f>AVERAGE('R1'!M258,'R2'!M258,'R3'!M258)</f>
        <v>9.1261077100858193E-2</v>
      </c>
      <c r="G258">
        <f>AVERAGE('R1'!N258,'R2'!N258,'R3'!N258)</f>
        <v>-0.73952820286784737</v>
      </c>
      <c r="H258">
        <f>AVERAGE('R1'!O258,'R2'!O258,'R3'!O258)</f>
        <v>-0.39929468260567047</v>
      </c>
      <c r="I258">
        <f t="shared" si="7"/>
        <v>4316.5934655555557</v>
      </c>
      <c r="K258">
        <f>_xlfn.STDEV.S('R1'!L258,'R2'!L258,'R3'!L258)</f>
        <v>1.7634067496947335E-3</v>
      </c>
      <c r="L258">
        <f>_xlfn.STDEV.S('R1'!M258,'R2'!M258,'R3'!M258)</f>
        <v>3.7256131526263864E-3</v>
      </c>
      <c r="M258">
        <f>_xlfn.STDEV.S('R1'!N258,'R2'!N258,'R3'!N258)</f>
        <v>2.7100999015769716E-3</v>
      </c>
      <c r="N258">
        <f>_xlfn.STDEV.S('R1'!O258,'R2'!O258,'R3'!O258)</f>
        <v>1.899286329418707E-3</v>
      </c>
    </row>
    <row r="259" spans="1:14" x14ac:dyDescent="0.25">
      <c r="A259">
        <f>-'R1'!H259</f>
        <v>0</v>
      </c>
      <c r="B259">
        <f>DEGREES(ATAN(-SIN(RADIANS(('R1'!I259)))/(COS(RADIANS(Sheet1!A259))*COS(RADIANS('R1'!I259)))))</f>
        <v>28</v>
      </c>
      <c r="C259">
        <f>AVERAGE('R1'!J259,'R2'!J259,'R3'!J259)</f>
        <v>1.18</v>
      </c>
      <c r="D259">
        <f>AVERAGE('R1'!K259,'R2'!K259,'R3'!K259)</f>
        <v>21.323234083333332</v>
      </c>
      <c r="E259">
        <f>AVERAGE('R1'!L259,'R2'!L259,'R3'!L259)</f>
        <v>1.9516737365825338</v>
      </c>
      <c r="F259">
        <f>AVERAGE('R1'!M259,'R2'!M259,'R3'!M259)</f>
        <v>9.6739216582749199E-2</v>
      </c>
      <c r="G259">
        <f>AVERAGE('R1'!N259,'R2'!N259,'R3'!N259)</f>
        <v>-0.4981752914930293</v>
      </c>
      <c r="H259">
        <f>AVERAGE('R1'!O259,'R2'!O259,'R3'!O259)</f>
        <v>-0.20783148188628794</v>
      </c>
      <c r="I259">
        <f t="shared" ref="I259:I322" si="8">10^5*C259*D259*0.003/1.8</f>
        <v>4193.5693697222223</v>
      </c>
      <c r="K259">
        <f>_xlfn.STDEV.S('R1'!L259,'R2'!L259,'R3'!L259)</f>
        <v>6.5219260746304866E-3</v>
      </c>
      <c r="L259">
        <f>_xlfn.STDEV.S('R1'!M259,'R2'!M259,'R3'!M259)</f>
        <v>4.0029735883582492E-3</v>
      </c>
      <c r="M259">
        <f>_xlfn.STDEV.S('R1'!N259,'R2'!N259,'R3'!N259)</f>
        <v>4.7295224519585677E-3</v>
      </c>
      <c r="N259">
        <f>_xlfn.STDEV.S('R1'!O259,'R2'!O259,'R3'!O259)</f>
        <v>2.9605348201331202E-3</v>
      </c>
    </row>
    <row r="260" spans="1:14" x14ac:dyDescent="0.25">
      <c r="A260">
        <f>-'R1'!H260</f>
        <v>0</v>
      </c>
      <c r="B260">
        <f>DEGREES(ATAN(-SIN(RADIANS(('R1'!I260)))/(COS(RADIANS(Sheet1!A260))*COS(RADIANS('R1'!I260)))))</f>
        <v>24</v>
      </c>
      <c r="C260">
        <f>AVERAGE('R1'!J260,'R2'!J260,'R3'!J260)</f>
        <v>1.18</v>
      </c>
      <c r="D260">
        <f>AVERAGE('R1'!K260,'R2'!K260,'R3'!K260)</f>
        <v>21.293830750000001</v>
      </c>
      <c r="E260">
        <f>AVERAGE('R1'!L260,'R2'!L260,'R3'!L260)</f>
        <v>1.719171582082972</v>
      </c>
      <c r="F260">
        <f>AVERAGE('R1'!M260,'R2'!M260,'R3'!M260)</f>
        <v>0.10070058123545594</v>
      </c>
      <c r="G260">
        <f>AVERAGE('R1'!N260,'R2'!N260,'R3'!N260)</f>
        <v>-0.32135872062601717</v>
      </c>
      <c r="H260">
        <f>AVERAGE('R1'!O260,'R2'!O260,'R3'!O260)</f>
        <v>-4.8273798608158329E-2</v>
      </c>
      <c r="I260">
        <f t="shared" si="8"/>
        <v>4187.7867141666666</v>
      </c>
      <c r="K260">
        <f>_xlfn.STDEV.S('R1'!L260,'R2'!L260,'R3'!L260)</f>
        <v>1.9972499382675379E-3</v>
      </c>
      <c r="L260">
        <f>_xlfn.STDEV.S('R1'!M260,'R2'!M260,'R3'!M260)</f>
        <v>8.347316371140744E-4</v>
      </c>
      <c r="M260">
        <f>_xlfn.STDEV.S('R1'!N260,'R2'!N260,'R3'!N260)</f>
        <v>2.3970764668922685E-3</v>
      </c>
      <c r="N260">
        <f>_xlfn.STDEV.S('R1'!O260,'R2'!O260,'R3'!O260)</f>
        <v>8.728955394377313E-4</v>
      </c>
    </row>
    <row r="261" spans="1:14" x14ac:dyDescent="0.25">
      <c r="A261">
        <f>-'R1'!H261</f>
        <v>0</v>
      </c>
      <c r="B261">
        <f>DEGREES(ATAN(-SIN(RADIANS(('R1'!I261)))/(COS(RADIANS(Sheet1!A261))*COS(RADIANS('R1'!I261)))))</f>
        <v>20</v>
      </c>
      <c r="C261">
        <f>AVERAGE('R1'!J261,'R2'!J261,'R3'!J261)</f>
        <v>1.18</v>
      </c>
      <c r="D261">
        <f>AVERAGE('R1'!K261,'R2'!K261,'R3'!K261)</f>
        <v>21.929391249999998</v>
      </c>
      <c r="E261">
        <f>AVERAGE('R1'!L261,'R2'!L261,'R3'!L261)</f>
        <v>1.5199461544696058</v>
      </c>
      <c r="F261">
        <f>AVERAGE('R1'!M261,'R2'!M261,'R3'!M261)</f>
        <v>0.11499697769092289</v>
      </c>
      <c r="G261">
        <f>AVERAGE('R1'!N261,'R2'!N261,'R3'!N261)</f>
        <v>-0.19584083833252372</v>
      </c>
      <c r="H261">
        <f>AVERAGE('R1'!O261,'R2'!O261,'R3'!O261)</f>
        <v>8.6304155411471115E-2</v>
      </c>
      <c r="I261">
        <f t="shared" si="8"/>
        <v>4312.7802791666663</v>
      </c>
      <c r="K261">
        <f>_xlfn.STDEV.S('R1'!L261,'R2'!L261,'R3'!L261)</f>
        <v>4.7175897144038689E-3</v>
      </c>
      <c r="L261">
        <f>_xlfn.STDEV.S('R1'!M261,'R2'!M261,'R3'!M261)</f>
        <v>2.6275775515976121E-3</v>
      </c>
      <c r="M261">
        <f>_xlfn.STDEV.S('R1'!N261,'R2'!N261,'R3'!N261)</f>
        <v>2.0324534107851789E-3</v>
      </c>
      <c r="N261">
        <f>_xlfn.STDEV.S('R1'!O261,'R2'!O261,'R3'!O261)</f>
        <v>9.788106940789164E-4</v>
      </c>
    </row>
    <row r="262" spans="1:14" x14ac:dyDescent="0.25">
      <c r="A262">
        <f>-'R1'!H262</f>
        <v>0</v>
      </c>
      <c r="B262">
        <f>DEGREES(ATAN(-SIN(RADIANS(('R1'!I262)))/(COS(RADIANS(Sheet1!A262))*COS(RADIANS('R1'!I262)))))</f>
        <v>16</v>
      </c>
      <c r="C262">
        <f>AVERAGE('R1'!J262,'R2'!J262,'R3'!J262)</f>
        <v>1.18</v>
      </c>
      <c r="D262">
        <f>AVERAGE('R1'!K262,'R2'!K262,'R3'!K262)</f>
        <v>22.581029916666665</v>
      </c>
      <c r="E262">
        <f>AVERAGE('R1'!L262,'R2'!L262,'R3'!L262)</f>
        <v>1.3186643017523962</v>
      </c>
      <c r="F262">
        <f>AVERAGE('R1'!M262,'R2'!M262,'R3'!M262)</f>
        <v>0.11415162196225948</v>
      </c>
      <c r="G262">
        <f>AVERAGE('R1'!N262,'R2'!N262,'R3'!N262)</f>
        <v>-0.10329743138624869</v>
      </c>
      <c r="H262">
        <f>AVERAGE('R1'!O262,'R2'!O262,'R3'!O262)</f>
        <v>0.21602384513640094</v>
      </c>
      <c r="I262">
        <f t="shared" si="8"/>
        <v>4440.9358836111114</v>
      </c>
      <c r="K262">
        <f>_xlfn.STDEV.S('R1'!L262,'R2'!L262,'R3'!L262)</f>
        <v>3.1691811732006002E-3</v>
      </c>
      <c r="L262">
        <f>_xlfn.STDEV.S('R1'!M262,'R2'!M262,'R3'!M262)</f>
        <v>4.5210985314331669E-3</v>
      </c>
      <c r="M262">
        <f>_xlfn.STDEV.S('R1'!N262,'R2'!N262,'R3'!N262)</f>
        <v>9.0406996100249109E-4</v>
      </c>
      <c r="N262">
        <f>_xlfn.STDEV.S('R1'!O262,'R2'!O262,'R3'!O262)</f>
        <v>2.5768751901890808E-3</v>
      </c>
    </row>
    <row r="263" spans="1:14" x14ac:dyDescent="0.25">
      <c r="A263">
        <f>-'R1'!H263</f>
        <v>0</v>
      </c>
      <c r="B263">
        <f>DEGREES(ATAN(-SIN(RADIANS(('R1'!I263)))/(COS(RADIANS(Sheet1!A263))*COS(RADIANS('R1'!I263)))))</f>
        <v>12.000000000000002</v>
      </c>
      <c r="C263">
        <f>AVERAGE('R1'!J263,'R2'!J263,'R3'!J263)</f>
        <v>1.18</v>
      </c>
      <c r="D263">
        <f>AVERAGE('R1'!K263,'R2'!K263,'R3'!K263)</f>
        <v>23.11441533333333</v>
      </c>
      <c r="E263">
        <f>AVERAGE('R1'!L263,'R2'!L263,'R3'!L263)</f>
        <v>1.1177914116046894</v>
      </c>
      <c r="F263">
        <f>AVERAGE('R1'!M263,'R2'!M263,'R3'!M263)</f>
        <v>0.10895228216403895</v>
      </c>
      <c r="G263">
        <f>AVERAGE('R1'!N263,'R2'!N263,'R3'!N263)</f>
        <v>-4.7643864874923357E-2</v>
      </c>
      <c r="H263">
        <f>AVERAGE('R1'!O263,'R2'!O263,'R3'!O263)</f>
        <v>0.34356464079919674</v>
      </c>
      <c r="I263">
        <f t="shared" si="8"/>
        <v>4545.8350155555554</v>
      </c>
      <c r="K263">
        <f>_xlfn.STDEV.S('R1'!L263,'R2'!L263,'R3'!L263)</f>
        <v>7.3803524469506611E-3</v>
      </c>
      <c r="L263">
        <f>_xlfn.STDEV.S('R1'!M263,'R2'!M263,'R3'!M263)</f>
        <v>6.270748652023146E-3</v>
      </c>
      <c r="M263">
        <f>_xlfn.STDEV.S('R1'!N263,'R2'!N263,'R3'!N263)</f>
        <v>3.4197912436374927E-3</v>
      </c>
      <c r="N263">
        <f>_xlfn.STDEV.S('R1'!O263,'R2'!O263,'R3'!O263)</f>
        <v>4.2512727377332533E-3</v>
      </c>
    </row>
    <row r="264" spans="1:14" x14ac:dyDescent="0.25">
      <c r="A264">
        <f>-'R1'!H264</f>
        <v>0</v>
      </c>
      <c r="B264">
        <f>DEGREES(ATAN(-SIN(RADIANS(('R1'!I264)))/(COS(RADIANS(Sheet1!A264))*COS(RADIANS('R1'!I264)))))</f>
        <v>7.9999999999999982</v>
      </c>
      <c r="C264">
        <f>AVERAGE('R1'!J264,'R2'!J264,'R3'!J264)</f>
        <v>1.18</v>
      </c>
      <c r="D264">
        <f>AVERAGE('R1'!K264,'R2'!K264,'R3'!K264)</f>
        <v>23.609573166666667</v>
      </c>
      <c r="E264">
        <f>AVERAGE('R1'!L264,'R2'!L264,'R3'!L264)</f>
        <v>0.87835210115210671</v>
      </c>
      <c r="F264">
        <f>AVERAGE('R1'!M264,'R2'!M264,'R3'!M264)</f>
        <v>0.110974708664678</v>
      </c>
      <c r="G264">
        <f>AVERAGE('R1'!N264,'R2'!N264,'R3'!N264)</f>
        <v>-1.6145644883469309E-2</v>
      </c>
      <c r="H264">
        <f>AVERAGE('R1'!O264,'R2'!O264,'R3'!O264)</f>
        <v>0.49532602946394477</v>
      </c>
      <c r="I264">
        <f t="shared" si="8"/>
        <v>4643.2160561111114</v>
      </c>
      <c r="K264">
        <f>_xlfn.STDEV.S('R1'!L264,'R2'!L264,'R3'!L264)</f>
        <v>8.3069167617272621E-3</v>
      </c>
      <c r="L264">
        <f>_xlfn.STDEV.S('R1'!M264,'R2'!M264,'R3'!M264)</f>
        <v>3.9808646174384404E-3</v>
      </c>
      <c r="M264">
        <f>_xlfn.STDEV.S('R1'!N264,'R2'!N264,'R3'!N264)</f>
        <v>4.2089568146095211E-3</v>
      </c>
      <c r="N264">
        <f>_xlfn.STDEV.S('R1'!O264,'R2'!O264,'R3'!O264)</f>
        <v>1.6079845705061888E-3</v>
      </c>
    </row>
    <row r="265" spans="1:14" x14ac:dyDescent="0.25">
      <c r="A265">
        <f>-'R1'!H265</f>
        <v>0</v>
      </c>
      <c r="B265">
        <f>DEGREES(ATAN(-SIN(RADIANS(('R1'!I265)))/(COS(RADIANS(Sheet1!A265))*COS(RADIANS('R1'!I265)))))</f>
        <v>4</v>
      </c>
      <c r="C265">
        <f>AVERAGE('R1'!J265,'R2'!J265,'R3'!J265)</f>
        <v>1.18</v>
      </c>
      <c r="D265">
        <f>AVERAGE('R1'!K265,'R2'!K265,'R3'!K265)</f>
        <v>23.169432999999998</v>
      </c>
      <c r="E265">
        <f>AVERAGE('R1'!L265,'R2'!L265,'R3'!L265)</f>
        <v>0.58568232458278247</v>
      </c>
      <c r="F265">
        <f>AVERAGE('R1'!M265,'R2'!M265,'R3'!M265)</f>
        <v>0.13266082848800509</v>
      </c>
      <c r="G265">
        <f>AVERAGE('R1'!N265,'R2'!N265,'R3'!N265)</f>
        <v>-6.8923621252815334E-3</v>
      </c>
      <c r="H265">
        <f>AVERAGE('R1'!O265,'R2'!O265,'R3'!O265)</f>
        <v>0.6475094199996595</v>
      </c>
      <c r="I265">
        <f t="shared" si="8"/>
        <v>4556.6551566666658</v>
      </c>
      <c r="K265">
        <f>_xlfn.STDEV.S('R1'!L265,'R2'!L265,'R3'!L265)</f>
        <v>6.3814982622120275E-3</v>
      </c>
      <c r="L265">
        <f>_xlfn.STDEV.S('R1'!M265,'R2'!M265,'R3'!M265)</f>
        <v>1.7498632696416625E-3</v>
      </c>
      <c r="M265">
        <f>_xlfn.STDEV.S('R1'!N265,'R2'!N265,'R3'!N265)</f>
        <v>4.3474684243205502E-3</v>
      </c>
      <c r="N265">
        <f>_xlfn.STDEV.S('R1'!O265,'R2'!O265,'R3'!O265)</f>
        <v>1.4996753890932119E-3</v>
      </c>
    </row>
    <row r="266" spans="1:14" x14ac:dyDescent="0.25">
      <c r="A266">
        <f>-'R1'!H266</f>
        <v>0</v>
      </c>
      <c r="B266">
        <f>DEGREES(ATAN(-SIN(RADIANS(('R1'!I266)))/(COS(RADIANS(Sheet1!A266))*COS(RADIANS('R1'!I266)))))</f>
        <v>0</v>
      </c>
      <c r="C266">
        <f>AVERAGE('R1'!J266,'R2'!J266,'R3'!J266)</f>
        <v>1.18</v>
      </c>
      <c r="D266">
        <f>AVERAGE('R1'!K266,'R2'!K266,'R3'!K266)</f>
        <v>22.305925416666668</v>
      </c>
      <c r="E266">
        <f>AVERAGE('R1'!L266,'R2'!L266,'R3'!L266)</f>
        <v>0.19332807971586405</v>
      </c>
      <c r="F266">
        <f>AVERAGE('R1'!M266,'R2'!M266,'R3'!M266)</f>
        <v>0.13877357991657277</v>
      </c>
      <c r="G266">
        <f>AVERAGE('R1'!N266,'R2'!N266,'R3'!N266)</f>
        <v>2.3348333942501058E-3</v>
      </c>
      <c r="H266">
        <f>AVERAGE('R1'!O266,'R2'!O266,'R3'!O266)</f>
        <v>0.8438528176052561</v>
      </c>
      <c r="I266">
        <f t="shared" si="8"/>
        <v>4386.831998611111</v>
      </c>
      <c r="K266">
        <f>_xlfn.STDEV.S('R1'!L266,'R2'!L266,'R3'!L266)</f>
        <v>2.5533804395692816E-3</v>
      </c>
      <c r="L266">
        <f>_xlfn.STDEV.S('R1'!M266,'R2'!M266,'R3'!M266)</f>
        <v>5.6955378070933683E-3</v>
      </c>
      <c r="M266">
        <f>_xlfn.STDEV.S('R1'!N266,'R2'!N266,'R3'!N266)</f>
        <v>3.1126258196100347E-3</v>
      </c>
      <c r="N266">
        <f>_xlfn.STDEV.S('R1'!O266,'R2'!O266,'R3'!O266)</f>
        <v>1.9054333610342004E-3</v>
      </c>
    </row>
    <row r="267" spans="1:14" x14ac:dyDescent="0.25">
      <c r="A267">
        <f>-'R1'!H267</f>
        <v>0</v>
      </c>
      <c r="B267">
        <f>DEGREES(ATAN(-SIN(RADIANS(('R1'!I267)))/(COS(RADIANS(Sheet1!A267))*COS(RADIANS('R1'!I267)))))</f>
        <v>-4</v>
      </c>
      <c r="C267">
        <f>AVERAGE('R1'!J267,'R2'!J267,'R3'!J267)</f>
        <v>1.18</v>
      </c>
      <c r="D267">
        <f>AVERAGE('R1'!K267,'R2'!K267,'R3'!K267)</f>
        <v>21.664909250000004</v>
      </c>
      <c r="E267">
        <f>AVERAGE('R1'!L267,'R2'!L267,'R3'!L267)</f>
        <v>-0.2715744342272719</v>
      </c>
      <c r="F267">
        <f>AVERAGE('R1'!M267,'R2'!M267,'R3'!M267)</f>
        <v>0.11858451088436867</v>
      </c>
      <c r="G267">
        <f>AVERAGE('R1'!N267,'R2'!N267,'R3'!N267)</f>
        <v>2.2564477518142606E-3</v>
      </c>
      <c r="H267">
        <f>AVERAGE('R1'!O267,'R2'!O267,'R3'!O267)</f>
        <v>0.80938926968351588</v>
      </c>
      <c r="I267">
        <f t="shared" si="8"/>
        <v>4260.7654858333344</v>
      </c>
      <c r="K267">
        <f>_xlfn.STDEV.S('R1'!L267,'R2'!L267,'R3'!L267)</f>
        <v>3.7415791245200484E-3</v>
      </c>
      <c r="L267">
        <f>_xlfn.STDEV.S('R1'!M267,'R2'!M267,'R3'!M267)</f>
        <v>5.6349228582728691E-3</v>
      </c>
      <c r="M267">
        <f>_xlfn.STDEV.S('R1'!N267,'R2'!N267,'R3'!N267)</f>
        <v>3.5989047889541095E-3</v>
      </c>
      <c r="N267">
        <f>_xlfn.STDEV.S('R1'!O267,'R2'!O267,'R3'!O267)</f>
        <v>1.1629164728988176E-2</v>
      </c>
    </row>
    <row r="268" spans="1:14" x14ac:dyDescent="0.25">
      <c r="A268">
        <f>-'R1'!H268</f>
        <v>0</v>
      </c>
      <c r="B268">
        <f>DEGREES(ATAN(-SIN(RADIANS(('R1'!I268)))/(COS(RADIANS(Sheet1!A268))*COS(RADIANS('R1'!I268)))))</f>
        <v>-7.9999999999999982</v>
      </c>
      <c r="C268">
        <f>AVERAGE('R1'!J268,'R2'!J268,'R3'!J268)</f>
        <v>1.18</v>
      </c>
      <c r="D268">
        <f>AVERAGE('R1'!K268,'R2'!K268,'R3'!K268)</f>
        <v>21.135050750000001</v>
      </c>
      <c r="E268">
        <f>AVERAGE('R1'!L268,'R2'!L268,'R3'!L268)</f>
        <v>-0.65236151398504927</v>
      </c>
      <c r="F268">
        <f>AVERAGE('R1'!M268,'R2'!M268,'R3'!M268)</f>
        <v>8.2041352997925865E-2</v>
      </c>
      <c r="G268">
        <f>AVERAGE('R1'!N268,'R2'!N268,'R3'!N268)</f>
        <v>-6.4632653493023095E-3</v>
      </c>
      <c r="H268">
        <f>AVERAGE('R1'!O268,'R2'!O268,'R3'!O268)</f>
        <v>0.62912276108374754</v>
      </c>
      <c r="I268">
        <f t="shared" si="8"/>
        <v>4156.5599808333336</v>
      </c>
      <c r="K268">
        <f>_xlfn.STDEV.S('R1'!L268,'R2'!L268,'R3'!L268)</f>
        <v>2.598515254083503E-3</v>
      </c>
      <c r="L268">
        <f>_xlfn.STDEV.S('R1'!M268,'R2'!M268,'R3'!M268)</f>
        <v>8.6926131698677519E-3</v>
      </c>
      <c r="M268">
        <f>_xlfn.STDEV.S('R1'!N268,'R2'!N268,'R3'!N268)</f>
        <v>2.9046216051500685E-3</v>
      </c>
      <c r="N268">
        <f>_xlfn.STDEV.S('R1'!O268,'R2'!O268,'R3'!O268)</f>
        <v>6.1095998900564576E-3</v>
      </c>
    </row>
    <row r="269" spans="1:14" x14ac:dyDescent="0.25">
      <c r="A269">
        <f>-'R1'!H269</f>
        <v>0</v>
      </c>
      <c r="B269">
        <f>DEGREES(ATAN(-SIN(RADIANS(('R1'!I269)))/(COS(RADIANS(Sheet1!A269))*COS(RADIANS('R1'!I269)))))</f>
        <v>-12.000000000000002</v>
      </c>
      <c r="C269">
        <f>AVERAGE('R1'!J269,'R2'!J269,'R3'!J269)</f>
        <v>1.18</v>
      </c>
      <c r="D269">
        <f>AVERAGE('R1'!K269,'R2'!K269,'R3'!K269)</f>
        <v>21.440536249999997</v>
      </c>
      <c r="E269">
        <f>AVERAGE('R1'!L269,'R2'!L269,'R3'!L269)</f>
        <v>-0.9495437083396574</v>
      </c>
      <c r="F269">
        <f>AVERAGE('R1'!M269,'R2'!M269,'R3'!M269)</f>
        <v>6.2671904690464422E-2</v>
      </c>
      <c r="G269">
        <f>AVERAGE('R1'!N269,'R2'!N269,'R3'!N269)</f>
        <v>-2.6361123413133996E-2</v>
      </c>
      <c r="H269">
        <f>AVERAGE('R1'!O269,'R2'!O269,'R3'!O269)</f>
        <v>0.46428003869286033</v>
      </c>
      <c r="I269">
        <f t="shared" si="8"/>
        <v>4216.6387958333326</v>
      </c>
      <c r="K269">
        <f>_xlfn.STDEV.S('R1'!L269,'R2'!L269,'R3'!L269)</f>
        <v>1.7817576639677561E-3</v>
      </c>
      <c r="L269">
        <f>_xlfn.STDEV.S('R1'!M269,'R2'!M269,'R3'!M269)</f>
        <v>9.5262702547389781E-3</v>
      </c>
      <c r="M269">
        <f>_xlfn.STDEV.S('R1'!N269,'R2'!N269,'R3'!N269)</f>
        <v>2.8338369118236974E-3</v>
      </c>
      <c r="N269">
        <f>_xlfn.STDEV.S('R1'!O269,'R2'!O269,'R3'!O269)</f>
        <v>1.259941988629029E-3</v>
      </c>
    </row>
    <row r="270" spans="1:14" x14ac:dyDescent="0.25">
      <c r="A270">
        <f>-'R1'!H270</f>
        <v>0</v>
      </c>
      <c r="B270">
        <f>DEGREES(ATAN(-SIN(RADIANS(('R1'!I270)))/(COS(RADIANS(Sheet1!A270))*COS(RADIANS('R1'!I270)))))</f>
        <v>-16</v>
      </c>
      <c r="C270">
        <f>AVERAGE('R1'!J270,'R2'!J270,'R3'!J270)</f>
        <v>1.18</v>
      </c>
      <c r="D270">
        <f>AVERAGE('R1'!K270,'R2'!K270,'R3'!K270)</f>
        <v>22.09135375</v>
      </c>
      <c r="E270">
        <f>AVERAGE('R1'!L270,'R2'!L270,'R3'!L270)</f>
        <v>-1.1944611760265678</v>
      </c>
      <c r="F270">
        <f>AVERAGE('R1'!M270,'R2'!M270,'R3'!M270)</f>
        <v>4.4405435217029519E-2</v>
      </c>
      <c r="G270">
        <f>AVERAGE('R1'!N270,'R2'!N270,'R3'!N270)</f>
        <v>-6.6661817438930779E-2</v>
      </c>
      <c r="H270">
        <f>AVERAGE('R1'!O270,'R2'!O270,'R3'!O270)</f>
        <v>0.31971715913425208</v>
      </c>
      <c r="I270">
        <f t="shared" si="8"/>
        <v>4344.6329041666668</v>
      </c>
      <c r="K270">
        <f>_xlfn.STDEV.S('R1'!L270,'R2'!L270,'R3'!L270)</f>
        <v>7.5048017983105823E-4</v>
      </c>
      <c r="L270">
        <f>_xlfn.STDEV.S('R1'!M270,'R2'!M270,'R3'!M270)</f>
        <v>3.1191929159203806E-3</v>
      </c>
      <c r="M270">
        <f>_xlfn.STDEV.S('R1'!N270,'R2'!N270,'R3'!N270)</f>
        <v>2.4012450190644976E-3</v>
      </c>
      <c r="N270">
        <f>_xlfn.STDEV.S('R1'!O270,'R2'!O270,'R3'!O270)</f>
        <v>2.6716917823030799E-3</v>
      </c>
    </row>
    <row r="271" spans="1:14" x14ac:dyDescent="0.25">
      <c r="A271">
        <f>-'R1'!H271</f>
        <v>0</v>
      </c>
      <c r="B271">
        <f>DEGREES(ATAN(-SIN(RADIANS(('R1'!I271)))/(COS(RADIANS(Sheet1!A271))*COS(RADIANS('R1'!I271)))))</f>
        <v>-20</v>
      </c>
      <c r="C271">
        <f>AVERAGE('R1'!J271,'R2'!J271,'R3'!J271)</f>
        <v>1.18</v>
      </c>
      <c r="D271">
        <f>AVERAGE('R1'!K271,'R2'!K271,'R3'!K271)</f>
        <v>22.603727916666667</v>
      </c>
      <c r="E271">
        <f>AVERAGE('R1'!L271,'R2'!L271,'R3'!L271)</f>
        <v>-1.4072491331802119</v>
      </c>
      <c r="F271">
        <f>AVERAGE('R1'!M271,'R2'!M271,'R3'!M271)</f>
        <v>4.4135357365630797E-2</v>
      </c>
      <c r="G271">
        <f>AVERAGE('R1'!N271,'R2'!N271,'R3'!N271)</f>
        <v>-0.13529513858904782</v>
      </c>
      <c r="H271">
        <f>AVERAGE('R1'!O271,'R2'!O271,'R3'!O271)</f>
        <v>0.20372300788307104</v>
      </c>
      <c r="I271">
        <f t="shared" si="8"/>
        <v>4445.3998236111111</v>
      </c>
      <c r="K271">
        <f>_xlfn.STDEV.S('R1'!L271,'R2'!L271,'R3'!L271)</f>
        <v>1.0846801497605293E-3</v>
      </c>
      <c r="L271">
        <f>_xlfn.STDEV.S('R1'!M271,'R2'!M271,'R3'!M271)</f>
        <v>3.2336849280828537E-3</v>
      </c>
      <c r="M271">
        <f>_xlfn.STDEV.S('R1'!N271,'R2'!N271,'R3'!N271)</f>
        <v>1.3298330972884003E-3</v>
      </c>
      <c r="N271">
        <f>_xlfn.STDEV.S('R1'!O271,'R2'!O271,'R3'!O271)</f>
        <v>2.8132410900375752E-3</v>
      </c>
    </row>
    <row r="272" spans="1:14" x14ac:dyDescent="0.25">
      <c r="A272">
        <f>-'R1'!H272</f>
        <v>0</v>
      </c>
      <c r="B272">
        <f>DEGREES(ATAN(-SIN(RADIANS(('R1'!I272)))/(COS(RADIANS(Sheet1!A272))*COS(RADIANS('R1'!I272)))))</f>
        <v>-24</v>
      </c>
      <c r="C272">
        <f>AVERAGE('R1'!J272,'R2'!J272,'R3'!J272)</f>
        <v>1.18</v>
      </c>
      <c r="D272">
        <f>AVERAGE('R1'!K272,'R2'!K272,'R3'!K272)</f>
        <v>23.160053833333336</v>
      </c>
      <c r="E272">
        <f>AVERAGE('R1'!L272,'R2'!L272,'R3'!L272)</f>
        <v>-1.5860622986110717</v>
      </c>
      <c r="F272">
        <f>AVERAGE('R1'!M272,'R2'!M272,'R3'!M272)</f>
        <v>5.6326638839515671E-2</v>
      </c>
      <c r="G272">
        <f>AVERAGE('R1'!N272,'R2'!N272,'R3'!N272)</f>
        <v>-0.22339769213821467</v>
      </c>
      <c r="H272">
        <f>AVERAGE('R1'!O272,'R2'!O272,'R3'!O272)</f>
        <v>7.188055668297634E-2</v>
      </c>
      <c r="I272">
        <f t="shared" si="8"/>
        <v>4554.8105872222222</v>
      </c>
      <c r="K272">
        <f>_xlfn.STDEV.S('R1'!L272,'R2'!L272,'R3'!L272)</f>
        <v>5.4363294727143878E-3</v>
      </c>
      <c r="L272">
        <f>_xlfn.STDEV.S('R1'!M272,'R2'!M272,'R3'!M272)</f>
        <v>3.1069312628176316E-3</v>
      </c>
      <c r="M272">
        <f>_xlfn.STDEV.S('R1'!N272,'R2'!N272,'R3'!N272)</f>
        <v>4.6228742204246732E-3</v>
      </c>
      <c r="N272">
        <f>_xlfn.STDEV.S('R1'!O272,'R2'!O272,'R3'!O272)</f>
        <v>3.7842482366818048E-3</v>
      </c>
    </row>
    <row r="273" spans="1:14" x14ac:dyDescent="0.25">
      <c r="A273">
        <f>-'R1'!H273</f>
        <v>0</v>
      </c>
      <c r="B273">
        <f>DEGREES(ATAN(-SIN(RADIANS(('R1'!I273)))/(COS(RADIANS(Sheet1!A273))*COS(RADIANS('R1'!I273)))))</f>
        <v>-28</v>
      </c>
      <c r="C273">
        <f>AVERAGE('R1'!J273,'R2'!J273,'R3'!J273)</f>
        <v>1.18</v>
      </c>
      <c r="D273">
        <f>AVERAGE('R1'!K273,'R2'!K273,'R3'!K273)</f>
        <v>23.295526333333331</v>
      </c>
      <c r="E273">
        <f>AVERAGE('R1'!L273,'R2'!L273,'R3'!L273)</f>
        <v>-1.7694908955874886</v>
      </c>
      <c r="F273">
        <f>AVERAGE('R1'!M273,'R2'!M273,'R3'!M273)</f>
        <v>7.2053497005516623E-2</v>
      </c>
      <c r="G273">
        <f>AVERAGE('R1'!N273,'R2'!N273,'R3'!N273)</f>
        <v>-0.34692160954081991</v>
      </c>
      <c r="H273">
        <f>AVERAGE('R1'!O273,'R2'!O273,'R3'!O273)</f>
        <v>-6.8777295674387839E-2</v>
      </c>
      <c r="I273">
        <f t="shared" si="8"/>
        <v>4581.4535122222223</v>
      </c>
      <c r="K273">
        <f>_xlfn.STDEV.S('R1'!L273,'R2'!L273,'R3'!L273)</f>
        <v>4.1295154840403255E-3</v>
      </c>
      <c r="L273">
        <f>_xlfn.STDEV.S('R1'!M273,'R2'!M273,'R3'!M273)</f>
        <v>2.6672836850374932E-3</v>
      </c>
      <c r="M273">
        <f>_xlfn.STDEV.S('R1'!N273,'R2'!N273,'R3'!N273)</f>
        <v>3.1858009666186921E-3</v>
      </c>
      <c r="N273">
        <f>_xlfn.STDEV.S('R1'!O273,'R2'!O273,'R3'!O273)</f>
        <v>7.5913363265205482E-4</v>
      </c>
    </row>
    <row r="274" spans="1:14" x14ac:dyDescent="0.25">
      <c r="A274">
        <f>-'R1'!H274</f>
        <v>0</v>
      </c>
      <c r="B274">
        <f>DEGREES(ATAN(-SIN(RADIANS(('R1'!I274)))/(COS(RADIANS(Sheet1!A274))*COS(RADIANS('R1'!I274)))))</f>
        <v>-32</v>
      </c>
      <c r="C274">
        <f>AVERAGE('R1'!J274,'R2'!J274,'R3'!J274)</f>
        <v>1.18</v>
      </c>
      <c r="D274">
        <f>AVERAGE('R1'!K274,'R2'!K274,'R3'!K274)</f>
        <v>23.092347416666666</v>
      </c>
      <c r="E274">
        <f>AVERAGE('R1'!L274,'R2'!L274,'R3'!L274)</f>
        <v>-2.0004348691613618</v>
      </c>
      <c r="F274">
        <f>AVERAGE('R1'!M274,'R2'!M274,'R3'!M274)</f>
        <v>7.0569202520803842E-2</v>
      </c>
      <c r="G274">
        <f>AVERAGE('R1'!N274,'R2'!N274,'R3'!N274)</f>
        <v>-0.52380941220813437</v>
      </c>
      <c r="H274">
        <f>AVERAGE('R1'!O274,'R2'!O274,'R3'!O274)</f>
        <v>-0.22301172732736216</v>
      </c>
      <c r="I274">
        <f t="shared" si="8"/>
        <v>4541.4949919444443</v>
      </c>
      <c r="K274">
        <f>_xlfn.STDEV.S('R1'!L274,'R2'!L274,'R3'!L274)</f>
        <v>9.4916067741554239E-5</v>
      </c>
      <c r="L274">
        <f>_xlfn.STDEV.S('R1'!M274,'R2'!M274,'R3'!M274)</f>
        <v>3.0876581484001594E-3</v>
      </c>
      <c r="M274">
        <f>_xlfn.STDEV.S('R1'!N274,'R2'!N274,'R3'!N274)</f>
        <v>2.3579865971500168E-3</v>
      </c>
      <c r="N274">
        <f>_xlfn.STDEV.S('R1'!O274,'R2'!O274,'R3'!O274)</f>
        <v>2.4017220444527802E-3</v>
      </c>
    </row>
    <row r="275" spans="1:14" x14ac:dyDescent="0.25">
      <c r="A275">
        <f>-'R1'!H275</f>
        <v>0</v>
      </c>
      <c r="B275">
        <f>DEGREES(ATAN(-SIN(RADIANS(('R1'!I275)))/(COS(RADIANS(Sheet1!A275))*COS(RADIANS('R1'!I275)))))</f>
        <v>-36</v>
      </c>
      <c r="C275">
        <f>AVERAGE('R1'!J275,'R2'!J275,'R3'!J275)</f>
        <v>1.18</v>
      </c>
      <c r="D275">
        <f>AVERAGE('R1'!K275,'R2'!K275,'R3'!K275)</f>
        <v>22.322880749999999</v>
      </c>
      <c r="E275">
        <f>AVERAGE('R1'!L275,'R2'!L275,'R3'!L275)</f>
        <v>-2.2864351944219075</v>
      </c>
      <c r="F275">
        <f>AVERAGE('R1'!M275,'R2'!M275,'R3'!M275)</f>
        <v>7.8518838055877394E-2</v>
      </c>
      <c r="G275">
        <f>AVERAGE('R1'!N275,'R2'!N275,'R3'!N275)</f>
        <v>-0.76820684105477888</v>
      </c>
      <c r="H275">
        <f>AVERAGE('R1'!O275,'R2'!O275,'R3'!O275)</f>
        <v>-0.40583351556753738</v>
      </c>
      <c r="I275">
        <f t="shared" si="8"/>
        <v>4390.1665475</v>
      </c>
      <c r="K275">
        <f>_xlfn.STDEV.S('R1'!L275,'R2'!L275,'R3'!L275)</f>
        <v>9.1458880712271835E-3</v>
      </c>
      <c r="L275">
        <f>_xlfn.STDEV.S('R1'!M275,'R2'!M275,'R3'!M275)</f>
        <v>1.808744140725379E-3</v>
      </c>
      <c r="M275">
        <f>_xlfn.STDEV.S('R1'!N275,'R2'!N275,'R3'!N275)</f>
        <v>4.5578595423971984E-3</v>
      </c>
      <c r="N275">
        <f>_xlfn.STDEV.S('R1'!O275,'R2'!O275,'R3'!O275)</f>
        <v>1.249234155399544E-3</v>
      </c>
    </row>
    <row r="276" spans="1:14" x14ac:dyDescent="0.25">
      <c r="A276">
        <f>-'R1'!H276</f>
        <v>0</v>
      </c>
      <c r="B276">
        <f>DEGREES(ATAN(-SIN(RADIANS(('R1'!I276)))/(COS(RADIANS(Sheet1!A276))*COS(RADIANS('R1'!I276)))))</f>
        <v>-40</v>
      </c>
      <c r="C276">
        <f>AVERAGE('R1'!J276,'R2'!J276,'R3'!J276)</f>
        <v>1.0816666666666668</v>
      </c>
      <c r="D276">
        <f>AVERAGE('R1'!K276,'R2'!K276,'R3'!K276)</f>
        <v>21.528434625000003</v>
      </c>
      <c r="E276">
        <f>AVERAGE('R1'!L276,'R2'!L276,'R3'!L276)</f>
        <v>-2.6700252496838428</v>
      </c>
      <c r="F276">
        <f>AVERAGE('R1'!M276,'R2'!M276,'R3'!M276)</f>
        <v>8.5970976740176328E-2</v>
      </c>
      <c r="G276">
        <f>AVERAGE('R1'!N276,'R2'!N276,'R3'!N276)</f>
        <v>-1.1042013467297525</v>
      </c>
      <c r="H276">
        <f>AVERAGE('R1'!O276,'R2'!O276,'R3'!O276)</f>
        <v>-0.63408876119604685</v>
      </c>
      <c r="I276">
        <f t="shared" si="8"/>
        <v>3881.0983532291675</v>
      </c>
      <c r="K276">
        <f>_xlfn.STDEV.S('R1'!L276,'R2'!L276,'R3'!L276)</f>
        <v>1.2296718964462812E-2</v>
      </c>
      <c r="L276">
        <f>_xlfn.STDEV.S('R1'!M276,'R2'!M276,'R3'!M276)</f>
        <v>4.5723312960193521E-3</v>
      </c>
      <c r="M276">
        <f>_xlfn.STDEV.S('R1'!N276,'R2'!N276,'R3'!N276)</f>
        <v>5.7727710462441989E-3</v>
      </c>
      <c r="N276">
        <f>_xlfn.STDEV.S('R1'!O276,'R2'!O276,'R3'!O276)</f>
        <v>4.6459360359431476E-3</v>
      </c>
    </row>
    <row r="277" spans="1:14" x14ac:dyDescent="0.25">
      <c r="A277">
        <f>-'R1'!H277</f>
        <v>0</v>
      </c>
      <c r="B277">
        <f>DEGREES(ATAN(-SIN(RADIANS(('R1'!I277)))/(COS(RADIANS(Sheet1!A277))*COS(RADIANS('R1'!I277)))))</f>
        <v>-44</v>
      </c>
      <c r="C277">
        <f>AVERAGE('R1'!J277,'R2'!J277,'R3'!J277)</f>
        <v>1.18</v>
      </c>
      <c r="D277">
        <f>AVERAGE('R1'!K277,'R2'!K277,'R3'!K277)</f>
        <v>21.370021833333336</v>
      </c>
      <c r="E277">
        <f>AVERAGE('R1'!L277,'R2'!L277,'R3'!L277)</f>
        <v>-3.1655475653909324</v>
      </c>
      <c r="F277">
        <f>AVERAGE('R1'!M277,'R2'!M277,'R3'!M277)</f>
        <v>0.10503737431330697</v>
      </c>
      <c r="G277">
        <f>AVERAGE('R1'!N277,'R2'!N277,'R3'!N277)</f>
        <v>-1.5497792891703384</v>
      </c>
      <c r="H277">
        <f>AVERAGE('R1'!O277,'R2'!O277,'R3'!O277)</f>
        <v>-0.92669668886939427</v>
      </c>
      <c r="I277">
        <f t="shared" si="8"/>
        <v>4202.7709605555565</v>
      </c>
      <c r="K277">
        <f>_xlfn.STDEV.S('R1'!L277,'R2'!L277,'R3'!L277)</f>
        <v>8.5117246686479964E-3</v>
      </c>
      <c r="L277">
        <f>_xlfn.STDEV.S('R1'!M277,'R2'!M277,'R3'!M277)</f>
        <v>3.8164329476035744E-3</v>
      </c>
      <c r="M277">
        <f>_xlfn.STDEV.S('R1'!N277,'R2'!N277,'R3'!N277)</f>
        <v>7.131024168484025E-3</v>
      </c>
      <c r="N277">
        <f>_xlfn.STDEV.S('R1'!O277,'R2'!O277,'R3'!O277)</f>
        <v>1.481063246009443E-3</v>
      </c>
    </row>
    <row r="278" spans="1:14" x14ac:dyDescent="0.25">
      <c r="A278">
        <f>-'R1'!H278</f>
        <v>-4</v>
      </c>
      <c r="B278">
        <f>DEGREES(ATAN(-SIN(RADIANS(('R1'!I278)))/(COS(RADIANS(Sheet1!A278))*COS(RADIANS('R1'!I278)))))</f>
        <v>44.069830293849904</v>
      </c>
      <c r="C278">
        <f>AVERAGE('R1'!J278,'R2'!J278,'R3'!J278)</f>
        <v>1.18</v>
      </c>
      <c r="D278">
        <f>AVERAGE('R1'!K278,'R2'!K278,'R3'!K278)</f>
        <v>21.881111499999999</v>
      </c>
      <c r="E278">
        <f>AVERAGE('R1'!L278,'R2'!L278,'R3'!L278)</f>
        <v>3.3291348247894472</v>
      </c>
      <c r="F278">
        <f>AVERAGE('R1'!M278,'R2'!M278,'R3'!M278)</f>
        <v>0.60482305198193964</v>
      </c>
      <c r="G278">
        <f>AVERAGE('R1'!N278,'R2'!N278,'R3'!N278)</f>
        <v>-1.8756228444540033</v>
      </c>
      <c r="H278">
        <f>AVERAGE('R1'!O278,'R2'!O278,'R3'!O278)</f>
        <v>-1.2607882492200158</v>
      </c>
      <c r="I278">
        <f t="shared" si="8"/>
        <v>4303.2852616666669</v>
      </c>
      <c r="K278">
        <f>_xlfn.STDEV.S('R1'!L278,'R2'!L278,'R3'!L278)</f>
        <v>1.8984860949691523E-2</v>
      </c>
      <c r="L278">
        <f>_xlfn.STDEV.S('R1'!M278,'R2'!M278,'R3'!M278)</f>
        <v>7.3697212745660922E-3</v>
      </c>
      <c r="M278">
        <f>_xlfn.STDEV.S('R1'!N278,'R2'!N278,'R3'!N278)</f>
        <v>1.35406272486388E-2</v>
      </c>
      <c r="N278">
        <f>_xlfn.STDEV.S('R1'!O278,'R2'!O278,'R3'!O278)</f>
        <v>7.1630893793347399E-3</v>
      </c>
    </row>
    <row r="279" spans="1:14" x14ac:dyDescent="0.25">
      <c r="A279">
        <f>-'R1'!H279</f>
        <v>-4</v>
      </c>
      <c r="B279">
        <f>DEGREES(ATAN(-SIN(RADIANS(('R1'!I279)))/(COS(RADIANS(Sheet1!A279))*COS(RADIANS('R1'!I279)))))</f>
        <v>40.068822978998547</v>
      </c>
      <c r="C279">
        <f>AVERAGE('R1'!J279,'R2'!J279,'R3'!J279)</f>
        <v>1.18</v>
      </c>
      <c r="D279">
        <f>AVERAGE('R1'!K279,'R2'!K279,'R3'!K279)</f>
        <v>22.482294499999998</v>
      </c>
      <c r="E279">
        <f>AVERAGE('R1'!L279,'R2'!L279,'R3'!L279)</f>
        <v>2.7747304752679383</v>
      </c>
      <c r="F279">
        <f>AVERAGE('R1'!M279,'R2'!M279,'R3'!M279)</f>
        <v>0.52251729688496429</v>
      </c>
      <c r="G279">
        <f>AVERAGE('R1'!N279,'R2'!N279,'R3'!N279)</f>
        <v>-1.3409510000009173</v>
      </c>
      <c r="H279">
        <f>AVERAGE('R1'!O279,'R2'!O279,'R3'!O279)</f>
        <v>-0.92585486541719331</v>
      </c>
      <c r="I279">
        <f t="shared" si="8"/>
        <v>4421.517918333333</v>
      </c>
      <c r="K279">
        <f>_xlfn.STDEV.S('R1'!L279,'R2'!L279,'R3'!L279)</f>
        <v>9.0684409904656475E-3</v>
      </c>
      <c r="L279">
        <f>_xlfn.STDEV.S('R1'!M279,'R2'!M279,'R3'!M279)</f>
        <v>3.5086574241424283E-3</v>
      </c>
      <c r="M279">
        <f>_xlfn.STDEV.S('R1'!N279,'R2'!N279,'R3'!N279)</f>
        <v>8.5953311331067751E-3</v>
      </c>
      <c r="N279">
        <f>_xlfn.STDEV.S('R1'!O279,'R2'!O279,'R3'!O279)</f>
        <v>1.4923118270699801E-3</v>
      </c>
    </row>
    <row r="280" spans="1:14" x14ac:dyDescent="0.25">
      <c r="A280">
        <f>-'R1'!H280</f>
        <v>-4</v>
      </c>
      <c r="B280">
        <f>DEGREES(ATAN(-SIN(RADIANS(('R1'!I280)))/(COS(RADIANS(Sheet1!A280))*COS(RADIANS('R1'!I280)))))</f>
        <v>36.066475262469574</v>
      </c>
      <c r="C280">
        <f>AVERAGE('R1'!J280,'R2'!J280,'R3'!J280)</f>
        <v>1.18</v>
      </c>
      <c r="D280">
        <f>AVERAGE('R1'!K280,'R2'!K280,'R3'!K280)</f>
        <v>23.00983875</v>
      </c>
      <c r="E280">
        <f>AVERAGE('R1'!L280,'R2'!L280,'R3'!L280)</f>
        <v>2.3762058675705191</v>
      </c>
      <c r="F280">
        <f>AVERAGE('R1'!M280,'R2'!M280,'R3'!M280)</f>
        <v>0.45031289104679173</v>
      </c>
      <c r="G280">
        <f>AVERAGE('R1'!N280,'R2'!N280,'R3'!N280)</f>
        <v>-0.96240617430237829</v>
      </c>
      <c r="H280">
        <f>AVERAGE('R1'!O280,'R2'!O280,'R3'!O280)</f>
        <v>-0.66284699048104712</v>
      </c>
      <c r="I280">
        <f t="shared" si="8"/>
        <v>4525.2682875</v>
      </c>
      <c r="K280">
        <f>_xlfn.STDEV.S('R1'!L280,'R2'!L280,'R3'!L280)</f>
        <v>8.1807913483334938E-3</v>
      </c>
      <c r="L280">
        <f>_xlfn.STDEV.S('R1'!M280,'R2'!M280,'R3'!M280)</f>
        <v>4.8079952947051984E-3</v>
      </c>
      <c r="M280">
        <f>_xlfn.STDEV.S('R1'!N280,'R2'!N280,'R3'!N280)</f>
        <v>7.2257427754742884E-3</v>
      </c>
      <c r="N280">
        <f>_xlfn.STDEV.S('R1'!O280,'R2'!O280,'R3'!O280)</f>
        <v>4.988701868951723E-3</v>
      </c>
    </row>
    <row r="281" spans="1:14" x14ac:dyDescent="0.25">
      <c r="A281">
        <f>-'R1'!H281</f>
        <v>-4</v>
      </c>
      <c r="B281">
        <f>DEGREES(ATAN(-SIN(RADIANS(('R1'!I281)))/(COS(RADIANS(Sheet1!A281))*COS(RADIANS('R1'!I281)))))</f>
        <v>32.062832231023428</v>
      </c>
      <c r="C281">
        <f>AVERAGE('R1'!J281,'R2'!J281,'R3'!J281)</f>
        <v>1.18</v>
      </c>
      <c r="D281">
        <f>AVERAGE('R1'!K281,'R2'!K281,'R3'!K281)</f>
        <v>23.075212250000003</v>
      </c>
      <c r="E281">
        <f>AVERAGE('R1'!L281,'R2'!L281,'R3'!L281)</f>
        <v>2.0823883333471209</v>
      </c>
      <c r="F281">
        <f>AVERAGE('R1'!M281,'R2'!M281,'R3'!M281)</f>
        <v>0.40566459259963233</v>
      </c>
      <c r="G281">
        <f>AVERAGE('R1'!N281,'R2'!N281,'R3'!N281)</f>
        <v>-0.69327930626430501</v>
      </c>
      <c r="H281">
        <f>AVERAGE('R1'!O281,'R2'!O281,'R3'!O281)</f>
        <v>-0.45483682105773821</v>
      </c>
      <c r="I281">
        <f t="shared" si="8"/>
        <v>4538.1250758333344</v>
      </c>
      <c r="K281">
        <f>_xlfn.STDEV.S('R1'!L281,'R2'!L281,'R3'!L281)</f>
        <v>1.525130483773544E-3</v>
      </c>
      <c r="L281">
        <f>_xlfn.STDEV.S('R1'!M281,'R2'!M281,'R3'!M281)</f>
        <v>3.111821356404526E-3</v>
      </c>
      <c r="M281">
        <f>_xlfn.STDEV.S('R1'!N281,'R2'!N281,'R3'!N281)</f>
        <v>1.7365095038103869E-3</v>
      </c>
      <c r="N281">
        <f>_xlfn.STDEV.S('R1'!O281,'R2'!O281,'R3'!O281)</f>
        <v>1.3772934819420188E-3</v>
      </c>
    </row>
    <row r="282" spans="1:14" x14ac:dyDescent="0.25">
      <c r="A282">
        <f>-'R1'!H282</f>
        <v>-4</v>
      </c>
      <c r="B282">
        <f>DEGREES(ATAN(-SIN(RADIANS(('R1'!I282)))/(COS(RADIANS(Sheet1!A282))*COS(RADIANS('R1'!I282)))))</f>
        <v>28.057964295258</v>
      </c>
      <c r="C282">
        <f>AVERAGE('R1'!J282,'R2'!J282,'R3'!J282)</f>
        <v>1.18</v>
      </c>
      <c r="D282">
        <f>AVERAGE('R1'!K282,'R2'!K282,'R3'!K282)</f>
        <v>23.148135499999999</v>
      </c>
      <c r="E282">
        <f>AVERAGE('R1'!L282,'R2'!L282,'R3'!L282)</f>
        <v>1.8429166974778675</v>
      </c>
      <c r="F282">
        <f>AVERAGE('R1'!M282,'R2'!M282,'R3'!M282)</f>
        <v>0.36464434322940315</v>
      </c>
      <c r="G282">
        <f>AVERAGE('R1'!N282,'R2'!N282,'R3'!N282)</f>
        <v>-0.48242224659282512</v>
      </c>
      <c r="H282">
        <f>AVERAGE('R1'!O282,'R2'!O282,'R3'!O282)</f>
        <v>-0.27794093211514603</v>
      </c>
      <c r="I282">
        <f t="shared" si="8"/>
        <v>4552.4666483333331</v>
      </c>
      <c r="K282">
        <f>_xlfn.STDEV.S('R1'!L282,'R2'!L282,'R3'!L282)</f>
        <v>7.2504768761753394E-3</v>
      </c>
      <c r="L282">
        <f>_xlfn.STDEV.S('R1'!M282,'R2'!M282,'R3'!M282)</f>
        <v>1.5902281869204159E-3</v>
      </c>
      <c r="M282">
        <f>_xlfn.STDEV.S('R1'!N282,'R2'!N282,'R3'!N282)</f>
        <v>3.9146152375026467E-3</v>
      </c>
      <c r="N282">
        <f>_xlfn.STDEV.S('R1'!O282,'R2'!O282,'R3'!O282)</f>
        <v>1.5764011550078111E-3</v>
      </c>
    </row>
    <row r="283" spans="1:14" x14ac:dyDescent="0.25">
      <c r="A283">
        <f>-'R1'!H283</f>
        <v>-4</v>
      </c>
      <c r="B283">
        <f>DEGREES(ATAN(-SIN(RADIANS(('R1'!I283)))/(COS(RADIANS(Sheet1!A283))*COS(RADIANS('R1'!I283)))))</f>
        <v>24.051965857834489</v>
      </c>
      <c r="C283">
        <f>AVERAGE('R1'!J283,'R2'!J283,'R3'!J283)</f>
        <v>1.18</v>
      </c>
      <c r="D283">
        <f>AVERAGE('R1'!K283,'R2'!K283,'R3'!K283)</f>
        <v>22.626387333333337</v>
      </c>
      <c r="E283">
        <f>AVERAGE('R1'!L283,'R2'!L283,'R3'!L283)</f>
        <v>1.6380685567715318</v>
      </c>
      <c r="F283">
        <f>AVERAGE('R1'!M283,'R2'!M283,'R3'!M283)</f>
        <v>0.34701292772198605</v>
      </c>
      <c r="G283">
        <f>AVERAGE('R1'!N283,'R2'!N283,'R3'!N283)</f>
        <v>-0.32507684350212823</v>
      </c>
      <c r="H283">
        <f>AVERAGE('R1'!O283,'R2'!O283,'R3'!O283)</f>
        <v>-0.12529558166913876</v>
      </c>
      <c r="I283">
        <f t="shared" si="8"/>
        <v>4449.8561755555565</v>
      </c>
      <c r="K283">
        <f>_xlfn.STDEV.S('R1'!L283,'R2'!L283,'R3'!L283)</f>
        <v>5.4680239407854615E-3</v>
      </c>
      <c r="L283">
        <f>_xlfn.STDEV.S('R1'!M283,'R2'!M283,'R3'!M283)</f>
        <v>5.1083760677661841E-4</v>
      </c>
      <c r="M283">
        <f>_xlfn.STDEV.S('R1'!N283,'R2'!N283,'R3'!N283)</f>
        <v>2.4282058453405889E-3</v>
      </c>
      <c r="N283">
        <f>_xlfn.STDEV.S('R1'!O283,'R2'!O283,'R3'!O283)</f>
        <v>4.8184458343370684E-3</v>
      </c>
    </row>
    <row r="284" spans="1:14" x14ac:dyDescent="0.25">
      <c r="A284">
        <f>-'R1'!H284</f>
        <v>-4</v>
      </c>
      <c r="B284">
        <f>DEGREES(ATAN(-SIN(RADIANS(('R1'!I284)))/(COS(RADIANS(Sheet1!A284))*COS(RADIANS('R1'!I284)))))</f>
        <v>20.044953503068641</v>
      </c>
      <c r="C284">
        <f>AVERAGE('R1'!J284,'R2'!J284,'R3'!J284)</f>
        <v>1.18</v>
      </c>
      <c r="D284">
        <f>AVERAGE('R1'!K284,'R2'!K284,'R3'!K284)</f>
        <v>21.851517749999999</v>
      </c>
      <c r="E284">
        <f>AVERAGE('R1'!L284,'R2'!L284,'R3'!L284)</f>
        <v>1.4432674447778637</v>
      </c>
      <c r="F284">
        <f>AVERAGE('R1'!M284,'R2'!M284,'R3'!M284)</f>
        <v>0.3405709895602505</v>
      </c>
      <c r="G284">
        <f>AVERAGE('R1'!N284,'R2'!N284,'R3'!N284)</f>
        <v>-0.20085503659701301</v>
      </c>
      <c r="H284">
        <f>AVERAGE('R1'!O284,'R2'!O284,'R3'!O284)</f>
        <v>1.5354803121659858E-2</v>
      </c>
      <c r="I284">
        <f t="shared" si="8"/>
        <v>4297.4651574999998</v>
      </c>
      <c r="K284">
        <f>_xlfn.STDEV.S('R1'!L284,'R2'!L284,'R3'!L284)</f>
        <v>5.9270605843861519E-3</v>
      </c>
      <c r="L284">
        <f>_xlfn.STDEV.S('R1'!M284,'R2'!M284,'R3'!M284)</f>
        <v>3.9506668580136794E-3</v>
      </c>
      <c r="M284">
        <f>_xlfn.STDEV.S('R1'!N284,'R2'!N284,'R3'!N284)</f>
        <v>7.9655013534572034E-4</v>
      </c>
      <c r="N284">
        <f>_xlfn.STDEV.S('R1'!O284,'R2'!O284,'R3'!O284)</f>
        <v>4.0555979262679176E-3</v>
      </c>
    </row>
    <row r="285" spans="1:14" x14ac:dyDescent="0.25">
      <c r="A285">
        <f>-'R1'!H285</f>
        <v>-4</v>
      </c>
      <c r="B285">
        <f>DEGREES(ATAN(-SIN(RADIANS(('R1'!I285)))/(COS(RADIANS(Sheet1!A285))*COS(RADIANS('R1'!I285)))))</f>
        <v>16.037063740993869</v>
      </c>
      <c r="C285">
        <f>AVERAGE('R1'!J285,'R2'!J285,'R3'!J285)</f>
        <v>1.18</v>
      </c>
      <c r="D285">
        <f>AVERAGE('R1'!K285,'R2'!K285,'R3'!K285)</f>
        <v>21.470920416666669</v>
      </c>
      <c r="E285">
        <f>AVERAGE('R1'!L285,'R2'!L285,'R3'!L285)</f>
        <v>1.2563076614584949</v>
      </c>
      <c r="F285">
        <f>AVERAGE('R1'!M285,'R2'!M285,'R3'!M285)</f>
        <v>0.34195670105023684</v>
      </c>
      <c r="G285">
        <f>AVERAGE('R1'!N285,'R2'!N285,'R3'!N285)</f>
        <v>-0.1178236038992025</v>
      </c>
      <c r="H285">
        <f>AVERAGE('R1'!O285,'R2'!O285,'R3'!O285)</f>
        <v>0.13984530642171558</v>
      </c>
      <c r="I285">
        <f t="shared" si="8"/>
        <v>4222.6143486111114</v>
      </c>
      <c r="K285">
        <f>_xlfn.STDEV.S('R1'!L285,'R2'!L285,'R3'!L285)</f>
        <v>6.0801454016388787E-3</v>
      </c>
      <c r="L285">
        <f>_xlfn.STDEV.S('R1'!M285,'R2'!M285,'R3'!M285)</f>
        <v>2.6416341243582059E-3</v>
      </c>
      <c r="M285">
        <f>_xlfn.STDEV.S('R1'!N285,'R2'!N285,'R3'!N285)</f>
        <v>3.320494426449069E-3</v>
      </c>
      <c r="N285">
        <f>_xlfn.STDEV.S('R1'!O285,'R2'!O285,'R3'!O285)</f>
        <v>1.8298859775023517E-3</v>
      </c>
    </row>
    <row r="286" spans="1:14" x14ac:dyDescent="0.25">
      <c r="A286">
        <f>-'R1'!H286</f>
        <v>-4</v>
      </c>
      <c r="B286">
        <f>DEGREES(ATAN(-SIN(RADIANS(('R1'!I286)))/(COS(RADIANS(Sheet1!A286))*COS(RADIANS('R1'!I286)))))</f>
        <v>12.028450348745874</v>
      </c>
      <c r="C286">
        <f>AVERAGE('R1'!J286,'R2'!J286,'R3'!J286)</f>
        <v>1.18</v>
      </c>
      <c r="D286">
        <f>AVERAGE('R1'!K286,'R2'!K286,'R3'!K286)</f>
        <v>21.351822500000001</v>
      </c>
      <c r="E286">
        <f>AVERAGE('R1'!L286,'R2'!L286,'R3'!L286)</f>
        <v>1.0515443080971763</v>
      </c>
      <c r="F286">
        <f>AVERAGE('R1'!M286,'R2'!M286,'R3'!M286)</f>
        <v>0.35625942148103479</v>
      </c>
      <c r="G286">
        <f>AVERAGE('R1'!N286,'R2'!N286,'R3'!N286)</f>
        <v>-6.300840512219609E-2</v>
      </c>
      <c r="H286">
        <f>AVERAGE('R1'!O286,'R2'!O286,'R3'!O286)</f>
        <v>0.26694624275205436</v>
      </c>
      <c r="I286">
        <f t="shared" si="8"/>
        <v>4199.1917583333334</v>
      </c>
      <c r="K286">
        <f>_xlfn.STDEV.S('R1'!L286,'R2'!L286,'R3'!L286)</f>
        <v>6.7884133278030149E-4</v>
      </c>
      <c r="L286">
        <f>_xlfn.STDEV.S('R1'!M286,'R2'!M286,'R3'!M286)</f>
        <v>1.8378538525573231E-3</v>
      </c>
      <c r="M286">
        <f>_xlfn.STDEV.S('R1'!N286,'R2'!N286,'R3'!N286)</f>
        <v>3.1675283728309208E-3</v>
      </c>
      <c r="N286">
        <f>_xlfn.STDEV.S('R1'!O286,'R2'!O286,'R3'!O286)</f>
        <v>2.6024840980647247E-3</v>
      </c>
    </row>
    <row r="287" spans="1:14" x14ac:dyDescent="0.25">
      <c r="A287">
        <f>-'R1'!H287</f>
        <v>-4</v>
      </c>
      <c r="B287">
        <f>DEGREES(ATAN(-SIN(RADIANS(('R1'!I287)))/(COS(RADIANS(Sheet1!A287))*COS(RADIANS('R1'!I287)))))</f>
        <v>8.0192813611150822</v>
      </c>
      <c r="C287">
        <f>AVERAGE('R1'!J287,'R2'!J287,'R3'!J287)</f>
        <v>1.18</v>
      </c>
      <c r="D287">
        <f>AVERAGE('R1'!K287,'R2'!K287,'R3'!K287)</f>
        <v>21.878607916666667</v>
      </c>
      <c r="E287">
        <f>AVERAGE('R1'!L287,'R2'!L287,'R3'!L287)</f>
        <v>0.80474672008953352</v>
      </c>
      <c r="F287">
        <f>AVERAGE('R1'!M287,'R2'!M287,'R3'!M287)</f>
        <v>0.41229373354703175</v>
      </c>
      <c r="G287">
        <f>AVERAGE('R1'!N287,'R2'!N287,'R3'!N287)</f>
        <v>-3.2442984657079559E-2</v>
      </c>
      <c r="H287">
        <f>AVERAGE('R1'!O287,'R2'!O287,'R3'!O287)</f>
        <v>0.38663484363986034</v>
      </c>
      <c r="I287">
        <f t="shared" si="8"/>
        <v>4302.7928902777776</v>
      </c>
      <c r="K287">
        <f>_xlfn.STDEV.S('R1'!L287,'R2'!L287,'R3'!L287)</f>
        <v>3.4983253164305719E-3</v>
      </c>
      <c r="L287">
        <f>_xlfn.STDEV.S('R1'!M287,'R2'!M287,'R3'!M287)</f>
        <v>3.1768187059988979E-3</v>
      </c>
      <c r="M287">
        <f>_xlfn.STDEV.S('R1'!N287,'R2'!N287,'R3'!N287)</f>
        <v>7.3160809691404679E-4</v>
      </c>
      <c r="N287">
        <f>_xlfn.STDEV.S('R1'!O287,'R2'!O287,'R3'!O287)</f>
        <v>1.0627658459645703E-3</v>
      </c>
    </row>
    <row r="288" spans="1:14" x14ac:dyDescent="0.25">
      <c r="A288">
        <f>-'R1'!H288</f>
        <v>-4</v>
      </c>
      <c r="B288">
        <f>DEGREES(ATAN(-SIN(RADIANS(('R1'!I288)))/(COS(RADIANS(Sheet1!A288))*COS(RADIANS('R1'!I288)))))</f>
        <v>4.0097357700975991</v>
      </c>
      <c r="C288">
        <f>AVERAGE('R1'!J288,'R2'!J288,'R3'!J288)</f>
        <v>1.18</v>
      </c>
      <c r="D288">
        <f>AVERAGE('R1'!K288,'R2'!K288,'R3'!K288)</f>
        <v>22.522092416666666</v>
      </c>
      <c r="E288">
        <f>AVERAGE('R1'!L288,'R2'!L288,'R3'!L288)</f>
        <v>0.51874351022555343</v>
      </c>
      <c r="F288">
        <f>AVERAGE('R1'!M288,'R2'!M288,'R3'!M288)</f>
        <v>0.50296214769097947</v>
      </c>
      <c r="G288">
        <f>AVERAGE('R1'!N288,'R2'!N288,'R3'!N288)</f>
        <v>-1.5109523195324E-2</v>
      </c>
      <c r="H288">
        <f>AVERAGE('R1'!O288,'R2'!O288,'R3'!O288)</f>
        <v>0.48965956862510945</v>
      </c>
      <c r="I288">
        <f t="shared" si="8"/>
        <v>4429.3448419444439</v>
      </c>
      <c r="K288">
        <f>_xlfn.STDEV.S('R1'!L288,'R2'!L288,'R3'!L288)</f>
        <v>7.1897767158130791E-3</v>
      </c>
      <c r="L288">
        <f>_xlfn.STDEV.S('R1'!M288,'R2'!M288,'R3'!M288)</f>
        <v>2.4134177823420928E-3</v>
      </c>
      <c r="M288">
        <f>_xlfn.STDEV.S('R1'!N288,'R2'!N288,'R3'!N288)</f>
        <v>2.2183459552756442E-3</v>
      </c>
      <c r="N288">
        <f>_xlfn.STDEV.S('R1'!O288,'R2'!O288,'R3'!O288)</f>
        <v>4.0487191980063484E-3</v>
      </c>
    </row>
    <row r="289" spans="1:14" x14ac:dyDescent="0.25">
      <c r="A289">
        <f>-'R1'!H289</f>
        <v>-4</v>
      </c>
      <c r="B289">
        <f>DEGREES(ATAN(-SIN(RADIANS(('R1'!I289)))/(COS(RADIANS(Sheet1!A289))*COS(RADIANS('R1'!I289)))))</f>
        <v>0</v>
      </c>
      <c r="C289">
        <f>AVERAGE('R1'!J289,'R2'!J289,'R3'!J289)</f>
        <v>1.18</v>
      </c>
      <c r="D289">
        <f>AVERAGE('R1'!K289,'R2'!K289,'R3'!K289)</f>
        <v>23.087873916666666</v>
      </c>
      <c r="E289">
        <f>AVERAGE('R1'!L289,'R2'!L289,'R3'!L289)</f>
        <v>0.18171633373076035</v>
      </c>
      <c r="F289">
        <f>AVERAGE('R1'!M289,'R2'!M289,'R3'!M289)</f>
        <v>0.56379077699654656</v>
      </c>
      <c r="G289">
        <f>AVERAGE('R1'!N289,'R2'!N289,'R3'!N289)</f>
        <v>-3.3339239213608183E-3</v>
      </c>
      <c r="H289">
        <f>AVERAGE('R1'!O289,'R2'!O289,'R3'!O289)</f>
        <v>0.63480094409188303</v>
      </c>
      <c r="I289">
        <f t="shared" si="8"/>
        <v>4540.6152036111116</v>
      </c>
      <c r="K289">
        <f>_xlfn.STDEV.S('R1'!L289,'R2'!L289,'R3'!L289)</f>
        <v>8.6371839605264913E-3</v>
      </c>
      <c r="L289">
        <f>_xlfn.STDEV.S('R1'!M289,'R2'!M289,'R3'!M289)</f>
        <v>7.7746907645882763E-3</v>
      </c>
      <c r="M289">
        <f>_xlfn.STDEV.S('R1'!N289,'R2'!N289,'R3'!N289)</f>
        <v>4.1390289143329578E-3</v>
      </c>
      <c r="N289">
        <f>_xlfn.STDEV.S('R1'!O289,'R2'!O289,'R3'!O289)</f>
        <v>5.4600602262421414E-3</v>
      </c>
    </row>
    <row r="290" spans="1:14" x14ac:dyDescent="0.25">
      <c r="A290">
        <f>-'R1'!H290</f>
        <v>-4</v>
      </c>
      <c r="B290">
        <f>DEGREES(ATAN(-SIN(RADIANS(('R1'!I290)))/(COS(RADIANS(Sheet1!A290))*COS(RADIANS('R1'!I290)))))</f>
        <v>-4.0097357700975991</v>
      </c>
      <c r="C290">
        <f>AVERAGE('R1'!J290,'R2'!J290,'R3'!J290)</f>
        <v>1.18</v>
      </c>
      <c r="D290">
        <f>AVERAGE('R1'!K290,'R2'!K290,'R3'!K290)</f>
        <v>23.333776083333333</v>
      </c>
      <c r="E290">
        <f>AVERAGE('R1'!L290,'R2'!L290,'R3'!L290)</f>
        <v>-0.21854800895536966</v>
      </c>
      <c r="F290">
        <f>AVERAGE('R1'!M290,'R2'!M290,'R3'!M290)</f>
        <v>0.53654400054646456</v>
      </c>
      <c r="G290">
        <f>AVERAGE('R1'!N290,'R2'!N290,'R3'!N290)</f>
        <v>-3.102533395590943E-3</v>
      </c>
      <c r="H290">
        <f>AVERAGE('R1'!O290,'R2'!O290,'R3'!O290)</f>
        <v>0.63027853974806358</v>
      </c>
      <c r="I290">
        <f t="shared" si="8"/>
        <v>4588.9759630555554</v>
      </c>
      <c r="K290">
        <f>_xlfn.STDEV.S('R1'!L290,'R2'!L290,'R3'!L290)</f>
        <v>5.1884391644504944E-3</v>
      </c>
      <c r="L290">
        <f>_xlfn.STDEV.S('R1'!M290,'R2'!M290,'R3'!M290)</f>
        <v>2.5679244832309835E-3</v>
      </c>
      <c r="M290">
        <f>_xlfn.STDEV.S('R1'!N290,'R2'!N290,'R3'!N290)</f>
        <v>9.2274259089366131E-4</v>
      </c>
      <c r="N290">
        <f>_xlfn.STDEV.S('R1'!O290,'R2'!O290,'R3'!O290)</f>
        <v>7.0579790574884841E-4</v>
      </c>
    </row>
    <row r="291" spans="1:14" x14ac:dyDescent="0.25">
      <c r="A291">
        <f>-'R1'!H291</f>
        <v>-4</v>
      </c>
      <c r="B291">
        <f>DEGREES(ATAN(-SIN(RADIANS(('R1'!I291)))/(COS(RADIANS(Sheet1!A291))*COS(RADIANS('R1'!I291)))))</f>
        <v>-8.0192813611150822</v>
      </c>
      <c r="C291">
        <f>AVERAGE('R1'!J291,'R2'!J291,'R3'!J291)</f>
        <v>1.18</v>
      </c>
      <c r="D291">
        <f>AVERAGE('R1'!K291,'R2'!K291,'R3'!K291)</f>
        <v>23.171646583333331</v>
      </c>
      <c r="E291">
        <f>AVERAGE('R1'!L291,'R2'!L291,'R3'!L291)</f>
        <v>-0.56483795269856907</v>
      </c>
      <c r="F291">
        <f>AVERAGE('R1'!M291,'R2'!M291,'R3'!M291)</f>
        <v>0.45717143620404133</v>
      </c>
      <c r="G291">
        <f>AVERAGE('R1'!N291,'R2'!N291,'R3'!N291)</f>
        <v>-8.655895428564115E-3</v>
      </c>
      <c r="H291">
        <f>AVERAGE('R1'!O291,'R2'!O291,'R3'!O291)</f>
        <v>0.48734064978893538</v>
      </c>
      <c r="I291">
        <f t="shared" si="8"/>
        <v>4557.0904947222225</v>
      </c>
      <c r="K291">
        <f>_xlfn.STDEV.S('R1'!L291,'R2'!L291,'R3'!L291)</f>
        <v>4.8781330596673134E-3</v>
      </c>
      <c r="L291">
        <f>_xlfn.STDEV.S('R1'!M291,'R2'!M291,'R3'!M291)</f>
        <v>1.3943926694009994E-3</v>
      </c>
      <c r="M291">
        <f>_xlfn.STDEV.S('R1'!N291,'R2'!N291,'R3'!N291)</f>
        <v>4.7518685140621479E-4</v>
      </c>
      <c r="N291">
        <f>_xlfn.STDEV.S('R1'!O291,'R2'!O291,'R3'!O291)</f>
        <v>3.3838885485382186E-3</v>
      </c>
    </row>
    <row r="292" spans="1:14" x14ac:dyDescent="0.25">
      <c r="A292">
        <f>-'R1'!H292</f>
        <v>-4</v>
      </c>
      <c r="B292">
        <f>DEGREES(ATAN(-SIN(RADIANS(('R1'!I292)))/(COS(RADIANS(Sheet1!A292))*COS(RADIANS('R1'!I292)))))</f>
        <v>-12.028450348745874</v>
      </c>
      <c r="C292">
        <f>AVERAGE('R1'!J292,'R2'!J292,'R3'!J292)</f>
        <v>1.18</v>
      </c>
      <c r="D292">
        <f>AVERAGE('R1'!K292,'R2'!K292,'R3'!K292)</f>
        <v>22.408087499999997</v>
      </c>
      <c r="E292">
        <f>AVERAGE('R1'!L292,'R2'!L292,'R3'!L292)</f>
        <v>-0.86016875943812632</v>
      </c>
      <c r="F292">
        <f>AVERAGE('R1'!M292,'R2'!M292,'R3'!M292)</f>
        <v>0.38002674986643575</v>
      </c>
      <c r="G292">
        <f>AVERAGE('R1'!N292,'R2'!N292,'R3'!N292)</f>
        <v>-3.6307958787137905E-2</v>
      </c>
      <c r="H292">
        <f>AVERAGE('R1'!O292,'R2'!O292,'R3'!O292)</f>
        <v>0.37815335416600626</v>
      </c>
      <c r="I292">
        <f t="shared" si="8"/>
        <v>4406.9238749999995</v>
      </c>
      <c r="K292">
        <f>_xlfn.STDEV.S('R1'!L292,'R2'!L292,'R3'!L292)</f>
        <v>1.9944568458968547E-3</v>
      </c>
      <c r="L292">
        <f>_xlfn.STDEV.S('R1'!M292,'R2'!M292,'R3'!M292)</f>
        <v>3.7062883859501354E-3</v>
      </c>
      <c r="M292">
        <f>_xlfn.STDEV.S('R1'!N292,'R2'!N292,'R3'!N292)</f>
        <v>2.06407267284255E-3</v>
      </c>
      <c r="N292">
        <f>_xlfn.STDEV.S('R1'!O292,'R2'!O292,'R3'!O292)</f>
        <v>3.8246686168743331E-3</v>
      </c>
    </row>
    <row r="293" spans="1:14" x14ac:dyDescent="0.25">
      <c r="A293">
        <f>-'R1'!H293</f>
        <v>-4</v>
      </c>
      <c r="B293">
        <f>DEGREES(ATAN(-SIN(RADIANS(('R1'!I293)))/(COS(RADIANS(Sheet1!A293))*COS(RADIANS('R1'!I293)))))</f>
        <v>-16.037063740993869</v>
      </c>
      <c r="C293">
        <f>AVERAGE('R1'!J293,'R2'!J293,'R3'!J293)</f>
        <v>1.18</v>
      </c>
      <c r="D293">
        <f>AVERAGE('R1'!K293,'R2'!K293,'R3'!K293)</f>
        <v>21.687955833333334</v>
      </c>
      <c r="E293">
        <f>AVERAGE('R1'!L293,'R2'!L293,'R3'!L293)</f>
        <v>-1.0996309522495533</v>
      </c>
      <c r="F293">
        <f>AVERAGE('R1'!M293,'R2'!M293,'R3'!M293)</f>
        <v>0.33899523542525739</v>
      </c>
      <c r="G293">
        <f>AVERAGE('R1'!N293,'R2'!N293,'R3'!N293)</f>
        <v>-7.3614822856306064E-2</v>
      </c>
      <c r="H293">
        <f>AVERAGE('R1'!O293,'R2'!O293,'R3'!O293)</f>
        <v>0.25234741307580749</v>
      </c>
      <c r="I293">
        <f t="shared" si="8"/>
        <v>4265.297980555556</v>
      </c>
      <c r="K293">
        <f>_xlfn.STDEV.S('R1'!L293,'R2'!L293,'R3'!L293)</f>
        <v>7.743185566719637E-3</v>
      </c>
      <c r="L293">
        <f>_xlfn.STDEV.S('R1'!M293,'R2'!M293,'R3'!M293)</f>
        <v>4.186245516799387E-3</v>
      </c>
      <c r="M293">
        <f>_xlfn.STDEV.S('R1'!N293,'R2'!N293,'R3'!N293)</f>
        <v>3.9224698375432947E-3</v>
      </c>
      <c r="N293">
        <f>_xlfn.STDEV.S('R1'!O293,'R2'!O293,'R3'!O293)</f>
        <v>2.4791101301141847E-3</v>
      </c>
    </row>
    <row r="294" spans="1:14" x14ac:dyDescent="0.25">
      <c r="A294">
        <f>-'R1'!H294</f>
        <v>-4</v>
      </c>
      <c r="B294">
        <f>DEGREES(ATAN(-SIN(RADIANS(('R1'!I294)))/(COS(RADIANS(Sheet1!A294))*COS(RADIANS('R1'!I294)))))</f>
        <v>-20.044953503068641</v>
      </c>
      <c r="C294">
        <f>AVERAGE('R1'!J294,'R2'!J294,'R3'!J294)</f>
        <v>1.18</v>
      </c>
      <c r="D294">
        <f>AVERAGE('R1'!K294,'R2'!K294,'R3'!K294)</f>
        <v>21.432722000000002</v>
      </c>
      <c r="E294">
        <f>AVERAGE('R1'!L294,'R2'!L294,'R3'!L294)</f>
        <v>-1.3225395389968513</v>
      </c>
      <c r="F294">
        <f>AVERAGE('R1'!M294,'R2'!M294,'R3'!M294)</f>
        <v>0.30569008503222256</v>
      </c>
      <c r="G294">
        <f>AVERAGE('R1'!N294,'R2'!N294,'R3'!N294)</f>
        <v>-0.14253638638699226</v>
      </c>
      <c r="H294">
        <f>AVERAGE('R1'!O294,'R2'!O294,'R3'!O294)</f>
        <v>0.14863865396039919</v>
      </c>
      <c r="I294">
        <f t="shared" si="8"/>
        <v>4215.1019933333328</v>
      </c>
      <c r="K294">
        <f>_xlfn.STDEV.S('R1'!L294,'R2'!L294,'R3'!L294)</f>
        <v>5.2013855532185268E-3</v>
      </c>
      <c r="L294">
        <f>_xlfn.STDEV.S('R1'!M294,'R2'!M294,'R3'!M294)</f>
        <v>6.1101214158681763E-3</v>
      </c>
      <c r="M294">
        <f>_xlfn.STDEV.S('R1'!N294,'R2'!N294,'R3'!N294)</f>
        <v>2.4653151363289664E-3</v>
      </c>
      <c r="N294">
        <f>_xlfn.STDEV.S('R1'!O294,'R2'!O294,'R3'!O294)</f>
        <v>5.4117142823540266E-4</v>
      </c>
    </row>
    <row r="295" spans="1:14" x14ac:dyDescent="0.25">
      <c r="A295">
        <f>-'R1'!H295</f>
        <v>-4</v>
      </c>
      <c r="B295">
        <f>DEGREES(ATAN(-SIN(RADIANS(('R1'!I295)))/(COS(RADIANS(Sheet1!A295))*COS(RADIANS('R1'!I295)))))</f>
        <v>-24.051965857834489</v>
      </c>
      <c r="C295">
        <f>AVERAGE('R1'!J295,'R2'!J295,'R3'!J295)</f>
        <v>1.18</v>
      </c>
      <c r="D295">
        <f>AVERAGE('R1'!K295,'R2'!K295,'R3'!K295)</f>
        <v>21.476772499999999</v>
      </c>
      <c r="E295">
        <f>AVERAGE('R1'!L295,'R2'!L295,'R3'!L295)</f>
        <v>-1.4993054115979991</v>
      </c>
      <c r="F295">
        <f>AVERAGE('R1'!M295,'R2'!M295,'R3'!M295)</f>
        <v>0.30532501783722887</v>
      </c>
      <c r="G295">
        <f>AVERAGE('R1'!N295,'R2'!N295,'R3'!N295)</f>
        <v>-0.22660561435596946</v>
      </c>
      <c r="H295">
        <f>AVERAGE('R1'!O295,'R2'!O295,'R3'!O295)</f>
        <v>2.0950284869187166E-2</v>
      </c>
      <c r="I295">
        <f t="shared" si="8"/>
        <v>4223.7652583333329</v>
      </c>
      <c r="K295">
        <f>_xlfn.STDEV.S('R1'!L295,'R2'!L295,'R3'!L295)</f>
        <v>2.1676761089506266E-3</v>
      </c>
      <c r="L295">
        <f>_xlfn.STDEV.S('R1'!M295,'R2'!M295,'R3'!M295)</f>
        <v>4.6923241183599732E-3</v>
      </c>
      <c r="M295">
        <f>_xlfn.STDEV.S('R1'!N295,'R2'!N295,'R3'!N295)</f>
        <v>2.361614484013611E-3</v>
      </c>
      <c r="N295">
        <f>_xlfn.STDEV.S('R1'!O295,'R2'!O295,'R3'!O295)</f>
        <v>3.6781500859056414E-3</v>
      </c>
    </row>
    <row r="296" spans="1:14" x14ac:dyDescent="0.25">
      <c r="A296">
        <f>-'R1'!H296</f>
        <v>-4</v>
      </c>
      <c r="B296">
        <f>DEGREES(ATAN(-SIN(RADIANS(('R1'!I296)))/(COS(RADIANS(Sheet1!A296))*COS(RADIANS('R1'!I296)))))</f>
        <v>-28.057964295258</v>
      </c>
      <c r="C296">
        <f>AVERAGE('R1'!J296,'R2'!J296,'R3'!J296)</f>
        <v>1.18</v>
      </c>
      <c r="D296">
        <f>AVERAGE('R1'!K296,'R2'!K296,'R3'!K296)</f>
        <v>22.159000750000001</v>
      </c>
      <c r="E296">
        <f>AVERAGE('R1'!L296,'R2'!L296,'R3'!L296)</f>
        <v>-1.6685691308280302</v>
      </c>
      <c r="F296">
        <f>AVERAGE('R1'!M296,'R2'!M296,'R3'!M296)</f>
        <v>0.33065737536238771</v>
      </c>
      <c r="G296">
        <f>AVERAGE('R1'!N296,'R2'!N296,'R3'!N296)</f>
        <v>-0.34388856026967707</v>
      </c>
      <c r="H296">
        <f>AVERAGE('R1'!O296,'R2'!O296,'R3'!O296)</f>
        <v>-0.12010240187426457</v>
      </c>
      <c r="I296">
        <f t="shared" si="8"/>
        <v>4357.9368141666673</v>
      </c>
      <c r="K296">
        <f>_xlfn.STDEV.S('R1'!L296,'R2'!L296,'R3'!L296)</f>
        <v>5.3416786111792876E-3</v>
      </c>
      <c r="L296">
        <f>_xlfn.STDEV.S('R1'!M296,'R2'!M296,'R3'!M296)</f>
        <v>5.1081350278650208E-3</v>
      </c>
      <c r="M296">
        <f>_xlfn.STDEV.S('R1'!N296,'R2'!N296,'R3'!N296)</f>
        <v>2.4651230498519694E-3</v>
      </c>
      <c r="N296">
        <f>_xlfn.STDEV.S('R1'!O296,'R2'!O296,'R3'!O296)</f>
        <v>2.4159096021191401E-3</v>
      </c>
    </row>
    <row r="297" spans="1:14" x14ac:dyDescent="0.25">
      <c r="A297">
        <f>-'R1'!H297</f>
        <v>-4</v>
      </c>
      <c r="B297">
        <f>DEGREES(ATAN(-SIN(RADIANS(('R1'!I297)))/(COS(RADIANS(Sheet1!A297))*COS(RADIANS('R1'!I297)))))</f>
        <v>-32.062832231023428</v>
      </c>
      <c r="C297">
        <f>AVERAGE('R1'!J297,'R2'!J297,'R3'!J297)</f>
        <v>1.18</v>
      </c>
      <c r="D297">
        <f>AVERAGE('R1'!K297,'R2'!K297,'R3'!K297)</f>
        <v>22.733209583333334</v>
      </c>
      <c r="E297">
        <f>AVERAGE('R1'!L297,'R2'!L297,'R3'!L297)</f>
        <v>-1.8561117090271946</v>
      </c>
      <c r="F297">
        <f>AVERAGE('R1'!M297,'R2'!M297,'R3'!M297)</f>
        <v>0.35827918971055128</v>
      </c>
      <c r="G297">
        <f>AVERAGE('R1'!N297,'R2'!N297,'R3'!N297)</f>
        <v>-0.49520474924024294</v>
      </c>
      <c r="H297">
        <f>AVERAGE('R1'!O297,'R2'!O297,'R3'!O297)</f>
        <v>-0.2766428665066169</v>
      </c>
      <c r="I297">
        <f t="shared" si="8"/>
        <v>4470.8645513888887</v>
      </c>
      <c r="K297">
        <f>_xlfn.STDEV.S('R1'!L297,'R2'!L297,'R3'!L297)</f>
        <v>8.7437100097833825E-3</v>
      </c>
      <c r="L297">
        <f>_xlfn.STDEV.S('R1'!M297,'R2'!M297,'R3'!M297)</f>
        <v>7.6160368063106368E-3</v>
      </c>
      <c r="M297">
        <f>_xlfn.STDEV.S('R1'!N297,'R2'!N297,'R3'!N297)</f>
        <v>7.7335651587971182E-3</v>
      </c>
      <c r="N297">
        <f>_xlfn.STDEV.S('R1'!O297,'R2'!O297,'R3'!O297)</f>
        <v>2.9343566814208676E-3</v>
      </c>
    </row>
    <row r="298" spans="1:14" x14ac:dyDescent="0.25">
      <c r="A298">
        <f>-'R1'!H298</f>
        <v>-4</v>
      </c>
      <c r="B298">
        <f>DEGREES(ATAN(-SIN(RADIANS(('R1'!I298)))/(COS(RADIANS(Sheet1!A298))*COS(RADIANS('R1'!I298)))))</f>
        <v>-36.066475262469574</v>
      </c>
      <c r="C298">
        <f>AVERAGE('R1'!J298,'R2'!J298,'R3'!J298)</f>
        <v>1.18</v>
      </c>
      <c r="D298">
        <f>AVERAGE('R1'!K298,'R2'!K298,'R3'!K298)</f>
        <v>23.253851749999995</v>
      </c>
      <c r="E298">
        <f>AVERAGE('R1'!L298,'R2'!L298,'R3'!L298)</f>
        <v>-2.0863641763336793</v>
      </c>
      <c r="F298">
        <f>AVERAGE('R1'!M298,'R2'!M298,'R3'!M298)</f>
        <v>0.40236458413035342</v>
      </c>
      <c r="G298">
        <f>AVERAGE('R1'!N298,'R2'!N298,'R3'!N298)</f>
        <v>-0.7023393609132641</v>
      </c>
      <c r="H298">
        <f>AVERAGE('R1'!O298,'R2'!O298,'R3'!O298)</f>
        <v>-0.45538322817837118</v>
      </c>
      <c r="I298">
        <f t="shared" si="8"/>
        <v>4573.2575108333322</v>
      </c>
      <c r="K298">
        <f>_xlfn.STDEV.S('R1'!L298,'R2'!L298,'R3'!L298)</f>
        <v>1.9487307986696054E-3</v>
      </c>
      <c r="L298">
        <f>_xlfn.STDEV.S('R1'!M298,'R2'!M298,'R3'!M298)</f>
        <v>5.7401075679335573E-3</v>
      </c>
      <c r="M298">
        <f>_xlfn.STDEV.S('R1'!N298,'R2'!N298,'R3'!N298)</f>
        <v>2.3823478362342224E-3</v>
      </c>
      <c r="N298">
        <f>_xlfn.STDEV.S('R1'!O298,'R2'!O298,'R3'!O298)</f>
        <v>2.0193740456426164E-3</v>
      </c>
    </row>
    <row r="299" spans="1:14" x14ac:dyDescent="0.25">
      <c r="A299">
        <f>-'R1'!H299</f>
        <v>-4</v>
      </c>
      <c r="B299">
        <f>DEGREES(ATAN(-SIN(RADIANS(('R1'!I299)))/(COS(RADIANS(Sheet1!A299))*COS(RADIANS('R1'!I299)))))</f>
        <v>-40.068822978998547</v>
      </c>
      <c r="C299">
        <f>AVERAGE('R1'!J299,'R2'!J299,'R3'!J299)</f>
        <v>1.18</v>
      </c>
      <c r="D299">
        <f>AVERAGE('R1'!K299,'R2'!K299,'R3'!K299)</f>
        <v>23.244855416666667</v>
      </c>
      <c r="E299">
        <f>AVERAGE('R1'!L299,'R2'!L299,'R3'!L299)</f>
        <v>-2.3997052980840206</v>
      </c>
      <c r="F299">
        <f>AVERAGE('R1'!M299,'R2'!M299,'R3'!M299)</f>
        <v>0.45228222953966019</v>
      </c>
      <c r="G299">
        <f>AVERAGE('R1'!N299,'R2'!N299,'R3'!N299)</f>
        <v>-0.99201469408730825</v>
      </c>
      <c r="H299">
        <f>AVERAGE('R1'!O299,'R2'!O299,'R3'!O299)</f>
        <v>-0.66995653307365721</v>
      </c>
      <c r="I299">
        <f t="shared" si="8"/>
        <v>4571.4882319444441</v>
      </c>
      <c r="K299">
        <f>_xlfn.STDEV.S('R1'!L299,'R2'!L299,'R3'!L299)</f>
        <v>6.0031600286017221E-3</v>
      </c>
      <c r="L299">
        <f>_xlfn.STDEV.S('R1'!M299,'R2'!M299,'R3'!M299)</f>
        <v>5.2310095349409362E-3</v>
      </c>
      <c r="M299">
        <f>_xlfn.STDEV.S('R1'!N299,'R2'!N299,'R3'!N299)</f>
        <v>5.6585968264780302E-3</v>
      </c>
      <c r="N299">
        <f>_xlfn.STDEV.S('R1'!O299,'R2'!O299,'R3'!O299)</f>
        <v>1.920485151280026E-3</v>
      </c>
    </row>
    <row r="300" spans="1:14" x14ac:dyDescent="0.25">
      <c r="A300">
        <f>-'R1'!H300</f>
        <v>-4</v>
      </c>
      <c r="B300">
        <f>DEGREES(ATAN(-SIN(RADIANS(('R1'!I300)))/(COS(RADIANS(Sheet1!A300))*COS(RADIANS('R1'!I300)))))</f>
        <v>-44.069830293849904</v>
      </c>
      <c r="C300">
        <f>AVERAGE('R1'!J300,'R2'!J300,'R3'!J300)</f>
        <v>1.18</v>
      </c>
      <c r="D300">
        <f>AVERAGE('R1'!K300,'R2'!K300,'R3'!K300)</f>
        <v>23.013364333333332</v>
      </c>
      <c r="E300">
        <f>AVERAGE('R1'!L300,'R2'!L300,'R3'!L300)</f>
        <v>-2.7932455458262577</v>
      </c>
      <c r="F300">
        <f>AVERAGE('R1'!M300,'R2'!M300,'R3'!M300)</f>
        <v>0.51446547836997303</v>
      </c>
      <c r="G300">
        <f>AVERAGE('R1'!N300,'R2'!N300,'R3'!N300)</f>
        <v>-1.3663106531271305</v>
      </c>
      <c r="H300">
        <f>AVERAGE('R1'!O300,'R2'!O300,'R3'!O300)</f>
        <v>-0.92711761322699182</v>
      </c>
      <c r="I300">
        <f t="shared" si="8"/>
        <v>4525.9616522222223</v>
      </c>
      <c r="K300">
        <f>_xlfn.STDEV.S('R1'!L300,'R2'!L300,'R3'!L300)</f>
        <v>9.1802482637758278E-3</v>
      </c>
      <c r="L300">
        <f>_xlfn.STDEV.S('R1'!M300,'R2'!M300,'R3'!M300)</f>
        <v>6.316268034841384E-3</v>
      </c>
      <c r="M300">
        <f>_xlfn.STDEV.S('R1'!N300,'R2'!N300,'R3'!N300)</f>
        <v>1.0342498183822381E-2</v>
      </c>
      <c r="N300">
        <f>_xlfn.STDEV.S('R1'!O300,'R2'!O300,'R3'!O300)</f>
        <v>1.6188939412979523E-3</v>
      </c>
    </row>
    <row r="301" spans="1:14" x14ac:dyDescent="0.25">
      <c r="A301">
        <f>-'R1'!H301</f>
        <v>-8</v>
      </c>
      <c r="B301">
        <f>DEGREES(ATAN(-SIN(RADIANS(('R1'!I301)))/(COS(RADIANS(Sheet1!A301))*COS(RADIANS('R1'!I301)))))</f>
        <v>44.280037446618948</v>
      </c>
      <c r="C301">
        <f>AVERAGE('R1'!J301,'R2'!J301,'R3'!J301)</f>
        <v>1.18</v>
      </c>
      <c r="D301">
        <f>AVERAGE('R1'!K301,'R2'!K301,'R3'!K301)</f>
        <v>21.900962250000003</v>
      </c>
      <c r="E301">
        <f>AVERAGE('R1'!L301,'R2'!L301,'R3'!L301)</f>
        <v>2.9259994534741813</v>
      </c>
      <c r="F301">
        <f>AVERAGE('R1'!M301,'R2'!M301,'R3'!M301)</f>
        <v>0.98568196393231977</v>
      </c>
      <c r="G301">
        <f>AVERAGE('R1'!N301,'R2'!N301,'R3'!N301)</f>
        <v>-1.6642587771394197</v>
      </c>
      <c r="H301">
        <f>AVERAGE('R1'!O301,'R2'!O301,'R3'!O301)</f>
        <v>-1.222620889646197</v>
      </c>
      <c r="I301">
        <f t="shared" si="8"/>
        <v>4307.1892425000005</v>
      </c>
      <c r="K301">
        <f>_xlfn.STDEV.S('R1'!L301,'R2'!L301,'R3'!L301)</f>
        <v>7.917438920932815E-3</v>
      </c>
      <c r="L301">
        <f>_xlfn.STDEV.S('R1'!M301,'R2'!M301,'R3'!M301)</f>
        <v>4.067277614925831E-3</v>
      </c>
      <c r="M301">
        <f>_xlfn.STDEV.S('R1'!N301,'R2'!N301,'R3'!N301)</f>
        <v>8.1466240916809023E-3</v>
      </c>
      <c r="N301">
        <f>_xlfn.STDEV.S('R1'!O301,'R2'!O301,'R3'!O301)</f>
        <v>2.7704698742354022E-3</v>
      </c>
    </row>
    <row r="302" spans="1:14" x14ac:dyDescent="0.25">
      <c r="A302">
        <f>-'R1'!H302</f>
        <v>-8</v>
      </c>
      <c r="B302">
        <f>DEGREES(ATAN(-SIN(RADIANS(('R1'!I302)))/(COS(RADIANS(Sheet1!A302))*COS(RADIANS('R1'!I302)))))</f>
        <v>40.276138588852518</v>
      </c>
      <c r="C302">
        <f>AVERAGE('R1'!J302,'R2'!J302,'R3'!J302)</f>
        <v>1.18</v>
      </c>
      <c r="D302">
        <f>AVERAGE('R1'!K302,'R2'!K302,'R3'!K302)</f>
        <v>21.53969591666667</v>
      </c>
      <c r="E302">
        <f>AVERAGE('R1'!L302,'R2'!L302,'R3'!L302)</f>
        <v>2.4897379851585906</v>
      </c>
      <c r="F302">
        <f>AVERAGE('R1'!M302,'R2'!M302,'R3'!M302)</f>
        <v>0.84634300607253243</v>
      </c>
      <c r="G302">
        <f>AVERAGE('R1'!N302,'R2'!N302,'R3'!N302)</f>
        <v>-1.2137857952996864</v>
      </c>
      <c r="H302">
        <f>AVERAGE('R1'!O302,'R2'!O302,'R3'!O302)</f>
        <v>-0.92347278039197322</v>
      </c>
      <c r="I302">
        <f t="shared" si="8"/>
        <v>4236.1401969444451</v>
      </c>
      <c r="K302">
        <f>_xlfn.STDEV.S('R1'!L302,'R2'!L302,'R3'!L302)</f>
        <v>6.7284057470508455E-3</v>
      </c>
      <c r="L302">
        <f>_xlfn.STDEV.S('R1'!M302,'R2'!M302,'R3'!M302)</f>
        <v>9.0171281798801688E-4</v>
      </c>
      <c r="M302">
        <f>_xlfn.STDEV.S('R1'!N302,'R2'!N302,'R3'!N302)</f>
        <v>5.1783594206060313E-3</v>
      </c>
      <c r="N302">
        <f>_xlfn.STDEV.S('R1'!O302,'R2'!O302,'R3'!O302)</f>
        <v>2.631968334319348E-3</v>
      </c>
    </row>
    <row r="303" spans="1:14" x14ac:dyDescent="0.25">
      <c r="A303">
        <f>-'R1'!H303</f>
        <v>-8</v>
      </c>
      <c r="B303">
        <f>DEGREES(ATAN(-SIN(RADIANS(('R1'!I303)))/(COS(RADIANS(Sheet1!A303))*COS(RADIANS('R1'!I303)))))</f>
        <v>36.2668517150396</v>
      </c>
      <c r="C303">
        <f>AVERAGE('R1'!J303,'R2'!J303,'R3'!J303)</f>
        <v>1.18</v>
      </c>
      <c r="D303">
        <f>AVERAGE('R1'!K303,'R2'!K303,'R3'!K303)</f>
        <v>21.369284333333336</v>
      </c>
      <c r="E303">
        <f>AVERAGE('R1'!L303,'R2'!L303,'R3'!L303)</f>
        <v>2.1949291434892051</v>
      </c>
      <c r="F303">
        <f>AVERAGE('R1'!M303,'R2'!M303,'R3'!M303)</f>
        <v>0.75029836907492664</v>
      </c>
      <c r="G303">
        <f>AVERAGE('R1'!N303,'R2'!N303,'R3'!N303)</f>
        <v>-0.90795680193035366</v>
      </c>
      <c r="H303">
        <f>AVERAGE('R1'!O303,'R2'!O303,'R3'!O303)</f>
        <v>-0.69728683728475416</v>
      </c>
      <c r="I303">
        <f t="shared" si="8"/>
        <v>4202.6259188888898</v>
      </c>
      <c r="K303">
        <f>_xlfn.STDEV.S('R1'!L303,'R2'!L303,'R3'!L303)</f>
        <v>3.4694637038940354E-3</v>
      </c>
      <c r="L303">
        <f>_xlfn.STDEV.S('R1'!M303,'R2'!M303,'R3'!M303)</f>
        <v>3.8949166582780063E-3</v>
      </c>
      <c r="M303">
        <f>_xlfn.STDEV.S('R1'!N303,'R2'!N303,'R3'!N303)</f>
        <v>2.7824142632316682E-3</v>
      </c>
      <c r="N303">
        <f>_xlfn.STDEV.S('R1'!O303,'R2'!O303,'R3'!O303)</f>
        <v>6.5649235955027242E-4</v>
      </c>
    </row>
    <row r="304" spans="1:14" x14ac:dyDescent="0.25">
      <c r="A304">
        <f>-'R1'!H304</f>
        <v>-8</v>
      </c>
      <c r="B304">
        <f>DEGREES(ATAN(-SIN(RADIANS(('R1'!I304)))/(COS(RADIANS(Sheet1!A304))*COS(RADIANS('R1'!I304)))))</f>
        <v>32.252347723135095</v>
      </c>
      <c r="C304">
        <f>AVERAGE('R1'!J304,'R2'!J304,'R3'!J304)</f>
        <v>1.18</v>
      </c>
      <c r="D304">
        <f>AVERAGE('R1'!K304,'R2'!K304,'R3'!K304)</f>
        <v>21.692139249999997</v>
      </c>
      <c r="E304">
        <f>AVERAGE('R1'!L304,'R2'!L304,'R3'!L304)</f>
        <v>1.9649591693925614</v>
      </c>
      <c r="F304">
        <f>AVERAGE('R1'!M304,'R2'!M304,'R3'!M304)</f>
        <v>0.67865695550382465</v>
      </c>
      <c r="G304">
        <f>AVERAGE('R1'!N304,'R2'!N304,'R3'!N304)</f>
        <v>-0.67793960225468053</v>
      </c>
      <c r="H304">
        <f>AVERAGE('R1'!O304,'R2'!O304,'R3'!O304)</f>
        <v>-0.5079517557162293</v>
      </c>
      <c r="I304">
        <f t="shared" si="8"/>
        <v>4266.1207191666654</v>
      </c>
      <c r="K304">
        <f>_xlfn.STDEV.S('R1'!L304,'R2'!L304,'R3'!L304)</f>
        <v>1.7279282997203738E-3</v>
      </c>
      <c r="L304">
        <f>_xlfn.STDEV.S('R1'!M304,'R2'!M304,'R3'!M304)</f>
        <v>3.2817466683599818E-3</v>
      </c>
      <c r="M304">
        <f>_xlfn.STDEV.S('R1'!N304,'R2'!N304,'R3'!N304)</f>
        <v>2.0447039477946099E-3</v>
      </c>
      <c r="N304">
        <f>_xlfn.STDEV.S('R1'!O304,'R2'!O304,'R3'!O304)</f>
        <v>2.1315812376488392E-4</v>
      </c>
    </row>
    <row r="305" spans="1:14" x14ac:dyDescent="0.25">
      <c r="A305">
        <f>-'R1'!H305</f>
        <v>-8</v>
      </c>
      <c r="B305">
        <f>DEGREES(ATAN(-SIN(RADIANS(('R1'!I305)))/(COS(RADIANS(Sheet1!A305))*COS(RADIANS('R1'!I305)))))</f>
        <v>28.23290083045832</v>
      </c>
      <c r="C305">
        <f>AVERAGE('R1'!J305,'R2'!J305,'R3'!J305)</f>
        <v>1.18</v>
      </c>
      <c r="D305">
        <f>AVERAGE('R1'!K305,'R2'!K305,'R3'!K305)</f>
        <v>22.377459833333333</v>
      </c>
      <c r="E305">
        <f>AVERAGE('R1'!L305,'R2'!L305,'R3'!L305)</f>
        <v>1.749696344203638</v>
      </c>
      <c r="F305">
        <f>AVERAGE('R1'!M305,'R2'!M305,'R3'!M305)</f>
        <v>0.61859624567071747</v>
      </c>
      <c r="G305">
        <f>AVERAGE('R1'!N305,'R2'!N305,'R3'!N305)</f>
        <v>-0.4873700082586418</v>
      </c>
      <c r="H305">
        <f>AVERAGE('R1'!O305,'R2'!O305,'R3'!O305)</f>
        <v>-0.33655700838050123</v>
      </c>
      <c r="I305">
        <f t="shared" si="8"/>
        <v>4400.900433888889</v>
      </c>
      <c r="K305">
        <f>_xlfn.STDEV.S('R1'!L305,'R2'!L305,'R3'!L305)</f>
        <v>2.8706844724092823E-3</v>
      </c>
      <c r="L305">
        <f>_xlfn.STDEV.S('R1'!M305,'R2'!M305,'R3'!M305)</f>
        <v>3.3956943824657981E-3</v>
      </c>
      <c r="M305">
        <f>_xlfn.STDEV.S('R1'!N305,'R2'!N305,'R3'!N305)</f>
        <v>2.1463902490460617E-3</v>
      </c>
      <c r="N305">
        <f>_xlfn.STDEV.S('R1'!O305,'R2'!O305,'R3'!O305)</f>
        <v>2.2403931889296234E-4</v>
      </c>
    </row>
    <row r="306" spans="1:14" x14ac:dyDescent="0.25">
      <c r="A306">
        <f>-'R1'!H306</f>
        <v>-8</v>
      </c>
      <c r="B306">
        <f>DEGREES(ATAN(-SIN(RADIANS(('R1'!I306)))/(COS(RADIANS(Sheet1!A306))*COS(RADIANS('R1'!I306)))))</f>
        <v>24.208883875277589</v>
      </c>
      <c r="C306">
        <f>AVERAGE('R1'!J306,'R2'!J306,'R3'!J306)</f>
        <v>1.18</v>
      </c>
      <c r="D306">
        <f>AVERAGE('R1'!K306,'R2'!K306,'R3'!K306)</f>
        <v>22.942870666666668</v>
      </c>
      <c r="E306">
        <f>AVERAGE('R1'!L306,'R2'!L306,'R3'!L306)</f>
        <v>1.5702649405472002</v>
      </c>
      <c r="F306">
        <f>AVERAGE('R1'!M306,'R2'!M306,'R3'!M306)</f>
        <v>0.57766910268026528</v>
      </c>
      <c r="G306">
        <f>AVERAGE('R1'!N306,'R2'!N306,'R3'!N306)</f>
        <v>-0.34770107584332316</v>
      </c>
      <c r="H306">
        <f>AVERAGE('R1'!O306,'R2'!O306,'R3'!O306)</f>
        <v>-0.19014771210330583</v>
      </c>
      <c r="I306">
        <f t="shared" si="8"/>
        <v>4512.0978977777777</v>
      </c>
      <c r="K306">
        <f>_xlfn.STDEV.S('R1'!L306,'R2'!L306,'R3'!L306)</f>
        <v>4.1777364649557809E-3</v>
      </c>
      <c r="L306">
        <f>_xlfn.STDEV.S('R1'!M306,'R2'!M306,'R3'!M306)</f>
        <v>5.3873884673788534E-3</v>
      </c>
      <c r="M306">
        <f>_xlfn.STDEV.S('R1'!N306,'R2'!N306,'R3'!N306)</f>
        <v>1.6295078973617655E-3</v>
      </c>
      <c r="N306">
        <f>_xlfn.STDEV.S('R1'!O306,'R2'!O306,'R3'!O306)</f>
        <v>1.5538001327536906E-3</v>
      </c>
    </row>
    <row r="307" spans="1:14" x14ac:dyDescent="0.25">
      <c r="A307">
        <f>-'R1'!H307</f>
        <v>-8</v>
      </c>
      <c r="B307">
        <f>DEGREES(ATAN(-SIN(RADIANS(('R1'!I307)))/(COS(RADIANS(Sheet1!A307))*COS(RADIANS('R1'!I307)))))</f>
        <v>20.180761513231211</v>
      </c>
      <c r="C307">
        <f>AVERAGE('R1'!J307,'R2'!J307,'R3'!J307)</f>
        <v>1.18</v>
      </c>
      <c r="D307">
        <f>AVERAGE('R1'!K307,'R2'!K307,'R3'!K307)</f>
        <v>23.045238833333332</v>
      </c>
      <c r="E307">
        <f>AVERAGE('R1'!L307,'R2'!L307,'R3'!L307)</f>
        <v>1.3845886908533844</v>
      </c>
      <c r="F307">
        <f>AVERAGE('R1'!M307,'R2'!M307,'R3'!M307)</f>
        <v>0.5656737383698488</v>
      </c>
      <c r="G307">
        <f>AVERAGE('R1'!N307,'R2'!N307,'R3'!N307)</f>
        <v>-0.23361890102359553</v>
      </c>
      <c r="H307">
        <f>AVERAGE('R1'!O307,'R2'!O307,'R3'!O307)</f>
        <v>-4.8804036389982514E-2</v>
      </c>
      <c r="I307">
        <f t="shared" si="8"/>
        <v>4532.2303038888895</v>
      </c>
      <c r="K307">
        <f>_xlfn.STDEV.S('R1'!L307,'R2'!L307,'R3'!L307)</f>
        <v>5.6611004411192796E-3</v>
      </c>
      <c r="L307">
        <f>_xlfn.STDEV.S('R1'!M307,'R2'!M307,'R3'!M307)</f>
        <v>2.5749641249975916E-3</v>
      </c>
      <c r="M307">
        <f>_xlfn.STDEV.S('R1'!N307,'R2'!N307,'R3'!N307)</f>
        <v>2.5669470467556384E-3</v>
      </c>
      <c r="N307">
        <f>_xlfn.STDEV.S('R1'!O307,'R2'!O307,'R3'!O307)</f>
        <v>3.5667192487836789E-3</v>
      </c>
    </row>
    <row r="308" spans="1:14" x14ac:dyDescent="0.25">
      <c r="A308">
        <f>-'R1'!H308</f>
        <v>-8</v>
      </c>
      <c r="B308">
        <f>DEGREES(ATAN(-SIN(RADIANS(('R1'!I308)))/(COS(RADIANS(Sheet1!A308))*COS(RADIANS('R1'!I308)))))</f>
        <v>16.149081403494897</v>
      </c>
      <c r="C308">
        <f>AVERAGE('R1'!J308,'R2'!J308,'R3'!J308)</f>
        <v>1.18</v>
      </c>
      <c r="D308">
        <f>AVERAGE('R1'!K308,'R2'!K308,'R3'!K308)</f>
        <v>22.985272666666663</v>
      </c>
      <c r="E308">
        <f>AVERAGE('R1'!L308,'R2'!L308,'R3'!L308)</f>
        <v>1.1833968488626601</v>
      </c>
      <c r="F308">
        <f>AVERAGE('R1'!M308,'R2'!M308,'R3'!M308)</f>
        <v>0.58903182183773461</v>
      </c>
      <c r="G308">
        <f>AVERAGE('R1'!N308,'R2'!N308,'R3'!N308)</f>
        <v>-0.15338021180827513</v>
      </c>
      <c r="H308">
        <f>AVERAGE('R1'!O308,'R2'!O308,'R3'!O308)</f>
        <v>7.3657389608479881E-2</v>
      </c>
      <c r="I308">
        <f t="shared" si="8"/>
        <v>4520.436957777777</v>
      </c>
      <c r="K308">
        <f>_xlfn.STDEV.S('R1'!L308,'R2'!L308,'R3'!L308)</f>
        <v>1.8994128456348975E-3</v>
      </c>
      <c r="L308">
        <f>_xlfn.STDEV.S('R1'!M308,'R2'!M308,'R3'!M308)</f>
        <v>3.4856379942542885E-3</v>
      </c>
      <c r="M308">
        <f>_xlfn.STDEV.S('R1'!N308,'R2'!N308,'R3'!N308)</f>
        <v>1.72253502943168E-3</v>
      </c>
      <c r="N308">
        <f>_xlfn.STDEV.S('R1'!O308,'R2'!O308,'R3'!O308)</f>
        <v>3.103313400037212E-3</v>
      </c>
    </row>
    <row r="309" spans="1:14" x14ac:dyDescent="0.25">
      <c r="A309">
        <f>-'R1'!H309</f>
        <v>-8</v>
      </c>
      <c r="B309">
        <f>DEGREES(ATAN(-SIN(RADIANS(('R1'!I309)))/(COS(RADIANS(Sheet1!A309))*COS(RADIANS('R1'!I309)))))</f>
        <v>12.114463536188838</v>
      </c>
      <c r="C309">
        <f>AVERAGE('R1'!J309,'R2'!J309,'R3'!J309)</f>
        <v>1.18</v>
      </c>
      <c r="D309">
        <f>AVERAGE('R1'!K309,'R2'!K309,'R3'!K309)</f>
        <v>22.594023666666669</v>
      </c>
      <c r="E309">
        <f>AVERAGE('R1'!L309,'R2'!L309,'R3'!L309)</f>
        <v>0.96664173315962476</v>
      </c>
      <c r="F309">
        <f>AVERAGE('R1'!M309,'R2'!M309,'R3'!M309)</f>
        <v>0.62341115777286571</v>
      </c>
      <c r="G309">
        <f>AVERAGE('R1'!N309,'R2'!N309,'R3'!N309)</f>
        <v>-9.7757913343235983E-2</v>
      </c>
      <c r="H309">
        <f>AVERAGE('R1'!O309,'R2'!O309,'R3'!O309)</f>
        <v>0.19749836948281982</v>
      </c>
      <c r="I309">
        <f t="shared" si="8"/>
        <v>4443.4913211111116</v>
      </c>
      <c r="K309">
        <f>_xlfn.STDEV.S('R1'!L309,'R2'!L309,'R3'!L309)</f>
        <v>5.2600084304653353E-3</v>
      </c>
      <c r="L309">
        <f>_xlfn.STDEV.S('R1'!M309,'R2'!M309,'R3'!M309)</f>
        <v>7.3928438760276736E-3</v>
      </c>
      <c r="M309">
        <f>_xlfn.STDEV.S('R1'!N309,'R2'!N309,'R3'!N309)</f>
        <v>3.1212682935525538E-3</v>
      </c>
      <c r="N309">
        <f>_xlfn.STDEV.S('R1'!O309,'R2'!O309,'R3'!O309)</f>
        <v>5.4412048039599167E-3</v>
      </c>
    </row>
    <row r="310" spans="1:14" x14ac:dyDescent="0.25">
      <c r="A310">
        <f>-'R1'!H310</f>
        <v>-8</v>
      </c>
      <c r="B310">
        <f>DEGREES(ATAN(-SIN(RADIANS(('R1'!I310)))/(COS(RADIANS(Sheet1!A310))*COS(RADIANS('R1'!I310)))))</f>
        <v>8.0775879081011936</v>
      </c>
      <c r="C310">
        <f>AVERAGE('R1'!J310,'R2'!J310,'R3'!J310)</f>
        <v>1.18</v>
      </c>
      <c r="D310">
        <f>AVERAGE('R1'!K310,'R2'!K310,'R3'!K310)</f>
        <v>21.986779666666667</v>
      </c>
      <c r="E310">
        <f>AVERAGE('R1'!L310,'R2'!L310,'R3'!L310)</f>
        <v>0.70587923051717205</v>
      </c>
      <c r="F310">
        <f>AVERAGE('R1'!M310,'R2'!M310,'R3'!M310)</f>
        <v>0.71538078922992299</v>
      </c>
      <c r="G310">
        <f>AVERAGE('R1'!N310,'R2'!N310,'R3'!N310)</f>
        <v>-5.8133497941826311E-2</v>
      </c>
      <c r="H310">
        <f>AVERAGE('R1'!O310,'R2'!O310,'R3'!O310)</f>
        <v>0.28622989598752796</v>
      </c>
      <c r="I310">
        <f t="shared" si="8"/>
        <v>4324.0666677777781</v>
      </c>
      <c r="K310">
        <f>_xlfn.STDEV.S('R1'!L310,'R2'!L310,'R3'!L310)</f>
        <v>2.7762721780458985E-3</v>
      </c>
      <c r="L310">
        <f>_xlfn.STDEV.S('R1'!M310,'R2'!M310,'R3'!M310)</f>
        <v>9.6849435498624729E-4</v>
      </c>
      <c r="M310">
        <f>_xlfn.STDEV.S('R1'!N310,'R2'!N310,'R3'!N310)</f>
        <v>1.158189140809666E-3</v>
      </c>
      <c r="N310">
        <f>_xlfn.STDEV.S('R1'!O310,'R2'!O310,'R3'!O310)</f>
        <v>6.934202104716381E-3</v>
      </c>
    </row>
    <row r="311" spans="1:14" x14ac:dyDescent="0.25">
      <c r="A311">
        <f>-'R1'!H311</f>
        <v>-8</v>
      </c>
      <c r="B311">
        <f>DEGREES(ATAN(-SIN(RADIANS(('R1'!I311)))/(COS(RADIANS(Sheet1!A311))*COS(RADIANS('R1'!I311)))))</f>
        <v>4.0391808057079874</v>
      </c>
      <c r="C311">
        <f>AVERAGE('R1'!J311,'R2'!J311,'R3'!J311)</f>
        <v>1.18</v>
      </c>
      <c r="D311">
        <f>AVERAGE('R1'!K311,'R2'!K311,'R3'!K311)</f>
        <v>21.702081250000003</v>
      </c>
      <c r="E311">
        <f>AVERAGE('R1'!L311,'R2'!L311,'R3'!L311)</f>
        <v>0.42851653564897246</v>
      </c>
      <c r="F311">
        <f>AVERAGE('R1'!M311,'R2'!M311,'R3'!M311)</f>
        <v>0.81232221395367687</v>
      </c>
      <c r="G311">
        <f>AVERAGE('R1'!N311,'R2'!N311,'R3'!N311)</f>
        <v>-3.0318496088884799E-2</v>
      </c>
      <c r="H311">
        <f>AVERAGE('R1'!O311,'R2'!O311,'R3'!O311)</f>
        <v>0.3760556436162929</v>
      </c>
      <c r="I311">
        <f t="shared" si="8"/>
        <v>4268.0759791666678</v>
      </c>
      <c r="K311">
        <f>_xlfn.STDEV.S('R1'!L311,'R2'!L311,'R3'!L311)</f>
        <v>3.1046756640762106E-3</v>
      </c>
      <c r="L311">
        <f>_xlfn.STDEV.S('R1'!M311,'R2'!M311,'R3'!M311)</f>
        <v>4.9588745187549533E-3</v>
      </c>
      <c r="M311">
        <f>_xlfn.STDEV.S('R1'!N311,'R2'!N311,'R3'!N311)</f>
        <v>2.5213148366012056E-3</v>
      </c>
      <c r="N311">
        <f>_xlfn.STDEV.S('R1'!O311,'R2'!O311,'R3'!O311)</f>
        <v>1.9962239877616595E-3</v>
      </c>
    </row>
    <row r="312" spans="1:14" x14ac:dyDescent="0.25">
      <c r="A312">
        <f>-'R1'!H312</f>
        <v>-8</v>
      </c>
      <c r="B312">
        <f>DEGREES(ATAN(-SIN(RADIANS(('R1'!I312)))/(COS(RADIANS(Sheet1!A312))*COS(RADIANS('R1'!I312)))))</f>
        <v>0</v>
      </c>
      <c r="C312">
        <f>AVERAGE('R1'!J312,'R2'!J312,'R3'!J312)</f>
        <v>1.18</v>
      </c>
      <c r="D312">
        <f>AVERAGE('R1'!K312,'R2'!K312,'R3'!K312)</f>
        <v>21.509980083333332</v>
      </c>
      <c r="E312">
        <f>AVERAGE('R1'!L312,'R2'!L312,'R3'!L312)</f>
        <v>0.15337446699266169</v>
      </c>
      <c r="F312">
        <f>AVERAGE('R1'!M312,'R2'!M312,'R3'!M312)</f>
        <v>0.87718448900697832</v>
      </c>
      <c r="G312">
        <f>AVERAGE('R1'!N312,'R2'!N312,'R3'!N312)</f>
        <v>-1.3175044393658719E-2</v>
      </c>
      <c r="H312">
        <f>AVERAGE('R1'!O312,'R2'!O312,'R3'!O312)</f>
        <v>0.48336907747771701</v>
      </c>
      <c r="I312">
        <f t="shared" si="8"/>
        <v>4230.2960830555548</v>
      </c>
      <c r="K312">
        <f>_xlfn.STDEV.S('R1'!L312,'R2'!L312,'R3'!L312)</f>
        <v>2.0816321232403085E-3</v>
      </c>
      <c r="L312">
        <f>_xlfn.STDEV.S('R1'!M312,'R2'!M312,'R3'!M312)</f>
        <v>3.7683807084061857E-3</v>
      </c>
      <c r="M312">
        <f>_xlfn.STDEV.S('R1'!N312,'R2'!N312,'R3'!N312)</f>
        <v>3.45741794545356E-3</v>
      </c>
      <c r="N312">
        <f>_xlfn.STDEV.S('R1'!O312,'R2'!O312,'R3'!O312)</f>
        <v>5.4767517333471532E-3</v>
      </c>
    </row>
    <row r="313" spans="1:14" x14ac:dyDescent="0.25">
      <c r="A313">
        <f>-'R1'!H313</f>
        <v>-8</v>
      </c>
      <c r="B313">
        <f>DEGREES(ATAN(-SIN(RADIANS(('R1'!I313)))/(COS(RADIANS(Sheet1!A313))*COS(RADIANS('R1'!I313)))))</f>
        <v>-4.0391808057079874</v>
      </c>
      <c r="C313">
        <f>AVERAGE('R1'!J313,'R2'!J313,'R3'!J313)</f>
        <v>1.18</v>
      </c>
      <c r="D313">
        <f>AVERAGE('R1'!K313,'R2'!K313,'R3'!K313)</f>
        <v>21.728948500000001</v>
      </c>
      <c r="E313">
        <f>AVERAGE('R1'!L313,'R2'!L313,'R3'!L313)</f>
        <v>-0.1678745707501873</v>
      </c>
      <c r="F313">
        <f>AVERAGE('R1'!M313,'R2'!M313,'R3'!M313)</f>
        <v>0.87006277582458769</v>
      </c>
      <c r="G313">
        <f>AVERAGE('R1'!N313,'R2'!N313,'R3'!N313)</f>
        <v>-1.1980300689667924E-2</v>
      </c>
      <c r="H313">
        <f>AVERAGE('R1'!O313,'R2'!O313,'R3'!O313)</f>
        <v>0.48118324888591496</v>
      </c>
      <c r="I313">
        <f t="shared" si="8"/>
        <v>4273.3598716666665</v>
      </c>
      <c r="K313">
        <f>_xlfn.STDEV.S('R1'!L313,'R2'!L313,'R3'!L313)</f>
        <v>6.2117199222937788E-3</v>
      </c>
      <c r="L313">
        <f>_xlfn.STDEV.S('R1'!M313,'R2'!M313,'R3'!M313)</f>
        <v>3.8300172027387978E-3</v>
      </c>
      <c r="M313">
        <f>_xlfn.STDEV.S('R1'!N313,'R2'!N313,'R3'!N313)</f>
        <v>6.6087816355519114E-4</v>
      </c>
      <c r="N313">
        <f>_xlfn.STDEV.S('R1'!O313,'R2'!O313,'R3'!O313)</f>
        <v>4.6718176762969204E-3</v>
      </c>
    </row>
    <row r="314" spans="1:14" x14ac:dyDescent="0.25">
      <c r="A314">
        <f>-'R1'!H314</f>
        <v>-8</v>
      </c>
      <c r="B314">
        <f>DEGREES(ATAN(-SIN(RADIANS(('R1'!I314)))/(COS(RADIANS(Sheet1!A314))*COS(RADIANS('R1'!I314)))))</f>
        <v>-8.0775879081011936</v>
      </c>
      <c r="C314">
        <f>AVERAGE('R1'!J314,'R2'!J314,'R3'!J314)</f>
        <v>1.18</v>
      </c>
      <c r="D314">
        <f>AVERAGE('R1'!K314,'R2'!K314,'R3'!K314)</f>
        <v>22.291106916666667</v>
      </c>
      <c r="E314">
        <f>AVERAGE('R1'!L314,'R2'!L314,'R3'!L314)</f>
        <v>-0.45781967003424517</v>
      </c>
      <c r="F314">
        <f>AVERAGE('R1'!M314,'R2'!M314,'R3'!M314)</f>
        <v>0.7874471729162188</v>
      </c>
      <c r="G314">
        <f>AVERAGE('R1'!N314,'R2'!N314,'R3'!N314)</f>
        <v>-2.6211670581218829E-2</v>
      </c>
      <c r="H314">
        <f>AVERAGE('R1'!O314,'R2'!O314,'R3'!O314)</f>
        <v>0.39302497048996182</v>
      </c>
      <c r="I314">
        <f t="shared" si="8"/>
        <v>4383.9176936111107</v>
      </c>
      <c r="K314">
        <f>_xlfn.STDEV.S('R1'!L314,'R2'!L314,'R3'!L314)</f>
        <v>7.1254848173233441E-3</v>
      </c>
      <c r="L314">
        <f>_xlfn.STDEV.S('R1'!M314,'R2'!M314,'R3'!M314)</f>
        <v>8.7561476926701423E-3</v>
      </c>
      <c r="M314">
        <f>_xlfn.STDEV.S('R1'!N314,'R2'!N314,'R3'!N314)</f>
        <v>2.8923308795819761E-3</v>
      </c>
      <c r="N314">
        <f>_xlfn.STDEV.S('R1'!O314,'R2'!O314,'R3'!O314)</f>
        <v>4.3543974306070633E-3</v>
      </c>
    </row>
    <row r="315" spans="1:14" x14ac:dyDescent="0.25">
      <c r="A315">
        <f>-'R1'!H315</f>
        <v>-8</v>
      </c>
      <c r="B315">
        <f>DEGREES(ATAN(-SIN(RADIANS(('R1'!I315)))/(COS(RADIANS(Sheet1!A315))*COS(RADIANS('R1'!I315)))))</f>
        <v>-12.114463536188838</v>
      </c>
      <c r="C315">
        <f>AVERAGE('R1'!J315,'R2'!J315,'R3'!J315)</f>
        <v>1.18</v>
      </c>
      <c r="D315">
        <f>AVERAGE('R1'!K315,'R2'!K315,'R3'!K315)</f>
        <v>22.769994333333333</v>
      </c>
      <c r="E315">
        <f>AVERAGE('R1'!L315,'R2'!L315,'R3'!L315)</f>
        <v>-0.75248648962944964</v>
      </c>
      <c r="F315">
        <f>AVERAGE('R1'!M315,'R2'!M315,'R3'!M315)</f>
        <v>0.68716747652653476</v>
      </c>
      <c r="G315">
        <f>AVERAGE('R1'!N315,'R2'!N315,'R3'!N315)</f>
        <v>-5.7972474948741047E-2</v>
      </c>
      <c r="H315">
        <f>AVERAGE('R1'!O315,'R2'!O315,'R3'!O315)</f>
        <v>0.30694822357704971</v>
      </c>
      <c r="I315">
        <f t="shared" si="8"/>
        <v>4478.0988855555552</v>
      </c>
      <c r="K315">
        <f>_xlfn.STDEV.S('R1'!L315,'R2'!L315,'R3'!L315)</f>
        <v>4.495969767807661E-3</v>
      </c>
      <c r="L315">
        <f>_xlfn.STDEV.S('R1'!M315,'R2'!M315,'R3'!M315)</f>
        <v>8.0023950893207772E-3</v>
      </c>
      <c r="M315">
        <f>_xlfn.STDEV.S('R1'!N315,'R2'!N315,'R3'!N315)</f>
        <v>2.8242618618204088E-4</v>
      </c>
      <c r="N315">
        <f>_xlfn.STDEV.S('R1'!O315,'R2'!O315,'R3'!O315)</f>
        <v>3.4371572498285772E-3</v>
      </c>
    </row>
    <row r="316" spans="1:14" x14ac:dyDescent="0.25">
      <c r="A316">
        <f>-'R1'!H316</f>
        <v>-8</v>
      </c>
      <c r="B316">
        <f>DEGREES(ATAN(-SIN(RADIANS(('R1'!I316)))/(COS(RADIANS(Sheet1!A316))*COS(RADIANS('R1'!I316)))))</f>
        <v>-16.149081403494897</v>
      </c>
      <c r="C316">
        <f>AVERAGE('R1'!J316,'R2'!J316,'R3'!J316)</f>
        <v>1.18</v>
      </c>
      <c r="D316">
        <f>AVERAGE('R1'!K316,'R2'!K316,'R3'!K316)</f>
        <v>22.830721499999999</v>
      </c>
      <c r="E316">
        <f>AVERAGE('R1'!L316,'R2'!L316,'R3'!L316)</f>
        <v>-1.0004375789890398</v>
      </c>
      <c r="F316">
        <f>AVERAGE('R1'!M316,'R2'!M316,'R3'!M316)</f>
        <v>0.61949621757189888</v>
      </c>
      <c r="G316">
        <f>AVERAGE('R1'!N316,'R2'!N316,'R3'!N316)</f>
        <v>-9.8679773750952757E-2</v>
      </c>
      <c r="H316">
        <f>AVERAGE('R1'!O316,'R2'!O316,'R3'!O316)</f>
        <v>0.19947387418486054</v>
      </c>
      <c r="I316">
        <f t="shared" si="8"/>
        <v>4490.0418950000003</v>
      </c>
      <c r="K316">
        <f>_xlfn.STDEV.S('R1'!L316,'R2'!L316,'R3'!L316)</f>
        <v>1.2444725999793565E-3</v>
      </c>
      <c r="L316">
        <f>_xlfn.STDEV.S('R1'!M316,'R2'!M316,'R3'!M316)</f>
        <v>5.7647382463582402E-4</v>
      </c>
      <c r="M316">
        <f>_xlfn.STDEV.S('R1'!N316,'R2'!N316,'R3'!N316)</f>
        <v>3.59182079768207E-3</v>
      </c>
      <c r="N316">
        <f>_xlfn.STDEV.S('R1'!O316,'R2'!O316,'R3'!O316)</f>
        <v>3.1280546479880511E-3</v>
      </c>
    </row>
    <row r="317" spans="1:14" x14ac:dyDescent="0.25">
      <c r="A317">
        <f>-'R1'!H317</f>
        <v>-8</v>
      </c>
      <c r="B317">
        <f>DEGREES(ATAN(-SIN(RADIANS(('R1'!I317)))/(COS(RADIANS(Sheet1!A317))*COS(RADIANS('R1'!I317)))))</f>
        <v>-20.180761513231211</v>
      </c>
      <c r="C317">
        <f>AVERAGE('R1'!J317,'R2'!J317,'R3'!J317)</f>
        <v>1.18</v>
      </c>
      <c r="D317">
        <f>AVERAGE('R1'!K317,'R2'!K317,'R3'!K317)</f>
        <v>22.897657749999997</v>
      </c>
      <c r="E317">
        <f>AVERAGE('R1'!L317,'R2'!L317,'R3'!L317)</f>
        <v>-1.2114863413383261</v>
      </c>
      <c r="F317">
        <f>AVERAGE('R1'!M317,'R2'!M317,'R3'!M317)</f>
        <v>0.56843881490762938</v>
      </c>
      <c r="G317">
        <f>AVERAGE('R1'!N317,'R2'!N317,'R3'!N317)</f>
        <v>-0.15839335484094125</v>
      </c>
      <c r="H317">
        <f>AVERAGE('R1'!O317,'R2'!O317,'R3'!O317)</f>
        <v>8.9839556629519438E-2</v>
      </c>
      <c r="I317">
        <f t="shared" si="8"/>
        <v>4503.2060241666659</v>
      </c>
      <c r="K317">
        <f>_xlfn.STDEV.S('R1'!L317,'R2'!L317,'R3'!L317)</f>
        <v>4.5076384655585817E-3</v>
      </c>
      <c r="L317">
        <f>_xlfn.STDEV.S('R1'!M317,'R2'!M317,'R3'!M317)</f>
        <v>3.1583536743660899E-3</v>
      </c>
      <c r="M317">
        <f>_xlfn.STDEV.S('R1'!N317,'R2'!N317,'R3'!N317)</f>
        <v>2.4540747018516901E-3</v>
      </c>
      <c r="N317">
        <f>_xlfn.STDEV.S('R1'!O317,'R2'!O317,'R3'!O317)</f>
        <v>5.3168582425420436E-3</v>
      </c>
    </row>
    <row r="318" spans="1:14" x14ac:dyDescent="0.25">
      <c r="A318">
        <f>-'R1'!H318</f>
        <v>-8</v>
      </c>
      <c r="B318">
        <f>DEGREES(ATAN(-SIN(RADIANS(('R1'!I318)))/(COS(RADIANS(Sheet1!A318))*COS(RADIANS('R1'!I318)))))</f>
        <v>-24.208883875277589</v>
      </c>
      <c r="C318">
        <f>AVERAGE('R1'!J318,'R2'!J318,'R3'!J318)</f>
        <v>1.18</v>
      </c>
      <c r="D318">
        <f>AVERAGE('R1'!K318,'R2'!K318,'R3'!K318)</f>
        <v>22.729786000000001</v>
      </c>
      <c r="E318">
        <f>AVERAGE('R1'!L318,'R2'!L318,'R3'!L318)</f>
        <v>-1.4072378962999723</v>
      </c>
      <c r="F318">
        <f>AVERAGE('R1'!M318,'R2'!M318,'R3'!M318)</f>
        <v>0.53884001696252704</v>
      </c>
      <c r="G318">
        <f>AVERAGE('R1'!N318,'R2'!N318,'R3'!N318)</f>
        <v>-0.24526694230760637</v>
      </c>
      <c r="H318">
        <f>AVERAGE('R1'!O318,'R2'!O318,'R3'!O318)</f>
        <v>-3.6482304981853182E-2</v>
      </c>
      <c r="I318">
        <f t="shared" si="8"/>
        <v>4470.1912466666672</v>
      </c>
      <c r="K318">
        <f>_xlfn.STDEV.S('R1'!L318,'R2'!L318,'R3'!L318)</f>
        <v>2.2368784205287046E-3</v>
      </c>
      <c r="L318">
        <f>_xlfn.STDEV.S('R1'!M318,'R2'!M318,'R3'!M318)</f>
        <v>4.6173876601355301E-3</v>
      </c>
      <c r="M318">
        <f>_xlfn.STDEV.S('R1'!N318,'R2'!N318,'R3'!N318)</f>
        <v>4.7864964457200255E-3</v>
      </c>
      <c r="N318">
        <f>_xlfn.STDEV.S('R1'!O318,'R2'!O318,'R3'!O318)</f>
        <v>7.8385366188464707E-3</v>
      </c>
    </row>
    <row r="319" spans="1:14" x14ac:dyDescent="0.25">
      <c r="A319">
        <f>-'R1'!H319</f>
        <v>-8</v>
      </c>
      <c r="B319">
        <f>DEGREES(ATAN(-SIN(RADIANS(('R1'!I319)))/(COS(RADIANS(Sheet1!A319))*COS(RADIANS('R1'!I319)))))</f>
        <v>-28.23290083045832</v>
      </c>
      <c r="C319">
        <f>AVERAGE('R1'!J319,'R2'!J319,'R3'!J319)</f>
        <v>1.18</v>
      </c>
      <c r="D319">
        <f>AVERAGE('R1'!K319,'R2'!K319,'R3'!K319)</f>
        <v>22.133479583333337</v>
      </c>
      <c r="E319">
        <f>AVERAGE('R1'!L319,'R2'!L319,'R3'!L319)</f>
        <v>-1.5687135046755316</v>
      </c>
      <c r="F319">
        <f>AVERAGE('R1'!M319,'R2'!M319,'R3'!M319)</f>
        <v>0.56239026140778881</v>
      </c>
      <c r="G319">
        <f>AVERAGE('R1'!N319,'R2'!N319,'R3'!N319)</f>
        <v>-0.35038408975900531</v>
      </c>
      <c r="H319">
        <f>AVERAGE('R1'!O319,'R2'!O319,'R3'!O319)</f>
        <v>-0.17573604816369937</v>
      </c>
      <c r="I319">
        <f t="shared" si="8"/>
        <v>4352.9176513888897</v>
      </c>
      <c r="K319">
        <f>_xlfn.STDEV.S('R1'!L319,'R2'!L319,'R3'!L319)</f>
        <v>6.7354101201827022E-4</v>
      </c>
      <c r="L319">
        <f>_xlfn.STDEV.S('R1'!M319,'R2'!M319,'R3'!M319)</f>
        <v>1.3307422304405677E-3</v>
      </c>
      <c r="M319">
        <f>_xlfn.STDEV.S('R1'!N319,'R2'!N319,'R3'!N319)</f>
        <v>1.1220511322879206E-3</v>
      </c>
      <c r="N319">
        <f>_xlfn.STDEV.S('R1'!O319,'R2'!O319,'R3'!O319)</f>
        <v>5.6901428820140135E-3</v>
      </c>
    </row>
    <row r="320" spans="1:14" x14ac:dyDescent="0.25">
      <c r="A320">
        <f>-'R1'!H320</f>
        <v>-8</v>
      </c>
      <c r="B320">
        <f>DEGREES(ATAN(-SIN(RADIANS(('R1'!I320)))/(COS(RADIANS(Sheet1!A320))*COS(RADIANS('R1'!I320)))))</f>
        <v>-32.252347723135095</v>
      </c>
      <c r="C320">
        <f>AVERAGE('R1'!J320,'R2'!J320,'R3'!J320)</f>
        <v>1.18</v>
      </c>
      <c r="D320">
        <f>AVERAGE('R1'!K320,'R2'!K320,'R3'!K320)</f>
        <v>21.869236583333333</v>
      </c>
      <c r="E320">
        <f>AVERAGE('R1'!L320,'R2'!L320,'R3'!L320)</f>
        <v>-1.7250167027847614</v>
      </c>
      <c r="F320">
        <f>AVERAGE('R1'!M320,'R2'!M320,'R3'!M320)</f>
        <v>0.62170218699816482</v>
      </c>
      <c r="G320">
        <f>AVERAGE('R1'!N320,'R2'!N320,'R3'!N320)</f>
        <v>-0.48700810895842039</v>
      </c>
      <c r="H320">
        <f>AVERAGE('R1'!O320,'R2'!O320,'R3'!O320)</f>
        <v>-0.32543933133793207</v>
      </c>
      <c r="I320">
        <f t="shared" si="8"/>
        <v>4300.9498613888891</v>
      </c>
      <c r="K320">
        <f>_xlfn.STDEV.S('R1'!L320,'R2'!L320,'R3'!L320)</f>
        <v>4.5939991683207259E-3</v>
      </c>
      <c r="L320">
        <f>_xlfn.STDEV.S('R1'!M320,'R2'!M320,'R3'!M320)</f>
        <v>5.9629967612826991E-3</v>
      </c>
      <c r="M320">
        <f>_xlfn.STDEV.S('R1'!N320,'R2'!N320,'R3'!N320)</f>
        <v>4.3895739801397176E-3</v>
      </c>
      <c r="N320">
        <f>_xlfn.STDEV.S('R1'!O320,'R2'!O320,'R3'!O320)</f>
        <v>6.5426567287923715E-4</v>
      </c>
    </row>
    <row r="321" spans="1:14" x14ac:dyDescent="0.25">
      <c r="A321">
        <f>-'R1'!H321</f>
        <v>-8</v>
      </c>
      <c r="B321">
        <f>DEGREES(ATAN(-SIN(RADIANS(('R1'!I321)))/(COS(RADIANS(Sheet1!A321))*COS(RADIANS('R1'!I321)))))</f>
        <v>-36.2668517150396</v>
      </c>
      <c r="C321">
        <f>AVERAGE('R1'!J321,'R2'!J321,'R3'!J321)</f>
        <v>1.18</v>
      </c>
      <c r="D321">
        <f>AVERAGE('R1'!K321,'R2'!K321,'R3'!K321)</f>
        <v>21.709480083333332</v>
      </c>
      <c r="E321">
        <f>AVERAGE('R1'!L321,'R2'!L321,'R3'!L321)</f>
        <v>-1.9195913830690225</v>
      </c>
      <c r="F321">
        <f>AVERAGE('R1'!M321,'R2'!M321,'R3'!M321)</f>
        <v>0.67840397128518692</v>
      </c>
      <c r="G321">
        <f>AVERAGE('R1'!N321,'R2'!N321,'R3'!N321)</f>
        <v>-0.66670552005591188</v>
      </c>
      <c r="H321">
        <f>AVERAGE('R1'!O321,'R2'!O321,'R3'!O321)</f>
        <v>-0.49614440928223441</v>
      </c>
      <c r="I321">
        <f t="shared" si="8"/>
        <v>4269.5310830555554</v>
      </c>
      <c r="K321">
        <f>_xlfn.STDEV.S('R1'!L321,'R2'!L321,'R3'!L321)</f>
        <v>7.2656672067671468E-3</v>
      </c>
      <c r="L321">
        <f>_xlfn.STDEV.S('R1'!M321,'R2'!M321,'R3'!M321)</f>
        <v>2.6401276603453651E-3</v>
      </c>
      <c r="M321">
        <f>_xlfn.STDEV.S('R1'!N321,'R2'!N321,'R3'!N321)</f>
        <v>6.7901374953151499E-3</v>
      </c>
      <c r="N321">
        <f>_xlfn.STDEV.S('R1'!O321,'R2'!O321,'R3'!O321)</f>
        <v>4.9496453912144748E-3</v>
      </c>
    </row>
    <row r="322" spans="1:14" x14ac:dyDescent="0.25">
      <c r="A322">
        <f>-'R1'!H322</f>
        <v>-8</v>
      </c>
      <c r="B322">
        <f>DEGREES(ATAN(-SIN(RADIANS(('R1'!I322)))/(COS(RADIANS(Sheet1!A322))*COS(RADIANS('R1'!I322)))))</f>
        <v>-40.276138588852518</v>
      </c>
      <c r="C322">
        <f>AVERAGE('R1'!J322,'R2'!J322,'R3'!J322)</f>
        <v>1.18</v>
      </c>
      <c r="D322">
        <f>AVERAGE('R1'!K322,'R2'!K322,'R3'!K322)</f>
        <v>21.863258999999999</v>
      </c>
      <c r="E322">
        <f>AVERAGE('R1'!L322,'R2'!L322,'R3'!L322)</f>
        <v>-2.1818789726444865</v>
      </c>
      <c r="F322">
        <f>AVERAGE('R1'!M322,'R2'!M322,'R3'!M322)</f>
        <v>0.75926761200080828</v>
      </c>
      <c r="G322">
        <f>AVERAGE('R1'!N322,'R2'!N322,'R3'!N322)</f>
        <v>-0.91928520230586974</v>
      </c>
      <c r="H322">
        <f>AVERAGE('R1'!O322,'R2'!O322,'R3'!O322)</f>
        <v>-0.69569648537006845</v>
      </c>
      <c r="I322">
        <f t="shared" si="8"/>
        <v>4299.7742699999999</v>
      </c>
      <c r="K322">
        <f>_xlfn.STDEV.S('R1'!L322,'R2'!L322,'R3'!L322)</f>
        <v>6.1208111723437854E-3</v>
      </c>
      <c r="L322">
        <f>_xlfn.STDEV.S('R1'!M322,'R2'!M322,'R3'!M322)</f>
        <v>3.2243318529782124E-3</v>
      </c>
      <c r="M322">
        <f>_xlfn.STDEV.S('R1'!N322,'R2'!N322,'R3'!N322)</f>
        <v>6.5614091727007875E-3</v>
      </c>
      <c r="N322">
        <f>_xlfn.STDEV.S('R1'!O322,'R2'!O322,'R3'!O322)</f>
        <v>1.7932920331597741E-3</v>
      </c>
    </row>
    <row r="323" spans="1:14" x14ac:dyDescent="0.25">
      <c r="A323">
        <f>-'R1'!H323</f>
        <v>-8</v>
      </c>
      <c r="B323">
        <f>DEGREES(ATAN(-SIN(RADIANS(('R1'!I323)))/(COS(RADIANS(Sheet1!A323))*COS(RADIANS('R1'!I323)))))</f>
        <v>-44.280037446618948</v>
      </c>
      <c r="C323">
        <f>AVERAGE('R1'!J323,'R2'!J323,'R3'!J323)</f>
        <v>1.18</v>
      </c>
      <c r="D323">
        <f>AVERAGE('R1'!K323,'R2'!K323,'R3'!K323)</f>
        <v>22.499629999999996</v>
      </c>
      <c r="E323">
        <f>AVERAGE('R1'!L323,'R2'!L323,'R3'!L323)</f>
        <v>-2.5029850872769526</v>
      </c>
      <c r="F323">
        <f>AVERAGE('R1'!M323,'R2'!M323,'R3'!M323)</f>
        <v>0.86334429321489081</v>
      </c>
      <c r="G323">
        <f>AVERAGE('R1'!N323,'R2'!N323,'R3'!N323)</f>
        <v>-1.2438229082156209</v>
      </c>
      <c r="H323">
        <f>AVERAGE('R1'!O323,'R2'!O323,'R3'!O323)</f>
        <v>-0.93335518561608943</v>
      </c>
      <c r="I323">
        <f t="shared" ref="I323:I386" si="9">10^5*C323*D323*0.003/1.8</f>
        <v>4424.927233333332</v>
      </c>
      <c r="K323">
        <f>_xlfn.STDEV.S('R1'!L323,'R2'!L323,'R3'!L323)</f>
        <v>8.8967958053412927E-3</v>
      </c>
      <c r="L323">
        <f>_xlfn.STDEV.S('R1'!M323,'R2'!M323,'R3'!M323)</f>
        <v>4.8951786558881199E-3</v>
      </c>
      <c r="M323">
        <f>_xlfn.STDEV.S('R1'!N323,'R2'!N323,'R3'!N323)</f>
        <v>7.5384579613296653E-3</v>
      </c>
      <c r="N323">
        <f>_xlfn.STDEV.S('R1'!O323,'R2'!O323,'R3'!O323)</f>
        <v>3.9924720069612974E-3</v>
      </c>
    </row>
    <row r="324" spans="1:14" x14ac:dyDescent="0.25">
      <c r="A324">
        <f>-'R1'!H324</f>
        <v>-12</v>
      </c>
      <c r="B324">
        <f>DEGREES(ATAN(-SIN(RADIANS(('R1'!I324)))/(COS(RADIANS(Sheet1!A324))*COS(RADIANS('R1'!I324)))))</f>
        <v>44.632773428056808</v>
      </c>
      <c r="C324">
        <f>AVERAGE('R1'!J324,'R2'!J324,'R3'!J324)</f>
        <v>1.18</v>
      </c>
      <c r="D324">
        <f>AVERAGE('R1'!K324,'R2'!K324,'R3'!K324)</f>
        <v>22.858976916666666</v>
      </c>
      <c r="E324">
        <f>AVERAGE('R1'!L324,'R2'!L324,'R3'!L324)</f>
        <v>2.5905990087360045</v>
      </c>
      <c r="F324">
        <f>AVERAGE('R1'!M324,'R2'!M324,'R3'!M324)</f>
        <v>1.2557232723389773</v>
      </c>
      <c r="G324">
        <f>AVERAGE('R1'!N324,'R2'!N324,'R3'!N324)</f>
        <v>-1.4869476019337136</v>
      </c>
      <c r="H324">
        <f>AVERAGE('R1'!O324,'R2'!O324,'R3'!O324)</f>
        <v>-1.1966708783340427</v>
      </c>
      <c r="I324">
        <f t="shared" si="9"/>
        <v>4495.5987936111114</v>
      </c>
      <c r="K324">
        <f>_xlfn.STDEV.S('R1'!L324,'R2'!L324,'R3'!L324)</f>
        <v>8.3251299936133467E-3</v>
      </c>
      <c r="L324">
        <f>_xlfn.STDEV.S('R1'!M324,'R2'!M324,'R3'!M324)</f>
        <v>6.6373620235630334E-3</v>
      </c>
      <c r="M324">
        <f>_xlfn.STDEV.S('R1'!N324,'R2'!N324,'R3'!N324)</f>
        <v>6.3949120733467748E-3</v>
      </c>
      <c r="N324">
        <f>_xlfn.STDEV.S('R1'!O324,'R2'!O324,'R3'!O324)</f>
        <v>4.380568862519656E-3</v>
      </c>
    </row>
    <row r="325" spans="1:14" x14ac:dyDescent="0.25">
      <c r="A325">
        <f>-'R1'!H325</f>
        <v>-12</v>
      </c>
      <c r="B325">
        <f>DEGREES(ATAN(-SIN(RADIANS(('R1'!I325)))/(COS(RADIANS(Sheet1!A325))*COS(RADIANS('R1'!I325)))))</f>
        <v>40.624498244732152</v>
      </c>
      <c r="C325">
        <f>AVERAGE('R1'!J325,'R2'!J325,'R3'!J325)</f>
        <v>1.18</v>
      </c>
      <c r="D325">
        <f>AVERAGE('R1'!K325,'R2'!K325,'R3'!K325)</f>
        <v>22.923082500000003</v>
      </c>
      <c r="E325">
        <f>AVERAGE('R1'!L325,'R2'!L325,'R3'!L325)</f>
        <v>2.2460958645204232</v>
      </c>
      <c r="F325">
        <f>AVERAGE('R1'!M325,'R2'!M325,'R3'!M325)</f>
        <v>1.1064611711084027</v>
      </c>
      <c r="G325">
        <f>AVERAGE('R1'!N325,'R2'!N325,'R3'!N325)</f>
        <v>-1.1156947322280271</v>
      </c>
      <c r="H325">
        <f>AVERAGE('R1'!O325,'R2'!O325,'R3'!O325)</f>
        <v>-0.93895635367414998</v>
      </c>
      <c r="I325">
        <f t="shared" si="9"/>
        <v>4508.2062250000008</v>
      </c>
      <c r="K325">
        <f>_xlfn.STDEV.S('R1'!L325,'R2'!L325,'R3'!L325)</f>
        <v>2.7704653812001974E-3</v>
      </c>
      <c r="L325">
        <f>_xlfn.STDEV.S('R1'!M325,'R2'!M325,'R3'!M325)</f>
        <v>7.3421755192532999E-4</v>
      </c>
      <c r="M325">
        <f>_xlfn.STDEV.S('R1'!N325,'R2'!N325,'R3'!N325)</f>
        <v>1.2674180039382344E-4</v>
      </c>
      <c r="N325">
        <f>_xlfn.STDEV.S('R1'!O325,'R2'!O325,'R3'!O325)</f>
        <v>3.4850421172545058E-3</v>
      </c>
    </row>
    <row r="326" spans="1:14" x14ac:dyDescent="0.25">
      <c r="A326">
        <f>-'R1'!H326</f>
        <v>-12</v>
      </c>
      <c r="B326">
        <f>DEGREES(ATAN(-SIN(RADIANS(('R1'!I326)))/(COS(RADIANS(Sheet1!A326))*COS(RADIANS('R1'!I326)))))</f>
        <v>36.604002006988381</v>
      </c>
      <c r="C326">
        <f>AVERAGE('R1'!J326,'R2'!J326,'R3'!J326)</f>
        <v>1.18</v>
      </c>
      <c r="D326">
        <f>AVERAGE('R1'!K326,'R2'!K326,'R3'!K326)</f>
        <v>22.821455333333333</v>
      </c>
      <c r="E326">
        <f>AVERAGE('R1'!L326,'R2'!L326,'R3'!L326)</f>
        <v>1.9993184020685169</v>
      </c>
      <c r="F326">
        <f>AVERAGE('R1'!M326,'R2'!M326,'R3'!M326)</f>
        <v>0.99951974515049569</v>
      </c>
      <c r="G326">
        <f>AVERAGE('R1'!N326,'R2'!N326,'R3'!N326)</f>
        <v>-0.85043592592871597</v>
      </c>
      <c r="H326">
        <f>AVERAGE('R1'!O326,'R2'!O326,'R3'!O326)</f>
        <v>-0.73318735979782845</v>
      </c>
      <c r="I326">
        <f t="shared" si="9"/>
        <v>4488.2195488888892</v>
      </c>
      <c r="K326">
        <f>_xlfn.STDEV.S('R1'!L326,'R2'!L326,'R3'!L326)</f>
        <v>6.8108808151472119E-3</v>
      </c>
      <c r="L326">
        <f>_xlfn.STDEV.S('R1'!M326,'R2'!M326,'R3'!M326)</f>
        <v>2.6980488520274297E-3</v>
      </c>
      <c r="M326">
        <f>_xlfn.STDEV.S('R1'!N326,'R2'!N326,'R3'!N326)</f>
        <v>5.003187972245463E-3</v>
      </c>
      <c r="N326">
        <f>_xlfn.STDEV.S('R1'!O326,'R2'!O326,'R3'!O326)</f>
        <v>2.6869318034864094E-3</v>
      </c>
    </row>
    <row r="327" spans="1:14" x14ac:dyDescent="0.25">
      <c r="A327">
        <f>-'R1'!H327</f>
        <v>-12</v>
      </c>
      <c r="B327">
        <f>DEGREES(ATAN(-SIN(RADIANS(('R1'!I327)))/(COS(RADIANS(Sheet1!A327))*COS(RADIANS('R1'!I327)))))</f>
        <v>32.571632726288172</v>
      </c>
      <c r="C327">
        <f>AVERAGE('R1'!J327,'R2'!J327,'R3'!J327)</f>
        <v>1.18</v>
      </c>
      <c r="D327">
        <f>AVERAGE('R1'!K327,'R2'!K327,'R3'!K327)</f>
        <v>22.185332916666667</v>
      </c>
      <c r="E327">
        <f>AVERAGE('R1'!L327,'R2'!L327,'R3'!L327)</f>
        <v>1.7960316737487432</v>
      </c>
      <c r="F327">
        <f>AVERAGE('R1'!M327,'R2'!M327,'R3'!M327)</f>
        <v>0.92211371828486799</v>
      </c>
      <c r="G327">
        <f>AVERAGE('R1'!N327,'R2'!N327,'R3'!N327)</f>
        <v>-0.64682129750861173</v>
      </c>
      <c r="H327">
        <f>AVERAGE('R1'!O327,'R2'!O327,'R3'!O327)</f>
        <v>-0.55086043752350788</v>
      </c>
      <c r="I327">
        <f t="shared" si="9"/>
        <v>4363.1154736111112</v>
      </c>
      <c r="K327">
        <f>_xlfn.STDEV.S('R1'!L327,'R2'!L327,'R3'!L327)</f>
        <v>3.7390123690632607E-3</v>
      </c>
      <c r="L327">
        <f>_xlfn.STDEV.S('R1'!M327,'R2'!M327,'R3'!M327)</f>
        <v>6.8231566701236679E-3</v>
      </c>
      <c r="M327">
        <f>_xlfn.STDEV.S('R1'!N327,'R2'!N327,'R3'!N327)</f>
        <v>6.1520970258230109E-3</v>
      </c>
      <c r="N327">
        <f>_xlfn.STDEV.S('R1'!O327,'R2'!O327,'R3'!O327)</f>
        <v>4.0728193976961712E-3</v>
      </c>
    </row>
    <row r="328" spans="1:14" x14ac:dyDescent="0.25">
      <c r="A328">
        <f>-'R1'!H328</f>
        <v>-12</v>
      </c>
      <c r="B328">
        <f>DEGREES(ATAN(-SIN(RADIANS(('R1'!I328)))/(COS(RADIANS(Sheet1!A328))*COS(RADIANS('R1'!I328)))))</f>
        <v>28.527978326363606</v>
      </c>
      <c r="C328">
        <f>AVERAGE('R1'!J328,'R2'!J328,'R3'!J328)</f>
        <v>1.18</v>
      </c>
      <c r="D328">
        <f>AVERAGE('R1'!K328,'R2'!K328,'R3'!K328)</f>
        <v>21.937034833333332</v>
      </c>
      <c r="E328">
        <f>AVERAGE('R1'!L328,'R2'!L328,'R3'!L328)</f>
        <v>1.6371957769296659</v>
      </c>
      <c r="F328">
        <f>AVERAGE('R1'!M328,'R2'!M328,'R3'!M328)</f>
        <v>0.85968174397037878</v>
      </c>
      <c r="G328">
        <f>AVERAGE('R1'!N328,'R2'!N328,'R3'!N328)</f>
        <v>-0.49645682155049786</v>
      </c>
      <c r="H328">
        <f>AVERAGE('R1'!O328,'R2'!O328,'R3'!O328)</f>
        <v>-0.39243279983556895</v>
      </c>
      <c r="I328">
        <f t="shared" si="9"/>
        <v>4314.2835172222221</v>
      </c>
      <c r="K328">
        <f>_xlfn.STDEV.S('R1'!L328,'R2'!L328,'R3'!L328)</f>
        <v>4.5894406792204049E-3</v>
      </c>
      <c r="L328">
        <f>_xlfn.STDEV.S('R1'!M328,'R2'!M328,'R3'!M328)</f>
        <v>8.3552136655439552E-3</v>
      </c>
      <c r="M328">
        <f>_xlfn.STDEV.S('R1'!N328,'R2'!N328,'R3'!N328)</f>
        <v>2.3480961372592205E-3</v>
      </c>
      <c r="N328">
        <f>_xlfn.STDEV.S('R1'!O328,'R2'!O328,'R3'!O328)</f>
        <v>2.944963656889107E-3</v>
      </c>
    </row>
    <row r="329" spans="1:14" x14ac:dyDescent="0.25">
      <c r="A329">
        <f>-'R1'!H329</f>
        <v>-12</v>
      </c>
      <c r="B329">
        <f>DEGREES(ATAN(-SIN(RADIANS(('R1'!I329)))/(COS(RADIANS(Sheet1!A329))*COS(RADIANS('R1'!I329)))))</f>
        <v>24.473858605038014</v>
      </c>
      <c r="C329">
        <f>AVERAGE('R1'!J329,'R2'!J329,'R3'!J329)</f>
        <v>1.18</v>
      </c>
      <c r="D329">
        <f>AVERAGE('R1'!K329,'R2'!K329,'R3'!K329)</f>
        <v>21.775533999999997</v>
      </c>
      <c r="E329">
        <f>AVERAGE('R1'!L329,'R2'!L329,'R3'!L329)</f>
        <v>1.4664788768743813</v>
      </c>
      <c r="F329">
        <f>AVERAGE('R1'!M329,'R2'!M329,'R3'!M329)</f>
        <v>0.81473702185520713</v>
      </c>
      <c r="G329">
        <f>AVERAGE('R1'!N329,'R2'!N329,'R3'!N329)</f>
        <v>-0.36662473783280519</v>
      </c>
      <c r="H329">
        <f>AVERAGE('R1'!O329,'R2'!O329,'R3'!O329)</f>
        <v>-0.2501959735163593</v>
      </c>
      <c r="I329">
        <f t="shared" si="9"/>
        <v>4282.521686666666</v>
      </c>
      <c r="K329">
        <f>_xlfn.STDEV.S('R1'!L329,'R2'!L329,'R3'!L329)</f>
        <v>8.0547674256719569E-3</v>
      </c>
      <c r="L329">
        <f>_xlfn.STDEV.S('R1'!M329,'R2'!M329,'R3'!M329)</f>
        <v>9.0656766679153584E-3</v>
      </c>
      <c r="M329">
        <f>_xlfn.STDEV.S('R1'!N329,'R2'!N329,'R3'!N329)</f>
        <v>1.5218798874810902E-3</v>
      </c>
      <c r="N329">
        <f>_xlfn.STDEV.S('R1'!O329,'R2'!O329,'R3'!O329)</f>
        <v>6.3090031988593843E-3</v>
      </c>
    </row>
    <row r="330" spans="1:14" x14ac:dyDescent="0.25">
      <c r="A330">
        <f>-'R1'!H330</f>
        <v>-12</v>
      </c>
      <c r="B330">
        <f>DEGREES(ATAN(-SIN(RADIANS(('R1'!I330)))/(COS(RADIANS(Sheet1!A330))*COS(RADIANS('R1'!I330)))))</f>
        <v>20.410311753659691</v>
      </c>
      <c r="C330">
        <f>AVERAGE('R1'!J330,'R2'!J330,'R3'!J330)</f>
        <v>1.18</v>
      </c>
      <c r="D330">
        <f>AVERAGE('R1'!K330,'R2'!K330,'R3'!K330)</f>
        <v>21.806812166666663</v>
      </c>
      <c r="E330">
        <f>AVERAGE('R1'!L330,'R2'!L330,'R3'!L330)</f>
        <v>1.292906791452449</v>
      </c>
      <c r="F330">
        <f>AVERAGE('R1'!M330,'R2'!M330,'R3'!M330)</f>
        <v>0.7990375264734878</v>
      </c>
      <c r="G330">
        <f>AVERAGE('R1'!N330,'R2'!N330,'R3'!N330)</f>
        <v>-0.26475574308690963</v>
      </c>
      <c r="H330">
        <f>AVERAGE('R1'!O330,'R2'!O330,'R3'!O330)</f>
        <v>-0.10389387194187953</v>
      </c>
      <c r="I330">
        <f t="shared" si="9"/>
        <v>4288.6730594444434</v>
      </c>
      <c r="K330">
        <f>_xlfn.STDEV.S('R1'!L330,'R2'!L330,'R3'!L330)</f>
        <v>1.7458087257572357E-3</v>
      </c>
      <c r="L330">
        <f>_xlfn.STDEV.S('R1'!M330,'R2'!M330,'R3'!M330)</f>
        <v>2.4888029817814647E-3</v>
      </c>
      <c r="M330">
        <f>_xlfn.STDEV.S('R1'!N330,'R2'!N330,'R3'!N330)</f>
        <v>2.6866601503214363E-3</v>
      </c>
      <c r="N330">
        <f>_xlfn.STDEV.S('R1'!O330,'R2'!O330,'R3'!O330)</f>
        <v>6.2929647481226149E-3</v>
      </c>
    </row>
    <row r="331" spans="1:14" x14ac:dyDescent="0.25">
      <c r="A331">
        <f>-'R1'!H331</f>
        <v>-12</v>
      </c>
      <c r="B331">
        <f>DEGREES(ATAN(-SIN(RADIANS(('R1'!I331)))/(COS(RADIANS(Sheet1!A331))*COS(RADIANS('R1'!I331)))))</f>
        <v>16.338575476506957</v>
      </c>
      <c r="C331">
        <f>AVERAGE('R1'!J331,'R2'!J331,'R3'!J331)</f>
        <v>1.18</v>
      </c>
      <c r="D331">
        <f>AVERAGE('R1'!K331,'R2'!K331,'R3'!K331)</f>
        <v>22.37017075</v>
      </c>
      <c r="E331">
        <f>AVERAGE('R1'!L331,'R2'!L331,'R3'!L331)</f>
        <v>1.0895348788434076</v>
      </c>
      <c r="F331">
        <f>AVERAGE('R1'!M331,'R2'!M331,'R3'!M331)</f>
        <v>0.82596892110762743</v>
      </c>
      <c r="G331">
        <f>AVERAGE('R1'!N331,'R2'!N331,'R3'!N331)</f>
        <v>-0.18691213875226295</v>
      </c>
      <c r="H331">
        <f>AVERAGE('R1'!O331,'R2'!O331,'R3'!O331)</f>
        <v>1.8044346954451188E-2</v>
      </c>
      <c r="I331">
        <f t="shared" si="9"/>
        <v>4399.4669141666673</v>
      </c>
      <c r="K331">
        <f>_xlfn.STDEV.S('R1'!L331,'R2'!L331,'R3'!L331)</f>
        <v>6.7356792471778811E-3</v>
      </c>
      <c r="L331">
        <f>_xlfn.STDEV.S('R1'!M331,'R2'!M331,'R3'!M331)</f>
        <v>4.0290381103966072E-3</v>
      </c>
      <c r="M331">
        <f>_xlfn.STDEV.S('R1'!N331,'R2'!N331,'R3'!N331)</f>
        <v>2.8455788798238514E-3</v>
      </c>
      <c r="N331">
        <f>_xlfn.STDEV.S('R1'!O331,'R2'!O331,'R3'!O331)</f>
        <v>5.5684325953007765E-3</v>
      </c>
    </row>
    <row r="332" spans="1:14" x14ac:dyDescent="0.25">
      <c r="A332">
        <f>-'R1'!H332</f>
        <v>-12</v>
      </c>
      <c r="B332">
        <f>DEGREES(ATAN(-SIN(RADIANS(('R1'!I332)))/(COS(RADIANS(Sheet1!A332))*COS(RADIANS('R1'!I332)))))</f>
        <v>12.260062948059348</v>
      </c>
      <c r="C332">
        <f>AVERAGE('R1'!J332,'R2'!J332,'R3'!J332)</f>
        <v>1.18</v>
      </c>
      <c r="D332">
        <f>AVERAGE('R1'!K332,'R2'!K332,'R3'!K332)</f>
        <v>22.680149999999998</v>
      </c>
      <c r="E332">
        <f>AVERAGE('R1'!L332,'R2'!L332,'R3'!L332)</f>
        <v>0.86228852901651798</v>
      </c>
      <c r="F332">
        <f>AVERAGE('R1'!M332,'R2'!M332,'R3'!M332)</f>
        <v>0.88239851924678747</v>
      </c>
      <c r="G332">
        <f>AVERAGE('R1'!N332,'R2'!N332,'R3'!N332)</f>
        <v>-0.13081524592218607</v>
      </c>
      <c r="H332">
        <f>AVERAGE('R1'!O332,'R2'!O332,'R3'!O332)</f>
        <v>0.1189366867245456</v>
      </c>
      <c r="I332">
        <f t="shared" si="9"/>
        <v>4460.4294999999993</v>
      </c>
      <c r="K332">
        <f>_xlfn.STDEV.S('R1'!L332,'R2'!L332,'R3'!L332)</f>
        <v>3.1508693342647675E-3</v>
      </c>
      <c r="L332">
        <f>_xlfn.STDEV.S('R1'!M332,'R2'!M332,'R3'!M332)</f>
        <v>1.5870571512508575E-3</v>
      </c>
      <c r="M332">
        <f>_xlfn.STDEV.S('R1'!N332,'R2'!N332,'R3'!N332)</f>
        <v>1.042128639812002E-3</v>
      </c>
      <c r="N332">
        <f>_xlfn.STDEV.S('R1'!O332,'R2'!O332,'R3'!O332)</f>
        <v>2.451284230655324E-3</v>
      </c>
    </row>
    <row r="333" spans="1:14" x14ac:dyDescent="0.25">
      <c r="A333">
        <f>-'R1'!H333</f>
        <v>-12</v>
      </c>
      <c r="B333">
        <f>DEGREES(ATAN(-SIN(RADIANS(('R1'!I333)))/(COS(RADIANS(Sheet1!A333))*COS(RADIANS('R1'!I333)))))</f>
        <v>8.1763340518815415</v>
      </c>
      <c r="C333">
        <f>AVERAGE('R1'!J333,'R2'!J333,'R3'!J333)</f>
        <v>1.18</v>
      </c>
      <c r="D333">
        <f>AVERAGE('R1'!K333,'R2'!K333,'R3'!K333)</f>
        <v>22.760703666666668</v>
      </c>
      <c r="E333">
        <f>AVERAGE('R1'!L333,'R2'!L333,'R3'!L333)</f>
        <v>0.60313160100966756</v>
      </c>
      <c r="F333">
        <f>AVERAGE('R1'!M333,'R2'!M333,'R3'!M333)</f>
        <v>0.98045367855201127</v>
      </c>
      <c r="G333">
        <f>AVERAGE('R1'!N333,'R2'!N333,'R3'!N333)</f>
        <v>-8.6884727632881575E-2</v>
      </c>
      <c r="H333">
        <f>AVERAGE('R1'!O333,'R2'!O333,'R3'!O333)</f>
        <v>0.18608327282787196</v>
      </c>
      <c r="I333">
        <f t="shared" si="9"/>
        <v>4476.2717211111112</v>
      </c>
      <c r="K333">
        <f>_xlfn.STDEV.S('R1'!L333,'R2'!L333,'R3'!L333)</f>
        <v>2.6879061329342269E-3</v>
      </c>
      <c r="L333">
        <f>_xlfn.STDEV.S('R1'!M333,'R2'!M333,'R3'!M333)</f>
        <v>4.2676177466975879E-3</v>
      </c>
      <c r="M333">
        <f>_xlfn.STDEV.S('R1'!N333,'R2'!N333,'R3'!N333)</f>
        <v>2.3580733197938086E-3</v>
      </c>
      <c r="N333">
        <f>_xlfn.STDEV.S('R1'!O333,'R2'!O333,'R3'!O333)</f>
        <v>5.052456456570647E-3</v>
      </c>
    </row>
    <row r="334" spans="1:14" x14ac:dyDescent="0.25">
      <c r="A334">
        <f>-'R1'!H334</f>
        <v>-12</v>
      </c>
      <c r="B334">
        <f>DEGREES(ATAN(-SIN(RADIANS(('R1'!I334)))/(COS(RADIANS(Sheet1!A334))*COS(RADIANS('R1'!I334)))))</f>
        <v>4.0890625478299265</v>
      </c>
      <c r="C334">
        <f>AVERAGE('R1'!J334,'R2'!J334,'R3'!J334)</f>
        <v>1.18</v>
      </c>
      <c r="D334">
        <f>AVERAGE('R1'!K334,'R2'!K334,'R3'!K334)</f>
        <v>22.867759750000001</v>
      </c>
      <c r="E334">
        <f>AVERAGE('R1'!L334,'R2'!L334,'R3'!L334)</f>
        <v>0.34701107166127027</v>
      </c>
      <c r="F334">
        <f>AVERAGE('R1'!M334,'R2'!M334,'R3'!M334)</f>
        <v>1.0670098486932051</v>
      </c>
      <c r="G334">
        <f>AVERAGE('R1'!N334,'R2'!N334,'R3'!N334)</f>
        <v>-5.6420800906599768E-2</v>
      </c>
      <c r="H334">
        <f>AVERAGE('R1'!O334,'R2'!O334,'R3'!O334)</f>
        <v>0.26782371014739043</v>
      </c>
      <c r="I334">
        <f t="shared" si="9"/>
        <v>4497.3260841666661</v>
      </c>
      <c r="K334">
        <f>_xlfn.STDEV.S('R1'!L334,'R2'!L334,'R3'!L334)</f>
        <v>4.2038799122402137E-3</v>
      </c>
      <c r="L334">
        <f>_xlfn.STDEV.S('R1'!M334,'R2'!M334,'R3'!M334)</f>
        <v>4.7085485998352014E-3</v>
      </c>
      <c r="M334">
        <f>_xlfn.STDEV.S('R1'!N334,'R2'!N334,'R3'!N334)</f>
        <v>4.2917158322821058E-3</v>
      </c>
      <c r="N334">
        <f>_xlfn.STDEV.S('R1'!O334,'R2'!O334,'R3'!O334)</f>
        <v>3.3703466248488773E-3</v>
      </c>
    </row>
    <row r="335" spans="1:14" x14ac:dyDescent="0.25">
      <c r="A335">
        <f>-'R1'!H335</f>
        <v>-12</v>
      </c>
      <c r="B335">
        <f>DEGREES(ATAN(-SIN(RADIANS(('R1'!I335)))/(COS(RADIANS(Sheet1!A335))*COS(RADIANS('R1'!I335)))))</f>
        <v>0</v>
      </c>
      <c r="C335">
        <f>AVERAGE('R1'!J335,'R2'!J335,'R3'!J335)</f>
        <v>1.18</v>
      </c>
      <c r="D335">
        <f>AVERAGE('R1'!K335,'R2'!K335,'R3'!K335)</f>
        <v>22.594403583333332</v>
      </c>
      <c r="E335">
        <f>AVERAGE('R1'!L335,'R2'!L335,'R3'!L335)</f>
        <v>0.10930160182470104</v>
      </c>
      <c r="F335">
        <f>AVERAGE('R1'!M335,'R2'!M335,'R3'!M335)</f>
        <v>1.1219760926781852</v>
      </c>
      <c r="G335">
        <f>AVERAGE('R1'!N335,'R2'!N335,'R3'!N335)</f>
        <v>-3.8320972321536612E-2</v>
      </c>
      <c r="H335">
        <f>AVERAGE('R1'!O335,'R2'!O335,'R3'!O335)</f>
        <v>0.34981289834602131</v>
      </c>
      <c r="I335">
        <f t="shared" si="9"/>
        <v>4443.5660380555546</v>
      </c>
      <c r="K335">
        <f>_xlfn.STDEV.S('R1'!L335,'R2'!L335,'R3'!L335)</f>
        <v>6.7914794496848753E-4</v>
      </c>
      <c r="L335">
        <f>_xlfn.STDEV.S('R1'!M335,'R2'!M335,'R3'!M335)</f>
        <v>3.7436352646405698E-3</v>
      </c>
      <c r="M335">
        <f>_xlfn.STDEV.S('R1'!N335,'R2'!N335,'R3'!N335)</f>
        <v>1.3599769141411093E-3</v>
      </c>
      <c r="N335">
        <f>_xlfn.STDEV.S('R1'!O335,'R2'!O335,'R3'!O335)</f>
        <v>2.9844057569117979E-3</v>
      </c>
    </row>
    <row r="336" spans="1:14" x14ac:dyDescent="0.25">
      <c r="A336">
        <f>-'R1'!H336</f>
        <v>-12</v>
      </c>
      <c r="B336">
        <f>DEGREES(ATAN(-SIN(RADIANS(('R1'!I336)))/(COS(RADIANS(Sheet1!A336))*COS(RADIANS('R1'!I336)))))</f>
        <v>-4.0890625478299265</v>
      </c>
      <c r="C336">
        <f>AVERAGE('R1'!J336,'R2'!J336,'R3'!J336)</f>
        <v>1.18</v>
      </c>
      <c r="D336">
        <f>AVERAGE('R1'!K336,'R2'!K336,'R3'!K336)</f>
        <v>22.214360583333331</v>
      </c>
      <c r="E336">
        <f>AVERAGE('R1'!L336,'R2'!L336,'R3'!L336)</f>
        <v>-0.13977493743266375</v>
      </c>
      <c r="F336">
        <f>AVERAGE('R1'!M336,'R2'!M336,'R3'!M336)</f>
        <v>1.111019314295026</v>
      </c>
      <c r="G336">
        <f>AVERAGE('R1'!N336,'R2'!N336,'R3'!N336)</f>
        <v>-3.4235006098939931E-2</v>
      </c>
      <c r="H336">
        <f>AVERAGE('R1'!O336,'R2'!O336,'R3'!O336)</f>
        <v>0.34294986751746759</v>
      </c>
      <c r="I336">
        <f t="shared" si="9"/>
        <v>4368.8242480555546</v>
      </c>
      <c r="K336">
        <f>_xlfn.STDEV.S('R1'!L336,'R2'!L336,'R3'!L336)</f>
        <v>3.8559701224262625E-3</v>
      </c>
      <c r="L336">
        <f>_xlfn.STDEV.S('R1'!M336,'R2'!M336,'R3'!M336)</f>
        <v>4.8901994602414925E-4</v>
      </c>
      <c r="M336">
        <f>_xlfn.STDEV.S('R1'!N336,'R2'!N336,'R3'!N336)</f>
        <v>2.4312320607933085E-3</v>
      </c>
      <c r="N336">
        <f>_xlfn.STDEV.S('R1'!O336,'R2'!O336,'R3'!O336)</f>
        <v>4.9297685385002836E-3</v>
      </c>
    </row>
    <row r="337" spans="1:14" x14ac:dyDescent="0.25">
      <c r="A337">
        <f>-'R1'!H337</f>
        <v>-12</v>
      </c>
      <c r="B337">
        <f>DEGREES(ATAN(-SIN(RADIANS(('R1'!I337)))/(COS(RADIANS(Sheet1!A337))*COS(RADIANS('R1'!I337)))))</f>
        <v>-8.1763340518815415</v>
      </c>
      <c r="C337">
        <f>AVERAGE('R1'!J337,'R2'!J337,'R3'!J337)</f>
        <v>1.18</v>
      </c>
      <c r="D337">
        <f>AVERAGE('R1'!K337,'R2'!K337,'R3'!K337)</f>
        <v>21.994824583333337</v>
      </c>
      <c r="E337">
        <f>AVERAGE('R1'!L337,'R2'!L337,'R3'!L337)</f>
        <v>-0.38505026640204559</v>
      </c>
      <c r="F337">
        <f>AVERAGE('R1'!M337,'R2'!M337,'R3'!M337)</f>
        <v>1.0450468509585564</v>
      </c>
      <c r="G337">
        <f>AVERAGE('R1'!N337,'R2'!N337,'R3'!N337)</f>
        <v>-5.0713049231340977E-2</v>
      </c>
      <c r="H337">
        <f>AVERAGE('R1'!O337,'R2'!O337,'R3'!O337)</f>
        <v>0.27811235338898926</v>
      </c>
      <c r="I337">
        <f t="shared" si="9"/>
        <v>4325.648834722223</v>
      </c>
      <c r="K337">
        <f>_xlfn.STDEV.S('R1'!L337,'R2'!L337,'R3'!L337)</f>
        <v>7.0142806410569969E-3</v>
      </c>
      <c r="L337">
        <f>_xlfn.STDEV.S('R1'!M337,'R2'!M337,'R3'!M337)</f>
        <v>2.4532535163621309E-3</v>
      </c>
      <c r="M337">
        <f>_xlfn.STDEV.S('R1'!N337,'R2'!N337,'R3'!N337)</f>
        <v>1.395481631629445E-3</v>
      </c>
      <c r="N337">
        <f>_xlfn.STDEV.S('R1'!O337,'R2'!O337,'R3'!O337)</f>
        <v>5.5681893343068629E-3</v>
      </c>
    </row>
    <row r="338" spans="1:14" x14ac:dyDescent="0.25">
      <c r="A338">
        <f>-'R1'!H338</f>
        <v>-12</v>
      </c>
      <c r="B338">
        <f>DEGREES(ATAN(-SIN(RADIANS(('R1'!I338)))/(COS(RADIANS(Sheet1!A338))*COS(RADIANS('R1'!I338)))))</f>
        <v>-12.260062948059348</v>
      </c>
      <c r="C338">
        <f>AVERAGE('R1'!J338,'R2'!J338,'R3'!J338)</f>
        <v>1.18</v>
      </c>
      <c r="D338">
        <f>AVERAGE('R1'!K338,'R2'!K338,'R3'!K338)</f>
        <v>21.750234250000002</v>
      </c>
      <c r="E338">
        <f>AVERAGE('R1'!L338,'R2'!L338,'R3'!L338)</f>
        <v>-0.63575296438121554</v>
      </c>
      <c r="F338">
        <f>AVERAGE('R1'!M338,'R2'!M338,'R3'!M338)</f>
        <v>0.9600614653639038</v>
      </c>
      <c r="G338">
        <f>AVERAGE('R1'!N338,'R2'!N338,'R3'!N338)</f>
        <v>-8.340902916375996E-2</v>
      </c>
      <c r="H338">
        <f>AVERAGE('R1'!O338,'R2'!O338,'R3'!O338)</f>
        <v>0.21985677994616845</v>
      </c>
      <c r="I338">
        <f t="shared" si="9"/>
        <v>4277.5460691666676</v>
      </c>
      <c r="K338">
        <f>_xlfn.STDEV.S('R1'!L338,'R2'!L338,'R3'!L338)</f>
        <v>6.9253109620535233E-3</v>
      </c>
      <c r="L338">
        <f>_xlfn.STDEV.S('R1'!M338,'R2'!M338,'R3'!M338)</f>
        <v>2.1117984448555329E-3</v>
      </c>
      <c r="M338">
        <f>_xlfn.STDEV.S('R1'!N338,'R2'!N338,'R3'!N338)</f>
        <v>2.0868328239743148E-3</v>
      </c>
      <c r="N338">
        <f>_xlfn.STDEV.S('R1'!O338,'R2'!O338,'R3'!O338)</f>
        <v>9.1772662869153265E-3</v>
      </c>
    </row>
    <row r="339" spans="1:14" x14ac:dyDescent="0.25">
      <c r="A339">
        <f>-'R1'!H339</f>
        <v>-12</v>
      </c>
      <c r="B339">
        <f>DEGREES(ATAN(-SIN(RADIANS(('R1'!I339)))/(COS(RADIANS(Sheet1!A339))*COS(RADIANS('R1'!I339)))))</f>
        <v>-16.338575476506957</v>
      </c>
      <c r="C339">
        <f>AVERAGE('R1'!J339,'R2'!J339,'R3'!J339)</f>
        <v>1.18</v>
      </c>
      <c r="D339">
        <f>AVERAGE('R1'!K339,'R2'!K339,'R3'!K339)</f>
        <v>21.929884749999999</v>
      </c>
      <c r="E339">
        <f>AVERAGE('R1'!L339,'R2'!L339,'R3'!L339)</f>
        <v>-0.89104561958596695</v>
      </c>
      <c r="F339">
        <f>AVERAGE('R1'!M339,'R2'!M339,'R3'!M339)</f>
        <v>0.86248896590081969</v>
      </c>
      <c r="G339">
        <f>AVERAGE('R1'!N339,'R2'!N339,'R3'!N339)</f>
        <v>-0.13084789200362906</v>
      </c>
      <c r="H339">
        <f>AVERAGE('R1'!O339,'R2'!O339,'R3'!O339)</f>
        <v>0.14492612070405617</v>
      </c>
      <c r="I339">
        <f t="shared" si="9"/>
        <v>4312.8773341666665</v>
      </c>
      <c r="K339">
        <f>_xlfn.STDEV.S('R1'!L339,'R2'!L339,'R3'!L339)</f>
        <v>1.0563857231933734E-2</v>
      </c>
      <c r="L339">
        <f>_xlfn.STDEV.S('R1'!M339,'R2'!M339,'R3'!M339)</f>
        <v>3.8295708071648714E-3</v>
      </c>
      <c r="M339">
        <f>_xlfn.STDEV.S('R1'!N339,'R2'!N339,'R3'!N339)</f>
        <v>2.6378694359270628E-3</v>
      </c>
      <c r="N339">
        <f>_xlfn.STDEV.S('R1'!O339,'R2'!O339,'R3'!O339)</f>
        <v>7.6645387858625741E-3</v>
      </c>
    </row>
    <row r="340" spans="1:14" x14ac:dyDescent="0.25">
      <c r="A340">
        <f>-'R1'!H340</f>
        <v>-12</v>
      </c>
      <c r="B340">
        <f>DEGREES(ATAN(-SIN(RADIANS(('R1'!I340)))/(COS(RADIANS(Sheet1!A340))*COS(RADIANS('R1'!I340)))))</f>
        <v>-20.410311753659691</v>
      </c>
      <c r="C340">
        <f>AVERAGE('R1'!J340,'R2'!J340,'R3'!J340)</f>
        <v>1.18</v>
      </c>
      <c r="D340">
        <f>AVERAGE('R1'!K340,'R2'!K340,'R3'!K340)</f>
        <v>22.3138155</v>
      </c>
      <c r="E340">
        <f>AVERAGE('R1'!L340,'R2'!L340,'R3'!L340)</f>
        <v>-1.097535687287605</v>
      </c>
      <c r="F340">
        <f>AVERAGE('R1'!M340,'R2'!M340,'R3'!M340)</f>
        <v>0.80682413334798542</v>
      </c>
      <c r="G340">
        <f>AVERAGE('R1'!N340,'R2'!N340,'R3'!N340)</f>
        <v>-0.18635927208182088</v>
      </c>
      <c r="H340">
        <f>AVERAGE('R1'!O340,'R2'!O340,'R3'!O340)</f>
        <v>3.1776308627693338E-2</v>
      </c>
      <c r="I340">
        <f t="shared" si="9"/>
        <v>4388.3837149999999</v>
      </c>
      <c r="K340">
        <f>_xlfn.STDEV.S('R1'!L340,'R2'!L340,'R3'!L340)</f>
        <v>7.3340927715537388E-3</v>
      </c>
      <c r="L340">
        <f>_xlfn.STDEV.S('R1'!M340,'R2'!M340,'R3'!M340)</f>
        <v>4.1107305899441551E-3</v>
      </c>
      <c r="M340">
        <f>_xlfn.STDEV.S('R1'!N340,'R2'!N340,'R3'!N340)</f>
        <v>3.4048435060621395E-3</v>
      </c>
      <c r="N340">
        <f>_xlfn.STDEV.S('R1'!O340,'R2'!O340,'R3'!O340)</f>
        <v>2.4021607804223647E-3</v>
      </c>
    </row>
    <row r="341" spans="1:14" x14ac:dyDescent="0.25">
      <c r="A341">
        <f>-'R1'!H341</f>
        <v>-12</v>
      </c>
      <c r="B341">
        <f>DEGREES(ATAN(-SIN(RADIANS(('R1'!I341)))/(COS(RADIANS(Sheet1!A341))*COS(RADIANS('R1'!I341)))))</f>
        <v>-24.473858605038014</v>
      </c>
      <c r="C341">
        <f>AVERAGE('R1'!J341,'R2'!J341,'R3'!J341)</f>
        <v>1.18</v>
      </c>
      <c r="D341">
        <f>AVERAGE('R1'!K341,'R2'!K341,'R3'!K341)</f>
        <v>22.428031333333333</v>
      </c>
      <c r="E341">
        <f>AVERAGE('R1'!L341,'R2'!L341,'R3'!L341)</f>
        <v>-1.2947105347913326</v>
      </c>
      <c r="F341">
        <f>AVERAGE('R1'!M341,'R2'!M341,'R3'!M341)</f>
        <v>0.77396324453287502</v>
      </c>
      <c r="G341">
        <f>AVERAGE('R1'!N341,'R2'!N341,'R3'!N341)</f>
        <v>-0.26843975890981708</v>
      </c>
      <c r="H341">
        <f>AVERAGE('R1'!O341,'R2'!O341,'R3'!O341)</f>
        <v>-8.9765647019651826E-2</v>
      </c>
      <c r="I341">
        <f t="shared" si="9"/>
        <v>4410.8461622222221</v>
      </c>
      <c r="K341">
        <f>_xlfn.STDEV.S('R1'!L341,'R2'!L341,'R3'!L341)</f>
        <v>2.4487355890296172E-3</v>
      </c>
      <c r="L341">
        <f>_xlfn.STDEV.S('R1'!M341,'R2'!M341,'R3'!M341)</f>
        <v>8.2528384367956437E-4</v>
      </c>
      <c r="M341">
        <f>_xlfn.STDEV.S('R1'!N341,'R2'!N341,'R3'!N341)</f>
        <v>2.7540113337561302E-3</v>
      </c>
      <c r="N341">
        <f>_xlfn.STDEV.S('R1'!O341,'R2'!O341,'R3'!O341)</f>
        <v>1.2557453430961662E-3</v>
      </c>
    </row>
    <row r="342" spans="1:14" x14ac:dyDescent="0.25">
      <c r="A342">
        <f>-'R1'!H342</f>
        <v>-12</v>
      </c>
      <c r="B342">
        <f>DEGREES(ATAN(-SIN(RADIANS(('R1'!I342)))/(COS(RADIANS(Sheet1!A342))*COS(RADIANS('R1'!I342)))))</f>
        <v>-28.527978326363606</v>
      </c>
      <c r="C342">
        <f>AVERAGE('R1'!J342,'R2'!J342,'R3'!J342)</f>
        <v>1.18</v>
      </c>
      <c r="D342">
        <f>AVERAGE('R1'!K342,'R2'!K342,'R3'!K342)</f>
        <v>22.57648725</v>
      </c>
      <c r="E342">
        <f>AVERAGE('R1'!L342,'R2'!L342,'R3'!L342)</f>
        <v>-1.4580121836699833</v>
      </c>
      <c r="F342">
        <f>AVERAGE('R1'!M342,'R2'!M342,'R3'!M342)</f>
        <v>0.7904766315785049</v>
      </c>
      <c r="G342">
        <f>AVERAGE('R1'!N342,'R2'!N342,'R3'!N342)</f>
        <v>-0.36779689006380928</v>
      </c>
      <c r="H342">
        <f>AVERAGE('R1'!O342,'R2'!O342,'R3'!O342)</f>
        <v>-0.22675742023693901</v>
      </c>
      <c r="I342">
        <f t="shared" si="9"/>
        <v>4440.0424924999998</v>
      </c>
      <c r="K342">
        <f>_xlfn.STDEV.S('R1'!L342,'R2'!L342,'R3'!L342)</f>
        <v>2.7773407758693159E-3</v>
      </c>
      <c r="L342">
        <f>_xlfn.STDEV.S('R1'!M342,'R2'!M342,'R3'!M342)</f>
        <v>1.3507387794575896E-3</v>
      </c>
      <c r="M342">
        <f>_xlfn.STDEV.S('R1'!N342,'R2'!N342,'R3'!N342)</f>
        <v>8.0531902242846271E-4</v>
      </c>
      <c r="N342">
        <f>_xlfn.STDEV.S('R1'!O342,'R2'!O342,'R3'!O342)</f>
        <v>2.5671315420104498E-3</v>
      </c>
    </row>
    <row r="343" spans="1:14" x14ac:dyDescent="0.25">
      <c r="A343">
        <f>-'R1'!H343</f>
        <v>-12</v>
      </c>
      <c r="B343">
        <f>DEGREES(ATAN(-SIN(RADIANS(('R1'!I343)))/(COS(RADIANS(Sheet1!A343))*COS(RADIANS('R1'!I343)))))</f>
        <v>-32.571632726288172</v>
      </c>
      <c r="C343">
        <f>AVERAGE('R1'!J343,'R2'!J343,'R3'!J343)</f>
        <v>1.18</v>
      </c>
      <c r="D343">
        <f>AVERAGE('R1'!K343,'R2'!K343,'R3'!K343)</f>
        <v>22.702442666666666</v>
      </c>
      <c r="E343">
        <f>AVERAGE('R1'!L343,'R2'!L343,'R3'!L343)</f>
        <v>-1.6003798838861034</v>
      </c>
      <c r="F343">
        <f>AVERAGE('R1'!M343,'R2'!M343,'R3'!M343)</f>
        <v>0.84848418866032704</v>
      </c>
      <c r="G343">
        <f>AVERAGE('R1'!N343,'R2'!N343,'R3'!N343)</f>
        <v>-0.49148381033849509</v>
      </c>
      <c r="H343">
        <f>AVERAGE('R1'!O343,'R2'!O343,'R3'!O343)</f>
        <v>-0.3826599562718605</v>
      </c>
      <c r="I343">
        <f t="shared" si="9"/>
        <v>4464.8137244444442</v>
      </c>
      <c r="K343">
        <f>_xlfn.STDEV.S('R1'!L343,'R2'!L343,'R3'!L343)</f>
        <v>3.2435572286372552E-3</v>
      </c>
      <c r="L343">
        <f>_xlfn.STDEV.S('R1'!M343,'R2'!M343,'R3'!M343)</f>
        <v>1.809310457507457E-3</v>
      </c>
      <c r="M343">
        <f>_xlfn.STDEV.S('R1'!N343,'R2'!N343,'R3'!N343)</f>
        <v>6.9812614926359441E-3</v>
      </c>
      <c r="N343">
        <f>_xlfn.STDEV.S('R1'!O343,'R2'!O343,'R3'!O343)</f>
        <v>6.5317610378498444E-3</v>
      </c>
    </row>
    <row r="344" spans="1:14" x14ac:dyDescent="0.25">
      <c r="A344">
        <f>-'R1'!H344</f>
        <v>-12</v>
      </c>
      <c r="B344">
        <f>DEGREES(ATAN(-SIN(RADIANS(('R1'!I344)))/(COS(RADIANS(Sheet1!A344))*COS(RADIANS('R1'!I344)))))</f>
        <v>-36.604002006988381</v>
      </c>
      <c r="C344">
        <f>AVERAGE('R1'!J344,'R2'!J344,'R3'!J344)</f>
        <v>1.18</v>
      </c>
      <c r="D344">
        <f>AVERAGE('R1'!K344,'R2'!K344,'R3'!K344)</f>
        <v>22.630646083333335</v>
      </c>
      <c r="E344">
        <f>AVERAGE('R1'!L344,'R2'!L344,'R3'!L344)</f>
        <v>-1.7628320767593901</v>
      </c>
      <c r="F344">
        <f>AVERAGE('R1'!M344,'R2'!M344,'R3'!M344)</f>
        <v>0.92128790961005225</v>
      </c>
      <c r="G344">
        <f>AVERAGE('R1'!N344,'R2'!N344,'R3'!N344)</f>
        <v>-0.64183414424131302</v>
      </c>
      <c r="H344">
        <f>AVERAGE('R1'!O344,'R2'!O344,'R3'!O344)</f>
        <v>-0.54739397498447218</v>
      </c>
      <c r="I344">
        <f t="shared" si="9"/>
        <v>4450.693729722223</v>
      </c>
      <c r="K344">
        <f>_xlfn.STDEV.S('R1'!L344,'R2'!L344,'R3'!L344)</f>
        <v>3.3684658742505042E-3</v>
      </c>
      <c r="L344">
        <f>_xlfn.STDEV.S('R1'!M344,'R2'!M344,'R3'!M344)</f>
        <v>1.041461350465609E-3</v>
      </c>
      <c r="M344">
        <f>_xlfn.STDEV.S('R1'!N344,'R2'!N344,'R3'!N344)</f>
        <v>2.9102767811808308E-3</v>
      </c>
      <c r="N344">
        <f>_xlfn.STDEV.S('R1'!O344,'R2'!O344,'R3'!O344)</f>
        <v>1.6401435191223976E-3</v>
      </c>
    </row>
    <row r="345" spans="1:14" x14ac:dyDescent="0.25">
      <c r="A345">
        <f>-'R1'!H345</f>
        <v>-12</v>
      </c>
      <c r="B345">
        <f>DEGREES(ATAN(-SIN(RADIANS(('R1'!I345)))/(COS(RADIANS(Sheet1!A345))*COS(RADIANS('R1'!I345)))))</f>
        <v>-40.624498244732152</v>
      </c>
      <c r="C345">
        <f>AVERAGE('R1'!J345,'R2'!J345,'R3'!J345)</f>
        <v>1.18</v>
      </c>
      <c r="D345">
        <f>AVERAGE('R1'!K345,'R2'!K345,'R3'!K345)</f>
        <v>22.401098666666666</v>
      </c>
      <c r="E345">
        <f>AVERAGE('R1'!L345,'R2'!L345,'R3'!L345)</f>
        <v>-1.9744417232534335</v>
      </c>
      <c r="F345">
        <f>AVERAGE('R1'!M345,'R2'!M345,'R3'!M345)</f>
        <v>1.003615713762114</v>
      </c>
      <c r="G345">
        <f>AVERAGE('R1'!N345,'R2'!N345,'R3'!N345)</f>
        <v>-0.85278410879700528</v>
      </c>
      <c r="H345">
        <f>AVERAGE('R1'!O345,'R2'!O345,'R3'!O345)</f>
        <v>-0.72766217100064468</v>
      </c>
      <c r="I345">
        <f t="shared" si="9"/>
        <v>4405.5494044444449</v>
      </c>
      <c r="K345">
        <f>_xlfn.STDEV.S('R1'!L345,'R2'!L345,'R3'!L345)</f>
        <v>5.4471800866424365E-3</v>
      </c>
      <c r="L345">
        <f>_xlfn.STDEV.S('R1'!M345,'R2'!M345,'R3'!M345)</f>
        <v>3.0743255530669119E-3</v>
      </c>
      <c r="M345">
        <f>_xlfn.STDEV.S('R1'!N345,'R2'!N345,'R3'!N345)</f>
        <v>4.2603127301706276E-3</v>
      </c>
      <c r="N345">
        <f>_xlfn.STDEV.S('R1'!O345,'R2'!O345,'R3'!O345)</f>
        <v>1.4459695768817863E-3</v>
      </c>
    </row>
    <row r="346" spans="1:14" x14ac:dyDescent="0.25">
      <c r="A346">
        <f>-'R1'!H346</f>
        <v>-12</v>
      </c>
      <c r="B346">
        <f>DEGREES(ATAN(-SIN(RADIANS(('R1'!I346)))/(COS(RADIANS(Sheet1!A346))*COS(RADIANS('R1'!I346)))))</f>
        <v>-44.632773428056808</v>
      </c>
      <c r="C346">
        <f>AVERAGE('R1'!J346,'R2'!J346,'R3'!J346)</f>
        <v>1.18</v>
      </c>
      <c r="D346">
        <f>AVERAGE('R1'!K346,'R2'!K346,'R3'!K346)</f>
        <v>22.113798083333336</v>
      </c>
      <c r="E346">
        <f>AVERAGE('R1'!L346,'R2'!L346,'R3'!L346)</f>
        <v>-2.251590118168922</v>
      </c>
      <c r="F346">
        <f>AVERAGE('R1'!M346,'R2'!M346,'R3'!M346)</f>
        <v>1.108972126435853</v>
      </c>
      <c r="G346">
        <f>AVERAGE('R1'!N346,'R2'!N346,'R3'!N346)</f>
        <v>-1.1399310214506393</v>
      </c>
      <c r="H346">
        <f>AVERAGE('R1'!O346,'R2'!O346,'R3'!O346)</f>
        <v>-0.94398429926973171</v>
      </c>
      <c r="I346">
        <f t="shared" si="9"/>
        <v>4349.0469563888892</v>
      </c>
      <c r="K346">
        <f>_xlfn.STDEV.S('R1'!L346,'R2'!L346,'R3'!L346)</f>
        <v>2.9996685145187323E-3</v>
      </c>
      <c r="L346">
        <f>_xlfn.STDEV.S('R1'!M346,'R2'!M346,'R3'!M346)</f>
        <v>2.4582281494199623E-3</v>
      </c>
      <c r="M346">
        <f>_xlfn.STDEV.S('R1'!N346,'R2'!N346,'R3'!N346)</f>
        <v>1.3112907232148126E-3</v>
      </c>
      <c r="N346">
        <f>_xlfn.STDEV.S('R1'!O346,'R2'!O346,'R3'!O346)</f>
        <v>2.3089902930000989E-3</v>
      </c>
    </row>
    <row r="347" spans="1:14" x14ac:dyDescent="0.25">
      <c r="A347">
        <f>-'R1'!H347</f>
        <v>-16</v>
      </c>
      <c r="B347">
        <f>DEGREES(ATAN(-SIN(RADIANS(('R1'!I347)))/(COS(RADIANS(Sheet1!A347))*COS(RADIANS('R1'!I347)))))</f>
        <v>45.131634150601585</v>
      </c>
      <c r="C347">
        <f>AVERAGE('R1'!J347,'R2'!J347,'R3'!J347)</f>
        <v>1.18</v>
      </c>
      <c r="D347">
        <f>AVERAGE('R1'!K347,'R2'!K347,'R3'!K347)</f>
        <v>22.040293999999999</v>
      </c>
      <c r="E347">
        <f>AVERAGE('R1'!L347,'R2'!L347,'R3'!L347)</f>
        <v>2.32320166398322</v>
      </c>
      <c r="F347">
        <f>AVERAGE('R1'!M347,'R2'!M347,'R3'!M347)</f>
        <v>1.4528216852600491</v>
      </c>
      <c r="G347">
        <f>AVERAGE('R1'!N347,'R2'!N347,'R3'!N347)</f>
        <v>-1.3554899338027819</v>
      </c>
      <c r="H347">
        <f>AVERAGE('R1'!O347,'R2'!O347,'R3'!O347)</f>
        <v>-1.1838485636042098</v>
      </c>
      <c r="I347">
        <f t="shared" si="9"/>
        <v>4334.5911533333328</v>
      </c>
      <c r="K347">
        <f>_xlfn.STDEV.S('R1'!L347,'R2'!L347,'R3'!L347)</f>
        <v>9.8329363083399964E-3</v>
      </c>
      <c r="L347">
        <f>_xlfn.STDEV.S('R1'!M347,'R2'!M347,'R3'!M347)</f>
        <v>6.59106468392403E-3</v>
      </c>
      <c r="M347">
        <f>_xlfn.STDEV.S('R1'!N347,'R2'!N347,'R3'!N347)</f>
        <v>1.11956254737305E-2</v>
      </c>
      <c r="N347">
        <f>_xlfn.STDEV.S('R1'!O347,'R2'!O347,'R3'!O347)</f>
        <v>2.2257938925703165E-3</v>
      </c>
    </row>
    <row r="348" spans="1:14" x14ac:dyDescent="0.25">
      <c r="A348">
        <f>-'R1'!H348</f>
        <v>-16</v>
      </c>
      <c r="B348">
        <f>DEGREES(ATAN(-SIN(RADIANS(('R1'!I348)))/(COS(RADIANS(Sheet1!A348))*COS(RADIANS('R1'!I348)))))</f>
        <v>41.118191358294368</v>
      </c>
      <c r="C348">
        <f>AVERAGE('R1'!J348,'R2'!J348,'R3'!J348)</f>
        <v>1.18</v>
      </c>
      <c r="D348">
        <f>AVERAGE('R1'!K348,'R2'!K348,'R3'!K348)</f>
        <v>22.13918133333333</v>
      </c>
      <c r="E348">
        <f>AVERAGE('R1'!L348,'R2'!L348,'R3'!L348)</f>
        <v>2.0534913530221983</v>
      </c>
      <c r="F348">
        <f>AVERAGE('R1'!M348,'R2'!M348,'R3'!M348)</f>
        <v>1.30831325479421</v>
      </c>
      <c r="G348">
        <f>AVERAGE('R1'!N348,'R2'!N348,'R3'!N348)</f>
        <v>-1.0440790110617357</v>
      </c>
      <c r="H348">
        <f>AVERAGE('R1'!O348,'R2'!O348,'R3'!O348)</f>
        <v>-0.95854763628873652</v>
      </c>
      <c r="I348">
        <f t="shared" si="9"/>
        <v>4354.0389955555547</v>
      </c>
      <c r="K348">
        <f>_xlfn.STDEV.S('R1'!L348,'R2'!L348,'R3'!L348)</f>
        <v>2.8002381205862051E-3</v>
      </c>
      <c r="L348">
        <f>_xlfn.STDEV.S('R1'!M348,'R2'!M348,'R3'!M348)</f>
        <v>5.2338394331561105E-3</v>
      </c>
      <c r="M348">
        <f>_xlfn.STDEV.S('R1'!N348,'R2'!N348,'R3'!N348)</f>
        <v>1.5338214899481321E-3</v>
      </c>
      <c r="N348">
        <f>_xlfn.STDEV.S('R1'!O348,'R2'!O348,'R3'!O348)</f>
        <v>3.3079548792126472E-3</v>
      </c>
    </row>
    <row r="349" spans="1:14" x14ac:dyDescent="0.25">
      <c r="A349">
        <f>-'R1'!H349</f>
        <v>-16</v>
      </c>
      <c r="B349">
        <f>DEGREES(ATAN(-SIN(RADIANS(('R1'!I349)))/(COS(RADIANS(Sheet1!A349))*COS(RADIANS('R1'!I349)))))</f>
        <v>37.082782431142171</v>
      </c>
      <c r="C349">
        <f>AVERAGE('R1'!J349,'R2'!J349,'R3'!J349)</f>
        <v>1.18</v>
      </c>
      <c r="D349">
        <f>AVERAGE('R1'!K349,'R2'!K349,'R3'!K349)</f>
        <v>22.281117333333331</v>
      </c>
      <c r="E349">
        <f>AVERAGE('R1'!L349,'R2'!L349,'R3'!L349)</f>
        <v>1.8398487317185681</v>
      </c>
      <c r="F349">
        <f>AVERAGE('R1'!M349,'R2'!M349,'R3'!M349)</f>
        <v>1.2069649306493446</v>
      </c>
      <c r="G349">
        <f>AVERAGE('R1'!N349,'R2'!N349,'R3'!N349)</f>
        <v>-0.81522687969617513</v>
      </c>
      <c r="H349">
        <f>AVERAGE('R1'!O349,'R2'!O349,'R3'!O349)</f>
        <v>-0.77613007433999304</v>
      </c>
      <c r="I349">
        <f t="shared" si="9"/>
        <v>4381.9530755555552</v>
      </c>
      <c r="K349">
        <f>_xlfn.STDEV.S('R1'!L349,'R2'!L349,'R3'!L349)</f>
        <v>6.8810259383761318E-3</v>
      </c>
      <c r="L349">
        <f>_xlfn.STDEV.S('R1'!M349,'R2'!M349,'R3'!M349)</f>
        <v>2.4574606037767936E-3</v>
      </c>
      <c r="M349">
        <f>_xlfn.STDEV.S('R1'!N349,'R2'!N349,'R3'!N349)</f>
        <v>1.8168221135750732E-3</v>
      </c>
      <c r="N349">
        <f>_xlfn.STDEV.S('R1'!O349,'R2'!O349,'R3'!O349)</f>
        <v>1.5879886288538245E-3</v>
      </c>
    </row>
    <row r="350" spans="1:14" x14ac:dyDescent="0.25">
      <c r="A350">
        <f>-'R1'!H350</f>
        <v>-16</v>
      </c>
      <c r="B350">
        <f>DEGREES(ATAN(-SIN(RADIANS(('R1'!I350)))/(COS(RADIANS(Sheet1!A350))*COS(RADIANS('R1'!I350)))))</f>
        <v>33.025931133441695</v>
      </c>
      <c r="C350">
        <f>AVERAGE('R1'!J350,'R2'!J350,'R3'!J350)</f>
        <v>1.18</v>
      </c>
      <c r="D350">
        <f>AVERAGE('R1'!K350,'R2'!K350,'R3'!K350)</f>
        <v>22.453741499999996</v>
      </c>
      <c r="E350">
        <f>AVERAGE('R1'!L350,'R2'!L350,'R3'!L350)</f>
        <v>1.665386861491944</v>
      </c>
      <c r="F350">
        <f>AVERAGE('R1'!M350,'R2'!M350,'R3'!M350)</f>
        <v>1.1338768894248055</v>
      </c>
      <c r="G350">
        <f>AVERAGE('R1'!N350,'R2'!N350,'R3'!N350)</f>
        <v>-0.64203464065557592</v>
      </c>
      <c r="H350">
        <f>AVERAGE('R1'!O350,'R2'!O350,'R3'!O350)</f>
        <v>-0.61442913758957263</v>
      </c>
      <c r="I350">
        <f t="shared" si="9"/>
        <v>4415.9024949999994</v>
      </c>
      <c r="K350">
        <f>_xlfn.STDEV.S('R1'!L350,'R2'!L350,'R3'!L350)</f>
        <v>4.4638629119431597E-3</v>
      </c>
      <c r="L350">
        <f>_xlfn.STDEV.S('R1'!M350,'R2'!M350,'R3'!M350)</f>
        <v>3.0933283271297046E-3</v>
      </c>
      <c r="M350">
        <f>_xlfn.STDEV.S('R1'!N350,'R2'!N350,'R3'!N350)</f>
        <v>4.3878521005001805E-3</v>
      </c>
      <c r="N350">
        <f>_xlfn.STDEV.S('R1'!O350,'R2'!O350,'R3'!O350)</f>
        <v>4.2085520062514724E-3</v>
      </c>
    </row>
    <row r="351" spans="1:14" x14ac:dyDescent="0.25">
      <c r="A351">
        <f>-'R1'!H351</f>
        <v>-16</v>
      </c>
      <c r="B351">
        <f>DEGREES(ATAN(-SIN(RADIANS(('R1'!I351)))/(COS(RADIANS(Sheet1!A351))*COS(RADIANS('R1'!I351)))))</f>
        <v>28.948605633454871</v>
      </c>
      <c r="C351">
        <f>AVERAGE('R1'!J351,'R2'!J351,'R3'!J351)</f>
        <v>1.18</v>
      </c>
      <c r="D351">
        <f>AVERAGE('R1'!K351,'R2'!K351,'R3'!K351)</f>
        <v>22.549750083333333</v>
      </c>
      <c r="E351">
        <f>AVERAGE('R1'!L351,'R2'!L351,'R3'!L351)</f>
        <v>1.5173053245536348</v>
      </c>
      <c r="F351">
        <f>AVERAGE('R1'!M351,'R2'!M351,'R3'!M351)</f>
        <v>1.0762841453992504</v>
      </c>
      <c r="G351">
        <f>AVERAGE('R1'!N351,'R2'!N351,'R3'!N351)</f>
        <v>-0.50766754796044766</v>
      </c>
      <c r="H351">
        <f>AVERAGE('R1'!O351,'R2'!O351,'R3'!O351)</f>
        <v>-0.46306617525079125</v>
      </c>
      <c r="I351">
        <f t="shared" si="9"/>
        <v>4434.7841830555553</v>
      </c>
      <c r="K351">
        <f>_xlfn.STDEV.S('R1'!L351,'R2'!L351,'R3'!L351)</f>
        <v>2.1589679329947231E-3</v>
      </c>
      <c r="L351">
        <f>_xlfn.STDEV.S('R1'!M351,'R2'!M351,'R3'!M351)</f>
        <v>2.8054309259839851E-3</v>
      </c>
      <c r="M351">
        <f>_xlfn.STDEV.S('R1'!N351,'R2'!N351,'R3'!N351)</f>
        <v>1.5592956942665592E-3</v>
      </c>
      <c r="N351">
        <f>_xlfn.STDEV.S('R1'!O351,'R2'!O351,'R3'!O351)</f>
        <v>4.7343110273194286E-3</v>
      </c>
    </row>
    <row r="352" spans="1:14" x14ac:dyDescent="0.25">
      <c r="A352">
        <f>-'R1'!H352</f>
        <v>-16</v>
      </c>
      <c r="B352">
        <f>DEGREES(ATAN(-SIN(RADIANS(('R1'!I352)))/(COS(RADIANS(Sheet1!A352))*COS(RADIANS('R1'!I352)))))</f>
        <v>24.852211192112133</v>
      </c>
      <c r="C352">
        <f>AVERAGE('R1'!J352,'R2'!J352,'R3'!J352)</f>
        <v>1.18</v>
      </c>
      <c r="D352">
        <f>AVERAGE('R1'!K352,'R2'!K352,'R3'!K352)</f>
        <v>22.666064416666668</v>
      </c>
      <c r="E352">
        <f>AVERAGE('R1'!L352,'R2'!L352,'R3'!L352)</f>
        <v>1.3580774783837457</v>
      </c>
      <c r="F352">
        <f>AVERAGE('R1'!M352,'R2'!M352,'R3'!M352)</f>
        <v>1.0364569461748021</v>
      </c>
      <c r="G352">
        <f>AVERAGE('R1'!N352,'R2'!N352,'R3'!N352)</f>
        <v>-0.39607444365964611</v>
      </c>
      <c r="H352">
        <f>AVERAGE('R1'!O352,'R2'!O352,'R3'!O352)</f>
        <v>-0.32149335706732712</v>
      </c>
      <c r="I352">
        <f t="shared" si="9"/>
        <v>4457.6593352777782</v>
      </c>
      <c r="K352">
        <f>_xlfn.STDEV.S('R1'!L352,'R2'!L352,'R3'!L352)</f>
        <v>2.0269852510131116E-3</v>
      </c>
      <c r="L352">
        <f>_xlfn.STDEV.S('R1'!M352,'R2'!M352,'R3'!M352)</f>
        <v>1.8672269119760282E-3</v>
      </c>
      <c r="M352">
        <f>_xlfn.STDEV.S('R1'!N352,'R2'!N352,'R3'!N352)</f>
        <v>1.9625821209317408E-3</v>
      </c>
      <c r="N352">
        <f>_xlfn.STDEV.S('R1'!O352,'R2'!O352,'R3'!O352)</f>
        <v>9.9401416941968519E-4</v>
      </c>
    </row>
    <row r="353" spans="1:14" x14ac:dyDescent="0.25">
      <c r="A353">
        <f>-'R1'!H353</f>
        <v>-16</v>
      </c>
      <c r="B353">
        <f>DEGREES(ATAN(-SIN(RADIANS(('R1'!I353)))/(COS(RADIANS(Sheet1!A353))*COS(RADIANS('R1'!I353)))))</f>
        <v>20.738571475352053</v>
      </c>
      <c r="C353">
        <f>AVERAGE('R1'!J353,'R2'!J353,'R3'!J353)</f>
        <v>1.18</v>
      </c>
      <c r="D353">
        <f>AVERAGE('R1'!K353,'R2'!K353,'R3'!K353)</f>
        <v>22.676089833333332</v>
      </c>
      <c r="E353">
        <f>AVERAGE('R1'!L353,'R2'!L353,'R3'!L353)</f>
        <v>1.1974376223117336</v>
      </c>
      <c r="F353">
        <f>AVERAGE('R1'!M353,'R2'!M353,'R3'!M353)</f>
        <v>1.0242963774506524</v>
      </c>
      <c r="G353">
        <f>AVERAGE('R1'!N353,'R2'!N353,'R3'!N353)</f>
        <v>-0.30685441271883829</v>
      </c>
      <c r="H353">
        <f>AVERAGE('R1'!O353,'R2'!O353,'R3'!O353)</f>
        <v>-0.18650190566785474</v>
      </c>
      <c r="I353">
        <f t="shared" si="9"/>
        <v>4459.6310005555551</v>
      </c>
      <c r="K353">
        <f>_xlfn.STDEV.S('R1'!L353,'R2'!L353,'R3'!L353)</f>
        <v>5.0043784114124322E-3</v>
      </c>
      <c r="L353">
        <f>_xlfn.STDEV.S('R1'!M353,'R2'!M353,'R3'!M353)</f>
        <v>4.820432886369551E-3</v>
      </c>
      <c r="M353">
        <f>_xlfn.STDEV.S('R1'!N353,'R2'!N353,'R3'!N353)</f>
        <v>4.530897287180119E-3</v>
      </c>
      <c r="N353">
        <f>_xlfn.STDEV.S('R1'!O353,'R2'!O353,'R3'!O353)</f>
        <v>3.5690979929621407E-3</v>
      </c>
    </row>
    <row r="354" spans="1:14" x14ac:dyDescent="0.25">
      <c r="A354">
        <f>-'R1'!H354</f>
        <v>-16</v>
      </c>
      <c r="B354">
        <f>DEGREES(ATAN(-SIN(RADIANS(('R1'!I354)))/(COS(RADIANS(Sheet1!A354))*COS(RADIANS('R1'!I354)))))</f>
        <v>16.609898016932938</v>
      </c>
      <c r="C354">
        <f>AVERAGE('R1'!J354,'R2'!J354,'R3'!J354)</f>
        <v>1.18</v>
      </c>
      <c r="D354">
        <f>AVERAGE('R1'!K354,'R2'!K354,'R3'!K354)</f>
        <v>22.312929333333333</v>
      </c>
      <c r="E354">
        <f>AVERAGE('R1'!L354,'R2'!L354,'R3'!L354)</f>
        <v>0.9993190801555899</v>
      </c>
      <c r="F354">
        <f>AVERAGE('R1'!M354,'R2'!M354,'R3'!M354)</f>
        <v>1.0462337390381056</v>
      </c>
      <c r="G354">
        <f>AVERAGE('R1'!N354,'R2'!N354,'R3'!N354)</f>
        <v>-0.22973404730106783</v>
      </c>
      <c r="H354">
        <f>AVERAGE('R1'!O354,'R2'!O354,'R3'!O354)</f>
        <v>-5.8864942171291706E-2</v>
      </c>
      <c r="I354">
        <f t="shared" si="9"/>
        <v>4388.2094355555555</v>
      </c>
      <c r="K354">
        <f>_xlfn.STDEV.S('R1'!L354,'R2'!L354,'R3'!L354)</f>
        <v>7.2003653300304173E-3</v>
      </c>
      <c r="L354">
        <f>_xlfn.STDEV.S('R1'!M354,'R2'!M354,'R3'!M354)</f>
        <v>1.9833884415403217E-3</v>
      </c>
      <c r="M354">
        <f>_xlfn.STDEV.S('R1'!N354,'R2'!N354,'R3'!N354)</f>
        <v>3.4767490292859958E-3</v>
      </c>
      <c r="N354">
        <f>_xlfn.STDEV.S('R1'!O354,'R2'!O354,'R3'!O354)</f>
        <v>2.5295349185328608E-3</v>
      </c>
    </row>
    <row r="355" spans="1:14" x14ac:dyDescent="0.25">
      <c r="A355">
        <f>-'R1'!H355</f>
        <v>-16</v>
      </c>
      <c r="B355">
        <f>DEGREES(ATAN(-SIN(RADIANS(('R1'!I355)))/(COS(RADIANS(Sheet1!A355))*COS(RADIANS('R1'!I355)))))</f>
        <v>12.468747879350856</v>
      </c>
      <c r="C355">
        <f>AVERAGE('R1'!J355,'R2'!J355,'R3'!J355)</f>
        <v>1.18</v>
      </c>
      <c r="D355">
        <f>AVERAGE('R1'!K355,'R2'!K355,'R3'!K355)</f>
        <v>22.040754249999996</v>
      </c>
      <c r="E355">
        <f>AVERAGE('R1'!L355,'R2'!L355,'R3'!L355)</f>
        <v>0.77483711493664498</v>
      </c>
      <c r="F355">
        <f>AVERAGE('R1'!M355,'R2'!M355,'R3'!M355)</f>
        <v>1.1090935561225421</v>
      </c>
      <c r="G355">
        <f>AVERAGE('R1'!N355,'R2'!N355,'R3'!N355)</f>
        <v>-0.17205061787978945</v>
      </c>
      <c r="H355">
        <f>AVERAGE('R1'!O355,'R2'!O355,'R3'!O355)</f>
        <v>3.759705533653223E-2</v>
      </c>
      <c r="I355">
        <f t="shared" si="9"/>
        <v>4334.6816691666654</v>
      </c>
      <c r="K355">
        <f>_xlfn.STDEV.S('R1'!L355,'R2'!L355,'R3'!L355)</f>
        <v>3.1291272123294312E-3</v>
      </c>
      <c r="L355">
        <f>_xlfn.STDEV.S('R1'!M355,'R2'!M355,'R3'!M355)</f>
        <v>3.6919749085085546E-3</v>
      </c>
      <c r="M355">
        <f>_xlfn.STDEV.S('R1'!N355,'R2'!N355,'R3'!N355)</f>
        <v>1.3036648292436431E-3</v>
      </c>
      <c r="N355">
        <f>_xlfn.STDEV.S('R1'!O355,'R2'!O355,'R3'!O355)</f>
        <v>9.9029140843952031E-3</v>
      </c>
    </row>
    <row r="356" spans="1:14" x14ac:dyDescent="0.25">
      <c r="A356">
        <f>-'R1'!H356</f>
        <v>-16</v>
      </c>
      <c r="B356">
        <f>DEGREES(ATAN(-SIN(RADIANS(('R1'!I356)))/(COS(RADIANS(Sheet1!A356))*COS(RADIANS('R1'!I356)))))</f>
        <v>8.3179701536192301</v>
      </c>
      <c r="C356">
        <f>AVERAGE('R1'!J356,'R2'!J356,'R3'!J356)</f>
        <v>1.18</v>
      </c>
      <c r="D356">
        <f>AVERAGE('R1'!K356,'R2'!K356,'R3'!K356)</f>
        <v>22.174421083333332</v>
      </c>
      <c r="E356">
        <f>AVERAGE('R1'!L356,'R2'!L356,'R3'!L356)</f>
        <v>0.53448006921159019</v>
      </c>
      <c r="F356">
        <f>AVERAGE('R1'!M356,'R2'!M356,'R3'!M356)</f>
        <v>1.190999321459917</v>
      </c>
      <c r="G356">
        <f>AVERAGE('R1'!N356,'R2'!N356,'R3'!N356)</f>
        <v>-0.12867040430104604</v>
      </c>
      <c r="H356">
        <f>AVERAGE('R1'!O356,'R2'!O356,'R3'!O356)</f>
        <v>9.6900809479741667E-2</v>
      </c>
      <c r="I356">
        <f t="shared" si="9"/>
        <v>4360.9694797222228</v>
      </c>
      <c r="K356">
        <f>_xlfn.STDEV.S('R1'!L356,'R2'!L356,'R3'!L356)</f>
        <v>9.8439834076489135E-3</v>
      </c>
      <c r="L356">
        <f>_xlfn.STDEV.S('R1'!M356,'R2'!M356,'R3'!M356)</f>
        <v>6.6552442466750938E-3</v>
      </c>
      <c r="M356">
        <f>_xlfn.STDEV.S('R1'!N356,'R2'!N356,'R3'!N356)</f>
        <v>8.0724600480122091E-4</v>
      </c>
      <c r="N356">
        <f>_xlfn.STDEV.S('R1'!O356,'R2'!O356,'R3'!O356)</f>
        <v>1.1619076813589757E-2</v>
      </c>
    </row>
    <row r="357" spans="1:14" x14ac:dyDescent="0.25">
      <c r="A357">
        <f>-'R1'!H357</f>
        <v>-16</v>
      </c>
      <c r="B357">
        <f>DEGREES(ATAN(-SIN(RADIANS(('R1'!I357)))/(COS(RADIANS(Sheet1!A357))*COS(RADIANS('R1'!I357)))))</f>
        <v>4.1606425592731879</v>
      </c>
      <c r="C357">
        <f>AVERAGE('R1'!J357,'R2'!J357,'R3'!J357)</f>
        <v>1.18</v>
      </c>
      <c r="D357">
        <f>AVERAGE('R1'!K357,'R2'!K357,'R3'!K357)</f>
        <v>22.083761083333332</v>
      </c>
      <c r="E357">
        <f>AVERAGE('R1'!L357,'R2'!L357,'R3'!L357)</f>
        <v>0.30259684209249921</v>
      </c>
      <c r="F357">
        <f>AVERAGE('R1'!M357,'R2'!M357,'R3'!M357)</f>
        <v>1.259522836884817</v>
      </c>
      <c r="G357">
        <f>AVERAGE('R1'!N357,'R2'!N357,'R3'!N357)</f>
        <v>-9.7121747544046691E-2</v>
      </c>
      <c r="H357">
        <f>AVERAGE('R1'!O357,'R2'!O357,'R3'!O357)</f>
        <v>0.16337659550141767</v>
      </c>
      <c r="I357">
        <f t="shared" si="9"/>
        <v>4343.1396797222214</v>
      </c>
      <c r="K357">
        <f>_xlfn.STDEV.S('R1'!L357,'R2'!L357,'R3'!L357)</f>
        <v>1.2217752931341266E-3</v>
      </c>
      <c r="L357">
        <f>_xlfn.STDEV.S('R1'!M357,'R2'!M357,'R3'!M357)</f>
        <v>4.0917573061015811E-4</v>
      </c>
      <c r="M357">
        <f>_xlfn.STDEV.S('R1'!N357,'R2'!N357,'R3'!N357)</f>
        <v>2.289572498880598E-3</v>
      </c>
      <c r="N357">
        <f>_xlfn.STDEV.S('R1'!O357,'R2'!O357,'R3'!O357)</f>
        <v>1.2309374962933485E-3</v>
      </c>
    </row>
    <row r="358" spans="1:14" x14ac:dyDescent="0.25">
      <c r="A358">
        <f>-'R1'!H358</f>
        <v>-16</v>
      </c>
      <c r="B358">
        <f>DEGREES(ATAN(-SIN(RADIANS(('R1'!I358)))/(COS(RADIANS(Sheet1!A358))*COS(RADIANS('R1'!I358)))))</f>
        <v>0</v>
      </c>
      <c r="C358">
        <f>AVERAGE('R1'!J358,'R2'!J358,'R3'!J358)</f>
        <v>1.18</v>
      </c>
      <c r="D358">
        <f>AVERAGE('R1'!K358,'R2'!K358,'R3'!K358)</f>
        <v>22.294283000000004</v>
      </c>
      <c r="E358">
        <f>AVERAGE('R1'!L358,'R2'!L358,'R3'!L358)</f>
        <v>7.1744112865625556E-2</v>
      </c>
      <c r="F358">
        <f>AVERAGE('R1'!M358,'R2'!M358,'R3'!M358)</f>
        <v>1.3255676292581118</v>
      </c>
      <c r="G358">
        <f>AVERAGE('R1'!N358,'R2'!N358,'R3'!N358)</f>
        <v>-8.0738959495060228E-2</v>
      </c>
      <c r="H358">
        <f>AVERAGE('R1'!O358,'R2'!O358,'R3'!O358)</f>
        <v>0.23303947625128765</v>
      </c>
      <c r="I358">
        <f t="shared" si="9"/>
        <v>4384.542323333334</v>
      </c>
      <c r="K358">
        <f>_xlfn.STDEV.S('R1'!L358,'R2'!L358,'R3'!L358)</f>
        <v>3.6057532650835E-3</v>
      </c>
      <c r="L358">
        <f>_xlfn.STDEV.S('R1'!M358,'R2'!M358,'R3'!M358)</f>
        <v>5.4639583066376611E-3</v>
      </c>
      <c r="M358">
        <f>_xlfn.STDEV.S('R1'!N358,'R2'!N358,'R3'!N358)</f>
        <v>3.1450734852137125E-3</v>
      </c>
      <c r="N358">
        <f>_xlfn.STDEV.S('R1'!O358,'R2'!O358,'R3'!O358)</f>
        <v>3.8738760334385541E-3</v>
      </c>
    </row>
    <row r="359" spans="1:14" x14ac:dyDescent="0.25">
      <c r="A359">
        <f>-'R1'!H359</f>
        <v>-16</v>
      </c>
      <c r="B359">
        <f>DEGREES(ATAN(-SIN(RADIANS(('R1'!I359)))/(COS(RADIANS(Sheet1!A359))*COS(RADIANS('R1'!I359)))))</f>
        <v>-4.1606425592731879</v>
      </c>
      <c r="C359">
        <f>AVERAGE('R1'!J359,'R2'!J359,'R3'!J359)</f>
        <v>1.18</v>
      </c>
      <c r="D359">
        <f>AVERAGE('R1'!K359,'R2'!K359,'R3'!K359)</f>
        <v>22.485751750000002</v>
      </c>
      <c r="E359">
        <f>AVERAGE('R1'!L359,'R2'!L359,'R3'!L359)</f>
        <v>-0.1450509603498942</v>
      </c>
      <c r="F359">
        <f>AVERAGE('R1'!M359,'R2'!M359,'R3'!M359)</f>
        <v>1.2977276179560473</v>
      </c>
      <c r="G359">
        <f>AVERAGE('R1'!N359,'R2'!N359,'R3'!N359)</f>
        <v>-8.0759149261838095E-2</v>
      </c>
      <c r="H359">
        <f>AVERAGE('R1'!O359,'R2'!O359,'R3'!O359)</f>
        <v>0.21052629117276309</v>
      </c>
      <c r="I359">
        <f t="shared" si="9"/>
        <v>4422.197844166667</v>
      </c>
      <c r="K359">
        <f>_xlfn.STDEV.S('R1'!L359,'R2'!L359,'R3'!L359)</f>
        <v>2.4894350552726874E-3</v>
      </c>
      <c r="L359">
        <f>_xlfn.STDEV.S('R1'!M359,'R2'!M359,'R3'!M359)</f>
        <v>4.9499798328502915E-3</v>
      </c>
      <c r="M359">
        <f>_xlfn.STDEV.S('R1'!N359,'R2'!N359,'R3'!N359)</f>
        <v>1.6691380640972227E-3</v>
      </c>
      <c r="N359">
        <f>_xlfn.STDEV.S('R1'!O359,'R2'!O359,'R3'!O359)</f>
        <v>9.2102061337017514E-3</v>
      </c>
    </row>
    <row r="360" spans="1:14" x14ac:dyDescent="0.25">
      <c r="A360">
        <f>-'R1'!H360</f>
        <v>-16</v>
      </c>
      <c r="B360">
        <f>DEGREES(ATAN(-SIN(RADIANS(('R1'!I360)))/(COS(RADIANS(Sheet1!A360))*COS(RADIANS('R1'!I360)))))</f>
        <v>-8.3179701536192301</v>
      </c>
      <c r="C360">
        <f>AVERAGE('R1'!J360,'R2'!J360,'R3'!J360)</f>
        <v>1.18</v>
      </c>
      <c r="D360">
        <f>AVERAGE('R1'!K360,'R2'!K360,'R3'!K360)</f>
        <v>22.618140833333332</v>
      </c>
      <c r="E360">
        <f>AVERAGE('R1'!L360,'R2'!L360,'R3'!L360)</f>
        <v>-0.35695934161485771</v>
      </c>
      <c r="F360">
        <f>AVERAGE('R1'!M360,'R2'!M360,'R3'!M360)</f>
        <v>1.2389804581120683</v>
      </c>
      <c r="G360">
        <f>AVERAGE('R1'!N360,'R2'!N360,'R3'!N360)</f>
        <v>-9.3571472892234775E-2</v>
      </c>
      <c r="H360">
        <f>AVERAGE('R1'!O360,'R2'!O360,'R3'!O360)</f>
        <v>0.1409287605382378</v>
      </c>
      <c r="I360">
        <f t="shared" si="9"/>
        <v>4448.2343638888888</v>
      </c>
      <c r="K360">
        <f>_xlfn.STDEV.S('R1'!L360,'R2'!L360,'R3'!L360)</f>
        <v>3.490895235723854E-3</v>
      </c>
      <c r="L360">
        <f>_xlfn.STDEV.S('R1'!M360,'R2'!M360,'R3'!M360)</f>
        <v>8.36245381502344E-3</v>
      </c>
      <c r="M360">
        <f>_xlfn.STDEV.S('R1'!N360,'R2'!N360,'R3'!N360)</f>
        <v>3.0208406593843452E-3</v>
      </c>
      <c r="N360">
        <f>_xlfn.STDEV.S('R1'!O360,'R2'!O360,'R3'!O360)</f>
        <v>8.0956475023037447E-3</v>
      </c>
    </row>
    <row r="361" spans="1:14" x14ac:dyDescent="0.25">
      <c r="A361">
        <f>-'R1'!H361</f>
        <v>-16</v>
      </c>
      <c r="B361">
        <f>DEGREES(ATAN(-SIN(RADIANS(('R1'!I361)))/(COS(RADIANS(Sheet1!A361))*COS(RADIANS('R1'!I361)))))</f>
        <v>-12.468747879350856</v>
      </c>
      <c r="C361">
        <f>AVERAGE('R1'!J361,'R2'!J361,'R3'!J361)</f>
        <v>1.18</v>
      </c>
      <c r="D361">
        <f>AVERAGE('R1'!K361,'R2'!K361,'R3'!K361)</f>
        <v>22.746314416666667</v>
      </c>
      <c r="E361">
        <f>AVERAGE('R1'!L361,'R2'!L361,'R3'!L361)</f>
        <v>-0.56843761324043995</v>
      </c>
      <c r="F361">
        <f>AVERAGE('R1'!M361,'R2'!M361,'R3'!M361)</f>
        <v>1.1682657240756071</v>
      </c>
      <c r="G361">
        <f>AVERAGE('R1'!N361,'R2'!N361,'R3'!N361)</f>
        <v>-0.1208786241349839</v>
      </c>
      <c r="H361">
        <f>AVERAGE('R1'!O361,'R2'!O361,'R3'!O361)</f>
        <v>9.020866297451173E-2</v>
      </c>
      <c r="I361">
        <f t="shared" si="9"/>
        <v>4473.4418352777784</v>
      </c>
      <c r="K361">
        <f>_xlfn.STDEV.S('R1'!L361,'R2'!L361,'R3'!L361)</f>
        <v>1.6697372444434016E-3</v>
      </c>
      <c r="L361">
        <f>_xlfn.STDEV.S('R1'!M361,'R2'!M361,'R3'!M361)</f>
        <v>8.7971340100006477E-3</v>
      </c>
      <c r="M361">
        <f>_xlfn.STDEV.S('R1'!N361,'R2'!N361,'R3'!N361)</f>
        <v>3.3196687904179104E-3</v>
      </c>
      <c r="N361">
        <f>_xlfn.STDEV.S('R1'!O361,'R2'!O361,'R3'!O361)</f>
        <v>5.5948533424551566E-3</v>
      </c>
    </row>
    <row r="362" spans="1:14" x14ac:dyDescent="0.25">
      <c r="A362">
        <f>-'R1'!H362</f>
        <v>-16</v>
      </c>
      <c r="B362">
        <f>DEGREES(ATAN(-SIN(RADIANS(('R1'!I362)))/(COS(RADIANS(Sheet1!A362))*COS(RADIANS('R1'!I362)))))</f>
        <v>-16.609898016932938</v>
      </c>
      <c r="C362">
        <f>AVERAGE('R1'!J362,'R2'!J362,'R3'!J362)</f>
        <v>1.18</v>
      </c>
      <c r="D362">
        <f>AVERAGE('R1'!K362,'R2'!K362,'R3'!K362)</f>
        <v>22.470076416666668</v>
      </c>
      <c r="E362">
        <f>AVERAGE('R1'!L362,'R2'!L362,'R3'!L362)</f>
        <v>-0.78970421168318217</v>
      </c>
      <c r="F362">
        <f>AVERAGE('R1'!M362,'R2'!M362,'R3'!M362)</f>
        <v>1.0870021029768153</v>
      </c>
      <c r="G362">
        <f>AVERAGE('R1'!N362,'R2'!N362,'R3'!N362)</f>
        <v>-0.16885695102506229</v>
      </c>
      <c r="H362">
        <f>AVERAGE('R1'!O362,'R2'!O362,'R3'!O362)</f>
        <v>5.2016547288549854E-2</v>
      </c>
      <c r="I362">
        <f t="shared" si="9"/>
        <v>4419.1150286111115</v>
      </c>
      <c r="K362">
        <f>_xlfn.STDEV.S('R1'!L362,'R2'!L362,'R3'!L362)</f>
        <v>8.1039589793299293E-3</v>
      </c>
      <c r="L362">
        <f>_xlfn.STDEV.S('R1'!M362,'R2'!M362,'R3'!M362)</f>
        <v>1.2045247039147609E-2</v>
      </c>
      <c r="M362">
        <f>_xlfn.STDEV.S('R1'!N362,'R2'!N362,'R3'!N362)</f>
        <v>1.9146027825730279E-3</v>
      </c>
      <c r="N362">
        <f>_xlfn.STDEV.S('R1'!O362,'R2'!O362,'R3'!O362)</f>
        <v>3.2993575748822704E-3</v>
      </c>
    </row>
    <row r="363" spans="1:14" x14ac:dyDescent="0.25">
      <c r="A363">
        <f>-'R1'!H363</f>
        <v>-16</v>
      </c>
      <c r="B363">
        <f>DEGREES(ATAN(-SIN(RADIANS(('R1'!I363)))/(COS(RADIANS(Sheet1!A363))*COS(RADIANS('R1'!I363)))))</f>
        <v>-20.738571475352053</v>
      </c>
      <c r="C363">
        <f>AVERAGE('R1'!J363,'R2'!J363,'R3'!J363)</f>
        <v>1.18</v>
      </c>
      <c r="D363">
        <f>AVERAGE('R1'!K363,'R2'!K363,'R3'!K363)</f>
        <v>22.140851916666662</v>
      </c>
      <c r="E363">
        <f>AVERAGE('R1'!L363,'R2'!L363,'R3'!L363)</f>
        <v>-0.99318741901842122</v>
      </c>
      <c r="F363">
        <f>AVERAGE('R1'!M363,'R2'!M363,'R3'!M363)</f>
        <v>1.0324853408953645</v>
      </c>
      <c r="G363">
        <f>AVERAGE('R1'!N363,'R2'!N363,'R3'!N363)</f>
        <v>-0.22894673967001181</v>
      </c>
      <c r="H363">
        <f>AVERAGE('R1'!O363,'R2'!O363,'R3'!O363)</f>
        <v>-4.0199885552791519E-2</v>
      </c>
      <c r="I363">
        <f t="shared" si="9"/>
        <v>4354.3675436111107</v>
      </c>
      <c r="K363">
        <f>_xlfn.STDEV.S('R1'!L363,'R2'!L363,'R3'!L363)</f>
        <v>6.3085105157983908E-3</v>
      </c>
      <c r="L363">
        <f>_xlfn.STDEV.S('R1'!M363,'R2'!M363,'R3'!M363)</f>
        <v>6.354214316995053E-3</v>
      </c>
      <c r="M363">
        <f>_xlfn.STDEV.S('R1'!N363,'R2'!N363,'R3'!N363)</f>
        <v>3.9265012362595881E-3</v>
      </c>
      <c r="N363">
        <f>_xlfn.STDEV.S('R1'!O363,'R2'!O363,'R3'!O363)</f>
        <v>8.2082096205396762E-3</v>
      </c>
    </row>
    <row r="364" spans="1:14" x14ac:dyDescent="0.25">
      <c r="A364">
        <f>-'R1'!H364</f>
        <v>-16</v>
      </c>
      <c r="B364">
        <f>DEGREES(ATAN(-SIN(RADIANS(('R1'!I364)))/(COS(RADIANS(Sheet1!A364))*COS(RADIANS('R1'!I364)))))</f>
        <v>-24.852211192112133</v>
      </c>
      <c r="C364">
        <f>AVERAGE('R1'!J364,'R2'!J364,'R3'!J364)</f>
        <v>1.18</v>
      </c>
      <c r="D364">
        <f>AVERAGE('R1'!K364,'R2'!K364,'R3'!K364)</f>
        <v>22.21699375</v>
      </c>
      <c r="E364">
        <f>AVERAGE('R1'!L364,'R2'!L364,'R3'!L364)</f>
        <v>-1.1904585824135152</v>
      </c>
      <c r="F364">
        <f>AVERAGE('R1'!M364,'R2'!M364,'R3'!M364)</f>
        <v>1.0022468417492423</v>
      </c>
      <c r="G364">
        <f>AVERAGE('R1'!N364,'R2'!N364,'R3'!N364)</f>
        <v>-0.30789111643856942</v>
      </c>
      <c r="H364">
        <f>AVERAGE('R1'!O364,'R2'!O364,'R3'!O364)</f>
        <v>-0.16540369382507711</v>
      </c>
      <c r="I364">
        <f t="shared" si="9"/>
        <v>4369.342104166667</v>
      </c>
      <c r="K364">
        <f>_xlfn.STDEV.S('R1'!L364,'R2'!L364,'R3'!L364)</f>
        <v>3.5784813500422965E-3</v>
      </c>
      <c r="L364">
        <f>_xlfn.STDEV.S('R1'!M364,'R2'!M364,'R3'!M364)</f>
        <v>3.5596247674256581E-3</v>
      </c>
      <c r="M364">
        <f>_xlfn.STDEV.S('R1'!N364,'R2'!N364,'R3'!N364)</f>
        <v>1.0509049066533113E-3</v>
      </c>
      <c r="N364">
        <f>_xlfn.STDEV.S('R1'!O364,'R2'!O364,'R3'!O364)</f>
        <v>4.8778921573300422E-3</v>
      </c>
    </row>
    <row r="365" spans="1:14" x14ac:dyDescent="0.25">
      <c r="A365">
        <f>-'R1'!H365</f>
        <v>-16</v>
      </c>
      <c r="B365">
        <f>DEGREES(ATAN(-SIN(RADIANS(('R1'!I365)))/(COS(RADIANS(Sheet1!A365))*COS(RADIANS('R1'!I365)))))</f>
        <v>-28.948605633454871</v>
      </c>
      <c r="C365">
        <f>AVERAGE('R1'!J365,'R2'!J365,'R3'!J365)</f>
        <v>1.18</v>
      </c>
      <c r="D365">
        <f>AVERAGE('R1'!K365,'R2'!K365,'R3'!K365)</f>
        <v>21.998043583333338</v>
      </c>
      <c r="E365">
        <f>AVERAGE('R1'!L365,'R2'!L365,'R3'!L365)</f>
        <v>-1.3582401885714903</v>
      </c>
      <c r="F365">
        <f>AVERAGE('R1'!M365,'R2'!M365,'R3'!M365)</f>
        <v>1.0049221821148493</v>
      </c>
      <c r="G365">
        <f>AVERAGE('R1'!N365,'R2'!N365,'R3'!N365)</f>
        <v>-0.39638186877131282</v>
      </c>
      <c r="H365">
        <f>AVERAGE('R1'!O365,'R2'!O365,'R3'!O365)</f>
        <v>-0.30131926519284291</v>
      </c>
      <c r="I365">
        <f t="shared" si="9"/>
        <v>4326.2819047222229</v>
      </c>
      <c r="K365">
        <f>_xlfn.STDEV.S('R1'!L365,'R2'!L365,'R3'!L365)</f>
        <v>3.9896522240336031E-3</v>
      </c>
      <c r="L365">
        <f>_xlfn.STDEV.S('R1'!M365,'R2'!M365,'R3'!M365)</f>
        <v>4.2080350164383868E-3</v>
      </c>
      <c r="M365">
        <f>_xlfn.STDEV.S('R1'!N365,'R2'!N365,'R3'!N365)</f>
        <v>1.0737589488974437E-3</v>
      </c>
      <c r="N365">
        <f>_xlfn.STDEV.S('R1'!O365,'R2'!O365,'R3'!O365)</f>
        <v>6.9654157199994706E-3</v>
      </c>
    </row>
    <row r="366" spans="1:14" x14ac:dyDescent="0.25">
      <c r="A366">
        <f>-'R1'!H366</f>
        <v>-16</v>
      </c>
      <c r="B366">
        <f>DEGREES(ATAN(-SIN(RADIANS(('R1'!I366)))/(COS(RADIANS(Sheet1!A366))*COS(RADIANS('R1'!I366)))))</f>
        <v>-33.025931133441695</v>
      </c>
      <c r="C366">
        <f>AVERAGE('R1'!J366,'R2'!J366,'R3'!J366)</f>
        <v>1.18</v>
      </c>
      <c r="D366">
        <f>AVERAGE('R1'!K366,'R2'!K366,'R3'!K366)</f>
        <v>22.199088583333335</v>
      </c>
      <c r="E366">
        <f>AVERAGE('R1'!L366,'R2'!L366,'R3'!L366)</f>
        <v>-1.4861028864539059</v>
      </c>
      <c r="F366">
        <f>AVERAGE('R1'!M366,'R2'!M366,'R3'!M366)</f>
        <v>1.0569272685640831</v>
      </c>
      <c r="G366">
        <f>AVERAGE('R1'!N366,'R2'!N366,'R3'!N366)</f>
        <v>-0.50075512202732686</v>
      </c>
      <c r="H366">
        <f>AVERAGE('R1'!O366,'R2'!O366,'R3'!O366)</f>
        <v>-0.44873284126053764</v>
      </c>
      <c r="I366">
        <f t="shared" si="9"/>
        <v>4365.8207547222219</v>
      </c>
      <c r="K366">
        <f>_xlfn.STDEV.S('R1'!L366,'R2'!L366,'R3'!L366)</f>
        <v>2.4359155916939381E-3</v>
      </c>
      <c r="L366">
        <f>_xlfn.STDEV.S('R1'!M366,'R2'!M366,'R3'!M366)</f>
        <v>2.35631163569549E-3</v>
      </c>
      <c r="M366">
        <f>_xlfn.STDEV.S('R1'!N366,'R2'!N366,'R3'!N366)</f>
        <v>2.495440764454228E-3</v>
      </c>
      <c r="N366">
        <f>_xlfn.STDEV.S('R1'!O366,'R2'!O366,'R3'!O366)</f>
        <v>2.9942343414166416E-3</v>
      </c>
    </row>
    <row r="367" spans="1:14" x14ac:dyDescent="0.25">
      <c r="A367">
        <f>-'R1'!H367</f>
        <v>-16</v>
      </c>
      <c r="B367">
        <f>DEGREES(ATAN(-SIN(RADIANS(('R1'!I367)))/(COS(RADIANS(Sheet1!A367))*COS(RADIANS('R1'!I367)))))</f>
        <v>-37.082782431142171</v>
      </c>
      <c r="C367">
        <f>AVERAGE('R1'!J367,'R2'!J367,'R3'!J367)</f>
        <v>1.18</v>
      </c>
      <c r="D367">
        <f>AVERAGE('R1'!K367,'R2'!K367,'R3'!K367)</f>
        <v>22.410366499999999</v>
      </c>
      <c r="E367">
        <f>AVERAGE('R1'!L367,'R2'!L367,'R3'!L367)</f>
        <v>-1.6305977657039674</v>
      </c>
      <c r="F367">
        <f>AVERAGE('R1'!M367,'R2'!M367,'R3'!M367)</f>
        <v>1.1201364362511914</v>
      </c>
      <c r="G367">
        <f>AVERAGE('R1'!N367,'R2'!N367,'R3'!N367)</f>
        <v>-0.6312374342876278</v>
      </c>
      <c r="H367">
        <f>AVERAGE('R1'!O367,'R2'!O367,'R3'!O367)</f>
        <v>-0.60233460027222308</v>
      </c>
      <c r="I367">
        <f t="shared" si="9"/>
        <v>4407.3720783333329</v>
      </c>
      <c r="K367">
        <f>_xlfn.STDEV.S('R1'!L367,'R2'!L367,'R3'!L367)</f>
        <v>7.0181615810125508E-3</v>
      </c>
      <c r="L367">
        <f>_xlfn.STDEV.S('R1'!M367,'R2'!M367,'R3'!M367)</f>
        <v>2.5429223645480553E-3</v>
      </c>
      <c r="M367">
        <f>_xlfn.STDEV.S('R1'!N367,'R2'!N367,'R3'!N367)</f>
        <v>7.25655373831536E-3</v>
      </c>
      <c r="N367">
        <f>_xlfn.STDEV.S('R1'!O367,'R2'!O367,'R3'!O367)</f>
        <v>1.0755610860560707E-3</v>
      </c>
    </row>
    <row r="368" spans="1:14" x14ac:dyDescent="0.25">
      <c r="A368">
        <f>-'R1'!H368</f>
        <v>-16</v>
      </c>
      <c r="B368">
        <f>DEGREES(ATAN(-SIN(RADIANS(('R1'!I368)))/(COS(RADIANS(Sheet1!A368))*COS(RADIANS('R1'!I368)))))</f>
        <v>-41.118191358294368</v>
      </c>
      <c r="C368">
        <f>AVERAGE('R1'!J368,'R2'!J368,'R3'!J368)</f>
        <v>1.18</v>
      </c>
      <c r="D368">
        <f>AVERAGE('R1'!K368,'R2'!K368,'R3'!K368)</f>
        <v>22.575245499999998</v>
      </c>
      <c r="E368">
        <f>AVERAGE('R1'!L368,'R2'!L368,'R3'!L368)</f>
        <v>-1.8174010587157854</v>
      </c>
      <c r="F368">
        <f>AVERAGE('R1'!M368,'R2'!M368,'R3'!M368)</f>
        <v>1.1860983816113264</v>
      </c>
      <c r="G368">
        <f>AVERAGE('R1'!N368,'R2'!N368,'R3'!N368)</f>
        <v>-0.81265503734293354</v>
      </c>
      <c r="H368">
        <f>AVERAGE('R1'!O368,'R2'!O368,'R3'!O368)</f>
        <v>-0.76916263533748186</v>
      </c>
      <c r="I368">
        <f t="shared" si="9"/>
        <v>4439.7982816666663</v>
      </c>
      <c r="K368">
        <f>_xlfn.STDEV.S('R1'!L368,'R2'!L368,'R3'!L368)</f>
        <v>2.5579074744680819E-3</v>
      </c>
      <c r="L368">
        <f>_xlfn.STDEV.S('R1'!M368,'R2'!M368,'R3'!M368)</f>
        <v>1.3869513383832463E-3</v>
      </c>
      <c r="M368">
        <f>_xlfn.STDEV.S('R1'!N368,'R2'!N368,'R3'!N368)</f>
        <v>1.6625397426003653E-3</v>
      </c>
      <c r="N368">
        <f>_xlfn.STDEV.S('R1'!O368,'R2'!O368,'R3'!O368)</f>
        <v>4.2334834295857347E-3</v>
      </c>
    </row>
    <row r="369" spans="1:14" x14ac:dyDescent="0.25">
      <c r="A369">
        <f>-'R1'!H369</f>
        <v>-16</v>
      </c>
      <c r="B369">
        <f>DEGREES(ATAN(-SIN(RADIANS(('R1'!I369)))/(COS(RADIANS(Sheet1!A369))*COS(RADIANS('R1'!I369)))))</f>
        <v>-45.131634150601585</v>
      </c>
      <c r="C369">
        <f>AVERAGE('R1'!J369,'R2'!J369,'R3'!J369)</f>
        <v>1.18</v>
      </c>
      <c r="D369">
        <f>AVERAGE('R1'!K369,'R2'!K369,'R3'!K369)</f>
        <v>22.666940333333333</v>
      </c>
      <c r="E369">
        <f>AVERAGE('R1'!L369,'R2'!L369,'R3'!L369)</f>
        <v>-2.043088742996392</v>
      </c>
      <c r="F369">
        <f>AVERAGE('R1'!M369,'R2'!M369,'R3'!M369)</f>
        <v>1.273773822541916</v>
      </c>
      <c r="G369">
        <f>AVERAGE('R1'!N369,'R2'!N369,'R3'!N369)</f>
        <v>-1.0494450012849821</v>
      </c>
      <c r="H369">
        <f>AVERAGE('R1'!O369,'R2'!O369,'R3'!O369)</f>
        <v>-0.95756382312631716</v>
      </c>
      <c r="I369">
        <f t="shared" si="9"/>
        <v>4457.831598888888</v>
      </c>
      <c r="K369">
        <f>_xlfn.STDEV.S('R1'!L369,'R2'!L369,'R3'!L369)</f>
        <v>4.4386125191457322E-3</v>
      </c>
      <c r="L369">
        <f>_xlfn.STDEV.S('R1'!M369,'R2'!M369,'R3'!M369)</f>
        <v>4.0781279924523434E-3</v>
      </c>
      <c r="M369">
        <f>_xlfn.STDEV.S('R1'!N369,'R2'!N369,'R3'!N369)</f>
        <v>2.8845465377697957E-3</v>
      </c>
      <c r="N369">
        <f>_xlfn.STDEV.S('R1'!O369,'R2'!O369,'R3'!O369)</f>
        <v>2.8071545201710153E-3</v>
      </c>
    </row>
    <row r="370" spans="1:14" x14ac:dyDescent="0.25">
      <c r="A370">
        <f>-'R1'!H370</f>
        <v>-20</v>
      </c>
      <c r="B370">
        <f>DEGREES(ATAN(-SIN(RADIANS(('R1'!I370)))/(COS(RADIANS(Sheet1!A370))*COS(RADIANS('R1'!I370)))))</f>
        <v>45.781668962964282</v>
      </c>
      <c r="C370">
        <f>AVERAGE('R1'!J370,'R2'!J370,'R3'!J370)</f>
        <v>1.18</v>
      </c>
      <c r="D370">
        <f>AVERAGE('R1'!K370,'R2'!K370,'R3'!K370)</f>
        <v>22.461760000000002</v>
      </c>
      <c r="E370">
        <f>AVERAGE('R1'!L370,'R2'!L370,'R3'!L370)</f>
        <v>2.110246019098716</v>
      </c>
      <c r="F370">
        <f>AVERAGE('R1'!M370,'R2'!M370,'R3'!M370)</f>
        <v>1.5855997693542978</v>
      </c>
      <c r="G370">
        <f>AVERAGE('R1'!N370,'R2'!N370,'R3'!N370)</f>
        <v>-1.2518960020038234</v>
      </c>
      <c r="H370">
        <f>AVERAGE('R1'!O370,'R2'!O370,'R3'!O370)</f>
        <v>-1.1876072845785373</v>
      </c>
      <c r="I370">
        <f t="shared" si="9"/>
        <v>4417.4794666666667</v>
      </c>
      <c r="K370">
        <f>_xlfn.STDEV.S('R1'!L370,'R2'!L370,'R3'!L370)</f>
        <v>2.407768853795227E-3</v>
      </c>
      <c r="L370">
        <f>_xlfn.STDEV.S('R1'!M370,'R2'!M370,'R3'!M370)</f>
        <v>3.8570312446642185E-3</v>
      </c>
      <c r="M370">
        <f>_xlfn.STDEV.S('R1'!N370,'R2'!N370,'R3'!N370)</f>
        <v>2.2489327636452819E-3</v>
      </c>
      <c r="N370">
        <f>_xlfn.STDEV.S('R1'!O370,'R2'!O370,'R3'!O370)</f>
        <v>2.1983873276301383E-3</v>
      </c>
    </row>
    <row r="371" spans="1:14" x14ac:dyDescent="0.25">
      <c r="A371">
        <f>-'R1'!H371</f>
        <v>-20</v>
      </c>
      <c r="B371">
        <f>DEGREES(ATAN(-SIN(RADIANS(('R1'!I371)))/(COS(RADIANS(Sheet1!A371))*COS(RADIANS('R1'!I371)))))</f>
        <v>41.763297417742614</v>
      </c>
      <c r="C371">
        <f>AVERAGE('R1'!J371,'R2'!J371,'R3'!J371)</f>
        <v>1.18</v>
      </c>
      <c r="D371">
        <f>AVERAGE('R1'!K371,'R2'!K371,'R3'!K371)</f>
        <v>22.152726749999999</v>
      </c>
      <c r="E371">
        <f>AVERAGE('R1'!L371,'R2'!L371,'R3'!L371)</f>
        <v>1.8928373552229616</v>
      </c>
      <c r="F371">
        <f>AVERAGE('R1'!M371,'R2'!M371,'R3'!M371)</f>
        <v>1.4584371405108782</v>
      </c>
      <c r="G371">
        <f>AVERAGE('R1'!N371,'R2'!N371,'R3'!N371)</f>
        <v>-0.9951815605115516</v>
      </c>
      <c r="H371">
        <f>AVERAGE('R1'!O371,'R2'!O371,'R3'!O371)</f>
        <v>-0.98823894835915549</v>
      </c>
      <c r="I371">
        <f t="shared" si="9"/>
        <v>4356.7029275000004</v>
      </c>
      <c r="K371">
        <f>_xlfn.STDEV.S('R1'!L371,'R2'!L371,'R3'!L371)</f>
        <v>1.8981194955899729E-3</v>
      </c>
      <c r="L371">
        <f>_xlfn.STDEV.S('R1'!M371,'R2'!M371,'R3'!M371)</f>
        <v>4.796360902680998E-3</v>
      </c>
      <c r="M371">
        <f>_xlfn.STDEV.S('R1'!N371,'R2'!N371,'R3'!N371)</f>
        <v>1.760300643427151E-3</v>
      </c>
      <c r="N371">
        <f>_xlfn.STDEV.S('R1'!O371,'R2'!O371,'R3'!O371)</f>
        <v>2.0588352830231858E-3</v>
      </c>
    </row>
    <row r="372" spans="1:14" x14ac:dyDescent="0.25">
      <c r="A372">
        <f>-'R1'!H372</f>
        <v>-20</v>
      </c>
      <c r="B372">
        <f>DEGREES(ATAN(-SIN(RADIANS(('R1'!I372)))/(COS(RADIANS(Sheet1!A372))*COS(RADIANS('R1'!I372)))))</f>
        <v>37.710134449764993</v>
      </c>
      <c r="C372">
        <f>AVERAGE('R1'!J372,'R2'!J372,'R3'!J372)</f>
        <v>1.18</v>
      </c>
      <c r="D372">
        <f>AVERAGE('R1'!K372,'R2'!K372,'R3'!K372)</f>
        <v>22.26555466666667</v>
      </c>
      <c r="E372">
        <f>AVERAGE('R1'!L372,'R2'!L372,'R3'!L372)</f>
        <v>1.7250457036286149</v>
      </c>
      <c r="F372">
        <f>AVERAGE('R1'!M372,'R2'!M372,'R3'!M372)</f>
        <v>1.3616334040135827</v>
      </c>
      <c r="G372">
        <f>AVERAGE('R1'!N372,'R2'!N372,'R3'!N372)</f>
        <v>-0.80341034744885265</v>
      </c>
      <c r="H372">
        <f>AVERAGE('R1'!O372,'R2'!O372,'R3'!O372)</f>
        <v>-0.82668264600864427</v>
      </c>
      <c r="I372">
        <f t="shared" si="9"/>
        <v>4378.8924177777781</v>
      </c>
      <c r="K372">
        <f>_xlfn.STDEV.S('R1'!L372,'R2'!L372,'R3'!L372)</f>
        <v>1.5576368910539436E-3</v>
      </c>
      <c r="L372">
        <f>_xlfn.STDEV.S('R1'!M372,'R2'!M372,'R3'!M372)</f>
        <v>4.1563612240563749E-3</v>
      </c>
      <c r="M372">
        <f>_xlfn.STDEV.S('R1'!N372,'R2'!N372,'R3'!N372)</f>
        <v>2.9114428076464872E-3</v>
      </c>
      <c r="N372">
        <f>_xlfn.STDEV.S('R1'!O372,'R2'!O372,'R3'!O372)</f>
        <v>1.5418097847204409E-3</v>
      </c>
    </row>
    <row r="373" spans="1:14" x14ac:dyDescent="0.25">
      <c r="A373">
        <f>-'R1'!H373</f>
        <v>-20</v>
      </c>
      <c r="B373">
        <f>DEGREES(ATAN(-SIN(RADIANS(('R1'!I373)))/(COS(RADIANS(Sheet1!A373))*COS(RADIANS('R1'!I373)))))</f>
        <v>33.622796746730245</v>
      </c>
      <c r="C373">
        <f>AVERAGE('R1'!J373,'R2'!J373,'R3'!J373)</f>
        <v>1.18</v>
      </c>
      <c r="D373">
        <f>AVERAGE('R1'!K373,'R2'!K373,'R3'!K373)</f>
        <v>21.979214583333334</v>
      </c>
      <c r="E373">
        <f>AVERAGE('R1'!L373,'R2'!L373,'R3'!L373)</f>
        <v>1.5688323462781681</v>
      </c>
      <c r="F373">
        <f>AVERAGE('R1'!M373,'R2'!M373,'R3'!M373)</f>
        <v>1.3015834165335185</v>
      </c>
      <c r="G373">
        <f>AVERAGE('R1'!N373,'R2'!N373,'R3'!N373)</f>
        <v>-0.65683588590485942</v>
      </c>
      <c r="H373">
        <f>AVERAGE('R1'!O373,'R2'!O373,'R3'!O373)</f>
        <v>-0.6897482714400498</v>
      </c>
      <c r="I373">
        <f t="shared" si="9"/>
        <v>4322.5788680555552</v>
      </c>
      <c r="K373">
        <f>_xlfn.STDEV.S('R1'!L373,'R2'!L373,'R3'!L373)</f>
        <v>4.0442691653231532E-3</v>
      </c>
      <c r="L373">
        <f>_xlfn.STDEV.S('R1'!M373,'R2'!M373,'R3'!M373)</f>
        <v>2.4799779781869797E-3</v>
      </c>
      <c r="M373">
        <f>_xlfn.STDEV.S('R1'!N373,'R2'!N373,'R3'!N373)</f>
        <v>3.6678674612266814E-3</v>
      </c>
      <c r="N373">
        <f>_xlfn.STDEV.S('R1'!O373,'R2'!O373,'R3'!O373)</f>
        <v>3.1333717344791605E-3</v>
      </c>
    </row>
    <row r="374" spans="1:14" x14ac:dyDescent="0.25">
      <c r="A374">
        <f>-'R1'!H374</f>
        <v>-20</v>
      </c>
      <c r="B374">
        <f>DEGREES(ATAN(-SIN(RADIANS(('R1'!I374)))/(COS(RADIANS(Sheet1!A374))*COS(RADIANS('R1'!I374)))))</f>
        <v>29.502629281345779</v>
      </c>
      <c r="C374">
        <f>AVERAGE('R1'!J374,'R2'!J374,'R3'!J374)</f>
        <v>1.18</v>
      </c>
      <c r="D374">
        <f>AVERAGE('R1'!K374,'R2'!K374,'R3'!K374)</f>
        <v>22.203104833333331</v>
      </c>
      <c r="E374">
        <f>AVERAGE('R1'!L374,'R2'!L374,'R3'!L374)</f>
        <v>1.4224804875819954</v>
      </c>
      <c r="F374">
        <f>AVERAGE('R1'!M374,'R2'!M374,'R3'!M374)</f>
        <v>1.2537430888950967</v>
      </c>
      <c r="G374">
        <f>AVERAGE('R1'!N374,'R2'!N374,'R3'!N374)</f>
        <v>-0.53524901366775046</v>
      </c>
      <c r="H374">
        <f>AVERAGE('R1'!O374,'R2'!O374,'R3'!O374)</f>
        <v>-0.5491891029074899</v>
      </c>
      <c r="I374">
        <f t="shared" si="9"/>
        <v>4366.6106172222217</v>
      </c>
      <c r="K374">
        <f>_xlfn.STDEV.S('R1'!L374,'R2'!L374,'R3'!L374)</f>
        <v>4.4080310105502696E-3</v>
      </c>
      <c r="L374">
        <f>_xlfn.STDEV.S('R1'!M374,'R2'!M374,'R3'!M374)</f>
        <v>2.7939076849845313E-3</v>
      </c>
      <c r="M374">
        <f>_xlfn.STDEV.S('R1'!N374,'R2'!N374,'R3'!N374)</f>
        <v>2.2885771682122549E-3</v>
      </c>
      <c r="N374">
        <f>_xlfn.STDEV.S('R1'!O374,'R2'!O374,'R3'!O374)</f>
        <v>4.8019407999537831E-3</v>
      </c>
    </row>
    <row r="375" spans="1:14" x14ac:dyDescent="0.25">
      <c r="A375">
        <f>-'R1'!H375</f>
        <v>-20</v>
      </c>
      <c r="B375">
        <f>DEGREES(ATAN(-SIN(RADIANS(('R1'!I375)))/(COS(RADIANS(Sheet1!A375))*COS(RADIANS('R1'!I375)))))</f>
        <v>25.351709771061881</v>
      </c>
      <c r="C375">
        <f>AVERAGE('R1'!J375,'R2'!J375,'R3'!J375)</f>
        <v>1.18</v>
      </c>
      <c r="D375">
        <f>AVERAGE('R1'!K375,'R2'!K375,'R3'!K375)</f>
        <v>22.389529583333331</v>
      </c>
      <c r="E375">
        <f>AVERAGE('R1'!L375,'R2'!L375,'R3'!L375)</f>
        <v>1.2835999730487131</v>
      </c>
      <c r="F375">
        <f>AVERAGE('R1'!M375,'R2'!M375,'R3'!M375)</f>
        <v>1.224555503601741</v>
      </c>
      <c r="G375">
        <f>AVERAGE('R1'!N375,'R2'!N375,'R3'!N375)</f>
        <v>-0.43851904687758636</v>
      </c>
      <c r="H375">
        <f>AVERAGE('R1'!O375,'R2'!O375,'R3'!O375)</f>
        <v>-0.41776242720998219</v>
      </c>
      <c r="I375">
        <f t="shared" si="9"/>
        <v>4403.2741513888886</v>
      </c>
      <c r="K375">
        <f>_xlfn.STDEV.S('R1'!L375,'R2'!L375,'R3'!L375)</f>
        <v>2.4735105071937249E-3</v>
      </c>
      <c r="L375">
        <f>_xlfn.STDEV.S('R1'!M375,'R2'!M375,'R3'!M375)</f>
        <v>1.7733495647797529E-3</v>
      </c>
      <c r="M375">
        <f>_xlfn.STDEV.S('R1'!N375,'R2'!N375,'R3'!N375)</f>
        <v>1.4831177128611375E-3</v>
      </c>
      <c r="N375">
        <f>_xlfn.STDEV.S('R1'!O375,'R2'!O375,'R3'!O375)</f>
        <v>4.3803298558657703E-3</v>
      </c>
    </row>
    <row r="376" spans="1:14" x14ac:dyDescent="0.25">
      <c r="A376">
        <f>-'R1'!H376</f>
        <v>-20</v>
      </c>
      <c r="B376">
        <f>DEGREES(ATAN(-SIN(RADIANS(('R1'!I376)))/(COS(RADIANS(Sheet1!A376))*COS(RADIANS('R1'!I376)))))</f>
        <v>21.172832185162978</v>
      </c>
      <c r="C376">
        <f>AVERAGE('R1'!J376,'R2'!J376,'R3'!J376)</f>
        <v>1.18</v>
      </c>
      <c r="D376">
        <f>AVERAGE('R1'!K376,'R2'!K376,'R3'!K376)</f>
        <v>22.496805333333331</v>
      </c>
      <c r="E376">
        <f>AVERAGE('R1'!L376,'R2'!L376,'R3'!L376)</f>
        <v>1.1242354902554423</v>
      </c>
      <c r="F376">
        <f>AVERAGE('R1'!M376,'R2'!M376,'R3'!M376)</f>
        <v>1.2148335113159376</v>
      </c>
      <c r="G376">
        <f>AVERAGE('R1'!N376,'R2'!N376,'R3'!N376)</f>
        <v>-0.35757832243048987</v>
      </c>
      <c r="H376">
        <f>AVERAGE('R1'!O376,'R2'!O376,'R3'!O376)</f>
        <v>-0.29057723180636524</v>
      </c>
      <c r="I376">
        <f t="shared" si="9"/>
        <v>4424.3717155555551</v>
      </c>
      <c r="K376">
        <f>_xlfn.STDEV.S('R1'!L376,'R2'!L376,'R3'!L376)</f>
        <v>4.2661350839898506E-3</v>
      </c>
      <c r="L376">
        <f>_xlfn.STDEV.S('R1'!M376,'R2'!M376,'R3'!M376)</f>
        <v>3.4213620526980029E-3</v>
      </c>
      <c r="M376">
        <f>_xlfn.STDEV.S('R1'!N376,'R2'!N376,'R3'!N376)</f>
        <v>3.9373055151716513E-3</v>
      </c>
      <c r="N376">
        <f>_xlfn.STDEV.S('R1'!O376,'R2'!O376,'R3'!O376)</f>
        <v>3.8695922358324051E-3</v>
      </c>
    </row>
    <row r="377" spans="1:14" x14ac:dyDescent="0.25">
      <c r="A377">
        <f>-'R1'!H377</f>
        <v>-20</v>
      </c>
      <c r="B377">
        <f>DEGREES(ATAN(-SIN(RADIANS(('R1'!I377)))/(COS(RADIANS(Sheet1!A377))*COS(RADIANS('R1'!I377)))))</f>
        <v>16.969467099429082</v>
      </c>
      <c r="C377">
        <f>AVERAGE('R1'!J377,'R2'!J377,'R3'!J377)</f>
        <v>1.18</v>
      </c>
      <c r="D377">
        <f>AVERAGE('R1'!K377,'R2'!K377,'R3'!K377)</f>
        <v>22.419241499999998</v>
      </c>
      <c r="E377">
        <f>AVERAGE('R1'!L377,'R2'!L377,'R3'!L377)</f>
        <v>0.93670594429472398</v>
      </c>
      <c r="F377">
        <f>AVERAGE('R1'!M377,'R2'!M377,'R3'!M377)</f>
        <v>1.2405114980591236</v>
      </c>
      <c r="G377">
        <f>AVERAGE('R1'!N377,'R2'!N377,'R3'!N377)</f>
        <v>-0.28918006587421929</v>
      </c>
      <c r="H377">
        <f>AVERAGE('R1'!O377,'R2'!O377,'R3'!O377)</f>
        <v>-0.16345559742923021</v>
      </c>
      <c r="I377">
        <f t="shared" si="9"/>
        <v>4409.1174949999995</v>
      </c>
      <c r="K377">
        <f>_xlfn.STDEV.S('R1'!L377,'R2'!L377,'R3'!L377)</f>
        <v>2.4315506243876776E-3</v>
      </c>
      <c r="L377">
        <f>_xlfn.STDEV.S('R1'!M377,'R2'!M377,'R3'!M377)</f>
        <v>4.2535063835671657E-3</v>
      </c>
      <c r="M377">
        <f>_xlfn.STDEV.S('R1'!N377,'R2'!N377,'R3'!N377)</f>
        <v>3.3582341020531844E-3</v>
      </c>
      <c r="N377">
        <f>_xlfn.STDEV.S('R1'!O377,'R2'!O377,'R3'!O377)</f>
        <v>7.9701091261792523E-3</v>
      </c>
    </row>
    <row r="378" spans="1:14" x14ac:dyDescent="0.25">
      <c r="A378">
        <f>-'R1'!H378</f>
        <v>-20</v>
      </c>
      <c r="B378">
        <f>DEGREES(ATAN(-SIN(RADIANS(('R1'!I378)))/(COS(RADIANS(Sheet1!A378))*COS(RADIANS('R1'!I378)))))</f>
        <v>12.745697846757086</v>
      </c>
      <c r="C378">
        <f>AVERAGE('R1'!J378,'R2'!J378,'R3'!J378)</f>
        <v>1.18</v>
      </c>
      <c r="D378">
        <f>AVERAGE('R1'!K378,'R2'!K378,'R3'!K378)</f>
        <v>22.347690333333333</v>
      </c>
      <c r="E378">
        <f>AVERAGE('R1'!L378,'R2'!L378,'R3'!L378)</f>
        <v>0.72378034692702542</v>
      </c>
      <c r="F378">
        <f>AVERAGE('R1'!M378,'R2'!M378,'R3'!M378)</f>
        <v>1.3002080749106935</v>
      </c>
      <c r="G378">
        <f>AVERAGE('R1'!N378,'R2'!N378,'R3'!N378)</f>
        <v>-0.23241288414192196</v>
      </c>
      <c r="H378">
        <f>AVERAGE('R1'!O378,'R2'!O378,'R3'!O378)</f>
        <v>-7.8202165303013021E-2</v>
      </c>
      <c r="I378">
        <f t="shared" si="9"/>
        <v>4395.0457655555556</v>
      </c>
      <c r="K378">
        <f>_xlfn.STDEV.S('R1'!L378,'R2'!L378,'R3'!L378)</f>
        <v>1.0462892707815797E-2</v>
      </c>
      <c r="L378">
        <f>_xlfn.STDEV.S('R1'!M378,'R2'!M378,'R3'!M378)</f>
        <v>3.7425034314221605E-3</v>
      </c>
      <c r="M378">
        <f>_xlfn.STDEV.S('R1'!N378,'R2'!N378,'R3'!N378)</f>
        <v>5.8475836347422379E-3</v>
      </c>
      <c r="N378">
        <f>_xlfn.STDEV.S('R1'!O378,'R2'!O378,'R3'!O378)</f>
        <v>1.0773254054265866E-2</v>
      </c>
    </row>
    <row r="379" spans="1:14" x14ac:dyDescent="0.25">
      <c r="A379">
        <f>-'R1'!H379</f>
        <v>-20</v>
      </c>
      <c r="B379">
        <f>DEGREES(ATAN(-SIN(RADIANS(('R1'!I379)))/(COS(RADIANS(Sheet1!A379))*COS(RADIANS('R1'!I379)))))</f>
        <v>8.5061328568771426</v>
      </c>
      <c r="C379">
        <f>AVERAGE('R1'!J379,'R2'!J379,'R3'!J379)</f>
        <v>1.18</v>
      </c>
      <c r="D379">
        <f>AVERAGE('R1'!K379,'R2'!K379,'R3'!K379)</f>
        <v>22.026843666666664</v>
      </c>
      <c r="E379">
        <f>AVERAGE('R1'!L379,'R2'!L379,'R3'!L379)</f>
        <v>0.51323664503594213</v>
      </c>
      <c r="F379">
        <f>AVERAGE('R1'!M379,'R2'!M379,'R3'!M379)</f>
        <v>1.367392547727057</v>
      </c>
      <c r="G379">
        <f>AVERAGE('R1'!N379,'R2'!N379,'R3'!N379)</f>
        <v>-0.19205686801355704</v>
      </c>
      <c r="H379">
        <f>AVERAGE('R1'!O379,'R2'!O379,'R3'!O379)</f>
        <v>-8.5795140270972913E-3</v>
      </c>
      <c r="I379">
        <f t="shared" si="9"/>
        <v>4331.9459211111107</v>
      </c>
      <c r="K379">
        <f>_xlfn.STDEV.S('R1'!L379,'R2'!L379,'R3'!L379)</f>
        <v>2.6830746314796395E-3</v>
      </c>
      <c r="L379">
        <f>_xlfn.STDEV.S('R1'!M379,'R2'!M379,'R3'!M379)</f>
        <v>3.5530533737979722E-3</v>
      </c>
      <c r="M379">
        <f>_xlfn.STDEV.S('R1'!N379,'R2'!N379,'R3'!N379)</f>
        <v>1.1563673085135575E-3</v>
      </c>
      <c r="N379">
        <f>_xlfn.STDEV.S('R1'!O379,'R2'!O379,'R3'!O379)</f>
        <v>3.6612183685857894E-3</v>
      </c>
    </row>
    <row r="380" spans="1:14" x14ac:dyDescent="0.25">
      <c r="A380">
        <f>-'R1'!H380</f>
        <v>-20</v>
      </c>
      <c r="B380">
        <f>DEGREES(ATAN(-SIN(RADIANS(('R1'!I380)))/(COS(RADIANS(Sheet1!A380))*COS(RADIANS('R1'!I380)))))</f>
        <v>4.2557962016512016</v>
      </c>
      <c r="C380">
        <f>AVERAGE('R1'!J380,'R2'!J380,'R3'!J380)</f>
        <v>1.18</v>
      </c>
      <c r="D380">
        <f>AVERAGE('R1'!K380,'R2'!K380,'R3'!K380)</f>
        <v>22.011387333333332</v>
      </c>
      <c r="E380">
        <f>AVERAGE('R1'!L380,'R2'!L380,'R3'!L380)</f>
        <v>0.30299464115152946</v>
      </c>
      <c r="F380">
        <f>AVERAGE('R1'!M380,'R2'!M380,'R3'!M380)</f>
        <v>1.428262557676913</v>
      </c>
      <c r="G380">
        <f>AVERAGE('R1'!N380,'R2'!N380,'R3'!N380)</f>
        <v>-0.16730528211673404</v>
      </c>
      <c r="H380">
        <f>AVERAGE('R1'!O380,'R2'!O380,'R3'!O380)</f>
        <v>4.8246089267755719E-2</v>
      </c>
      <c r="I380">
        <f t="shared" si="9"/>
        <v>4328.9061755555549</v>
      </c>
      <c r="K380">
        <f>_xlfn.STDEV.S('R1'!L380,'R2'!L380,'R3'!L380)</f>
        <v>1.6167549179197864E-3</v>
      </c>
      <c r="L380">
        <f>_xlfn.STDEV.S('R1'!M380,'R2'!M380,'R3'!M380)</f>
        <v>2.8895629997937942E-3</v>
      </c>
      <c r="M380">
        <f>_xlfn.STDEV.S('R1'!N380,'R2'!N380,'R3'!N380)</f>
        <v>3.1608732252510797E-3</v>
      </c>
      <c r="N380">
        <f>_xlfn.STDEV.S('R1'!O380,'R2'!O380,'R3'!O380)</f>
        <v>6.9030495464365666E-3</v>
      </c>
    </row>
    <row r="381" spans="1:14" x14ac:dyDescent="0.25">
      <c r="A381">
        <f>-'R1'!H381</f>
        <v>-20</v>
      </c>
      <c r="B381">
        <f>DEGREES(ATAN(-SIN(RADIANS(('R1'!I381)))/(COS(RADIANS(Sheet1!A381))*COS(RADIANS('R1'!I381)))))</f>
        <v>0</v>
      </c>
      <c r="C381">
        <f>AVERAGE('R1'!J381,'R2'!J381,'R3'!J381)</f>
        <v>1.18</v>
      </c>
      <c r="D381">
        <f>AVERAGE('R1'!K381,'R2'!K381,'R3'!K381)</f>
        <v>22.201839583333335</v>
      </c>
      <c r="E381">
        <f>AVERAGE('R1'!L381,'R2'!L381,'R3'!L381)</f>
        <v>8.6086499879626424E-2</v>
      </c>
      <c r="F381">
        <f>AVERAGE('R1'!M381,'R2'!M381,'R3'!M381)</f>
        <v>1.492519875863306</v>
      </c>
      <c r="G381">
        <f>AVERAGE('R1'!N381,'R2'!N381,'R3'!N381)</f>
        <v>-0.15633102362758791</v>
      </c>
      <c r="H381">
        <f>AVERAGE('R1'!O381,'R2'!O381,'R3'!O381)</f>
        <v>0.11364137744839664</v>
      </c>
      <c r="I381">
        <f t="shared" si="9"/>
        <v>4366.3617847222231</v>
      </c>
      <c r="K381">
        <f>_xlfn.STDEV.S('R1'!L381,'R2'!L381,'R3'!L381)</f>
        <v>3.2005369264012256E-3</v>
      </c>
      <c r="L381">
        <f>_xlfn.STDEV.S('R1'!M381,'R2'!M381,'R3'!M381)</f>
        <v>1.2374807520006094E-3</v>
      </c>
      <c r="M381">
        <f>_xlfn.STDEV.S('R1'!N381,'R2'!N381,'R3'!N381)</f>
        <v>7.8018161353847341E-4</v>
      </c>
      <c r="N381">
        <f>_xlfn.STDEV.S('R1'!O381,'R2'!O381,'R3'!O381)</f>
        <v>7.5011946801756754E-3</v>
      </c>
    </row>
    <row r="382" spans="1:14" x14ac:dyDescent="0.25">
      <c r="A382">
        <f>-'R1'!H382</f>
        <v>-20</v>
      </c>
      <c r="B382">
        <f>DEGREES(ATAN(-SIN(RADIANS(('R1'!I382)))/(COS(RADIANS(Sheet1!A382))*COS(RADIANS('R1'!I382)))))</f>
        <v>-4.2557962016512016</v>
      </c>
      <c r="C382">
        <f>AVERAGE('R1'!J382,'R2'!J382,'R3'!J382)</f>
        <v>1.18</v>
      </c>
      <c r="D382">
        <f>AVERAGE('R1'!K382,'R2'!K382,'R3'!K382)</f>
        <v>22.177271333333334</v>
      </c>
      <c r="E382">
        <f>AVERAGE('R1'!L382,'R2'!L382,'R3'!L382)</f>
        <v>-0.1269734013150251</v>
      </c>
      <c r="F382">
        <f>AVERAGE('R1'!M382,'R2'!M382,'R3'!M382)</f>
        <v>1.4718784068402313</v>
      </c>
      <c r="G382">
        <f>AVERAGE('R1'!N382,'R2'!N382,'R3'!N382)</f>
        <v>-0.15314218687062467</v>
      </c>
      <c r="H382">
        <f>AVERAGE('R1'!O382,'R2'!O382,'R3'!O382)</f>
        <v>0.10692537121129614</v>
      </c>
      <c r="I382">
        <f t="shared" si="9"/>
        <v>4361.5300288888893</v>
      </c>
      <c r="K382">
        <f>_xlfn.STDEV.S('R1'!L382,'R2'!L382,'R3'!L382)</f>
        <v>4.0202271303562262E-3</v>
      </c>
      <c r="L382">
        <f>_xlfn.STDEV.S('R1'!M382,'R2'!M382,'R3'!M382)</f>
        <v>7.5597444162684591E-3</v>
      </c>
      <c r="M382">
        <f>_xlfn.STDEV.S('R1'!N382,'R2'!N382,'R3'!N382)</f>
        <v>2.7674781942842522E-3</v>
      </c>
      <c r="N382">
        <f>_xlfn.STDEV.S('R1'!O382,'R2'!O382,'R3'!O382)</f>
        <v>1.1496202966686552E-2</v>
      </c>
    </row>
    <row r="383" spans="1:14" x14ac:dyDescent="0.25">
      <c r="A383">
        <f>-'R1'!H383</f>
        <v>-20</v>
      </c>
      <c r="B383">
        <f>DEGREES(ATAN(-SIN(RADIANS(('R1'!I383)))/(COS(RADIANS(Sheet1!A383))*COS(RADIANS('R1'!I383)))))</f>
        <v>-8.5061328568771426</v>
      </c>
      <c r="C383">
        <f>AVERAGE('R1'!J383,'R2'!J383,'R3'!J383)</f>
        <v>1.18</v>
      </c>
      <c r="D383">
        <f>AVERAGE('R1'!K383,'R2'!K383,'R3'!K383)</f>
        <v>22.208337166666666</v>
      </c>
      <c r="E383">
        <f>AVERAGE('R1'!L383,'R2'!L383,'R3'!L383)</f>
        <v>-0.33441119314558754</v>
      </c>
      <c r="F383">
        <f>AVERAGE('R1'!M383,'R2'!M383,'R3'!M383)</f>
        <v>1.4053176298118693</v>
      </c>
      <c r="G383">
        <f>AVERAGE('R1'!N383,'R2'!N383,'R3'!N383)</f>
        <v>-0.16009897157934813</v>
      </c>
      <c r="H383">
        <f>AVERAGE('R1'!O383,'R2'!O383,'R3'!O383)</f>
        <v>3.1528377755366967E-2</v>
      </c>
      <c r="I383">
        <f t="shared" si="9"/>
        <v>4367.6396427777772</v>
      </c>
      <c r="K383">
        <f>_xlfn.STDEV.S('R1'!L383,'R2'!L383,'R3'!L383)</f>
        <v>5.5659037971195957E-3</v>
      </c>
      <c r="L383">
        <f>_xlfn.STDEV.S('R1'!M383,'R2'!M383,'R3'!M383)</f>
        <v>2.6796753173018418E-3</v>
      </c>
      <c r="M383">
        <f>_xlfn.STDEV.S('R1'!N383,'R2'!N383,'R3'!N383)</f>
        <v>3.6720228108912639E-3</v>
      </c>
      <c r="N383">
        <f>_xlfn.STDEV.S('R1'!O383,'R2'!O383,'R3'!O383)</f>
        <v>3.3573420731366219E-3</v>
      </c>
    </row>
    <row r="384" spans="1:14" x14ac:dyDescent="0.25">
      <c r="A384">
        <f>-'R1'!H384</f>
        <v>-20</v>
      </c>
      <c r="B384">
        <f>DEGREES(ATAN(-SIN(RADIANS(('R1'!I384)))/(COS(RADIANS(Sheet1!A384))*COS(RADIANS('R1'!I384)))))</f>
        <v>-12.745697846757086</v>
      </c>
      <c r="C384">
        <f>AVERAGE('R1'!J384,'R2'!J384,'R3'!J384)</f>
        <v>1.18</v>
      </c>
      <c r="D384">
        <f>AVERAGE('R1'!K384,'R2'!K384,'R3'!K384)</f>
        <v>22.347642166666663</v>
      </c>
      <c r="E384">
        <f>AVERAGE('R1'!L384,'R2'!L384,'R3'!L384)</f>
        <v>-0.53133392116497602</v>
      </c>
      <c r="F384">
        <f>AVERAGE('R1'!M384,'R2'!M384,'R3'!M384)</f>
        <v>1.3491211368244482</v>
      </c>
      <c r="G384">
        <f>AVERAGE('R1'!N384,'R2'!N384,'R3'!N384)</f>
        <v>-0.19152525958326241</v>
      </c>
      <c r="H384">
        <f>AVERAGE('R1'!O384,'R2'!O384,'R3'!O384)</f>
        <v>-2.8671893335557582E-2</v>
      </c>
      <c r="I384">
        <f t="shared" si="9"/>
        <v>4395.0362927777769</v>
      </c>
      <c r="K384">
        <f>_xlfn.STDEV.S('R1'!L384,'R2'!L384,'R3'!L384)</f>
        <v>2.4307069074214127E-3</v>
      </c>
      <c r="L384">
        <f>_xlfn.STDEV.S('R1'!M384,'R2'!M384,'R3'!M384)</f>
        <v>2.6244099794616089E-3</v>
      </c>
      <c r="M384">
        <f>_xlfn.STDEV.S('R1'!N384,'R2'!N384,'R3'!N384)</f>
        <v>2.3888369237379074E-3</v>
      </c>
      <c r="N384">
        <f>_xlfn.STDEV.S('R1'!O384,'R2'!O384,'R3'!O384)</f>
        <v>3.8238310477711041E-3</v>
      </c>
    </row>
    <row r="385" spans="1:14" x14ac:dyDescent="0.25">
      <c r="A385">
        <f>-'R1'!H385</f>
        <v>-20</v>
      </c>
      <c r="B385">
        <f>DEGREES(ATAN(-SIN(RADIANS(('R1'!I385)))/(COS(RADIANS(Sheet1!A385))*COS(RADIANS('R1'!I385)))))</f>
        <v>-16.969467099429082</v>
      </c>
      <c r="C385">
        <f>AVERAGE('R1'!J385,'R2'!J385,'R3'!J385)</f>
        <v>1.18</v>
      </c>
      <c r="D385">
        <f>AVERAGE('R1'!K385,'R2'!K385,'R3'!K385)</f>
        <v>22.072681083333332</v>
      </c>
      <c r="E385">
        <f>AVERAGE('R1'!L385,'R2'!L385,'R3'!L385)</f>
        <v>-0.73717780040964864</v>
      </c>
      <c r="F385">
        <f>AVERAGE('R1'!M385,'R2'!M385,'R3'!M385)</f>
        <v>1.2730854148843314</v>
      </c>
      <c r="G385">
        <f>AVERAGE('R1'!N385,'R2'!N385,'R3'!N385)</f>
        <v>-0.22799583048823424</v>
      </c>
      <c r="H385">
        <f>AVERAGE('R1'!O385,'R2'!O385,'R3'!O385)</f>
        <v>-7.7274989525132287E-2</v>
      </c>
      <c r="I385">
        <f t="shared" si="9"/>
        <v>4340.9606130555558</v>
      </c>
      <c r="K385">
        <f>_xlfn.STDEV.S('R1'!L385,'R2'!L385,'R3'!L385)</f>
        <v>6.592927056516029E-3</v>
      </c>
      <c r="L385">
        <f>_xlfn.STDEV.S('R1'!M385,'R2'!M385,'R3'!M385)</f>
        <v>1.2313292446871613E-2</v>
      </c>
      <c r="M385">
        <f>_xlfn.STDEV.S('R1'!N385,'R2'!N385,'R3'!N385)</f>
        <v>2.2823195664536462E-3</v>
      </c>
      <c r="N385">
        <f>_xlfn.STDEV.S('R1'!O385,'R2'!O385,'R3'!O385)</f>
        <v>4.1931618697614121E-3</v>
      </c>
    </row>
    <row r="386" spans="1:14" x14ac:dyDescent="0.25">
      <c r="A386">
        <f>-'R1'!H386</f>
        <v>-20</v>
      </c>
      <c r="B386">
        <f>DEGREES(ATAN(-SIN(RADIANS(('R1'!I386)))/(COS(RADIANS(Sheet1!A386))*COS(RADIANS('R1'!I386)))))</f>
        <v>-21.172832185162978</v>
      </c>
      <c r="C386">
        <f>AVERAGE('R1'!J386,'R2'!J386,'R3'!J386)</f>
        <v>1.18</v>
      </c>
      <c r="D386">
        <f>AVERAGE('R1'!K386,'R2'!K386,'R3'!K386)</f>
        <v>22.122707916666666</v>
      </c>
      <c r="E386">
        <f>AVERAGE('R1'!L386,'R2'!L386,'R3'!L386)</f>
        <v>-0.94312569430851967</v>
      </c>
      <c r="F386">
        <f>AVERAGE('R1'!M386,'R2'!M386,'R3'!M386)</f>
        <v>1.221275394253108</v>
      </c>
      <c r="G386">
        <f>AVERAGE('R1'!N386,'R2'!N386,'R3'!N386)</f>
        <v>-0.28759120890503365</v>
      </c>
      <c r="H386">
        <f>AVERAGE('R1'!O386,'R2'!O386,'R3'!O386)</f>
        <v>-0.15998443772657178</v>
      </c>
      <c r="I386">
        <f t="shared" si="9"/>
        <v>4350.7992236111113</v>
      </c>
      <c r="K386">
        <f>_xlfn.STDEV.S('R1'!L386,'R2'!L386,'R3'!L386)</f>
        <v>4.0871706197431095E-3</v>
      </c>
      <c r="L386">
        <f>_xlfn.STDEV.S('R1'!M386,'R2'!M386,'R3'!M386)</f>
        <v>1.8082710208360724E-3</v>
      </c>
      <c r="M386">
        <f>_xlfn.STDEV.S('R1'!N386,'R2'!N386,'R3'!N386)</f>
        <v>2.3561248453947917E-3</v>
      </c>
      <c r="N386">
        <f>_xlfn.STDEV.S('R1'!O386,'R2'!O386,'R3'!O386)</f>
        <v>2.8876582137949982E-3</v>
      </c>
    </row>
    <row r="387" spans="1:14" x14ac:dyDescent="0.25">
      <c r="A387">
        <f>-'R1'!H387</f>
        <v>-20</v>
      </c>
      <c r="B387">
        <f>DEGREES(ATAN(-SIN(RADIANS(('R1'!I387)))/(COS(RADIANS(Sheet1!A387))*COS(RADIANS('R1'!I387)))))</f>
        <v>-25.351709771061881</v>
      </c>
      <c r="C387">
        <f>AVERAGE('R1'!J387,'R2'!J387,'R3'!J387)</f>
        <v>1.18</v>
      </c>
      <c r="D387">
        <f>AVERAGE('R1'!K387,'R2'!K387,'R3'!K387)</f>
        <v>22.286695166666664</v>
      </c>
      <c r="E387">
        <f>AVERAGE('R1'!L387,'R2'!L387,'R3'!L387)</f>
        <v>-1.1387927779703546</v>
      </c>
      <c r="F387">
        <f>AVERAGE('R1'!M387,'R2'!M387,'R3'!M387)</f>
        <v>1.182508807431266</v>
      </c>
      <c r="G387">
        <f>AVERAGE('R1'!N387,'R2'!N387,'R3'!N387)</f>
        <v>-0.35717556322422173</v>
      </c>
      <c r="H387">
        <f>AVERAGE('R1'!O387,'R2'!O387,'R3'!O387)</f>
        <v>-0.27934232513213325</v>
      </c>
      <c r="I387">
        <f t="shared" ref="I387:I450" si="10">10^5*C387*D387*0.003/1.8</f>
        <v>4383.0500494444441</v>
      </c>
      <c r="K387">
        <f>_xlfn.STDEV.S('R1'!L387,'R2'!L387,'R3'!L387)</f>
        <v>2.8871087455817012E-3</v>
      </c>
      <c r="L387">
        <f>_xlfn.STDEV.S('R1'!M387,'R2'!M387,'R3'!M387)</f>
        <v>1.9868250033456838E-3</v>
      </c>
      <c r="M387">
        <f>_xlfn.STDEV.S('R1'!N387,'R2'!N387,'R3'!N387)</f>
        <v>7.1793930019464379E-4</v>
      </c>
      <c r="N387">
        <f>_xlfn.STDEV.S('R1'!O387,'R2'!O387,'R3'!O387)</f>
        <v>2.9593763639491244E-3</v>
      </c>
    </row>
    <row r="388" spans="1:14" x14ac:dyDescent="0.25">
      <c r="A388">
        <f>-'R1'!H388</f>
        <v>-20</v>
      </c>
      <c r="B388">
        <f>DEGREES(ATAN(-SIN(RADIANS(('R1'!I388)))/(COS(RADIANS(Sheet1!A388))*COS(RADIANS('R1'!I388)))))</f>
        <v>-29.502629281345779</v>
      </c>
      <c r="C388">
        <f>AVERAGE('R1'!J388,'R2'!J388,'R3'!J388)</f>
        <v>1.18</v>
      </c>
      <c r="D388">
        <f>AVERAGE('R1'!K388,'R2'!K388,'R3'!K388)</f>
        <v>22.493192666666662</v>
      </c>
      <c r="E388">
        <f>AVERAGE('R1'!L388,'R2'!L388,'R3'!L388)</f>
        <v>-1.2893416271945102</v>
      </c>
      <c r="F388">
        <f>AVERAGE('R1'!M388,'R2'!M388,'R3'!M388)</f>
        <v>1.1850785271566588</v>
      </c>
      <c r="G388">
        <f>AVERAGE('R1'!N388,'R2'!N388,'R3'!N388)</f>
        <v>-0.43686446948451008</v>
      </c>
      <c r="H388">
        <f>AVERAGE('R1'!O388,'R2'!O388,'R3'!O388)</f>
        <v>-0.40083352287136159</v>
      </c>
      <c r="I388">
        <f t="shared" si="10"/>
        <v>4423.6612244444432</v>
      </c>
      <c r="K388">
        <f>_xlfn.STDEV.S('R1'!L388,'R2'!L388,'R3'!L388)</f>
        <v>2.7157317052913074E-3</v>
      </c>
      <c r="L388">
        <f>_xlfn.STDEV.S('R1'!M388,'R2'!M388,'R3'!M388)</f>
        <v>1.6293021786520168E-3</v>
      </c>
      <c r="M388">
        <f>_xlfn.STDEV.S('R1'!N388,'R2'!N388,'R3'!N388)</f>
        <v>3.8556165483448306E-3</v>
      </c>
      <c r="N388">
        <f>_xlfn.STDEV.S('R1'!O388,'R2'!O388,'R3'!O388)</f>
        <v>4.8944005315098597E-3</v>
      </c>
    </row>
    <row r="389" spans="1:14" x14ac:dyDescent="0.25">
      <c r="A389">
        <f>-'R1'!H389</f>
        <v>-20</v>
      </c>
      <c r="B389">
        <f>DEGREES(ATAN(-SIN(RADIANS(('R1'!I389)))/(COS(RADIANS(Sheet1!A389))*COS(RADIANS('R1'!I389)))))</f>
        <v>-33.622796746730245</v>
      </c>
      <c r="C389">
        <f>AVERAGE('R1'!J389,'R2'!J389,'R3'!J389)</f>
        <v>1.18</v>
      </c>
      <c r="D389">
        <f>AVERAGE('R1'!K389,'R2'!K389,'R3'!K389)</f>
        <v>22.613862999999998</v>
      </c>
      <c r="E389">
        <f>AVERAGE('R1'!L389,'R2'!L389,'R3'!L389)</f>
        <v>-1.4096464901204622</v>
      </c>
      <c r="F389">
        <f>AVERAGE('R1'!M389,'R2'!M389,'R3'!M389)</f>
        <v>1.2200974618792817</v>
      </c>
      <c r="G389">
        <f>AVERAGE('R1'!N389,'R2'!N389,'R3'!N389)</f>
        <v>-0.52352830214807422</v>
      </c>
      <c r="H389">
        <f>AVERAGE('R1'!O389,'R2'!O389,'R3'!O389)</f>
        <v>-0.53229118118755159</v>
      </c>
      <c r="I389">
        <f t="shared" si="10"/>
        <v>4447.3930566666668</v>
      </c>
      <c r="K389">
        <f>_xlfn.STDEV.S('R1'!L389,'R2'!L389,'R3'!L389)</f>
        <v>9.9502583861299488E-4</v>
      </c>
      <c r="L389">
        <f>_xlfn.STDEV.S('R1'!M389,'R2'!M389,'R3'!M389)</f>
        <v>1.3778409091781598E-3</v>
      </c>
      <c r="M389">
        <f>_xlfn.STDEV.S('R1'!N389,'R2'!N389,'R3'!N389)</f>
        <v>1.4022991285435951E-3</v>
      </c>
      <c r="N389">
        <f>_xlfn.STDEV.S('R1'!O389,'R2'!O389,'R3'!O389)</f>
        <v>1.689745710650094E-3</v>
      </c>
    </row>
    <row r="390" spans="1:14" x14ac:dyDescent="0.25">
      <c r="A390">
        <f>-'R1'!H390</f>
        <v>-20</v>
      </c>
      <c r="B390">
        <f>DEGREES(ATAN(-SIN(RADIANS(('R1'!I390)))/(COS(RADIANS(Sheet1!A390))*COS(RADIANS('R1'!I390)))))</f>
        <v>-37.710134449764993</v>
      </c>
      <c r="C390">
        <f>AVERAGE('R1'!J390,'R2'!J390,'R3'!J390)</f>
        <v>1.18</v>
      </c>
      <c r="D390">
        <f>AVERAGE('R1'!K390,'R2'!K390,'R3'!K390)</f>
        <v>22.710517333333332</v>
      </c>
      <c r="E390">
        <f>AVERAGE('R1'!L390,'R2'!L390,'R3'!L390)</f>
        <v>-1.534688617528736</v>
      </c>
      <c r="F390">
        <f>AVERAGE('R1'!M390,'R2'!M390,'R3'!M390)</f>
        <v>1.2654743313553707</v>
      </c>
      <c r="G390">
        <f>AVERAGE('R1'!N390,'R2'!N390,'R3'!N390)</f>
        <v>-0.63522266618887724</v>
      </c>
      <c r="H390">
        <f>AVERAGE('R1'!O390,'R2'!O390,'R3'!O390)</f>
        <v>-0.66340563310469236</v>
      </c>
      <c r="I390">
        <f t="shared" si="10"/>
        <v>4466.4017422222223</v>
      </c>
      <c r="K390">
        <f>_xlfn.STDEV.S('R1'!L390,'R2'!L390,'R3'!L390)</f>
        <v>5.2287715539919496E-3</v>
      </c>
      <c r="L390">
        <f>_xlfn.STDEV.S('R1'!M390,'R2'!M390,'R3'!M390)</f>
        <v>2.498059207356073E-4</v>
      </c>
      <c r="M390">
        <f>_xlfn.STDEV.S('R1'!N390,'R2'!N390,'R3'!N390)</f>
        <v>5.0639220647003503E-3</v>
      </c>
      <c r="N390">
        <f>_xlfn.STDEV.S('R1'!O390,'R2'!O390,'R3'!O390)</f>
        <v>4.4081690234850888E-3</v>
      </c>
    </row>
    <row r="391" spans="1:14" x14ac:dyDescent="0.25">
      <c r="A391">
        <f>-'R1'!H391</f>
        <v>-20</v>
      </c>
      <c r="B391">
        <f>DEGREES(ATAN(-SIN(RADIANS(('R1'!I391)))/(COS(RADIANS(Sheet1!A391))*COS(RADIANS('R1'!I391)))))</f>
        <v>-41.763297417742614</v>
      </c>
      <c r="C391">
        <f>AVERAGE('R1'!J391,'R2'!J391,'R3'!J391)</f>
        <v>1.18</v>
      </c>
      <c r="D391">
        <f>AVERAGE('R1'!K391,'R2'!K391,'R3'!K391)</f>
        <v>22.436533416666666</v>
      </c>
      <c r="E391">
        <f>AVERAGE('R1'!L391,'R2'!L391,'R3'!L391)</f>
        <v>-1.6914002046328804</v>
      </c>
      <c r="F391">
        <f>AVERAGE('R1'!M391,'R2'!M391,'R3'!M391)</f>
        <v>1.324200652740424</v>
      </c>
      <c r="G391">
        <f>AVERAGE('R1'!N391,'R2'!N391,'R3'!N391)</f>
        <v>-0.79103168807903212</v>
      </c>
      <c r="H391">
        <f>AVERAGE('R1'!O391,'R2'!O391,'R3'!O391)</f>
        <v>-0.80633565250625427</v>
      </c>
      <c r="I391">
        <f t="shared" si="10"/>
        <v>4412.518238611111</v>
      </c>
      <c r="K391">
        <f>_xlfn.STDEV.S('R1'!L391,'R2'!L391,'R3'!L391)</f>
        <v>7.3372157166623399E-3</v>
      </c>
      <c r="L391">
        <f>_xlfn.STDEV.S('R1'!M391,'R2'!M391,'R3'!M391)</f>
        <v>4.3823773597654993E-3</v>
      </c>
      <c r="M391">
        <f>_xlfn.STDEV.S('R1'!N391,'R2'!N391,'R3'!N391)</f>
        <v>3.791042275593931E-3</v>
      </c>
      <c r="N391">
        <f>_xlfn.STDEV.S('R1'!O391,'R2'!O391,'R3'!O391)</f>
        <v>2.0650020666695985E-3</v>
      </c>
    </row>
    <row r="392" spans="1:14" x14ac:dyDescent="0.25">
      <c r="A392">
        <f>-'R1'!H392</f>
        <v>-20</v>
      </c>
      <c r="B392">
        <f>DEGREES(ATAN(-SIN(RADIANS(('R1'!I392)))/(COS(RADIANS(Sheet1!A392))*COS(RADIANS('R1'!I392)))))</f>
        <v>-45.781668962964282</v>
      </c>
      <c r="C392">
        <f>AVERAGE('R1'!J392,'R2'!J392,'R3'!J392)</f>
        <v>1.18</v>
      </c>
      <c r="D392">
        <f>AVERAGE('R1'!K392,'R2'!K392,'R3'!K392)</f>
        <v>22.223298749999998</v>
      </c>
      <c r="E392">
        <f>AVERAGE('R1'!L392,'R2'!L392,'R3'!L392)</f>
        <v>-1.8933706487521957</v>
      </c>
      <c r="F392">
        <f>AVERAGE('R1'!M392,'R2'!M392,'R3'!M392)</f>
        <v>1.4006378422856234</v>
      </c>
      <c r="G392">
        <f>AVERAGE('R1'!N392,'R2'!N392,'R3'!N392)</f>
        <v>-1.0051101417277553</v>
      </c>
      <c r="H392">
        <f>AVERAGE('R1'!O392,'R2'!O392,'R3'!O392)</f>
        <v>-0.97781361577301806</v>
      </c>
      <c r="I392">
        <f t="shared" si="10"/>
        <v>4370.5820874999999</v>
      </c>
      <c r="K392">
        <f>_xlfn.STDEV.S('R1'!L392,'R2'!L392,'R3'!L392)</f>
        <v>4.351010160398459E-3</v>
      </c>
      <c r="L392">
        <f>_xlfn.STDEV.S('R1'!M392,'R2'!M392,'R3'!M392)</f>
        <v>3.7718736737713267E-3</v>
      </c>
      <c r="M392">
        <f>_xlfn.STDEV.S('R1'!N392,'R2'!N392,'R3'!N392)</f>
        <v>4.336641981795176E-3</v>
      </c>
      <c r="N392">
        <f>_xlfn.STDEV.S('R1'!O392,'R2'!O392,'R3'!O392)</f>
        <v>3.5686202200676019E-3</v>
      </c>
    </row>
    <row r="393" spans="1:14" x14ac:dyDescent="0.25">
      <c r="A393">
        <f>-'R1'!H393</f>
        <v>-24</v>
      </c>
      <c r="B393">
        <f>DEGREES(ATAN(-SIN(RADIANS(('R1'!I393)))/(COS(RADIANS(Sheet1!A393))*COS(RADIANS('R1'!I393)))))</f>
        <v>46.589384435425394</v>
      </c>
      <c r="C393">
        <f>AVERAGE('R1'!J393,'R2'!J393,'R3'!J393)</f>
        <v>1.18</v>
      </c>
      <c r="D393">
        <f>AVERAGE('R1'!K393,'R2'!K393,'R3'!K393)</f>
        <v>22.003246666666666</v>
      </c>
      <c r="E393">
        <f>AVERAGE('R1'!L393,'R2'!L393,'R3'!L393)</f>
        <v>1.9844342888090478</v>
      </c>
      <c r="F393">
        <f>AVERAGE('R1'!M393,'R2'!M393,'R3'!M393)</f>
        <v>1.6707403008590838</v>
      </c>
      <c r="G393">
        <f>AVERAGE('R1'!N393,'R2'!N393,'R3'!N393)</f>
        <v>-1.2104187327522531</v>
      </c>
      <c r="H393">
        <f>AVERAGE('R1'!O393,'R2'!O393,'R3'!O393)</f>
        <v>-1.2158058729025349</v>
      </c>
      <c r="I393">
        <f t="shared" si="10"/>
        <v>4327.3051777777773</v>
      </c>
      <c r="K393">
        <f>_xlfn.STDEV.S('R1'!L393,'R2'!L393,'R3'!L393)</f>
        <v>2.290610205361253E-3</v>
      </c>
      <c r="L393">
        <f>_xlfn.STDEV.S('R1'!M393,'R2'!M393,'R3'!M393)</f>
        <v>3.0853214965106414E-3</v>
      </c>
      <c r="M393">
        <f>_xlfn.STDEV.S('R1'!N393,'R2'!N393,'R3'!N393)</f>
        <v>4.2711529233270627E-3</v>
      </c>
      <c r="N393">
        <f>_xlfn.STDEV.S('R1'!O393,'R2'!O393,'R3'!O393)</f>
        <v>2.3374941381220419E-3</v>
      </c>
    </row>
    <row r="394" spans="1:14" x14ac:dyDescent="0.25">
      <c r="A394">
        <f>-'R1'!H394</f>
        <v>-24</v>
      </c>
      <c r="B394">
        <f>DEGREES(ATAN(-SIN(RADIANS(('R1'!I394)))/(COS(RADIANS(Sheet1!A394))*COS(RADIANS('R1'!I394)))))</f>
        <v>42.567751063132313</v>
      </c>
      <c r="C394">
        <f>AVERAGE('R1'!J394,'R2'!J394,'R3'!J394)</f>
        <v>1.18</v>
      </c>
      <c r="D394">
        <f>AVERAGE('R1'!K394,'R2'!K394,'R3'!K394)</f>
        <v>21.903681916666667</v>
      </c>
      <c r="E394">
        <f>AVERAGE('R1'!L394,'R2'!L394,'R3'!L394)</f>
        <v>1.7970754736586914</v>
      </c>
      <c r="F394">
        <f>AVERAGE('R1'!M394,'R2'!M394,'R3'!M394)</f>
        <v>1.5678967611564421</v>
      </c>
      <c r="G394">
        <f>AVERAGE('R1'!N394,'R2'!N394,'R3'!N394)</f>
        <v>-0.98803498380964294</v>
      </c>
      <c r="H394">
        <f>AVERAGE('R1'!O394,'R2'!O394,'R3'!O394)</f>
        <v>-1.0398550631613295</v>
      </c>
      <c r="I394">
        <f t="shared" si="10"/>
        <v>4307.724110277778</v>
      </c>
      <c r="K394">
        <f>_xlfn.STDEV.S('R1'!L394,'R2'!L394,'R3'!L394)</f>
        <v>2.2827209044239119E-3</v>
      </c>
      <c r="L394">
        <f>_xlfn.STDEV.S('R1'!M394,'R2'!M394,'R3'!M394)</f>
        <v>4.309042304389013E-3</v>
      </c>
      <c r="M394">
        <f>_xlfn.STDEV.S('R1'!N394,'R2'!N394,'R3'!N394)</f>
        <v>5.2186057610705159E-3</v>
      </c>
      <c r="N394">
        <f>_xlfn.STDEV.S('R1'!O394,'R2'!O394,'R3'!O394)</f>
        <v>1.9888827212101575E-3</v>
      </c>
    </row>
    <row r="395" spans="1:14" x14ac:dyDescent="0.25">
      <c r="A395">
        <f>-'R1'!H395</f>
        <v>-24</v>
      </c>
      <c r="B395">
        <f>DEGREES(ATAN(-SIN(RADIANS(('R1'!I395)))/(COS(RADIANS(Sheet1!A395))*COS(RADIANS('R1'!I395)))))</f>
        <v>38.495223358359183</v>
      </c>
      <c r="C395">
        <f>AVERAGE('R1'!J395,'R2'!J395,'R3'!J395)</f>
        <v>1.18</v>
      </c>
      <c r="D395">
        <f>AVERAGE('R1'!K395,'R2'!K395,'R3'!K395)</f>
        <v>22.104677166666665</v>
      </c>
      <c r="E395">
        <f>AVERAGE('R1'!L395,'R2'!L395,'R3'!L395)</f>
        <v>1.6488897002038305</v>
      </c>
      <c r="F395">
        <f>AVERAGE('R1'!M395,'R2'!M395,'R3'!M395)</f>
        <v>1.4878733979621208</v>
      </c>
      <c r="G395">
        <f>AVERAGE('R1'!N395,'R2'!N395,'R3'!N395)</f>
        <v>-0.82202829462329985</v>
      </c>
      <c r="H395">
        <f>AVERAGE('R1'!O395,'R2'!O395,'R3'!O395)</f>
        <v>-0.8907684485499977</v>
      </c>
      <c r="I395">
        <f t="shared" si="10"/>
        <v>4347.2531761111113</v>
      </c>
      <c r="K395">
        <f>_xlfn.STDEV.S('R1'!L395,'R2'!L395,'R3'!L395)</f>
        <v>4.2044808736076888E-3</v>
      </c>
      <c r="L395">
        <f>_xlfn.STDEV.S('R1'!M395,'R2'!M395,'R3'!M395)</f>
        <v>3.9473026156771314E-3</v>
      </c>
      <c r="M395">
        <f>_xlfn.STDEV.S('R1'!N395,'R2'!N395,'R3'!N395)</f>
        <v>3.0416138517495267E-3</v>
      </c>
      <c r="N395">
        <f>_xlfn.STDEV.S('R1'!O395,'R2'!O395,'R3'!O395)</f>
        <v>2.3931000763728555E-3</v>
      </c>
    </row>
    <row r="396" spans="1:14" x14ac:dyDescent="0.25">
      <c r="A396">
        <f>-'R1'!H396</f>
        <v>-24</v>
      </c>
      <c r="B396">
        <f>DEGREES(ATAN(-SIN(RADIANS(('R1'!I396)))/(COS(RADIANS(Sheet1!A396))*COS(RADIANS('R1'!I396)))))</f>
        <v>34.372309890771753</v>
      </c>
      <c r="C396">
        <f>AVERAGE('R1'!J396,'R2'!J396,'R3'!J396)</f>
        <v>1.18</v>
      </c>
      <c r="D396">
        <f>AVERAGE('R1'!K396,'R2'!K396,'R3'!K396)</f>
        <v>22.453197499999998</v>
      </c>
      <c r="E396">
        <f>AVERAGE('R1'!L396,'R2'!L396,'R3'!L396)</f>
        <v>1.5168538256479367</v>
      </c>
      <c r="F396">
        <f>AVERAGE('R1'!M396,'R2'!M396,'R3'!M396)</f>
        <v>1.4238560935631401</v>
      </c>
      <c r="G396">
        <f>AVERAGE('R1'!N396,'R2'!N396,'R3'!N396)</f>
        <v>-0.68964747131998216</v>
      </c>
      <c r="H396">
        <f>AVERAGE('R1'!O396,'R2'!O396,'R3'!O396)</f>
        <v>-0.76130264756424326</v>
      </c>
      <c r="I396">
        <f t="shared" si="10"/>
        <v>4415.7955083333327</v>
      </c>
      <c r="K396">
        <f>_xlfn.STDEV.S('R1'!L396,'R2'!L396,'R3'!L396)</f>
        <v>1.7549827085247616E-3</v>
      </c>
      <c r="L396">
        <f>_xlfn.STDEV.S('R1'!M396,'R2'!M396,'R3'!M396)</f>
        <v>2.1320049653109872E-3</v>
      </c>
      <c r="M396">
        <f>_xlfn.STDEV.S('R1'!N396,'R2'!N396,'R3'!N396)</f>
        <v>1.4393819014743131E-4</v>
      </c>
      <c r="N396">
        <f>_xlfn.STDEV.S('R1'!O396,'R2'!O396,'R3'!O396)</f>
        <v>4.1781378248649118E-3</v>
      </c>
    </row>
    <row r="397" spans="1:14" x14ac:dyDescent="0.25">
      <c r="A397">
        <f>-'R1'!H397</f>
        <v>-24</v>
      </c>
      <c r="B397">
        <f>DEGREES(ATAN(-SIN(RADIANS(('R1'!I397)))/(COS(RADIANS(Sheet1!A397))*COS(RADIANS('R1'!I397)))))</f>
        <v>30.200622081370245</v>
      </c>
      <c r="C397">
        <f>AVERAGE('R1'!J397,'R2'!J397,'R3'!J397)</f>
        <v>1.18</v>
      </c>
      <c r="D397">
        <f>AVERAGE('R1'!K397,'R2'!K397,'R3'!K397)</f>
        <v>22.731903500000001</v>
      </c>
      <c r="E397">
        <f>AVERAGE('R1'!L397,'R2'!L397,'R3'!L397)</f>
        <v>1.3815966293269331</v>
      </c>
      <c r="F397">
        <f>AVERAGE('R1'!M397,'R2'!M397,'R3'!M397)</f>
        <v>1.3819200092884973</v>
      </c>
      <c r="G397">
        <f>AVERAGE('R1'!N397,'R2'!N397,'R3'!N397)</f>
        <v>-0.5790630149023227</v>
      </c>
      <c r="H397">
        <f>AVERAGE('R1'!O397,'R2'!O397,'R3'!O397)</f>
        <v>-0.64276093127179246</v>
      </c>
      <c r="I397">
        <f t="shared" si="10"/>
        <v>4470.6076883333335</v>
      </c>
      <c r="K397">
        <f>_xlfn.STDEV.S('R1'!L397,'R2'!L397,'R3'!L397)</f>
        <v>1.8636412735718755E-3</v>
      </c>
      <c r="L397">
        <f>_xlfn.STDEV.S('R1'!M397,'R2'!M397,'R3'!M397)</f>
        <v>3.6038965920115245E-3</v>
      </c>
      <c r="M397">
        <f>_xlfn.STDEV.S('R1'!N397,'R2'!N397,'R3'!N397)</f>
        <v>2.2462207135977514E-3</v>
      </c>
      <c r="N397">
        <f>_xlfn.STDEV.S('R1'!O397,'R2'!O397,'R3'!O397)</f>
        <v>8.818619236688962E-4</v>
      </c>
    </row>
    <row r="398" spans="1:14" x14ac:dyDescent="0.25">
      <c r="A398">
        <f>-'R1'!H398</f>
        <v>-24</v>
      </c>
      <c r="B398">
        <f>DEGREES(ATAN(-SIN(RADIANS(('R1'!I398)))/(COS(RADIANS(Sheet1!A398))*COS(RADIANS('R1'!I398)))))</f>
        <v>25.982912809070061</v>
      </c>
      <c r="C398">
        <f>AVERAGE('R1'!J398,'R2'!J398,'R3'!J398)</f>
        <v>1.18</v>
      </c>
      <c r="D398">
        <f>AVERAGE('R1'!K398,'R2'!K398,'R3'!K398)</f>
        <v>22.82368691666667</v>
      </c>
      <c r="E398">
        <f>AVERAGE('R1'!L398,'R2'!L398,'R3'!L398)</f>
        <v>1.2528546588867198</v>
      </c>
      <c r="F398">
        <f>AVERAGE('R1'!M398,'R2'!M398,'R3'!M398)</f>
        <v>1.3563435707098435</v>
      </c>
      <c r="G398">
        <f>AVERAGE('R1'!N398,'R2'!N398,'R3'!N398)</f>
        <v>-0.49072510518553969</v>
      </c>
      <c r="H398">
        <f>AVERAGE('R1'!O398,'R2'!O398,'R3'!O398)</f>
        <v>-0.52733586333554794</v>
      </c>
      <c r="I398">
        <f t="shared" si="10"/>
        <v>4488.6584269444456</v>
      </c>
      <c r="K398">
        <f>_xlfn.STDEV.S('R1'!L398,'R2'!L398,'R3'!L398)</f>
        <v>1.9475064938434435E-3</v>
      </c>
      <c r="L398">
        <f>_xlfn.STDEV.S('R1'!M398,'R2'!M398,'R3'!M398)</f>
        <v>5.2418124375525792E-4</v>
      </c>
      <c r="M398">
        <f>_xlfn.STDEV.S('R1'!N398,'R2'!N398,'R3'!N398)</f>
        <v>1.178630260496817E-3</v>
      </c>
      <c r="N398">
        <f>_xlfn.STDEV.S('R1'!O398,'R2'!O398,'R3'!O398)</f>
        <v>2.3416143161933268E-3</v>
      </c>
    </row>
    <row r="399" spans="1:14" x14ac:dyDescent="0.25">
      <c r="A399">
        <f>-'R1'!H399</f>
        <v>-24</v>
      </c>
      <c r="B399">
        <f>DEGREES(ATAN(-SIN(RADIANS(('R1'!I399)))/(COS(RADIANS(Sheet1!A399))*COS(RADIANS('R1'!I399)))))</f>
        <v>21.723080079379415</v>
      </c>
      <c r="C399">
        <f>AVERAGE('R1'!J399,'R2'!J399,'R3'!J399)</f>
        <v>1.18</v>
      </c>
      <c r="D399">
        <f>AVERAGE('R1'!K399,'R2'!K399,'R3'!K399)</f>
        <v>22.629173500000004</v>
      </c>
      <c r="E399">
        <f>AVERAGE('R1'!L399,'R2'!L399,'R3'!L399)</f>
        <v>1.1179484284256853</v>
      </c>
      <c r="F399">
        <f>AVERAGE('R1'!M399,'R2'!M399,'R3'!M399)</f>
        <v>1.3467731400804326</v>
      </c>
      <c r="G399">
        <f>AVERAGE('R1'!N399,'R2'!N399,'R3'!N399)</f>
        <v>-0.42355130391993923</v>
      </c>
      <c r="H399">
        <f>AVERAGE('R1'!O399,'R2'!O399,'R3'!O399)</f>
        <v>-0.40246692606748119</v>
      </c>
      <c r="I399">
        <f t="shared" si="10"/>
        <v>4450.4041216666674</v>
      </c>
      <c r="K399">
        <f>_xlfn.STDEV.S('R1'!L399,'R2'!L399,'R3'!L399)</f>
        <v>3.1728618633570429E-3</v>
      </c>
      <c r="L399">
        <f>_xlfn.STDEV.S('R1'!M399,'R2'!M399,'R3'!M399)</f>
        <v>5.1905780944281913E-3</v>
      </c>
      <c r="M399">
        <f>_xlfn.STDEV.S('R1'!N399,'R2'!N399,'R3'!N399)</f>
        <v>3.5785406815654094E-3</v>
      </c>
      <c r="N399">
        <f>_xlfn.STDEV.S('R1'!O399,'R2'!O399,'R3'!O399)</f>
        <v>4.0325894542005232E-3</v>
      </c>
    </row>
    <row r="400" spans="1:14" x14ac:dyDescent="0.25">
      <c r="A400">
        <f>-'R1'!H400</f>
        <v>-24</v>
      </c>
      <c r="B400">
        <f>DEGREES(ATAN(-SIN(RADIANS(('R1'!I400)))/(COS(RADIANS(Sheet1!A400))*COS(RADIANS('R1'!I400)))))</f>
        <v>17.426129149372727</v>
      </c>
      <c r="C400">
        <f>AVERAGE('R1'!J400,'R2'!J400,'R3'!J400)</f>
        <v>1.18</v>
      </c>
      <c r="D400">
        <f>AVERAGE('R1'!K400,'R2'!K400,'R3'!K400)</f>
        <v>22.272778583333334</v>
      </c>
      <c r="E400">
        <f>AVERAGE('R1'!L400,'R2'!L400,'R3'!L400)</f>
        <v>0.93636994148814079</v>
      </c>
      <c r="F400">
        <f>AVERAGE('R1'!M400,'R2'!M400,'R3'!M400)</f>
        <v>1.3832422149396095</v>
      </c>
      <c r="G400">
        <f>AVERAGE('R1'!N400,'R2'!N400,'R3'!N400)</f>
        <v>-0.36862317137668232</v>
      </c>
      <c r="H400">
        <f>AVERAGE('R1'!O400,'R2'!O400,'R3'!O400)</f>
        <v>-0.28845312912470034</v>
      </c>
      <c r="I400">
        <f t="shared" si="10"/>
        <v>4380.3131213888892</v>
      </c>
      <c r="K400">
        <f>_xlfn.STDEV.S('R1'!L400,'R2'!L400,'R3'!L400)</f>
        <v>3.1953462746174871E-3</v>
      </c>
      <c r="L400">
        <f>_xlfn.STDEV.S('R1'!M400,'R2'!M400,'R3'!M400)</f>
        <v>7.4428169389770965E-4</v>
      </c>
      <c r="M400">
        <f>_xlfn.STDEV.S('R1'!N400,'R2'!N400,'R3'!N400)</f>
        <v>2.7527695092332866E-3</v>
      </c>
      <c r="N400">
        <f>_xlfn.STDEV.S('R1'!O400,'R2'!O400,'R3'!O400)</f>
        <v>7.435379106815145E-3</v>
      </c>
    </row>
    <row r="401" spans="1:14" x14ac:dyDescent="0.25">
      <c r="A401">
        <f>-'R1'!H401</f>
        <v>-24</v>
      </c>
      <c r="B401">
        <f>DEGREES(ATAN(-SIN(RADIANS(('R1'!I401)))/(COS(RADIANS(Sheet1!A401))*COS(RADIANS('R1'!I401)))))</f>
        <v>13.09808863151425</v>
      </c>
      <c r="C401">
        <f>AVERAGE('R1'!J401,'R2'!J401,'R3'!J401)</f>
        <v>1.18</v>
      </c>
      <c r="D401">
        <f>AVERAGE('R1'!K401,'R2'!K401,'R3'!K401)</f>
        <v>22.016395916666667</v>
      </c>
      <c r="E401">
        <f>AVERAGE('R1'!L401,'R2'!L401,'R3'!L401)</f>
        <v>0.74036337041064393</v>
      </c>
      <c r="F401">
        <f>AVERAGE('R1'!M401,'R2'!M401,'R3'!M401)</f>
        <v>1.4439928011625398</v>
      </c>
      <c r="G401">
        <f>AVERAGE('R1'!N401,'R2'!N401,'R3'!N401)</f>
        <v>-0.32046047780175013</v>
      </c>
      <c r="H401">
        <f>AVERAGE('R1'!O401,'R2'!O401,'R3'!O401)</f>
        <v>-0.20365367903918727</v>
      </c>
      <c r="I401">
        <f t="shared" si="10"/>
        <v>4329.8911969444443</v>
      </c>
      <c r="K401">
        <f>_xlfn.STDEV.S('R1'!L401,'R2'!L401,'R3'!L401)</f>
        <v>3.6885886096969574E-3</v>
      </c>
      <c r="L401">
        <f>_xlfn.STDEV.S('R1'!M401,'R2'!M401,'R3'!M401)</f>
        <v>2.6827498391964605E-3</v>
      </c>
      <c r="M401">
        <f>_xlfn.STDEV.S('R1'!N401,'R2'!N401,'R3'!N401)</f>
        <v>9.6558718841719023E-4</v>
      </c>
      <c r="N401">
        <f>_xlfn.STDEV.S('R1'!O401,'R2'!O401,'R3'!O401)</f>
        <v>7.1368295104146193E-3</v>
      </c>
    </row>
    <row r="402" spans="1:14" x14ac:dyDescent="0.25">
      <c r="A402">
        <f>-'R1'!H402</f>
        <v>-24</v>
      </c>
      <c r="B402">
        <f>DEGREES(ATAN(-SIN(RADIANS(('R1'!I402)))/(COS(RADIANS(Sheet1!A402))*COS(RADIANS('R1'!I402)))))</f>
        <v>8.7458791850141893</v>
      </c>
      <c r="C402">
        <f>AVERAGE('R1'!J402,'R2'!J402,'R3'!J402)</f>
        <v>1.18</v>
      </c>
      <c r="D402">
        <f>AVERAGE('R1'!K402,'R2'!K402,'R3'!K402)</f>
        <v>21.825586250000001</v>
      </c>
      <c r="E402">
        <f>AVERAGE('R1'!L402,'R2'!L402,'R3'!L402)</f>
        <v>0.53525417603438108</v>
      </c>
      <c r="F402">
        <f>AVERAGE('R1'!M402,'R2'!M402,'R3'!M402)</f>
        <v>1.5162678059388484</v>
      </c>
      <c r="G402">
        <f>AVERAGE('R1'!N402,'R2'!N402,'R3'!N402)</f>
        <v>-0.28828314525168847</v>
      </c>
      <c r="H402">
        <f>AVERAGE('R1'!O402,'R2'!O402,'R3'!O402)</f>
        <v>-0.13593469846543885</v>
      </c>
      <c r="I402">
        <f t="shared" si="10"/>
        <v>4292.3652958333332</v>
      </c>
      <c r="K402">
        <f>_xlfn.STDEV.S('R1'!L402,'R2'!L402,'R3'!L402)</f>
        <v>2.6035900779104574E-3</v>
      </c>
      <c r="L402">
        <f>_xlfn.STDEV.S('R1'!M402,'R2'!M402,'R3'!M402)</f>
        <v>3.8269596416047138E-3</v>
      </c>
      <c r="M402">
        <f>_xlfn.STDEV.S('R1'!N402,'R2'!N402,'R3'!N402)</f>
        <v>9.4959789024063397E-4</v>
      </c>
      <c r="N402">
        <f>_xlfn.STDEV.S('R1'!O402,'R2'!O402,'R3'!O402)</f>
        <v>7.4168574223931905E-3</v>
      </c>
    </row>
    <row r="403" spans="1:14" x14ac:dyDescent="0.25">
      <c r="A403">
        <f>-'R1'!H403</f>
        <v>-24</v>
      </c>
      <c r="B403">
        <f>DEGREES(ATAN(-SIN(RADIANS(('R1'!I403)))/(COS(RADIANS(Sheet1!A403))*COS(RADIANS('R1'!I403)))))</f>
        <v>4.3771372039965373</v>
      </c>
      <c r="C403">
        <f>AVERAGE('R1'!J403,'R2'!J403,'R3'!J403)</f>
        <v>1.18</v>
      </c>
      <c r="D403">
        <f>AVERAGE('R1'!K403,'R2'!K403,'R3'!K403)</f>
        <v>21.996305333333336</v>
      </c>
      <c r="E403">
        <f>AVERAGE('R1'!L403,'R2'!L403,'R3'!L403)</f>
        <v>0.32277475599682276</v>
      </c>
      <c r="F403">
        <f>AVERAGE('R1'!M403,'R2'!M403,'R3'!M403)</f>
        <v>1.5850299715203917</v>
      </c>
      <c r="G403">
        <f>AVERAGE('R1'!N403,'R2'!N403,'R3'!N403)</f>
        <v>-0.26715288344627491</v>
      </c>
      <c r="H403">
        <f>AVERAGE('R1'!O403,'R2'!O403,'R3'!O403)</f>
        <v>-7.5167878358964088E-2</v>
      </c>
      <c r="I403">
        <f t="shared" si="10"/>
        <v>4325.9400488888896</v>
      </c>
      <c r="K403">
        <f>_xlfn.STDEV.S('R1'!L403,'R2'!L403,'R3'!L403)</f>
        <v>3.0929102821353155E-3</v>
      </c>
      <c r="L403">
        <f>_xlfn.STDEV.S('R1'!M403,'R2'!M403,'R3'!M403)</f>
        <v>6.544296502457342E-3</v>
      </c>
      <c r="M403">
        <f>_xlfn.STDEV.S('R1'!N403,'R2'!N403,'R3'!N403)</f>
        <v>2.9618966620193516E-3</v>
      </c>
      <c r="N403">
        <f>_xlfn.STDEV.S('R1'!O403,'R2'!O403,'R3'!O403)</f>
        <v>6.4372635595982492E-3</v>
      </c>
    </row>
    <row r="404" spans="1:14" x14ac:dyDescent="0.25">
      <c r="A404">
        <f>-'R1'!H404</f>
        <v>-24</v>
      </c>
      <c r="B404">
        <f>DEGREES(ATAN(-SIN(RADIANS(('R1'!I404)))/(COS(RADIANS(Sheet1!A404))*COS(RADIANS('R1'!I404)))))</f>
        <v>0</v>
      </c>
      <c r="C404">
        <f>AVERAGE('R1'!J404,'R2'!J404,'R3'!J404)</f>
        <v>1.18</v>
      </c>
      <c r="D404">
        <f>AVERAGE('R1'!K404,'R2'!K404,'R3'!K404)</f>
        <v>22.251777583333336</v>
      </c>
      <c r="E404">
        <f>AVERAGE('R1'!L404,'R2'!L404,'R3'!L404)</f>
        <v>0.1093047560573519</v>
      </c>
      <c r="F404">
        <f>AVERAGE('R1'!M404,'R2'!M404,'R3'!M404)</f>
        <v>1.6579901856941968</v>
      </c>
      <c r="G404">
        <f>AVERAGE('R1'!N404,'R2'!N404,'R3'!N404)</f>
        <v>-0.26020757385008714</v>
      </c>
      <c r="H404">
        <f>AVERAGE('R1'!O404,'R2'!O404,'R3'!O404)</f>
        <v>-1.7754723612359833E-2</v>
      </c>
      <c r="I404">
        <f t="shared" si="10"/>
        <v>4376.1829247222231</v>
      </c>
      <c r="K404">
        <f>_xlfn.STDEV.S('R1'!L404,'R2'!L404,'R3'!L404)</f>
        <v>9.0673154205278585E-3</v>
      </c>
      <c r="L404">
        <f>_xlfn.STDEV.S('R1'!M404,'R2'!M404,'R3'!M404)</f>
        <v>1.1357252849685238E-3</v>
      </c>
      <c r="M404">
        <f>_xlfn.STDEV.S('R1'!N404,'R2'!N404,'R3'!N404)</f>
        <v>1.9520546579302211E-3</v>
      </c>
      <c r="N404">
        <f>_xlfn.STDEV.S('R1'!O404,'R2'!O404,'R3'!O404)</f>
        <v>9.9177549755417663E-3</v>
      </c>
    </row>
    <row r="405" spans="1:14" x14ac:dyDescent="0.25">
      <c r="A405">
        <f>-'R1'!H405</f>
        <v>-24</v>
      </c>
      <c r="B405">
        <f>DEGREES(ATAN(-SIN(RADIANS(('R1'!I405)))/(COS(RADIANS(Sheet1!A405))*COS(RADIANS('R1'!I405)))))</f>
        <v>-4.3771372039965373</v>
      </c>
      <c r="C405">
        <f>AVERAGE('R1'!J405,'R2'!J405,'R3'!J405)</f>
        <v>1.18</v>
      </c>
      <c r="D405">
        <f>AVERAGE('R1'!K405,'R2'!K405,'R3'!K405)</f>
        <v>22.645238333333335</v>
      </c>
      <c r="E405">
        <f>AVERAGE('R1'!L405,'R2'!L405,'R3'!L405)</f>
        <v>-0.11867564494297554</v>
      </c>
      <c r="F405">
        <f>AVERAGE('R1'!M405,'R2'!M405,'R3'!M405)</f>
        <v>1.6484064418070636</v>
      </c>
      <c r="G405">
        <f>AVERAGE('R1'!N405,'R2'!N405,'R3'!N405)</f>
        <v>-0.25846205334376271</v>
      </c>
      <c r="H405">
        <f>AVERAGE('R1'!O405,'R2'!O405,'R3'!O405)</f>
        <v>-2.2499298760895143E-2</v>
      </c>
      <c r="I405">
        <f t="shared" si="10"/>
        <v>4453.5635388888886</v>
      </c>
      <c r="K405">
        <f>_xlfn.STDEV.S('R1'!L405,'R2'!L405,'R3'!L405)</f>
        <v>1.7036151587189611E-3</v>
      </c>
      <c r="L405">
        <f>_xlfn.STDEV.S('R1'!M405,'R2'!M405,'R3'!M405)</f>
        <v>4.2034480466437239E-3</v>
      </c>
      <c r="M405">
        <f>_xlfn.STDEV.S('R1'!N405,'R2'!N405,'R3'!N405)</f>
        <v>3.6942826440997069E-3</v>
      </c>
      <c r="N405">
        <f>_xlfn.STDEV.S('R1'!O405,'R2'!O405,'R3'!O405)</f>
        <v>4.2111636899764843E-3</v>
      </c>
    </row>
    <row r="406" spans="1:14" x14ac:dyDescent="0.25">
      <c r="A406">
        <f>-'R1'!H406</f>
        <v>-24</v>
      </c>
      <c r="B406">
        <f>DEGREES(ATAN(-SIN(RADIANS(('R1'!I406)))/(COS(RADIANS(Sheet1!A406))*COS(RADIANS('R1'!I406)))))</f>
        <v>-8.7458791850141893</v>
      </c>
      <c r="C406">
        <f>AVERAGE('R1'!J406,'R2'!J406,'R3'!J406)</f>
        <v>1.18</v>
      </c>
      <c r="D406">
        <f>AVERAGE('R1'!K406,'R2'!K406,'R3'!K406)</f>
        <v>22.720005</v>
      </c>
      <c r="E406">
        <f>AVERAGE('R1'!L406,'R2'!L406,'R3'!L406)</f>
        <v>-0.33879904974581793</v>
      </c>
      <c r="F406">
        <f>AVERAGE('R1'!M406,'R2'!M406,'R3'!M406)</f>
        <v>1.5695427384827514</v>
      </c>
      <c r="G406">
        <f>AVERAGE('R1'!N406,'R2'!N406,'R3'!N406)</f>
        <v>-0.2647408202449143</v>
      </c>
      <c r="H406">
        <f>AVERAGE('R1'!O406,'R2'!O406,'R3'!O406)</f>
        <v>-8.5516520941712804E-2</v>
      </c>
      <c r="I406">
        <f t="shared" si="10"/>
        <v>4468.2676499999998</v>
      </c>
      <c r="K406">
        <f>_xlfn.STDEV.S('R1'!L406,'R2'!L406,'R3'!L406)</f>
        <v>1.0909211946653291E-3</v>
      </c>
      <c r="L406">
        <f>_xlfn.STDEV.S('R1'!M406,'R2'!M406,'R3'!M406)</f>
        <v>1.1080767565651559E-3</v>
      </c>
      <c r="M406">
        <f>_xlfn.STDEV.S('R1'!N406,'R2'!N406,'R3'!N406)</f>
        <v>3.2701997695795309E-3</v>
      </c>
      <c r="N406">
        <f>_xlfn.STDEV.S('R1'!O406,'R2'!O406,'R3'!O406)</f>
        <v>2.4060847492834705E-3</v>
      </c>
    </row>
    <row r="407" spans="1:14" x14ac:dyDescent="0.25">
      <c r="A407">
        <f>-'R1'!H407</f>
        <v>-24</v>
      </c>
      <c r="B407">
        <f>DEGREES(ATAN(-SIN(RADIANS(('R1'!I407)))/(COS(RADIANS(Sheet1!A407))*COS(RADIANS('R1'!I407)))))</f>
        <v>-13.09808863151425</v>
      </c>
      <c r="C407">
        <f>AVERAGE('R1'!J407,'R2'!J407,'R3'!J407)</f>
        <v>1.18</v>
      </c>
      <c r="D407">
        <f>AVERAGE('R1'!K407,'R2'!K407,'R3'!K407)</f>
        <v>22.779582833333336</v>
      </c>
      <c r="E407">
        <f>AVERAGE('R1'!L407,'R2'!L407,'R3'!L407)</f>
        <v>-0.5395609506822846</v>
      </c>
      <c r="F407">
        <f>AVERAGE('R1'!M407,'R2'!M407,'R3'!M407)</f>
        <v>1.5054576046772912</v>
      </c>
      <c r="G407">
        <f>AVERAGE('R1'!N407,'R2'!N407,'R3'!N407)</f>
        <v>-0.28582721659758031</v>
      </c>
      <c r="H407">
        <f>AVERAGE('R1'!O407,'R2'!O407,'R3'!O407)</f>
        <v>-0.14897752602116365</v>
      </c>
      <c r="I407">
        <f t="shared" si="10"/>
        <v>4479.9846238888895</v>
      </c>
      <c r="K407">
        <f>_xlfn.STDEV.S('R1'!L407,'R2'!L407,'R3'!L407)</f>
        <v>5.6039346686917475E-3</v>
      </c>
      <c r="L407">
        <f>_xlfn.STDEV.S('R1'!M407,'R2'!M407,'R3'!M407)</f>
        <v>3.6504060910383732E-3</v>
      </c>
      <c r="M407">
        <f>_xlfn.STDEV.S('R1'!N407,'R2'!N407,'R3'!N407)</f>
        <v>8.9331461934107266E-4</v>
      </c>
      <c r="N407">
        <f>_xlfn.STDEV.S('R1'!O407,'R2'!O407,'R3'!O407)</f>
        <v>4.0178405420763222E-3</v>
      </c>
    </row>
    <row r="408" spans="1:14" x14ac:dyDescent="0.25">
      <c r="A408">
        <f>-'R1'!H408</f>
        <v>-24</v>
      </c>
      <c r="B408">
        <f>DEGREES(ATAN(-SIN(RADIANS(('R1'!I408)))/(COS(RADIANS(Sheet1!A408))*COS(RADIANS('R1'!I408)))))</f>
        <v>-17.426129149372727</v>
      </c>
      <c r="C408">
        <f>AVERAGE('R1'!J408,'R2'!J408,'R3'!J408)</f>
        <v>1.18</v>
      </c>
      <c r="D408">
        <f>AVERAGE('R1'!K408,'R2'!K408,'R3'!K408)</f>
        <v>22.387378500000001</v>
      </c>
      <c r="E408">
        <f>AVERAGE('R1'!L408,'R2'!L408,'R3'!L408)</f>
        <v>-0.73452706476095886</v>
      </c>
      <c r="F408">
        <f>AVERAGE('R1'!M408,'R2'!M408,'R3'!M408)</f>
        <v>1.4407606664312287</v>
      </c>
      <c r="G408">
        <f>AVERAGE('R1'!N408,'R2'!N408,'R3'!N408)</f>
        <v>-0.31880579668855585</v>
      </c>
      <c r="H408">
        <f>AVERAGE('R1'!O408,'R2'!O408,'R3'!O408)</f>
        <v>-0.2090017746846754</v>
      </c>
      <c r="I408">
        <f t="shared" si="10"/>
        <v>4402.8511049999997</v>
      </c>
      <c r="K408">
        <f>_xlfn.STDEV.S('R1'!L408,'R2'!L408,'R3'!L408)</f>
        <v>5.1660210760343852E-3</v>
      </c>
      <c r="L408">
        <f>_xlfn.STDEV.S('R1'!M408,'R2'!M408,'R3'!M408)</f>
        <v>4.8829076878356041E-3</v>
      </c>
      <c r="M408">
        <f>_xlfn.STDEV.S('R1'!N408,'R2'!N408,'R3'!N408)</f>
        <v>2.7835937316873795E-3</v>
      </c>
      <c r="N408">
        <f>_xlfn.STDEV.S('R1'!O408,'R2'!O408,'R3'!O408)</f>
        <v>1.6191556884310281E-2</v>
      </c>
    </row>
    <row r="409" spans="1:14" x14ac:dyDescent="0.25">
      <c r="A409">
        <f>-'R1'!H409</f>
        <v>-24</v>
      </c>
      <c r="B409">
        <f>DEGREES(ATAN(-SIN(RADIANS(('R1'!I409)))/(COS(RADIANS(Sheet1!A409))*COS(RADIANS('R1'!I409)))))</f>
        <v>-21.723080079379415</v>
      </c>
      <c r="C409">
        <f>AVERAGE('R1'!J409,'R2'!J409,'R3'!J409)</f>
        <v>1.18</v>
      </c>
      <c r="D409">
        <f>AVERAGE('R1'!K409,'R2'!K409,'R3'!K409)</f>
        <v>22.207134833333331</v>
      </c>
      <c r="E409">
        <f>AVERAGE('R1'!L409,'R2'!L409,'R3'!L409)</f>
        <v>-0.92895602621259943</v>
      </c>
      <c r="F409">
        <f>AVERAGE('R1'!M409,'R2'!M409,'R3'!M409)</f>
        <v>1.3806480094604801</v>
      </c>
      <c r="G409">
        <f>AVERAGE('R1'!N409,'R2'!N409,'R3'!N409)</f>
        <v>-0.36637715913081648</v>
      </c>
      <c r="H409">
        <f>AVERAGE('R1'!O409,'R2'!O409,'R3'!O409)</f>
        <v>-0.27985840193735984</v>
      </c>
      <c r="I409">
        <f t="shared" si="10"/>
        <v>4367.4031838888886</v>
      </c>
      <c r="K409">
        <f>_xlfn.STDEV.S('R1'!L409,'R2'!L409,'R3'!L409)</f>
        <v>1.3223885372116646E-3</v>
      </c>
      <c r="L409">
        <f>_xlfn.STDEV.S('R1'!M409,'R2'!M409,'R3'!M409)</f>
        <v>3.8610645108289252E-3</v>
      </c>
      <c r="M409">
        <f>_xlfn.STDEV.S('R1'!N409,'R2'!N409,'R3'!N409)</f>
        <v>9.5947017605113605E-4</v>
      </c>
      <c r="N409">
        <f>_xlfn.STDEV.S('R1'!O409,'R2'!O409,'R3'!O409)</f>
        <v>3.2037367598646317E-3</v>
      </c>
    </row>
    <row r="410" spans="1:14" x14ac:dyDescent="0.25">
      <c r="A410">
        <f>-'R1'!H410</f>
        <v>-24</v>
      </c>
      <c r="B410">
        <f>DEGREES(ATAN(-SIN(RADIANS(('R1'!I410)))/(COS(RADIANS(Sheet1!A410))*COS(RADIANS('R1'!I410)))))</f>
        <v>-25.982912809070061</v>
      </c>
      <c r="C410">
        <f>AVERAGE('R1'!J410,'R2'!J410,'R3'!J410)</f>
        <v>1.18</v>
      </c>
      <c r="D410">
        <f>AVERAGE('R1'!K410,'R2'!K410,'R3'!K410)</f>
        <v>21.964361499999999</v>
      </c>
      <c r="E410">
        <f>AVERAGE('R1'!L410,'R2'!L410,'R3'!L410)</f>
        <v>-1.1093258295756023</v>
      </c>
      <c r="F410">
        <f>AVERAGE('R1'!M410,'R2'!M410,'R3'!M410)</f>
        <v>1.3415610640545654</v>
      </c>
      <c r="G410">
        <f>AVERAGE('R1'!N410,'R2'!N410,'R3'!N410)</f>
        <v>-0.42569252364789723</v>
      </c>
      <c r="H410">
        <f>AVERAGE('R1'!O410,'R2'!O410,'R3'!O410)</f>
        <v>-0.38801074559793208</v>
      </c>
      <c r="I410">
        <f t="shared" si="10"/>
        <v>4319.6577616666664</v>
      </c>
      <c r="K410">
        <f>_xlfn.STDEV.S('R1'!L410,'R2'!L410,'R3'!L410)</f>
        <v>1.9881408639973691E-3</v>
      </c>
      <c r="L410">
        <f>_xlfn.STDEV.S('R1'!M410,'R2'!M410,'R3'!M410)</f>
        <v>3.3954890119673956E-3</v>
      </c>
      <c r="M410">
        <f>_xlfn.STDEV.S('R1'!N410,'R2'!N410,'R3'!N410)</f>
        <v>2.57970988346887E-3</v>
      </c>
      <c r="N410">
        <f>_xlfn.STDEV.S('R1'!O410,'R2'!O410,'R3'!O410)</f>
        <v>1.7211891788573811E-3</v>
      </c>
    </row>
    <row r="411" spans="1:14" x14ac:dyDescent="0.25">
      <c r="A411">
        <f>-'R1'!H411</f>
        <v>-24</v>
      </c>
      <c r="B411">
        <f>DEGREES(ATAN(-SIN(RADIANS(('R1'!I411)))/(COS(RADIANS(Sheet1!A411))*COS(RADIANS('R1'!I411)))))</f>
        <v>-30.200622081370245</v>
      </c>
      <c r="C411">
        <f>AVERAGE('R1'!J411,'R2'!J411,'R3'!J411)</f>
        <v>1.18</v>
      </c>
      <c r="D411">
        <f>AVERAGE('R1'!K411,'R2'!K411,'R3'!K411)</f>
        <v>21.876760666666666</v>
      </c>
      <c r="E411">
        <f>AVERAGE('R1'!L411,'R2'!L411,'R3'!L411)</f>
        <v>-1.2587194137985955</v>
      </c>
      <c r="F411">
        <f>AVERAGE('R1'!M411,'R2'!M411,'R3'!M411)</f>
        <v>1.3357036473151362</v>
      </c>
      <c r="G411">
        <f>AVERAGE('R1'!N411,'R2'!N411,'R3'!N411)</f>
        <v>-0.49731930183579492</v>
      </c>
      <c r="H411">
        <f>AVERAGE('R1'!O411,'R2'!O411,'R3'!O411)</f>
        <v>-0.50675202534260344</v>
      </c>
      <c r="I411">
        <f t="shared" si="10"/>
        <v>4302.4295977777774</v>
      </c>
      <c r="K411">
        <f>_xlfn.STDEV.S('R1'!L411,'R2'!L411,'R3'!L411)</f>
        <v>1.161889040651179E-3</v>
      </c>
      <c r="L411">
        <f>_xlfn.STDEV.S('R1'!M411,'R2'!M411,'R3'!M411)</f>
        <v>2.4547966286822603E-3</v>
      </c>
      <c r="M411">
        <f>_xlfn.STDEV.S('R1'!N411,'R2'!N411,'R3'!N411)</f>
        <v>1.4383706006035881E-3</v>
      </c>
      <c r="N411">
        <f>_xlfn.STDEV.S('R1'!O411,'R2'!O411,'R3'!O411)</f>
        <v>2.6912573504055295E-3</v>
      </c>
    </row>
    <row r="412" spans="1:14" x14ac:dyDescent="0.25">
      <c r="A412">
        <f>-'R1'!H412</f>
        <v>-24</v>
      </c>
      <c r="B412">
        <f>DEGREES(ATAN(-SIN(RADIANS(('R1'!I412)))/(COS(RADIANS(Sheet1!A412))*COS(RADIANS('R1'!I412)))))</f>
        <v>-34.372309890771753</v>
      </c>
      <c r="C412">
        <f>AVERAGE('R1'!J412,'R2'!J412,'R3'!J412)</f>
        <v>1.18</v>
      </c>
      <c r="D412">
        <f>AVERAGE('R1'!K412,'R2'!K412,'R3'!K412)</f>
        <v>22.078928583333333</v>
      </c>
      <c r="E412">
        <f>AVERAGE('R1'!L412,'R2'!L412,'R3'!L412)</f>
        <v>-1.3770918499883351</v>
      </c>
      <c r="F412">
        <f>AVERAGE('R1'!M412,'R2'!M412,'R3'!M412)</f>
        <v>1.3535009503766846</v>
      </c>
      <c r="G412">
        <f>AVERAGE('R1'!N412,'R2'!N412,'R3'!N412)</f>
        <v>-0.57631965981118205</v>
      </c>
      <c r="H412">
        <f>AVERAGE('R1'!O412,'R2'!O412,'R3'!O412)</f>
        <v>-0.62480461293072032</v>
      </c>
      <c r="I412">
        <f t="shared" si="10"/>
        <v>4342.1892880555552</v>
      </c>
      <c r="K412">
        <f>_xlfn.STDEV.S('R1'!L412,'R2'!L412,'R3'!L412)</f>
        <v>2.8970038229572115E-3</v>
      </c>
      <c r="L412">
        <f>_xlfn.STDEV.S('R1'!M412,'R2'!M412,'R3'!M412)</f>
        <v>2.4018525971970144E-3</v>
      </c>
      <c r="M412">
        <f>_xlfn.STDEV.S('R1'!N412,'R2'!N412,'R3'!N412)</f>
        <v>3.0143564249461882E-3</v>
      </c>
      <c r="N412">
        <f>_xlfn.STDEV.S('R1'!O412,'R2'!O412,'R3'!O412)</f>
        <v>2.7504422410009836E-3</v>
      </c>
    </row>
    <row r="413" spans="1:14" x14ac:dyDescent="0.25">
      <c r="A413">
        <f>-'R1'!H413</f>
        <v>-24</v>
      </c>
      <c r="B413">
        <f>DEGREES(ATAN(-SIN(RADIANS(('R1'!I413)))/(COS(RADIANS(Sheet1!A413))*COS(RADIANS('R1'!I413)))))</f>
        <v>-38.495223358359183</v>
      </c>
      <c r="C413">
        <f>AVERAGE('R1'!J413,'R2'!J413,'R3'!J413)</f>
        <v>1.18</v>
      </c>
      <c r="D413">
        <f>AVERAGE('R1'!K413,'R2'!K413,'R3'!K413)</f>
        <v>22.260510583333332</v>
      </c>
      <c r="E413">
        <f>AVERAGE('R1'!L413,'R2'!L413,'R3'!L413)</f>
        <v>-1.4808440429663516</v>
      </c>
      <c r="F413">
        <f>AVERAGE('R1'!M413,'R2'!M413,'R3'!M413)</f>
        <v>1.3921252360483127</v>
      </c>
      <c r="G413">
        <f>AVERAGE('R1'!N413,'R2'!N413,'R3'!N413)</f>
        <v>-0.67087305198100511</v>
      </c>
      <c r="H413">
        <f>AVERAGE('R1'!O413,'R2'!O413,'R3'!O413)</f>
        <v>-0.74191522475155269</v>
      </c>
      <c r="I413">
        <f t="shared" si="10"/>
        <v>4377.9004147222213</v>
      </c>
      <c r="K413">
        <f>_xlfn.STDEV.S('R1'!L413,'R2'!L413,'R3'!L413)</f>
        <v>3.3461448550019296E-3</v>
      </c>
      <c r="L413">
        <f>_xlfn.STDEV.S('R1'!M413,'R2'!M413,'R3'!M413)</f>
        <v>6.3358007989613736E-3</v>
      </c>
      <c r="M413">
        <f>_xlfn.STDEV.S('R1'!N413,'R2'!N413,'R3'!N413)</f>
        <v>2.7399966508636639E-3</v>
      </c>
      <c r="N413">
        <f>_xlfn.STDEV.S('R1'!O413,'R2'!O413,'R3'!O413)</f>
        <v>2.3619305833270624E-3</v>
      </c>
    </row>
    <row r="414" spans="1:14" x14ac:dyDescent="0.25">
      <c r="A414">
        <f>-'R1'!H414</f>
        <v>-24</v>
      </c>
      <c r="B414">
        <f>DEGREES(ATAN(-SIN(RADIANS(('R1'!I414)))/(COS(RADIANS(Sheet1!A414))*COS(RADIANS('R1'!I414)))))</f>
        <v>-42.567751063132313</v>
      </c>
      <c r="C414">
        <f>AVERAGE('R1'!J414,'R2'!J414,'R3'!J414)</f>
        <v>1.18</v>
      </c>
      <c r="D414">
        <f>AVERAGE('R1'!K414,'R2'!K414,'R3'!K414)</f>
        <v>22.384862833333329</v>
      </c>
      <c r="E414">
        <f>AVERAGE('R1'!L414,'R2'!L414,'R3'!L414)</f>
        <v>-1.6198196653533719</v>
      </c>
      <c r="F414">
        <f>AVERAGE('R1'!M414,'R2'!M414,'R3'!M414)</f>
        <v>1.436270751330633</v>
      </c>
      <c r="G414">
        <f>AVERAGE('R1'!N414,'R2'!N414,'R3'!N414)</f>
        <v>-0.80978044128084914</v>
      </c>
      <c r="H414">
        <f>AVERAGE('R1'!O414,'R2'!O414,'R3'!O414)</f>
        <v>-0.8645507025823761</v>
      </c>
      <c r="I414">
        <f t="shared" si="10"/>
        <v>4402.356357222221</v>
      </c>
      <c r="K414">
        <f>_xlfn.STDEV.S('R1'!L414,'R2'!L414,'R3'!L414)</f>
        <v>4.2914922860087983E-3</v>
      </c>
      <c r="L414">
        <f>_xlfn.STDEV.S('R1'!M414,'R2'!M414,'R3'!M414)</f>
        <v>2.9099343409845374E-3</v>
      </c>
      <c r="M414">
        <f>_xlfn.STDEV.S('R1'!N414,'R2'!N414,'R3'!N414)</f>
        <v>5.969929240197942E-3</v>
      </c>
      <c r="N414">
        <f>_xlfn.STDEV.S('R1'!O414,'R2'!O414,'R3'!O414)</f>
        <v>3.8142697916130528E-3</v>
      </c>
    </row>
    <row r="415" spans="1:14" x14ac:dyDescent="0.25">
      <c r="A415">
        <f>-'R1'!H415</f>
        <v>-24</v>
      </c>
      <c r="B415">
        <f>DEGREES(ATAN(-SIN(RADIANS(('R1'!I415)))/(COS(RADIANS(Sheet1!A415))*COS(RADIANS('R1'!I415)))))</f>
        <v>-46.589384435425394</v>
      </c>
      <c r="C415">
        <f>AVERAGE('R1'!J415,'R2'!J415,'R3'!J415)</f>
        <v>1.18</v>
      </c>
      <c r="D415">
        <f>AVERAGE('R1'!K415,'R2'!K415,'R3'!K415)</f>
        <v>22.528089166666664</v>
      </c>
      <c r="E415">
        <f>AVERAGE('R1'!L415,'R2'!L415,'R3'!L415)</f>
        <v>-1.7834763237630857</v>
      </c>
      <c r="F415">
        <f>AVERAGE('R1'!M415,'R2'!M415,'R3'!M415)</f>
        <v>1.4991463584761702</v>
      </c>
      <c r="G415">
        <f>AVERAGE('R1'!N415,'R2'!N415,'R3'!N415)</f>
        <v>-0.98910505749652444</v>
      </c>
      <c r="H415">
        <f>AVERAGE('R1'!O415,'R2'!O415,'R3'!O415)</f>
        <v>-1.0068948413621359</v>
      </c>
      <c r="I415">
        <f t="shared" si="10"/>
        <v>4430.5242027777776</v>
      </c>
      <c r="K415">
        <f>_xlfn.STDEV.S('R1'!L415,'R2'!L415,'R3'!L415)</f>
        <v>6.5327699145690732E-3</v>
      </c>
      <c r="L415">
        <f>_xlfn.STDEV.S('R1'!M415,'R2'!M415,'R3'!M415)</f>
        <v>1.373064453698593E-3</v>
      </c>
      <c r="M415">
        <f>_xlfn.STDEV.S('R1'!N415,'R2'!N415,'R3'!N415)</f>
        <v>8.1613238630810353E-3</v>
      </c>
      <c r="N415">
        <f>_xlfn.STDEV.S('R1'!O415,'R2'!O415,'R3'!O415)</f>
        <v>4.8641342903958679E-3</v>
      </c>
    </row>
    <row r="416" spans="1:14" x14ac:dyDescent="0.25">
      <c r="A416">
        <f>-'R1'!H416</f>
        <v>-28</v>
      </c>
      <c r="B416">
        <f>DEGREES(ATAN(-SIN(RADIANS(('R1'!I416)))/(COS(RADIANS(Sheet1!A416))*COS(RADIANS('R1'!I416)))))</f>
        <v>47.562731505879128</v>
      </c>
      <c r="C416">
        <f>AVERAGE('R1'!J416,'R2'!J416,'R3'!J416)</f>
        <v>1.18</v>
      </c>
      <c r="D416">
        <f>AVERAGE('R1'!K416,'R2'!K416,'R3'!K416)</f>
        <v>22.144398749999997</v>
      </c>
      <c r="E416">
        <f>AVERAGE('R1'!L416,'R2'!L416,'R3'!L416)</f>
        <v>1.921587788615434</v>
      </c>
      <c r="F416">
        <f>AVERAGE('R1'!M416,'R2'!M416,'R3'!M416)</f>
        <v>1.7377901492700507</v>
      </c>
      <c r="G416">
        <f>AVERAGE('R1'!N416,'R2'!N416,'R3'!N416)</f>
        <v>-1.2167619867931305</v>
      </c>
      <c r="H416">
        <f>AVERAGE('R1'!O416,'R2'!O416,'R3'!O416)</f>
        <v>-1.2590345952521897</v>
      </c>
      <c r="I416">
        <f t="shared" si="10"/>
        <v>4355.0650875000001</v>
      </c>
      <c r="K416">
        <f>_xlfn.STDEV.S('R1'!L416,'R2'!L416,'R3'!L416)</f>
        <v>2.0715066328171401E-3</v>
      </c>
      <c r="L416">
        <f>_xlfn.STDEV.S('R1'!M416,'R2'!M416,'R3'!M416)</f>
        <v>7.6238160472818697E-3</v>
      </c>
      <c r="M416">
        <f>_xlfn.STDEV.S('R1'!N416,'R2'!N416,'R3'!N416)</f>
        <v>7.305082084330429E-3</v>
      </c>
      <c r="N416">
        <f>_xlfn.STDEV.S('R1'!O416,'R2'!O416,'R3'!O416)</f>
        <v>1.8255107108094111E-3</v>
      </c>
    </row>
    <row r="417" spans="1:14" x14ac:dyDescent="0.25">
      <c r="A417">
        <f>-'R1'!H417</f>
        <v>-28</v>
      </c>
      <c r="B417">
        <f>DEGREES(ATAN(-SIN(RADIANS(('R1'!I417)))/(COS(RADIANS(Sheet1!A417))*COS(RADIANS('R1'!I417)))))</f>
        <v>43.541410263843531</v>
      </c>
      <c r="C417">
        <f>AVERAGE('R1'!J417,'R2'!J417,'R3'!J417)</f>
        <v>1.18</v>
      </c>
      <c r="D417">
        <f>AVERAGE('R1'!K417,'R2'!K417,'R3'!K417)</f>
        <v>22.057854166666669</v>
      </c>
      <c r="E417">
        <f>AVERAGE('R1'!L417,'R2'!L417,'R3'!L417)</f>
        <v>1.7570170022402192</v>
      </c>
      <c r="F417">
        <f>AVERAGE('R1'!M417,'R2'!M417,'R3'!M417)</f>
        <v>1.656814803688637</v>
      </c>
      <c r="G417">
        <f>AVERAGE('R1'!N417,'R2'!N417,'R3'!N417)</f>
        <v>-1.0284593491967711</v>
      </c>
      <c r="H417">
        <f>AVERAGE('R1'!O417,'R2'!O417,'R3'!O417)</f>
        <v>-1.0993236021780202</v>
      </c>
      <c r="I417">
        <f t="shared" si="10"/>
        <v>4338.0446527777785</v>
      </c>
      <c r="K417">
        <f>_xlfn.STDEV.S('R1'!L417,'R2'!L417,'R3'!L417)</f>
        <v>1.9506142430212774E-3</v>
      </c>
      <c r="L417">
        <f>_xlfn.STDEV.S('R1'!M417,'R2'!M417,'R3'!M417)</f>
        <v>4.9801113470609943E-3</v>
      </c>
      <c r="M417">
        <f>_xlfn.STDEV.S('R1'!N417,'R2'!N417,'R3'!N417)</f>
        <v>7.1644032173302308E-3</v>
      </c>
      <c r="N417">
        <f>_xlfn.STDEV.S('R1'!O417,'R2'!O417,'R3'!O417)</f>
        <v>1.8087208092856449E-4</v>
      </c>
    </row>
    <row r="418" spans="1:14" x14ac:dyDescent="0.25">
      <c r="A418">
        <f>-'R1'!H418</f>
        <v>-28</v>
      </c>
      <c r="B418">
        <f>DEGREES(ATAN(-SIN(RADIANS(('R1'!I418)))/(COS(RADIANS(Sheet1!A418))*COS(RADIANS('R1'!I418)))))</f>
        <v>39.449608335498439</v>
      </c>
      <c r="C418">
        <f>AVERAGE('R1'!J418,'R2'!J418,'R3'!J418)</f>
        <v>1.18</v>
      </c>
      <c r="D418">
        <f>AVERAGE('R1'!K418,'R2'!K418,'R3'!K418)</f>
        <v>22.260595499999997</v>
      </c>
      <c r="E418">
        <f>AVERAGE('R1'!L418,'R2'!L418,'R3'!L418)</f>
        <v>1.6252775296972815</v>
      </c>
      <c r="F418">
        <f>AVERAGE('R1'!M418,'R2'!M418,'R3'!M418)</f>
        <v>1.5850693349643388</v>
      </c>
      <c r="G418">
        <f>AVERAGE('R1'!N418,'R2'!N418,'R3'!N418)</f>
        <v>-0.87784184656813002</v>
      </c>
      <c r="H418">
        <f>AVERAGE('R1'!O418,'R2'!O418,'R3'!O418)</f>
        <v>-0.96180219611200057</v>
      </c>
      <c r="I418">
        <f t="shared" si="10"/>
        <v>4377.9171149999993</v>
      </c>
      <c r="K418">
        <f>_xlfn.STDEV.S('R1'!L418,'R2'!L418,'R3'!L418)</f>
        <v>1.6132475704754149E-3</v>
      </c>
      <c r="L418">
        <f>_xlfn.STDEV.S('R1'!M418,'R2'!M418,'R3'!M418)</f>
        <v>1.0820012852233471E-3</v>
      </c>
      <c r="M418">
        <f>_xlfn.STDEV.S('R1'!N418,'R2'!N418,'R3'!N418)</f>
        <v>1.611919365462825E-3</v>
      </c>
      <c r="N418">
        <f>_xlfn.STDEV.S('R1'!O418,'R2'!O418,'R3'!O418)</f>
        <v>4.562896134279743E-3</v>
      </c>
    </row>
    <row r="419" spans="1:14" x14ac:dyDescent="0.25">
      <c r="A419">
        <f>-'R1'!H419</f>
        <v>-28</v>
      </c>
      <c r="B419">
        <f>DEGREES(ATAN(-SIN(RADIANS(('R1'!I419)))/(COS(RADIANS(Sheet1!A419))*COS(RADIANS('R1'!I419)))))</f>
        <v>35.287360012327973</v>
      </c>
      <c r="C419">
        <f>AVERAGE('R1'!J419,'R2'!J419,'R3'!J419)</f>
        <v>1.18</v>
      </c>
      <c r="D419">
        <f>AVERAGE('R1'!K419,'R2'!K419,'R3'!K419)</f>
        <v>22.070257666666667</v>
      </c>
      <c r="E419">
        <f>AVERAGE('R1'!L419,'R2'!L419,'R3'!L419)</f>
        <v>1.5095911294340059</v>
      </c>
      <c r="F419">
        <f>AVERAGE('R1'!M419,'R2'!M419,'R3'!M419)</f>
        <v>1.52602342645683</v>
      </c>
      <c r="G419">
        <f>AVERAGE('R1'!N419,'R2'!N419,'R3'!N419)</f>
        <v>-0.75518181188025313</v>
      </c>
      <c r="H419">
        <f>AVERAGE('R1'!O419,'R2'!O419,'R3'!O419)</f>
        <v>-0.83986303515223992</v>
      </c>
      <c r="I419">
        <f t="shared" si="10"/>
        <v>4340.4840077777781</v>
      </c>
      <c r="K419">
        <f>_xlfn.STDEV.S('R1'!L419,'R2'!L419,'R3'!L419)</f>
        <v>9.561751594925577E-4</v>
      </c>
      <c r="L419">
        <f>_xlfn.STDEV.S('R1'!M419,'R2'!M419,'R3'!M419)</f>
        <v>1.0191262827287126E-3</v>
      </c>
      <c r="M419">
        <f>_xlfn.STDEV.S('R1'!N419,'R2'!N419,'R3'!N419)</f>
        <v>1.9272370890510977E-3</v>
      </c>
      <c r="N419">
        <f>_xlfn.STDEV.S('R1'!O419,'R2'!O419,'R3'!O419)</f>
        <v>4.0073205728062561E-4</v>
      </c>
    </row>
    <row r="420" spans="1:14" x14ac:dyDescent="0.25">
      <c r="A420">
        <f>-'R1'!H420</f>
        <v>-28</v>
      </c>
      <c r="B420">
        <f>DEGREES(ATAN(-SIN(RADIANS(('R1'!I420)))/(COS(RADIANS(Sheet1!A420))*COS(RADIANS('R1'!I420)))))</f>
        <v>31.056274317680661</v>
      </c>
      <c r="C420">
        <f>AVERAGE('R1'!J420,'R2'!J420,'R3'!J420)</f>
        <v>1.18</v>
      </c>
      <c r="D420">
        <f>AVERAGE('R1'!K420,'R2'!K420,'R3'!K420)</f>
        <v>22.224254583333334</v>
      </c>
      <c r="E420">
        <f>AVERAGE('R1'!L420,'R2'!L420,'R3'!L420)</f>
        <v>1.3940892307925157</v>
      </c>
      <c r="F420">
        <f>AVERAGE('R1'!M420,'R2'!M420,'R3'!M420)</f>
        <v>1.4851316666873668</v>
      </c>
      <c r="G420">
        <f>AVERAGE('R1'!N420,'R2'!N420,'R3'!N420)</f>
        <v>-0.65877500270799327</v>
      </c>
      <c r="H420">
        <f>AVERAGE('R1'!O420,'R2'!O420,'R3'!O420)</f>
        <v>-0.72646920384070957</v>
      </c>
      <c r="I420">
        <f t="shared" si="10"/>
        <v>4370.7700680555563</v>
      </c>
      <c r="K420">
        <f>_xlfn.STDEV.S('R1'!L420,'R2'!L420,'R3'!L420)</f>
        <v>1.4518813083830987E-3</v>
      </c>
      <c r="L420">
        <f>_xlfn.STDEV.S('R1'!M420,'R2'!M420,'R3'!M420)</f>
        <v>3.7388390650175047E-3</v>
      </c>
      <c r="M420">
        <f>_xlfn.STDEV.S('R1'!N420,'R2'!N420,'R3'!N420)</f>
        <v>3.7366764341375603E-4</v>
      </c>
      <c r="N420">
        <f>_xlfn.STDEV.S('R1'!O420,'R2'!O420,'R3'!O420)</f>
        <v>2.8660418829361037E-3</v>
      </c>
    </row>
    <row r="421" spans="1:14" x14ac:dyDescent="0.25">
      <c r="A421">
        <f>-'R1'!H421</f>
        <v>-28</v>
      </c>
      <c r="B421">
        <f>DEGREES(ATAN(-SIN(RADIANS(('R1'!I421)))/(COS(RADIANS(Sheet1!A421))*COS(RADIANS('R1'!I421)))))</f>
        <v>26.759647654377044</v>
      </c>
      <c r="C421">
        <f>AVERAGE('R1'!J421,'R2'!J421,'R3'!J421)</f>
        <v>1.18</v>
      </c>
      <c r="D421">
        <f>AVERAGE('R1'!K421,'R2'!K421,'R3'!K421)</f>
        <v>22.406913750000001</v>
      </c>
      <c r="E421">
        <f>AVERAGE('R1'!L421,'R2'!L421,'R3'!L421)</f>
        <v>1.2692657136898899</v>
      </c>
      <c r="F421">
        <f>AVERAGE('R1'!M421,'R2'!M421,'R3'!M421)</f>
        <v>1.4748209412677298</v>
      </c>
      <c r="G421">
        <f>AVERAGE('R1'!N421,'R2'!N421,'R3'!N421)</f>
        <v>-0.58229398358297113</v>
      </c>
      <c r="H421">
        <f>AVERAGE('R1'!O421,'R2'!O421,'R3'!O421)</f>
        <v>-0.62028086951478667</v>
      </c>
      <c r="I421">
        <f t="shared" si="10"/>
        <v>4406.6930375000002</v>
      </c>
      <c r="K421">
        <f>_xlfn.STDEV.S('R1'!L421,'R2'!L421,'R3'!L421)</f>
        <v>1.8456820891437911E-3</v>
      </c>
      <c r="L421">
        <f>_xlfn.STDEV.S('R1'!M421,'R2'!M421,'R3'!M421)</f>
        <v>3.6675558367420449E-3</v>
      </c>
      <c r="M421">
        <f>_xlfn.STDEV.S('R1'!N421,'R2'!N421,'R3'!N421)</f>
        <v>1.8873582716557031E-3</v>
      </c>
      <c r="N421">
        <f>_xlfn.STDEV.S('R1'!O421,'R2'!O421,'R3'!O421)</f>
        <v>2.352600694594884E-3</v>
      </c>
    </row>
    <row r="422" spans="1:14" x14ac:dyDescent="0.25">
      <c r="A422">
        <f>-'R1'!H422</f>
        <v>-28</v>
      </c>
      <c r="B422">
        <f>DEGREES(ATAN(-SIN(RADIANS(('R1'!I422)))/(COS(RADIANS(Sheet1!A422))*COS(RADIANS('R1'!I422)))))</f>
        <v>22.402523646885253</v>
      </c>
      <c r="C422">
        <f>AVERAGE('R1'!J422,'R2'!J422,'R3'!J422)</f>
        <v>1.18</v>
      </c>
      <c r="D422">
        <f>AVERAGE('R1'!K422,'R2'!K422,'R3'!K422)</f>
        <v>22.59744925</v>
      </c>
      <c r="E422">
        <f>AVERAGE('R1'!L422,'R2'!L422,'R3'!L422)</f>
        <v>1.1278866951170903</v>
      </c>
      <c r="F422">
        <f>AVERAGE('R1'!M422,'R2'!M422,'R3'!M422)</f>
        <v>1.4893073625102697</v>
      </c>
      <c r="G422">
        <f>AVERAGE('R1'!N422,'R2'!N422,'R3'!N422)</f>
        <v>-0.52400158607686853</v>
      </c>
      <c r="H422">
        <f>AVERAGE('R1'!O422,'R2'!O422,'R3'!O422)</f>
        <v>-0.51688934939361253</v>
      </c>
      <c r="I422">
        <f t="shared" si="10"/>
        <v>4444.1650191666668</v>
      </c>
      <c r="K422">
        <f>_xlfn.STDEV.S('R1'!L422,'R2'!L422,'R3'!L422)</f>
        <v>5.0419666544065231E-3</v>
      </c>
      <c r="L422">
        <f>_xlfn.STDEV.S('R1'!M422,'R2'!M422,'R3'!M422)</f>
        <v>2.9563851403996981E-3</v>
      </c>
      <c r="M422">
        <f>_xlfn.STDEV.S('R1'!N422,'R2'!N422,'R3'!N422)</f>
        <v>3.011821026432048E-3</v>
      </c>
      <c r="N422">
        <f>_xlfn.STDEV.S('R1'!O422,'R2'!O422,'R3'!O422)</f>
        <v>3.0851242077966443E-3</v>
      </c>
    </row>
    <row r="423" spans="1:14" x14ac:dyDescent="0.25">
      <c r="A423">
        <f>-'R1'!H423</f>
        <v>-28</v>
      </c>
      <c r="B423">
        <f>DEGREES(ATAN(-SIN(RADIANS(('R1'!I423)))/(COS(RADIANS(Sheet1!A423))*COS(RADIANS('R1'!I423)))))</f>
        <v>17.991683837765329</v>
      </c>
      <c r="C423">
        <f>AVERAGE('R1'!J423,'R2'!J423,'R3'!J423)</f>
        <v>1.18</v>
      </c>
      <c r="D423">
        <f>AVERAGE('R1'!K423,'R2'!K423,'R3'!K423)</f>
        <v>22.825123749999999</v>
      </c>
      <c r="E423">
        <f>AVERAGE('R1'!L423,'R2'!L423,'R3'!L423)</f>
        <v>0.95519800317219428</v>
      </c>
      <c r="F423">
        <f>AVERAGE('R1'!M423,'R2'!M423,'R3'!M423)</f>
        <v>1.5299273923803405</v>
      </c>
      <c r="G423">
        <f>AVERAGE('R1'!N423,'R2'!N423,'R3'!N423)</f>
        <v>-0.47368231288468604</v>
      </c>
      <c r="H423">
        <f>AVERAGE('R1'!O423,'R2'!O423,'R3'!O423)</f>
        <v>-0.42185870217330407</v>
      </c>
      <c r="I423">
        <f t="shared" si="10"/>
        <v>4488.941004166667</v>
      </c>
      <c r="K423">
        <f>_xlfn.STDEV.S('R1'!L423,'R2'!L423,'R3'!L423)</f>
        <v>1.2811771358672863E-3</v>
      </c>
      <c r="L423">
        <f>_xlfn.STDEV.S('R1'!M423,'R2'!M423,'R3'!M423)</f>
        <v>3.3079917538347665E-3</v>
      </c>
      <c r="M423">
        <f>_xlfn.STDEV.S('R1'!N423,'R2'!N423,'R3'!N423)</f>
        <v>2.1206837005266275E-3</v>
      </c>
      <c r="N423">
        <f>_xlfn.STDEV.S('R1'!O423,'R2'!O423,'R3'!O423)</f>
        <v>2.2696047391102462E-3</v>
      </c>
    </row>
    <row r="424" spans="1:14" x14ac:dyDescent="0.25">
      <c r="A424">
        <f>-'R1'!H424</f>
        <v>-28</v>
      </c>
      <c r="B424">
        <f>DEGREES(ATAN(-SIN(RADIANS(('R1'!I424)))/(COS(RADIANS(Sheet1!A424))*COS(RADIANS('R1'!I424)))))</f>
        <v>13.535556072482301</v>
      </c>
      <c r="C424">
        <f>AVERAGE('R1'!J424,'R2'!J424,'R3'!J424)</f>
        <v>1.18</v>
      </c>
      <c r="D424">
        <f>AVERAGE('R1'!K424,'R2'!K424,'R3'!K424)</f>
        <v>22.534548999999998</v>
      </c>
      <c r="E424">
        <f>AVERAGE('R1'!L424,'R2'!L424,'R3'!L424)</f>
        <v>0.76365231452349569</v>
      </c>
      <c r="F424">
        <f>AVERAGE('R1'!M424,'R2'!M424,'R3'!M424)</f>
        <v>1.5910573297236379</v>
      </c>
      <c r="G424">
        <f>AVERAGE('R1'!N424,'R2'!N424,'R3'!N424)</f>
        <v>-0.43401117057949362</v>
      </c>
      <c r="H424">
        <f>AVERAGE('R1'!O424,'R2'!O424,'R3'!O424)</f>
        <v>-0.34077698287270425</v>
      </c>
      <c r="I424">
        <f t="shared" si="10"/>
        <v>4431.7946366666665</v>
      </c>
      <c r="K424">
        <f>_xlfn.STDEV.S('R1'!L424,'R2'!L424,'R3'!L424)</f>
        <v>4.1803944944362086E-3</v>
      </c>
      <c r="L424">
        <f>_xlfn.STDEV.S('R1'!M424,'R2'!M424,'R3'!M424)</f>
        <v>1.3470815200598155E-3</v>
      </c>
      <c r="M424">
        <f>_xlfn.STDEV.S('R1'!N424,'R2'!N424,'R3'!N424)</f>
        <v>3.0879478812120458E-3</v>
      </c>
      <c r="N424">
        <f>_xlfn.STDEV.S('R1'!O424,'R2'!O424,'R3'!O424)</f>
        <v>3.7993493479759619E-3</v>
      </c>
    </row>
    <row r="425" spans="1:14" x14ac:dyDescent="0.25">
      <c r="A425">
        <f>-'R1'!H425</f>
        <v>-28</v>
      </c>
      <c r="B425">
        <f>DEGREES(ATAN(-SIN(RADIANS(('R1'!I425)))/(COS(RADIANS(Sheet1!A425))*COS(RADIANS('R1'!I425)))))</f>
        <v>9.0440332369115684</v>
      </c>
      <c r="C425">
        <f>AVERAGE('R1'!J425,'R2'!J425,'R3'!J425)</f>
        <v>1.18</v>
      </c>
      <c r="D425">
        <f>AVERAGE('R1'!K425,'R2'!K425,'R3'!K425)</f>
        <v>22.237492916666667</v>
      </c>
      <c r="E425">
        <f>AVERAGE('R1'!L425,'R2'!L425,'R3'!L425)</f>
        <v>0.56464912814856982</v>
      </c>
      <c r="F425">
        <f>AVERAGE('R1'!M425,'R2'!M425,'R3'!M425)</f>
        <v>1.6751108719296275</v>
      </c>
      <c r="G425">
        <f>AVERAGE('R1'!N425,'R2'!N425,'R3'!N425)</f>
        <v>-0.41574014703024947</v>
      </c>
      <c r="H425">
        <f>AVERAGE('R1'!O425,'R2'!O425,'R3'!O425)</f>
        <v>-0.28311348820703719</v>
      </c>
      <c r="I425">
        <f t="shared" si="10"/>
        <v>4373.373606944444</v>
      </c>
      <c r="K425">
        <f>_xlfn.STDEV.S('R1'!L425,'R2'!L425,'R3'!L425)</f>
        <v>8.4240954899841881E-3</v>
      </c>
      <c r="L425">
        <f>_xlfn.STDEV.S('R1'!M425,'R2'!M425,'R3'!M425)</f>
        <v>2.9428083975402124E-3</v>
      </c>
      <c r="M425">
        <f>_xlfn.STDEV.S('R1'!N425,'R2'!N425,'R3'!N425)</f>
        <v>4.3747455809193033E-3</v>
      </c>
      <c r="N425">
        <f>_xlfn.STDEV.S('R1'!O425,'R2'!O425,'R3'!O425)</f>
        <v>7.9968200976220736E-3</v>
      </c>
    </row>
    <row r="426" spans="1:14" x14ac:dyDescent="0.25">
      <c r="A426">
        <f>-'R1'!H426</f>
        <v>-28</v>
      </c>
      <c r="B426">
        <f>DEGREES(ATAN(-SIN(RADIANS(('R1'!I426)))/(COS(RADIANS(Sheet1!A426))*COS(RADIANS('R1'!I426)))))</f>
        <v>4.5282031595057557</v>
      </c>
      <c r="C426">
        <f>AVERAGE('R1'!J426,'R2'!J426,'R3'!J426)</f>
        <v>1.18</v>
      </c>
      <c r="D426">
        <f>AVERAGE('R1'!K426,'R2'!K426,'R3'!K426)</f>
        <v>22.012844083333334</v>
      </c>
      <c r="E426">
        <f>AVERAGE('R1'!L426,'R2'!L426,'R3'!L426)</f>
        <v>0.35325893815522269</v>
      </c>
      <c r="F426">
        <f>AVERAGE('R1'!M426,'R2'!M426,'R3'!M426)</f>
        <v>1.75883845272731</v>
      </c>
      <c r="G426">
        <f>AVERAGE('R1'!N426,'R2'!N426,'R3'!N426)</f>
        <v>-0.40498220481783481</v>
      </c>
      <c r="H426">
        <f>AVERAGE('R1'!O426,'R2'!O426,'R3'!O426)</f>
        <v>-0.21645446798215964</v>
      </c>
      <c r="I426">
        <f t="shared" si="10"/>
        <v>4329.1926697222225</v>
      </c>
      <c r="K426">
        <f>_xlfn.STDEV.S('R1'!L426,'R2'!L426,'R3'!L426)</f>
        <v>1.1065195154813144E-3</v>
      </c>
      <c r="L426">
        <f>_xlfn.STDEV.S('R1'!M426,'R2'!M426,'R3'!M426)</f>
        <v>4.7731431906686186E-3</v>
      </c>
      <c r="M426">
        <f>_xlfn.STDEV.S('R1'!N426,'R2'!N426,'R3'!N426)</f>
        <v>2.5313473680531507E-3</v>
      </c>
      <c r="N426">
        <f>_xlfn.STDEV.S('R1'!O426,'R2'!O426,'R3'!O426)</f>
        <v>8.5974909032354649E-3</v>
      </c>
    </row>
    <row r="427" spans="1:14" x14ac:dyDescent="0.25">
      <c r="A427">
        <f>-'R1'!H427</f>
        <v>-28</v>
      </c>
      <c r="B427">
        <f>DEGREES(ATAN(-SIN(RADIANS(('R1'!I427)))/(COS(RADIANS(Sheet1!A427))*COS(RADIANS('R1'!I427)))))</f>
        <v>0</v>
      </c>
      <c r="C427">
        <f>AVERAGE('R1'!J427,'R2'!J427,'R3'!J427)</f>
        <v>1.18</v>
      </c>
      <c r="D427">
        <f>AVERAGE('R1'!K427,'R2'!K427,'R3'!K427)</f>
        <v>21.925019750000001</v>
      </c>
      <c r="E427">
        <f>AVERAGE('R1'!L427,'R2'!L427,'R3'!L427)</f>
        <v>0.12261339539651626</v>
      </c>
      <c r="F427">
        <f>AVERAGE('R1'!M427,'R2'!M427,'R3'!M427)</f>
        <v>1.8586248733219242</v>
      </c>
      <c r="G427">
        <f>AVERAGE('R1'!N427,'R2'!N427,'R3'!N427)</f>
        <v>-0.41620939105927507</v>
      </c>
      <c r="H427">
        <f>AVERAGE('R1'!O427,'R2'!O427,'R3'!O427)</f>
        <v>-0.15730799484297173</v>
      </c>
      <c r="I427">
        <f t="shared" si="10"/>
        <v>4311.9205508333334</v>
      </c>
      <c r="K427">
        <f>_xlfn.STDEV.S('R1'!L427,'R2'!L427,'R3'!L427)</f>
        <v>2.4818672209451519E-3</v>
      </c>
      <c r="L427">
        <f>_xlfn.STDEV.S('R1'!M427,'R2'!M427,'R3'!M427)</f>
        <v>3.1889656126445473E-3</v>
      </c>
      <c r="M427">
        <f>_xlfn.STDEV.S('R1'!N427,'R2'!N427,'R3'!N427)</f>
        <v>3.8903856731453308E-3</v>
      </c>
      <c r="N427">
        <f>_xlfn.STDEV.S('R1'!O427,'R2'!O427,'R3'!O427)</f>
        <v>8.9199446880421068E-3</v>
      </c>
    </row>
    <row r="428" spans="1:14" x14ac:dyDescent="0.25">
      <c r="A428">
        <f>-'R1'!H428</f>
        <v>-28</v>
      </c>
      <c r="B428">
        <f>DEGREES(ATAN(-SIN(RADIANS(('R1'!I428)))/(COS(RADIANS(Sheet1!A428))*COS(RADIANS('R1'!I428)))))</f>
        <v>-4.5282031595057557</v>
      </c>
      <c r="C428">
        <f>AVERAGE('R1'!J428,'R2'!J428,'R3'!J428)</f>
        <v>1.18</v>
      </c>
      <c r="D428">
        <f>AVERAGE('R1'!K428,'R2'!K428,'R3'!K428)</f>
        <v>22.119577500000002</v>
      </c>
      <c r="E428">
        <f>AVERAGE('R1'!L428,'R2'!L428,'R3'!L428)</f>
        <v>-0.1206851940706324</v>
      </c>
      <c r="F428">
        <f>AVERAGE('R1'!M428,'R2'!M428,'R3'!M428)</f>
        <v>1.8569954646464042</v>
      </c>
      <c r="G428">
        <f>AVERAGE('R1'!N428,'R2'!N428,'R3'!N428)</f>
        <v>-0.41204776572576973</v>
      </c>
      <c r="H428">
        <f>AVERAGE('R1'!O428,'R2'!O428,'R3'!O428)</f>
        <v>-0.16036504110453254</v>
      </c>
      <c r="I428">
        <f t="shared" si="10"/>
        <v>4350.183575</v>
      </c>
      <c r="K428">
        <f>_xlfn.STDEV.S('R1'!L428,'R2'!L428,'R3'!L428)</f>
        <v>7.2965058098483993E-3</v>
      </c>
      <c r="L428">
        <f>_xlfn.STDEV.S('R1'!M428,'R2'!M428,'R3'!M428)</f>
        <v>4.736190579596504E-3</v>
      </c>
      <c r="M428">
        <f>_xlfn.STDEV.S('R1'!N428,'R2'!N428,'R3'!N428)</f>
        <v>3.7373382062983844E-3</v>
      </c>
      <c r="N428">
        <f>_xlfn.STDEV.S('R1'!O428,'R2'!O428,'R3'!O428)</f>
        <v>4.3088559929024394E-3</v>
      </c>
    </row>
    <row r="429" spans="1:14" x14ac:dyDescent="0.25">
      <c r="A429">
        <f>-'R1'!H429</f>
        <v>-28</v>
      </c>
      <c r="B429">
        <f>DEGREES(ATAN(-SIN(RADIANS(('R1'!I429)))/(COS(RADIANS(Sheet1!A429))*COS(RADIANS('R1'!I429)))))</f>
        <v>-9.0440332369115684</v>
      </c>
      <c r="C429">
        <f>AVERAGE('R1'!J429,'R2'!J429,'R3'!J429)</f>
        <v>1.18</v>
      </c>
      <c r="D429">
        <f>AVERAGE('R1'!K429,'R2'!K429,'R3'!K429)</f>
        <v>22.348208666666665</v>
      </c>
      <c r="E429">
        <f>AVERAGE('R1'!L429,'R2'!L429,'R3'!L429)</f>
        <v>-0.36106033589616432</v>
      </c>
      <c r="F429">
        <f>AVERAGE('R1'!M429,'R2'!M429,'R3'!M429)</f>
        <v>1.7576174836220855</v>
      </c>
      <c r="G429">
        <f>AVERAGE('R1'!N429,'R2'!N429,'R3'!N429)</f>
        <v>-0.40845057621289665</v>
      </c>
      <c r="H429">
        <f>AVERAGE('R1'!O429,'R2'!O429,'R3'!O429)</f>
        <v>-0.22715185922550332</v>
      </c>
      <c r="I429">
        <f t="shared" si="10"/>
        <v>4395.1477044444437</v>
      </c>
      <c r="K429">
        <f>_xlfn.STDEV.S('R1'!L429,'R2'!L429,'R3'!L429)</f>
        <v>6.00576369048611E-3</v>
      </c>
      <c r="L429">
        <f>_xlfn.STDEV.S('R1'!M429,'R2'!M429,'R3'!M429)</f>
        <v>6.4142839157388292E-3</v>
      </c>
      <c r="M429">
        <f>_xlfn.STDEV.S('R1'!N429,'R2'!N429,'R3'!N429)</f>
        <v>4.2144439229284975E-3</v>
      </c>
      <c r="N429">
        <f>_xlfn.STDEV.S('R1'!O429,'R2'!O429,'R3'!O429)</f>
        <v>5.0575606882180884E-3</v>
      </c>
    </row>
    <row r="430" spans="1:14" x14ac:dyDescent="0.25">
      <c r="A430">
        <f>-'R1'!H430</f>
        <v>-28</v>
      </c>
      <c r="B430">
        <f>DEGREES(ATAN(-SIN(RADIANS(('R1'!I430)))/(COS(RADIANS(Sheet1!A430))*COS(RADIANS('R1'!I430)))))</f>
        <v>-13.535556072482301</v>
      </c>
      <c r="C430">
        <f>AVERAGE('R1'!J430,'R2'!J430,'R3'!J430)</f>
        <v>1.18</v>
      </c>
      <c r="D430">
        <f>AVERAGE('R1'!K430,'R2'!K430,'R3'!K430)</f>
        <v>22.491378083333331</v>
      </c>
      <c r="E430">
        <f>AVERAGE('R1'!L430,'R2'!L430,'R3'!L430)</f>
        <v>-0.56704803084005462</v>
      </c>
      <c r="F430">
        <f>AVERAGE('R1'!M430,'R2'!M430,'R3'!M430)</f>
        <v>1.6746360022285272</v>
      </c>
      <c r="G430">
        <f>AVERAGE('R1'!N430,'R2'!N430,'R3'!N430)</f>
        <v>-0.41714208370426636</v>
      </c>
      <c r="H430">
        <f>AVERAGE('R1'!O430,'R2'!O430,'R3'!O430)</f>
        <v>-0.29085076272689969</v>
      </c>
      <c r="I430">
        <f t="shared" si="10"/>
        <v>4423.3043563888878</v>
      </c>
      <c r="K430">
        <f>_xlfn.STDEV.S('R1'!L430,'R2'!L430,'R3'!L430)</f>
        <v>6.9616987445338067E-3</v>
      </c>
      <c r="L430">
        <f>_xlfn.STDEV.S('R1'!M430,'R2'!M430,'R3'!M430)</f>
        <v>6.0752550874736593E-3</v>
      </c>
      <c r="M430">
        <f>_xlfn.STDEV.S('R1'!N430,'R2'!N430,'R3'!N430)</f>
        <v>2.766450005200875E-3</v>
      </c>
      <c r="N430">
        <f>_xlfn.STDEV.S('R1'!O430,'R2'!O430,'R3'!O430)</f>
        <v>1.065168159793981E-2</v>
      </c>
    </row>
    <row r="431" spans="1:14" x14ac:dyDescent="0.25">
      <c r="A431">
        <f>-'R1'!H431</f>
        <v>-28</v>
      </c>
      <c r="B431">
        <f>DEGREES(ATAN(-SIN(RADIANS(('R1'!I431)))/(COS(RADIANS(Sheet1!A431))*COS(RADIANS('R1'!I431)))))</f>
        <v>-17.991683837765329</v>
      </c>
      <c r="C431">
        <f>AVERAGE('R1'!J431,'R2'!J431,'R3'!J431)</f>
        <v>1.18</v>
      </c>
      <c r="D431">
        <f>AVERAGE('R1'!K431,'R2'!K431,'R3'!K431)</f>
        <v>22.84417075</v>
      </c>
      <c r="E431">
        <f>AVERAGE('R1'!L431,'R2'!L431,'R3'!L431)</f>
        <v>-0.76849310159850648</v>
      </c>
      <c r="F431">
        <f>AVERAGE('R1'!M431,'R2'!M431,'R3'!M431)</f>
        <v>1.5899101798412032</v>
      </c>
      <c r="G431">
        <f>AVERAGE('R1'!N431,'R2'!N431,'R3'!N431)</f>
        <v>-0.43484932383658575</v>
      </c>
      <c r="H431">
        <f>AVERAGE('R1'!O431,'R2'!O431,'R3'!O431)</f>
        <v>-0.35605853711552804</v>
      </c>
      <c r="I431">
        <f t="shared" si="10"/>
        <v>4492.6869141666675</v>
      </c>
      <c r="K431">
        <f>_xlfn.STDEV.S('R1'!L431,'R2'!L431,'R3'!L431)</f>
        <v>3.110097537593524E-3</v>
      </c>
      <c r="L431">
        <f>_xlfn.STDEV.S('R1'!M431,'R2'!M431,'R3'!M431)</f>
        <v>5.1926438995340603E-3</v>
      </c>
      <c r="M431">
        <f>_xlfn.STDEV.S('R1'!N431,'R2'!N431,'R3'!N431)</f>
        <v>3.8120833507496875E-3</v>
      </c>
      <c r="N431">
        <f>_xlfn.STDEV.S('R1'!O431,'R2'!O431,'R3'!O431)</f>
        <v>9.3787676804929776E-3</v>
      </c>
    </row>
    <row r="432" spans="1:14" x14ac:dyDescent="0.25">
      <c r="A432">
        <f>-'R1'!H432</f>
        <v>-28</v>
      </c>
      <c r="B432">
        <f>DEGREES(ATAN(-SIN(RADIANS(('R1'!I432)))/(COS(RADIANS(Sheet1!A432))*COS(RADIANS('R1'!I432)))))</f>
        <v>-22.402523646885253</v>
      </c>
      <c r="C432">
        <f>AVERAGE('R1'!J432,'R2'!J432,'R3'!J432)</f>
        <v>1.18</v>
      </c>
      <c r="D432">
        <f>AVERAGE('R1'!K432,'R2'!K432,'R3'!K432)</f>
        <v>22.77131258333333</v>
      </c>
      <c r="E432">
        <f>AVERAGE('R1'!L432,'R2'!L432,'R3'!L432)</f>
        <v>-0.96077922573344432</v>
      </c>
      <c r="F432">
        <f>AVERAGE('R1'!M432,'R2'!M432,'R3'!M432)</f>
        <v>1.5158691994991009</v>
      </c>
      <c r="G432">
        <f>AVERAGE('R1'!N432,'R2'!N432,'R3'!N432)</f>
        <v>-0.46861873410207772</v>
      </c>
      <c r="H432">
        <f>AVERAGE('R1'!O432,'R2'!O432,'R3'!O432)</f>
        <v>-0.42897230719488172</v>
      </c>
      <c r="I432">
        <f t="shared" si="10"/>
        <v>4478.3581413888887</v>
      </c>
      <c r="K432">
        <f>_xlfn.STDEV.S('R1'!L432,'R2'!L432,'R3'!L432)</f>
        <v>2.8938400824270539E-3</v>
      </c>
      <c r="L432">
        <f>_xlfn.STDEV.S('R1'!M432,'R2'!M432,'R3'!M432)</f>
        <v>6.3032945586911707E-3</v>
      </c>
      <c r="M432">
        <f>_xlfn.STDEV.S('R1'!N432,'R2'!N432,'R3'!N432)</f>
        <v>3.2245956718773123E-3</v>
      </c>
      <c r="N432">
        <f>_xlfn.STDEV.S('R1'!O432,'R2'!O432,'R3'!O432)</f>
        <v>3.3927391895364465E-3</v>
      </c>
    </row>
    <row r="433" spans="1:14" x14ac:dyDescent="0.25">
      <c r="A433">
        <f>-'R1'!H433</f>
        <v>-28</v>
      </c>
      <c r="B433">
        <f>DEGREES(ATAN(-SIN(RADIANS(('R1'!I433)))/(COS(RADIANS(Sheet1!A433))*COS(RADIANS('R1'!I433)))))</f>
        <v>-26.759647654377044</v>
      </c>
      <c r="C433">
        <f>AVERAGE('R1'!J433,'R2'!J433,'R3'!J433)</f>
        <v>1.18</v>
      </c>
      <c r="D433">
        <f>AVERAGE('R1'!K433,'R2'!K433,'R3'!K433)</f>
        <v>22.382521416666666</v>
      </c>
      <c r="E433">
        <f>AVERAGE('R1'!L433,'R2'!L433,'R3'!L433)</f>
        <v>-1.128300070203915</v>
      </c>
      <c r="F433">
        <f>AVERAGE('R1'!M433,'R2'!M433,'R3'!M433)</f>
        <v>1.4624933486656557</v>
      </c>
      <c r="G433">
        <f>AVERAGE('R1'!N433,'R2'!N433,'R3'!N433)</f>
        <v>-0.5146738232096234</v>
      </c>
      <c r="H433">
        <f>AVERAGE('R1'!O433,'R2'!O433,'R3'!O433)</f>
        <v>-0.51591695045219776</v>
      </c>
      <c r="I433">
        <f t="shared" si="10"/>
        <v>4401.8958786111107</v>
      </c>
      <c r="K433">
        <f>_xlfn.STDEV.S('R1'!L433,'R2'!L433,'R3'!L433)</f>
        <v>2.120307459273712E-3</v>
      </c>
      <c r="L433">
        <f>_xlfn.STDEV.S('R1'!M433,'R2'!M433,'R3'!M433)</f>
        <v>2.909264545637601E-3</v>
      </c>
      <c r="M433">
        <f>_xlfn.STDEV.S('R1'!N433,'R2'!N433,'R3'!N433)</f>
        <v>4.1255331043572006E-3</v>
      </c>
      <c r="N433">
        <f>_xlfn.STDEV.S('R1'!O433,'R2'!O433,'R3'!O433)</f>
        <v>2.9275181354935166E-3</v>
      </c>
    </row>
    <row r="434" spans="1:14" x14ac:dyDescent="0.25">
      <c r="A434">
        <f>-'R1'!H434</f>
        <v>-28</v>
      </c>
      <c r="B434">
        <f>DEGREES(ATAN(-SIN(RADIANS(('R1'!I434)))/(COS(RADIANS(Sheet1!A434))*COS(RADIANS('R1'!I434)))))</f>
        <v>-31.056274317680661</v>
      </c>
      <c r="C434">
        <f>AVERAGE('R1'!J434,'R2'!J434,'R3'!J434)</f>
        <v>1.18</v>
      </c>
      <c r="D434">
        <f>AVERAGE('R1'!K434,'R2'!K434,'R3'!K434)</f>
        <v>22.136217166666665</v>
      </c>
      <c r="E434">
        <f>AVERAGE('R1'!L434,'R2'!L434,'R3'!L434)</f>
        <v>-1.2627768669674893</v>
      </c>
      <c r="F434">
        <f>AVERAGE('R1'!M434,'R2'!M434,'R3'!M434)</f>
        <v>1.4522005091121393</v>
      </c>
      <c r="G434">
        <f>AVERAGE('R1'!N434,'R2'!N434,'R3'!N434)</f>
        <v>-0.57472113616166254</v>
      </c>
      <c r="H434">
        <f>AVERAGE('R1'!O434,'R2'!O434,'R3'!O434)</f>
        <v>-0.61582716532192061</v>
      </c>
      <c r="I434">
        <f t="shared" si="10"/>
        <v>4353.4560427777769</v>
      </c>
      <c r="K434">
        <f>_xlfn.STDEV.S('R1'!L434,'R2'!L434,'R3'!L434)</f>
        <v>2.0452297928971767E-3</v>
      </c>
      <c r="L434">
        <f>_xlfn.STDEV.S('R1'!M434,'R2'!M434,'R3'!M434)</f>
        <v>3.7702897910764396E-3</v>
      </c>
      <c r="M434">
        <f>_xlfn.STDEV.S('R1'!N434,'R2'!N434,'R3'!N434)</f>
        <v>3.5462686133327166E-3</v>
      </c>
      <c r="N434">
        <f>_xlfn.STDEV.S('R1'!O434,'R2'!O434,'R3'!O434)</f>
        <v>3.7778352078204559E-3</v>
      </c>
    </row>
    <row r="435" spans="1:14" x14ac:dyDescent="0.25">
      <c r="A435">
        <f>-'R1'!H435</f>
        <v>-28</v>
      </c>
      <c r="B435">
        <f>DEGREES(ATAN(-SIN(RADIANS(('R1'!I435)))/(COS(RADIANS(Sheet1!A435))*COS(RADIANS('R1'!I435)))))</f>
        <v>-35.287360012327973</v>
      </c>
      <c r="C435">
        <f>AVERAGE('R1'!J435,'R2'!J435,'R3'!J435)</f>
        <v>1.18</v>
      </c>
      <c r="D435">
        <f>AVERAGE('R1'!K435,'R2'!K435,'R3'!K435)</f>
        <v>21.863744333333333</v>
      </c>
      <c r="E435">
        <f>AVERAGE('R1'!L435,'R2'!L435,'R3'!L435)</f>
        <v>-1.3760231195204053</v>
      </c>
      <c r="F435">
        <f>AVERAGE('R1'!M435,'R2'!M435,'R3'!M435)</f>
        <v>1.4684282006317833</v>
      </c>
      <c r="G435">
        <f>AVERAGE('R1'!N435,'R2'!N435,'R3'!N435)</f>
        <v>-0.65275509919692853</v>
      </c>
      <c r="H435">
        <f>AVERAGE('R1'!O435,'R2'!O435,'R3'!O435)</f>
        <v>-0.71770829505068956</v>
      </c>
      <c r="I435">
        <f t="shared" si="10"/>
        <v>4299.8697188888882</v>
      </c>
      <c r="K435">
        <f>_xlfn.STDEV.S('R1'!L435,'R2'!L435,'R3'!L435)</f>
        <v>4.2638922368575874E-3</v>
      </c>
      <c r="L435">
        <f>_xlfn.STDEV.S('R1'!M435,'R2'!M435,'R3'!M435)</f>
        <v>1.4383204021804793E-3</v>
      </c>
      <c r="M435">
        <f>_xlfn.STDEV.S('R1'!N435,'R2'!N435,'R3'!N435)</f>
        <v>3.8688170487699439E-3</v>
      </c>
      <c r="N435">
        <f>_xlfn.STDEV.S('R1'!O435,'R2'!O435,'R3'!O435)</f>
        <v>3.3811497414958417E-3</v>
      </c>
    </row>
    <row r="436" spans="1:14" x14ac:dyDescent="0.25">
      <c r="A436">
        <f>-'R1'!H436</f>
        <v>-28</v>
      </c>
      <c r="B436">
        <f>DEGREES(ATAN(-SIN(RADIANS(('R1'!I436)))/(COS(RADIANS(Sheet1!A436))*COS(RADIANS('R1'!I436)))))</f>
        <v>-39.449608335498439</v>
      </c>
      <c r="C436">
        <f>AVERAGE('R1'!J436,'R2'!J436,'R3'!J436)</f>
        <v>1.18</v>
      </c>
      <c r="D436">
        <f>AVERAGE('R1'!K436,'R2'!K436,'R3'!K436)</f>
        <v>22.035078166666665</v>
      </c>
      <c r="E436">
        <f>AVERAGE('R1'!L436,'R2'!L436,'R3'!L436)</f>
        <v>-1.4771956789548364</v>
      </c>
      <c r="F436">
        <f>AVERAGE('R1'!M436,'R2'!M436,'R3'!M436)</f>
        <v>1.5023641873304505</v>
      </c>
      <c r="G436">
        <f>AVERAGE('R1'!N436,'R2'!N436,'R3'!N436)</f>
        <v>-0.74486403352615438</v>
      </c>
      <c r="H436">
        <f>AVERAGE('R1'!O436,'R2'!O436,'R3'!O436)</f>
        <v>-0.82220076559867572</v>
      </c>
      <c r="I436">
        <f t="shared" si="10"/>
        <v>4333.5653727777781</v>
      </c>
      <c r="K436">
        <f>_xlfn.STDEV.S('R1'!L436,'R2'!L436,'R3'!L436)</f>
        <v>6.7568657866599793E-4</v>
      </c>
      <c r="L436">
        <f>_xlfn.STDEV.S('R1'!M436,'R2'!M436,'R3'!M436)</f>
        <v>2.5618333728956739E-3</v>
      </c>
      <c r="M436">
        <f>_xlfn.STDEV.S('R1'!N436,'R2'!N436,'R3'!N436)</f>
        <v>2.2380914460977332E-3</v>
      </c>
      <c r="N436">
        <f>_xlfn.STDEV.S('R1'!O436,'R2'!O436,'R3'!O436)</f>
        <v>1.3868946513294596E-3</v>
      </c>
    </row>
    <row r="437" spans="1:14" x14ac:dyDescent="0.25">
      <c r="A437">
        <f>-'R1'!H437</f>
        <v>-28</v>
      </c>
      <c r="B437">
        <f>DEGREES(ATAN(-SIN(RADIANS(('R1'!I437)))/(COS(RADIANS(Sheet1!A437))*COS(RADIANS('R1'!I437)))))</f>
        <v>-43.541410263843531</v>
      </c>
      <c r="C437">
        <f>AVERAGE('R1'!J437,'R2'!J437,'R3'!J437)</f>
        <v>1.18</v>
      </c>
      <c r="D437">
        <f>AVERAGE('R1'!K437,'R2'!K437,'R3'!K437)</f>
        <v>22.268917000000002</v>
      </c>
      <c r="E437">
        <f>AVERAGE('R1'!L437,'R2'!L437,'R3'!L437)</f>
        <v>-1.5935284153463061</v>
      </c>
      <c r="F437">
        <f>AVERAGE('R1'!M437,'R2'!M437,'R3'!M437)</f>
        <v>1.5418533199985092</v>
      </c>
      <c r="G437">
        <f>AVERAGE('R1'!N437,'R2'!N437,'R3'!N437)</f>
        <v>-0.86415841459880571</v>
      </c>
      <c r="H437">
        <f>AVERAGE('R1'!O437,'R2'!O437,'R3'!O437)</f>
        <v>-0.93164539522491585</v>
      </c>
      <c r="I437">
        <f t="shared" si="10"/>
        <v>4379.5536766666673</v>
      </c>
      <c r="K437">
        <f>_xlfn.STDEV.S('R1'!L437,'R2'!L437,'R3'!L437)</f>
        <v>3.0611146326271826E-3</v>
      </c>
      <c r="L437">
        <f>_xlfn.STDEV.S('R1'!M437,'R2'!M437,'R3'!M437)</f>
        <v>4.4286758073908356E-3</v>
      </c>
      <c r="M437">
        <f>_xlfn.STDEV.S('R1'!N437,'R2'!N437,'R3'!N437)</f>
        <v>7.1000873779806821E-3</v>
      </c>
      <c r="N437">
        <f>_xlfn.STDEV.S('R1'!O437,'R2'!O437,'R3'!O437)</f>
        <v>4.2006651982479564E-3</v>
      </c>
    </row>
    <row r="438" spans="1:14" x14ac:dyDescent="0.25">
      <c r="A438">
        <f>-'R1'!H438</f>
        <v>-28</v>
      </c>
      <c r="B438">
        <f>DEGREES(ATAN(-SIN(RADIANS(('R1'!I438)))/(COS(RADIANS(Sheet1!A438))*COS(RADIANS('R1'!I438)))))</f>
        <v>-47.562731505879128</v>
      </c>
      <c r="C438">
        <f>AVERAGE('R1'!J438,'R2'!J438,'R3'!J438)</f>
        <v>1.18</v>
      </c>
      <c r="D438">
        <f>AVERAGE('R1'!K438,'R2'!K438,'R3'!K438)</f>
        <v>22.453197833333334</v>
      </c>
      <c r="E438">
        <f>AVERAGE('R1'!L438,'R2'!L438,'R3'!L438)</f>
        <v>-1.7321712228708979</v>
      </c>
      <c r="F438">
        <f>AVERAGE('R1'!M438,'R2'!M438,'R3'!M438)</f>
        <v>1.5933759467663346</v>
      </c>
      <c r="G438">
        <f>AVERAGE('R1'!N438,'R2'!N438,'R3'!N438)</f>
        <v>-1.0174811926404386</v>
      </c>
      <c r="H438">
        <f>AVERAGE('R1'!O438,'R2'!O438,'R3'!O438)</f>
        <v>-1.0596447106719962</v>
      </c>
      <c r="I438">
        <f t="shared" si="10"/>
        <v>4415.7955738888886</v>
      </c>
      <c r="K438">
        <f>_xlfn.STDEV.S('R1'!L438,'R2'!L438,'R3'!L438)</f>
        <v>1.8556333500151304E-3</v>
      </c>
      <c r="L438">
        <f>_xlfn.STDEV.S('R1'!M438,'R2'!M438,'R3'!M438)</f>
        <v>2.7738379805212973E-3</v>
      </c>
      <c r="M438">
        <f>_xlfn.STDEV.S('R1'!N438,'R2'!N438,'R3'!N438)</f>
        <v>1.1765554935444776E-3</v>
      </c>
      <c r="N438">
        <f>_xlfn.STDEV.S('R1'!O438,'R2'!O438,'R3'!O438)</f>
        <v>2.7681564668015457E-3</v>
      </c>
    </row>
    <row r="439" spans="1:14" x14ac:dyDescent="0.25">
      <c r="A439">
        <f>-'R1'!H439</f>
        <v>-32</v>
      </c>
      <c r="B439">
        <f>DEGREES(ATAN(-SIN(RADIANS(('R1'!I439)))/(COS(RADIANS(Sheet1!A439))*COS(RADIANS('R1'!I439)))))</f>
        <v>48.711059881009497</v>
      </c>
      <c r="C439">
        <f>AVERAGE('R1'!J439,'R2'!J439,'R3'!J439)</f>
        <v>1.18</v>
      </c>
      <c r="D439">
        <f>AVERAGE('R1'!K439,'R2'!K439,'R3'!K439)</f>
        <v>22.829676083333329</v>
      </c>
      <c r="E439">
        <f>AVERAGE('R1'!L439,'R2'!L439,'R3'!L439)</f>
        <v>1.9040962328043758</v>
      </c>
      <c r="F439">
        <f>AVERAGE('R1'!M439,'R2'!M439,'R3'!M439)</f>
        <v>1.825364227370202</v>
      </c>
      <c r="G439">
        <f>AVERAGE('R1'!N439,'R2'!N439,'R3'!N439)</f>
        <v>-1.2823696076628812</v>
      </c>
      <c r="H439">
        <f>AVERAGE('R1'!O439,'R2'!O439,'R3'!O439)</f>
        <v>-1.3256533660540868</v>
      </c>
      <c r="I439">
        <f t="shared" si="10"/>
        <v>4489.8362963888876</v>
      </c>
      <c r="K439">
        <f>_xlfn.STDEV.S('R1'!L439,'R2'!L439,'R3'!L439)</f>
        <v>1.0469528585237009E-2</v>
      </c>
      <c r="L439">
        <f>_xlfn.STDEV.S('R1'!M439,'R2'!M439,'R3'!M439)</f>
        <v>9.9616162510803435E-3</v>
      </c>
      <c r="M439">
        <f>_xlfn.STDEV.S('R1'!N439,'R2'!N439,'R3'!N439)</f>
        <v>1.5370167059343805E-2</v>
      </c>
      <c r="N439">
        <f>_xlfn.STDEV.S('R1'!O439,'R2'!O439,'R3'!O439)</f>
        <v>3.2827692555764216E-3</v>
      </c>
    </row>
    <row r="440" spans="1:14" x14ac:dyDescent="0.25">
      <c r="A440">
        <f>-'R1'!H440</f>
        <v>-32</v>
      </c>
      <c r="B440">
        <f>DEGREES(ATAN(-SIN(RADIANS(('R1'!I440)))/(COS(RADIANS(Sheet1!A440))*COS(RADIANS('R1'!I440)))))</f>
        <v>44.69611169166604</v>
      </c>
      <c r="C440">
        <f>AVERAGE('R1'!J440,'R2'!J440,'R3'!J440)</f>
        <v>1.18</v>
      </c>
      <c r="D440">
        <f>AVERAGE('R1'!K440,'R2'!K440,'R3'!K440)</f>
        <v>22.756473499999998</v>
      </c>
      <c r="E440">
        <f>AVERAGE('R1'!L440,'R2'!L440,'R3'!L440)</f>
        <v>1.7528798524665685</v>
      </c>
      <c r="F440">
        <f>AVERAGE('R1'!M440,'R2'!M440,'R3'!M440)</f>
        <v>1.751183245401118</v>
      </c>
      <c r="G440">
        <f>AVERAGE('R1'!N440,'R2'!N440,'R3'!N440)</f>
        <v>-1.1022511657557343</v>
      </c>
      <c r="H440">
        <f>AVERAGE('R1'!O440,'R2'!O440,'R3'!O440)</f>
        <v>-1.175667331963709</v>
      </c>
      <c r="I440">
        <f t="shared" si="10"/>
        <v>4475.4397883333331</v>
      </c>
      <c r="K440">
        <f>_xlfn.STDEV.S('R1'!L440,'R2'!L440,'R3'!L440)</f>
        <v>2.6678694733827963E-3</v>
      </c>
      <c r="L440">
        <f>_xlfn.STDEV.S('R1'!M440,'R2'!M440,'R3'!M440)</f>
        <v>6.2867464247471734E-3</v>
      </c>
      <c r="M440">
        <f>_xlfn.STDEV.S('R1'!N440,'R2'!N440,'R3'!N440)</f>
        <v>5.1579997519793728E-3</v>
      </c>
      <c r="N440">
        <f>_xlfn.STDEV.S('R1'!O440,'R2'!O440,'R3'!O440)</f>
        <v>4.8397237392681413E-3</v>
      </c>
    </row>
    <row r="441" spans="1:14" x14ac:dyDescent="0.25">
      <c r="A441">
        <f>-'R1'!H441</f>
        <v>-32</v>
      </c>
      <c r="B441">
        <f>DEGREES(ATAN(-SIN(RADIANS(('R1'!I441)))/(COS(RADIANS(Sheet1!A441))*COS(RADIANS('R1'!I441)))))</f>
        <v>40.587432696870117</v>
      </c>
      <c r="C441">
        <f>AVERAGE('R1'!J441,'R2'!J441,'R3'!J441)</f>
        <v>1.18</v>
      </c>
      <c r="D441">
        <f>AVERAGE('R1'!K441,'R2'!K441,'R3'!K441)</f>
        <v>22.339942249999996</v>
      </c>
      <c r="E441">
        <f>AVERAGE('R1'!L441,'R2'!L441,'R3'!L441)</f>
        <v>1.638094181312755</v>
      </c>
      <c r="F441">
        <f>AVERAGE('R1'!M441,'R2'!M441,'R3'!M441)</f>
        <v>1.6898925933490874</v>
      </c>
      <c r="G441">
        <f>AVERAGE('R1'!N441,'R2'!N441,'R3'!N441)</f>
        <v>-0.96782934355544381</v>
      </c>
      <c r="H441">
        <f>AVERAGE('R1'!O441,'R2'!O441,'R3'!O441)</f>
        <v>-1.0456728093396517</v>
      </c>
      <c r="I441">
        <f t="shared" si="10"/>
        <v>4393.5219758333324</v>
      </c>
      <c r="K441">
        <f>_xlfn.STDEV.S('R1'!L441,'R2'!L441,'R3'!L441)</f>
        <v>2.0383603634348815E-3</v>
      </c>
      <c r="L441">
        <f>_xlfn.STDEV.S('R1'!M441,'R2'!M441,'R3'!M441)</f>
        <v>2.6051225283595125E-3</v>
      </c>
      <c r="M441">
        <f>_xlfn.STDEV.S('R1'!N441,'R2'!N441,'R3'!N441)</f>
        <v>1.3561655363834148E-3</v>
      </c>
      <c r="N441">
        <f>_xlfn.STDEV.S('R1'!O441,'R2'!O441,'R3'!O441)</f>
        <v>1.9471049575881852E-3</v>
      </c>
    </row>
    <row r="442" spans="1:14" x14ac:dyDescent="0.25">
      <c r="A442">
        <f>-'R1'!H442</f>
        <v>-32</v>
      </c>
      <c r="B442">
        <f>DEGREES(ATAN(-SIN(RADIANS(('R1'!I442)))/(COS(RADIANS(Sheet1!A442))*COS(RADIANS('R1'!I442)))))</f>
        <v>36.383993076218225</v>
      </c>
      <c r="C442">
        <f>AVERAGE('R1'!J442,'R2'!J442,'R3'!J442)</f>
        <v>1.18</v>
      </c>
      <c r="D442">
        <f>AVERAGE('R1'!K442,'R2'!K442,'R3'!K442)</f>
        <v>22.106718499999999</v>
      </c>
      <c r="E442">
        <f>AVERAGE('R1'!L442,'R2'!L442,'R3'!L442)</f>
        <v>1.5366196181592979</v>
      </c>
      <c r="F442">
        <f>AVERAGE('R1'!M442,'R2'!M442,'R3'!M442)</f>
        <v>1.6268120061331981</v>
      </c>
      <c r="G442">
        <f>AVERAGE('R1'!N442,'R2'!N442,'R3'!N442)</f>
        <v>-0.85491075950395157</v>
      </c>
      <c r="H442">
        <f>AVERAGE('R1'!O442,'R2'!O442,'R3'!O442)</f>
        <v>-0.93266046215390785</v>
      </c>
      <c r="I442">
        <f t="shared" si="10"/>
        <v>4347.6546383333325</v>
      </c>
      <c r="K442">
        <f>_xlfn.STDEV.S('R1'!L442,'R2'!L442,'R3'!L442)</f>
        <v>2.0017111109188143E-3</v>
      </c>
      <c r="L442">
        <f>_xlfn.STDEV.S('R1'!M442,'R2'!M442,'R3'!M442)</f>
        <v>4.2636149247549928E-3</v>
      </c>
      <c r="M442">
        <f>_xlfn.STDEV.S('R1'!N442,'R2'!N442,'R3'!N442)</f>
        <v>6.0310067736014754E-4</v>
      </c>
      <c r="N442">
        <f>_xlfn.STDEV.S('R1'!O442,'R2'!O442,'R3'!O442)</f>
        <v>1.5664461029528847E-3</v>
      </c>
    </row>
    <row r="443" spans="1:14" x14ac:dyDescent="0.25">
      <c r="A443">
        <f>-'R1'!H443</f>
        <v>-32</v>
      </c>
      <c r="B443">
        <f>DEGREES(ATAN(-SIN(RADIANS(('R1'!I443)))/(COS(RADIANS(Sheet1!A443))*COS(RADIANS('R1'!I443)))))</f>
        <v>32.086900972819144</v>
      </c>
      <c r="C443">
        <f>AVERAGE('R1'!J443,'R2'!J443,'R3'!J443)</f>
        <v>1.18</v>
      </c>
      <c r="D443">
        <f>AVERAGE('R1'!K443,'R2'!K443,'R3'!K443)</f>
        <v>21.831172750000004</v>
      </c>
      <c r="E443">
        <f>AVERAGE('R1'!L443,'R2'!L443,'R3'!L443)</f>
        <v>1.429555793333992</v>
      </c>
      <c r="F443">
        <f>AVERAGE('R1'!M443,'R2'!M443,'R3'!M443)</f>
        <v>1.602427569022244</v>
      </c>
      <c r="G443">
        <f>AVERAGE('R1'!N443,'R2'!N443,'R3'!N443)</f>
        <v>-0.76810383743996657</v>
      </c>
      <c r="H443">
        <f>AVERAGE('R1'!O443,'R2'!O443,'R3'!O443)</f>
        <v>-0.83017861826661932</v>
      </c>
      <c r="I443">
        <f t="shared" si="10"/>
        <v>4293.4639741666679</v>
      </c>
      <c r="K443">
        <f>_xlfn.STDEV.S('R1'!L443,'R2'!L443,'R3'!L443)</f>
        <v>2.8695358631347736E-3</v>
      </c>
      <c r="L443">
        <f>_xlfn.STDEV.S('R1'!M443,'R2'!M443,'R3'!M443)</f>
        <v>7.5865825092394487E-4</v>
      </c>
      <c r="M443">
        <f>_xlfn.STDEV.S('R1'!N443,'R2'!N443,'R3'!N443)</f>
        <v>3.3855793585064135E-3</v>
      </c>
      <c r="N443">
        <f>_xlfn.STDEV.S('R1'!O443,'R2'!O443,'R3'!O443)</f>
        <v>2.4850086950609111E-3</v>
      </c>
    </row>
    <row r="444" spans="1:14" x14ac:dyDescent="0.25">
      <c r="A444">
        <f>-'R1'!H444</f>
        <v>-32</v>
      </c>
      <c r="B444">
        <f>DEGREES(ATAN(-SIN(RADIANS(('R1'!I444)))/(COS(RADIANS(Sheet1!A444))*COS(RADIANS('R1'!I444)))))</f>
        <v>27.699654729206667</v>
      </c>
      <c r="C444">
        <f>AVERAGE('R1'!J444,'R2'!J444,'R3'!J444)</f>
        <v>1.18</v>
      </c>
      <c r="D444">
        <f>AVERAGE('R1'!K444,'R2'!K444,'R3'!K444)</f>
        <v>22.09339108333333</v>
      </c>
      <c r="E444">
        <f>AVERAGE('R1'!L444,'R2'!L444,'R3'!L444)</f>
        <v>1.3064352499600715</v>
      </c>
      <c r="F444">
        <f>AVERAGE('R1'!M444,'R2'!M444,'R3'!M444)</f>
        <v>1.6080751123415808</v>
      </c>
      <c r="G444">
        <f>AVERAGE('R1'!N444,'R2'!N444,'R3'!N444)</f>
        <v>-0.70350339884260238</v>
      </c>
      <c r="H444">
        <f>AVERAGE('R1'!O444,'R2'!O444,'R3'!O444)</f>
        <v>-0.73539806500696869</v>
      </c>
      <c r="I444">
        <f t="shared" si="10"/>
        <v>4345.0335797222215</v>
      </c>
      <c r="K444">
        <f>_xlfn.STDEV.S('R1'!L444,'R2'!L444,'R3'!L444)</f>
        <v>4.467324978801623E-3</v>
      </c>
      <c r="L444">
        <f>_xlfn.STDEV.S('R1'!M444,'R2'!M444,'R3'!M444)</f>
        <v>2.4762675785445576E-3</v>
      </c>
      <c r="M444">
        <f>_xlfn.STDEV.S('R1'!N444,'R2'!N444,'R3'!N444)</f>
        <v>3.3029229096826021E-3</v>
      </c>
      <c r="N444">
        <f>_xlfn.STDEV.S('R1'!O444,'R2'!O444,'R3'!O444)</f>
        <v>2.1417468087160463E-3</v>
      </c>
    </row>
    <row r="445" spans="1:14" x14ac:dyDescent="0.25">
      <c r="A445">
        <f>-'R1'!H445</f>
        <v>-32</v>
      </c>
      <c r="B445">
        <f>DEGREES(ATAN(-SIN(RADIANS(('R1'!I445)))/(COS(RADIANS(Sheet1!A445))*COS(RADIANS('R1'!I445)))))</f>
        <v>23.228324501561271</v>
      </c>
      <c r="C445">
        <f>AVERAGE('R1'!J445,'R2'!J445,'R3'!J445)</f>
        <v>1.18</v>
      </c>
      <c r="D445">
        <f>AVERAGE('R1'!K445,'R2'!K445,'R3'!K445)</f>
        <v>22.306813833333337</v>
      </c>
      <c r="E445">
        <f>AVERAGE('R1'!L445,'R2'!L445,'R3'!L445)</f>
        <v>1.1697677979578918</v>
      </c>
      <c r="F445">
        <f>AVERAGE('R1'!M445,'R2'!M445,'R3'!M445)</f>
        <v>1.6407149081562988</v>
      </c>
      <c r="G445">
        <f>AVERAGE('R1'!N445,'R2'!N445,'R3'!N445)</f>
        <v>-0.65675217470645852</v>
      </c>
      <c r="H445">
        <f>AVERAGE('R1'!O445,'R2'!O445,'R3'!O445)</f>
        <v>-0.64787631239658328</v>
      </c>
      <c r="I445">
        <f t="shared" si="10"/>
        <v>4387.0067205555561</v>
      </c>
      <c r="K445">
        <f>_xlfn.STDEV.S('R1'!L445,'R2'!L445,'R3'!L445)</f>
        <v>5.4001086008542542E-3</v>
      </c>
      <c r="L445">
        <f>_xlfn.STDEV.S('R1'!M445,'R2'!M445,'R3'!M445)</f>
        <v>1.510019046356118E-3</v>
      </c>
      <c r="M445">
        <f>_xlfn.STDEV.S('R1'!N445,'R2'!N445,'R3'!N445)</f>
        <v>2.662108952791808E-3</v>
      </c>
      <c r="N445">
        <f>_xlfn.STDEV.S('R1'!O445,'R2'!O445,'R3'!O445)</f>
        <v>4.2193230598526043E-3</v>
      </c>
    </row>
    <row r="446" spans="1:14" x14ac:dyDescent="0.25">
      <c r="A446">
        <f>-'R1'!H446</f>
        <v>-32</v>
      </c>
      <c r="B446">
        <f>DEGREES(ATAN(-SIN(RADIANS(('R1'!I446)))/(COS(RADIANS(Sheet1!A446))*COS(RADIANS('R1'!I446)))))</f>
        <v>18.681627509923402</v>
      </c>
      <c r="C446">
        <f>AVERAGE('R1'!J446,'R2'!J446,'R3'!J446)</f>
        <v>1.18</v>
      </c>
      <c r="D446">
        <f>AVERAGE('R1'!K446,'R2'!K446,'R3'!K446)</f>
        <v>22.476610666666669</v>
      </c>
      <c r="E446">
        <f>AVERAGE('R1'!L446,'R2'!L446,'R3'!L446)</f>
        <v>1.0003864453331552</v>
      </c>
      <c r="F446">
        <f>AVERAGE('R1'!M446,'R2'!M446,'R3'!M446)</f>
        <v>1.6931972047292849</v>
      </c>
      <c r="G446">
        <f>AVERAGE('R1'!N446,'R2'!N446,'R3'!N446)</f>
        <v>-0.61887751989837769</v>
      </c>
      <c r="H446">
        <f>AVERAGE('R1'!O446,'R2'!O446,'R3'!O446)</f>
        <v>-0.56593521345134545</v>
      </c>
      <c r="I446">
        <f t="shared" si="10"/>
        <v>4420.4000977777778</v>
      </c>
      <c r="K446">
        <f>_xlfn.STDEV.S('R1'!L446,'R2'!L446,'R3'!L446)</f>
        <v>1.2879370267954101E-3</v>
      </c>
      <c r="L446">
        <f>_xlfn.STDEV.S('R1'!M446,'R2'!M446,'R3'!M446)</f>
        <v>9.2347586835556203E-4</v>
      </c>
      <c r="M446">
        <f>_xlfn.STDEV.S('R1'!N446,'R2'!N446,'R3'!N446)</f>
        <v>2.4612727231344738E-3</v>
      </c>
      <c r="N446">
        <f>_xlfn.STDEV.S('R1'!O446,'R2'!O446,'R3'!O446)</f>
        <v>3.2378071540941191E-3</v>
      </c>
    </row>
    <row r="447" spans="1:14" x14ac:dyDescent="0.25">
      <c r="A447">
        <f>-'R1'!H447</f>
        <v>-32</v>
      </c>
      <c r="B447">
        <f>DEGREES(ATAN(-SIN(RADIANS(('R1'!I447)))/(COS(RADIANS(Sheet1!A447))*COS(RADIANS('R1'!I447)))))</f>
        <v>14.070864136056453</v>
      </c>
      <c r="C447">
        <f>AVERAGE('R1'!J447,'R2'!J447,'R3'!J447)</f>
        <v>1.18</v>
      </c>
      <c r="D447">
        <f>AVERAGE('R1'!K447,'R2'!K447,'R3'!K447)</f>
        <v>22.592941166666666</v>
      </c>
      <c r="E447">
        <f>AVERAGE('R1'!L447,'R2'!L447,'R3'!L447)</f>
        <v>0.81172327647405229</v>
      </c>
      <c r="F447">
        <f>AVERAGE('R1'!M447,'R2'!M447,'R3'!M447)</f>
        <v>1.760150304233018</v>
      </c>
      <c r="G447">
        <f>AVERAGE('R1'!N447,'R2'!N447,'R3'!N447)</f>
        <v>-0.58809274993345151</v>
      </c>
      <c r="H447">
        <f>AVERAGE('R1'!O447,'R2'!O447,'R3'!O447)</f>
        <v>-0.48988091429638986</v>
      </c>
      <c r="I447">
        <f t="shared" si="10"/>
        <v>4443.2784294444446</v>
      </c>
      <c r="K447">
        <f>_xlfn.STDEV.S('R1'!L447,'R2'!L447,'R3'!L447)</f>
        <v>7.7501469373170559E-3</v>
      </c>
      <c r="L447">
        <f>_xlfn.STDEV.S('R1'!M447,'R2'!M447,'R3'!M447)</f>
        <v>4.6320652479013057E-3</v>
      </c>
      <c r="M447">
        <f>_xlfn.STDEV.S('R1'!N447,'R2'!N447,'R3'!N447)</f>
        <v>1.3670859895869184E-3</v>
      </c>
      <c r="N447">
        <f>_xlfn.STDEV.S('R1'!O447,'R2'!O447,'R3'!O447)</f>
        <v>5.445087603678957E-3</v>
      </c>
    </row>
    <row r="448" spans="1:14" x14ac:dyDescent="0.25">
      <c r="A448">
        <f>-'R1'!H448</f>
        <v>-32</v>
      </c>
      <c r="B448">
        <f>DEGREES(ATAN(-SIN(RADIANS(('R1'!I448)))/(COS(RADIANS(Sheet1!A448))*COS(RADIANS('R1'!I448)))))</f>
        <v>9.4096915772201388</v>
      </c>
      <c r="C448">
        <f>AVERAGE('R1'!J448,'R2'!J448,'R3'!J448)</f>
        <v>1.18</v>
      </c>
      <c r="D448">
        <f>AVERAGE('R1'!K448,'R2'!K448,'R3'!K448)</f>
        <v>22.476663166666668</v>
      </c>
      <c r="E448">
        <f>AVERAGE('R1'!L448,'R2'!L448,'R3'!L448)</f>
        <v>0.60812519275297128</v>
      </c>
      <c r="F448">
        <f>AVERAGE('R1'!M448,'R2'!M448,'R3'!M448)</f>
        <v>1.8579272124402284</v>
      </c>
      <c r="G448">
        <f>AVERAGE('R1'!N448,'R2'!N448,'R3'!N448)</f>
        <v>-0.58024091636428798</v>
      </c>
      <c r="H448">
        <f>AVERAGE('R1'!O448,'R2'!O448,'R3'!O448)</f>
        <v>-0.43613411504785482</v>
      </c>
      <c r="I448">
        <f t="shared" si="10"/>
        <v>4420.410422777778</v>
      </c>
      <c r="K448">
        <f>_xlfn.STDEV.S('R1'!L448,'R2'!L448,'R3'!L448)</f>
        <v>1.3950095337363377E-3</v>
      </c>
      <c r="L448">
        <f>_xlfn.STDEV.S('R1'!M448,'R2'!M448,'R3'!M448)</f>
        <v>2.3857826086653676E-3</v>
      </c>
      <c r="M448">
        <f>_xlfn.STDEV.S('R1'!N448,'R2'!N448,'R3'!N448)</f>
        <v>3.5394095759326977E-3</v>
      </c>
      <c r="N448">
        <f>_xlfn.STDEV.S('R1'!O448,'R2'!O448,'R3'!O448)</f>
        <v>1.2878539751892433E-2</v>
      </c>
    </row>
    <row r="449" spans="1:14" x14ac:dyDescent="0.25">
      <c r="A449">
        <f>-'R1'!H449</f>
        <v>-32</v>
      </c>
      <c r="B449">
        <f>DEGREES(ATAN(-SIN(RADIANS(('R1'!I449)))/(COS(RADIANS(Sheet1!A449))*COS(RADIANS('R1'!I449)))))</f>
        <v>4.7137278648813155</v>
      </c>
      <c r="C449">
        <f>AVERAGE('R1'!J449,'R2'!J449,'R3'!J449)</f>
        <v>1.18</v>
      </c>
      <c r="D449">
        <f>AVERAGE('R1'!K449,'R2'!K449,'R3'!K449)</f>
        <v>22.107130000000002</v>
      </c>
      <c r="E449">
        <f>AVERAGE('R1'!L449,'R2'!L449,'R3'!L449)</f>
        <v>0.36820036387059157</v>
      </c>
      <c r="F449">
        <f>AVERAGE('R1'!M449,'R2'!M449,'R3'!M449)</f>
        <v>1.9834559568740981</v>
      </c>
      <c r="G449">
        <f>AVERAGE('R1'!N449,'R2'!N449,'R3'!N449)</f>
        <v>-0.59672940846778166</v>
      </c>
      <c r="H449">
        <f>AVERAGE('R1'!O449,'R2'!O449,'R3'!O449)</f>
        <v>-0.36985756190112401</v>
      </c>
      <c r="I449">
        <f t="shared" si="10"/>
        <v>4347.7355666666672</v>
      </c>
      <c r="K449">
        <f>_xlfn.STDEV.S('R1'!L449,'R2'!L449,'R3'!L449)</f>
        <v>4.5037629716057079E-3</v>
      </c>
      <c r="L449">
        <f>_xlfn.STDEV.S('R1'!M449,'R2'!M449,'R3'!M449)</f>
        <v>6.2849012784733059E-3</v>
      </c>
      <c r="M449">
        <f>_xlfn.STDEV.S('R1'!N449,'R2'!N449,'R3'!N449)</f>
        <v>4.3563609494428092E-3</v>
      </c>
      <c r="N449">
        <f>_xlfn.STDEV.S('R1'!O449,'R2'!O449,'R3'!O449)</f>
        <v>2.8439015565744751E-3</v>
      </c>
    </row>
    <row r="450" spans="1:14" x14ac:dyDescent="0.25">
      <c r="A450">
        <f>-'R1'!H450</f>
        <v>-32</v>
      </c>
      <c r="B450">
        <f>DEGREES(ATAN(-SIN(RADIANS(('R1'!I450)))/(COS(RADIANS(Sheet1!A450))*COS(RADIANS('R1'!I450)))))</f>
        <v>0</v>
      </c>
      <c r="C450">
        <f>AVERAGE('R1'!J450,'R2'!J450,'R3'!J450)</f>
        <v>1.18</v>
      </c>
      <c r="D450">
        <f>AVERAGE('R1'!K450,'R2'!K450,'R3'!K450)</f>
        <v>21.879958583333334</v>
      </c>
      <c r="E450">
        <f>AVERAGE('R1'!L450,'R2'!L450,'R3'!L450)</f>
        <v>0.12277111843015431</v>
      </c>
      <c r="F450">
        <f>AVERAGE('R1'!M450,'R2'!M450,'R3'!M450)</f>
        <v>2.1131569484647028</v>
      </c>
      <c r="G450">
        <f>AVERAGE('R1'!N450,'R2'!N450,'R3'!N450)</f>
        <v>-0.62580833776447287</v>
      </c>
      <c r="H450">
        <f>AVERAGE('R1'!O450,'R2'!O450,'R3'!O450)</f>
        <v>-0.31717232716345373</v>
      </c>
      <c r="I450">
        <f t="shared" si="10"/>
        <v>4303.0585213888889</v>
      </c>
      <c r="K450">
        <f>_xlfn.STDEV.S('R1'!L450,'R2'!L450,'R3'!L450)</f>
        <v>2.8395304652623988E-3</v>
      </c>
      <c r="L450">
        <f>_xlfn.STDEV.S('R1'!M450,'R2'!M450,'R3'!M450)</f>
        <v>1.3023475732890769E-3</v>
      </c>
      <c r="M450">
        <f>_xlfn.STDEV.S('R1'!N450,'R2'!N450,'R3'!N450)</f>
        <v>4.6630421751109021E-4</v>
      </c>
      <c r="N450">
        <f>_xlfn.STDEV.S('R1'!O450,'R2'!O450,'R3'!O450)</f>
        <v>7.8685292141742261E-4</v>
      </c>
    </row>
    <row r="451" spans="1:14" x14ac:dyDescent="0.25">
      <c r="A451">
        <f>-'R1'!H451</f>
        <v>-32</v>
      </c>
      <c r="B451">
        <f>DEGREES(ATAN(-SIN(RADIANS(('R1'!I451)))/(COS(RADIANS(Sheet1!A451))*COS(RADIANS('R1'!I451)))))</f>
        <v>-4.7137278648813155</v>
      </c>
      <c r="C451">
        <f>AVERAGE('R1'!J451,'R2'!J451,'R3'!J451)</f>
        <v>1.18</v>
      </c>
      <c r="D451">
        <f>AVERAGE('R1'!K451,'R2'!K451,'R3'!K451)</f>
        <v>21.639400083333332</v>
      </c>
      <c r="E451">
        <f>AVERAGE('R1'!L451,'R2'!L451,'R3'!L451)</f>
        <v>-0.14642683412076329</v>
      </c>
      <c r="F451">
        <f>AVERAGE('R1'!M451,'R2'!M451,'R3'!M451)</f>
        <v>2.0973756248160069</v>
      </c>
      <c r="G451">
        <f>AVERAGE('R1'!N451,'R2'!N451,'R3'!N451)</f>
        <v>-0.61625093629955685</v>
      </c>
      <c r="H451">
        <f>AVERAGE('R1'!O451,'R2'!O451,'R3'!O451)</f>
        <v>-0.32529758488614569</v>
      </c>
      <c r="I451">
        <f t="shared" ref="I451:I514" si="11">10^5*C451*D451*0.003/1.8</f>
        <v>4255.7486830555554</v>
      </c>
      <c r="K451">
        <f>_xlfn.STDEV.S('R1'!L451,'R2'!L451,'R3'!L451)</f>
        <v>6.4369882516791092E-3</v>
      </c>
      <c r="L451">
        <f>_xlfn.STDEV.S('R1'!M451,'R2'!M451,'R3'!M451)</f>
        <v>1.1785508269871514E-2</v>
      </c>
      <c r="M451">
        <f>_xlfn.STDEV.S('R1'!N451,'R2'!N451,'R3'!N451)</f>
        <v>7.2295546821108999E-3</v>
      </c>
      <c r="N451">
        <f>_xlfn.STDEV.S('R1'!O451,'R2'!O451,'R3'!O451)</f>
        <v>6.3554915214496608E-3</v>
      </c>
    </row>
    <row r="452" spans="1:14" x14ac:dyDescent="0.25">
      <c r="A452">
        <f>-'R1'!H452</f>
        <v>-32</v>
      </c>
      <c r="B452">
        <f>DEGREES(ATAN(-SIN(RADIANS(('R1'!I452)))/(COS(RADIANS(Sheet1!A452))*COS(RADIANS('R1'!I452)))))</f>
        <v>-9.4096915772201388</v>
      </c>
      <c r="C452">
        <f>AVERAGE('R1'!J452,'R2'!J452,'R3'!J452)</f>
        <v>1.18</v>
      </c>
      <c r="D452">
        <f>AVERAGE('R1'!K452,'R2'!K452,'R3'!K452)</f>
        <v>21.692044583333331</v>
      </c>
      <c r="E452">
        <f>AVERAGE('R1'!L452,'R2'!L452,'R3'!L452)</f>
        <v>-0.38774906660815084</v>
      </c>
      <c r="F452">
        <f>AVERAGE('R1'!M452,'R2'!M452,'R3'!M452)</f>
        <v>1.9815195592720023</v>
      </c>
      <c r="G452">
        <f>AVERAGE('R1'!N452,'R2'!N452,'R3'!N452)</f>
        <v>-0.59460329658444266</v>
      </c>
      <c r="H452">
        <f>AVERAGE('R1'!O452,'R2'!O452,'R3'!O452)</f>
        <v>-0.38405321107932594</v>
      </c>
      <c r="I452">
        <f t="shared" si="11"/>
        <v>4266.1021013888885</v>
      </c>
      <c r="K452">
        <f>_xlfn.STDEV.S('R1'!L452,'R2'!L452,'R3'!L452)</f>
        <v>5.3102303153926599E-3</v>
      </c>
      <c r="L452">
        <f>_xlfn.STDEV.S('R1'!M452,'R2'!M452,'R3'!M452)</f>
        <v>3.0597461573768853E-3</v>
      </c>
      <c r="M452">
        <f>_xlfn.STDEV.S('R1'!N452,'R2'!N452,'R3'!N452)</f>
        <v>9.3624136045350839E-4</v>
      </c>
      <c r="N452">
        <f>_xlfn.STDEV.S('R1'!O452,'R2'!O452,'R3'!O452)</f>
        <v>9.7910734771232705E-3</v>
      </c>
    </row>
    <row r="453" spans="1:14" x14ac:dyDescent="0.25">
      <c r="A453">
        <f>-'R1'!H453</f>
        <v>-32</v>
      </c>
      <c r="B453">
        <f>DEGREES(ATAN(-SIN(RADIANS(('R1'!I453)))/(COS(RADIANS(Sheet1!A453))*COS(RADIANS('R1'!I453)))))</f>
        <v>-14.070864136056453</v>
      </c>
      <c r="C453">
        <f>AVERAGE('R1'!J453,'R2'!J453,'R3'!J453)</f>
        <v>1.18</v>
      </c>
      <c r="D453">
        <f>AVERAGE('R1'!K453,'R2'!K453,'R3'!K453)</f>
        <v>22.344498249999997</v>
      </c>
      <c r="E453">
        <f>AVERAGE('R1'!L453,'R2'!L453,'R3'!L453)</f>
        <v>-0.60868731853429503</v>
      </c>
      <c r="F453">
        <f>AVERAGE('R1'!M453,'R2'!M453,'R3'!M453)</f>
        <v>1.8736734420126311</v>
      </c>
      <c r="G453">
        <f>AVERAGE('R1'!N453,'R2'!N453,'R3'!N453)</f>
        <v>-0.58902624690012084</v>
      </c>
      <c r="H453">
        <f>AVERAGE('R1'!O453,'R2'!O453,'R3'!O453)</f>
        <v>-0.44267584453682457</v>
      </c>
      <c r="I453">
        <f t="shared" si="11"/>
        <v>4394.4179891666663</v>
      </c>
      <c r="K453">
        <f>_xlfn.STDEV.S('R1'!L453,'R2'!L453,'R3'!L453)</f>
        <v>1.5343148096692877E-3</v>
      </c>
      <c r="L453">
        <f>_xlfn.STDEV.S('R1'!M453,'R2'!M453,'R3'!M453)</f>
        <v>2.0268999632882933E-3</v>
      </c>
      <c r="M453">
        <f>_xlfn.STDEV.S('R1'!N453,'R2'!N453,'R3'!N453)</f>
        <v>3.163046288020035E-3</v>
      </c>
      <c r="N453">
        <f>_xlfn.STDEV.S('R1'!O453,'R2'!O453,'R3'!O453)</f>
        <v>1.0067376243385854E-2</v>
      </c>
    </row>
    <row r="454" spans="1:14" x14ac:dyDescent="0.25">
      <c r="A454">
        <f>-'R1'!H454</f>
        <v>-32</v>
      </c>
      <c r="B454">
        <f>DEGREES(ATAN(-SIN(RADIANS(('R1'!I454)))/(COS(RADIANS(Sheet1!A454))*COS(RADIANS('R1'!I454)))))</f>
        <v>-18.681627509923402</v>
      </c>
      <c r="C454">
        <f>AVERAGE('R1'!J454,'R2'!J454,'R3'!J454)</f>
        <v>1.18</v>
      </c>
      <c r="D454">
        <f>AVERAGE('R1'!K454,'R2'!K454,'R3'!K454)</f>
        <v>22.682386833333336</v>
      </c>
      <c r="E454">
        <f>AVERAGE('R1'!L454,'R2'!L454,'R3'!L454)</f>
        <v>-0.81057231678976172</v>
      </c>
      <c r="F454">
        <f>AVERAGE('R1'!M454,'R2'!M454,'R3'!M454)</f>
        <v>1.7770776145238736</v>
      </c>
      <c r="G454">
        <f>AVERAGE('R1'!N454,'R2'!N454,'R3'!N454)</f>
        <v>-0.59502725362519193</v>
      </c>
      <c r="H454">
        <f>AVERAGE('R1'!O454,'R2'!O454,'R3'!O454)</f>
        <v>-0.51322148361032793</v>
      </c>
      <c r="I454">
        <f t="shared" si="11"/>
        <v>4460.869410555556</v>
      </c>
      <c r="K454">
        <f>_xlfn.STDEV.S('R1'!L454,'R2'!L454,'R3'!L454)</f>
        <v>4.6413469370454414E-3</v>
      </c>
      <c r="L454">
        <f>_xlfn.STDEV.S('R1'!M454,'R2'!M454,'R3'!M454)</f>
        <v>2.5001297557033331E-3</v>
      </c>
      <c r="M454">
        <f>_xlfn.STDEV.S('R1'!N454,'R2'!N454,'R3'!N454)</f>
        <v>1.3925176289345128E-3</v>
      </c>
      <c r="N454">
        <f>_xlfn.STDEV.S('R1'!O454,'R2'!O454,'R3'!O454)</f>
        <v>4.1669332634131275E-3</v>
      </c>
    </row>
    <row r="455" spans="1:14" x14ac:dyDescent="0.25">
      <c r="A455">
        <f>-'R1'!H455</f>
        <v>-32</v>
      </c>
      <c r="B455">
        <f>DEGREES(ATAN(-SIN(RADIANS(('R1'!I455)))/(COS(RADIANS(Sheet1!A455))*COS(RADIANS('R1'!I455)))))</f>
        <v>-23.228324501561271</v>
      </c>
      <c r="C455">
        <f>AVERAGE('R1'!J455,'R2'!J455,'R3'!J455)</f>
        <v>1.18</v>
      </c>
      <c r="D455">
        <f>AVERAGE('R1'!K455,'R2'!K455,'R3'!K455)</f>
        <v>22.721468249999997</v>
      </c>
      <c r="E455">
        <f>AVERAGE('R1'!L455,'R2'!L455,'R3'!L455)</f>
        <v>-0.99256402497173635</v>
      </c>
      <c r="F455">
        <f>AVERAGE('R1'!M455,'R2'!M455,'R3'!M455)</f>
        <v>1.6919906843386545</v>
      </c>
      <c r="G455">
        <f>AVERAGE('R1'!N455,'R2'!N455,'R3'!N455)</f>
        <v>-0.61539477119791541</v>
      </c>
      <c r="H455">
        <f>AVERAGE('R1'!O455,'R2'!O455,'R3'!O455)</f>
        <v>-0.57518157282936999</v>
      </c>
      <c r="I455">
        <f t="shared" si="11"/>
        <v>4468.5554224999996</v>
      </c>
      <c r="K455">
        <f>_xlfn.STDEV.S('R1'!L455,'R2'!L455,'R3'!L455)</f>
        <v>2.4869086915240749E-3</v>
      </c>
      <c r="L455">
        <f>_xlfn.STDEV.S('R1'!M455,'R2'!M455,'R3'!M455)</f>
        <v>6.3380338601879927E-3</v>
      </c>
      <c r="M455">
        <f>_xlfn.STDEV.S('R1'!N455,'R2'!N455,'R3'!N455)</f>
        <v>2.3288026375371499E-3</v>
      </c>
      <c r="N455">
        <f>_xlfn.STDEV.S('R1'!O455,'R2'!O455,'R3'!O455)</f>
        <v>1.6762400745724238E-3</v>
      </c>
    </row>
    <row r="456" spans="1:14" x14ac:dyDescent="0.25">
      <c r="A456">
        <f>-'R1'!H456</f>
        <v>-32</v>
      </c>
      <c r="B456">
        <f>DEGREES(ATAN(-SIN(RADIANS(('R1'!I456)))/(COS(RADIANS(Sheet1!A456))*COS(RADIANS('R1'!I456)))))</f>
        <v>-27.699654729206667</v>
      </c>
      <c r="C456">
        <f>AVERAGE('R1'!J456,'R2'!J456,'R3'!J456)</f>
        <v>1.18</v>
      </c>
      <c r="D456">
        <f>AVERAGE('R1'!K456,'R2'!K456,'R3'!K456)</f>
        <v>22.802608416666668</v>
      </c>
      <c r="E456">
        <f>AVERAGE('R1'!L456,'R2'!L456,'R3'!L456)</f>
        <v>-1.1498494289163876</v>
      </c>
      <c r="F456">
        <f>AVERAGE('R1'!M456,'R2'!M456,'R3'!M456)</f>
        <v>1.6348623370009125</v>
      </c>
      <c r="G456">
        <f>AVERAGE('R1'!N456,'R2'!N456,'R3'!N456)</f>
        <v>-0.6502248474031499</v>
      </c>
      <c r="H456">
        <f>AVERAGE('R1'!O456,'R2'!O456,'R3'!O456)</f>
        <v>-0.6524678521414905</v>
      </c>
      <c r="I456">
        <f t="shared" si="11"/>
        <v>4484.5129886111117</v>
      </c>
      <c r="K456">
        <f>_xlfn.STDEV.S('R1'!L456,'R2'!L456,'R3'!L456)</f>
        <v>2.6014556720625826E-3</v>
      </c>
      <c r="L456">
        <f>_xlfn.STDEV.S('R1'!M456,'R2'!M456,'R3'!M456)</f>
        <v>7.1565836956135991E-3</v>
      </c>
      <c r="M456">
        <f>_xlfn.STDEV.S('R1'!N456,'R2'!N456,'R3'!N456)</f>
        <v>6.8536604380694177E-3</v>
      </c>
      <c r="N456">
        <f>_xlfn.STDEV.S('R1'!O456,'R2'!O456,'R3'!O456)</f>
        <v>6.0593943789922344E-3</v>
      </c>
    </row>
    <row r="457" spans="1:14" x14ac:dyDescent="0.25">
      <c r="A457">
        <f>-'R1'!H457</f>
        <v>-32</v>
      </c>
      <c r="B457">
        <f>DEGREES(ATAN(-SIN(RADIANS(('R1'!I457)))/(COS(RADIANS(Sheet1!A457))*COS(RADIANS('R1'!I457)))))</f>
        <v>-32.086900972819144</v>
      </c>
      <c r="C457">
        <f>AVERAGE('R1'!J457,'R2'!J457,'R3'!J457)</f>
        <v>1.18</v>
      </c>
      <c r="D457">
        <f>AVERAGE('R1'!K457,'R2'!K457,'R3'!K457)</f>
        <v>22.354747666666668</v>
      </c>
      <c r="E457">
        <f>AVERAGE('R1'!L457,'R2'!L457,'R3'!L457)</f>
        <v>-1.2797385502242946</v>
      </c>
      <c r="F457">
        <f>AVERAGE('R1'!M457,'R2'!M457,'R3'!M457)</f>
        <v>1.6045922826959647</v>
      </c>
      <c r="G457">
        <f>AVERAGE('R1'!N457,'R2'!N457,'R3'!N457)</f>
        <v>-0.69962620263420006</v>
      </c>
      <c r="H457">
        <f>AVERAGE('R1'!O457,'R2'!O457,'R3'!O457)</f>
        <v>-0.73141758792939449</v>
      </c>
      <c r="I457">
        <f t="shared" si="11"/>
        <v>4396.4337077777782</v>
      </c>
      <c r="K457">
        <f>_xlfn.STDEV.S('R1'!L457,'R2'!L457,'R3'!L457)</f>
        <v>1.7545629390372636E-3</v>
      </c>
      <c r="L457">
        <f>_xlfn.STDEV.S('R1'!M457,'R2'!M457,'R3'!M457)</f>
        <v>3.6407530421065956E-3</v>
      </c>
      <c r="M457">
        <f>_xlfn.STDEV.S('R1'!N457,'R2'!N457,'R3'!N457)</f>
        <v>1.3066769738045731E-3</v>
      </c>
      <c r="N457">
        <f>_xlfn.STDEV.S('R1'!O457,'R2'!O457,'R3'!O457)</f>
        <v>4.5227860885404007E-3</v>
      </c>
    </row>
    <row r="458" spans="1:14" x14ac:dyDescent="0.25">
      <c r="A458">
        <f>-'R1'!H458</f>
        <v>-32</v>
      </c>
      <c r="B458">
        <f>DEGREES(ATAN(-SIN(RADIANS(('R1'!I458)))/(COS(RADIANS(Sheet1!A458))*COS(RADIANS('R1'!I458)))))</f>
        <v>-36.383993076218225</v>
      </c>
      <c r="C458">
        <f>AVERAGE('R1'!J458,'R2'!J458,'R3'!J458)</f>
        <v>1.18</v>
      </c>
      <c r="D458">
        <f>AVERAGE('R1'!K458,'R2'!K458,'R3'!K458)</f>
        <v>22.240747916666667</v>
      </c>
      <c r="E458">
        <f>AVERAGE('R1'!L458,'R2'!L458,'R3'!L458)</f>
        <v>-1.3888119973970603</v>
      </c>
      <c r="F458">
        <f>AVERAGE('R1'!M458,'R2'!M458,'R3'!M458)</f>
        <v>1.6029811958871472</v>
      </c>
      <c r="G458">
        <f>AVERAGE('R1'!N458,'R2'!N458,'R3'!N458)</f>
        <v>-0.76267417479303823</v>
      </c>
      <c r="H458">
        <f>AVERAGE('R1'!O458,'R2'!O458,'R3'!O458)</f>
        <v>-0.82068216028346663</v>
      </c>
      <c r="I458">
        <f t="shared" si="11"/>
        <v>4374.013756944445</v>
      </c>
      <c r="K458">
        <f>_xlfn.STDEV.S('R1'!L458,'R2'!L458,'R3'!L458)</f>
        <v>4.9239917068555671E-3</v>
      </c>
      <c r="L458">
        <f>_xlfn.STDEV.S('R1'!M458,'R2'!M458,'R3'!M458)</f>
        <v>6.2654783835588215E-3</v>
      </c>
      <c r="M458">
        <f>_xlfn.STDEV.S('R1'!N458,'R2'!N458,'R3'!N458)</f>
        <v>3.4522474009425182E-3</v>
      </c>
      <c r="N458">
        <f>_xlfn.STDEV.S('R1'!O458,'R2'!O458,'R3'!O458)</f>
        <v>2.1276829808341319E-3</v>
      </c>
    </row>
    <row r="459" spans="1:14" x14ac:dyDescent="0.25">
      <c r="A459">
        <f>-'R1'!H459</f>
        <v>-32</v>
      </c>
      <c r="B459">
        <f>DEGREES(ATAN(-SIN(RADIANS(('R1'!I459)))/(COS(RADIANS(Sheet1!A459))*COS(RADIANS('R1'!I459)))))</f>
        <v>-40.587432696870117</v>
      </c>
      <c r="C459">
        <f>AVERAGE('R1'!J459,'R2'!J459,'R3'!J459)</f>
        <v>1.18</v>
      </c>
      <c r="D459">
        <f>AVERAGE('R1'!K459,'R2'!K459,'R3'!K459)</f>
        <v>22.009787916666667</v>
      </c>
      <c r="E459">
        <f>AVERAGE('R1'!L459,'R2'!L459,'R3'!L459)</f>
        <v>-1.4921512912189454</v>
      </c>
      <c r="F459">
        <f>AVERAGE('R1'!M459,'R2'!M459,'R3'!M459)</f>
        <v>1.6213761804020637</v>
      </c>
      <c r="G459">
        <f>AVERAGE('R1'!N459,'R2'!N459,'R3'!N459)</f>
        <v>-0.84807024168591083</v>
      </c>
      <c r="H459">
        <f>AVERAGE('R1'!O459,'R2'!O459,'R3'!O459)</f>
        <v>-0.91281589271846697</v>
      </c>
      <c r="I459">
        <f t="shared" si="11"/>
        <v>4328.5916236111116</v>
      </c>
      <c r="K459">
        <f>_xlfn.STDEV.S('R1'!L459,'R2'!L459,'R3'!L459)</f>
        <v>5.0001414357420133E-3</v>
      </c>
      <c r="L459">
        <f>_xlfn.STDEV.S('R1'!M459,'R2'!M459,'R3'!M459)</f>
        <v>2.6015648110748945E-3</v>
      </c>
      <c r="M459">
        <f>_xlfn.STDEV.S('R1'!N459,'R2'!N459,'R3'!N459)</f>
        <v>6.7938393606639877E-3</v>
      </c>
      <c r="N459">
        <f>_xlfn.STDEV.S('R1'!O459,'R2'!O459,'R3'!O459)</f>
        <v>2.8838155443488842E-3</v>
      </c>
    </row>
    <row r="460" spans="1:14" x14ac:dyDescent="0.25">
      <c r="A460">
        <f>-'R1'!H460</f>
        <v>-32</v>
      </c>
      <c r="B460">
        <f>DEGREES(ATAN(-SIN(RADIANS(('R1'!I460)))/(COS(RADIANS(Sheet1!A460))*COS(RADIANS('R1'!I460)))))</f>
        <v>-44.69611169166604</v>
      </c>
      <c r="C460">
        <f>AVERAGE('R1'!J460,'R2'!J460,'R3'!J460)</f>
        <v>1.18</v>
      </c>
      <c r="D460">
        <f>AVERAGE('R1'!K460,'R2'!K460,'R3'!K460)</f>
        <v>21.892964166666669</v>
      </c>
      <c r="E460">
        <f>AVERAGE('R1'!L460,'R2'!L460,'R3'!L460)</f>
        <v>-1.5998124050973768</v>
      </c>
      <c r="F460">
        <f>AVERAGE('R1'!M460,'R2'!M460,'R3'!M460)</f>
        <v>1.6575659577912958</v>
      </c>
      <c r="G460">
        <f>AVERAGE('R1'!N460,'R2'!N460,'R3'!N460)</f>
        <v>-0.96187613554569529</v>
      </c>
      <c r="H460">
        <f>AVERAGE('R1'!O460,'R2'!O460,'R3'!O460)</f>
        <v>-1.0139774701131656</v>
      </c>
      <c r="I460">
        <f t="shared" si="11"/>
        <v>4305.6162861111115</v>
      </c>
      <c r="K460">
        <f>_xlfn.STDEV.S('R1'!L460,'R2'!L460,'R3'!L460)</f>
        <v>4.7587040042488321E-3</v>
      </c>
      <c r="L460">
        <f>_xlfn.STDEV.S('R1'!M460,'R2'!M460,'R3'!M460)</f>
        <v>1.5456501935189491E-3</v>
      </c>
      <c r="M460">
        <f>_xlfn.STDEV.S('R1'!N460,'R2'!N460,'R3'!N460)</f>
        <v>5.2588232972789403E-3</v>
      </c>
      <c r="N460">
        <f>_xlfn.STDEV.S('R1'!O460,'R2'!O460,'R3'!O460)</f>
        <v>3.5464928526140734E-4</v>
      </c>
    </row>
    <row r="461" spans="1:14" x14ac:dyDescent="0.25">
      <c r="A461">
        <f>-'R1'!H461</f>
        <v>-32</v>
      </c>
      <c r="B461">
        <f>DEGREES(ATAN(-SIN(RADIANS(('R1'!I461)))/(COS(RADIANS(Sheet1!A461))*COS(RADIANS('R1'!I461)))))</f>
        <v>-48.711059881009497</v>
      </c>
      <c r="C461">
        <f>AVERAGE('R1'!J461,'R2'!J461,'R3'!J461)</f>
        <v>1.18</v>
      </c>
      <c r="D461">
        <f>AVERAGE('R1'!K461,'R2'!K461,'R3'!K461)</f>
        <v>22.091818083333333</v>
      </c>
      <c r="E461">
        <f>AVERAGE('R1'!L461,'R2'!L461,'R3'!L461)</f>
        <v>-1.7280167980889898</v>
      </c>
      <c r="F461">
        <f>AVERAGE('R1'!M461,'R2'!M461,'R3'!M461)</f>
        <v>1.7126428934555527</v>
      </c>
      <c r="G461">
        <f>AVERAGE('R1'!N461,'R2'!N461,'R3'!N461)</f>
        <v>-1.1102545039566933</v>
      </c>
      <c r="H461">
        <f>AVERAGE('R1'!O461,'R2'!O461,'R3'!O461)</f>
        <v>-1.1401815661409131</v>
      </c>
      <c r="I461">
        <f t="shared" si="11"/>
        <v>4344.7242230555548</v>
      </c>
      <c r="K461">
        <f>_xlfn.STDEV.S('R1'!L461,'R2'!L461,'R3'!L461)</f>
        <v>4.9405403111899143E-3</v>
      </c>
      <c r="L461">
        <f>_xlfn.STDEV.S('R1'!M461,'R2'!M461,'R3'!M461)</f>
        <v>3.2781663143037795E-3</v>
      </c>
      <c r="M461">
        <f>_xlfn.STDEV.S('R1'!N461,'R2'!N461,'R3'!N461)</f>
        <v>2.9893262691810221E-3</v>
      </c>
      <c r="N461">
        <f>_xlfn.STDEV.S('R1'!O461,'R2'!O461,'R3'!O461)</f>
        <v>4.0456221927845986E-3</v>
      </c>
    </row>
    <row r="462" spans="1:14" x14ac:dyDescent="0.25">
      <c r="A462">
        <f>-'R1'!H462</f>
        <v>-36</v>
      </c>
      <c r="B462">
        <f>DEGREES(ATAN(-SIN(RADIANS(('R1'!I462)))/(COS(RADIANS(Sheet1!A462))*COS(RADIANS('R1'!I462)))))</f>
        <v>50.045016920059574</v>
      </c>
      <c r="C462">
        <f>AVERAGE('R1'!J462,'R2'!J462,'R3'!J462)</f>
        <v>1.18</v>
      </c>
      <c r="D462">
        <f>AVERAGE('R1'!K462,'R2'!K462,'R3'!K462)</f>
        <v>22.658529583333333</v>
      </c>
      <c r="E462">
        <f>AVERAGE('R1'!L462,'R2'!L462,'R3'!L462)</f>
        <v>1.9205856742243474</v>
      </c>
      <c r="F462">
        <f>AVERAGE('R1'!M462,'R2'!M462,'R3'!M462)</f>
        <v>1.9559256480669387</v>
      </c>
      <c r="G462">
        <f>AVERAGE('R1'!N462,'R2'!N462,'R3'!N462)</f>
        <v>-1.4086671807169233</v>
      </c>
      <c r="H462">
        <f>AVERAGE('R1'!O462,'R2'!O462,'R3'!O462)</f>
        <v>-1.4185528294390908</v>
      </c>
      <c r="I462">
        <f t="shared" si="11"/>
        <v>4456.1774847222223</v>
      </c>
      <c r="K462">
        <f>_xlfn.STDEV.S('R1'!L462,'R2'!L462,'R3'!L462)</f>
        <v>8.6515260950268628E-3</v>
      </c>
      <c r="L462">
        <f>_xlfn.STDEV.S('R1'!M462,'R2'!M462,'R3'!M462)</f>
        <v>6.4519568417192846E-3</v>
      </c>
      <c r="M462">
        <f>_xlfn.STDEV.S('R1'!N462,'R2'!N462,'R3'!N462)</f>
        <v>1.3379269093473567E-2</v>
      </c>
      <c r="N462">
        <f>_xlfn.STDEV.S('R1'!O462,'R2'!O462,'R3'!O462)</f>
        <v>1.4324042234103457E-3</v>
      </c>
    </row>
    <row r="463" spans="1:14" x14ac:dyDescent="0.25">
      <c r="A463">
        <f>-'R1'!H463</f>
        <v>-36</v>
      </c>
      <c r="B463">
        <f>DEGREES(ATAN(-SIN(RADIANS(('R1'!I463)))/(COS(RADIANS(Sheet1!A463))*COS(RADIANS('R1'!I463)))))</f>
        <v>46.045688589723383</v>
      </c>
      <c r="C463">
        <f>AVERAGE('R1'!J463,'R2'!J463,'R3'!J463)</f>
        <v>1.18</v>
      </c>
      <c r="D463">
        <f>AVERAGE('R1'!K463,'R2'!K463,'R3'!K463)</f>
        <v>22.70196</v>
      </c>
      <c r="E463">
        <f>AVERAGE('R1'!L463,'R2'!L463,'R3'!L463)</f>
        <v>1.7814798689889428</v>
      </c>
      <c r="F463">
        <f>AVERAGE('R1'!M463,'R2'!M463,'R3'!M463)</f>
        <v>1.8808709842447022</v>
      </c>
      <c r="G463">
        <f>AVERAGE('R1'!N463,'R2'!N463,'R3'!N463)</f>
        <v>-1.2341295722500722</v>
      </c>
      <c r="H463">
        <f>AVERAGE('R1'!O463,'R2'!O463,'R3'!O463)</f>
        <v>-1.2813147864290197</v>
      </c>
      <c r="I463">
        <f t="shared" si="11"/>
        <v>4464.7187999999996</v>
      </c>
      <c r="K463">
        <f>_xlfn.STDEV.S('R1'!L463,'R2'!L463,'R3'!L463)</f>
        <v>2.0210566735556277E-3</v>
      </c>
      <c r="L463">
        <f>_xlfn.STDEV.S('R1'!M463,'R2'!M463,'R3'!M463)</f>
        <v>4.1241587930144694E-3</v>
      </c>
      <c r="M463">
        <f>_xlfn.STDEV.S('R1'!N463,'R2'!N463,'R3'!N463)</f>
        <v>1.7152619719931293E-3</v>
      </c>
      <c r="N463">
        <f>_xlfn.STDEV.S('R1'!O463,'R2'!O463,'R3'!O463)</f>
        <v>4.5186149732311234E-4</v>
      </c>
    </row>
    <row r="464" spans="1:14" x14ac:dyDescent="0.25">
      <c r="A464">
        <f>-'R1'!H464</f>
        <v>-36</v>
      </c>
      <c r="B464">
        <f>DEGREES(ATAN(-SIN(RADIANS(('R1'!I464)))/(COS(RADIANS(Sheet1!A464))*COS(RADIANS('R1'!I464)))))</f>
        <v>41.925613925819086</v>
      </c>
      <c r="C464">
        <f>AVERAGE('R1'!J464,'R2'!J464,'R3'!J464)</f>
        <v>1.18</v>
      </c>
      <c r="D464">
        <f>AVERAGE('R1'!K464,'R2'!K464,'R3'!K464)</f>
        <v>22.757186666666669</v>
      </c>
      <c r="E464">
        <f>AVERAGE('R1'!L464,'R2'!L464,'R3'!L464)</f>
        <v>1.6773266838685832</v>
      </c>
      <c r="F464">
        <f>AVERAGE('R1'!M464,'R2'!M464,'R3'!M464)</f>
        <v>1.8255180390539152</v>
      </c>
      <c r="G464">
        <f>AVERAGE('R1'!N464,'R2'!N464,'R3'!N464)</f>
        <v>-1.1097084719713675</v>
      </c>
      <c r="H464">
        <f>AVERAGE('R1'!O464,'R2'!O464,'R3'!O464)</f>
        <v>-1.1601759204949404</v>
      </c>
      <c r="I464">
        <f t="shared" si="11"/>
        <v>4475.5800444444449</v>
      </c>
      <c r="K464">
        <f>_xlfn.STDEV.S('R1'!L464,'R2'!L464,'R3'!L464)</f>
        <v>2.7819520185864434E-3</v>
      </c>
      <c r="L464">
        <f>_xlfn.STDEV.S('R1'!M464,'R2'!M464,'R3'!M464)</f>
        <v>4.0865305966855253E-3</v>
      </c>
      <c r="M464">
        <f>_xlfn.STDEV.S('R1'!N464,'R2'!N464,'R3'!N464)</f>
        <v>4.1332397756312592E-3</v>
      </c>
      <c r="N464">
        <f>_xlfn.STDEV.S('R1'!O464,'R2'!O464,'R3'!O464)</f>
        <v>8.548194186396293E-4</v>
      </c>
    </row>
    <row r="465" spans="1:14" x14ac:dyDescent="0.25">
      <c r="A465">
        <f>-'R1'!H465</f>
        <v>-36</v>
      </c>
      <c r="B465">
        <f>DEGREES(ATAN(-SIN(RADIANS(('R1'!I465)))/(COS(RADIANS(Sheet1!A465))*COS(RADIANS('R1'!I465)))))</f>
        <v>37.681815805789164</v>
      </c>
      <c r="C465">
        <f>AVERAGE('R1'!J465,'R2'!J465,'R3'!J465)</f>
        <v>1.18</v>
      </c>
      <c r="D465">
        <f>AVERAGE('R1'!K465,'R2'!K465,'R3'!K465)</f>
        <v>22.369651833333336</v>
      </c>
      <c r="E465">
        <f>AVERAGE('R1'!L465,'R2'!L465,'R3'!L465)</f>
        <v>1.5789161422681726</v>
      </c>
      <c r="F465">
        <f>AVERAGE('R1'!M465,'R2'!M465,'R3'!M465)</f>
        <v>1.7743778150532867</v>
      </c>
      <c r="G465">
        <f>AVERAGE('R1'!N465,'R2'!N465,'R3'!N465)</f>
        <v>-1.0006023536951476</v>
      </c>
      <c r="H465">
        <f>AVERAGE('R1'!O465,'R2'!O465,'R3'!O465)</f>
        <v>-1.0542790175811974</v>
      </c>
      <c r="I465">
        <f t="shared" si="11"/>
        <v>4399.3648605555554</v>
      </c>
      <c r="K465">
        <f>_xlfn.STDEV.S('R1'!L465,'R2'!L465,'R3'!L465)</f>
        <v>6.5067290919150079E-3</v>
      </c>
      <c r="L465">
        <f>_xlfn.STDEV.S('R1'!M465,'R2'!M465,'R3'!M465)</f>
        <v>1.4527254613954713E-3</v>
      </c>
      <c r="M465">
        <f>_xlfn.STDEV.S('R1'!N465,'R2'!N465,'R3'!N465)</f>
        <v>4.9825061628371086E-3</v>
      </c>
      <c r="N465">
        <f>_xlfn.STDEV.S('R1'!O465,'R2'!O465,'R3'!O465)</f>
        <v>2.8920619416808692E-3</v>
      </c>
    </row>
    <row r="466" spans="1:14" x14ac:dyDescent="0.25">
      <c r="A466">
        <f>-'R1'!H466</f>
        <v>-36</v>
      </c>
      <c r="B466">
        <f>DEGREES(ATAN(-SIN(RADIANS(('R1'!I466)))/(COS(RADIANS(Sheet1!A466))*COS(RADIANS('R1'!I466)))))</f>
        <v>33.314077817276932</v>
      </c>
      <c r="C466">
        <f>AVERAGE('R1'!J466,'R2'!J466,'R3'!J466)</f>
        <v>1.18</v>
      </c>
      <c r="D466">
        <f>AVERAGE('R1'!K466,'R2'!K466,'R3'!K466)</f>
        <v>22.266213333333329</v>
      </c>
      <c r="E466">
        <f>AVERAGE('R1'!L466,'R2'!L466,'R3'!L466)</f>
        <v>1.4728731971917239</v>
      </c>
      <c r="F466">
        <f>AVERAGE('R1'!M466,'R2'!M466,'R3'!M466)</f>
        <v>1.761156484687568</v>
      </c>
      <c r="G466">
        <f>AVERAGE('R1'!N466,'R2'!N466,'R3'!N466)</f>
        <v>-0.9227653872817404</v>
      </c>
      <c r="H466">
        <f>AVERAGE('R1'!O466,'R2'!O466,'R3'!O466)</f>
        <v>-0.95800757439748441</v>
      </c>
      <c r="I466">
        <f t="shared" si="11"/>
        <v>4379.021955555555</v>
      </c>
      <c r="K466">
        <f>_xlfn.STDEV.S('R1'!L466,'R2'!L466,'R3'!L466)</f>
        <v>4.4496620629645217E-3</v>
      </c>
      <c r="L466">
        <f>_xlfn.STDEV.S('R1'!M466,'R2'!M466,'R3'!M466)</f>
        <v>1.2037035021232934E-3</v>
      </c>
      <c r="M466">
        <f>_xlfn.STDEV.S('R1'!N466,'R2'!N466,'R3'!N466)</f>
        <v>4.6678672244443616E-3</v>
      </c>
      <c r="N466">
        <f>_xlfn.STDEV.S('R1'!O466,'R2'!O466,'R3'!O466)</f>
        <v>2.4800510304313827E-3</v>
      </c>
    </row>
    <row r="467" spans="1:14" x14ac:dyDescent="0.25">
      <c r="A467">
        <f>-'R1'!H467</f>
        <v>-36</v>
      </c>
      <c r="B467">
        <f>DEGREES(ATAN(-SIN(RADIANS(('R1'!I467)))/(COS(RADIANS(Sheet1!A467))*COS(RADIANS('R1'!I467)))))</f>
        <v>28.825436554649738</v>
      </c>
      <c r="C467">
        <f>AVERAGE('R1'!J467,'R2'!J467,'R3'!J467)</f>
        <v>1.18</v>
      </c>
      <c r="D467">
        <f>AVERAGE('R1'!K467,'R2'!K467,'R3'!K467)</f>
        <v>22.112080416666668</v>
      </c>
      <c r="E467">
        <f>AVERAGE('R1'!L467,'R2'!L467,'R3'!L467)</f>
        <v>1.3558839741691573</v>
      </c>
      <c r="F467">
        <f>AVERAGE('R1'!M467,'R2'!M467,'R3'!M467)</f>
        <v>1.7811070745934723</v>
      </c>
      <c r="G467">
        <f>AVERAGE('R1'!N467,'R2'!N467,'R3'!N467)</f>
        <v>-0.86796111714286361</v>
      </c>
      <c r="H467">
        <f>AVERAGE('R1'!O467,'R2'!O467,'R3'!O467)</f>
        <v>-0.87453529435549948</v>
      </c>
      <c r="I467">
        <f t="shared" si="11"/>
        <v>4348.7091486111112</v>
      </c>
      <c r="K467">
        <f>_xlfn.STDEV.S('R1'!L467,'R2'!L467,'R3'!L467)</f>
        <v>2.742991417148411E-3</v>
      </c>
      <c r="L467">
        <f>_xlfn.STDEV.S('R1'!M467,'R2'!M467,'R3'!M467)</f>
        <v>1.1621975354709439E-3</v>
      </c>
      <c r="M467">
        <f>_xlfn.STDEV.S('R1'!N467,'R2'!N467,'R3'!N467)</f>
        <v>1.616735123308534E-3</v>
      </c>
      <c r="N467">
        <f>_xlfn.STDEV.S('R1'!O467,'R2'!O467,'R3'!O467)</f>
        <v>4.273548690660514E-4</v>
      </c>
    </row>
    <row r="468" spans="1:14" x14ac:dyDescent="0.25">
      <c r="A468">
        <f>-'R1'!H468</f>
        <v>-36</v>
      </c>
      <c r="B468">
        <f>DEGREES(ATAN(-SIN(RADIANS(('R1'!I468)))/(COS(RADIANS(Sheet1!A468))*COS(RADIANS('R1'!I468)))))</f>
        <v>24.22259689172926</v>
      </c>
      <c r="C468">
        <f>AVERAGE('R1'!J468,'R2'!J468,'R3'!J468)</f>
        <v>1.18</v>
      </c>
      <c r="D468">
        <f>AVERAGE('R1'!K468,'R2'!K468,'R3'!K468)</f>
        <v>22.050562583333331</v>
      </c>
      <c r="E468">
        <f>AVERAGE('R1'!L468,'R2'!L468,'R3'!L468)</f>
        <v>1.22139456983634</v>
      </c>
      <c r="F468">
        <f>AVERAGE('R1'!M468,'R2'!M468,'R3'!M468)</f>
        <v>1.819979250378907</v>
      </c>
      <c r="G468">
        <f>AVERAGE('R1'!N468,'R2'!N468,'R3'!N468)</f>
        <v>-0.82959464518344583</v>
      </c>
      <c r="H468">
        <f>AVERAGE('R1'!O468,'R2'!O468,'R3'!O468)</f>
        <v>-0.79569250625681531</v>
      </c>
      <c r="I468">
        <f t="shared" si="11"/>
        <v>4336.6106413888883</v>
      </c>
      <c r="K468">
        <f>_xlfn.STDEV.S('R1'!L468,'R2'!L468,'R3'!L468)</f>
        <v>3.4684701614364718E-3</v>
      </c>
      <c r="L468">
        <f>_xlfn.STDEV.S('R1'!M468,'R2'!M468,'R3'!M468)</f>
        <v>4.634931289049871E-3</v>
      </c>
      <c r="M468">
        <f>_xlfn.STDEV.S('R1'!N468,'R2'!N468,'R3'!N468)</f>
        <v>3.1677262679803554E-3</v>
      </c>
      <c r="N468">
        <f>_xlfn.STDEV.S('R1'!O468,'R2'!O468,'R3'!O468)</f>
        <v>4.3197264702249886E-3</v>
      </c>
    </row>
    <row r="469" spans="1:14" x14ac:dyDescent="0.25">
      <c r="A469">
        <f>-'R1'!H469</f>
        <v>-36</v>
      </c>
      <c r="B469">
        <f>DEGREES(ATAN(-SIN(RADIANS(('R1'!I469)))/(COS(RADIANS(Sheet1!A469))*COS(RADIANS('R1'!I469)))))</f>
        <v>19.516199251096932</v>
      </c>
      <c r="C469">
        <f>AVERAGE('R1'!J469,'R2'!J469,'R3'!J469)</f>
        <v>1.18</v>
      </c>
      <c r="D469">
        <f>AVERAGE('R1'!K469,'R2'!K469,'R3'!K469)</f>
        <v>22.285153750000003</v>
      </c>
      <c r="E469">
        <f>AVERAGE('R1'!L469,'R2'!L469,'R3'!L469)</f>
        <v>1.0634883205356715</v>
      </c>
      <c r="F469">
        <f>AVERAGE('R1'!M469,'R2'!M469,'R3'!M469)</f>
        <v>1.8918729203117104</v>
      </c>
      <c r="G469">
        <f>AVERAGE('R1'!N469,'R2'!N469,'R3'!N469)</f>
        <v>-0.80947253335236979</v>
      </c>
      <c r="H469">
        <f>AVERAGE('R1'!O469,'R2'!O469,'R3'!O469)</f>
        <v>-0.72535508659466785</v>
      </c>
      <c r="I469">
        <f t="shared" si="11"/>
        <v>4382.7469041666673</v>
      </c>
      <c r="K469">
        <f>_xlfn.STDEV.S('R1'!L469,'R2'!L469,'R3'!L469)</f>
        <v>5.1592664137191857E-3</v>
      </c>
      <c r="L469">
        <f>_xlfn.STDEV.S('R1'!M469,'R2'!M469,'R3'!M469)</f>
        <v>4.3762970702051641E-3</v>
      </c>
      <c r="M469">
        <f>_xlfn.STDEV.S('R1'!N469,'R2'!N469,'R3'!N469)</f>
        <v>5.476051973791746E-3</v>
      </c>
      <c r="N469">
        <f>_xlfn.STDEV.S('R1'!O469,'R2'!O469,'R3'!O469)</f>
        <v>2.0698772231659813E-3</v>
      </c>
    </row>
    <row r="470" spans="1:14" x14ac:dyDescent="0.25">
      <c r="A470">
        <f>-'R1'!H470</f>
        <v>-36</v>
      </c>
      <c r="B470">
        <f>DEGREES(ATAN(-SIN(RADIANS(('R1'!I470)))/(COS(RADIANS(Sheet1!A470))*COS(RADIANS('R1'!I470)))))</f>
        <v>14.720865361542916</v>
      </c>
      <c r="C470">
        <f>AVERAGE('R1'!J470,'R2'!J470,'R3'!J470)</f>
        <v>1.18</v>
      </c>
      <c r="D470">
        <f>AVERAGE('R1'!K470,'R2'!K470,'R3'!K470)</f>
        <v>22.428766499999998</v>
      </c>
      <c r="E470">
        <f>AVERAGE('R1'!L470,'R2'!L470,'R3'!L470)</f>
        <v>0.87505495823701163</v>
      </c>
      <c r="F470">
        <f>AVERAGE('R1'!M470,'R2'!M470,'R3'!M470)</f>
        <v>1.9845097580529176</v>
      </c>
      <c r="G470">
        <f>AVERAGE('R1'!N470,'R2'!N470,'R3'!N470)</f>
        <v>-0.80345776255309609</v>
      </c>
      <c r="H470">
        <f>AVERAGE('R1'!O470,'R2'!O470,'R3'!O470)</f>
        <v>-0.66380858120722441</v>
      </c>
      <c r="I470">
        <f t="shared" si="11"/>
        <v>4410.9907449999992</v>
      </c>
      <c r="K470">
        <f>_xlfn.STDEV.S('R1'!L470,'R2'!L470,'R3'!L470)</f>
        <v>6.2414195068452643E-3</v>
      </c>
      <c r="L470">
        <f>_xlfn.STDEV.S('R1'!M470,'R2'!M470,'R3'!M470)</f>
        <v>5.2122285198038711E-3</v>
      </c>
      <c r="M470">
        <f>_xlfn.STDEV.S('R1'!N470,'R2'!N470,'R3'!N470)</f>
        <v>3.240025153252698E-3</v>
      </c>
      <c r="N470">
        <f>_xlfn.STDEV.S('R1'!O470,'R2'!O470,'R3'!O470)</f>
        <v>6.4219983310054088E-3</v>
      </c>
    </row>
    <row r="471" spans="1:14" x14ac:dyDescent="0.25">
      <c r="A471">
        <f>-'R1'!H471</f>
        <v>-36</v>
      </c>
      <c r="B471">
        <f>DEGREES(ATAN(-SIN(RADIANS(('R1'!I471)))/(COS(RADIANS(Sheet1!A471))*COS(RADIANS('R1'!I471)))))</f>
        <v>9.8549609037615156</v>
      </c>
      <c r="C471">
        <f>AVERAGE('R1'!J471,'R2'!J471,'R3'!J471)</f>
        <v>1.18</v>
      </c>
      <c r="D471">
        <f>AVERAGE('R1'!K471,'R2'!K471,'R3'!K471)</f>
        <v>22.557395333333336</v>
      </c>
      <c r="E471">
        <f>AVERAGE('R1'!L471,'R2'!L471,'R3'!L471)</f>
        <v>0.65730472098698778</v>
      </c>
      <c r="F471">
        <f>AVERAGE('R1'!M471,'R2'!M471,'R3'!M471)</f>
        <v>2.1060610085563773</v>
      </c>
      <c r="G471">
        <f>AVERAGE('R1'!N471,'R2'!N471,'R3'!N471)</f>
        <v>-0.81111095040501624</v>
      </c>
      <c r="H471">
        <f>AVERAGE('R1'!O471,'R2'!O471,'R3'!O471)</f>
        <v>-0.61186389259785412</v>
      </c>
      <c r="I471">
        <f t="shared" si="11"/>
        <v>4436.2877488888889</v>
      </c>
      <c r="K471">
        <f>_xlfn.STDEV.S('R1'!L471,'R2'!L471,'R3'!L471)</f>
        <v>5.7042850083942236E-3</v>
      </c>
      <c r="L471">
        <f>_xlfn.STDEV.S('R1'!M471,'R2'!M471,'R3'!M471)</f>
        <v>5.3332362729996228E-3</v>
      </c>
      <c r="M471">
        <f>_xlfn.STDEV.S('R1'!N471,'R2'!N471,'R3'!N471)</f>
        <v>5.81852098965296E-3</v>
      </c>
      <c r="N471">
        <f>_xlfn.STDEV.S('R1'!O471,'R2'!O471,'R3'!O471)</f>
        <v>3.6689244738208233E-3</v>
      </c>
    </row>
    <row r="472" spans="1:14" x14ac:dyDescent="0.25">
      <c r="A472">
        <f>-'R1'!H472</f>
        <v>-36</v>
      </c>
      <c r="B472">
        <f>DEGREES(ATAN(-SIN(RADIANS(('R1'!I472)))/(COS(RADIANS(Sheet1!A472))*COS(RADIANS('R1'!I472)))))</f>
        <v>4.940042441862353</v>
      </c>
      <c r="C472">
        <f>AVERAGE('R1'!J472,'R2'!J472,'R3'!J472)</f>
        <v>1.18</v>
      </c>
      <c r="D472">
        <f>AVERAGE('R1'!K472,'R2'!K472,'R3'!K472)</f>
        <v>22.679333916666668</v>
      </c>
      <c r="E472">
        <f>AVERAGE('R1'!L472,'R2'!L472,'R3'!L472)</f>
        <v>0.40805253841803674</v>
      </c>
      <c r="F472">
        <f>AVERAGE('R1'!M472,'R2'!M472,'R3'!M472)</f>
        <v>2.2615290003938302</v>
      </c>
      <c r="G472">
        <f>AVERAGE('R1'!N472,'R2'!N472,'R3'!N472)</f>
        <v>-0.84672209572885382</v>
      </c>
      <c r="H472">
        <f>AVERAGE('R1'!O472,'R2'!O472,'R3'!O472)</f>
        <v>-0.56729654495806747</v>
      </c>
      <c r="I472">
        <f t="shared" si="11"/>
        <v>4460.2690036111117</v>
      </c>
      <c r="K472">
        <f>_xlfn.STDEV.S('R1'!L472,'R2'!L472,'R3'!L472)</f>
        <v>5.0272261218342511E-3</v>
      </c>
      <c r="L472">
        <f>_xlfn.STDEV.S('R1'!M472,'R2'!M472,'R3'!M472)</f>
        <v>8.5365256113690592E-3</v>
      </c>
      <c r="M472">
        <f>_xlfn.STDEV.S('R1'!N472,'R2'!N472,'R3'!N472)</f>
        <v>5.5578192619761529E-3</v>
      </c>
      <c r="N472">
        <f>_xlfn.STDEV.S('R1'!O472,'R2'!O472,'R3'!O472)</f>
        <v>2.1006364528749406E-3</v>
      </c>
    </row>
    <row r="473" spans="1:14" x14ac:dyDescent="0.25">
      <c r="A473">
        <f>-'R1'!H473</f>
        <v>-36</v>
      </c>
      <c r="B473">
        <f>DEGREES(ATAN(-SIN(RADIANS(('R1'!I473)))/(COS(RADIANS(Sheet1!A473))*COS(RADIANS('R1'!I473)))))</f>
        <v>0</v>
      </c>
      <c r="C473">
        <f>AVERAGE('R1'!J473,'R2'!J473,'R3'!J473)</f>
        <v>1.18</v>
      </c>
      <c r="D473">
        <f>AVERAGE('R1'!K473,'R2'!K473,'R3'!K473)</f>
        <v>22.337401166666666</v>
      </c>
      <c r="E473">
        <f>AVERAGE('R1'!L473,'R2'!L473,'R3'!L473)</f>
        <v>0.12999672535976894</v>
      </c>
      <c r="F473">
        <f>AVERAGE('R1'!M473,'R2'!M473,'R3'!M473)</f>
        <v>2.4389971609562449</v>
      </c>
      <c r="G473">
        <f>AVERAGE('R1'!N473,'R2'!N473,'R3'!N473)</f>
        <v>-0.90566961706973481</v>
      </c>
      <c r="H473">
        <f>AVERAGE('R1'!O473,'R2'!O473,'R3'!O473)</f>
        <v>-0.52258593532328923</v>
      </c>
      <c r="I473">
        <f t="shared" si="11"/>
        <v>4393.0222294444447</v>
      </c>
      <c r="K473">
        <f>_xlfn.STDEV.S('R1'!L473,'R2'!L473,'R3'!L473)</f>
        <v>3.6235860543698279E-3</v>
      </c>
      <c r="L473">
        <f>_xlfn.STDEV.S('R1'!M473,'R2'!M473,'R3'!M473)</f>
        <v>8.1544990302614591E-3</v>
      </c>
      <c r="M473">
        <f>_xlfn.STDEV.S('R1'!N473,'R2'!N473,'R3'!N473)</f>
        <v>6.5119174197140845E-3</v>
      </c>
      <c r="N473">
        <f>_xlfn.STDEV.S('R1'!O473,'R2'!O473,'R3'!O473)</f>
        <v>8.9587169865244624E-4</v>
      </c>
    </row>
    <row r="474" spans="1:14" x14ac:dyDescent="0.25">
      <c r="A474">
        <f>-'R1'!H474</f>
        <v>-36</v>
      </c>
      <c r="B474">
        <f>DEGREES(ATAN(-SIN(RADIANS(('R1'!I474)))/(COS(RADIANS(Sheet1!A474))*COS(RADIANS('R1'!I474)))))</f>
        <v>-4.940042441862353</v>
      </c>
      <c r="C474">
        <f>AVERAGE('R1'!J474,'R2'!J474,'R3'!J474)</f>
        <v>1.18</v>
      </c>
      <c r="D474">
        <f>AVERAGE('R1'!K474,'R2'!K474,'R3'!K474)</f>
        <v>22.0915815</v>
      </c>
      <c r="E474">
        <f>AVERAGE('R1'!L474,'R2'!L474,'R3'!L474)</f>
        <v>-0.17705886953714409</v>
      </c>
      <c r="F474">
        <f>AVERAGE('R1'!M474,'R2'!M474,'R3'!M474)</f>
        <v>2.4121874194005568</v>
      </c>
      <c r="G474">
        <f>AVERAGE('R1'!N474,'R2'!N474,'R3'!N474)</f>
        <v>-0.89653923429951032</v>
      </c>
      <c r="H474">
        <f>AVERAGE('R1'!O474,'R2'!O474,'R3'!O474)</f>
        <v>-0.53149698212469776</v>
      </c>
      <c r="I474">
        <f t="shared" si="11"/>
        <v>4344.6776950000003</v>
      </c>
      <c r="K474">
        <f>_xlfn.STDEV.S('R1'!L474,'R2'!L474,'R3'!L474)</f>
        <v>4.473305685849715E-3</v>
      </c>
      <c r="L474">
        <f>_xlfn.STDEV.S('R1'!M474,'R2'!M474,'R3'!M474)</f>
        <v>8.1156860282160775E-3</v>
      </c>
      <c r="M474">
        <f>_xlfn.STDEV.S('R1'!N474,'R2'!N474,'R3'!N474)</f>
        <v>6.083478466959993E-3</v>
      </c>
      <c r="N474">
        <f>_xlfn.STDEV.S('R1'!O474,'R2'!O474,'R3'!O474)</f>
        <v>6.9135657995002455E-3</v>
      </c>
    </row>
    <row r="475" spans="1:14" x14ac:dyDescent="0.25">
      <c r="A475">
        <f>-'R1'!H475</f>
        <v>-36</v>
      </c>
      <c r="B475">
        <f>DEGREES(ATAN(-SIN(RADIANS(('R1'!I475)))/(COS(RADIANS(Sheet1!A475))*COS(RADIANS('R1'!I475)))))</f>
        <v>-9.8549609037615156</v>
      </c>
      <c r="C475">
        <f>AVERAGE('R1'!J475,'R2'!J475,'R3'!J475)</f>
        <v>1.18</v>
      </c>
      <c r="D475">
        <f>AVERAGE('R1'!K475,'R2'!K475,'R3'!K475)</f>
        <v>22.285004333333333</v>
      </c>
      <c r="E475">
        <f>AVERAGE('R1'!L475,'R2'!L475,'R3'!L475)</f>
        <v>-0.43128771619572565</v>
      </c>
      <c r="F475">
        <f>AVERAGE('R1'!M475,'R2'!M475,'R3'!M475)</f>
        <v>2.2565425000614421</v>
      </c>
      <c r="G475">
        <f>AVERAGE('R1'!N475,'R2'!N475,'R3'!N475)</f>
        <v>-0.8459191873698968</v>
      </c>
      <c r="H475">
        <f>AVERAGE('R1'!O475,'R2'!O475,'R3'!O475)</f>
        <v>-0.57415569054929871</v>
      </c>
      <c r="I475">
        <f t="shared" si="11"/>
        <v>4382.7175188888887</v>
      </c>
      <c r="K475">
        <f>_xlfn.STDEV.S('R1'!L475,'R2'!L475,'R3'!L475)</f>
        <v>4.6003666063024716E-3</v>
      </c>
      <c r="L475">
        <f>_xlfn.STDEV.S('R1'!M475,'R2'!M475,'R3'!M475)</f>
        <v>9.5534587885078136E-3</v>
      </c>
      <c r="M475">
        <f>_xlfn.STDEV.S('R1'!N475,'R2'!N475,'R3'!N475)</f>
        <v>6.3128418418356676E-3</v>
      </c>
      <c r="N475">
        <f>_xlfn.STDEV.S('R1'!O475,'R2'!O475,'R3'!O475)</f>
        <v>3.2938403907804255E-3</v>
      </c>
    </row>
    <row r="476" spans="1:14" x14ac:dyDescent="0.25">
      <c r="A476">
        <f>-'R1'!H476</f>
        <v>-36</v>
      </c>
      <c r="B476">
        <f>DEGREES(ATAN(-SIN(RADIANS(('R1'!I476)))/(COS(RADIANS(Sheet1!A476))*COS(RADIANS('R1'!I476)))))</f>
        <v>-14.720865361542916</v>
      </c>
      <c r="C476">
        <f>AVERAGE('R1'!J476,'R2'!J476,'R3'!J476)</f>
        <v>1.18</v>
      </c>
      <c r="D476">
        <f>AVERAGE('R1'!K476,'R2'!K476,'R3'!K476)</f>
        <v>22.190516583333334</v>
      </c>
      <c r="E476">
        <f>AVERAGE('R1'!L476,'R2'!L476,'R3'!L476)</f>
        <v>-0.65371899497269403</v>
      </c>
      <c r="F476">
        <f>AVERAGE('R1'!M476,'R2'!M476,'R3'!M476)</f>
        <v>2.1232659628116259</v>
      </c>
      <c r="G476">
        <f>AVERAGE('R1'!N476,'R2'!N476,'R3'!N476)</f>
        <v>-0.81732789126128191</v>
      </c>
      <c r="H476">
        <f>AVERAGE('R1'!O476,'R2'!O476,'R3'!O476)</f>
        <v>-0.62259448730541245</v>
      </c>
      <c r="I476">
        <f t="shared" si="11"/>
        <v>4364.1349280555551</v>
      </c>
      <c r="K476">
        <f>_xlfn.STDEV.S('R1'!L476,'R2'!L476,'R3'!L476)</f>
        <v>4.7970794737484286E-3</v>
      </c>
      <c r="L476">
        <f>_xlfn.STDEV.S('R1'!M476,'R2'!M476,'R3'!M476)</f>
        <v>1.3783207915449078E-2</v>
      </c>
      <c r="M476">
        <f>_xlfn.STDEV.S('R1'!N476,'R2'!N476,'R3'!N476)</f>
        <v>8.1978935573354516E-3</v>
      </c>
      <c r="N476">
        <f>_xlfn.STDEV.S('R1'!O476,'R2'!O476,'R3'!O476)</f>
        <v>4.1687074189783336E-3</v>
      </c>
    </row>
    <row r="477" spans="1:14" x14ac:dyDescent="0.25">
      <c r="A477">
        <f>-'R1'!H477</f>
        <v>-36</v>
      </c>
      <c r="B477">
        <f>DEGREES(ATAN(-SIN(RADIANS(('R1'!I477)))/(COS(RADIANS(Sheet1!A477))*COS(RADIANS('R1'!I477)))))</f>
        <v>-19.516199251096932</v>
      </c>
      <c r="C477">
        <f>AVERAGE('R1'!J477,'R2'!J477,'R3'!J477)</f>
        <v>1.18</v>
      </c>
      <c r="D477">
        <f>AVERAGE('R1'!K477,'R2'!K477,'R3'!K477)</f>
        <v>22.384486666666664</v>
      </c>
      <c r="E477">
        <f>AVERAGE('R1'!L477,'R2'!L477,'R3'!L477)</f>
        <v>-0.85396926059051859</v>
      </c>
      <c r="F477">
        <f>AVERAGE('R1'!M477,'R2'!M477,'R3'!M477)</f>
        <v>2.0198518873535223</v>
      </c>
      <c r="G477">
        <f>AVERAGE('R1'!N477,'R2'!N477,'R3'!N477)</f>
        <v>-0.81345597369650424</v>
      </c>
      <c r="H477">
        <f>AVERAGE('R1'!O477,'R2'!O477,'R3'!O477)</f>
        <v>-0.68021611939182092</v>
      </c>
      <c r="I477">
        <f t="shared" si="11"/>
        <v>4402.2823777777776</v>
      </c>
      <c r="K477">
        <f>_xlfn.STDEV.S('R1'!L477,'R2'!L477,'R3'!L477)</f>
        <v>2.3079108955632792E-3</v>
      </c>
      <c r="L477">
        <f>_xlfn.STDEV.S('R1'!M477,'R2'!M477,'R3'!M477)</f>
        <v>6.7140323171683515E-3</v>
      </c>
      <c r="M477">
        <f>_xlfn.STDEV.S('R1'!N477,'R2'!N477,'R3'!N477)</f>
        <v>4.9325630808786164E-3</v>
      </c>
      <c r="N477">
        <f>_xlfn.STDEV.S('R1'!O477,'R2'!O477,'R3'!O477)</f>
        <v>3.8267744613507222E-3</v>
      </c>
    </row>
    <row r="478" spans="1:14" x14ac:dyDescent="0.25">
      <c r="A478">
        <f>-'R1'!H478</f>
        <v>-36</v>
      </c>
      <c r="B478">
        <f>DEGREES(ATAN(-SIN(RADIANS(('R1'!I478)))/(COS(RADIANS(Sheet1!A478))*COS(RADIANS('R1'!I478)))))</f>
        <v>-24.22259689172926</v>
      </c>
      <c r="C478">
        <f>AVERAGE('R1'!J478,'R2'!J478,'R3'!J478)</f>
        <v>1.18</v>
      </c>
      <c r="D478">
        <f>AVERAGE('R1'!K478,'R2'!K478,'R3'!K478)</f>
        <v>22.51912308333333</v>
      </c>
      <c r="E478">
        <f>AVERAGE('R1'!L478,'R2'!L478,'R3'!L478)</f>
        <v>-1.0383859096362011</v>
      </c>
      <c r="F478">
        <f>AVERAGE('R1'!M478,'R2'!M478,'R3'!M478)</f>
        <v>1.9337344800883001</v>
      </c>
      <c r="G478">
        <f>AVERAGE('R1'!N478,'R2'!N478,'R3'!N478)</f>
        <v>-0.82747991393735043</v>
      </c>
      <c r="H478">
        <f>AVERAGE('R1'!O478,'R2'!O478,'R3'!O478)</f>
        <v>-0.7454704011705896</v>
      </c>
      <c r="I478">
        <f t="shared" si="11"/>
        <v>4428.7608730555548</v>
      </c>
      <c r="K478">
        <f>_xlfn.STDEV.S('R1'!L478,'R2'!L478,'R3'!L478)</f>
        <v>5.9839540261267012E-3</v>
      </c>
      <c r="L478">
        <f>_xlfn.STDEV.S('R1'!M478,'R2'!M478,'R3'!M478)</f>
        <v>1.1475836954659547E-2</v>
      </c>
      <c r="M478">
        <f>_xlfn.STDEV.S('R1'!N478,'R2'!N478,'R3'!N478)</f>
        <v>6.0149636116123431E-3</v>
      </c>
      <c r="N478">
        <f>_xlfn.STDEV.S('R1'!O478,'R2'!O478,'R3'!O478)</f>
        <v>3.35085376050163E-3</v>
      </c>
    </row>
    <row r="479" spans="1:14" x14ac:dyDescent="0.25">
      <c r="A479">
        <f>-'R1'!H479</f>
        <v>-36</v>
      </c>
      <c r="B479">
        <f>DEGREES(ATAN(-SIN(RADIANS(('R1'!I479)))/(COS(RADIANS(Sheet1!A479))*COS(RADIANS('R1'!I479)))))</f>
        <v>-28.825436554649738</v>
      </c>
      <c r="C479">
        <f>AVERAGE('R1'!J479,'R2'!J479,'R3'!J479)</f>
        <v>1.18</v>
      </c>
      <c r="D479">
        <f>AVERAGE('R1'!K479,'R2'!K479,'R3'!K479)</f>
        <v>22.358752583333331</v>
      </c>
      <c r="E479">
        <f>AVERAGE('R1'!L479,'R2'!L479,'R3'!L479)</f>
        <v>-1.1879345105916708</v>
      </c>
      <c r="F479">
        <f>AVERAGE('R1'!M479,'R2'!M479,'R3'!M479)</f>
        <v>1.8644953621856406</v>
      </c>
      <c r="G479">
        <f>AVERAGE('R1'!N479,'R2'!N479,'R3'!N479)</f>
        <v>-0.84696693913975574</v>
      </c>
      <c r="H479">
        <f>AVERAGE('R1'!O479,'R2'!O479,'R3'!O479)</f>
        <v>-0.81431768559681339</v>
      </c>
      <c r="I479">
        <f t="shared" si="11"/>
        <v>4397.2213413888885</v>
      </c>
      <c r="K479">
        <f>_xlfn.STDEV.S('R1'!L479,'R2'!L479,'R3'!L479)</f>
        <v>6.2239563044334915E-3</v>
      </c>
      <c r="L479">
        <f>_xlfn.STDEV.S('R1'!M479,'R2'!M479,'R3'!M479)</f>
        <v>6.5191168877621946E-3</v>
      </c>
      <c r="M479">
        <f>_xlfn.STDEV.S('R1'!N479,'R2'!N479,'R3'!N479)</f>
        <v>3.0044959029623488E-3</v>
      </c>
      <c r="N479">
        <f>_xlfn.STDEV.S('R1'!O479,'R2'!O479,'R3'!O479)</f>
        <v>6.9412189857721365E-3</v>
      </c>
    </row>
    <row r="480" spans="1:14" x14ac:dyDescent="0.25">
      <c r="A480">
        <f>-'R1'!H480</f>
        <v>-36</v>
      </c>
      <c r="B480">
        <f>DEGREES(ATAN(-SIN(RADIANS(('R1'!I480)))/(COS(RADIANS(Sheet1!A480))*COS(RADIANS('R1'!I480)))))</f>
        <v>-33.314077817276932</v>
      </c>
      <c r="C480">
        <f>AVERAGE('R1'!J480,'R2'!J480,'R3'!J480)</f>
        <v>1.18</v>
      </c>
      <c r="D480">
        <f>AVERAGE('R1'!K480,'R2'!K480,'R3'!K480)</f>
        <v>22.448880833333334</v>
      </c>
      <c r="E480">
        <f>AVERAGE('R1'!L480,'R2'!L480,'R3'!L480)</f>
        <v>-1.3114626746692155</v>
      </c>
      <c r="F480">
        <f>AVERAGE('R1'!M480,'R2'!M480,'R3'!M480)</f>
        <v>1.8150525115892158</v>
      </c>
      <c r="G480">
        <f>AVERAGE('R1'!N480,'R2'!N480,'R3'!N480)</f>
        <v>-0.87847122696686364</v>
      </c>
      <c r="H480">
        <f>AVERAGE('R1'!O480,'R2'!O480,'R3'!O480)</f>
        <v>-0.88296681832780666</v>
      </c>
      <c r="I480">
        <f t="shared" si="11"/>
        <v>4414.9465638888887</v>
      </c>
      <c r="K480">
        <f>_xlfn.STDEV.S('R1'!L480,'R2'!L480,'R3'!L480)</f>
        <v>3.1310583402201979E-3</v>
      </c>
      <c r="L480">
        <f>_xlfn.STDEV.S('R1'!M480,'R2'!M480,'R3'!M480)</f>
        <v>3.8677490015102604E-3</v>
      </c>
      <c r="M480">
        <f>_xlfn.STDEV.S('R1'!N480,'R2'!N480,'R3'!N480)</f>
        <v>3.3451518582429335E-3</v>
      </c>
      <c r="N480">
        <f>_xlfn.STDEV.S('R1'!O480,'R2'!O480,'R3'!O480)</f>
        <v>5.4481436024106846E-3</v>
      </c>
    </row>
    <row r="481" spans="1:14" x14ac:dyDescent="0.25">
      <c r="A481">
        <f>-'R1'!H481</f>
        <v>-36</v>
      </c>
      <c r="B481">
        <f>DEGREES(ATAN(-SIN(RADIANS(('R1'!I481)))/(COS(RADIANS(Sheet1!A481))*COS(RADIANS('R1'!I481)))))</f>
        <v>-37.681815805789164</v>
      </c>
      <c r="C481">
        <f>AVERAGE('R1'!J481,'R2'!J481,'R3'!J481)</f>
        <v>1.18</v>
      </c>
      <c r="D481">
        <f>AVERAGE('R1'!K481,'R2'!K481,'R3'!K481)</f>
        <v>22.5070525</v>
      </c>
      <c r="E481">
        <f>AVERAGE('R1'!L481,'R2'!L481,'R3'!L481)</f>
        <v>-1.4113754853497154</v>
      </c>
      <c r="F481">
        <f>AVERAGE('R1'!M481,'R2'!M481,'R3'!M481)</f>
        <v>1.8022806767318711</v>
      </c>
      <c r="G481">
        <f>AVERAGE('R1'!N481,'R2'!N481,'R3'!N481)</f>
        <v>-0.93185610107314254</v>
      </c>
      <c r="H481">
        <f>AVERAGE('R1'!O481,'R2'!O481,'R3'!O481)</f>
        <v>-0.9575405848513826</v>
      </c>
      <c r="I481">
        <f t="shared" si="11"/>
        <v>4426.3869916666663</v>
      </c>
      <c r="K481">
        <f>_xlfn.STDEV.S('R1'!L481,'R2'!L481,'R3'!L481)</f>
        <v>2.3975596773428728E-3</v>
      </c>
      <c r="L481">
        <f>_xlfn.STDEV.S('R1'!M481,'R2'!M481,'R3'!M481)</f>
        <v>1.4041282435201612E-3</v>
      </c>
      <c r="M481">
        <f>_xlfn.STDEV.S('R1'!N481,'R2'!N481,'R3'!N481)</f>
        <v>2.3733259943619221E-3</v>
      </c>
      <c r="N481">
        <f>_xlfn.STDEV.S('R1'!O481,'R2'!O481,'R3'!O481)</f>
        <v>6.1335106382137822E-3</v>
      </c>
    </row>
    <row r="482" spans="1:14" x14ac:dyDescent="0.25">
      <c r="A482">
        <f>-'R1'!H482</f>
        <v>-36</v>
      </c>
      <c r="B482">
        <f>DEGREES(ATAN(-SIN(RADIANS(('R1'!I482)))/(COS(RADIANS(Sheet1!A482))*COS(RADIANS('R1'!I482)))))</f>
        <v>-41.925613925819086</v>
      </c>
      <c r="C482">
        <f>AVERAGE('R1'!J482,'R2'!J482,'R3'!J482)</f>
        <v>1.18</v>
      </c>
      <c r="D482">
        <f>AVERAGE('R1'!K482,'R2'!K482,'R3'!K482)</f>
        <v>22.127799749999998</v>
      </c>
      <c r="E482">
        <f>AVERAGE('R1'!L482,'R2'!L482,'R3'!L482)</f>
        <v>-1.5140584612850729</v>
      </c>
      <c r="F482">
        <f>AVERAGE('R1'!M482,'R2'!M482,'R3'!M482)</f>
        <v>1.7990936626502414</v>
      </c>
      <c r="G482">
        <f>AVERAGE('R1'!N482,'R2'!N482,'R3'!N482)</f>
        <v>-1.0050750144829654</v>
      </c>
      <c r="H482">
        <f>AVERAGE('R1'!O482,'R2'!O482,'R3'!O482)</f>
        <v>-1.0358775821973896</v>
      </c>
      <c r="I482">
        <f t="shared" si="11"/>
        <v>4351.8006175</v>
      </c>
      <c r="K482">
        <f>_xlfn.STDEV.S('R1'!L482,'R2'!L482,'R3'!L482)</f>
        <v>5.9335510050216389E-3</v>
      </c>
      <c r="L482">
        <f>_xlfn.STDEV.S('R1'!M482,'R2'!M482,'R3'!M482)</f>
        <v>3.9383990000022313E-3</v>
      </c>
      <c r="M482">
        <f>_xlfn.STDEV.S('R1'!N482,'R2'!N482,'R3'!N482)</f>
        <v>5.7388993548636831E-3</v>
      </c>
      <c r="N482">
        <f>_xlfn.STDEV.S('R1'!O482,'R2'!O482,'R3'!O482)</f>
        <v>4.6662120172273475E-3</v>
      </c>
    </row>
    <row r="483" spans="1:14" x14ac:dyDescent="0.25">
      <c r="A483">
        <f>-'R1'!H483</f>
        <v>-36</v>
      </c>
      <c r="B483">
        <f>DEGREES(ATAN(-SIN(RADIANS(('R1'!I483)))/(COS(RADIANS(Sheet1!A483))*COS(RADIANS('R1'!I483)))))</f>
        <v>-46.045688589723383</v>
      </c>
      <c r="C483">
        <f>AVERAGE('R1'!J483,'R2'!J483,'R3'!J483)</f>
        <v>1.18</v>
      </c>
      <c r="D483">
        <f>AVERAGE('R1'!K483,'R2'!K483,'R3'!K483)</f>
        <v>21.938911666666669</v>
      </c>
      <c r="E483">
        <f>AVERAGE('R1'!L483,'R2'!L483,'R3'!L483)</f>
        <v>-1.6248257407994562</v>
      </c>
      <c r="F483">
        <f>AVERAGE('R1'!M483,'R2'!M483,'R3'!M483)</f>
        <v>1.8199713540784466</v>
      </c>
      <c r="G483">
        <f>AVERAGE('R1'!N483,'R2'!N483,'R3'!N483)</f>
        <v>-1.1120141798892658</v>
      </c>
      <c r="H483">
        <f>AVERAGE('R1'!O483,'R2'!O483,'R3'!O483)</f>
        <v>-1.1342747012476375</v>
      </c>
      <c r="I483">
        <f t="shared" si="11"/>
        <v>4314.6526277777784</v>
      </c>
      <c r="K483">
        <f>_xlfn.STDEV.S('R1'!L483,'R2'!L483,'R3'!L483)</f>
        <v>6.0934264688638573E-3</v>
      </c>
      <c r="L483">
        <f>_xlfn.STDEV.S('R1'!M483,'R2'!M483,'R3'!M483)</f>
        <v>4.6878455257499526E-3</v>
      </c>
      <c r="M483">
        <f>_xlfn.STDEV.S('R1'!N483,'R2'!N483,'R3'!N483)</f>
        <v>2.5284394291807083E-3</v>
      </c>
      <c r="N483">
        <f>_xlfn.STDEV.S('R1'!O483,'R2'!O483,'R3'!O483)</f>
        <v>2.6419389854738682E-3</v>
      </c>
    </row>
    <row r="484" spans="1:14" x14ac:dyDescent="0.25">
      <c r="A484">
        <f>-'R1'!H484</f>
        <v>-36</v>
      </c>
      <c r="B484">
        <f>DEGREES(ATAN(-SIN(RADIANS(('R1'!I484)))/(COS(RADIANS(Sheet1!A484))*COS(RADIANS('R1'!I484)))))</f>
        <v>-50.045016920059574</v>
      </c>
      <c r="C484">
        <f>AVERAGE('R1'!J484,'R2'!J484,'R3'!J484)</f>
        <v>1.18</v>
      </c>
      <c r="D484">
        <f>AVERAGE('R1'!K484,'R2'!K484,'R3'!K484)</f>
        <v>22.005068083333338</v>
      </c>
      <c r="E484">
        <f>AVERAGE('R1'!L484,'R2'!L484,'R3'!L484)</f>
        <v>-1.7530528977522224</v>
      </c>
      <c r="F484">
        <f>AVERAGE('R1'!M484,'R2'!M484,'R3'!M484)</f>
        <v>1.8640858752856315</v>
      </c>
      <c r="G484">
        <f>AVERAGE('R1'!N484,'R2'!N484,'R3'!N484)</f>
        <v>-1.2564387083203779</v>
      </c>
      <c r="H484">
        <f>AVERAGE('R1'!O484,'R2'!O484,'R3'!O484)</f>
        <v>-1.251591208287375</v>
      </c>
      <c r="I484">
        <f t="shared" si="11"/>
        <v>4327.6633897222227</v>
      </c>
      <c r="K484">
        <f>_xlfn.STDEV.S('R1'!L484,'R2'!L484,'R3'!L484)</f>
        <v>4.5656451339314008E-3</v>
      </c>
      <c r="L484">
        <f>_xlfn.STDEV.S('R1'!M484,'R2'!M484,'R3'!M484)</f>
        <v>2.4322468855810489E-3</v>
      </c>
      <c r="M484">
        <f>_xlfn.STDEV.S('R1'!N484,'R2'!N484,'R3'!N484)</f>
        <v>4.6416234857743948E-3</v>
      </c>
      <c r="N484">
        <f>_xlfn.STDEV.S('R1'!O484,'R2'!O484,'R3'!O484)</f>
        <v>1.0328095467255563E-3</v>
      </c>
    </row>
    <row r="485" spans="1:14" x14ac:dyDescent="0.25">
      <c r="A485">
        <f>-'R1'!H485</f>
        <v>-40</v>
      </c>
      <c r="B485">
        <f>DEGREES(ATAN(-SIN(RADIANS(('R1'!I485)))/(COS(RADIANS(Sheet1!A485))*COS(RADIANS('R1'!I485)))))</f>
        <v>51.576359961556868</v>
      </c>
      <c r="C485">
        <f>AVERAGE('R1'!J485,'R2'!J485,'R3'!J485)</f>
        <v>1.18</v>
      </c>
      <c r="D485">
        <f>AVERAGE('R1'!K485,'R2'!K485,'R3'!K485)</f>
        <v>22.101797916666669</v>
      </c>
      <c r="E485">
        <f>AVERAGE('R1'!L485,'R2'!L485,'R3'!L485)</f>
        <v>2.0015079695394342</v>
      </c>
      <c r="F485">
        <f>AVERAGE('R1'!M485,'R2'!M485,'R3'!M485)</f>
        <v>2.1797581150929486</v>
      </c>
      <c r="G485">
        <f>AVERAGE('R1'!N485,'R2'!N485,'R3'!N485)</f>
        <v>-1.6652288930028838</v>
      </c>
      <c r="H485">
        <f>AVERAGE('R1'!O485,'R2'!O485,'R3'!O485)</f>
        <v>-1.5689069742945916</v>
      </c>
      <c r="I485">
        <f t="shared" si="11"/>
        <v>4346.6869236111115</v>
      </c>
      <c r="K485">
        <f>_xlfn.STDEV.S('R1'!L485,'R2'!L485,'R3'!L485)</f>
        <v>5.1719872352351155E-3</v>
      </c>
      <c r="L485">
        <f>_xlfn.STDEV.S('R1'!M485,'R2'!M485,'R3'!M485)</f>
        <v>7.2518583936800954E-3</v>
      </c>
      <c r="M485">
        <f>_xlfn.STDEV.S('R1'!N485,'R2'!N485,'R3'!N485)</f>
        <v>1.2423515647412915E-2</v>
      </c>
      <c r="N485">
        <f>_xlfn.STDEV.S('R1'!O485,'R2'!O485,'R3'!O485)</f>
        <v>5.2833584128595219E-3</v>
      </c>
    </row>
    <row r="486" spans="1:14" x14ac:dyDescent="0.25">
      <c r="A486">
        <f>-'R1'!H486</f>
        <v>-40</v>
      </c>
      <c r="B486">
        <f>DEGREES(ATAN(-SIN(RADIANS(('R1'!I486)))/(COS(RADIANS(Sheet1!A486))*COS(RADIANS('R1'!I486)))))</f>
        <v>47.605913955135343</v>
      </c>
      <c r="C486">
        <f>AVERAGE('R1'!J486,'R2'!J486,'R3'!J486)</f>
        <v>1.18</v>
      </c>
      <c r="D486">
        <f>AVERAGE('R1'!K486,'R2'!K486,'R3'!K486)</f>
        <v>22.259423916666666</v>
      </c>
      <c r="E486">
        <f>AVERAGE('R1'!L486,'R2'!L486,'R3'!L486)</f>
        <v>1.8621382571542953</v>
      </c>
      <c r="F486">
        <f>AVERAGE('R1'!M486,'R2'!M486,'R3'!M486)</f>
        <v>2.0753411240542374</v>
      </c>
      <c r="G486">
        <f>AVERAGE('R1'!N486,'R2'!N486,'R3'!N486)</f>
        <v>-1.4604670250145488</v>
      </c>
      <c r="H486">
        <f>AVERAGE('R1'!O486,'R2'!O486,'R3'!O486)</f>
        <v>-1.4238218569369714</v>
      </c>
      <c r="I486">
        <f t="shared" si="11"/>
        <v>4377.6867036111107</v>
      </c>
      <c r="K486">
        <f>_xlfn.STDEV.S('R1'!L486,'R2'!L486,'R3'!L486)</f>
        <v>2.7409118965320634E-3</v>
      </c>
      <c r="L486">
        <f>_xlfn.STDEV.S('R1'!M486,'R2'!M486,'R3'!M486)</f>
        <v>9.2130038211477149E-3</v>
      </c>
      <c r="M486">
        <f>_xlfn.STDEV.S('R1'!N486,'R2'!N486,'R3'!N486)</f>
        <v>1.0591442423475999E-2</v>
      </c>
      <c r="N486">
        <f>_xlfn.STDEV.S('R1'!O486,'R2'!O486,'R3'!O486)</f>
        <v>2.7567172052762002E-3</v>
      </c>
    </row>
    <row r="487" spans="1:14" x14ac:dyDescent="0.25">
      <c r="A487">
        <f>-'R1'!H487</f>
        <v>-40</v>
      </c>
      <c r="B487">
        <f>DEGREES(ATAN(-SIN(RADIANS(('R1'!I487)))/(COS(RADIANS(Sheet1!A487))*COS(RADIANS('R1'!I487)))))</f>
        <v>43.48399800633365</v>
      </c>
      <c r="C487">
        <f>AVERAGE('R1'!J487,'R2'!J487,'R3'!J487)</f>
        <v>1.18</v>
      </c>
      <c r="D487">
        <f>AVERAGE('R1'!K487,'R2'!K487,'R3'!K487)</f>
        <v>22.396843999999998</v>
      </c>
      <c r="E487">
        <f>AVERAGE('R1'!L487,'R2'!L487,'R3'!L487)</f>
        <v>1.745616472483406</v>
      </c>
      <c r="F487">
        <f>AVERAGE('R1'!M487,'R2'!M487,'R3'!M487)</f>
        <v>2.0079066282332385</v>
      </c>
      <c r="G487">
        <f>AVERAGE('R1'!N487,'R2'!N487,'R3'!N487)</f>
        <v>-1.313504718093808</v>
      </c>
      <c r="H487">
        <f>AVERAGE('R1'!O487,'R2'!O487,'R3'!O487)</f>
        <v>-1.3076576182019719</v>
      </c>
      <c r="I487">
        <f t="shared" si="11"/>
        <v>4404.712653333333</v>
      </c>
      <c r="K487">
        <f>_xlfn.STDEV.S('R1'!L487,'R2'!L487,'R3'!L487)</f>
        <v>4.2228162027713734E-3</v>
      </c>
      <c r="L487">
        <f>_xlfn.STDEV.S('R1'!M487,'R2'!M487,'R3'!M487)</f>
        <v>6.601673672509991E-3</v>
      </c>
      <c r="M487">
        <f>_xlfn.STDEV.S('R1'!N487,'R2'!N487,'R3'!N487)</f>
        <v>7.3361883377827623E-3</v>
      </c>
      <c r="N487">
        <f>_xlfn.STDEV.S('R1'!O487,'R2'!O487,'R3'!O487)</f>
        <v>3.2821406217114907E-3</v>
      </c>
    </row>
    <row r="488" spans="1:14" x14ac:dyDescent="0.25">
      <c r="A488">
        <f>-'R1'!H488</f>
        <v>-40</v>
      </c>
      <c r="B488">
        <f>DEGREES(ATAN(-SIN(RADIANS(('R1'!I488)))/(COS(RADIANS(Sheet1!A488))*COS(RADIANS('R1'!I488)))))</f>
        <v>39.204435233296593</v>
      </c>
      <c r="C488">
        <f>AVERAGE('R1'!J488,'R2'!J488,'R3'!J488)</f>
        <v>1.18</v>
      </c>
      <c r="D488">
        <f>AVERAGE('R1'!K488,'R2'!K488,'R3'!K488)</f>
        <v>22.459864999999997</v>
      </c>
      <c r="E488">
        <f>AVERAGE('R1'!L488,'R2'!L488,'R3'!L488)</f>
        <v>1.6370305795149551</v>
      </c>
      <c r="F488">
        <f>AVERAGE('R1'!M488,'R2'!M488,'R3'!M488)</f>
        <v>1.9837158789948692</v>
      </c>
      <c r="G488">
        <f>AVERAGE('R1'!N488,'R2'!N488,'R3'!N488)</f>
        <v>-1.2120848687194874</v>
      </c>
      <c r="H488">
        <f>AVERAGE('R1'!O488,'R2'!O488,'R3'!O488)</f>
        <v>-1.2108781723927193</v>
      </c>
      <c r="I488">
        <f t="shared" si="11"/>
        <v>4417.1067833333327</v>
      </c>
      <c r="K488">
        <f>_xlfn.STDEV.S('R1'!L488,'R2'!L488,'R3'!L488)</f>
        <v>4.2693772086010648E-3</v>
      </c>
      <c r="L488">
        <f>_xlfn.STDEV.S('R1'!M488,'R2'!M488,'R3'!M488)</f>
        <v>6.0346978005944877E-3</v>
      </c>
      <c r="M488">
        <f>_xlfn.STDEV.S('R1'!N488,'R2'!N488,'R3'!N488)</f>
        <v>4.5564329087494871E-3</v>
      </c>
      <c r="N488">
        <f>_xlfn.STDEV.S('R1'!O488,'R2'!O488,'R3'!O488)</f>
        <v>7.153200801077105E-3</v>
      </c>
    </row>
    <row r="489" spans="1:14" x14ac:dyDescent="0.25">
      <c r="A489">
        <f>-'R1'!H489</f>
        <v>-40</v>
      </c>
      <c r="B489">
        <f>DEGREES(ATAN(-SIN(RADIANS(('R1'!I489)))/(COS(RADIANS(Sheet1!A489))*COS(RADIANS('R1'!I489)))))</f>
        <v>34.764413107862225</v>
      </c>
      <c r="C489">
        <f>AVERAGE('R1'!J489,'R2'!J489,'R3'!J489)</f>
        <v>1.18</v>
      </c>
      <c r="D489">
        <f>AVERAGE('R1'!K489,'R2'!K489,'R3'!K489)</f>
        <v>22.537153166666666</v>
      </c>
      <c r="E489">
        <f>AVERAGE('R1'!L489,'R2'!L489,'R3'!L489)</f>
        <v>1.5200867898444095</v>
      </c>
      <c r="F489">
        <f>AVERAGE('R1'!M489,'R2'!M489,'R3'!M489)</f>
        <v>1.9895571096471596</v>
      </c>
      <c r="G489">
        <f>AVERAGE('R1'!N489,'R2'!N489,'R3'!N489)</f>
        <v>-1.137949893149008</v>
      </c>
      <c r="H489">
        <f>AVERAGE('R1'!O489,'R2'!O489,'R3'!O489)</f>
        <v>-1.1235339011185916</v>
      </c>
      <c r="I489">
        <f t="shared" si="11"/>
        <v>4432.3067894444448</v>
      </c>
      <c r="K489">
        <f>_xlfn.STDEV.S('R1'!L489,'R2'!L489,'R3'!L489)</f>
        <v>6.1683550686344492E-3</v>
      </c>
      <c r="L489">
        <f>_xlfn.STDEV.S('R1'!M489,'R2'!M489,'R3'!M489)</f>
        <v>9.9343515624182805E-4</v>
      </c>
      <c r="M489">
        <f>_xlfn.STDEV.S('R1'!N489,'R2'!N489,'R3'!N489)</f>
        <v>5.3781701338219334E-3</v>
      </c>
      <c r="N489">
        <f>_xlfn.STDEV.S('R1'!O489,'R2'!O489,'R3'!O489)</f>
        <v>1.9103343196434435E-3</v>
      </c>
    </row>
    <row r="490" spans="1:14" x14ac:dyDescent="0.25">
      <c r="A490">
        <f>-'R1'!H490</f>
        <v>-40</v>
      </c>
      <c r="B490">
        <f>DEGREES(ATAN(-SIN(RADIANS(('R1'!I490)))/(COS(RADIANS(Sheet1!A490))*COS(RADIANS('R1'!I490)))))</f>
        <v>30.165358572591657</v>
      </c>
      <c r="C490">
        <f>AVERAGE('R1'!J490,'R2'!J490,'R3'!J490)</f>
        <v>1.18</v>
      </c>
      <c r="D490">
        <f>AVERAGE('R1'!K490,'R2'!K490,'R3'!K490)</f>
        <v>22.228320666666665</v>
      </c>
      <c r="E490">
        <f>AVERAGE('R1'!L490,'R2'!L490,'R3'!L490)</f>
        <v>1.4164457261870178</v>
      </c>
      <c r="F490">
        <f>AVERAGE('R1'!M490,'R2'!M490,'R3'!M490)</f>
        <v>2.0236016763369959</v>
      </c>
      <c r="G490">
        <f>AVERAGE('R1'!N490,'R2'!N490,'R3'!N490)</f>
        <v>-1.1010288276447397</v>
      </c>
      <c r="H490">
        <f>AVERAGE('R1'!O490,'R2'!O490,'R3'!O490)</f>
        <v>-1.0511673381350404</v>
      </c>
      <c r="I490">
        <f t="shared" si="11"/>
        <v>4371.5697311111107</v>
      </c>
      <c r="K490">
        <f>_xlfn.STDEV.S('R1'!L490,'R2'!L490,'R3'!L490)</f>
        <v>2.6259782492268169E-3</v>
      </c>
      <c r="L490">
        <f>_xlfn.STDEV.S('R1'!M490,'R2'!M490,'R3'!M490)</f>
        <v>2.3535565329734229E-3</v>
      </c>
      <c r="M490">
        <f>_xlfn.STDEV.S('R1'!N490,'R2'!N490,'R3'!N490)</f>
        <v>5.0080721757201751E-3</v>
      </c>
      <c r="N490">
        <f>_xlfn.STDEV.S('R1'!O490,'R2'!O490,'R3'!O490)</f>
        <v>1.036552878706091E-3</v>
      </c>
    </row>
    <row r="491" spans="1:14" x14ac:dyDescent="0.25">
      <c r="A491">
        <f>-'R1'!H491</f>
        <v>-40</v>
      </c>
      <c r="B491">
        <f>DEGREES(ATAN(-SIN(RADIANS(('R1'!I491)))/(COS(RADIANS(Sheet1!A491))*COS(RADIANS('R1'!I491)))))</f>
        <v>25.413766880049252</v>
      </c>
      <c r="C491">
        <f>AVERAGE('R1'!J491,'R2'!J491,'R3'!J491)</f>
        <v>1.18</v>
      </c>
      <c r="D491">
        <f>AVERAGE('R1'!K491,'R2'!K491,'R3'!K491)</f>
        <v>22.009085583333334</v>
      </c>
      <c r="E491">
        <f>AVERAGE('R1'!L491,'R2'!L491,'R3'!L491)</f>
        <v>1.296990169658824</v>
      </c>
      <c r="F491">
        <f>AVERAGE('R1'!M491,'R2'!M491,'R3'!M491)</f>
        <v>2.0745582743816842</v>
      </c>
      <c r="G491">
        <f>AVERAGE('R1'!N491,'R2'!N491,'R3'!N491)</f>
        <v>-1.0830329635400198</v>
      </c>
      <c r="H491">
        <f>AVERAGE('R1'!O491,'R2'!O491,'R3'!O491)</f>
        <v>-0.98214713289824729</v>
      </c>
      <c r="I491">
        <f t="shared" si="11"/>
        <v>4328.4534980555554</v>
      </c>
      <c r="K491">
        <f>_xlfn.STDEV.S('R1'!L491,'R2'!L491,'R3'!L491)</f>
        <v>5.8824197239054903E-4</v>
      </c>
      <c r="L491">
        <f>_xlfn.STDEV.S('R1'!M491,'R2'!M491,'R3'!M491)</f>
        <v>1.7527346478460935E-3</v>
      </c>
      <c r="M491">
        <f>_xlfn.STDEV.S('R1'!N491,'R2'!N491,'R3'!N491)</f>
        <v>2.4246125070511342E-3</v>
      </c>
      <c r="N491">
        <f>_xlfn.STDEV.S('R1'!O491,'R2'!O491,'R3'!O491)</f>
        <v>3.3169483675864202E-3</v>
      </c>
    </row>
    <row r="492" spans="1:14" x14ac:dyDescent="0.25">
      <c r="A492">
        <f>-'R1'!H492</f>
        <v>-40</v>
      </c>
      <c r="B492">
        <f>DEGREES(ATAN(-SIN(RADIANS(('R1'!I492)))/(COS(RADIANS(Sheet1!A492))*COS(RADIANS('R1'!I492)))))</f>
        <v>20.5218555971705</v>
      </c>
      <c r="C492">
        <f>AVERAGE('R1'!J492,'R2'!J492,'R3'!J492)</f>
        <v>1.18</v>
      </c>
      <c r="D492">
        <f>AVERAGE('R1'!K492,'R2'!K492,'R3'!K492)</f>
        <v>21.901415666666665</v>
      </c>
      <c r="E492">
        <f>AVERAGE('R1'!L492,'R2'!L492,'R3'!L492)</f>
        <v>1.1389997528898308</v>
      </c>
      <c r="F492">
        <f>AVERAGE('R1'!M492,'R2'!M492,'R3'!M492)</f>
        <v>2.1652160171203398</v>
      </c>
      <c r="G492">
        <f>AVERAGE('R1'!N492,'R2'!N492,'R3'!N492)</f>
        <v>-1.0803119134432493</v>
      </c>
      <c r="H492">
        <f>AVERAGE('R1'!O492,'R2'!O492,'R3'!O492)</f>
        <v>-0.92149527458747704</v>
      </c>
      <c r="I492">
        <f t="shared" si="11"/>
        <v>4307.278414444444</v>
      </c>
      <c r="K492">
        <f>_xlfn.STDEV.S('R1'!L492,'R2'!L492,'R3'!L492)</f>
        <v>4.0490971077921101E-3</v>
      </c>
      <c r="L492">
        <f>_xlfn.STDEV.S('R1'!M492,'R2'!M492,'R3'!M492)</f>
        <v>9.7668052392775526E-3</v>
      </c>
      <c r="M492">
        <f>_xlfn.STDEV.S('R1'!N492,'R2'!N492,'R3'!N492)</f>
        <v>5.4991255261066883E-3</v>
      </c>
      <c r="N492">
        <f>_xlfn.STDEV.S('R1'!O492,'R2'!O492,'R3'!O492)</f>
        <v>2.7230811217343865E-3</v>
      </c>
    </row>
    <row r="493" spans="1:14" x14ac:dyDescent="0.25">
      <c r="A493">
        <f>-'R1'!H493</f>
        <v>-40</v>
      </c>
      <c r="B493">
        <f>DEGREES(ATAN(-SIN(RADIANS(('R1'!I493)))/(COS(RADIANS(Sheet1!A493))*COS(RADIANS('R1'!I493)))))</f>
        <v>15.507892018560797</v>
      </c>
      <c r="C493">
        <f>AVERAGE('R1'!J493,'R2'!J493,'R3'!J493)</f>
        <v>1.18</v>
      </c>
      <c r="D493">
        <f>AVERAGE('R1'!K493,'R2'!K493,'R3'!K493)</f>
        <v>22.096521666666664</v>
      </c>
      <c r="E493">
        <f>AVERAGE('R1'!L493,'R2'!L493,'R3'!L493)</f>
        <v>0.95007964733855055</v>
      </c>
      <c r="F493">
        <f>AVERAGE('R1'!M493,'R2'!M493,'R3'!M493)</f>
        <v>2.2919865247635753</v>
      </c>
      <c r="G493">
        <f>AVERAGE('R1'!N493,'R2'!N493,'R3'!N493)</f>
        <v>-1.0996140965217318</v>
      </c>
      <c r="H493">
        <f>AVERAGE('R1'!O493,'R2'!O493,'R3'!O493)</f>
        <v>-0.87272522232225125</v>
      </c>
      <c r="I493">
        <f t="shared" si="11"/>
        <v>4345.6492611111107</v>
      </c>
      <c r="K493">
        <f>_xlfn.STDEV.S('R1'!L493,'R2'!L493,'R3'!L493)</f>
        <v>2.1216982556344875E-3</v>
      </c>
      <c r="L493">
        <f>_xlfn.STDEV.S('R1'!M493,'R2'!M493,'R3'!M493)</f>
        <v>1.0190395140641802E-2</v>
      </c>
      <c r="M493">
        <f>_xlfn.STDEV.S('R1'!N493,'R2'!N493,'R3'!N493)</f>
        <v>8.6419874039043547E-3</v>
      </c>
      <c r="N493">
        <f>_xlfn.STDEV.S('R1'!O493,'R2'!O493,'R3'!O493)</f>
        <v>1.8641731996140705E-3</v>
      </c>
    </row>
    <row r="494" spans="1:14" x14ac:dyDescent="0.25">
      <c r="A494">
        <f>-'R1'!H494</f>
        <v>-40</v>
      </c>
      <c r="B494">
        <f>DEGREES(ATAN(-SIN(RADIANS(('R1'!I494)))/(COS(RADIANS(Sheet1!A494))*COS(RADIANS('R1'!I494)))))</f>
        <v>10.396047080877794</v>
      </c>
      <c r="C494">
        <f>AVERAGE('R1'!J494,'R2'!J494,'R3'!J494)</f>
        <v>1.18</v>
      </c>
      <c r="D494">
        <f>AVERAGE('R1'!K494,'R2'!K494,'R3'!K494)</f>
        <v>22.325993083333334</v>
      </c>
      <c r="E494">
        <f>AVERAGE('R1'!L494,'R2'!L494,'R3'!L494)</f>
        <v>0.72262006312984006</v>
      </c>
      <c r="F494">
        <f>AVERAGE('R1'!M494,'R2'!M494,'R3'!M494)</f>
        <v>2.4507021189729303</v>
      </c>
      <c r="G494">
        <f>AVERAGE('R1'!N494,'R2'!N494,'R3'!N494)</f>
        <v>-1.1361711571445061</v>
      </c>
      <c r="H494">
        <f>AVERAGE('R1'!O494,'R2'!O494,'R3'!O494)</f>
        <v>-0.83674371479037946</v>
      </c>
      <c r="I494">
        <f t="shared" si="11"/>
        <v>4390.7786397222226</v>
      </c>
      <c r="K494">
        <f>_xlfn.STDEV.S('R1'!L494,'R2'!L494,'R3'!L494)</f>
        <v>3.7602041208870379E-3</v>
      </c>
      <c r="L494">
        <f>_xlfn.STDEV.S('R1'!M494,'R2'!M494,'R3'!M494)</f>
        <v>8.8469068059982506E-3</v>
      </c>
      <c r="M494">
        <f>_xlfn.STDEV.S('R1'!N494,'R2'!N494,'R3'!N494)</f>
        <v>3.7641888018011319E-3</v>
      </c>
      <c r="N494">
        <f>_xlfn.STDEV.S('R1'!O494,'R2'!O494,'R3'!O494)</f>
        <v>7.9531468182100027E-3</v>
      </c>
    </row>
    <row r="495" spans="1:14" x14ac:dyDescent="0.25">
      <c r="A495">
        <f>-'R1'!H495</f>
        <v>-40</v>
      </c>
      <c r="B495">
        <f>DEGREES(ATAN(-SIN(RADIANS(('R1'!I495)))/(COS(RADIANS(Sheet1!A495))*COS(RADIANS('R1'!I495)))))</f>
        <v>5.2156742986237852</v>
      </c>
      <c r="C495">
        <f>AVERAGE('R1'!J495,'R2'!J495,'R3'!J495)</f>
        <v>1.18</v>
      </c>
      <c r="D495">
        <f>AVERAGE('R1'!K495,'R2'!K495,'R3'!K495)</f>
        <v>22.422977166666669</v>
      </c>
      <c r="E495">
        <f>AVERAGE('R1'!L495,'R2'!L495,'R3'!L495)</f>
        <v>0.4551950942259011</v>
      </c>
      <c r="F495">
        <f>AVERAGE('R1'!M495,'R2'!M495,'R3'!M495)</f>
        <v>2.6477475401123152</v>
      </c>
      <c r="G495">
        <f>AVERAGE('R1'!N495,'R2'!N495,'R3'!N495)</f>
        <v>-1.2029490168454291</v>
      </c>
      <c r="H495">
        <f>AVERAGE('R1'!O495,'R2'!O495,'R3'!O495)</f>
        <v>-0.80986208062656762</v>
      </c>
      <c r="I495">
        <f t="shared" si="11"/>
        <v>4409.8521761111115</v>
      </c>
      <c r="K495">
        <f>_xlfn.STDEV.S('R1'!L495,'R2'!L495,'R3'!L495)</f>
        <v>5.5591327008646186E-3</v>
      </c>
      <c r="L495">
        <f>_xlfn.STDEV.S('R1'!M495,'R2'!M495,'R3'!M495)</f>
        <v>5.4412464168195514E-3</v>
      </c>
      <c r="M495">
        <f>_xlfn.STDEV.S('R1'!N495,'R2'!N495,'R3'!N495)</f>
        <v>2.6901253098243435E-3</v>
      </c>
      <c r="N495">
        <f>_xlfn.STDEV.S('R1'!O495,'R2'!O495,'R3'!O495)</f>
        <v>4.1721886105037026E-3</v>
      </c>
    </row>
    <row r="496" spans="1:14" x14ac:dyDescent="0.25">
      <c r="A496">
        <f>-'R1'!H496</f>
        <v>-40</v>
      </c>
      <c r="B496">
        <f>DEGREES(ATAN(-SIN(RADIANS(('R1'!I496)))/(COS(RADIANS(Sheet1!A496))*COS(RADIANS('R1'!I496)))))</f>
        <v>0</v>
      </c>
      <c r="C496">
        <f>AVERAGE('R1'!J496,'R2'!J496,'R3'!J496)</f>
        <v>1.18</v>
      </c>
      <c r="D496">
        <f>AVERAGE('R1'!K496,'R2'!K496,'R3'!K496)</f>
        <v>22.544473</v>
      </c>
      <c r="E496">
        <f>AVERAGE('R1'!L496,'R2'!L496,'R3'!L496)</f>
        <v>0.14338550940690573</v>
      </c>
      <c r="F496">
        <f>AVERAGE('R1'!M496,'R2'!M496,'R3'!M496)</f>
        <v>2.888538601067173</v>
      </c>
      <c r="G496">
        <f>AVERAGE('R1'!N496,'R2'!N496,'R3'!N496)</f>
        <v>-1.3027733857979289</v>
      </c>
      <c r="H496">
        <f>AVERAGE('R1'!O496,'R2'!O496,'R3'!O496)</f>
        <v>-0.7864038099989431</v>
      </c>
      <c r="I496">
        <f t="shared" si="11"/>
        <v>4433.7463566666665</v>
      </c>
      <c r="K496">
        <f>_xlfn.STDEV.S('R1'!L496,'R2'!L496,'R3'!L496)</f>
        <v>2.4438570312941268E-3</v>
      </c>
      <c r="L496">
        <f>_xlfn.STDEV.S('R1'!M496,'R2'!M496,'R3'!M496)</f>
        <v>1.8445000857693057E-3</v>
      </c>
      <c r="M496">
        <f>_xlfn.STDEV.S('R1'!N496,'R2'!N496,'R3'!N496)</f>
        <v>2.5667339324693078E-3</v>
      </c>
      <c r="N496">
        <f>_xlfn.STDEV.S('R1'!O496,'R2'!O496,'R3'!O496)</f>
        <v>3.0513002810621335E-3</v>
      </c>
    </row>
    <row r="497" spans="1:14" x14ac:dyDescent="0.25">
      <c r="A497">
        <f>-'R1'!H497</f>
        <v>-40</v>
      </c>
      <c r="B497">
        <f>DEGREES(ATAN(-SIN(RADIANS(('R1'!I497)))/(COS(RADIANS(Sheet1!A497))*COS(RADIANS('R1'!I497)))))</f>
        <v>-5.2156742986237852</v>
      </c>
      <c r="C497">
        <f>AVERAGE('R1'!J497,'R2'!J497,'R3'!J497)</f>
        <v>1.18</v>
      </c>
      <c r="D497">
        <f>AVERAGE('R1'!K497,'R2'!K497,'R3'!K497)</f>
        <v>22.407256416666666</v>
      </c>
      <c r="E497">
        <f>AVERAGE('R1'!L497,'R2'!L497,'R3'!L497)</f>
        <v>-0.19689312134585427</v>
      </c>
      <c r="F497">
        <f>AVERAGE('R1'!M497,'R2'!M497,'R3'!M497)</f>
        <v>2.8642723655116971</v>
      </c>
      <c r="G497">
        <f>AVERAGE('R1'!N497,'R2'!N497,'R3'!N497)</f>
        <v>-1.2963583645296886</v>
      </c>
      <c r="H497">
        <f>AVERAGE('R1'!O497,'R2'!O497,'R3'!O497)</f>
        <v>-0.7906099727822703</v>
      </c>
      <c r="I497">
        <f t="shared" si="11"/>
        <v>4406.7604286111109</v>
      </c>
      <c r="K497">
        <f>_xlfn.STDEV.S('R1'!L497,'R2'!L497,'R3'!L497)</f>
        <v>6.4155275188172685E-3</v>
      </c>
      <c r="L497">
        <f>_xlfn.STDEV.S('R1'!M497,'R2'!M497,'R3'!M497)</f>
        <v>9.8349245327383605E-3</v>
      </c>
      <c r="M497">
        <f>_xlfn.STDEV.S('R1'!N497,'R2'!N497,'R3'!N497)</f>
        <v>3.8809972464704644E-3</v>
      </c>
      <c r="N497">
        <f>_xlfn.STDEV.S('R1'!O497,'R2'!O497,'R3'!O497)</f>
        <v>3.6449869155844583E-3</v>
      </c>
    </row>
    <row r="498" spans="1:14" x14ac:dyDescent="0.25">
      <c r="A498">
        <f>-'R1'!H498</f>
        <v>-40</v>
      </c>
      <c r="B498">
        <f>DEGREES(ATAN(-SIN(RADIANS(('R1'!I498)))/(COS(RADIANS(Sheet1!A498))*COS(RADIANS('R1'!I498)))))</f>
        <v>-10.396047080877794</v>
      </c>
      <c r="C498">
        <f>AVERAGE('R1'!J498,'R2'!J498,'R3'!J498)</f>
        <v>1.18</v>
      </c>
      <c r="D498">
        <f>AVERAGE('R1'!K498,'R2'!K498,'R3'!K498)</f>
        <v>22.508101249999999</v>
      </c>
      <c r="E498">
        <f>AVERAGE('R1'!L498,'R2'!L498,'R3'!L498)</f>
        <v>-0.48253150399350497</v>
      </c>
      <c r="F498">
        <f>AVERAGE('R1'!M498,'R2'!M498,'R3'!M498)</f>
        <v>2.6575322482360435</v>
      </c>
      <c r="G498">
        <f>AVERAGE('R1'!N498,'R2'!N498,'R3'!N498)</f>
        <v>-1.2136038219062153</v>
      </c>
      <c r="H498">
        <f>AVERAGE('R1'!O498,'R2'!O498,'R3'!O498)</f>
        <v>-0.8211146209836192</v>
      </c>
      <c r="I498">
        <f t="shared" si="11"/>
        <v>4426.5932458333327</v>
      </c>
      <c r="K498">
        <f>_xlfn.STDEV.S('R1'!L498,'R2'!L498,'R3'!L498)</f>
        <v>5.339382364522134E-3</v>
      </c>
      <c r="L498">
        <f>_xlfn.STDEV.S('R1'!M498,'R2'!M498,'R3'!M498)</f>
        <v>1.3367994548069312E-2</v>
      </c>
      <c r="M498">
        <f>_xlfn.STDEV.S('R1'!N498,'R2'!N498,'R3'!N498)</f>
        <v>6.3632716315517868E-3</v>
      </c>
      <c r="N498">
        <f>_xlfn.STDEV.S('R1'!O498,'R2'!O498,'R3'!O498)</f>
        <v>3.398927434128595E-3</v>
      </c>
    </row>
    <row r="499" spans="1:14" x14ac:dyDescent="0.25">
      <c r="A499">
        <f>-'R1'!H499</f>
        <v>-40</v>
      </c>
      <c r="B499">
        <f>DEGREES(ATAN(-SIN(RADIANS(('R1'!I499)))/(COS(RADIANS(Sheet1!A499))*COS(RADIANS('R1'!I499)))))</f>
        <v>-15.507892018560797</v>
      </c>
      <c r="C499">
        <f>AVERAGE('R1'!J499,'R2'!J499,'R3'!J499)</f>
        <v>1.18</v>
      </c>
      <c r="D499">
        <f>AVERAGE('R1'!K499,'R2'!K499,'R3'!K499)</f>
        <v>22.402239916666662</v>
      </c>
      <c r="E499">
        <f>AVERAGE('R1'!L499,'R2'!L499,'R3'!L499)</f>
        <v>-0.72576382614083634</v>
      </c>
      <c r="F499">
        <f>AVERAGE('R1'!M499,'R2'!M499,'R3'!M499)</f>
        <v>2.4802790313405225</v>
      </c>
      <c r="G499">
        <f>AVERAGE('R1'!N499,'R2'!N499,'R3'!N499)</f>
        <v>-1.1533465988832825</v>
      </c>
      <c r="H499">
        <f>AVERAGE('R1'!O499,'R2'!O499,'R3'!O499)</f>
        <v>-0.8515762203134184</v>
      </c>
      <c r="I499">
        <f t="shared" si="11"/>
        <v>4405.7738502777775</v>
      </c>
      <c r="K499">
        <f>_xlfn.STDEV.S('R1'!L499,'R2'!L499,'R3'!L499)</f>
        <v>3.7985456799555814E-4</v>
      </c>
      <c r="L499">
        <f>_xlfn.STDEV.S('R1'!M499,'R2'!M499,'R3'!M499)</f>
        <v>1.6544091022361415E-2</v>
      </c>
      <c r="M499">
        <f>_xlfn.STDEV.S('R1'!N499,'R2'!N499,'R3'!N499)</f>
        <v>1.3356317892473452E-2</v>
      </c>
      <c r="N499">
        <f>_xlfn.STDEV.S('R1'!O499,'R2'!O499,'R3'!O499)</f>
        <v>1.8468692881357272E-3</v>
      </c>
    </row>
    <row r="500" spans="1:14" x14ac:dyDescent="0.25">
      <c r="A500">
        <f>-'R1'!H500</f>
        <v>-40</v>
      </c>
      <c r="B500">
        <f>DEGREES(ATAN(-SIN(RADIANS(('R1'!I500)))/(COS(RADIANS(Sheet1!A500))*COS(RADIANS('R1'!I500)))))</f>
        <v>-20.5218555971705</v>
      </c>
      <c r="C500">
        <f>AVERAGE('R1'!J500,'R2'!J500,'R3'!J500)</f>
        <v>1.18</v>
      </c>
      <c r="D500">
        <f>AVERAGE('R1'!K500,'R2'!K500,'R3'!K500)</f>
        <v>22.081455583333334</v>
      </c>
      <c r="E500">
        <f>AVERAGE('R1'!L500,'R2'!L500,'R3'!L500)</f>
        <v>-0.92856524493326686</v>
      </c>
      <c r="F500">
        <f>AVERAGE('R1'!M500,'R2'!M500,'R3'!M500)</f>
        <v>2.3574161488245169</v>
      </c>
      <c r="G500">
        <f>AVERAGE('R1'!N500,'R2'!N500,'R3'!N500)</f>
        <v>-1.1316060171487743</v>
      </c>
      <c r="H500">
        <f>AVERAGE('R1'!O500,'R2'!O500,'R3'!O500)</f>
        <v>-0.8991391937486618</v>
      </c>
      <c r="I500">
        <f t="shared" si="11"/>
        <v>4342.6862647222224</v>
      </c>
      <c r="K500">
        <f>_xlfn.STDEV.S('R1'!L500,'R2'!L500,'R3'!L500)</f>
        <v>2.628881293031481E-3</v>
      </c>
      <c r="L500">
        <f>_xlfn.STDEV.S('R1'!M500,'R2'!M500,'R3'!M500)</f>
        <v>8.653185237552416E-3</v>
      </c>
      <c r="M500">
        <f>_xlfn.STDEV.S('R1'!N500,'R2'!N500,'R3'!N500)</f>
        <v>7.2601824356152414E-3</v>
      </c>
      <c r="N500">
        <f>_xlfn.STDEV.S('R1'!O500,'R2'!O500,'R3'!O500)</f>
        <v>1.2820878424287965E-3</v>
      </c>
    </row>
    <row r="501" spans="1:14" x14ac:dyDescent="0.25">
      <c r="A501">
        <f>-'R1'!H501</f>
        <v>-40</v>
      </c>
      <c r="B501">
        <f>DEGREES(ATAN(-SIN(RADIANS(('R1'!I501)))/(COS(RADIANS(Sheet1!A501))*COS(RADIANS('R1'!I501)))))</f>
        <v>-25.413766880049252</v>
      </c>
      <c r="C501">
        <f>AVERAGE('R1'!J501,'R2'!J501,'R3'!J501)</f>
        <v>1.18</v>
      </c>
      <c r="D501">
        <f>AVERAGE('R1'!K501,'R2'!K501,'R3'!K501)</f>
        <v>22.100635166666667</v>
      </c>
      <c r="E501">
        <f>AVERAGE('R1'!L501,'R2'!L501,'R3'!L501)</f>
        <v>-1.1116726245991932</v>
      </c>
      <c r="F501">
        <f>AVERAGE('R1'!M501,'R2'!M501,'R3'!M501)</f>
        <v>2.2470655817266629</v>
      </c>
      <c r="G501">
        <f>AVERAGE('R1'!N501,'R2'!N501,'R3'!N501)</f>
        <v>-1.124519019330507</v>
      </c>
      <c r="H501">
        <f>AVERAGE('R1'!O501,'R2'!O501,'R3'!O501)</f>
        <v>-0.95417356396764086</v>
      </c>
      <c r="I501">
        <f t="shared" si="11"/>
        <v>4346.4582494444448</v>
      </c>
      <c r="K501">
        <f>_xlfn.STDEV.S('R1'!L501,'R2'!L501,'R3'!L501)</f>
        <v>2.6620338480003469E-3</v>
      </c>
      <c r="L501">
        <f>_xlfn.STDEV.S('R1'!M501,'R2'!M501,'R3'!M501)</f>
        <v>9.5362976328216137E-3</v>
      </c>
      <c r="M501">
        <f>_xlfn.STDEV.S('R1'!N501,'R2'!N501,'R3'!N501)</f>
        <v>8.2049498283534653E-3</v>
      </c>
      <c r="N501">
        <f>_xlfn.STDEV.S('R1'!O501,'R2'!O501,'R3'!O501)</f>
        <v>5.4509091624217838E-3</v>
      </c>
    </row>
    <row r="502" spans="1:14" x14ac:dyDescent="0.25">
      <c r="A502">
        <f>-'R1'!H502</f>
        <v>-40</v>
      </c>
      <c r="B502">
        <f>DEGREES(ATAN(-SIN(RADIANS(('R1'!I502)))/(COS(RADIANS(Sheet1!A502))*COS(RADIANS('R1'!I502)))))</f>
        <v>-30.165358572591657</v>
      </c>
      <c r="C502">
        <f>AVERAGE('R1'!J502,'R2'!J502,'R3'!J502)</f>
        <v>1.18</v>
      </c>
      <c r="D502">
        <f>AVERAGE('R1'!K502,'R2'!K502,'R3'!K502)</f>
        <v>22.292047749999998</v>
      </c>
      <c r="E502">
        <f>AVERAGE('R1'!L502,'R2'!L502,'R3'!L502)</f>
        <v>-1.2598323864925878</v>
      </c>
      <c r="F502">
        <f>AVERAGE('R1'!M502,'R2'!M502,'R3'!M502)</f>
        <v>2.1635643364851207</v>
      </c>
      <c r="G502">
        <f>AVERAGE('R1'!N502,'R2'!N502,'R3'!N502)</f>
        <v>-1.1293132082596553</v>
      </c>
      <c r="H502">
        <f>AVERAGE('R1'!O502,'R2'!O502,'R3'!O502)</f>
        <v>-1.0150744530425622</v>
      </c>
      <c r="I502">
        <f t="shared" si="11"/>
        <v>4384.1027241666661</v>
      </c>
      <c r="K502">
        <f>_xlfn.STDEV.S('R1'!L502,'R2'!L502,'R3'!L502)</f>
        <v>9.0778597089442321E-3</v>
      </c>
      <c r="L502">
        <f>_xlfn.STDEV.S('R1'!M502,'R2'!M502,'R3'!M502)</f>
        <v>6.509217416745039E-3</v>
      </c>
      <c r="M502">
        <f>_xlfn.STDEV.S('R1'!N502,'R2'!N502,'R3'!N502)</f>
        <v>8.0024694088559941E-3</v>
      </c>
      <c r="N502">
        <f>_xlfn.STDEV.S('R1'!O502,'R2'!O502,'R3'!O502)</f>
        <v>3.7505950282035131E-3</v>
      </c>
    </row>
    <row r="503" spans="1:14" x14ac:dyDescent="0.25">
      <c r="A503">
        <f>-'R1'!H503</f>
        <v>-40</v>
      </c>
      <c r="B503">
        <f>DEGREES(ATAN(-SIN(RADIANS(('R1'!I503)))/(COS(RADIANS(Sheet1!A503))*COS(RADIANS('R1'!I503)))))</f>
        <v>-34.764413107862225</v>
      </c>
      <c r="C503">
        <f>AVERAGE('R1'!J503,'R2'!J503,'R3'!J503)</f>
        <v>1.18</v>
      </c>
      <c r="D503">
        <f>AVERAGE('R1'!K503,'R2'!K503,'R3'!K503)</f>
        <v>22.242620166666665</v>
      </c>
      <c r="E503">
        <f>AVERAGE('R1'!L503,'R2'!L503,'R3'!L503)</f>
        <v>-1.3822651712368594</v>
      </c>
      <c r="F503">
        <f>AVERAGE('R1'!M503,'R2'!M503,'R3'!M503)</f>
        <v>2.1003490893670427</v>
      </c>
      <c r="G503">
        <f>AVERAGE('R1'!N503,'R2'!N503,'R3'!N503)</f>
        <v>-1.1506294336704801</v>
      </c>
      <c r="H503">
        <f>AVERAGE('R1'!O503,'R2'!O503,'R3'!O503)</f>
        <v>-1.0776722217673731</v>
      </c>
      <c r="I503">
        <f t="shared" si="11"/>
        <v>4374.3819661111111</v>
      </c>
      <c r="K503">
        <f>_xlfn.STDEV.S('R1'!L503,'R2'!L503,'R3'!L503)</f>
        <v>2.9403984919376893E-3</v>
      </c>
      <c r="L503">
        <f>_xlfn.STDEV.S('R1'!M503,'R2'!M503,'R3'!M503)</f>
        <v>2.6477880179668436E-3</v>
      </c>
      <c r="M503">
        <f>_xlfn.STDEV.S('R1'!N503,'R2'!N503,'R3'!N503)</f>
        <v>2.6742723170156699E-3</v>
      </c>
      <c r="N503">
        <f>_xlfn.STDEV.S('R1'!O503,'R2'!O503,'R3'!O503)</f>
        <v>2.8979799981079931E-3</v>
      </c>
    </row>
    <row r="504" spans="1:14" x14ac:dyDescent="0.25">
      <c r="A504">
        <f>-'R1'!H504</f>
        <v>-40</v>
      </c>
      <c r="B504">
        <f>DEGREES(ATAN(-SIN(RADIANS(('R1'!I504)))/(COS(RADIANS(Sheet1!A504))*COS(RADIANS('R1'!I504)))))</f>
        <v>-39.204435233296593</v>
      </c>
      <c r="C504">
        <f>AVERAGE('R1'!J504,'R2'!J504,'R3'!J504)</f>
        <v>1.18</v>
      </c>
      <c r="D504">
        <f>AVERAGE('R1'!K504,'R2'!K504,'R3'!K504)</f>
        <v>22.42994941666667</v>
      </c>
      <c r="E504">
        <f>AVERAGE('R1'!L504,'R2'!L504,'R3'!L504)</f>
        <v>-1.4787691443089497</v>
      </c>
      <c r="F504">
        <f>AVERAGE('R1'!M504,'R2'!M504,'R3'!M504)</f>
        <v>2.0610397720465308</v>
      </c>
      <c r="G504">
        <f>AVERAGE('R1'!N504,'R2'!N504,'R3'!N504)</f>
        <v>-1.1825684793541977</v>
      </c>
      <c r="H504">
        <f>AVERAGE('R1'!O504,'R2'!O504,'R3'!O504)</f>
        <v>-1.1400269007256594</v>
      </c>
      <c r="I504">
        <f t="shared" si="11"/>
        <v>4411.223385277779</v>
      </c>
      <c r="K504">
        <f>_xlfn.STDEV.S('R1'!L504,'R2'!L504,'R3'!L504)</f>
        <v>5.848174495030529E-3</v>
      </c>
      <c r="L504">
        <f>_xlfn.STDEV.S('R1'!M504,'R2'!M504,'R3'!M504)</f>
        <v>7.786237676314982E-3</v>
      </c>
      <c r="M504">
        <f>_xlfn.STDEV.S('R1'!N504,'R2'!N504,'R3'!N504)</f>
        <v>4.6926772357407977E-3</v>
      </c>
      <c r="N504">
        <f>_xlfn.STDEV.S('R1'!O504,'R2'!O504,'R3'!O504)</f>
        <v>4.1281839061051177E-3</v>
      </c>
    </row>
    <row r="505" spans="1:14" x14ac:dyDescent="0.25">
      <c r="A505">
        <f>-'R1'!H505</f>
        <v>-40</v>
      </c>
      <c r="B505">
        <f>DEGREES(ATAN(-SIN(RADIANS(('R1'!I505)))/(COS(RADIANS(Sheet1!A505))*COS(RADIANS('R1'!I505)))))</f>
        <v>-43.48399800633365</v>
      </c>
      <c r="C505">
        <f>AVERAGE('R1'!J505,'R2'!J505,'R3'!J505)</f>
        <v>1.18</v>
      </c>
      <c r="D505">
        <f>AVERAGE('R1'!K505,'R2'!K505,'R3'!K505)</f>
        <v>22.598977999999999</v>
      </c>
      <c r="E505">
        <f>AVERAGE('R1'!L505,'R2'!L505,'R3'!L505)</f>
        <v>-1.574353427728165</v>
      </c>
      <c r="F505">
        <f>AVERAGE('R1'!M505,'R2'!M505,'R3'!M505)</f>
        <v>2.0468277971582434</v>
      </c>
      <c r="G505">
        <f>AVERAGE('R1'!N505,'R2'!N505,'R3'!N505)</f>
        <v>-1.2466355941612803</v>
      </c>
      <c r="H505">
        <f>AVERAGE('R1'!O505,'R2'!O505,'R3'!O505)</f>
        <v>-1.2150623382639365</v>
      </c>
      <c r="I505">
        <f t="shared" si="11"/>
        <v>4444.4656733333331</v>
      </c>
      <c r="K505">
        <f>_xlfn.STDEV.S('R1'!L505,'R2'!L505,'R3'!L505)</f>
        <v>1.0843574308227117E-2</v>
      </c>
      <c r="L505">
        <f>_xlfn.STDEV.S('R1'!M505,'R2'!M505,'R3'!M505)</f>
        <v>5.046000215191004E-3</v>
      </c>
      <c r="M505">
        <f>_xlfn.STDEV.S('R1'!N505,'R2'!N505,'R3'!N505)</f>
        <v>7.2069110819639737E-3</v>
      </c>
      <c r="N505">
        <f>_xlfn.STDEV.S('R1'!O505,'R2'!O505,'R3'!O505)</f>
        <v>8.6157976385732582E-4</v>
      </c>
    </row>
    <row r="506" spans="1:14" x14ac:dyDescent="0.25">
      <c r="A506">
        <f>-'R1'!H506</f>
        <v>-40</v>
      </c>
      <c r="B506">
        <f>DEGREES(ATAN(-SIN(RADIANS(('R1'!I506)))/(COS(RADIANS(Sheet1!A506))*COS(RADIANS('R1'!I506)))))</f>
        <v>-47.605913955135343</v>
      </c>
      <c r="C506">
        <f>AVERAGE('R1'!J506,'R2'!J506,'R3'!J506)</f>
        <v>1.18</v>
      </c>
      <c r="D506">
        <f>AVERAGE('R1'!K506,'R2'!K506,'R3'!K506)</f>
        <v>22.402668833333333</v>
      </c>
      <c r="E506">
        <f>AVERAGE('R1'!L506,'R2'!L506,'R3'!L506)</f>
        <v>-1.6626430067910871</v>
      </c>
      <c r="F506">
        <f>AVERAGE('R1'!M506,'R2'!M506,'R3'!M506)</f>
        <v>2.0478202442196247</v>
      </c>
      <c r="G506">
        <f>AVERAGE('R1'!N506,'R2'!N506,'R3'!N506)</f>
        <v>-1.3258056869818406</v>
      </c>
      <c r="H506">
        <f>AVERAGE('R1'!O506,'R2'!O506,'R3'!O506)</f>
        <v>-1.296688953682037</v>
      </c>
      <c r="I506">
        <f t="shared" si="11"/>
        <v>4405.8582038888881</v>
      </c>
      <c r="K506">
        <f>_xlfn.STDEV.S('R1'!L506,'R2'!L506,'R3'!L506)</f>
        <v>8.3529189687976419E-3</v>
      </c>
      <c r="L506">
        <f>_xlfn.STDEV.S('R1'!M506,'R2'!M506,'R3'!M506)</f>
        <v>1.2189758350341201E-2</v>
      </c>
      <c r="M506">
        <f>_xlfn.STDEV.S('R1'!N506,'R2'!N506,'R3'!N506)</f>
        <v>1.7918825501559215E-3</v>
      </c>
      <c r="N506">
        <f>_xlfn.STDEV.S('R1'!O506,'R2'!O506,'R3'!O506)</f>
        <v>3.9435952937239378E-3</v>
      </c>
    </row>
    <row r="507" spans="1:14" x14ac:dyDescent="0.25">
      <c r="A507">
        <f>-'R1'!H507</f>
        <v>-40</v>
      </c>
      <c r="B507">
        <f>DEGREES(ATAN(-SIN(RADIANS(('R1'!I507)))/(COS(RADIANS(Sheet1!A507))*COS(RADIANS('R1'!I507)))))</f>
        <v>-51.576359961556868</v>
      </c>
      <c r="C507">
        <f>AVERAGE('R1'!J507,'R2'!J507,'R3'!J507)</f>
        <v>1.18</v>
      </c>
      <c r="D507">
        <f>AVERAGE('R1'!K507,'R2'!K507,'R3'!K507)</f>
        <v>22.51849283333333</v>
      </c>
      <c r="E507">
        <f>AVERAGE('R1'!L507,'R2'!L507,'R3'!L507)</f>
        <v>-1.7752411946341395</v>
      </c>
      <c r="F507">
        <f>AVERAGE('R1'!M507,'R2'!M507,'R3'!M507)</f>
        <v>2.076677404779165</v>
      </c>
      <c r="G507">
        <f>AVERAGE('R1'!N507,'R2'!N507,'R3'!N507)</f>
        <v>-1.4531699595021141</v>
      </c>
      <c r="H507">
        <f>AVERAGE('R1'!O507,'R2'!O507,'R3'!O507)</f>
        <v>-1.4043253540775928</v>
      </c>
      <c r="I507">
        <f t="shared" si="11"/>
        <v>4428.6369238888883</v>
      </c>
      <c r="K507">
        <f>_xlfn.STDEV.S('R1'!L507,'R2'!L507,'R3'!L507)</f>
        <v>4.5853036539519358E-3</v>
      </c>
      <c r="L507">
        <f>_xlfn.STDEV.S('R1'!M507,'R2'!M507,'R3'!M507)</f>
        <v>5.15311916580423E-3</v>
      </c>
      <c r="M507">
        <f>_xlfn.STDEV.S('R1'!N507,'R2'!N507,'R3'!N507)</f>
        <v>6.156975527925458E-3</v>
      </c>
      <c r="N507">
        <f>_xlfn.STDEV.S('R1'!O507,'R2'!O507,'R3'!O507)</f>
        <v>2.1044891771020038E-3</v>
      </c>
    </row>
    <row r="508" spans="1:14" x14ac:dyDescent="0.25">
      <c r="A508">
        <f>-'R1'!H508</f>
        <v>-44</v>
      </c>
      <c r="B508">
        <f>DEGREES(ATAN(-SIN(RADIANS(('R1'!I508)))/(COS(RADIANS(Sheet1!A508))*COS(RADIANS('R1'!I508)))))</f>
        <v>53.317641506405714</v>
      </c>
      <c r="C508">
        <f>AVERAGE('R1'!J508,'R2'!J508,'R3'!J508)</f>
        <v>1.18</v>
      </c>
      <c r="D508">
        <f>AVERAGE('R1'!K508,'R2'!K508,'R3'!K508)</f>
        <v>22.188266249999998</v>
      </c>
      <c r="E508">
        <f>AVERAGE('R1'!L508,'R2'!L508,'R3'!L508)</f>
        <v>2.0961607193742342</v>
      </c>
      <c r="F508">
        <f>AVERAGE('R1'!M508,'R2'!M508,'R3'!M508)</f>
        <v>2.4253173910038046</v>
      </c>
      <c r="G508">
        <f>AVERAGE('R1'!N508,'R2'!N508,'R3'!N508)</f>
        <v>-1.9540099651817926</v>
      </c>
      <c r="H508">
        <f>AVERAGE('R1'!O508,'R2'!O508,'R3'!O508)</f>
        <v>-1.7648732039472819</v>
      </c>
      <c r="I508">
        <f t="shared" si="11"/>
        <v>4363.6923624999999</v>
      </c>
      <c r="K508">
        <f>_xlfn.STDEV.S('R1'!L508,'R2'!L508,'R3'!L508)</f>
        <v>3.732177266664128E-3</v>
      </c>
      <c r="L508">
        <f>_xlfn.STDEV.S('R1'!M508,'R2'!M508,'R3'!M508)</f>
        <v>4.8381059581208219E-3</v>
      </c>
      <c r="M508">
        <f>_xlfn.STDEV.S('R1'!N508,'R2'!N508,'R3'!N508)</f>
        <v>4.8208365624257789E-3</v>
      </c>
      <c r="N508">
        <f>_xlfn.STDEV.S('R1'!O508,'R2'!O508,'R3'!O508)</f>
        <v>3.8251627948372234E-3</v>
      </c>
    </row>
    <row r="509" spans="1:14" x14ac:dyDescent="0.25">
      <c r="A509">
        <f>-'R1'!H509</f>
        <v>-44</v>
      </c>
      <c r="B509">
        <f>DEGREES(ATAN(-SIN(RADIANS(('R1'!I509)))/(COS(RADIANS(Sheet1!A509))*COS(RADIANS('R1'!I509)))))</f>
        <v>49.394314915379752</v>
      </c>
      <c r="C509">
        <f>AVERAGE('R1'!J509,'R2'!J509,'R3'!J509)</f>
        <v>1.18</v>
      </c>
      <c r="D509">
        <f>AVERAGE('R1'!K509,'R2'!K509,'R3'!K509)</f>
        <v>22.087431583333331</v>
      </c>
      <c r="E509">
        <f>AVERAGE('R1'!L509,'R2'!L509,'R3'!L509)</f>
        <v>1.9576544635387003</v>
      </c>
      <c r="F509">
        <f>AVERAGE('R1'!M509,'R2'!M509,'R3'!M509)</f>
        <v>2.3166794613451018</v>
      </c>
      <c r="G509">
        <f>AVERAGE('R1'!N509,'R2'!N509,'R3'!N509)</f>
        <v>-1.7438059132470094</v>
      </c>
      <c r="H509">
        <f>AVERAGE('R1'!O509,'R2'!O509,'R3'!O509)</f>
        <v>-1.6188085663089431</v>
      </c>
      <c r="I509">
        <f t="shared" si="11"/>
        <v>4343.8615447222219</v>
      </c>
      <c r="K509">
        <f>_xlfn.STDEV.S('R1'!L509,'R2'!L509,'R3'!L509)</f>
        <v>9.5311312842225031E-3</v>
      </c>
      <c r="L509">
        <f>_xlfn.STDEV.S('R1'!M509,'R2'!M509,'R3'!M509)</f>
        <v>1.2017259914806242E-2</v>
      </c>
      <c r="M509">
        <f>_xlfn.STDEV.S('R1'!N509,'R2'!N509,'R3'!N509)</f>
        <v>1.7012987452532258E-2</v>
      </c>
      <c r="N509">
        <f>_xlfn.STDEV.S('R1'!O509,'R2'!O509,'R3'!O509)</f>
        <v>2.5486238439163889E-3</v>
      </c>
    </row>
    <row r="510" spans="1:14" x14ac:dyDescent="0.25">
      <c r="A510">
        <f>-'R1'!H510</f>
        <v>-44</v>
      </c>
      <c r="B510">
        <f>DEGREES(ATAN(-SIN(RADIANS(('R1'!I510)))/(COS(RADIANS(Sheet1!A510))*COS(RADIANS('R1'!I510)))))</f>
        <v>45.285419134418312</v>
      </c>
      <c r="C510">
        <f>AVERAGE('R1'!J510,'R2'!J510,'R3'!J510)</f>
        <v>1.18</v>
      </c>
      <c r="D510">
        <f>AVERAGE('R1'!K510,'R2'!K510,'R3'!K510)</f>
        <v>22.263657500000004</v>
      </c>
      <c r="E510">
        <f>AVERAGE('R1'!L510,'R2'!L510,'R3'!L510)</f>
        <v>1.8350986067456849</v>
      </c>
      <c r="F510">
        <f>AVERAGE('R1'!M510,'R2'!M510,'R3'!M510)</f>
        <v>2.2604544517271314</v>
      </c>
      <c r="G510">
        <f>AVERAGE('R1'!N510,'R2'!N510,'R3'!N510)</f>
        <v>-1.5911919689096867</v>
      </c>
      <c r="H510">
        <f>AVERAGE('R1'!O510,'R2'!O510,'R3'!O510)</f>
        <v>-1.5014013287602435</v>
      </c>
      <c r="I510">
        <f t="shared" si="11"/>
        <v>4378.5193083333343</v>
      </c>
      <c r="K510">
        <f>_xlfn.STDEV.S('R1'!L510,'R2'!L510,'R3'!L510)</f>
        <v>6.0655151502765348E-3</v>
      </c>
      <c r="L510">
        <f>_xlfn.STDEV.S('R1'!M510,'R2'!M510,'R3'!M510)</f>
        <v>3.4791954924570006E-3</v>
      </c>
      <c r="M510">
        <f>_xlfn.STDEV.S('R1'!N510,'R2'!N510,'R3'!N510)</f>
        <v>9.4859899773248688E-3</v>
      </c>
      <c r="N510">
        <f>_xlfn.STDEV.S('R1'!O510,'R2'!O510,'R3'!O510)</f>
        <v>1.4906347577118217E-3</v>
      </c>
    </row>
    <row r="511" spans="1:14" x14ac:dyDescent="0.25">
      <c r="A511">
        <f>-'R1'!H511</f>
        <v>-44</v>
      </c>
      <c r="B511">
        <f>DEGREES(ATAN(-SIN(RADIANS(('R1'!I511)))/(COS(RADIANS(Sheet1!A511))*COS(RADIANS('R1'!I511)))))</f>
        <v>40.979886989205063</v>
      </c>
      <c r="C511">
        <f>AVERAGE('R1'!J511,'R2'!J511,'R3'!J511)</f>
        <v>1.18</v>
      </c>
      <c r="D511">
        <f>AVERAGE('R1'!K511,'R2'!K511,'R3'!K511)</f>
        <v>22.190824083333336</v>
      </c>
      <c r="E511">
        <f>AVERAGE('R1'!L511,'R2'!L511,'R3'!L511)</f>
        <v>1.7259712625552153</v>
      </c>
      <c r="F511">
        <f>AVERAGE('R1'!M511,'R2'!M511,'R3'!M511)</f>
        <v>2.2636503971347515</v>
      </c>
      <c r="G511">
        <f>AVERAGE('R1'!N511,'R2'!N511,'R3'!N511)</f>
        <v>-1.5062437657360761</v>
      </c>
      <c r="H511">
        <f>AVERAGE('R1'!O511,'R2'!O511,'R3'!O511)</f>
        <v>-1.416562500605494</v>
      </c>
      <c r="I511">
        <f t="shared" si="11"/>
        <v>4364.1954030555562</v>
      </c>
      <c r="K511">
        <f>_xlfn.STDEV.S('R1'!L511,'R2'!L511,'R3'!L511)</f>
        <v>7.1034343616485532E-4</v>
      </c>
      <c r="L511">
        <f>_xlfn.STDEV.S('R1'!M511,'R2'!M511,'R3'!M511)</f>
        <v>1.1340866862036341E-3</v>
      </c>
      <c r="M511">
        <f>_xlfn.STDEV.S('R1'!N511,'R2'!N511,'R3'!N511)</f>
        <v>2.4760652353917529E-3</v>
      </c>
      <c r="N511">
        <f>_xlfn.STDEV.S('R1'!O511,'R2'!O511,'R3'!O511)</f>
        <v>2.3534755218938435E-3</v>
      </c>
    </row>
    <row r="512" spans="1:14" x14ac:dyDescent="0.25">
      <c r="A512">
        <f>-'R1'!H512</f>
        <v>-44</v>
      </c>
      <c r="B512">
        <f>DEGREES(ATAN(-SIN(RADIANS(('R1'!I512)))/(COS(RADIANS(Sheet1!A512))*COS(RADIANS('R1'!I512)))))</f>
        <v>36.470444456761925</v>
      </c>
      <c r="C512">
        <f>AVERAGE('R1'!J512,'R2'!J512,'R3'!J512)</f>
        <v>1.18</v>
      </c>
      <c r="D512">
        <f>AVERAGE('R1'!K512,'R2'!K512,'R3'!K512)</f>
        <v>22.340519916666665</v>
      </c>
      <c r="E512">
        <f>AVERAGE('R1'!L512,'R2'!L512,'R3'!L512)</f>
        <v>1.6076508999468775</v>
      </c>
      <c r="F512">
        <f>AVERAGE('R1'!M512,'R2'!M512,'R3'!M512)</f>
        <v>2.3136442489259945</v>
      </c>
      <c r="G512">
        <f>AVERAGE('R1'!N512,'R2'!N512,'R3'!N512)</f>
        <v>-1.4616687855915462</v>
      </c>
      <c r="H512">
        <f>AVERAGE('R1'!O512,'R2'!O512,'R3'!O512)</f>
        <v>-1.350891840316879</v>
      </c>
      <c r="I512">
        <f t="shared" si="11"/>
        <v>4393.6355836111106</v>
      </c>
      <c r="K512">
        <f>_xlfn.STDEV.S('R1'!L512,'R2'!L512,'R3'!L512)</f>
        <v>2.5504774809017201E-3</v>
      </c>
      <c r="L512">
        <f>_xlfn.STDEV.S('R1'!M512,'R2'!M512,'R3'!M512)</f>
        <v>7.2206851747133715E-3</v>
      </c>
      <c r="M512">
        <f>_xlfn.STDEV.S('R1'!N512,'R2'!N512,'R3'!N512)</f>
        <v>4.7029685553598329E-3</v>
      </c>
      <c r="N512">
        <f>_xlfn.STDEV.S('R1'!O512,'R2'!O512,'R3'!O512)</f>
        <v>5.2343512705987898E-3</v>
      </c>
    </row>
    <row r="513" spans="1:14" x14ac:dyDescent="0.25">
      <c r="A513">
        <f>-'R1'!H513</f>
        <v>-44</v>
      </c>
      <c r="B513">
        <f>DEGREES(ATAN(-SIN(RADIANS(('R1'!I513)))/(COS(RADIANS(Sheet1!A513))*COS(RADIANS('R1'!I513)))))</f>
        <v>31.755051399893443</v>
      </c>
      <c r="C513">
        <f>AVERAGE('R1'!J513,'R2'!J513,'R3'!J513)</f>
        <v>1.18</v>
      </c>
      <c r="D513">
        <f>AVERAGE('R1'!K513,'R2'!K513,'R3'!K513)</f>
        <v>22.452307916666665</v>
      </c>
      <c r="E513">
        <f>AVERAGE('R1'!L513,'R2'!L513,'R3'!L513)</f>
        <v>1.5018591838632593</v>
      </c>
      <c r="F513">
        <f>AVERAGE('R1'!M513,'R2'!M513,'R3'!M513)</f>
        <v>2.3540921526542498</v>
      </c>
      <c r="G513">
        <f>AVERAGE('R1'!N513,'R2'!N513,'R3'!N513)</f>
        <v>-1.4285621589898707</v>
      </c>
      <c r="H513">
        <f>AVERAGE('R1'!O513,'R2'!O513,'R3'!O513)</f>
        <v>-1.2817483714639437</v>
      </c>
      <c r="I513">
        <f t="shared" si="11"/>
        <v>4415.6205569444437</v>
      </c>
      <c r="K513">
        <f>_xlfn.STDEV.S('R1'!L513,'R2'!L513,'R3'!L513)</f>
        <v>1.0146091531992254E-2</v>
      </c>
      <c r="L513">
        <f>_xlfn.STDEV.S('R1'!M513,'R2'!M513,'R3'!M513)</f>
        <v>2.5643216028301326E-3</v>
      </c>
      <c r="M513">
        <f>_xlfn.STDEV.S('R1'!N513,'R2'!N513,'R3'!N513)</f>
        <v>1.171162816830207E-2</v>
      </c>
      <c r="N513">
        <f>_xlfn.STDEV.S('R1'!O513,'R2'!O513,'R3'!O513)</f>
        <v>2.118133329133574E-3</v>
      </c>
    </row>
    <row r="514" spans="1:14" x14ac:dyDescent="0.25">
      <c r="A514">
        <f>-'R1'!H514</f>
        <v>-44</v>
      </c>
      <c r="B514">
        <f>DEGREES(ATAN(-SIN(RADIANS(('R1'!I514)))/(COS(RADIANS(Sheet1!A514))*COS(RADIANS('R1'!I514)))))</f>
        <v>26.838414444764965</v>
      </c>
      <c r="C514">
        <f>AVERAGE('R1'!J514,'R2'!J514,'R3'!J514)</f>
        <v>1.18</v>
      </c>
      <c r="D514">
        <f>AVERAGE('R1'!K514,'R2'!K514,'R3'!K514)</f>
        <v>22.329116666666664</v>
      </c>
      <c r="E514">
        <f>AVERAGE('R1'!L514,'R2'!L514,'R3'!L514)</f>
        <v>1.3906398959951078</v>
      </c>
      <c r="F514">
        <f>AVERAGE('R1'!M514,'R2'!M514,'R3'!M514)</f>
        <v>2.4318000344156832</v>
      </c>
      <c r="G514">
        <f>AVERAGE('R1'!N514,'R2'!N514,'R3'!N514)</f>
        <v>-1.4404201746872811</v>
      </c>
      <c r="H514">
        <f>AVERAGE('R1'!O514,'R2'!O514,'R3'!O514)</f>
        <v>-1.223178063061459</v>
      </c>
      <c r="I514">
        <f t="shared" si="11"/>
        <v>4391.3929444444439</v>
      </c>
      <c r="K514">
        <f>_xlfn.STDEV.S('R1'!L514,'R2'!L514,'R3'!L514)</f>
        <v>4.9028562666108815E-3</v>
      </c>
      <c r="L514">
        <f>_xlfn.STDEV.S('R1'!M514,'R2'!M514,'R3'!M514)</f>
        <v>8.5150975782563448E-3</v>
      </c>
      <c r="M514">
        <f>_xlfn.STDEV.S('R1'!N514,'R2'!N514,'R3'!N514)</f>
        <v>4.177569758402235E-3</v>
      </c>
      <c r="N514">
        <f>_xlfn.STDEV.S('R1'!O514,'R2'!O514,'R3'!O514)</f>
        <v>6.3878866742915433E-3</v>
      </c>
    </row>
    <row r="515" spans="1:14" x14ac:dyDescent="0.25">
      <c r="A515">
        <f>-'R1'!H515</f>
        <v>-44</v>
      </c>
      <c r="B515">
        <f>DEGREES(ATAN(-SIN(RADIANS(('R1'!I515)))/(COS(RADIANS(Sheet1!A515))*COS(RADIANS('R1'!I515)))))</f>
        <v>21.733362927744114</v>
      </c>
      <c r="C515">
        <f>AVERAGE('R1'!J515,'R2'!J515,'R3'!J515)</f>
        <v>1.18</v>
      </c>
      <c r="D515">
        <f>AVERAGE('R1'!K515,'R2'!K515,'R3'!K515)</f>
        <v>22.407675916666665</v>
      </c>
      <c r="E515">
        <f>AVERAGE('R1'!L515,'R2'!L515,'R3'!L515)</f>
        <v>1.2446212200486455</v>
      </c>
      <c r="F515">
        <f>AVERAGE('R1'!M515,'R2'!M515,'R3'!M515)</f>
        <v>2.5457461498398621</v>
      </c>
      <c r="G515">
        <f>AVERAGE('R1'!N515,'R2'!N515,'R3'!N515)</f>
        <v>-1.4671105514450211</v>
      </c>
      <c r="H515">
        <f>AVERAGE('R1'!O515,'R2'!O515,'R3'!O515)</f>
        <v>-1.1748199451916008</v>
      </c>
      <c r="I515">
        <f t="shared" ref="I515:I530" si="12">10^5*C515*D515*0.003/1.8</f>
        <v>4406.8429302777777</v>
      </c>
      <c r="K515">
        <f>_xlfn.STDEV.S('R1'!L515,'R2'!L515,'R3'!L515)</f>
        <v>5.8153640877130954E-3</v>
      </c>
      <c r="L515">
        <f>_xlfn.STDEV.S('R1'!M515,'R2'!M515,'R3'!M515)</f>
        <v>1.5957958481495987E-2</v>
      </c>
      <c r="M515">
        <f>_xlfn.STDEV.S('R1'!N515,'R2'!N515,'R3'!N515)</f>
        <v>1.2744595676501592E-2</v>
      </c>
      <c r="N515">
        <f>_xlfn.STDEV.S('R1'!O515,'R2'!O515,'R3'!O515)</f>
        <v>3.2622955439145962E-3</v>
      </c>
    </row>
    <row r="516" spans="1:14" x14ac:dyDescent="0.25">
      <c r="A516">
        <f>-'R1'!H516</f>
        <v>-44</v>
      </c>
      <c r="B516">
        <f>DEGREES(ATAN(-SIN(RADIANS(('R1'!I516)))/(COS(RADIANS(Sheet1!A516))*COS(RADIANS('R1'!I516)))))</f>
        <v>16.461798422084197</v>
      </c>
      <c r="C516">
        <f>AVERAGE('R1'!J516,'R2'!J516,'R3'!J516)</f>
        <v>1.18</v>
      </c>
      <c r="D516">
        <f>AVERAGE('R1'!K516,'R2'!K516,'R3'!K516)</f>
        <v>22.527277833333333</v>
      </c>
      <c r="E516">
        <f>AVERAGE('R1'!L516,'R2'!L516,'R3'!L516)</f>
        <v>1.0487697562581462</v>
      </c>
      <c r="F516">
        <f>AVERAGE('R1'!M516,'R2'!M516,'R3'!M516)</f>
        <v>2.7163352037447326</v>
      </c>
      <c r="G516">
        <f>AVERAGE('R1'!N516,'R2'!N516,'R3'!N516)</f>
        <v>-1.5236559771627298</v>
      </c>
      <c r="H516">
        <f>AVERAGE('R1'!O516,'R2'!O516,'R3'!O516)</f>
        <v>-1.144352265665906</v>
      </c>
      <c r="I516">
        <f t="shared" si="12"/>
        <v>4430.3646405555555</v>
      </c>
      <c r="K516">
        <f>_xlfn.STDEV.S('R1'!L516,'R2'!L516,'R3'!L516)</f>
        <v>3.8149923663772841E-3</v>
      </c>
      <c r="L516">
        <f>_xlfn.STDEV.S('R1'!M516,'R2'!M516,'R3'!M516)</f>
        <v>1.2125746140227661E-2</v>
      </c>
      <c r="M516">
        <f>_xlfn.STDEV.S('R1'!N516,'R2'!N516,'R3'!N516)</f>
        <v>9.3145351888105389E-3</v>
      </c>
      <c r="N516">
        <f>_xlfn.STDEV.S('R1'!O516,'R2'!O516,'R3'!O516)</f>
        <v>1.5900728869351277E-3</v>
      </c>
    </row>
    <row r="517" spans="1:14" x14ac:dyDescent="0.25">
      <c r="A517">
        <f>-'R1'!H517</f>
        <v>-44</v>
      </c>
      <c r="B517">
        <f>DEGREES(ATAN(-SIN(RADIANS(('R1'!I517)))/(COS(RADIANS(Sheet1!A517))*COS(RADIANS('R1'!I517)))))</f>
        <v>11.054892671059431</v>
      </c>
      <c r="C517">
        <f>AVERAGE('R1'!J517,'R2'!J517,'R3'!J517)</f>
        <v>1.18</v>
      </c>
      <c r="D517">
        <f>AVERAGE('R1'!K517,'R2'!K517,'R3'!K517)</f>
        <v>22.538573583333335</v>
      </c>
      <c r="E517">
        <f>AVERAGE('R1'!L517,'R2'!L517,'R3'!L517)</f>
        <v>0.8068099837047451</v>
      </c>
      <c r="F517">
        <f>AVERAGE('R1'!M517,'R2'!M517,'R3'!M517)</f>
        <v>2.9306663373772079</v>
      </c>
      <c r="G517">
        <f>AVERAGE('R1'!N517,'R2'!N517,'R3'!N517)</f>
        <v>-1.6017243353124309</v>
      </c>
      <c r="H517">
        <f>AVERAGE('R1'!O517,'R2'!O517,'R3'!O517)</f>
        <v>-1.1302294987472317</v>
      </c>
      <c r="I517">
        <f t="shared" si="12"/>
        <v>4432.5861380555561</v>
      </c>
      <c r="K517">
        <f>_xlfn.STDEV.S('R1'!L517,'R2'!L517,'R3'!L517)</f>
        <v>7.6779142383985588E-3</v>
      </c>
      <c r="L517">
        <f>_xlfn.STDEV.S('R1'!M517,'R2'!M517,'R3'!M517)</f>
        <v>1.6095354127580418E-2</v>
      </c>
      <c r="M517">
        <f>_xlfn.STDEV.S('R1'!N517,'R2'!N517,'R3'!N517)</f>
        <v>1.5062430122312271E-2</v>
      </c>
      <c r="N517">
        <f>_xlfn.STDEV.S('R1'!O517,'R2'!O517,'R3'!O517)</f>
        <v>2.0852322456929606E-3</v>
      </c>
    </row>
    <row r="518" spans="1:14" x14ac:dyDescent="0.25">
      <c r="A518">
        <f>-'R1'!H518</f>
        <v>-44</v>
      </c>
      <c r="B518">
        <f>DEGREES(ATAN(-SIN(RADIANS(('R1'!I518)))/(COS(RADIANS(Sheet1!A518))*COS(RADIANS('R1'!I518)))))</f>
        <v>5.5522607339018597</v>
      </c>
      <c r="C518">
        <f>AVERAGE('R1'!J518,'R2'!J518,'R3'!J518)</f>
        <v>1.18</v>
      </c>
      <c r="D518">
        <f>AVERAGE('R1'!K518,'R2'!K518,'R3'!K518)</f>
        <v>22.476935083333334</v>
      </c>
      <c r="E518">
        <f>AVERAGE('R1'!L518,'R2'!L518,'R3'!L518)</f>
        <v>0.51354345809283319</v>
      </c>
      <c r="F518">
        <f>AVERAGE('R1'!M518,'R2'!M518,'R3'!M518)</f>
        <v>3.1859631114479416</v>
      </c>
      <c r="G518">
        <f>AVERAGE('R1'!N518,'R2'!N518,'R3'!N518)</f>
        <v>-1.708713670659848</v>
      </c>
      <c r="H518">
        <f>AVERAGE('R1'!O518,'R2'!O518,'R3'!O518)</f>
        <v>-1.1223865556523458</v>
      </c>
      <c r="I518">
        <f t="shared" si="12"/>
        <v>4420.4638997222228</v>
      </c>
      <c r="K518">
        <f>_xlfn.STDEV.S('R1'!L518,'R2'!L518,'R3'!L518)</f>
        <v>3.5343596244705963E-3</v>
      </c>
      <c r="L518">
        <f>_xlfn.STDEV.S('R1'!M518,'R2'!M518,'R3'!M518)</f>
        <v>1.1996412709555579E-2</v>
      </c>
      <c r="M518">
        <f>_xlfn.STDEV.S('R1'!N518,'R2'!N518,'R3'!N518)</f>
        <v>1.2974224121452068E-2</v>
      </c>
      <c r="N518">
        <f>_xlfn.STDEV.S('R1'!O518,'R2'!O518,'R3'!O518)</f>
        <v>9.554807509862968E-3</v>
      </c>
    </row>
    <row r="519" spans="1:14" x14ac:dyDescent="0.25">
      <c r="A519">
        <f>-'R1'!H519</f>
        <v>-44</v>
      </c>
      <c r="B519">
        <f>DEGREES(ATAN(-SIN(RADIANS(('R1'!I519)))/(COS(RADIANS(Sheet1!A519))*COS(RADIANS('R1'!I519)))))</f>
        <v>0</v>
      </c>
      <c r="C519">
        <f>AVERAGE('R1'!J519,'R2'!J519,'R3'!J519)</f>
        <v>1.18</v>
      </c>
      <c r="D519">
        <f>AVERAGE('R1'!K519,'R2'!K519,'R3'!K519)</f>
        <v>22.15402525</v>
      </c>
      <c r="E519">
        <f>AVERAGE('R1'!L519,'R2'!L519,'R3'!L519)</f>
        <v>0.16848434560064143</v>
      </c>
      <c r="F519">
        <f>AVERAGE('R1'!M519,'R2'!M519,'R3'!M519)</f>
        <v>3.5086397992133853</v>
      </c>
      <c r="G519">
        <f>AVERAGE('R1'!N519,'R2'!N519,'R3'!N519)</f>
        <v>-1.8696964193184986</v>
      </c>
      <c r="H519">
        <f>AVERAGE('R1'!O519,'R2'!O519,'R3'!O519)</f>
        <v>-1.1235802846534237</v>
      </c>
      <c r="I519">
        <f t="shared" si="12"/>
        <v>4356.9582991666666</v>
      </c>
      <c r="K519">
        <f>_xlfn.STDEV.S('R1'!L519,'R2'!L519,'R3'!L519)</f>
        <v>1.6924976420365945E-2</v>
      </c>
      <c r="L519">
        <f>_xlfn.STDEV.S('R1'!M519,'R2'!M519,'R3'!M519)</f>
        <v>7.1663761479942526E-3</v>
      </c>
      <c r="M519">
        <f>_xlfn.STDEV.S('R1'!N519,'R2'!N519,'R3'!N519)</f>
        <v>1.1558094970805363E-2</v>
      </c>
      <c r="N519">
        <f>_xlfn.STDEV.S('R1'!O519,'R2'!O519,'R3'!O519)</f>
        <v>4.0804810226979151E-3</v>
      </c>
    </row>
    <row r="520" spans="1:14" x14ac:dyDescent="0.25">
      <c r="A520">
        <f>-'R1'!H520</f>
        <v>-44</v>
      </c>
      <c r="B520">
        <f>DEGREES(ATAN(-SIN(RADIANS(('R1'!I520)))/(COS(RADIANS(Sheet1!A520))*COS(RADIANS('R1'!I520)))))</f>
        <v>-5.5522607339018597</v>
      </c>
      <c r="C520">
        <f>AVERAGE('R1'!J520,'R2'!J520,'R3'!J520)</f>
        <v>1.18</v>
      </c>
      <c r="D520">
        <f>AVERAGE('R1'!K520,'R2'!K520,'R3'!K520)</f>
        <v>21.884324500000002</v>
      </c>
      <c r="E520">
        <f>AVERAGE('R1'!L520,'R2'!L520,'R3'!L520)</f>
        <v>-0.22432119543761952</v>
      </c>
      <c r="F520">
        <f>AVERAGE('R1'!M520,'R2'!M520,'R3'!M520)</f>
        <v>3.5228508705335364</v>
      </c>
      <c r="G520">
        <f>AVERAGE('R1'!N520,'R2'!N520,'R3'!N520)</f>
        <v>-1.8997096241705158</v>
      </c>
      <c r="H520">
        <f>AVERAGE('R1'!O520,'R2'!O520,'R3'!O520)</f>
        <v>-1.1379263256105341</v>
      </c>
      <c r="I520">
        <f t="shared" si="12"/>
        <v>4303.9171516666675</v>
      </c>
      <c r="K520">
        <f>_xlfn.STDEV.S('R1'!L520,'R2'!L520,'R3'!L520)</f>
        <v>6.2872526243242357E-3</v>
      </c>
      <c r="L520">
        <f>_xlfn.STDEV.S('R1'!M520,'R2'!M520,'R3'!M520)</f>
        <v>1.5091013635391929E-2</v>
      </c>
      <c r="M520">
        <f>_xlfn.STDEV.S('R1'!N520,'R2'!N520,'R3'!N520)</f>
        <v>1.4418195473401379E-2</v>
      </c>
      <c r="N520">
        <f>_xlfn.STDEV.S('R1'!O520,'R2'!O520,'R3'!O520)</f>
        <v>5.5384529459736841E-3</v>
      </c>
    </row>
    <row r="521" spans="1:14" x14ac:dyDescent="0.25">
      <c r="A521">
        <f>-'R1'!H521</f>
        <v>-44</v>
      </c>
      <c r="B521">
        <f>DEGREES(ATAN(-SIN(RADIANS(('R1'!I521)))/(COS(RADIANS(Sheet1!A521))*COS(RADIANS('R1'!I521)))))</f>
        <v>-11.054892671059431</v>
      </c>
      <c r="C521">
        <f>AVERAGE('R1'!J521,'R2'!J521,'R3'!J521)</f>
        <v>1.18</v>
      </c>
      <c r="D521">
        <f>AVERAGE('R1'!K521,'R2'!K521,'R3'!K521)</f>
        <v>21.947516750000002</v>
      </c>
      <c r="E521">
        <f>AVERAGE('R1'!L521,'R2'!L521,'R3'!L521)</f>
        <v>-0.55752885221949511</v>
      </c>
      <c r="F521">
        <f>AVERAGE('R1'!M521,'R2'!M521,'R3'!M521)</f>
        <v>3.2369740738470711</v>
      </c>
      <c r="G521">
        <f>AVERAGE('R1'!N521,'R2'!N521,'R3'!N521)</f>
        <v>-1.7630982919632439</v>
      </c>
      <c r="H521">
        <f>AVERAGE('R1'!O521,'R2'!O521,'R3'!O521)</f>
        <v>-1.1386966464576924</v>
      </c>
      <c r="I521">
        <f t="shared" si="12"/>
        <v>4316.344960833334</v>
      </c>
      <c r="K521">
        <f>_xlfn.STDEV.S('R1'!L521,'R2'!L521,'R3'!L521)</f>
        <v>3.2140030951355193E-3</v>
      </c>
      <c r="L521">
        <f>_xlfn.STDEV.S('R1'!M521,'R2'!M521,'R3'!M521)</f>
        <v>1.1179908937432674E-2</v>
      </c>
      <c r="M521">
        <f>_xlfn.STDEV.S('R1'!N521,'R2'!N521,'R3'!N521)</f>
        <v>1.1320061580585456E-2</v>
      </c>
      <c r="N521">
        <f>_xlfn.STDEV.S('R1'!O521,'R2'!O521,'R3'!O521)</f>
        <v>5.8614017333059529E-3</v>
      </c>
    </row>
    <row r="522" spans="1:14" x14ac:dyDescent="0.25">
      <c r="A522">
        <f>-'R1'!H522</f>
        <v>-44</v>
      </c>
      <c r="B522">
        <f>DEGREES(ATAN(-SIN(RADIANS(('R1'!I522)))/(COS(RADIANS(Sheet1!A522))*COS(RADIANS('R1'!I522)))))</f>
        <v>-16.461798422084197</v>
      </c>
      <c r="C522">
        <f>AVERAGE('R1'!J522,'R2'!J522,'R3'!J522)</f>
        <v>1.18</v>
      </c>
      <c r="D522">
        <f>AVERAGE('R1'!K522,'R2'!K522,'R3'!K522)</f>
        <v>22.093257750000003</v>
      </c>
      <c r="E522">
        <f>AVERAGE('R1'!L522,'R2'!L522,'R3'!L522)</f>
        <v>-0.83749016392596098</v>
      </c>
      <c r="F522">
        <f>AVERAGE('R1'!M522,'R2'!M522,'R3'!M522)</f>
        <v>2.9949153889032551</v>
      </c>
      <c r="G522">
        <f>AVERAGE('R1'!N522,'R2'!N522,'R3'!N522)</f>
        <v>-1.6617929465649031</v>
      </c>
      <c r="H522">
        <f>AVERAGE('R1'!O522,'R2'!O522,'R3'!O522)</f>
        <v>-1.1516049720521784</v>
      </c>
      <c r="I522">
        <f t="shared" si="12"/>
        <v>4345.0073575000006</v>
      </c>
      <c r="K522">
        <f>_xlfn.STDEV.S('R1'!L522,'R2'!L522,'R3'!L522)</f>
        <v>7.0266232830214102E-3</v>
      </c>
      <c r="L522">
        <f>_xlfn.STDEV.S('R1'!M522,'R2'!M522,'R3'!M522)</f>
        <v>1.3504879350655112E-2</v>
      </c>
      <c r="M522">
        <f>_xlfn.STDEV.S('R1'!N522,'R2'!N522,'R3'!N522)</f>
        <v>7.515650462196528E-3</v>
      </c>
      <c r="N522">
        <f>_xlfn.STDEV.S('R1'!O522,'R2'!O522,'R3'!O522)</f>
        <v>6.862925420540786E-3</v>
      </c>
    </row>
    <row r="523" spans="1:14" x14ac:dyDescent="0.25">
      <c r="A523">
        <f>-'R1'!H523</f>
        <v>-44</v>
      </c>
      <c r="B523">
        <f>DEGREES(ATAN(-SIN(RADIANS(('R1'!I523)))/(COS(RADIANS(Sheet1!A523))*COS(RADIANS('R1'!I523)))))</f>
        <v>-21.733362927744114</v>
      </c>
      <c r="C523">
        <f>AVERAGE('R1'!J523,'R2'!J523,'R3'!J523)</f>
        <v>1.18</v>
      </c>
      <c r="D523">
        <f>AVERAGE('R1'!K523,'R2'!K523,'R3'!K523)</f>
        <v>22.241514833333337</v>
      </c>
      <c r="E523">
        <f>AVERAGE('R1'!L523,'R2'!L523,'R3'!L523)</f>
        <v>-1.0556465455696971</v>
      </c>
      <c r="F523">
        <f>AVERAGE('R1'!M523,'R2'!M523,'R3'!M523)</f>
        <v>2.8099484513197091</v>
      </c>
      <c r="G523">
        <f>AVERAGE('R1'!N523,'R2'!N523,'R3'!N523)</f>
        <v>-1.5951709201142836</v>
      </c>
      <c r="H523">
        <f>AVERAGE('R1'!O523,'R2'!O523,'R3'!O523)</f>
        <v>-1.1823553749000031</v>
      </c>
      <c r="I523">
        <f t="shared" si="12"/>
        <v>4374.1645838888899</v>
      </c>
      <c r="K523">
        <f>_xlfn.STDEV.S('R1'!L523,'R2'!L523,'R3'!L523)</f>
        <v>4.2601249818741711E-3</v>
      </c>
      <c r="L523">
        <f>_xlfn.STDEV.S('R1'!M523,'R2'!M523,'R3'!M523)</f>
        <v>8.0756117379479735E-3</v>
      </c>
      <c r="M523">
        <f>_xlfn.STDEV.S('R1'!N523,'R2'!N523,'R3'!N523)</f>
        <v>1.0678669817131788E-2</v>
      </c>
      <c r="N523">
        <f>_xlfn.STDEV.S('R1'!O523,'R2'!O523,'R3'!O523)</f>
        <v>8.9786809361226076E-4</v>
      </c>
    </row>
    <row r="524" spans="1:14" x14ac:dyDescent="0.25">
      <c r="A524">
        <f>-'R1'!H524</f>
        <v>-44</v>
      </c>
      <c r="B524">
        <f>DEGREES(ATAN(-SIN(RADIANS(('R1'!I524)))/(COS(RADIANS(Sheet1!A524))*COS(RADIANS('R1'!I524)))))</f>
        <v>-26.838414444764965</v>
      </c>
      <c r="C524">
        <f>AVERAGE('R1'!J524,'R2'!J524,'R3'!J524)</f>
        <v>1.18</v>
      </c>
      <c r="D524">
        <f>AVERAGE('R1'!K524,'R2'!K524,'R3'!K524)</f>
        <v>22.381037916666667</v>
      </c>
      <c r="E524">
        <f>AVERAGE('R1'!L524,'R2'!L524,'R3'!L524)</f>
        <v>-1.2384025105914134</v>
      </c>
      <c r="F524">
        <f>AVERAGE('R1'!M524,'R2'!M524,'R3'!M524)</f>
        <v>2.6628353601336472</v>
      </c>
      <c r="G524">
        <f>AVERAGE('R1'!N524,'R2'!N524,'R3'!N524)</f>
        <v>-1.5528019243651239</v>
      </c>
      <c r="H524">
        <f>AVERAGE('R1'!O524,'R2'!O524,'R3'!O524)</f>
        <v>-1.223956627612526</v>
      </c>
      <c r="I524">
        <f t="shared" si="12"/>
        <v>4401.6041236111114</v>
      </c>
      <c r="K524">
        <f>_xlfn.STDEV.S('R1'!L524,'R2'!L524,'R3'!L524)</f>
        <v>1.7123068524798931E-3</v>
      </c>
      <c r="L524">
        <f>_xlfn.STDEV.S('R1'!M524,'R2'!M524,'R3'!M524)</f>
        <v>1.7224886605029931E-2</v>
      </c>
      <c r="M524">
        <f>_xlfn.STDEV.S('R1'!N524,'R2'!N524,'R3'!N524)</f>
        <v>1.3397139686860763E-2</v>
      </c>
      <c r="N524">
        <f>_xlfn.STDEV.S('R1'!O524,'R2'!O524,'R3'!O524)</f>
        <v>5.8574988653269178E-3</v>
      </c>
    </row>
    <row r="525" spans="1:14" x14ac:dyDescent="0.25">
      <c r="A525">
        <f>-'R1'!H525</f>
        <v>-44</v>
      </c>
      <c r="B525">
        <f>DEGREES(ATAN(-SIN(RADIANS(('R1'!I525)))/(COS(RADIANS(Sheet1!A525))*COS(RADIANS('R1'!I525)))))</f>
        <v>-31.755051399893443</v>
      </c>
      <c r="C525">
        <f>AVERAGE('R1'!J525,'R2'!J525,'R3'!J525)</f>
        <v>1.18</v>
      </c>
      <c r="D525">
        <f>AVERAGE('R1'!K525,'R2'!K525,'R3'!K525)</f>
        <v>22.466218166666668</v>
      </c>
      <c r="E525">
        <f>AVERAGE('R1'!L525,'R2'!L525,'R3'!L525)</f>
        <v>-1.3831405546376814</v>
      </c>
      <c r="F525">
        <f>AVERAGE('R1'!M525,'R2'!M525,'R3'!M525)</f>
        <v>2.545768969425275</v>
      </c>
      <c r="G525">
        <f>AVERAGE('R1'!N525,'R2'!N525,'R3'!N525)</f>
        <v>-1.5269471046086729</v>
      </c>
      <c r="H525">
        <f>AVERAGE('R1'!O525,'R2'!O525,'R3'!O525)</f>
        <v>-1.268312391718371</v>
      </c>
      <c r="I525">
        <f t="shared" si="12"/>
        <v>4418.3562394444443</v>
      </c>
      <c r="K525">
        <f>_xlfn.STDEV.S('R1'!L525,'R2'!L525,'R3'!L525)</f>
        <v>6.3736801109723698E-3</v>
      </c>
      <c r="L525">
        <f>_xlfn.STDEV.S('R1'!M525,'R2'!M525,'R3'!M525)</f>
        <v>5.1691525389754057E-3</v>
      </c>
      <c r="M525">
        <f>_xlfn.STDEV.S('R1'!N525,'R2'!N525,'R3'!N525)</f>
        <v>8.8429042878973383E-3</v>
      </c>
      <c r="N525">
        <f>_xlfn.STDEV.S('R1'!O525,'R2'!O525,'R3'!O525)</f>
        <v>8.2508902898565707E-4</v>
      </c>
    </row>
    <row r="526" spans="1:14" x14ac:dyDescent="0.25">
      <c r="A526">
        <f>-'R1'!H526</f>
        <v>-44</v>
      </c>
      <c r="B526">
        <f>DEGREES(ATAN(-SIN(RADIANS(('R1'!I526)))/(COS(RADIANS(Sheet1!A526))*COS(RADIANS('R1'!I526)))))</f>
        <v>-36.470444456761925</v>
      </c>
      <c r="C526">
        <f>AVERAGE('R1'!J526,'R2'!J526,'R3'!J526)</f>
        <v>1.18</v>
      </c>
      <c r="D526">
        <f>AVERAGE('R1'!K526,'R2'!K526,'R3'!K526)</f>
        <v>22.579725</v>
      </c>
      <c r="E526">
        <f>AVERAGE('R1'!L526,'R2'!L526,'R3'!L526)</f>
        <v>-1.5076402722606088</v>
      </c>
      <c r="F526">
        <f>AVERAGE('R1'!M526,'R2'!M526,'R3'!M526)</f>
        <v>2.4333405470351455</v>
      </c>
      <c r="G526">
        <f>AVERAGE('R1'!N526,'R2'!N526,'R3'!N526)</f>
        <v>-1.508025253231932</v>
      </c>
      <c r="H526">
        <f>AVERAGE('R1'!O526,'R2'!O526,'R3'!O526)</f>
        <v>-1.3132537314153525</v>
      </c>
      <c r="I526">
        <f t="shared" si="12"/>
        <v>4440.6792500000001</v>
      </c>
      <c r="K526">
        <f>_xlfn.STDEV.S('R1'!L526,'R2'!L526,'R3'!L526)</f>
        <v>5.344068321051945E-3</v>
      </c>
      <c r="L526">
        <f>_xlfn.STDEV.S('R1'!M526,'R2'!M526,'R3'!M526)</f>
        <v>1.1771281056855595E-2</v>
      </c>
      <c r="M526">
        <f>_xlfn.STDEV.S('R1'!N526,'R2'!N526,'R3'!N526)</f>
        <v>1.3967372964412295E-2</v>
      </c>
      <c r="N526">
        <f>_xlfn.STDEV.S('R1'!O526,'R2'!O526,'R3'!O526)</f>
        <v>1.9404133013909252E-3</v>
      </c>
    </row>
    <row r="527" spans="1:14" x14ac:dyDescent="0.25">
      <c r="A527">
        <f>-'R1'!H527</f>
        <v>-44</v>
      </c>
      <c r="B527">
        <f>DEGREES(ATAN(-SIN(RADIANS(('R1'!I527)))/(COS(RADIANS(Sheet1!A527))*COS(RADIANS('R1'!I527)))))</f>
        <v>-40.979886989205063</v>
      </c>
      <c r="C527">
        <f>AVERAGE('R1'!J527,'R2'!J527,'R3'!J527)</f>
        <v>1.18</v>
      </c>
      <c r="D527">
        <f>AVERAGE('R1'!K527,'R2'!K527,'R3'!K527)</f>
        <v>22.660979083333331</v>
      </c>
      <c r="E527">
        <f>AVERAGE('R1'!L527,'R2'!L527,'R3'!L527)</f>
        <v>-1.6208635296888694</v>
      </c>
      <c r="F527">
        <f>AVERAGE('R1'!M527,'R2'!M527,'R3'!M527)</f>
        <v>2.344110445930454</v>
      </c>
      <c r="G527">
        <f>AVERAGE('R1'!N527,'R2'!N527,'R3'!N527)</f>
        <v>-1.5172633638537656</v>
      </c>
      <c r="H527">
        <f>AVERAGE('R1'!O527,'R2'!O527,'R3'!O527)</f>
        <v>-1.3707260763379689</v>
      </c>
      <c r="I527">
        <f t="shared" si="12"/>
        <v>4456.6592197222217</v>
      </c>
      <c r="K527">
        <f>_xlfn.STDEV.S('R1'!L527,'R2'!L527,'R3'!L527)</f>
        <v>8.2187873541280654E-3</v>
      </c>
      <c r="L527">
        <f>_xlfn.STDEV.S('R1'!M527,'R2'!M527,'R3'!M527)</f>
        <v>1.0662897301694773E-2</v>
      </c>
      <c r="M527">
        <f>_xlfn.STDEV.S('R1'!N527,'R2'!N527,'R3'!N527)</f>
        <v>1.4964238578704348E-2</v>
      </c>
      <c r="N527">
        <f>_xlfn.STDEV.S('R1'!O527,'R2'!O527,'R3'!O527)</f>
        <v>4.1125833352406438E-3</v>
      </c>
    </row>
    <row r="528" spans="1:14" x14ac:dyDescent="0.25">
      <c r="A528">
        <f>-'R1'!H528</f>
        <v>-44</v>
      </c>
      <c r="B528">
        <f>DEGREES(ATAN(-SIN(RADIANS(('R1'!I528)))/(COS(RADIANS(Sheet1!A528))*COS(RADIANS('R1'!I528)))))</f>
        <v>-45.285419134418312</v>
      </c>
      <c r="C528">
        <f>AVERAGE('R1'!J528,'R2'!J528,'R3'!J528)</f>
        <v>1.18</v>
      </c>
      <c r="D528">
        <f>AVERAGE('R1'!K528,'R2'!K528,'R3'!K528)</f>
        <v>22.429957833333333</v>
      </c>
      <c r="E528">
        <f>AVERAGE('R1'!L528,'R2'!L528,'R3'!L528)</f>
        <v>-1.7158694153313399</v>
      </c>
      <c r="F528">
        <f>AVERAGE('R1'!M528,'R2'!M528,'R3'!M528)</f>
        <v>2.257139706159093</v>
      </c>
      <c r="G528">
        <f>AVERAGE('R1'!N528,'R2'!N528,'R3'!N528)</f>
        <v>-1.5287614498666382</v>
      </c>
      <c r="H528">
        <f>AVERAGE('R1'!O528,'R2'!O528,'R3'!O528)</f>
        <v>-1.4243243095815341</v>
      </c>
      <c r="I528">
        <f t="shared" si="12"/>
        <v>4411.2250405555551</v>
      </c>
      <c r="K528">
        <f>_xlfn.STDEV.S('R1'!L528,'R2'!L528,'R3'!L528)</f>
        <v>8.7055543916230785E-3</v>
      </c>
      <c r="L528">
        <f>_xlfn.STDEV.S('R1'!M528,'R2'!M528,'R3'!M528)</f>
        <v>7.4941489905218988E-3</v>
      </c>
      <c r="M528">
        <f>_xlfn.STDEV.S('R1'!N528,'R2'!N528,'R3'!N528)</f>
        <v>1.2979041053607131E-2</v>
      </c>
      <c r="N528">
        <f>_xlfn.STDEV.S('R1'!O528,'R2'!O528,'R3'!O528)</f>
        <v>3.4827486872027655E-3</v>
      </c>
    </row>
    <row r="529" spans="1:14" x14ac:dyDescent="0.25">
      <c r="A529">
        <f>-'R1'!H529</f>
        <v>-44</v>
      </c>
      <c r="B529">
        <f>DEGREES(ATAN(-SIN(RADIANS(('R1'!I529)))/(COS(RADIANS(Sheet1!A529))*COS(RADIANS('R1'!I529)))))</f>
        <v>-49.394314915379752</v>
      </c>
      <c r="C529">
        <f>AVERAGE('R1'!J529,'R2'!J529,'R3'!J529)</f>
        <v>1.18</v>
      </c>
      <c r="D529">
        <f>AVERAGE('R1'!K529,'R2'!K529,'R3'!K529)</f>
        <v>22.130867333333338</v>
      </c>
      <c r="E529">
        <f>AVERAGE('R1'!L529,'R2'!L529,'R3'!L529)</f>
        <v>-1.7956987554012069</v>
      </c>
      <c r="F529">
        <f>AVERAGE('R1'!M529,'R2'!M529,'R3'!M529)</f>
        <v>2.2134327359016712</v>
      </c>
      <c r="G529">
        <f>AVERAGE('R1'!N529,'R2'!N529,'R3'!N529)</f>
        <v>-1.5697999647422691</v>
      </c>
      <c r="H529">
        <f>AVERAGE('R1'!O529,'R2'!O529,'R3'!O529)</f>
        <v>-1.492598214885887</v>
      </c>
      <c r="I529">
        <f t="shared" si="12"/>
        <v>4352.4039088888903</v>
      </c>
      <c r="K529">
        <f>_xlfn.STDEV.S('R1'!L529,'R2'!L529,'R3'!L529)</f>
        <v>3.4135907952300153E-3</v>
      </c>
      <c r="L529">
        <f>_xlfn.STDEV.S('R1'!M529,'R2'!M529,'R3'!M529)</f>
        <v>3.1680906235752892E-3</v>
      </c>
      <c r="M529">
        <f>_xlfn.STDEV.S('R1'!N529,'R2'!N529,'R3'!N529)</f>
        <v>1.0404869797725194E-3</v>
      </c>
      <c r="N529">
        <f>_xlfn.STDEV.S('R1'!O529,'R2'!O529,'R3'!O529)</f>
        <v>3.2451178669182087E-3</v>
      </c>
    </row>
    <row r="530" spans="1:14" x14ac:dyDescent="0.25">
      <c r="A530">
        <f>-'R1'!H530</f>
        <v>-44</v>
      </c>
      <c r="B530">
        <f>DEGREES(ATAN(-SIN(RADIANS(('R1'!I530)))/(COS(RADIANS(Sheet1!A530))*COS(RADIANS('R1'!I530)))))</f>
        <v>-53.317641506405714</v>
      </c>
      <c r="C530">
        <f>AVERAGE('R1'!J530,'R2'!J530,'R3'!J530)</f>
        <v>1.18</v>
      </c>
      <c r="D530">
        <f>AVERAGE('R1'!K530,'R2'!K530,'R3'!K530)</f>
        <v>21.998121250000001</v>
      </c>
      <c r="E530">
        <f>AVERAGE('R1'!L530,'R2'!L530,'R3'!L530)</f>
        <v>-1.8744121693284665</v>
      </c>
      <c r="F530">
        <f>AVERAGE('R1'!M530,'R2'!M530,'R3'!M530)</f>
        <v>2.1955386334501807</v>
      </c>
      <c r="G530">
        <f>AVERAGE('R1'!N530,'R2'!N530,'R3'!N530)</f>
        <v>-1.6422293677861521</v>
      </c>
      <c r="H530">
        <f>AVERAGE('R1'!O530,'R2'!O530,'R3'!O530)</f>
        <v>-1.5776938296526002</v>
      </c>
      <c r="I530">
        <f t="shared" si="12"/>
        <v>4326.2971791666669</v>
      </c>
      <c r="K530">
        <f>_xlfn.STDEV.S('R1'!L530,'R2'!L530,'R3'!L530)</f>
        <v>1.0147907787788088E-2</v>
      </c>
      <c r="L530">
        <f>_xlfn.STDEV.S('R1'!M530,'R2'!M530,'R3'!M530)</f>
        <v>7.3995897908112557E-3</v>
      </c>
      <c r="M530">
        <f>_xlfn.STDEV.S('R1'!N530,'R2'!N530,'R3'!N530)</f>
        <v>1.47541557381041E-2</v>
      </c>
      <c r="N530">
        <f>_xlfn.STDEV.S('R1'!O530,'R2'!O530,'R3'!O530)</f>
        <v>5.5129794249725765E-3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F633-1505-404B-AFA1-30D578B7A5AC}">
  <dimension ref="A1:O530"/>
  <sheetViews>
    <sheetView workbookViewId="0">
      <selection activeCell="A2" sqref="A2:O530"/>
    </sheetView>
  </sheetViews>
  <sheetFormatPr defaultRowHeight="15" x14ac:dyDescent="0.25"/>
  <cols>
    <col min="11" max="11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69.684648250000009</v>
      </c>
      <c r="B2">
        <v>-450.31115749999998</v>
      </c>
      <c r="C2">
        <v>-452.05036174999998</v>
      </c>
      <c r="D2">
        <v>177.90085199999999</v>
      </c>
      <c r="E2">
        <v>-195.00744599999999</v>
      </c>
      <c r="F2">
        <v>6.4806577499999998</v>
      </c>
      <c r="G2">
        <v>305.27658100000002</v>
      </c>
      <c r="H2">
        <v>-44</v>
      </c>
      <c r="I2">
        <v>-44</v>
      </c>
      <c r="J2">
        <v>1.18</v>
      </c>
      <c r="K2">
        <v>22.50406375</v>
      </c>
      <c r="L2">
        <v>2.0366844584153498</v>
      </c>
      <c r="M2">
        <v>-2.4523069137483722</v>
      </c>
      <c r="N2">
        <v>-1.952936415344974</v>
      </c>
      <c r="O2">
        <v>-1.786542765916348</v>
      </c>
    </row>
    <row r="3" spans="1:15" x14ac:dyDescent="0.25">
      <c r="A3">
        <v>77.678243500000008</v>
      </c>
      <c r="B3">
        <v>-448.3924945</v>
      </c>
      <c r="C3">
        <v>-457.91528325000002</v>
      </c>
      <c r="D3">
        <v>211.01390824999999</v>
      </c>
      <c r="E3">
        <v>-172.01415274999999</v>
      </c>
      <c r="F3">
        <v>6.7242907499999998</v>
      </c>
      <c r="G3">
        <v>320.564415</v>
      </c>
      <c r="H3">
        <v>-44</v>
      </c>
      <c r="I3">
        <v>-40</v>
      </c>
      <c r="J3">
        <v>1.18</v>
      </c>
      <c r="K3">
        <v>23.063654750000001</v>
      </c>
      <c r="L3">
        <v>1.905108371897432</v>
      </c>
      <c r="M3">
        <v>-2.3455300114670008</v>
      </c>
      <c r="N3">
        <v>-1.7521347584110889</v>
      </c>
      <c r="O3">
        <v>-1.6357879289435411</v>
      </c>
    </row>
    <row r="4" spans="1:15" x14ac:dyDescent="0.25">
      <c r="A4">
        <v>84.352706999999995</v>
      </c>
      <c r="B4">
        <v>-433.57080100000002</v>
      </c>
      <c r="C4">
        <v>-445.05755599999998</v>
      </c>
      <c r="D4">
        <v>244.91122050000001</v>
      </c>
      <c r="E4">
        <v>-143.85597625</v>
      </c>
      <c r="F4">
        <v>7.0166500000000003</v>
      </c>
      <c r="G4">
        <v>335.49208049999999</v>
      </c>
      <c r="H4">
        <v>-44</v>
      </c>
      <c r="I4">
        <v>-36</v>
      </c>
      <c r="J4">
        <v>1.18</v>
      </c>
      <c r="K4">
        <v>23.595286000000002</v>
      </c>
      <c r="L4">
        <v>1.791842637902582</v>
      </c>
      <c r="M4">
        <v>-2.2963958407035689</v>
      </c>
      <c r="N4">
        <v>-1.622415584902376</v>
      </c>
      <c r="O4">
        <v>-1.510655160954403</v>
      </c>
    </row>
    <row r="5" spans="1:15" x14ac:dyDescent="0.25">
      <c r="A5">
        <v>79.207668499999997</v>
      </c>
      <c r="B5">
        <v>-391.12028500000002</v>
      </c>
      <c r="C5">
        <v>-393.17555225000001</v>
      </c>
      <c r="D5">
        <v>257.01969924999997</v>
      </c>
      <c r="E5">
        <v>-110.6242045</v>
      </c>
      <c r="F5">
        <v>6.7730174999999999</v>
      </c>
      <c r="G5">
        <v>324.12624375000001</v>
      </c>
      <c r="H5">
        <v>-44</v>
      </c>
      <c r="I5">
        <v>-32</v>
      </c>
      <c r="J5">
        <v>1.18</v>
      </c>
      <c r="K5">
        <v>23.19234325</v>
      </c>
      <c r="L5">
        <v>1.6780435497160671</v>
      </c>
      <c r="M5">
        <v>-2.3023772017145872</v>
      </c>
      <c r="N5">
        <v>-1.544443861410568</v>
      </c>
      <c r="O5">
        <v>-1.4170718067816279</v>
      </c>
    </row>
    <row r="6" spans="1:15" x14ac:dyDescent="0.25">
      <c r="A6">
        <v>68.470566000000005</v>
      </c>
      <c r="B6">
        <v>-337.34964000000002</v>
      </c>
      <c r="C6">
        <v>-323.65364825</v>
      </c>
      <c r="D6">
        <v>250.98917750000001</v>
      </c>
      <c r="E6">
        <v>-76.37153825</v>
      </c>
      <c r="F6">
        <v>6.2370254999999997</v>
      </c>
      <c r="G6">
        <v>298.39305100000001</v>
      </c>
      <c r="H6">
        <v>-44</v>
      </c>
      <c r="I6">
        <v>-28</v>
      </c>
      <c r="J6">
        <v>1.18</v>
      </c>
      <c r="K6">
        <v>22.252606249999999</v>
      </c>
      <c r="L6">
        <v>1.543024438941639</v>
      </c>
      <c r="M6">
        <v>-2.3151179366482659</v>
      </c>
      <c r="N6">
        <v>-1.474720188275441</v>
      </c>
      <c r="O6">
        <v>-1.3250703418586469</v>
      </c>
    </row>
    <row r="7" spans="1:15" x14ac:dyDescent="0.25">
      <c r="A7">
        <v>58.085527499999998</v>
      </c>
      <c r="B7">
        <v>-302.38194249999998</v>
      </c>
      <c r="C7">
        <v>-267.89173125000002</v>
      </c>
      <c r="D7">
        <v>248.92974475</v>
      </c>
      <c r="E7">
        <v>-52.052534000000001</v>
      </c>
      <c r="F7">
        <v>6.0421192499999998</v>
      </c>
      <c r="G7">
        <v>281.26426700000002</v>
      </c>
      <c r="H7">
        <v>-44</v>
      </c>
      <c r="I7">
        <v>-24</v>
      </c>
      <c r="J7">
        <v>1.18</v>
      </c>
      <c r="K7">
        <v>21.598090249999998</v>
      </c>
      <c r="L7">
        <v>1.398563452291264</v>
      </c>
      <c r="M7">
        <v>-2.3653402313494181</v>
      </c>
      <c r="N7">
        <v>-1.430072345563824</v>
      </c>
      <c r="O7">
        <v>-1.2492712333514779</v>
      </c>
    </row>
    <row r="8" spans="1:15" x14ac:dyDescent="0.25">
      <c r="A8">
        <v>42.610715749999997</v>
      </c>
      <c r="B8">
        <v>-274.12955475000001</v>
      </c>
      <c r="C8">
        <v>-218.58125674999999</v>
      </c>
      <c r="D8">
        <v>245.4525185</v>
      </c>
      <c r="E8">
        <v>-36.577357249999999</v>
      </c>
      <c r="F8">
        <v>5.3112205000000001</v>
      </c>
      <c r="G8">
        <v>264.45565025000002</v>
      </c>
      <c r="H8">
        <v>-44</v>
      </c>
      <c r="I8">
        <v>-20</v>
      </c>
      <c r="J8">
        <v>1.18</v>
      </c>
      <c r="K8">
        <v>20.957752500000002</v>
      </c>
      <c r="L8">
        <v>1.2451068477956611</v>
      </c>
      <c r="M8">
        <v>-2.4769037089204828</v>
      </c>
      <c r="N8">
        <v>-1.4350857004017119</v>
      </c>
      <c r="O8">
        <v>-1.199711602683033</v>
      </c>
    </row>
    <row r="9" spans="1:15" x14ac:dyDescent="0.25">
      <c r="A9">
        <v>33.804316749999998</v>
      </c>
      <c r="B9">
        <v>-285.49766549999998</v>
      </c>
      <c r="C9">
        <v>-199.27211374999999</v>
      </c>
      <c r="D9">
        <v>271.81189725000002</v>
      </c>
      <c r="E9">
        <v>-25.91307175</v>
      </c>
      <c r="F9">
        <v>6.1882987500000004</v>
      </c>
      <c r="G9">
        <v>284.50593574999999</v>
      </c>
      <c r="H9">
        <v>-44</v>
      </c>
      <c r="I9">
        <v>-16</v>
      </c>
      <c r="J9">
        <v>1.18</v>
      </c>
      <c r="K9">
        <v>21.719197000000001</v>
      </c>
      <c r="L9">
        <v>1.076720814096372</v>
      </c>
      <c r="M9">
        <v>-2.5745642113645082</v>
      </c>
      <c r="N9">
        <v>-1.434029191234409</v>
      </c>
      <c r="O9">
        <v>-1.14831520669693</v>
      </c>
    </row>
    <row r="10" spans="1:15" x14ac:dyDescent="0.25">
      <c r="A10">
        <v>20.49154725</v>
      </c>
      <c r="B10">
        <v>-301.37464875000001</v>
      </c>
      <c r="C10">
        <v>-179.28625124999999</v>
      </c>
      <c r="D10">
        <v>297.41722874999999</v>
      </c>
      <c r="E10">
        <v>-17.576091999999999</v>
      </c>
      <c r="F10">
        <v>6.2370260000000002</v>
      </c>
      <c r="G10">
        <v>304.51618975000002</v>
      </c>
      <c r="H10">
        <v>-44</v>
      </c>
      <c r="I10">
        <v>-12</v>
      </c>
      <c r="J10">
        <v>1.18</v>
      </c>
      <c r="K10">
        <v>22.48459575</v>
      </c>
      <c r="L10">
        <v>0.89685699268864028</v>
      </c>
      <c r="M10">
        <v>-2.688230237097073</v>
      </c>
      <c r="N10">
        <v>-1.446052808561713</v>
      </c>
      <c r="O10">
        <v>-1.1069240182926761</v>
      </c>
    </row>
    <row r="11" spans="1:15" x14ac:dyDescent="0.25">
      <c r="A11">
        <v>-1.576541</v>
      </c>
      <c r="B11">
        <v>-315.2849655</v>
      </c>
      <c r="C11">
        <v>-149.23979199999999</v>
      </c>
      <c r="D11">
        <v>319.98524474999999</v>
      </c>
      <c r="E11">
        <v>-11.86381725</v>
      </c>
      <c r="F11">
        <v>6.4319315000000001</v>
      </c>
      <c r="G11">
        <v>321.16473374999998</v>
      </c>
      <c r="H11">
        <v>-44</v>
      </c>
      <c r="I11">
        <v>-8</v>
      </c>
      <c r="J11">
        <v>1.18</v>
      </c>
      <c r="K11">
        <v>23.09642625</v>
      </c>
      <c r="L11">
        <v>0.67000849681386176</v>
      </c>
      <c r="M11">
        <v>-2.8824834390825509</v>
      </c>
      <c r="N11">
        <v>-1.511119905413888</v>
      </c>
      <c r="O11">
        <v>-1.08303651603989</v>
      </c>
    </row>
    <row r="12" spans="1:15" x14ac:dyDescent="0.25">
      <c r="A12">
        <v>-28.696848249999999</v>
      </c>
      <c r="B12">
        <v>-330.15463249999999</v>
      </c>
      <c r="C12">
        <v>-116.71201524999999</v>
      </c>
      <c r="D12">
        <v>334.87928799999997</v>
      </c>
      <c r="E12">
        <v>-10.080454</v>
      </c>
      <c r="F12">
        <v>7.1141030000000001</v>
      </c>
      <c r="G12">
        <v>335.69217674999999</v>
      </c>
      <c r="H12">
        <v>-44</v>
      </c>
      <c r="I12">
        <v>-4</v>
      </c>
      <c r="J12">
        <v>1.18</v>
      </c>
      <c r="K12">
        <v>23.598975500000002</v>
      </c>
      <c r="L12">
        <v>0.41251385795324857</v>
      </c>
      <c r="M12">
        <v>-3.1172587085246972</v>
      </c>
      <c r="N12">
        <v>-1.620835716409786</v>
      </c>
      <c r="O12">
        <v>-1.080647408390635</v>
      </c>
    </row>
    <row r="13" spans="1:15" x14ac:dyDescent="0.25">
      <c r="A13">
        <v>-56.402479</v>
      </c>
      <c r="B13">
        <v>-322.00029000000001</v>
      </c>
      <c r="C13">
        <v>-75.9282185</v>
      </c>
      <c r="D13">
        <v>325.98490900000002</v>
      </c>
      <c r="E13">
        <v>-12.489012499999999</v>
      </c>
      <c r="F13">
        <v>7.0166500000000003</v>
      </c>
      <c r="G13">
        <v>325.56699374999999</v>
      </c>
      <c r="H13">
        <v>-44</v>
      </c>
      <c r="I13">
        <v>0</v>
      </c>
      <c r="J13">
        <v>1.18</v>
      </c>
      <c r="K13">
        <v>23.236057250000002</v>
      </c>
      <c r="L13">
        <v>0.104684453166244</v>
      </c>
      <c r="M13">
        <v>-3.4750003588040981</v>
      </c>
      <c r="N13">
        <v>-1.812952005382056</v>
      </c>
      <c r="O13">
        <v>-1.10463719650353</v>
      </c>
    </row>
    <row r="14" spans="1:15" x14ac:dyDescent="0.25">
      <c r="A14">
        <v>-78.827043500000002</v>
      </c>
      <c r="B14">
        <v>-298.44866949999999</v>
      </c>
      <c r="C14">
        <v>-37.219717000000003</v>
      </c>
      <c r="D14">
        <v>300.52821349999999</v>
      </c>
      <c r="E14">
        <v>-11.151623499999999</v>
      </c>
      <c r="F14">
        <v>6.2857522499999998</v>
      </c>
      <c r="G14">
        <v>299.87380975000002</v>
      </c>
      <c r="H14">
        <v>-44</v>
      </c>
      <c r="I14">
        <v>4</v>
      </c>
      <c r="J14">
        <v>1.18</v>
      </c>
      <c r="K14">
        <v>22.307075749999999</v>
      </c>
      <c r="L14">
        <v>-0.23438638869661671</v>
      </c>
      <c r="M14">
        <v>-3.3748448563994549</v>
      </c>
      <c r="N14">
        <v>-1.752427877150692</v>
      </c>
      <c r="O14">
        <v>-1.098246025770643</v>
      </c>
    </row>
    <row r="15" spans="1:15" x14ac:dyDescent="0.25">
      <c r="A15">
        <v>-102.2114505</v>
      </c>
      <c r="B15">
        <v>-281.9481275</v>
      </c>
      <c r="C15">
        <v>-6.0002694999999999</v>
      </c>
      <c r="D15">
        <v>282.73918924999998</v>
      </c>
      <c r="E15">
        <v>-12.086820250000001</v>
      </c>
      <c r="F15">
        <v>6.0908457499999997</v>
      </c>
      <c r="G15">
        <v>282.82507325</v>
      </c>
      <c r="H15">
        <v>-44</v>
      </c>
      <c r="I15">
        <v>8</v>
      </c>
      <c r="J15">
        <v>1.18</v>
      </c>
      <c r="K15">
        <v>21.657340749999999</v>
      </c>
      <c r="L15">
        <v>-0.53453002214509493</v>
      </c>
      <c r="M15">
        <v>-3.1373234944455408</v>
      </c>
      <c r="N15">
        <v>-1.6385078590462869</v>
      </c>
      <c r="O15">
        <v>-1.101010383000846</v>
      </c>
    </row>
    <row r="16" spans="1:15" x14ac:dyDescent="0.25">
      <c r="A16">
        <v>-126.50007425</v>
      </c>
      <c r="B16">
        <v>-266.11910999999998</v>
      </c>
      <c r="C16">
        <v>18.24547475</v>
      </c>
      <c r="D16">
        <v>265.79965199999998</v>
      </c>
      <c r="E16">
        <v>-13.51498125</v>
      </c>
      <c r="F16">
        <v>5.50612675</v>
      </c>
      <c r="G16">
        <v>268.05749500000002</v>
      </c>
      <c r="H16">
        <v>-44</v>
      </c>
      <c r="I16">
        <v>12</v>
      </c>
      <c r="J16">
        <v>1.18</v>
      </c>
      <c r="K16">
        <v>21.095052750000001</v>
      </c>
      <c r="L16">
        <v>-0.79182647961682373</v>
      </c>
      <c r="M16">
        <v>-2.9099277480134469</v>
      </c>
      <c r="N16">
        <v>-1.540374177048913</v>
      </c>
      <c r="O16">
        <v>-1.104042080585617</v>
      </c>
    </row>
    <row r="17" spans="1:15" x14ac:dyDescent="0.25">
      <c r="A17">
        <v>-167.60881424999999</v>
      </c>
      <c r="B17">
        <v>-281.7082825</v>
      </c>
      <c r="C17">
        <v>38.568431750000002</v>
      </c>
      <c r="D17">
        <v>274.44071975000003</v>
      </c>
      <c r="E17">
        <v>-23.77223425</v>
      </c>
      <c r="F17">
        <v>5.9446682499999994</v>
      </c>
      <c r="G17">
        <v>280.94410699999997</v>
      </c>
      <c r="H17">
        <v>-44</v>
      </c>
      <c r="I17">
        <v>16</v>
      </c>
      <c r="J17">
        <v>1.18</v>
      </c>
      <c r="K17">
        <v>21.589347750000002</v>
      </c>
      <c r="L17">
        <v>-1.0264605307272161</v>
      </c>
      <c r="M17">
        <v>-2.768811899269521</v>
      </c>
      <c r="N17">
        <v>-1.5172039839973579</v>
      </c>
      <c r="O17">
        <v>-1.148127428953696</v>
      </c>
    </row>
    <row r="18" spans="1:15" x14ac:dyDescent="0.25">
      <c r="A18">
        <v>-215.72984700000001</v>
      </c>
      <c r="B18">
        <v>-307.22657774999999</v>
      </c>
      <c r="C18">
        <v>59.43333475</v>
      </c>
      <c r="D18">
        <v>287.47127549999999</v>
      </c>
      <c r="E18">
        <v>-34.70392725</v>
      </c>
      <c r="F18">
        <v>6.2370277500000002</v>
      </c>
      <c r="G18">
        <v>301.47463225000001</v>
      </c>
      <c r="H18">
        <v>-44</v>
      </c>
      <c r="I18">
        <v>20</v>
      </c>
      <c r="J18">
        <v>1.18</v>
      </c>
      <c r="K18">
        <v>22.369664499999999</v>
      </c>
      <c r="L18">
        <v>-1.2133752309677841</v>
      </c>
      <c r="M18">
        <v>-2.622457238549492</v>
      </c>
      <c r="N18">
        <v>-1.48247339502834</v>
      </c>
      <c r="O18">
        <v>-1.1805350187928869</v>
      </c>
    </row>
    <row r="19" spans="1:15" x14ac:dyDescent="0.25">
      <c r="A19">
        <v>-275.53427900000003</v>
      </c>
      <c r="B19">
        <v>-335.47894274999999</v>
      </c>
      <c r="C19">
        <v>78.627233500000003</v>
      </c>
      <c r="D19">
        <v>293.93077075000002</v>
      </c>
      <c r="E19">
        <v>-52.985764500000002</v>
      </c>
      <c r="F19">
        <v>6.5781112500000001</v>
      </c>
      <c r="G19">
        <v>318.92359149999999</v>
      </c>
      <c r="H19">
        <v>-44</v>
      </c>
      <c r="I19">
        <v>24</v>
      </c>
      <c r="J19">
        <v>1.18</v>
      </c>
      <c r="K19">
        <v>23.008666000000002</v>
      </c>
      <c r="L19">
        <v>-1.402505082257737</v>
      </c>
      <c r="M19">
        <v>-2.492572857048823</v>
      </c>
      <c r="N19">
        <v>-1.4728289585291909</v>
      </c>
      <c r="O19">
        <v>-1.235906388669795</v>
      </c>
    </row>
    <row r="20" spans="1:15" x14ac:dyDescent="0.25">
      <c r="A20">
        <v>-326.97457100000003</v>
      </c>
      <c r="B20">
        <v>-357.35176100000001</v>
      </c>
      <c r="C20">
        <v>96.330783749999995</v>
      </c>
      <c r="D20">
        <v>293.58023075</v>
      </c>
      <c r="E20">
        <v>-70.701368500000001</v>
      </c>
      <c r="F20">
        <v>7.0166522499999999</v>
      </c>
      <c r="G20">
        <v>333.29094724999999</v>
      </c>
      <c r="H20">
        <v>-44</v>
      </c>
      <c r="I20">
        <v>28</v>
      </c>
      <c r="J20">
        <v>1.18</v>
      </c>
      <c r="K20">
        <v>23.51609625</v>
      </c>
      <c r="L20">
        <v>-1.5593385062198251</v>
      </c>
      <c r="M20">
        <v>-2.397876895343118</v>
      </c>
      <c r="N20">
        <v>-1.4882080237134729</v>
      </c>
      <c r="O20">
        <v>-1.2862811284609981</v>
      </c>
    </row>
    <row r="21" spans="1:15" x14ac:dyDescent="0.25">
      <c r="A21">
        <v>-369.09072874999998</v>
      </c>
      <c r="B21">
        <v>-371.40597524999998</v>
      </c>
      <c r="C21">
        <v>104.5954515</v>
      </c>
      <c r="D21">
        <v>273.97612774999999</v>
      </c>
      <c r="E21">
        <v>-90.851858249999992</v>
      </c>
      <c r="F21">
        <v>6.7730192499999999</v>
      </c>
      <c r="G21">
        <v>330.04929375</v>
      </c>
      <c r="H21">
        <v>-44</v>
      </c>
      <c r="I21">
        <v>32</v>
      </c>
      <c r="J21">
        <v>1.18</v>
      </c>
      <c r="K21">
        <v>23.407782749999999</v>
      </c>
      <c r="L21">
        <v>-1.6954179238341871</v>
      </c>
      <c r="M21">
        <v>-2.3099855643002671</v>
      </c>
      <c r="N21">
        <v>-1.506513070150465</v>
      </c>
      <c r="O21">
        <v>-1.349438433584647</v>
      </c>
    </row>
    <row r="22" spans="1:15" x14ac:dyDescent="0.25">
      <c r="A22">
        <v>-375.98246799999998</v>
      </c>
      <c r="B22">
        <v>-363.22899625000002</v>
      </c>
      <c r="C22">
        <v>98.046949249999997</v>
      </c>
      <c r="D22">
        <v>234.469818</v>
      </c>
      <c r="E22">
        <v>-107.532568</v>
      </c>
      <c r="F22">
        <v>6.5293850000000004</v>
      </c>
      <c r="G22">
        <v>304.07596599999999</v>
      </c>
      <c r="H22">
        <v>-44</v>
      </c>
      <c r="I22">
        <v>36</v>
      </c>
      <c r="J22">
        <v>1.18</v>
      </c>
      <c r="K22">
        <v>22.4569595</v>
      </c>
      <c r="L22">
        <v>-1.8087703581947601</v>
      </c>
      <c r="M22">
        <v>-2.2806716384077221</v>
      </c>
      <c r="N22">
        <v>-1.5706005848089319</v>
      </c>
      <c r="O22">
        <v>-1.4352337999070159</v>
      </c>
    </row>
    <row r="23" spans="1:15" x14ac:dyDescent="0.25">
      <c r="A23">
        <v>-380.71208200000001</v>
      </c>
      <c r="B23">
        <v>-363.25164050000001</v>
      </c>
      <c r="C23">
        <v>91.408119499999998</v>
      </c>
      <c r="D23">
        <v>202.43890400000001</v>
      </c>
      <c r="E23">
        <v>-125.55129624999999</v>
      </c>
      <c r="F23">
        <v>6.0908502499999999</v>
      </c>
      <c r="G23">
        <v>285.90664674999999</v>
      </c>
      <c r="H23">
        <v>-44</v>
      </c>
      <c r="I23">
        <v>40</v>
      </c>
      <c r="J23">
        <v>1.18</v>
      </c>
      <c r="K23">
        <v>21.777588000000002</v>
      </c>
      <c r="L23">
        <v>-1.9158603277135151</v>
      </c>
      <c r="M23">
        <v>-2.2955809449890352</v>
      </c>
      <c r="N23">
        <v>-1.6697184698396721</v>
      </c>
      <c r="O23">
        <v>-1.5342237516325281</v>
      </c>
    </row>
    <row r="24" spans="1:15" x14ac:dyDescent="0.25">
      <c r="A24">
        <v>-374.36087025</v>
      </c>
      <c r="B24">
        <v>-357.37657925000002</v>
      </c>
      <c r="C24">
        <v>83.956365500000004</v>
      </c>
      <c r="D24">
        <v>173.91341399999999</v>
      </c>
      <c r="E24">
        <v>-142.32120125</v>
      </c>
      <c r="F24">
        <v>5.5548599999999997</v>
      </c>
      <c r="G24">
        <v>271.13907625000002</v>
      </c>
      <c r="H24">
        <v>-44</v>
      </c>
      <c r="I24">
        <v>44</v>
      </c>
      <c r="J24">
        <v>1.18</v>
      </c>
      <c r="K24">
        <v>21.216555499999998</v>
      </c>
      <c r="L24">
        <v>-2.0502468372629941</v>
      </c>
      <c r="M24">
        <v>-2.3767268131098249</v>
      </c>
      <c r="N24">
        <v>-1.8496678116569381</v>
      </c>
      <c r="O24">
        <v>-1.661548266491343</v>
      </c>
    </row>
    <row r="25" spans="1:15" x14ac:dyDescent="0.25">
      <c r="A25">
        <v>103.31518375</v>
      </c>
      <c r="B25">
        <v>-408.84844199999998</v>
      </c>
      <c r="C25">
        <v>-389.47615024999999</v>
      </c>
      <c r="D25">
        <v>162.08257649999999</v>
      </c>
      <c r="E25">
        <v>-148.87751775000001</v>
      </c>
      <c r="F25">
        <v>5.6523090000000007</v>
      </c>
      <c r="G25">
        <v>283.98566449999998</v>
      </c>
      <c r="H25">
        <v>-40</v>
      </c>
      <c r="I25">
        <v>-44</v>
      </c>
      <c r="J25">
        <v>1.18</v>
      </c>
      <c r="K25">
        <v>21.719820500000001</v>
      </c>
      <c r="L25">
        <v>1.968924130949411</v>
      </c>
      <c r="M25">
        <v>-2.2811440227383759</v>
      </c>
      <c r="N25">
        <v>-1.7295028937706589</v>
      </c>
      <c r="O25">
        <v>-1.617422511508724</v>
      </c>
    </row>
    <row r="26" spans="1:15" x14ac:dyDescent="0.25">
      <c r="A26">
        <v>113.25239775</v>
      </c>
      <c r="B26">
        <v>-412.44596100000001</v>
      </c>
      <c r="C26">
        <v>-389.9272995</v>
      </c>
      <c r="D26">
        <v>198.18856450000001</v>
      </c>
      <c r="E26">
        <v>-119.84238999999999</v>
      </c>
      <c r="F26">
        <v>6.3832092500000002</v>
      </c>
      <c r="G26">
        <v>303.99593349999998</v>
      </c>
      <c r="H26">
        <v>-40</v>
      </c>
      <c r="I26">
        <v>-40</v>
      </c>
      <c r="J26">
        <v>1.18</v>
      </c>
      <c r="K26">
        <v>22.459461000000001</v>
      </c>
      <c r="L26">
        <v>1.788479597264985</v>
      </c>
      <c r="M26">
        <v>-2.1704302125027279</v>
      </c>
      <c r="N26">
        <v>-1.506500329077</v>
      </c>
      <c r="O26">
        <v>-1.448628844617565</v>
      </c>
    </row>
    <row r="27" spans="1:15" x14ac:dyDescent="0.25">
      <c r="A27">
        <v>125.07050325</v>
      </c>
      <c r="B27">
        <v>-384.41605375</v>
      </c>
      <c r="C27">
        <v>-391.23561875000001</v>
      </c>
      <c r="D27">
        <v>230.57002249999999</v>
      </c>
      <c r="E27">
        <v>-84.964555750000002</v>
      </c>
      <c r="F27">
        <v>6.7730217499999998</v>
      </c>
      <c r="G27">
        <v>320.52439125000001</v>
      </c>
      <c r="H27">
        <v>-40</v>
      </c>
      <c r="I27">
        <v>-36</v>
      </c>
      <c r="J27">
        <v>1.18</v>
      </c>
      <c r="K27">
        <v>23.060388249999999</v>
      </c>
      <c r="L27">
        <v>1.7047601428452781</v>
      </c>
      <c r="M27">
        <v>-2.0305893843380942</v>
      </c>
      <c r="N27">
        <v>-1.3388706036317199</v>
      </c>
      <c r="O27">
        <v>-1.302903174951898</v>
      </c>
    </row>
    <row r="28" spans="1:15" x14ac:dyDescent="0.25">
      <c r="A28">
        <v>128.22160925</v>
      </c>
      <c r="B28">
        <v>-370.49844374999998</v>
      </c>
      <c r="C28">
        <v>-373.09946450000001</v>
      </c>
      <c r="D28">
        <v>261.76840199999998</v>
      </c>
      <c r="E28">
        <v>-55.884821000000002</v>
      </c>
      <c r="F28">
        <v>6.8704745000000003</v>
      </c>
      <c r="G28">
        <v>334.57160175000001</v>
      </c>
      <c r="H28">
        <v>-40</v>
      </c>
      <c r="I28">
        <v>-32</v>
      </c>
      <c r="J28">
        <v>1.18</v>
      </c>
      <c r="K28">
        <v>23.567460749999999</v>
      </c>
      <c r="L28">
        <v>1.5869070384805031</v>
      </c>
      <c r="M28">
        <v>-2.0014064039394261</v>
      </c>
      <c r="N28">
        <v>-1.2359937389489311</v>
      </c>
      <c r="O28">
        <v>-1.198648361704624</v>
      </c>
    </row>
    <row r="29" spans="1:15" x14ac:dyDescent="0.25">
      <c r="A29">
        <v>119.91713725</v>
      </c>
      <c r="B29">
        <v>-339.93931574999999</v>
      </c>
      <c r="C29">
        <v>-321.17233249999998</v>
      </c>
      <c r="D29">
        <v>274.08124574999999</v>
      </c>
      <c r="E29">
        <v>-25.15485975</v>
      </c>
      <c r="F29">
        <v>6.4806600000000003</v>
      </c>
      <c r="G29">
        <v>326.68756875000003</v>
      </c>
      <c r="H29">
        <v>-40</v>
      </c>
      <c r="I29">
        <v>-28</v>
      </c>
      <c r="J29">
        <v>1.18</v>
      </c>
      <c r="K29">
        <v>23.296394750000001</v>
      </c>
      <c r="L29">
        <v>1.444289761666204</v>
      </c>
      <c r="M29">
        <v>-2.0105323287833681</v>
      </c>
      <c r="N29">
        <v>-1.152063815370268</v>
      </c>
      <c r="O29">
        <v>-1.103582088566093</v>
      </c>
    </row>
    <row r="30" spans="1:15" x14ac:dyDescent="0.25">
      <c r="A30">
        <v>102.547865</v>
      </c>
      <c r="B30">
        <v>-295.44736449999999</v>
      </c>
      <c r="C30">
        <v>-253.04896925</v>
      </c>
      <c r="D30">
        <v>267.63999925000002</v>
      </c>
      <c r="E30">
        <v>0.26834924999999998</v>
      </c>
      <c r="F30">
        <v>6.3344825</v>
      </c>
      <c r="G30">
        <v>301.55965424999999</v>
      </c>
      <c r="H30">
        <v>-40</v>
      </c>
      <c r="I30">
        <v>-24</v>
      </c>
      <c r="J30">
        <v>1.18</v>
      </c>
      <c r="K30">
        <v>22.369187</v>
      </c>
      <c r="L30">
        <v>1.2953602787399821</v>
      </c>
      <c r="M30">
        <v>-2.0511953682421411</v>
      </c>
      <c r="N30">
        <v>-1.0975340239914211</v>
      </c>
      <c r="O30">
        <v>-1.0220987402789581</v>
      </c>
    </row>
    <row r="31" spans="1:15" x14ac:dyDescent="0.25">
      <c r="A31">
        <v>85.215845250000001</v>
      </c>
      <c r="B31">
        <v>-262.47365550000001</v>
      </c>
      <c r="C31">
        <v>-200.76089875</v>
      </c>
      <c r="D31">
        <v>263.30202474999999</v>
      </c>
      <c r="E31">
        <v>17.166739249999999</v>
      </c>
      <c r="F31">
        <v>5.8959415000000002</v>
      </c>
      <c r="G31">
        <v>284.02568074999999</v>
      </c>
      <c r="H31">
        <v>-40</v>
      </c>
      <c r="I31">
        <v>-20</v>
      </c>
      <c r="J31">
        <v>1.18</v>
      </c>
      <c r="K31">
        <v>21.711877250000001</v>
      </c>
      <c r="L31">
        <v>1.149503754288864</v>
      </c>
      <c r="M31">
        <v>-2.1133807430087592</v>
      </c>
      <c r="N31">
        <v>-1.0726552375204299</v>
      </c>
      <c r="O31">
        <v>-0.95469641713947695</v>
      </c>
    </row>
    <row r="32" spans="1:15" x14ac:dyDescent="0.25">
      <c r="A32">
        <v>68.420888750000003</v>
      </c>
      <c r="B32">
        <v>-240.20252625000001</v>
      </c>
      <c r="C32">
        <v>-157.7213745</v>
      </c>
      <c r="D32">
        <v>257.34278875000001</v>
      </c>
      <c r="E32">
        <v>28.477103249999999</v>
      </c>
      <c r="F32">
        <v>5.6035845000000002</v>
      </c>
      <c r="G32">
        <v>269.298134</v>
      </c>
      <c r="H32">
        <v>-40</v>
      </c>
      <c r="I32">
        <v>-16</v>
      </c>
      <c r="J32">
        <v>1.18</v>
      </c>
      <c r="K32">
        <v>21.140940499999999</v>
      </c>
      <c r="L32">
        <v>0.99429741187668841</v>
      </c>
      <c r="M32">
        <v>-2.187622960767182</v>
      </c>
      <c r="N32">
        <v>-1.0588549633846069</v>
      </c>
      <c r="O32">
        <v>-0.89943689796971449</v>
      </c>
    </row>
    <row r="33" spans="1:15" x14ac:dyDescent="0.25">
      <c r="A33">
        <v>55.79114525</v>
      </c>
      <c r="B33">
        <v>-239.16185375000001</v>
      </c>
      <c r="C33">
        <v>-125.148487</v>
      </c>
      <c r="D33">
        <v>272.1970675</v>
      </c>
      <c r="E33">
        <v>41.396844999999999</v>
      </c>
      <c r="F33">
        <v>5.9446682499999994</v>
      </c>
      <c r="G33">
        <v>277.88636000000002</v>
      </c>
      <c r="H33">
        <v>-40</v>
      </c>
      <c r="I33">
        <v>-12</v>
      </c>
      <c r="J33">
        <v>1.18</v>
      </c>
      <c r="K33">
        <v>21.468971499999999</v>
      </c>
      <c r="L33">
        <v>0.80938927707097763</v>
      </c>
      <c r="M33">
        <v>-2.2874355835992799</v>
      </c>
      <c r="N33">
        <v>-1.057877255634027</v>
      </c>
      <c r="O33">
        <v>-0.84141752298774919</v>
      </c>
    </row>
    <row r="34" spans="1:15" x14ac:dyDescent="0.25">
      <c r="A34">
        <v>40.850314750000003</v>
      </c>
      <c r="B34">
        <v>-252.64049925</v>
      </c>
      <c r="C34">
        <v>-97.854017499999998</v>
      </c>
      <c r="D34">
        <v>296.42839824999999</v>
      </c>
      <c r="E34">
        <v>51.455467249999998</v>
      </c>
      <c r="F34">
        <v>6.4319354999999998</v>
      </c>
      <c r="G34">
        <v>298.45582574999997</v>
      </c>
      <c r="H34">
        <v>-40</v>
      </c>
      <c r="I34">
        <v>-8</v>
      </c>
      <c r="J34">
        <v>1.18</v>
      </c>
      <c r="K34">
        <v>22.247576250000002</v>
      </c>
      <c r="L34">
        <v>0.61182515562508022</v>
      </c>
      <c r="M34">
        <v>-2.421996382085994</v>
      </c>
      <c r="N34">
        <v>-1.089555995043292</v>
      </c>
      <c r="O34">
        <v>-0.80140813911669695</v>
      </c>
    </row>
    <row r="35" spans="1:15" x14ac:dyDescent="0.25">
      <c r="A35">
        <v>17.69428825</v>
      </c>
      <c r="B35">
        <v>-269.33288549999997</v>
      </c>
      <c r="C35">
        <v>-66.273652999999996</v>
      </c>
      <c r="D35">
        <v>316.4531935</v>
      </c>
      <c r="E35">
        <v>57.982396749999999</v>
      </c>
      <c r="F35">
        <v>6.7730192499999999</v>
      </c>
      <c r="G35">
        <v>316.36557749999997</v>
      </c>
      <c r="H35">
        <v>-40</v>
      </c>
      <c r="I35">
        <v>-4</v>
      </c>
      <c r="J35">
        <v>1.18</v>
      </c>
      <c r="K35">
        <v>22.907037249999998</v>
      </c>
      <c r="L35">
        <v>0.37189103825540443</v>
      </c>
      <c r="M35">
        <v>-2.594531513851082</v>
      </c>
      <c r="N35">
        <v>-1.144443950123033</v>
      </c>
      <c r="O35">
        <v>-0.7732287025074851</v>
      </c>
    </row>
    <row r="36" spans="1:15" x14ac:dyDescent="0.25">
      <c r="A36">
        <v>-11.125873500000001</v>
      </c>
      <c r="B36">
        <v>-284.17444575000002</v>
      </c>
      <c r="C36">
        <v>-30.903642000000001</v>
      </c>
      <c r="D36">
        <v>330.82548524999999</v>
      </c>
      <c r="E36">
        <v>61.469386999999998</v>
      </c>
      <c r="F36">
        <v>6.82175025</v>
      </c>
      <c r="G36">
        <v>330.24938974999998</v>
      </c>
      <c r="H36">
        <v>-40</v>
      </c>
      <c r="I36">
        <v>0</v>
      </c>
      <c r="J36">
        <v>1.18</v>
      </c>
      <c r="K36">
        <v>23.41328425</v>
      </c>
      <c r="L36">
        <v>9.0280398487060348E-2</v>
      </c>
      <c r="M36">
        <v>-2.8082825673424021</v>
      </c>
      <c r="N36">
        <v>-1.227390388422984</v>
      </c>
      <c r="O36">
        <v>-0.75053658058581163</v>
      </c>
    </row>
    <row r="37" spans="1:15" x14ac:dyDescent="0.25">
      <c r="A37">
        <v>-41.620679750000001</v>
      </c>
      <c r="B37">
        <v>-289.06730649999997</v>
      </c>
      <c r="C37">
        <v>3.16132575</v>
      </c>
      <c r="D37">
        <v>332.44674650000002</v>
      </c>
      <c r="E37">
        <v>60.575285000000001</v>
      </c>
      <c r="F37">
        <v>6.7730234999999999</v>
      </c>
      <c r="G37">
        <v>332.37048349999998</v>
      </c>
      <c r="H37">
        <v>-40</v>
      </c>
      <c r="I37">
        <v>4</v>
      </c>
      <c r="J37">
        <v>1.18</v>
      </c>
      <c r="K37">
        <v>23.4916375</v>
      </c>
      <c r="L37">
        <v>-0.19823344475777599</v>
      </c>
      <c r="M37">
        <v>-2.7510369825804819</v>
      </c>
      <c r="N37">
        <v>-1.203066874746862</v>
      </c>
      <c r="O37">
        <v>-0.76184932551488083</v>
      </c>
    </row>
    <row r="38" spans="1:15" x14ac:dyDescent="0.25">
      <c r="A38">
        <v>-70.493896250000006</v>
      </c>
      <c r="B38">
        <v>-267.41422249999999</v>
      </c>
      <c r="C38">
        <v>34.729649500000001</v>
      </c>
      <c r="D38">
        <v>305.71780374999997</v>
      </c>
      <c r="E38">
        <v>53.020143500000003</v>
      </c>
      <c r="F38">
        <v>6.4319354999999998</v>
      </c>
      <c r="G38">
        <v>305.3566285</v>
      </c>
      <c r="H38">
        <v>-40</v>
      </c>
      <c r="I38">
        <v>8</v>
      </c>
      <c r="J38">
        <v>1.18</v>
      </c>
      <c r="K38">
        <v>22.508901000000002</v>
      </c>
      <c r="L38">
        <v>-0.47403536505019012</v>
      </c>
      <c r="M38">
        <v>-2.5820102653435222</v>
      </c>
      <c r="N38">
        <v>-1.1368089304024691</v>
      </c>
      <c r="O38">
        <v>-0.79013266158170326</v>
      </c>
    </row>
    <row r="39" spans="1:15" x14ac:dyDescent="0.25">
      <c r="A39">
        <v>-97.983367999999999</v>
      </c>
      <c r="B39">
        <v>-252.06949624999999</v>
      </c>
      <c r="C39">
        <v>56.949415000000002</v>
      </c>
      <c r="D39">
        <v>283.98410050000001</v>
      </c>
      <c r="E39">
        <v>44.9732445</v>
      </c>
      <c r="F39">
        <v>5.9934012499999998</v>
      </c>
      <c r="G39">
        <v>286.82711799999998</v>
      </c>
      <c r="H39">
        <v>-40</v>
      </c>
      <c r="I39">
        <v>12</v>
      </c>
      <c r="J39">
        <v>1.18</v>
      </c>
      <c r="K39">
        <v>21.817157999999999</v>
      </c>
      <c r="L39">
        <v>-0.70423023919136563</v>
      </c>
      <c r="M39">
        <v>-2.4366294744891399</v>
      </c>
      <c r="N39">
        <v>-1.0993490890907101</v>
      </c>
      <c r="O39">
        <v>-0.82281020752620304</v>
      </c>
    </row>
    <row r="40" spans="1:15" x14ac:dyDescent="0.25">
      <c r="A40">
        <v>-127.93329975</v>
      </c>
      <c r="B40">
        <v>-244.1193925</v>
      </c>
      <c r="C40">
        <v>73.569080749999998</v>
      </c>
      <c r="D40">
        <v>265.40528849999998</v>
      </c>
      <c r="E40">
        <v>34.467570250000001</v>
      </c>
      <c r="F40">
        <v>5.7010352500000003</v>
      </c>
      <c r="G40">
        <v>271.86794300000003</v>
      </c>
      <c r="H40">
        <v>-40</v>
      </c>
      <c r="I40">
        <v>16</v>
      </c>
      <c r="J40">
        <v>1.18</v>
      </c>
      <c r="K40">
        <v>21.239809749999999</v>
      </c>
      <c r="L40">
        <v>-0.91386539590244675</v>
      </c>
      <c r="M40">
        <v>-2.3108336908391212</v>
      </c>
      <c r="N40">
        <v>-1.076676319994095</v>
      </c>
      <c r="O40">
        <v>-0.86953431675484671</v>
      </c>
    </row>
    <row r="41" spans="1:15" x14ac:dyDescent="0.25">
      <c r="A41">
        <v>-166.21244824999999</v>
      </c>
      <c r="B41">
        <v>-254.46323025000001</v>
      </c>
      <c r="C41">
        <v>89.962928750000003</v>
      </c>
      <c r="D41">
        <v>260.27857975000001</v>
      </c>
      <c r="E41">
        <v>22.352517249999998</v>
      </c>
      <c r="F41">
        <v>5.6523149999999998</v>
      </c>
      <c r="G41">
        <v>272.53978699999999</v>
      </c>
      <c r="H41">
        <v>-40</v>
      </c>
      <c r="I41">
        <v>20</v>
      </c>
      <c r="J41">
        <v>1.18</v>
      </c>
      <c r="K41">
        <v>21.268527500000001</v>
      </c>
      <c r="L41">
        <v>-1.1009322515288049</v>
      </c>
      <c r="M41">
        <v>-2.2121788805499101</v>
      </c>
      <c r="N41">
        <v>-1.075241154583169</v>
      </c>
      <c r="O41">
        <v>-0.92825395089462959</v>
      </c>
    </row>
    <row r="42" spans="1:15" x14ac:dyDescent="0.25">
      <c r="A42">
        <v>-220.94092574999999</v>
      </c>
      <c r="B42">
        <v>-284.24204250000003</v>
      </c>
      <c r="C42">
        <v>112.49882875</v>
      </c>
      <c r="D42">
        <v>269.87471775</v>
      </c>
      <c r="E42">
        <v>9.9245302500000001</v>
      </c>
      <c r="F42">
        <v>6.0908524999999996</v>
      </c>
      <c r="G42">
        <v>293.57351699999998</v>
      </c>
      <c r="H42">
        <v>-40</v>
      </c>
      <c r="I42">
        <v>24</v>
      </c>
      <c r="J42">
        <v>1.18</v>
      </c>
      <c r="K42">
        <v>22.073914500000001</v>
      </c>
      <c r="L42">
        <v>-1.2702123242341139</v>
      </c>
      <c r="M42">
        <v>-2.1109034885433151</v>
      </c>
      <c r="N42">
        <v>-1.0806282772058</v>
      </c>
      <c r="O42">
        <v>-0.98545340943959758</v>
      </c>
    </row>
    <row r="43" spans="1:15" x14ac:dyDescent="0.25">
      <c r="A43">
        <v>-279.13780974999997</v>
      </c>
      <c r="B43">
        <v>-315.594719</v>
      </c>
      <c r="C43">
        <v>130.87981425000001</v>
      </c>
      <c r="D43">
        <v>273.90596799999997</v>
      </c>
      <c r="E43">
        <v>-8.8309622500000007</v>
      </c>
      <c r="F43">
        <v>6.6755665000000004</v>
      </c>
      <c r="G43">
        <v>312.18206774999999</v>
      </c>
      <c r="H43">
        <v>-40</v>
      </c>
      <c r="I43">
        <v>28</v>
      </c>
      <c r="J43">
        <v>1.18</v>
      </c>
      <c r="K43">
        <v>22.75536425</v>
      </c>
      <c r="L43">
        <v>-1.421042699896099</v>
      </c>
      <c r="M43">
        <v>-2.0430873093680639</v>
      </c>
      <c r="N43">
        <v>-1.1125710132021911</v>
      </c>
      <c r="O43">
        <v>-1.053748757695425</v>
      </c>
    </row>
    <row r="44" spans="1:15" x14ac:dyDescent="0.25">
      <c r="A44">
        <v>-337.92027274999998</v>
      </c>
      <c r="B44">
        <v>-345.55252050000001</v>
      </c>
      <c r="C44">
        <v>145.64783125</v>
      </c>
      <c r="D44">
        <v>269.567993</v>
      </c>
      <c r="E44">
        <v>-30.060949749999999</v>
      </c>
      <c r="F44">
        <v>6.7730214999999996</v>
      </c>
      <c r="G44">
        <v>326.40950025000001</v>
      </c>
      <c r="H44">
        <v>-40</v>
      </c>
      <c r="I44">
        <v>32</v>
      </c>
      <c r="J44">
        <v>1.18</v>
      </c>
      <c r="K44">
        <v>23.275663999999999</v>
      </c>
      <c r="L44">
        <v>-1.5515320920769411</v>
      </c>
      <c r="M44">
        <v>-1.9736126627181461</v>
      </c>
      <c r="N44">
        <v>-1.1437699185763339</v>
      </c>
      <c r="O44">
        <v>-1.1181710447691671</v>
      </c>
    </row>
    <row r="45" spans="1:15" x14ac:dyDescent="0.25">
      <c r="A45">
        <v>-398.09908300000001</v>
      </c>
      <c r="B45">
        <v>-379.4691085</v>
      </c>
      <c r="C45">
        <v>153.46087650000001</v>
      </c>
      <c r="D45">
        <v>260.27858750000001</v>
      </c>
      <c r="E45">
        <v>-62.664144499999999</v>
      </c>
      <c r="F45">
        <v>7.1141030000000001</v>
      </c>
      <c r="G45">
        <v>340.45510875000002</v>
      </c>
      <c r="H45">
        <v>-40</v>
      </c>
      <c r="I45">
        <v>36</v>
      </c>
      <c r="J45">
        <v>1.18</v>
      </c>
      <c r="K45">
        <v>23.769399750000002</v>
      </c>
      <c r="L45">
        <v>-1.6914642210029709</v>
      </c>
      <c r="M45">
        <v>-1.961909967758684</v>
      </c>
      <c r="N45">
        <v>-1.2364025810093331</v>
      </c>
      <c r="O45">
        <v>-1.214096443474201</v>
      </c>
    </row>
    <row r="46" spans="1:15" x14ac:dyDescent="0.25">
      <c r="A46">
        <v>-401.38729849999999</v>
      </c>
      <c r="B46">
        <v>-372.43946075000002</v>
      </c>
      <c r="C46">
        <v>142.26066950000001</v>
      </c>
      <c r="D46">
        <v>219.74699375</v>
      </c>
      <c r="E46">
        <v>-87.060792750000005</v>
      </c>
      <c r="F46">
        <v>6.7242949999999997</v>
      </c>
      <c r="G46">
        <v>314.68140399999999</v>
      </c>
      <c r="H46">
        <v>-40</v>
      </c>
      <c r="I46">
        <v>40</v>
      </c>
      <c r="J46">
        <v>1.18</v>
      </c>
      <c r="K46">
        <v>22.846435499999998</v>
      </c>
      <c r="L46">
        <v>-1.8131271019586359</v>
      </c>
      <c r="M46">
        <v>-1.9749731910224859</v>
      </c>
      <c r="N46">
        <v>-1.339877929575455</v>
      </c>
      <c r="O46">
        <v>-1.3127853241322249</v>
      </c>
    </row>
    <row r="47" spans="1:15" x14ac:dyDescent="0.25">
      <c r="A47">
        <v>-392.64874250000003</v>
      </c>
      <c r="B47">
        <v>-367.71576675</v>
      </c>
      <c r="C47">
        <v>129.29913325000001</v>
      </c>
      <c r="D47">
        <v>182.63319000000001</v>
      </c>
      <c r="E47">
        <v>-112.349459</v>
      </c>
      <c r="F47">
        <v>6.0421257500000003</v>
      </c>
      <c r="G47">
        <v>292.91024025000002</v>
      </c>
      <c r="H47">
        <v>-40</v>
      </c>
      <c r="I47">
        <v>44</v>
      </c>
      <c r="J47">
        <v>1.18</v>
      </c>
      <c r="K47">
        <v>22.050317249999999</v>
      </c>
      <c r="L47">
        <v>-1.94882798133034</v>
      </c>
      <c r="M47">
        <v>-2.054896526165003</v>
      </c>
      <c r="N47">
        <v>-1.5131896496714199</v>
      </c>
      <c r="O47">
        <v>-1.4420894854366451</v>
      </c>
    </row>
    <row r="48" spans="1:15" x14ac:dyDescent="0.25">
      <c r="A48">
        <v>133.87192175000001</v>
      </c>
      <c r="B48">
        <v>-368.29162600000001</v>
      </c>
      <c r="C48">
        <v>-342.96277624999999</v>
      </c>
      <c r="D48">
        <v>149.11246449999999</v>
      </c>
      <c r="E48">
        <v>-107.354164</v>
      </c>
      <c r="F48">
        <v>5.7984904999999998</v>
      </c>
      <c r="G48">
        <v>272.02788525</v>
      </c>
      <c r="H48">
        <v>-36</v>
      </c>
      <c r="I48">
        <v>-44</v>
      </c>
      <c r="J48">
        <v>1.18</v>
      </c>
      <c r="K48">
        <v>21.242308999999999</v>
      </c>
      <c r="L48">
        <v>1.9206573537046829</v>
      </c>
      <c r="M48">
        <v>-2.0840499292996819</v>
      </c>
      <c r="N48">
        <v>-1.528133153246787</v>
      </c>
      <c r="O48">
        <v>-1.4557778911272139</v>
      </c>
    </row>
    <row r="49" spans="1:15" x14ac:dyDescent="0.25">
      <c r="A49">
        <v>139.549904</v>
      </c>
      <c r="B49">
        <v>-347.59116349999999</v>
      </c>
      <c r="C49">
        <v>-318.60078425</v>
      </c>
      <c r="D49">
        <v>173.95724100000001</v>
      </c>
      <c r="E49">
        <v>-72.565525250000007</v>
      </c>
      <c r="F49">
        <v>5.8959415000000002</v>
      </c>
      <c r="G49">
        <v>274.74912275000003</v>
      </c>
      <c r="H49">
        <v>-36</v>
      </c>
      <c r="I49">
        <v>-40</v>
      </c>
      <c r="J49">
        <v>1.18</v>
      </c>
      <c r="K49">
        <v>21.346708</v>
      </c>
      <c r="L49">
        <v>1.7585448934988459</v>
      </c>
      <c r="M49">
        <v>-2.0018935182345858</v>
      </c>
      <c r="N49">
        <v>-1.3331245109985961</v>
      </c>
      <c r="O49">
        <v>-1.30115586051828</v>
      </c>
    </row>
    <row r="50" spans="1:15" x14ac:dyDescent="0.25">
      <c r="A50">
        <v>151.82590475000001</v>
      </c>
      <c r="B50">
        <v>-334.03854374999997</v>
      </c>
      <c r="C50">
        <v>-320.85652175000001</v>
      </c>
      <c r="D50">
        <v>207.7408715</v>
      </c>
      <c r="E50">
        <v>-38.579704249999999</v>
      </c>
      <c r="F50">
        <v>6.33448425</v>
      </c>
      <c r="G50">
        <v>295.774475</v>
      </c>
      <c r="H50">
        <v>-36</v>
      </c>
      <c r="I50">
        <v>-36</v>
      </c>
      <c r="J50">
        <v>1.18</v>
      </c>
      <c r="K50">
        <v>22.148933750000001</v>
      </c>
      <c r="L50">
        <v>1.6363436105916409</v>
      </c>
      <c r="M50">
        <v>-1.8755431917497609</v>
      </c>
      <c r="N50">
        <v>-1.157488074304639</v>
      </c>
      <c r="O50">
        <v>-1.1554935231621719</v>
      </c>
    </row>
    <row r="51" spans="1:15" x14ac:dyDescent="0.25">
      <c r="A51">
        <v>159.6095885</v>
      </c>
      <c r="B51">
        <v>-318.61672199999998</v>
      </c>
      <c r="C51">
        <v>-311.56287374999999</v>
      </c>
      <c r="D51">
        <v>239.81560899999999</v>
      </c>
      <c r="E51">
        <v>-3.7018684999999998</v>
      </c>
      <c r="F51">
        <v>6.6755665000000004</v>
      </c>
      <c r="G51">
        <v>313.34249875</v>
      </c>
      <c r="H51">
        <v>-36</v>
      </c>
      <c r="I51">
        <v>-32</v>
      </c>
      <c r="J51">
        <v>1.18</v>
      </c>
      <c r="K51">
        <v>22.7985525</v>
      </c>
      <c r="L51">
        <v>1.5131352904003861</v>
      </c>
      <c r="M51">
        <v>-1.793371349886643</v>
      </c>
      <c r="N51">
        <v>-1.018170013159801</v>
      </c>
      <c r="O51">
        <v>-1.0333239449126761</v>
      </c>
    </row>
    <row r="52" spans="1:15" x14ac:dyDescent="0.25">
      <c r="A52">
        <v>160.85239050000001</v>
      </c>
      <c r="B52">
        <v>-303.57555400000001</v>
      </c>
      <c r="C52">
        <v>-282.82472999999999</v>
      </c>
      <c r="D52">
        <v>270.70726775000003</v>
      </c>
      <c r="E52">
        <v>28.119461999999999</v>
      </c>
      <c r="F52">
        <v>6.8704725</v>
      </c>
      <c r="G52">
        <v>326.56955725</v>
      </c>
      <c r="H52">
        <v>-36</v>
      </c>
      <c r="I52">
        <v>-28</v>
      </c>
      <c r="J52">
        <v>1.18</v>
      </c>
      <c r="K52">
        <v>23.2779405</v>
      </c>
      <c r="L52">
        <v>1.3808026248238039</v>
      </c>
      <c r="M52">
        <v>-1.787275899966589</v>
      </c>
      <c r="N52">
        <v>-0.92884262348627211</v>
      </c>
      <c r="O52">
        <v>-0.93387548447046831</v>
      </c>
    </row>
    <row r="53" spans="1:15" x14ac:dyDescent="0.25">
      <c r="A53">
        <v>158.47077175000001</v>
      </c>
      <c r="B53">
        <v>-294.79630275</v>
      </c>
      <c r="C53">
        <v>-249.07885725</v>
      </c>
      <c r="D53">
        <v>297.78674324999997</v>
      </c>
      <c r="E53">
        <v>56.685951250000002</v>
      </c>
      <c r="F53">
        <v>7.2115622500000001</v>
      </c>
      <c r="G53">
        <v>340.19477074999998</v>
      </c>
      <c r="H53">
        <v>-36</v>
      </c>
      <c r="I53">
        <v>-24</v>
      </c>
      <c r="J53">
        <v>1.18</v>
      </c>
      <c r="K53">
        <v>23.756636749999998</v>
      </c>
      <c r="L53">
        <v>1.240181486076487</v>
      </c>
      <c r="M53">
        <v>-1.803238588122263</v>
      </c>
      <c r="N53">
        <v>-0.86272911255540674</v>
      </c>
      <c r="O53">
        <v>-0.84945142987582767</v>
      </c>
    </row>
    <row r="54" spans="1:15" x14ac:dyDescent="0.25">
      <c r="A54">
        <v>135.36146525000001</v>
      </c>
      <c r="B54">
        <v>-250.73917</v>
      </c>
      <c r="C54">
        <v>-186.14370349999999</v>
      </c>
      <c r="D54">
        <v>287.53334050000001</v>
      </c>
      <c r="E54">
        <v>75.685575749999998</v>
      </c>
      <c r="F54">
        <v>6.4806662499999996</v>
      </c>
      <c r="G54">
        <v>314.24117274999998</v>
      </c>
      <c r="H54">
        <v>-36</v>
      </c>
      <c r="I54">
        <v>-20</v>
      </c>
      <c r="J54">
        <v>1.18</v>
      </c>
      <c r="K54">
        <v>22.839130999999998</v>
      </c>
      <c r="L54">
        <v>1.0930383528133649</v>
      </c>
      <c r="M54">
        <v>-1.830126321667449</v>
      </c>
      <c r="N54">
        <v>-0.81109076044194017</v>
      </c>
      <c r="O54">
        <v>-0.76471522688995486</v>
      </c>
    </row>
    <row r="55" spans="1:15" x14ac:dyDescent="0.25">
      <c r="A55">
        <v>111.018795</v>
      </c>
      <c r="B55">
        <v>-221.268429</v>
      </c>
      <c r="C55">
        <v>-134.75793874999999</v>
      </c>
      <c r="D55">
        <v>278.20011875</v>
      </c>
      <c r="E55">
        <v>85.788902250000007</v>
      </c>
      <c r="F55">
        <v>6.09085375</v>
      </c>
      <c r="G55">
        <v>292.38996874999998</v>
      </c>
      <c r="H55">
        <v>-36</v>
      </c>
      <c r="I55">
        <v>-16</v>
      </c>
      <c r="J55">
        <v>1.18</v>
      </c>
      <c r="K55">
        <v>22.0284315</v>
      </c>
      <c r="L55">
        <v>0.93167036881478071</v>
      </c>
      <c r="M55">
        <v>-1.8933376337041219</v>
      </c>
      <c r="N55">
        <v>-0.78317052318978231</v>
      </c>
      <c r="O55">
        <v>-0.69788871554711618</v>
      </c>
    </row>
    <row r="56" spans="1:15" x14ac:dyDescent="0.25">
      <c r="A56">
        <v>88.871921749999998</v>
      </c>
      <c r="B56">
        <v>-199.80899049999999</v>
      </c>
      <c r="C56">
        <v>-88.470138500000004</v>
      </c>
      <c r="D56">
        <v>270.31288124999998</v>
      </c>
      <c r="E56">
        <v>92.002897500000003</v>
      </c>
      <c r="F56">
        <v>5.9933967499999996</v>
      </c>
      <c r="G56">
        <v>276.41365050000002</v>
      </c>
      <c r="H56">
        <v>-36</v>
      </c>
      <c r="I56">
        <v>-12</v>
      </c>
      <c r="J56">
        <v>1.18</v>
      </c>
      <c r="K56">
        <v>21.408853499999999</v>
      </c>
      <c r="L56">
        <v>0.75097161287606728</v>
      </c>
      <c r="M56">
        <v>-1.9908645718160509</v>
      </c>
      <c r="N56">
        <v>-0.78093786805250442</v>
      </c>
      <c r="O56">
        <v>-0.63576635864609587</v>
      </c>
    </row>
    <row r="57" spans="1:15" x14ac:dyDescent="0.25">
      <c r="A57">
        <v>69.603508000000005</v>
      </c>
      <c r="B57">
        <v>-190.61957175000001</v>
      </c>
      <c r="C57">
        <v>-50.844388000000002</v>
      </c>
      <c r="D57">
        <v>265.23001825</v>
      </c>
      <c r="E57">
        <v>97.14397249999999</v>
      </c>
      <c r="F57">
        <v>5.6035845000000002</v>
      </c>
      <c r="G57">
        <v>268.50660699999997</v>
      </c>
      <c r="H57">
        <v>-36</v>
      </c>
      <c r="I57">
        <v>-8</v>
      </c>
      <c r="J57">
        <v>1.18</v>
      </c>
      <c r="K57">
        <v>21.109161</v>
      </c>
      <c r="L57">
        <v>0.55281632709167516</v>
      </c>
      <c r="M57">
        <v>-2.0923031146197091</v>
      </c>
      <c r="N57">
        <v>-0.78654532091106133</v>
      </c>
      <c r="O57">
        <v>-0.57985921347965075</v>
      </c>
    </row>
    <row r="58" spans="1:15" x14ac:dyDescent="0.25">
      <c r="A58">
        <v>54.20772625</v>
      </c>
      <c r="B58">
        <v>-206.57325349999999</v>
      </c>
      <c r="C58">
        <v>-20.843042499999999</v>
      </c>
      <c r="D58">
        <v>289.11078624999999</v>
      </c>
      <c r="E58">
        <v>109.4378435</v>
      </c>
      <c r="F58">
        <v>6.1395747500000004</v>
      </c>
      <c r="G58">
        <v>290.19523624999999</v>
      </c>
      <c r="H58">
        <v>-36</v>
      </c>
      <c r="I58">
        <v>-4</v>
      </c>
      <c r="J58">
        <v>1.18</v>
      </c>
      <c r="K58">
        <v>21.941951499999998</v>
      </c>
      <c r="L58">
        <v>0.33631575426189148</v>
      </c>
      <c r="M58">
        <v>-2.221399238264314</v>
      </c>
      <c r="N58">
        <v>-0.8100716934175114</v>
      </c>
      <c r="O58">
        <v>-0.53710196941684862</v>
      </c>
    </row>
    <row r="59" spans="1:15" x14ac:dyDescent="0.25">
      <c r="A59">
        <v>30.694162500000001</v>
      </c>
      <c r="B59">
        <v>-222.22961050000001</v>
      </c>
      <c r="C59">
        <v>11.96794</v>
      </c>
      <c r="D59">
        <v>308.52214850000001</v>
      </c>
      <c r="E59">
        <v>119.22823725000001</v>
      </c>
      <c r="F59">
        <v>6.2857574999999999</v>
      </c>
      <c r="G59">
        <v>308.90057374999998</v>
      </c>
      <c r="H59">
        <v>-36</v>
      </c>
      <c r="I59">
        <v>0</v>
      </c>
      <c r="J59">
        <v>1.18</v>
      </c>
      <c r="K59">
        <v>22.647416499999999</v>
      </c>
      <c r="L59">
        <v>8.34714194158446E-2</v>
      </c>
      <c r="M59">
        <v>-2.3656419488192171</v>
      </c>
      <c r="N59">
        <v>-0.84540444734699371</v>
      </c>
      <c r="O59">
        <v>-0.49659946570999658</v>
      </c>
    </row>
    <row r="60" spans="1:15" x14ac:dyDescent="0.25">
      <c r="A60">
        <v>1.489673</v>
      </c>
      <c r="B60">
        <v>-237.46810174999999</v>
      </c>
      <c r="C60">
        <v>45.387911000000003</v>
      </c>
      <c r="D60">
        <v>323.68315124999998</v>
      </c>
      <c r="E60">
        <v>124.36930675000001</v>
      </c>
      <c r="F60">
        <v>6.6755684999999998</v>
      </c>
      <c r="G60">
        <v>323.62723549999998</v>
      </c>
      <c r="H60">
        <v>-36</v>
      </c>
      <c r="I60">
        <v>4</v>
      </c>
      <c r="J60">
        <v>1.18</v>
      </c>
      <c r="K60">
        <v>23.177697999999999</v>
      </c>
      <c r="L60">
        <v>-0.18113451837425459</v>
      </c>
      <c r="M60">
        <v>-2.3153941530959119</v>
      </c>
      <c r="N60">
        <v>-0.82218374660015137</v>
      </c>
      <c r="O60">
        <v>-0.514393729695651</v>
      </c>
    </row>
    <row r="61" spans="1:15" x14ac:dyDescent="0.25">
      <c r="A61">
        <v>-34.280846750000002</v>
      </c>
      <c r="B61">
        <v>-249.50961674999999</v>
      </c>
      <c r="C61">
        <v>81.924072249999995</v>
      </c>
      <c r="D61">
        <v>336.17126474999998</v>
      </c>
      <c r="E61">
        <v>127.40924825</v>
      </c>
      <c r="F61">
        <v>6.8704764999999997</v>
      </c>
      <c r="G61">
        <v>337.91365825000003</v>
      </c>
      <c r="H61">
        <v>-36</v>
      </c>
      <c r="I61">
        <v>8</v>
      </c>
      <c r="J61">
        <v>1.18</v>
      </c>
      <c r="K61">
        <v>23.687335749999999</v>
      </c>
      <c r="L61">
        <v>-0.43149331933341528</v>
      </c>
      <c r="M61">
        <v>-2.1748287759631628</v>
      </c>
      <c r="N61">
        <v>-0.78169266029283035</v>
      </c>
      <c r="O61">
        <v>-0.55240124371851218</v>
      </c>
    </row>
    <row r="62" spans="1:15" x14ac:dyDescent="0.25">
      <c r="A62">
        <v>-70.899291750000003</v>
      </c>
      <c r="B62">
        <v>-240.986786</v>
      </c>
      <c r="C62">
        <v>103.55672475</v>
      </c>
      <c r="D62">
        <v>315.18247975000003</v>
      </c>
      <c r="E62">
        <v>111.449566</v>
      </c>
      <c r="F62">
        <v>6.724297</v>
      </c>
      <c r="G62">
        <v>319.70552800000002</v>
      </c>
      <c r="H62">
        <v>-36</v>
      </c>
      <c r="I62">
        <v>12</v>
      </c>
      <c r="J62">
        <v>1.18</v>
      </c>
      <c r="K62">
        <v>23.032014499999999</v>
      </c>
      <c r="L62">
        <v>-0.65242148105674413</v>
      </c>
      <c r="M62">
        <v>-2.0799952834239792</v>
      </c>
      <c r="N62">
        <v>-0.77886656029478052</v>
      </c>
      <c r="O62">
        <v>-0.60834789443006232</v>
      </c>
    </row>
    <row r="63" spans="1:15" x14ac:dyDescent="0.25">
      <c r="A63">
        <v>-104.05169875</v>
      </c>
      <c r="B63">
        <v>-231.26343175</v>
      </c>
      <c r="C63">
        <v>117.28601275</v>
      </c>
      <c r="D63">
        <v>287.97152699999998</v>
      </c>
      <c r="E63">
        <v>92.226423249999996</v>
      </c>
      <c r="F63">
        <v>6.3832070000000014</v>
      </c>
      <c r="G63">
        <v>296.22038275</v>
      </c>
      <c r="H63">
        <v>-36</v>
      </c>
      <c r="I63">
        <v>16</v>
      </c>
      <c r="J63">
        <v>1.18</v>
      </c>
      <c r="K63">
        <v>22.16412725</v>
      </c>
      <c r="L63">
        <v>-0.85169503143647773</v>
      </c>
      <c r="M63">
        <v>-1.9979521587394731</v>
      </c>
      <c r="N63">
        <v>-0.78495676377910195</v>
      </c>
      <c r="O63">
        <v>-0.66969956846285683</v>
      </c>
    </row>
    <row r="64" spans="1:15" x14ac:dyDescent="0.25">
      <c r="A64">
        <v>-135.94286349999999</v>
      </c>
      <c r="B64">
        <v>-229.88816075</v>
      </c>
      <c r="C64">
        <v>128.71203625000001</v>
      </c>
      <c r="D64">
        <v>264.92328650000002</v>
      </c>
      <c r="E64">
        <v>76.847904499999999</v>
      </c>
      <c r="F64">
        <v>5.9933967499999996</v>
      </c>
      <c r="G64">
        <v>279.99109650000003</v>
      </c>
      <c r="H64">
        <v>-36</v>
      </c>
      <c r="I64">
        <v>20</v>
      </c>
      <c r="J64">
        <v>1.18</v>
      </c>
      <c r="K64">
        <v>21.549996499999999</v>
      </c>
      <c r="L64">
        <v>-1.018826875406222</v>
      </c>
      <c r="M64">
        <v>-1.9048534229234251</v>
      </c>
      <c r="N64">
        <v>-0.78203036705431317</v>
      </c>
      <c r="O64">
        <v>-0.72723162743885728</v>
      </c>
    </row>
    <row r="65" spans="1:15" x14ac:dyDescent="0.25">
      <c r="A65">
        <v>-165.08633825000001</v>
      </c>
      <c r="B65">
        <v>-226.56232075</v>
      </c>
      <c r="C65">
        <v>132.00885775</v>
      </c>
      <c r="D65">
        <v>238.85160450000001</v>
      </c>
      <c r="E65">
        <v>56.864770749999998</v>
      </c>
      <c r="F65">
        <v>5.31122475</v>
      </c>
      <c r="G65">
        <v>262.64896399999998</v>
      </c>
      <c r="H65">
        <v>-36</v>
      </c>
      <c r="I65">
        <v>24</v>
      </c>
      <c r="J65">
        <v>1.18</v>
      </c>
      <c r="K65">
        <v>20.884563750000002</v>
      </c>
      <c r="L65">
        <v>-1.1757658343381729</v>
      </c>
      <c r="M65">
        <v>-1.841864872587933</v>
      </c>
      <c r="N65">
        <v>-0.81441539066859603</v>
      </c>
      <c r="O65">
        <v>-0.79598795987484183</v>
      </c>
    </row>
    <row r="66" spans="1:15" x14ac:dyDescent="0.25">
      <c r="A66">
        <v>-205.98630900000001</v>
      </c>
      <c r="B66">
        <v>-242.82421124999999</v>
      </c>
      <c r="C66">
        <v>140.77031700000001</v>
      </c>
      <c r="D66">
        <v>228.42293925000001</v>
      </c>
      <c r="E66">
        <v>37.954562000000003</v>
      </c>
      <c r="F66">
        <v>5.5061315000000004</v>
      </c>
      <c r="G66">
        <v>263.74471275000002</v>
      </c>
      <c r="H66">
        <v>-36</v>
      </c>
      <c r="I66">
        <v>28</v>
      </c>
      <c r="J66">
        <v>1.18</v>
      </c>
      <c r="K66">
        <v>20.921055750000001</v>
      </c>
      <c r="L66">
        <v>-1.3217129723120711</v>
      </c>
      <c r="M66">
        <v>-1.7962369137956979</v>
      </c>
      <c r="N66">
        <v>-0.860676645444586</v>
      </c>
      <c r="O66">
        <v>-0.87636079455845795</v>
      </c>
    </row>
    <row r="67" spans="1:15" x14ac:dyDescent="0.25">
      <c r="A67">
        <v>-268.55246725000001</v>
      </c>
      <c r="B67">
        <v>-282.36250324999997</v>
      </c>
      <c r="C67">
        <v>159.82873950000001</v>
      </c>
      <c r="D67">
        <v>231.35874200000001</v>
      </c>
      <c r="E67">
        <v>18.284364249999999</v>
      </c>
      <c r="F67">
        <v>5.7497662500000004</v>
      </c>
      <c r="G67">
        <v>285.51338199999998</v>
      </c>
      <c r="H67">
        <v>-36</v>
      </c>
      <c r="I67">
        <v>32</v>
      </c>
      <c r="J67">
        <v>1.18</v>
      </c>
      <c r="K67">
        <v>21.775559000000001</v>
      </c>
      <c r="L67">
        <v>-1.4583705262106861</v>
      </c>
      <c r="M67">
        <v>-1.7489040060067811</v>
      </c>
      <c r="N67">
        <v>-0.90978012264307562</v>
      </c>
      <c r="O67">
        <v>-0.9573179581850324</v>
      </c>
    </row>
    <row r="68" spans="1:15" x14ac:dyDescent="0.25">
      <c r="A68">
        <v>-328.41597000000002</v>
      </c>
      <c r="B68">
        <v>-318.21092225000001</v>
      </c>
      <c r="C68">
        <v>172.74509825000001</v>
      </c>
      <c r="D68">
        <v>225.88150775</v>
      </c>
      <c r="E68">
        <v>-9.4553729999999998</v>
      </c>
      <c r="F68">
        <v>6.1883032500000006</v>
      </c>
      <c r="G68">
        <v>302.84024025000002</v>
      </c>
      <c r="H68">
        <v>-36</v>
      </c>
      <c r="I68">
        <v>36</v>
      </c>
      <c r="J68">
        <v>1.18</v>
      </c>
      <c r="K68">
        <v>22.423183000000002</v>
      </c>
      <c r="L68">
        <v>-1.596801140941317</v>
      </c>
      <c r="M68">
        <v>-1.733583735418136</v>
      </c>
      <c r="N68">
        <v>-0.99506333291615223</v>
      </c>
      <c r="O68">
        <v>-1.0498595741568191</v>
      </c>
    </row>
    <row r="69" spans="1:15" x14ac:dyDescent="0.25">
      <c r="A69">
        <v>-381.79314399999998</v>
      </c>
      <c r="B69">
        <v>-349.55813599999999</v>
      </c>
      <c r="C69">
        <v>183.04206500000001</v>
      </c>
      <c r="D69">
        <v>214.97083275</v>
      </c>
      <c r="E69">
        <v>-44.868419750000001</v>
      </c>
      <c r="F69">
        <v>6.4319337499999998</v>
      </c>
      <c r="G69">
        <v>318.14773550000001</v>
      </c>
      <c r="H69">
        <v>-36</v>
      </c>
      <c r="I69">
        <v>40</v>
      </c>
      <c r="J69">
        <v>1.18</v>
      </c>
      <c r="K69">
        <v>22.985455250000001</v>
      </c>
      <c r="L69">
        <v>-1.7607018535815271</v>
      </c>
      <c r="M69">
        <v>-1.759773480176591</v>
      </c>
      <c r="N69">
        <v>-1.1316654762901239</v>
      </c>
      <c r="O69">
        <v>-1.15993823950769</v>
      </c>
    </row>
    <row r="70" spans="1:15" x14ac:dyDescent="0.25">
      <c r="A70">
        <v>-431.38661949999999</v>
      </c>
      <c r="B70">
        <v>-397.03481275000001</v>
      </c>
      <c r="C70">
        <v>185.93244175000001</v>
      </c>
      <c r="D70">
        <v>199.1525575</v>
      </c>
      <c r="E70">
        <v>-89.959842500000008</v>
      </c>
      <c r="F70">
        <v>7.1141092500000003</v>
      </c>
      <c r="G70">
        <v>333.43163299999998</v>
      </c>
      <c r="H70">
        <v>-36</v>
      </c>
      <c r="I70">
        <v>44</v>
      </c>
      <c r="J70">
        <v>1.18</v>
      </c>
      <c r="K70">
        <v>23.517658000000001</v>
      </c>
      <c r="L70">
        <v>-1.9038815860753551</v>
      </c>
      <c r="M70">
        <v>-1.8386918333166189</v>
      </c>
      <c r="N70">
        <v>-1.305812000574226</v>
      </c>
      <c r="O70">
        <v>-1.2993910619154929</v>
      </c>
    </row>
    <row r="71" spans="1:15" x14ac:dyDescent="0.25">
      <c r="A71">
        <v>192.96690749999999</v>
      </c>
      <c r="B71">
        <v>-420.98500024999998</v>
      </c>
      <c r="C71">
        <v>-388.84454349999999</v>
      </c>
      <c r="D71">
        <v>162.214035</v>
      </c>
      <c r="E71">
        <v>-98.523199000000005</v>
      </c>
      <c r="F71">
        <v>6.5781155</v>
      </c>
      <c r="G71">
        <v>318.20637525000001</v>
      </c>
      <c r="H71">
        <v>-32</v>
      </c>
      <c r="I71">
        <v>-44</v>
      </c>
      <c r="J71">
        <v>1.18</v>
      </c>
      <c r="K71">
        <v>22.982209999999998</v>
      </c>
      <c r="L71">
        <v>1.8989316653582551</v>
      </c>
      <c r="M71">
        <v>-1.9034363388770019</v>
      </c>
      <c r="N71">
        <v>-1.3601332165762841</v>
      </c>
      <c r="O71">
        <v>-1.3430353041391301</v>
      </c>
    </row>
    <row r="72" spans="1:15" x14ac:dyDescent="0.25">
      <c r="A72">
        <v>184.5711555</v>
      </c>
      <c r="B72">
        <v>-352.50933824999998</v>
      </c>
      <c r="C72">
        <v>-322.88668050000001</v>
      </c>
      <c r="D72">
        <v>178.42667</v>
      </c>
      <c r="E72">
        <v>-44.600814</v>
      </c>
      <c r="F72">
        <v>6.1883010000000001</v>
      </c>
      <c r="G72">
        <v>297.10071549999998</v>
      </c>
      <c r="H72">
        <v>-32</v>
      </c>
      <c r="I72">
        <v>-40</v>
      </c>
      <c r="J72">
        <v>1.18</v>
      </c>
      <c r="K72">
        <v>22.205204250000001</v>
      </c>
      <c r="L72">
        <v>1.7313874629738171</v>
      </c>
      <c r="M72">
        <v>-1.811507111460227</v>
      </c>
      <c r="N72">
        <v>-1.165868645260818</v>
      </c>
      <c r="O72">
        <v>-1.173307146835324</v>
      </c>
    </row>
    <row r="73" spans="1:15" x14ac:dyDescent="0.25">
      <c r="A73">
        <v>174.08761974999999</v>
      </c>
      <c r="B73">
        <v>-293.80926499999998</v>
      </c>
      <c r="C73">
        <v>-277.95233925000002</v>
      </c>
      <c r="D73">
        <v>186.83971424999999</v>
      </c>
      <c r="E73">
        <v>-5.2628962499999998</v>
      </c>
      <c r="F73">
        <v>5.8959477500000004</v>
      </c>
      <c r="G73">
        <v>277.26221475</v>
      </c>
      <c r="H73">
        <v>-32</v>
      </c>
      <c r="I73">
        <v>-36</v>
      </c>
      <c r="J73">
        <v>1.18</v>
      </c>
      <c r="K73">
        <v>21.44626525</v>
      </c>
      <c r="L73">
        <v>1.6108793117799609</v>
      </c>
      <c r="M73">
        <v>-1.712834132661039</v>
      </c>
      <c r="N73">
        <v>-1.0068066220052889</v>
      </c>
      <c r="O73">
        <v>-1.0397732388935821</v>
      </c>
    </row>
    <row r="74" spans="1:15" x14ac:dyDescent="0.25">
      <c r="A74">
        <v>165.38731000000001</v>
      </c>
      <c r="B74">
        <v>-245.51043300000001</v>
      </c>
      <c r="C74">
        <v>-238.9731405</v>
      </c>
      <c r="D74">
        <v>196.041481</v>
      </c>
      <c r="E74">
        <v>28.521807750000001</v>
      </c>
      <c r="F74">
        <v>5.5061335000000007</v>
      </c>
      <c r="G74">
        <v>265.04058850000001</v>
      </c>
      <c r="H74">
        <v>-32</v>
      </c>
      <c r="I74">
        <v>-32</v>
      </c>
      <c r="J74">
        <v>1.18</v>
      </c>
      <c r="K74">
        <v>20.973498750000001</v>
      </c>
      <c r="L74">
        <v>1.4934014524422949</v>
      </c>
      <c r="M74">
        <v>-1.6307568987149501</v>
      </c>
      <c r="N74">
        <v>-0.87351911559412554</v>
      </c>
      <c r="O74">
        <v>-0.9149924676557698</v>
      </c>
    </row>
    <row r="75" spans="1:15" x14ac:dyDescent="0.25">
      <c r="A75">
        <v>175.35144424999999</v>
      </c>
      <c r="B75">
        <v>-235.340912</v>
      </c>
      <c r="C75">
        <v>-223.90479300000001</v>
      </c>
      <c r="D75">
        <v>231.53402349999999</v>
      </c>
      <c r="E75">
        <v>63.570520250000001</v>
      </c>
      <c r="F75">
        <v>6.0908519999999999</v>
      </c>
      <c r="G75">
        <v>287.81090575000002</v>
      </c>
      <c r="H75">
        <v>-32</v>
      </c>
      <c r="I75">
        <v>-28</v>
      </c>
      <c r="J75">
        <v>1.18</v>
      </c>
      <c r="K75">
        <v>21.85155125</v>
      </c>
      <c r="L75">
        <v>1.3617492312260679</v>
      </c>
      <c r="M75">
        <v>-1.592371484080686</v>
      </c>
      <c r="N75">
        <v>-0.76481559392883858</v>
      </c>
      <c r="O75">
        <v>-0.80394678347627124</v>
      </c>
    </row>
    <row r="76" spans="1:15" x14ac:dyDescent="0.25">
      <c r="A76">
        <v>177.74356075</v>
      </c>
      <c r="B76">
        <v>-221.85968399999999</v>
      </c>
      <c r="C76">
        <v>-195.3020095</v>
      </c>
      <c r="D76">
        <v>261.68076324999998</v>
      </c>
      <c r="E76">
        <v>95.57929575</v>
      </c>
      <c r="F76">
        <v>6.6268399999999996</v>
      </c>
      <c r="G76">
        <v>305.06333174999997</v>
      </c>
      <c r="H76">
        <v>-32</v>
      </c>
      <c r="I76">
        <v>-24</v>
      </c>
      <c r="J76">
        <v>1.18</v>
      </c>
      <c r="K76">
        <v>22.490530249999999</v>
      </c>
      <c r="L76">
        <v>1.226478095133599</v>
      </c>
      <c r="M76">
        <v>-1.5897556744379939</v>
      </c>
      <c r="N76">
        <v>-0.68873287450392673</v>
      </c>
      <c r="O76">
        <v>-0.70754663942616358</v>
      </c>
    </row>
    <row r="77" spans="1:15" x14ac:dyDescent="0.25">
      <c r="A77">
        <v>173.87334050000001</v>
      </c>
      <c r="B77">
        <v>-211.46680449999999</v>
      </c>
      <c r="C77">
        <v>-157.99206525</v>
      </c>
      <c r="D77">
        <v>287.7524335</v>
      </c>
      <c r="E77">
        <v>124.77165775</v>
      </c>
      <c r="F77">
        <v>6.6755684999999998</v>
      </c>
      <c r="G77">
        <v>320.68726349999997</v>
      </c>
      <c r="H77">
        <v>-32</v>
      </c>
      <c r="I77">
        <v>-20</v>
      </c>
      <c r="J77">
        <v>1.18</v>
      </c>
      <c r="K77">
        <v>23.069953999999999</v>
      </c>
      <c r="L77">
        <v>1.072241286476399</v>
      </c>
      <c r="M77">
        <v>-1.61297132661511</v>
      </c>
      <c r="N77">
        <v>-0.63299605277268312</v>
      </c>
      <c r="O77">
        <v>-0.61841264713868282</v>
      </c>
    </row>
    <row r="78" spans="1:15" x14ac:dyDescent="0.25">
      <c r="A78">
        <v>164.65424375000001</v>
      </c>
      <c r="B78">
        <v>-207.14900975</v>
      </c>
      <c r="C78">
        <v>-115.403688</v>
      </c>
      <c r="D78">
        <v>315.927368</v>
      </c>
      <c r="E78">
        <v>151.371128</v>
      </c>
      <c r="F78">
        <v>7.1628340000000001</v>
      </c>
      <c r="G78">
        <v>336.25343325</v>
      </c>
      <c r="H78">
        <v>-32</v>
      </c>
      <c r="I78">
        <v>-16</v>
      </c>
      <c r="J78">
        <v>1.18</v>
      </c>
      <c r="K78">
        <v>23.617375249999998</v>
      </c>
      <c r="L78">
        <v>0.89576436401401338</v>
      </c>
      <c r="M78">
        <v>-1.6730714175390129</v>
      </c>
      <c r="N78">
        <v>-0.59136579477189166</v>
      </c>
      <c r="O78">
        <v>-0.53875551256529475</v>
      </c>
    </row>
    <row r="79" spans="1:15" x14ac:dyDescent="0.25">
      <c r="A79">
        <v>139.10770775</v>
      </c>
      <c r="B79">
        <v>-196.36851874999999</v>
      </c>
      <c r="C79">
        <v>-65.461586250000011</v>
      </c>
      <c r="D79">
        <v>311.19504575000002</v>
      </c>
      <c r="E79">
        <v>158.47922525000001</v>
      </c>
      <c r="F79">
        <v>6.8217522499999994</v>
      </c>
      <c r="G79">
        <v>322.46659849999998</v>
      </c>
      <c r="H79">
        <v>-32</v>
      </c>
      <c r="I79">
        <v>-12</v>
      </c>
      <c r="J79">
        <v>1.18</v>
      </c>
      <c r="K79">
        <v>23.129837999999999</v>
      </c>
      <c r="L79">
        <v>0.70685303910819974</v>
      </c>
      <c r="M79">
        <v>-1.75388655607819</v>
      </c>
      <c r="N79">
        <v>-0.56666676952224404</v>
      </c>
      <c r="O79">
        <v>-0.47593736002686099</v>
      </c>
    </row>
    <row r="80" spans="1:15" x14ac:dyDescent="0.25">
      <c r="A80">
        <v>111.67255425</v>
      </c>
      <c r="B80">
        <v>-179.88761925</v>
      </c>
      <c r="C80">
        <v>-18.857990000000001</v>
      </c>
      <c r="D80">
        <v>294.67567450000001</v>
      </c>
      <c r="E80">
        <v>158.92627375000001</v>
      </c>
      <c r="F80">
        <v>6.2370295000000002</v>
      </c>
      <c r="G80">
        <v>300.63930499999998</v>
      </c>
      <c r="H80">
        <v>-32</v>
      </c>
      <c r="I80">
        <v>-8</v>
      </c>
      <c r="J80">
        <v>1.18</v>
      </c>
      <c r="K80">
        <v>22.337991500000001</v>
      </c>
      <c r="L80">
        <v>0.505372145683748</v>
      </c>
      <c r="M80">
        <v>-1.837272864047063</v>
      </c>
      <c r="N80">
        <v>-0.54869921682722578</v>
      </c>
      <c r="O80">
        <v>-0.40887963857751031</v>
      </c>
    </row>
    <row r="81" spans="1:15" x14ac:dyDescent="0.25">
      <c r="A81">
        <v>86.208936749999992</v>
      </c>
      <c r="B81">
        <v>-163.45652000000001</v>
      </c>
      <c r="C81">
        <v>14.81315375</v>
      </c>
      <c r="D81">
        <v>277.67430875000002</v>
      </c>
      <c r="E81">
        <v>154.99222975000001</v>
      </c>
      <c r="F81">
        <v>6.0421232500000004</v>
      </c>
      <c r="G81">
        <v>281.17523199999999</v>
      </c>
      <c r="H81">
        <v>-32</v>
      </c>
      <c r="I81">
        <v>-4</v>
      </c>
      <c r="J81">
        <v>1.18</v>
      </c>
      <c r="K81">
        <v>21.594578500000001</v>
      </c>
      <c r="L81">
        <v>0.31133273005260381</v>
      </c>
      <c r="M81">
        <v>-1.9237016014244439</v>
      </c>
      <c r="N81">
        <v>-0.55026708226089582</v>
      </c>
      <c r="O81">
        <v>-0.35045325627625051</v>
      </c>
    </row>
    <row r="82" spans="1:15" x14ac:dyDescent="0.25">
      <c r="A82">
        <v>59.041112249999998</v>
      </c>
      <c r="B82">
        <v>-153.32288725000001</v>
      </c>
      <c r="C82">
        <v>43.9427235</v>
      </c>
      <c r="D82">
        <v>263.69638824999998</v>
      </c>
      <c r="E82">
        <v>150.34291475000001</v>
      </c>
      <c r="F82">
        <v>5.55485775</v>
      </c>
      <c r="G82">
        <v>265.64997849999997</v>
      </c>
      <c r="H82">
        <v>-32</v>
      </c>
      <c r="I82">
        <v>0</v>
      </c>
      <c r="J82">
        <v>1.18</v>
      </c>
      <c r="K82">
        <v>20.996158250000001</v>
      </c>
      <c r="L82">
        <v>7.3627427822647473E-2</v>
      </c>
      <c r="M82">
        <v>-2.033941909072261</v>
      </c>
      <c r="N82">
        <v>-0.56241253219686516</v>
      </c>
      <c r="O82">
        <v>-0.29383981525315161</v>
      </c>
    </row>
    <row r="83" spans="1:15" x14ac:dyDescent="0.25">
      <c r="A83">
        <v>35.160469249999998</v>
      </c>
      <c r="B83">
        <v>-165.0398065</v>
      </c>
      <c r="C83">
        <v>74.020700750000003</v>
      </c>
      <c r="D83">
        <v>279.20793924999998</v>
      </c>
      <c r="E83">
        <v>158.21098724999999</v>
      </c>
      <c r="F83">
        <v>5.7984945000000003</v>
      </c>
      <c r="G83">
        <v>281.97550174999998</v>
      </c>
      <c r="H83">
        <v>-32</v>
      </c>
      <c r="I83">
        <v>4</v>
      </c>
      <c r="J83">
        <v>1.18</v>
      </c>
      <c r="K83">
        <v>21.635517</v>
      </c>
      <c r="L83">
        <v>-0.17413373179888189</v>
      </c>
      <c r="M83">
        <v>-1.990780367031814</v>
      </c>
      <c r="N83">
        <v>-0.5546092458115478</v>
      </c>
      <c r="O83">
        <v>-0.316983380066724</v>
      </c>
    </row>
    <row r="84" spans="1:15" x14ac:dyDescent="0.25">
      <c r="A84">
        <v>4.6492742500000004</v>
      </c>
      <c r="B84">
        <v>-179.56445325000001</v>
      </c>
      <c r="C84">
        <v>105.54386125000001</v>
      </c>
      <c r="D84">
        <v>296.42839075000001</v>
      </c>
      <c r="E84">
        <v>164.6485065</v>
      </c>
      <c r="F84">
        <v>6.3344847499999997</v>
      </c>
      <c r="G84">
        <v>300.6166915</v>
      </c>
      <c r="H84">
        <v>-32</v>
      </c>
      <c r="I84">
        <v>8</v>
      </c>
      <c r="J84">
        <v>1.18</v>
      </c>
      <c r="K84">
        <v>22.333445999999999</v>
      </c>
      <c r="L84">
        <v>-0.40019544144648089</v>
      </c>
      <c r="M84">
        <v>-1.88808523251772</v>
      </c>
      <c r="N84">
        <v>-0.5393423195399184</v>
      </c>
      <c r="O84">
        <v>-0.37202945164630707</v>
      </c>
    </row>
    <row r="85" spans="1:15" x14ac:dyDescent="0.25">
      <c r="A85">
        <v>-29.370646499999999</v>
      </c>
      <c r="B85">
        <v>-195.36126325000001</v>
      </c>
      <c r="C85">
        <v>135.89280675000001</v>
      </c>
      <c r="D85">
        <v>309.26705175000001</v>
      </c>
      <c r="E85">
        <v>164.60380549999999</v>
      </c>
      <c r="F85">
        <v>6.3832110000000002</v>
      </c>
      <c r="G85">
        <v>316.46719350000001</v>
      </c>
      <c r="H85">
        <v>-32</v>
      </c>
      <c r="I85">
        <v>12</v>
      </c>
      <c r="J85">
        <v>1.18</v>
      </c>
      <c r="K85">
        <v>22.925207499999999</v>
      </c>
      <c r="L85">
        <v>-0.59668207100882054</v>
      </c>
      <c r="M85">
        <v>-1.821973947644945</v>
      </c>
      <c r="N85">
        <v>-0.54832523453883941</v>
      </c>
      <c r="O85">
        <v>-0.4287468526608248</v>
      </c>
    </row>
    <row r="86" spans="1:15" x14ac:dyDescent="0.25">
      <c r="A86">
        <v>-78.646865750000003</v>
      </c>
      <c r="B86">
        <v>-222.06866049999999</v>
      </c>
      <c r="C86">
        <v>165.97078325000001</v>
      </c>
      <c r="D86">
        <v>317.89918499999999</v>
      </c>
      <c r="E86">
        <v>158.1662905</v>
      </c>
      <c r="F86">
        <v>6.8704787500000002</v>
      </c>
      <c r="G86">
        <v>331.99100499999997</v>
      </c>
      <c r="H86">
        <v>-32</v>
      </c>
      <c r="I86">
        <v>16</v>
      </c>
      <c r="J86">
        <v>1.18</v>
      </c>
      <c r="K86">
        <v>23.47448</v>
      </c>
      <c r="L86">
        <v>-0.79287497724167233</v>
      </c>
      <c r="M86">
        <v>-1.7501595333056541</v>
      </c>
      <c r="N86">
        <v>-0.56341025149399737</v>
      </c>
      <c r="O86">
        <v>-0.50961109297908513</v>
      </c>
    </row>
    <row r="87" spans="1:15" x14ac:dyDescent="0.25">
      <c r="A87">
        <v>-124.006199</v>
      </c>
      <c r="B87">
        <v>-231.29569624999999</v>
      </c>
      <c r="C87">
        <v>185.525982</v>
      </c>
      <c r="D87">
        <v>307.55815899999999</v>
      </c>
      <c r="E87">
        <v>143.19011325</v>
      </c>
      <c r="F87">
        <v>7.0166585000000001</v>
      </c>
      <c r="G87">
        <v>331.67223374999998</v>
      </c>
      <c r="H87">
        <v>-32</v>
      </c>
      <c r="I87">
        <v>20</v>
      </c>
      <c r="J87">
        <v>1.18</v>
      </c>
      <c r="K87">
        <v>23.4576615</v>
      </c>
      <c r="L87">
        <v>-0.96473666620557574</v>
      </c>
      <c r="M87">
        <v>-1.679564632563632</v>
      </c>
      <c r="N87">
        <v>-0.58749497184246513</v>
      </c>
      <c r="O87">
        <v>-0.57557598525210008</v>
      </c>
    </row>
    <row r="88" spans="1:15" x14ac:dyDescent="0.25">
      <c r="A88">
        <v>-158.87026599999999</v>
      </c>
      <c r="B88">
        <v>-226.96195574999999</v>
      </c>
      <c r="C88">
        <v>185.796955</v>
      </c>
      <c r="D88">
        <v>273.11725625000003</v>
      </c>
      <c r="E88">
        <v>113.81893125000001</v>
      </c>
      <c r="F88">
        <v>6.3832110000000002</v>
      </c>
      <c r="G88">
        <v>306.561577</v>
      </c>
      <c r="H88">
        <v>-32</v>
      </c>
      <c r="I88">
        <v>24</v>
      </c>
      <c r="J88">
        <v>1.18</v>
      </c>
      <c r="K88">
        <v>22.556072499999999</v>
      </c>
      <c r="L88">
        <v>-1.123678655461037</v>
      </c>
      <c r="M88">
        <v>-1.630347094389559</v>
      </c>
      <c r="N88">
        <v>-0.62840213914709231</v>
      </c>
      <c r="O88">
        <v>-0.64975893197978185</v>
      </c>
    </row>
    <row r="89" spans="1:15" x14ac:dyDescent="0.25">
      <c r="A89">
        <v>-191.4821475</v>
      </c>
      <c r="B89">
        <v>-232.47909924999999</v>
      </c>
      <c r="C89">
        <v>184.30660624999999</v>
      </c>
      <c r="D89">
        <v>243.67158875000001</v>
      </c>
      <c r="E89">
        <v>85.833608499999997</v>
      </c>
      <c r="F89">
        <v>6.0421257500000003</v>
      </c>
      <c r="G89">
        <v>288.354309</v>
      </c>
      <c r="H89">
        <v>-32</v>
      </c>
      <c r="I89">
        <v>28</v>
      </c>
      <c r="J89">
        <v>1.18</v>
      </c>
      <c r="K89">
        <v>21.874493999999999</v>
      </c>
      <c r="L89">
        <v>-1.2618153207830269</v>
      </c>
      <c r="M89">
        <v>-1.5988082542693229</v>
      </c>
      <c r="N89">
        <v>-0.68001642831994702</v>
      </c>
      <c r="O89">
        <v>-0.7320659261944511</v>
      </c>
    </row>
    <row r="90" spans="1:15" x14ac:dyDescent="0.25">
      <c r="A90">
        <v>-222.33730299999999</v>
      </c>
      <c r="B90">
        <v>-245.06493750000001</v>
      </c>
      <c r="C90">
        <v>179.33876824999999</v>
      </c>
      <c r="D90">
        <v>213.56866074999999</v>
      </c>
      <c r="E90">
        <v>55.478916249999997</v>
      </c>
      <c r="F90">
        <v>5.7497619999999996</v>
      </c>
      <c r="G90">
        <v>271.79629525000001</v>
      </c>
      <c r="H90">
        <v>-32</v>
      </c>
      <c r="I90">
        <v>32</v>
      </c>
      <c r="J90">
        <v>1.18</v>
      </c>
      <c r="K90">
        <v>21.235021</v>
      </c>
      <c r="L90">
        <v>-1.3890468575200119</v>
      </c>
      <c r="M90">
        <v>-1.585992408880138</v>
      </c>
      <c r="N90">
        <v>-0.74806824737246025</v>
      </c>
      <c r="O90">
        <v>-0.82804690009060256</v>
      </c>
    </row>
    <row r="91" spans="1:15" x14ac:dyDescent="0.25">
      <c r="A91">
        <v>-263.19223025000002</v>
      </c>
      <c r="B91">
        <v>-274.73368825</v>
      </c>
      <c r="C91">
        <v>180.28717800000001</v>
      </c>
      <c r="D91">
        <v>194.814583</v>
      </c>
      <c r="E91">
        <v>24.766587749999999</v>
      </c>
      <c r="F91">
        <v>5.8472150000000003</v>
      </c>
      <c r="G91">
        <v>270.59596249999998</v>
      </c>
      <c r="H91">
        <v>-32</v>
      </c>
      <c r="I91">
        <v>36</v>
      </c>
      <c r="J91">
        <v>1.18</v>
      </c>
      <c r="K91">
        <v>21.183134249999998</v>
      </c>
      <c r="L91">
        <v>-1.509831477430561</v>
      </c>
      <c r="M91">
        <v>-1.598583123294248</v>
      </c>
      <c r="N91">
        <v>-0.83693870157551009</v>
      </c>
      <c r="O91">
        <v>-0.93559432783217122</v>
      </c>
    </row>
    <row r="92" spans="1:15" x14ac:dyDescent="0.25">
      <c r="A92">
        <v>-320.84857950000003</v>
      </c>
      <c r="B92">
        <v>-326.12030800000002</v>
      </c>
      <c r="C92">
        <v>192.57127374999999</v>
      </c>
      <c r="D92">
        <v>187.54079824999999</v>
      </c>
      <c r="E92">
        <v>-11.328606750000001</v>
      </c>
      <c r="F92">
        <v>6.1395765000000004</v>
      </c>
      <c r="G92">
        <v>290.275261</v>
      </c>
      <c r="H92">
        <v>-32</v>
      </c>
      <c r="I92">
        <v>40</v>
      </c>
      <c r="J92">
        <v>1.18</v>
      </c>
      <c r="K92">
        <v>21.9450425</v>
      </c>
      <c r="L92">
        <v>-1.6448938076136479</v>
      </c>
      <c r="M92">
        <v>-1.645460959544671</v>
      </c>
      <c r="N92">
        <v>-0.9662556053222191</v>
      </c>
      <c r="O92">
        <v>-1.0559525973290429</v>
      </c>
    </row>
    <row r="93" spans="1:15" x14ac:dyDescent="0.25">
      <c r="A93">
        <v>-375.12662475000002</v>
      </c>
      <c r="B93">
        <v>-367.88578799999999</v>
      </c>
      <c r="C93">
        <v>200.29399475</v>
      </c>
      <c r="D93">
        <v>172.029247</v>
      </c>
      <c r="E93">
        <v>-52.093749250000002</v>
      </c>
      <c r="F93">
        <v>6.3344865000000006</v>
      </c>
      <c r="G93">
        <v>305.95693225000002</v>
      </c>
      <c r="H93">
        <v>-32</v>
      </c>
      <c r="I93">
        <v>44</v>
      </c>
      <c r="J93">
        <v>1.18</v>
      </c>
      <c r="K93">
        <v>22.535176</v>
      </c>
      <c r="L93">
        <v>-1.802350805452885</v>
      </c>
      <c r="M93">
        <v>-1.690105504947329</v>
      </c>
      <c r="N93">
        <v>-1.1214383502042291</v>
      </c>
      <c r="O93">
        <v>-1.1829207208938499</v>
      </c>
    </row>
    <row r="94" spans="1:15" x14ac:dyDescent="0.25">
      <c r="A94">
        <v>230.77773275000001</v>
      </c>
      <c r="B94">
        <v>-411.188919</v>
      </c>
      <c r="C94">
        <v>-383.97214524999998</v>
      </c>
      <c r="D94">
        <v>150.73372649999999</v>
      </c>
      <c r="E94">
        <v>-80.593673749999994</v>
      </c>
      <c r="F94">
        <v>6.8704767499999999</v>
      </c>
      <c r="G94">
        <v>327.04978949999997</v>
      </c>
      <c r="H94">
        <v>-28</v>
      </c>
      <c r="I94">
        <v>-44</v>
      </c>
      <c r="J94">
        <v>1.18</v>
      </c>
      <c r="K94">
        <v>23.295407999999998</v>
      </c>
      <c r="L94">
        <v>1.939352980203829</v>
      </c>
      <c r="M94">
        <v>-1.7727009558976961</v>
      </c>
      <c r="N94">
        <v>-1.2859935780075471</v>
      </c>
      <c r="O94">
        <v>-1.275922471690375</v>
      </c>
    </row>
    <row r="95" spans="1:15" x14ac:dyDescent="0.25">
      <c r="A95">
        <v>244.37960824999999</v>
      </c>
      <c r="B95">
        <v>-377.23632049999998</v>
      </c>
      <c r="C95">
        <v>-348.78258499999998</v>
      </c>
      <c r="D95">
        <v>189.33733749999999</v>
      </c>
      <c r="E95">
        <v>-23.593830000000001</v>
      </c>
      <c r="F95">
        <v>7.06538325</v>
      </c>
      <c r="G95">
        <v>339.29463950000002</v>
      </c>
      <c r="H95">
        <v>-28</v>
      </c>
      <c r="I95">
        <v>-40</v>
      </c>
      <c r="J95">
        <v>1.18</v>
      </c>
      <c r="K95">
        <v>23.729733249999999</v>
      </c>
      <c r="L95">
        <v>1.7476094382474121</v>
      </c>
      <c r="M95">
        <v>-1.669273558881627</v>
      </c>
      <c r="N95">
        <v>-1.0691720592965439</v>
      </c>
      <c r="O95">
        <v>-1.0903376610476709</v>
      </c>
    </row>
    <row r="96" spans="1:15" x14ac:dyDescent="0.25">
      <c r="A96">
        <v>230.92835975</v>
      </c>
      <c r="B96">
        <v>-304.55603024999999</v>
      </c>
      <c r="C96">
        <v>-292.65976725000002</v>
      </c>
      <c r="D96">
        <v>202.30744949999999</v>
      </c>
      <c r="E96">
        <v>24.632473000000001</v>
      </c>
      <c r="F96">
        <v>6.6268459999999996</v>
      </c>
      <c r="G96">
        <v>316.46398149999999</v>
      </c>
      <c r="H96">
        <v>-28</v>
      </c>
      <c r="I96">
        <v>-36</v>
      </c>
      <c r="J96">
        <v>1.18</v>
      </c>
      <c r="K96">
        <v>22.916079499999999</v>
      </c>
      <c r="L96">
        <v>1.619825197716714</v>
      </c>
      <c r="M96">
        <v>-1.56808125959355</v>
      </c>
      <c r="N96">
        <v>-0.90284400452477309</v>
      </c>
      <c r="O96">
        <v>-0.94430472102909679</v>
      </c>
    </row>
    <row r="97" spans="1:15" x14ac:dyDescent="0.25">
      <c r="A97">
        <v>214.63336949999999</v>
      </c>
      <c r="B97">
        <v>-242.18648150000001</v>
      </c>
      <c r="C97">
        <v>-239.24383549999999</v>
      </c>
      <c r="D97">
        <v>209.44977175</v>
      </c>
      <c r="E97">
        <v>61.782321000000003</v>
      </c>
      <c r="F97">
        <v>6.2370254999999997</v>
      </c>
      <c r="G97">
        <v>295.04281600000002</v>
      </c>
      <c r="H97">
        <v>-28</v>
      </c>
      <c r="I97">
        <v>-32</v>
      </c>
      <c r="J97">
        <v>1.18</v>
      </c>
      <c r="K97">
        <v>22.124641749999999</v>
      </c>
      <c r="L97">
        <v>1.50044832859481</v>
      </c>
      <c r="M97">
        <v>-1.4930278158685359</v>
      </c>
      <c r="N97">
        <v>-0.77112827927748373</v>
      </c>
      <c r="O97">
        <v>-0.81638025960810789</v>
      </c>
    </row>
    <row r="98" spans="1:15" x14ac:dyDescent="0.25">
      <c r="A98">
        <v>198.11269375000001</v>
      </c>
      <c r="B98">
        <v>-189.35083750000001</v>
      </c>
      <c r="C98">
        <v>-187.36180475</v>
      </c>
      <c r="D98">
        <v>213.43720625</v>
      </c>
      <c r="E98">
        <v>91.555847</v>
      </c>
      <c r="F98">
        <v>5.9933967499999996</v>
      </c>
      <c r="G98">
        <v>276.66977674999998</v>
      </c>
      <c r="H98">
        <v>-28</v>
      </c>
      <c r="I98">
        <v>-28</v>
      </c>
      <c r="J98">
        <v>1.18</v>
      </c>
      <c r="K98">
        <v>21.418980250000001</v>
      </c>
      <c r="L98">
        <v>1.3771253797372101</v>
      </c>
      <c r="M98">
        <v>-1.4389804783592559</v>
      </c>
      <c r="N98">
        <v>-0.66133113312566605</v>
      </c>
      <c r="O98">
        <v>-0.69432408075566909</v>
      </c>
    </row>
    <row r="99" spans="1:15" x14ac:dyDescent="0.25">
      <c r="A99">
        <v>181.23091525000001</v>
      </c>
      <c r="B99">
        <v>-154.29310225</v>
      </c>
      <c r="C99">
        <v>-140.21682724999999</v>
      </c>
      <c r="D99">
        <v>219.92226400000001</v>
      </c>
      <c r="E99">
        <v>114.53421400000001</v>
      </c>
      <c r="F99">
        <v>5.6035845000000002</v>
      </c>
      <c r="G99">
        <v>264.58493800000002</v>
      </c>
      <c r="H99">
        <v>-28</v>
      </c>
      <c r="I99">
        <v>-24</v>
      </c>
      <c r="J99">
        <v>1.18</v>
      </c>
      <c r="K99">
        <v>20.951161249999998</v>
      </c>
      <c r="L99">
        <v>1.2278849369158129</v>
      </c>
      <c r="M99">
        <v>-1.429458572083625</v>
      </c>
      <c r="N99">
        <v>-0.57317684036441019</v>
      </c>
      <c r="O99">
        <v>-0.58389899238411513</v>
      </c>
    </row>
    <row r="100" spans="1:15" x14ac:dyDescent="0.25">
      <c r="A100">
        <v>184.0624885</v>
      </c>
      <c r="B100">
        <v>-142.62482825000001</v>
      </c>
      <c r="C100">
        <v>-109.2229555</v>
      </c>
      <c r="D100">
        <v>250.94535825</v>
      </c>
      <c r="E100">
        <v>146.230053</v>
      </c>
      <c r="F100">
        <v>6.0908495</v>
      </c>
      <c r="G100">
        <v>284.81648224999998</v>
      </c>
      <c r="H100">
        <v>-28</v>
      </c>
      <c r="I100">
        <v>-20</v>
      </c>
      <c r="J100">
        <v>1.18</v>
      </c>
      <c r="K100">
        <v>21.73511375</v>
      </c>
      <c r="L100">
        <v>1.077647822698907</v>
      </c>
      <c r="M100">
        <v>-1.446133316898133</v>
      </c>
      <c r="N100">
        <v>-0.50922087967086915</v>
      </c>
      <c r="O100">
        <v>-0.48507636386546948</v>
      </c>
    </row>
    <row r="101" spans="1:15" x14ac:dyDescent="0.25">
      <c r="A101">
        <v>179.56079475000001</v>
      </c>
      <c r="B101">
        <v>-136.85856999999999</v>
      </c>
      <c r="C101">
        <v>-68.168474500000002</v>
      </c>
      <c r="D101">
        <v>278.11248775000001</v>
      </c>
      <c r="E101">
        <v>177.210613</v>
      </c>
      <c r="F101">
        <v>6.3832112499999996</v>
      </c>
      <c r="G101">
        <v>302.52012624999998</v>
      </c>
      <c r="H101">
        <v>-28</v>
      </c>
      <c r="I101">
        <v>-16</v>
      </c>
      <c r="J101">
        <v>1.18</v>
      </c>
      <c r="K101">
        <v>22.403711000000001</v>
      </c>
      <c r="L101">
        <v>0.88563271610567562</v>
      </c>
      <c r="M101">
        <v>-1.483520704718458</v>
      </c>
      <c r="N101">
        <v>-0.44799591168434849</v>
      </c>
      <c r="O101">
        <v>-0.38930712390794792</v>
      </c>
    </row>
    <row r="102" spans="1:15" x14ac:dyDescent="0.25">
      <c r="A102">
        <v>171.42466350000001</v>
      </c>
      <c r="B102">
        <v>-143.0087585</v>
      </c>
      <c r="C102">
        <v>-25.6252125</v>
      </c>
      <c r="D102">
        <v>301.99327075000002</v>
      </c>
      <c r="E102">
        <v>202.73716375000001</v>
      </c>
      <c r="F102">
        <v>6.6268440000000002</v>
      </c>
      <c r="G102">
        <v>318.82498924999999</v>
      </c>
      <c r="H102">
        <v>-28</v>
      </c>
      <c r="I102">
        <v>-12</v>
      </c>
      <c r="J102">
        <v>1.18</v>
      </c>
      <c r="K102">
        <v>23.0032295</v>
      </c>
      <c r="L102">
        <v>0.6864640065076214</v>
      </c>
      <c r="M102">
        <v>-1.5502418613964299</v>
      </c>
      <c r="N102">
        <v>-0.40442083169121767</v>
      </c>
      <c r="O102">
        <v>-0.31682399989274201</v>
      </c>
    </row>
    <row r="103" spans="1:15" x14ac:dyDescent="0.25">
      <c r="A103">
        <v>157.12697199999999</v>
      </c>
      <c r="B103">
        <v>-153.360241</v>
      </c>
      <c r="C103">
        <v>14.000235999999999</v>
      </c>
      <c r="D103">
        <v>320.65970650000003</v>
      </c>
      <c r="E103">
        <v>220.350933</v>
      </c>
      <c r="F103">
        <v>6.9192055000000003</v>
      </c>
      <c r="G103">
        <v>332.6506195</v>
      </c>
      <c r="H103">
        <v>-28</v>
      </c>
      <c r="I103">
        <v>-8</v>
      </c>
      <c r="J103">
        <v>1.18</v>
      </c>
      <c r="K103">
        <v>23.496525250000001</v>
      </c>
      <c r="L103">
        <v>0.49351508264091082</v>
      </c>
      <c r="M103">
        <v>-1.634354505217783</v>
      </c>
      <c r="N103">
        <v>-0.38720960525038678</v>
      </c>
      <c r="O103">
        <v>-0.2640971226531037</v>
      </c>
    </row>
    <row r="104" spans="1:15" x14ac:dyDescent="0.25">
      <c r="A104">
        <v>129.62896900000001</v>
      </c>
      <c r="B104">
        <v>-153.45600899999999</v>
      </c>
      <c r="C104">
        <v>52.92998575</v>
      </c>
      <c r="D104">
        <v>320.79116049999999</v>
      </c>
      <c r="E104">
        <v>226.78844824999999</v>
      </c>
      <c r="F104">
        <v>6.7242990000000002</v>
      </c>
      <c r="G104">
        <v>330.11179325000001</v>
      </c>
      <c r="H104">
        <v>-28</v>
      </c>
      <c r="I104">
        <v>-4</v>
      </c>
      <c r="J104">
        <v>1.18</v>
      </c>
      <c r="K104">
        <v>23.41178425</v>
      </c>
      <c r="L104">
        <v>0.27685301058348383</v>
      </c>
      <c r="M104">
        <v>-1.711774474213392</v>
      </c>
      <c r="N104">
        <v>-0.37296767853957452</v>
      </c>
      <c r="O104">
        <v>-0.20571195748331511</v>
      </c>
    </row>
    <row r="105" spans="1:15" x14ac:dyDescent="0.25">
      <c r="A105">
        <v>99.304613250000003</v>
      </c>
      <c r="B105">
        <v>-136.44575474999999</v>
      </c>
      <c r="C105">
        <v>81.111152500000003</v>
      </c>
      <c r="D105">
        <v>299.10129549999999</v>
      </c>
      <c r="E105">
        <v>217.57921225000001</v>
      </c>
      <c r="F105">
        <v>6.4319377499999986</v>
      </c>
      <c r="G105">
        <v>306.86392975000001</v>
      </c>
      <c r="H105">
        <v>-28</v>
      </c>
      <c r="I105">
        <v>0</v>
      </c>
      <c r="J105">
        <v>1.18</v>
      </c>
      <c r="K105">
        <v>22.565592250000002</v>
      </c>
      <c r="L105">
        <v>7.41736633243332E-2</v>
      </c>
      <c r="M105">
        <v>-1.7759719651706549</v>
      </c>
      <c r="N105">
        <v>-0.36406429744371588</v>
      </c>
      <c r="O105">
        <v>-0.1390426450016107</v>
      </c>
    </row>
    <row r="106" spans="1:15" x14ac:dyDescent="0.25">
      <c r="A106">
        <v>65.852666999999997</v>
      </c>
      <c r="B106">
        <v>-127.32127</v>
      </c>
      <c r="C106">
        <v>102.65348475</v>
      </c>
      <c r="D106">
        <v>277.54286174999999</v>
      </c>
      <c r="E106">
        <v>199.7866325</v>
      </c>
      <c r="F106">
        <v>5.8472192500000002</v>
      </c>
      <c r="G106">
        <v>285.20006549999999</v>
      </c>
      <c r="H106">
        <v>-28</v>
      </c>
      <c r="I106">
        <v>4</v>
      </c>
      <c r="J106">
        <v>1.18</v>
      </c>
      <c r="K106">
        <v>21.759553499999999</v>
      </c>
      <c r="L106">
        <v>-0.15963741143896359</v>
      </c>
      <c r="M106">
        <v>-1.7563011530536989</v>
      </c>
      <c r="N106">
        <v>-0.37052462009427711</v>
      </c>
      <c r="O106">
        <v>-0.1586893880883585</v>
      </c>
    </row>
    <row r="107" spans="1:15" x14ac:dyDescent="0.25">
      <c r="A107">
        <v>34.892039250000003</v>
      </c>
      <c r="B107">
        <v>-123.963131</v>
      </c>
      <c r="C107">
        <v>119.4537945</v>
      </c>
      <c r="D107">
        <v>261.81221775</v>
      </c>
      <c r="E107">
        <v>184.98928824999999</v>
      </c>
      <c r="F107">
        <v>5.7497639999999999</v>
      </c>
      <c r="G107">
        <v>270.13149249999998</v>
      </c>
      <c r="H107">
        <v>-28</v>
      </c>
      <c r="I107">
        <v>8</v>
      </c>
      <c r="J107">
        <v>1.18</v>
      </c>
      <c r="K107">
        <v>21.1684725</v>
      </c>
      <c r="L107">
        <v>-0.36841648185199483</v>
      </c>
      <c r="M107">
        <v>-1.680771600360214</v>
      </c>
      <c r="N107">
        <v>-0.37096034938573702</v>
      </c>
      <c r="O107">
        <v>-0.21908951274900831</v>
      </c>
    </row>
    <row r="108" spans="1:15" x14ac:dyDescent="0.25">
      <c r="A108">
        <v>5.5520434999999999</v>
      </c>
      <c r="B108">
        <v>-129.719818</v>
      </c>
      <c r="C108">
        <v>142.80261625</v>
      </c>
      <c r="D108">
        <v>262.33802800000001</v>
      </c>
      <c r="E108">
        <v>181.1446535</v>
      </c>
      <c r="F108">
        <v>5.8472169999999997</v>
      </c>
      <c r="G108">
        <v>273.73278825</v>
      </c>
      <c r="H108">
        <v>-28</v>
      </c>
      <c r="I108">
        <v>12</v>
      </c>
      <c r="J108">
        <v>1.18</v>
      </c>
      <c r="K108">
        <v>21.308275500000001</v>
      </c>
      <c r="L108">
        <v>-0.56428205459265379</v>
      </c>
      <c r="M108">
        <v>-1.61189514910853</v>
      </c>
      <c r="N108">
        <v>-0.38066902953998671</v>
      </c>
      <c r="O108">
        <v>-0.27928780537004377</v>
      </c>
    </row>
    <row r="109" spans="1:15" x14ac:dyDescent="0.25">
      <c r="A109">
        <v>-31.440728750000002</v>
      </c>
      <c r="B109">
        <v>-148.24803549999999</v>
      </c>
      <c r="C109">
        <v>171.79669225000001</v>
      </c>
      <c r="D109">
        <v>273.64306649999997</v>
      </c>
      <c r="E109">
        <v>180.25054549999999</v>
      </c>
      <c r="F109">
        <v>6.2370334999999999</v>
      </c>
      <c r="G109">
        <v>292.39595824999998</v>
      </c>
      <c r="H109">
        <v>-28</v>
      </c>
      <c r="I109">
        <v>16</v>
      </c>
      <c r="J109">
        <v>1.18</v>
      </c>
      <c r="K109">
        <v>22.023043250000001</v>
      </c>
      <c r="L109">
        <v>-0.75246858374706749</v>
      </c>
      <c r="M109">
        <v>-1.562027599901838</v>
      </c>
      <c r="N109">
        <v>-0.41521930990712708</v>
      </c>
      <c r="O109">
        <v>-0.3557277759394224</v>
      </c>
    </row>
    <row r="110" spans="1:15" x14ac:dyDescent="0.25">
      <c r="A110">
        <v>-76.800062249999996</v>
      </c>
      <c r="B110">
        <v>-163.43383399999999</v>
      </c>
      <c r="C110">
        <v>199.52623750000001</v>
      </c>
      <c r="D110">
        <v>278.28775775000003</v>
      </c>
      <c r="E110">
        <v>175.82475274999999</v>
      </c>
      <c r="F110">
        <v>6.6755684999999998</v>
      </c>
      <c r="G110">
        <v>307.70432299999999</v>
      </c>
      <c r="H110">
        <v>-28</v>
      </c>
      <c r="I110">
        <v>20</v>
      </c>
      <c r="J110">
        <v>1.18</v>
      </c>
      <c r="K110">
        <v>22.587975</v>
      </c>
      <c r="L110">
        <v>-0.9337200750523198</v>
      </c>
      <c r="M110">
        <v>-1.4925931654736619</v>
      </c>
      <c r="N110">
        <v>-0.44563013226615422</v>
      </c>
      <c r="O110">
        <v>-0.42843362807025759</v>
      </c>
    </row>
    <row r="111" spans="1:15" x14ac:dyDescent="0.25">
      <c r="A111">
        <v>-124.456644</v>
      </c>
      <c r="B111">
        <v>-189.15888225</v>
      </c>
      <c r="C111">
        <v>223.77829750000001</v>
      </c>
      <c r="D111">
        <v>279.07649249999997</v>
      </c>
      <c r="E111">
        <v>163.93323150000001</v>
      </c>
      <c r="F111">
        <v>6.6755705000000001</v>
      </c>
      <c r="G111">
        <v>323.82975025000002</v>
      </c>
      <c r="H111">
        <v>-28</v>
      </c>
      <c r="I111">
        <v>24</v>
      </c>
      <c r="J111">
        <v>1.18</v>
      </c>
      <c r="K111">
        <v>23.185098750000002</v>
      </c>
      <c r="L111">
        <v>-1.0857176267229729</v>
      </c>
      <c r="M111">
        <v>-1.4598932238506031</v>
      </c>
      <c r="N111">
        <v>-0.49856632445791438</v>
      </c>
      <c r="O111">
        <v>-0.5097064031450238</v>
      </c>
    </row>
    <row r="112" spans="1:15" x14ac:dyDescent="0.25">
      <c r="A112">
        <v>-183.73458475000001</v>
      </c>
      <c r="B112">
        <v>-227.9854205</v>
      </c>
      <c r="C112">
        <v>241.12055950000001</v>
      </c>
      <c r="D112">
        <v>271.01397700000001</v>
      </c>
      <c r="E112">
        <v>141.13368224999999</v>
      </c>
      <c r="F112">
        <v>6.9679295000000003</v>
      </c>
      <c r="G112">
        <v>333.75302099999999</v>
      </c>
      <c r="H112">
        <v>-28</v>
      </c>
      <c r="I112">
        <v>28</v>
      </c>
      <c r="J112">
        <v>1.18</v>
      </c>
      <c r="K112">
        <v>23.534498750000001</v>
      </c>
      <c r="L112">
        <v>-1.2243902556846671</v>
      </c>
      <c r="M112">
        <v>-1.438064896762848</v>
      </c>
      <c r="N112">
        <v>-0.55511240578963461</v>
      </c>
      <c r="O112">
        <v>-0.61332709082839743</v>
      </c>
    </row>
    <row r="113" spans="1:15" x14ac:dyDescent="0.25">
      <c r="A113">
        <v>-227.83266449999999</v>
      </c>
      <c r="B113">
        <v>-253.89263925</v>
      </c>
      <c r="C113">
        <v>242.92704749999999</v>
      </c>
      <c r="D113">
        <v>244.19741049999999</v>
      </c>
      <c r="E113">
        <v>104.60970325</v>
      </c>
      <c r="F113">
        <v>6.7730234999999999</v>
      </c>
      <c r="G113">
        <v>323.70964049999998</v>
      </c>
      <c r="H113">
        <v>-28</v>
      </c>
      <c r="I113">
        <v>32</v>
      </c>
      <c r="J113">
        <v>1.18</v>
      </c>
      <c r="K113">
        <v>23.1771365</v>
      </c>
      <c r="L113">
        <v>-1.36266092829188</v>
      </c>
      <c r="M113">
        <v>-1.441776534487037</v>
      </c>
      <c r="N113">
        <v>-0.63422387347223064</v>
      </c>
      <c r="O113">
        <v>-0.71679122755245228</v>
      </c>
    </row>
    <row r="114" spans="1:15" x14ac:dyDescent="0.25">
      <c r="A114">
        <v>-253.10235599999999</v>
      </c>
      <c r="B114">
        <v>-269.1305845</v>
      </c>
      <c r="C114">
        <v>225.62995549999999</v>
      </c>
      <c r="D114">
        <v>203.70961750000001</v>
      </c>
      <c r="E114">
        <v>60.53058025</v>
      </c>
      <c r="F114">
        <v>6.3832112499999996</v>
      </c>
      <c r="G114">
        <v>298.33577724999998</v>
      </c>
      <c r="H114">
        <v>-28</v>
      </c>
      <c r="I114">
        <v>36</v>
      </c>
      <c r="J114">
        <v>1.18</v>
      </c>
      <c r="K114">
        <v>22.244862999999999</v>
      </c>
      <c r="L114">
        <v>-1.48837757429731</v>
      </c>
      <c r="M114">
        <v>-1.4700580234284819</v>
      </c>
      <c r="N114">
        <v>-0.73933960418054989</v>
      </c>
      <c r="O114">
        <v>-0.83165463767799641</v>
      </c>
    </row>
    <row r="115" spans="1:15" x14ac:dyDescent="0.25">
      <c r="A115">
        <v>-274.54332749999998</v>
      </c>
      <c r="B115">
        <v>-288.86756124999999</v>
      </c>
      <c r="C115">
        <v>211.44903925</v>
      </c>
      <c r="D115">
        <v>170.67089075000001</v>
      </c>
      <c r="E115">
        <v>20.161974000000001</v>
      </c>
      <c r="F115">
        <v>5.8472189999999999</v>
      </c>
      <c r="G115">
        <v>280.79150375</v>
      </c>
      <c r="H115">
        <v>-28</v>
      </c>
      <c r="I115">
        <v>40</v>
      </c>
      <c r="J115">
        <v>1.18</v>
      </c>
      <c r="K115">
        <v>21.587182500000001</v>
      </c>
      <c r="L115">
        <v>-1.609967754573062</v>
      </c>
      <c r="M115">
        <v>-1.5223255786861001</v>
      </c>
      <c r="N115">
        <v>-0.86341632497571652</v>
      </c>
      <c r="O115">
        <v>-0.9525846911438044</v>
      </c>
    </row>
    <row r="116" spans="1:15" x14ac:dyDescent="0.25">
      <c r="A116">
        <v>-281.79541024999997</v>
      </c>
      <c r="B116">
        <v>-303.81537624999999</v>
      </c>
      <c r="C116">
        <v>196.45521525000001</v>
      </c>
      <c r="D116">
        <v>138.81524275000001</v>
      </c>
      <c r="E116">
        <v>-21.0069835</v>
      </c>
      <c r="F116">
        <v>5.4574069999999999</v>
      </c>
      <c r="G116">
        <v>264.56964099999999</v>
      </c>
      <c r="H116">
        <v>-28</v>
      </c>
      <c r="I116">
        <v>44</v>
      </c>
      <c r="J116">
        <v>1.18</v>
      </c>
      <c r="K116">
        <v>20.956443499999999</v>
      </c>
      <c r="L116">
        <v>-1.7595844799629361</v>
      </c>
      <c r="M116">
        <v>-1.628536913090457</v>
      </c>
      <c r="N116">
        <v>-1.050715696307208</v>
      </c>
      <c r="O116">
        <v>-1.0973734258689669</v>
      </c>
    </row>
    <row r="117" spans="1:15" x14ac:dyDescent="0.25">
      <c r="A117">
        <v>224.41370025000001</v>
      </c>
      <c r="B117">
        <v>-320.29579949999999</v>
      </c>
      <c r="C117">
        <v>-308.67552174999997</v>
      </c>
      <c r="D117">
        <v>113.91950774999999</v>
      </c>
      <c r="E117">
        <v>-52.807364499999998</v>
      </c>
      <c r="F117">
        <v>5.8959479999999997</v>
      </c>
      <c r="G117">
        <v>282.33567799999997</v>
      </c>
      <c r="H117">
        <v>-24</v>
      </c>
      <c r="I117">
        <v>-44</v>
      </c>
      <c r="J117">
        <v>1.18</v>
      </c>
      <c r="K117">
        <v>21.645802750000001</v>
      </c>
      <c r="L117">
        <v>2.0372479960962981</v>
      </c>
      <c r="M117">
        <v>-1.6593844880588069</v>
      </c>
      <c r="N117">
        <v>-1.2808143096206079</v>
      </c>
      <c r="O117">
        <v>-1.224371173716063</v>
      </c>
    </row>
    <row r="118" spans="1:15" x14ac:dyDescent="0.25">
      <c r="A118">
        <v>244.589237</v>
      </c>
      <c r="B118">
        <v>-297.40763099999998</v>
      </c>
      <c r="C118">
        <v>-292.43418874999998</v>
      </c>
      <c r="D118">
        <v>152.57407375</v>
      </c>
      <c r="E118">
        <v>-1.7394265</v>
      </c>
      <c r="F118">
        <v>6.2370330000000003</v>
      </c>
      <c r="G118">
        <v>302.05733500000002</v>
      </c>
      <c r="H118">
        <v>-24</v>
      </c>
      <c r="I118">
        <v>-40</v>
      </c>
      <c r="J118">
        <v>1.18</v>
      </c>
      <c r="K118">
        <v>22.391731750000002</v>
      </c>
      <c r="L118">
        <v>1.831747708636521</v>
      </c>
      <c r="M118">
        <v>-1.534823066584468</v>
      </c>
      <c r="N118">
        <v>-1.0362525463636749</v>
      </c>
      <c r="O118">
        <v>-1.0272251146397131</v>
      </c>
    </row>
    <row r="119" spans="1:15" x14ac:dyDescent="0.25">
      <c r="A119">
        <v>258.41197975</v>
      </c>
      <c r="B119">
        <v>-263.10426324999997</v>
      </c>
      <c r="C119">
        <v>-271.63626850000003</v>
      </c>
      <c r="D119">
        <v>187.80371124999999</v>
      </c>
      <c r="E119">
        <v>48.013184750000001</v>
      </c>
      <c r="F119">
        <v>6.7242990000000002</v>
      </c>
      <c r="G119">
        <v>316.96573625000002</v>
      </c>
      <c r="H119">
        <v>-24</v>
      </c>
      <c r="I119">
        <v>-36</v>
      </c>
      <c r="J119">
        <v>1.18</v>
      </c>
      <c r="K119">
        <v>22.931040500000002</v>
      </c>
      <c r="L119">
        <v>1.680659222882334</v>
      </c>
      <c r="M119">
        <v>-1.4297102834022939</v>
      </c>
      <c r="N119">
        <v>-0.85279312082640435</v>
      </c>
      <c r="O119">
        <v>-0.86908827945478051</v>
      </c>
    </row>
    <row r="120" spans="1:15" x14ac:dyDescent="0.25">
      <c r="A120">
        <v>268.57382975000002</v>
      </c>
      <c r="B120">
        <v>-225.98678575</v>
      </c>
      <c r="C120">
        <v>-241.00331525000001</v>
      </c>
      <c r="D120">
        <v>221.23680125000001</v>
      </c>
      <c r="E120">
        <v>97.814548250000001</v>
      </c>
      <c r="F120">
        <v>6.9192010000000002</v>
      </c>
      <c r="G120">
        <v>330.61280799999997</v>
      </c>
      <c r="H120">
        <v>-24</v>
      </c>
      <c r="I120">
        <v>-32</v>
      </c>
      <c r="J120">
        <v>1.18</v>
      </c>
      <c r="K120">
        <v>23.422917000000002</v>
      </c>
      <c r="L120">
        <v>1.538077818349386</v>
      </c>
      <c r="M120">
        <v>-1.3498638886555701</v>
      </c>
      <c r="N120">
        <v>-0.70266169179270532</v>
      </c>
      <c r="O120">
        <v>-0.72564796301469592</v>
      </c>
    </row>
    <row r="121" spans="1:15" x14ac:dyDescent="0.25">
      <c r="A121">
        <v>266.52496350000001</v>
      </c>
      <c r="B121">
        <v>-181.17262274999999</v>
      </c>
      <c r="C121">
        <v>-194.44482825</v>
      </c>
      <c r="D121">
        <v>245.64339425</v>
      </c>
      <c r="E121">
        <v>139.65842050000001</v>
      </c>
      <c r="F121">
        <v>6.6755705000000001</v>
      </c>
      <c r="G121">
        <v>333.13207249999999</v>
      </c>
      <c r="H121">
        <v>-24</v>
      </c>
      <c r="I121">
        <v>-28</v>
      </c>
      <c r="J121">
        <v>1.18</v>
      </c>
      <c r="K121">
        <v>23.522627</v>
      </c>
      <c r="L121">
        <v>1.4076563892070559</v>
      </c>
      <c r="M121">
        <v>-1.3033803696372379</v>
      </c>
      <c r="N121">
        <v>-0.59080743831232085</v>
      </c>
      <c r="O121">
        <v>-0.59389240400449972</v>
      </c>
    </row>
    <row r="122" spans="1:15" x14ac:dyDescent="0.25">
      <c r="A122">
        <v>237.14194850000001</v>
      </c>
      <c r="B122">
        <v>-127.225359</v>
      </c>
      <c r="C122">
        <v>-130.5622635</v>
      </c>
      <c r="D122">
        <v>242.83904275</v>
      </c>
      <c r="E122">
        <v>161.027401</v>
      </c>
      <c r="F122">
        <v>6.4319377500000003</v>
      </c>
      <c r="G122">
        <v>305.12108625000002</v>
      </c>
      <c r="H122">
        <v>-24</v>
      </c>
      <c r="I122">
        <v>-24</v>
      </c>
      <c r="J122">
        <v>1.18</v>
      </c>
      <c r="K122">
        <v>22.5000365</v>
      </c>
      <c r="L122">
        <v>1.268290239635627</v>
      </c>
      <c r="M122">
        <v>-1.2764213351404421</v>
      </c>
      <c r="N122">
        <v>-0.49700620636464299</v>
      </c>
      <c r="O122">
        <v>-0.46675667867018911</v>
      </c>
    </row>
    <row r="123" spans="1:15" x14ac:dyDescent="0.25">
      <c r="A123">
        <v>210.52577224999999</v>
      </c>
      <c r="B123">
        <v>-93.931768250000005</v>
      </c>
      <c r="C123">
        <v>-75.973335000000006</v>
      </c>
      <c r="D123">
        <v>242.13797</v>
      </c>
      <c r="E123">
        <v>177.79177475</v>
      </c>
      <c r="F123">
        <v>5.8959454999999998</v>
      </c>
      <c r="G123">
        <v>286.48041549999999</v>
      </c>
      <c r="H123">
        <v>-24</v>
      </c>
      <c r="I123">
        <v>-20</v>
      </c>
      <c r="J123">
        <v>1.18</v>
      </c>
      <c r="K123">
        <v>21.80747525</v>
      </c>
      <c r="L123">
        <v>1.0904235553099211</v>
      </c>
      <c r="M123">
        <v>-1.2790637748439471</v>
      </c>
      <c r="N123">
        <v>-0.413664562209347</v>
      </c>
      <c r="O123">
        <v>-0.34576278553418321</v>
      </c>
    </row>
    <row r="124" spans="1:15" x14ac:dyDescent="0.25">
      <c r="A124">
        <v>185.82288725000001</v>
      </c>
      <c r="B124">
        <v>-73.884117250000003</v>
      </c>
      <c r="C124">
        <v>-30.813412499999998</v>
      </c>
      <c r="D124">
        <v>239.24597175</v>
      </c>
      <c r="E124">
        <v>187.98452</v>
      </c>
      <c r="F124">
        <v>5.6523129999999986</v>
      </c>
      <c r="G124">
        <v>269.89146449999998</v>
      </c>
      <c r="H124">
        <v>-24</v>
      </c>
      <c r="I124">
        <v>-16</v>
      </c>
      <c r="J124">
        <v>1.18</v>
      </c>
      <c r="K124">
        <v>21.1627355</v>
      </c>
      <c r="L124">
        <v>0.90142446166817192</v>
      </c>
      <c r="M124">
        <v>-1.3029121204822189</v>
      </c>
      <c r="N124">
        <v>-0.34083347657985391</v>
      </c>
      <c r="O124">
        <v>-0.2413410960333332</v>
      </c>
    </row>
    <row r="125" spans="1:15" x14ac:dyDescent="0.25">
      <c r="A125">
        <v>175.72401425000001</v>
      </c>
      <c r="B125">
        <v>-75.025094999999993</v>
      </c>
      <c r="C125">
        <v>4.6968379999999996</v>
      </c>
      <c r="D125">
        <v>253.04863349999999</v>
      </c>
      <c r="E125">
        <v>204.61477300000001</v>
      </c>
      <c r="F125">
        <v>5.7984925</v>
      </c>
      <c r="G125">
        <v>276.09360525</v>
      </c>
      <c r="H125">
        <v>-24</v>
      </c>
      <c r="I125">
        <v>-12</v>
      </c>
      <c r="J125">
        <v>1.18</v>
      </c>
      <c r="K125">
        <v>21.403882249999999</v>
      </c>
      <c r="L125">
        <v>0.71328672211049193</v>
      </c>
      <c r="M125">
        <v>-1.3682398375836999</v>
      </c>
      <c r="N125">
        <v>-0.29811598151631441</v>
      </c>
      <c r="O125">
        <v>-0.1708413398409501</v>
      </c>
    </row>
    <row r="126" spans="1:15" x14ac:dyDescent="0.25">
      <c r="A126">
        <v>168.99838625000001</v>
      </c>
      <c r="B126">
        <v>-84.954998250000003</v>
      </c>
      <c r="C126">
        <v>41.50396825</v>
      </c>
      <c r="D126">
        <v>276.92939749999999</v>
      </c>
      <c r="E126">
        <v>229.560169</v>
      </c>
      <c r="F126">
        <v>6.33448425</v>
      </c>
      <c r="G126">
        <v>296.10025024999999</v>
      </c>
      <c r="H126">
        <v>-24</v>
      </c>
      <c r="I126">
        <v>-8</v>
      </c>
      <c r="J126">
        <v>1.18</v>
      </c>
      <c r="K126">
        <v>22.161396499999999</v>
      </c>
      <c r="L126">
        <v>0.50737517842700142</v>
      </c>
      <c r="M126">
        <v>-1.440122096414179</v>
      </c>
      <c r="N126">
        <v>-0.26479891300819652</v>
      </c>
      <c r="O126">
        <v>-0.1116600019311695</v>
      </c>
    </row>
    <row r="127" spans="1:15" x14ac:dyDescent="0.25">
      <c r="A127">
        <v>152.88396825000001</v>
      </c>
      <c r="B127">
        <v>-95.364448500000009</v>
      </c>
      <c r="C127">
        <v>77.45301825</v>
      </c>
      <c r="D127">
        <v>293.62404624999999</v>
      </c>
      <c r="E127">
        <v>248.15744000000001</v>
      </c>
      <c r="F127">
        <v>6.5293890000000001</v>
      </c>
      <c r="G127">
        <v>309.86504350000001</v>
      </c>
      <c r="H127">
        <v>-24</v>
      </c>
      <c r="I127">
        <v>-4</v>
      </c>
      <c r="J127">
        <v>1.18</v>
      </c>
      <c r="K127">
        <v>22.674361000000001</v>
      </c>
      <c r="L127">
        <v>0.29337666663339013</v>
      </c>
      <c r="M127">
        <v>-1.5129044941244389</v>
      </c>
      <c r="N127">
        <v>-0.24000565949550631</v>
      </c>
      <c r="O127">
        <v>-6.0225122606994343E-2</v>
      </c>
    </row>
    <row r="128" spans="1:15" x14ac:dyDescent="0.25">
      <c r="A128">
        <v>132.15675375000001</v>
      </c>
      <c r="B128">
        <v>-99.256992249999996</v>
      </c>
      <c r="C128">
        <v>113.582718</v>
      </c>
      <c r="D128">
        <v>309.44232925</v>
      </c>
      <c r="E128">
        <v>266.17354549999999</v>
      </c>
      <c r="F128">
        <v>6.7730255000000001</v>
      </c>
      <c r="G128">
        <v>324.84895349999999</v>
      </c>
      <c r="H128">
        <v>-24</v>
      </c>
      <c r="I128">
        <v>0</v>
      </c>
      <c r="J128">
        <v>1.18</v>
      </c>
      <c r="K128">
        <v>23.218771499999999</v>
      </c>
      <c r="L128">
        <v>7.1711633426353921E-2</v>
      </c>
      <c r="M128">
        <v>-1.5779172716037579</v>
      </c>
      <c r="N128">
        <v>-0.22653837213974559</v>
      </c>
      <c r="O128">
        <v>1.508579339296223E-3</v>
      </c>
    </row>
    <row r="129" spans="1:15" x14ac:dyDescent="0.25">
      <c r="A129">
        <v>106.301075</v>
      </c>
      <c r="B129">
        <v>-104.82175075000001</v>
      </c>
      <c r="C129">
        <v>147.95109550000001</v>
      </c>
      <c r="D129">
        <v>319.91482574999998</v>
      </c>
      <c r="E129">
        <v>275.42747474999999</v>
      </c>
      <c r="F129">
        <v>6.9679322499999996</v>
      </c>
      <c r="G129">
        <v>337.19334425</v>
      </c>
      <c r="H129">
        <v>-24</v>
      </c>
      <c r="I129">
        <v>4</v>
      </c>
      <c r="J129">
        <v>1.18</v>
      </c>
      <c r="K129">
        <v>23.6580555</v>
      </c>
      <c r="L129">
        <v>-0.15162867982167569</v>
      </c>
      <c r="M129">
        <v>-1.546285241979263</v>
      </c>
      <c r="N129">
        <v>-0.2248822441320977</v>
      </c>
      <c r="O129">
        <v>-2.2683830505866441E-2</v>
      </c>
    </row>
    <row r="130" spans="1:15" x14ac:dyDescent="0.25">
      <c r="A130">
        <v>68.655603249999999</v>
      </c>
      <c r="B130">
        <v>-102.0251275</v>
      </c>
      <c r="C130">
        <v>165.74497199999999</v>
      </c>
      <c r="D130">
        <v>299.188919</v>
      </c>
      <c r="E130">
        <v>254.05849449999999</v>
      </c>
      <c r="F130">
        <v>6.3832110000000002</v>
      </c>
      <c r="G130">
        <v>316.42722300000003</v>
      </c>
      <c r="H130">
        <v>-24</v>
      </c>
      <c r="I130">
        <v>8</v>
      </c>
      <c r="J130">
        <v>1.18</v>
      </c>
      <c r="K130">
        <v>22.923712250000001</v>
      </c>
      <c r="L130">
        <v>-0.35859687347312103</v>
      </c>
      <c r="M130">
        <v>-1.4819108074476319</v>
      </c>
      <c r="N130">
        <v>-0.23037159911772009</v>
      </c>
      <c r="O130">
        <v>-8.5197070343500061E-2</v>
      </c>
    </row>
    <row r="131" spans="1:15" x14ac:dyDescent="0.25">
      <c r="A131">
        <v>32.860810000000001</v>
      </c>
      <c r="B131">
        <v>-98.736024499999999</v>
      </c>
      <c r="C131">
        <v>175.68064100000001</v>
      </c>
      <c r="D131">
        <v>273.02960975000002</v>
      </c>
      <c r="E131">
        <v>226.83314899999999</v>
      </c>
      <c r="F131">
        <v>6.0421275000000003</v>
      </c>
      <c r="G131">
        <v>294.39099900000002</v>
      </c>
      <c r="H131">
        <v>-24</v>
      </c>
      <c r="I131">
        <v>12</v>
      </c>
      <c r="J131">
        <v>1.18</v>
      </c>
      <c r="K131">
        <v>22.107154250000001</v>
      </c>
      <c r="L131">
        <v>-0.54977050320648135</v>
      </c>
      <c r="M131">
        <v>-1.431149679290717</v>
      </c>
      <c r="N131">
        <v>-0.26008288344184338</v>
      </c>
      <c r="O131">
        <v>-0.15004947372828609</v>
      </c>
    </row>
    <row r="132" spans="1:15" x14ac:dyDescent="0.25">
      <c r="A132">
        <v>0.1360825</v>
      </c>
      <c r="B132">
        <v>-93.013851500000001</v>
      </c>
      <c r="C132">
        <v>185.6614725</v>
      </c>
      <c r="D132">
        <v>251.032993</v>
      </c>
      <c r="E132">
        <v>203.49714650000001</v>
      </c>
      <c r="F132">
        <v>5.7984947499999997</v>
      </c>
      <c r="G132">
        <v>277.83019250000001</v>
      </c>
      <c r="H132">
        <v>-24</v>
      </c>
      <c r="I132">
        <v>16</v>
      </c>
      <c r="J132">
        <v>1.18</v>
      </c>
      <c r="K132">
        <v>21.472546250000001</v>
      </c>
      <c r="L132">
        <v>-0.74229343133305914</v>
      </c>
      <c r="M132">
        <v>-1.3765402892616321</v>
      </c>
      <c r="N132">
        <v>-0.29740930341811378</v>
      </c>
      <c r="O132">
        <v>-0.2090043552449907</v>
      </c>
    </row>
    <row r="133" spans="1:15" x14ac:dyDescent="0.25">
      <c r="A133">
        <v>-39.5486535</v>
      </c>
      <c r="B133">
        <v>-97.831294749999998</v>
      </c>
      <c r="C133">
        <v>193.56484225</v>
      </c>
      <c r="D133">
        <v>233.286732</v>
      </c>
      <c r="E133">
        <v>182.39639274999999</v>
      </c>
      <c r="F133">
        <v>5.9446680000000001</v>
      </c>
      <c r="G133">
        <v>267.95522299999999</v>
      </c>
      <c r="H133">
        <v>-24</v>
      </c>
      <c r="I133">
        <v>20</v>
      </c>
      <c r="J133">
        <v>1.18</v>
      </c>
      <c r="K133">
        <v>21.073302000000002</v>
      </c>
      <c r="L133">
        <v>-0.92837923878397632</v>
      </c>
      <c r="M133">
        <v>-1.318771640901113</v>
      </c>
      <c r="N133">
        <v>-0.34077161246219012</v>
      </c>
      <c r="O133">
        <v>-0.2972404661969355</v>
      </c>
    </row>
    <row r="134" spans="1:15" x14ac:dyDescent="0.25">
      <c r="A134">
        <v>-89.232212250000003</v>
      </c>
      <c r="B134">
        <v>-123.1081315</v>
      </c>
      <c r="C134">
        <v>221.1588935</v>
      </c>
      <c r="D134">
        <v>238.36962149999999</v>
      </c>
      <c r="E134">
        <v>175.86946125</v>
      </c>
      <c r="F134">
        <v>6.0421257500000003</v>
      </c>
      <c r="G134">
        <v>289.03474425000002</v>
      </c>
      <c r="H134">
        <v>-24</v>
      </c>
      <c r="I134">
        <v>24</v>
      </c>
      <c r="J134">
        <v>1.18</v>
      </c>
      <c r="K134">
        <v>21.900852</v>
      </c>
      <c r="L134">
        <v>-1.1005320645417711</v>
      </c>
      <c r="M134">
        <v>-1.2816621620325721</v>
      </c>
      <c r="N134">
        <v>-0.40125641061246581</v>
      </c>
      <c r="O134">
        <v>-0.39785963553408749</v>
      </c>
    </row>
    <row r="135" spans="1:15" x14ac:dyDescent="0.25">
      <c r="A135">
        <v>-143.69043725</v>
      </c>
      <c r="B135">
        <v>-157.11291499999999</v>
      </c>
      <c r="C135">
        <v>245.18514999999999</v>
      </c>
      <c r="D135">
        <v>236.39781174999999</v>
      </c>
      <c r="E135">
        <v>161.65327825</v>
      </c>
      <c r="F135">
        <v>6.5293907500000001</v>
      </c>
      <c r="G135">
        <v>306.944008</v>
      </c>
      <c r="H135">
        <v>-24</v>
      </c>
      <c r="I135">
        <v>28</v>
      </c>
      <c r="J135">
        <v>1.18</v>
      </c>
      <c r="K135">
        <v>22.56494125</v>
      </c>
      <c r="L135">
        <v>-1.2461831725297781</v>
      </c>
      <c r="M135">
        <v>-1.2610338817206139</v>
      </c>
      <c r="N135">
        <v>-0.465606956333391</v>
      </c>
      <c r="O135">
        <v>-0.50289360332701549</v>
      </c>
    </row>
    <row r="136" spans="1:15" x14ac:dyDescent="0.25">
      <c r="A136">
        <v>-198.19369499999999</v>
      </c>
      <c r="B136">
        <v>-201.15242000000001</v>
      </c>
      <c r="C136">
        <v>262.16609949999997</v>
      </c>
      <c r="D136">
        <v>226.36349100000001</v>
      </c>
      <c r="E136">
        <v>133.89147199999999</v>
      </c>
      <c r="F136">
        <v>6.8217522499999994</v>
      </c>
      <c r="G136">
        <v>320.64446249999997</v>
      </c>
      <c r="H136">
        <v>-24</v>
      </c>
      <c r="I136">
        <v>32</v>
      </c>
      <c r="J136">
        <v>1.18</v>
      </c>
      <c r="K136">
        <v>23.063013250000001</v>
      </c>
      <c r="L136">
        <v>-1.3801204515628349</v>
      </c>
      <c r="M136">
        <v>-1.28167556002396</v>
      </c>
      <c r="N136">
        <v>-0.55988125138508282</v>
      </c>
      <c r="O136">
        <v>-0.61904955497026126</v>
      </c>
    </row>
    <row r="137" spans="1:15" x14ac:dyDescent="0.25">
      <c r="A137">
        <v>-258.37251275</v>
      </c>
      <c r="B137">
        <v>-250.88761124999999</v>
      </c>
      <c r="C137">
        <v>278.37931049999997</v>
      </c>
      <c r="D137">
        <v>213.74393449999999</v>
      </c>
      <c r="E137">
        <v>99.423923500000001</v>
      </c>
      <c r="F137">
        <v>7.1141097499999999</v>
      </c>
      <c r="G137">
        <v>334.67338549999999</v>
      </c>
      <c r="H137">
        <v>-24</v>
      </c>
      <c r="I137">
        <v>36</v>
      </c>
      <c r="J137">
        <v>1.18</v>
      </c>
      <c r="K137">
        <v>23.562351499999998</v>
      </c>
      <c r="L137">
        <v>-1.516020348349314</v>
      </c>
      <c r="M137">
        <v>-1.3123392618021801</v>
      </c>
      <c r="N137">
        <v>-0.66445962346726661</v>
      </c>
      <c r="O137">
        <v>-0.73928817199134567</v>
      </c>
    </row>
    <row r="138" spans="1:15" x14ac:dyDescent="0.25">
      <c r="A138">
        <v>-294.76808175000002</v>
      </c>
      <c r="B138">
        <v>-284.50167099999999</v>
      </c>
      <c r="C138">
        <v>266.4113385</v>
      </c>
      <c r="D138">
        <v>178.60194000000001</v>
      </c>
      <c r="E138">
        <v>47.297903750000003</v>
      </c>
      <c r="F138">
        <v>6.6755704999999992</v>
      </c>
      <c r="G138">
        <v>321.06608549999999</v>
      </c>
      <c r="H138">
        <v>-24</v>
      </c>
      <c r="I138">
        <v>40</v>
      </c>
      <c r="J138">
        <v>1.18</v>
      </c>
      <c r="K138">
        <v>23.083820249999999</v>
      </c>
      <c r="L138">
        <v>-1.665564770607961</v>
      </c>
      <c r="M138">
        <v>-1.374493958404579</v>
      </c>
      <c r="N138">
        <v>-0.81258712579185077</v>
      </c>
      <c r="O138">
        <v>-0.87944912966134703</v>
      </c>
    </row>
    <row r="139" spans="1:15" x14ac:dyDescent="0.25">
      <c r="A139">
        <v>-310.21818524999998</v>
      </c>
      <c r="B139">
        <v>-303.55434450000001</v>
      </c>
      <c r="C139">
        <v>243.55931874999999</v>
      </c>
      <c r="D139">
        <v>139.20960249999999</v>
      </c>
      <c r="E139">
        <v>-4.4154809999999998</v>
      </c>
      <c r="F139">
        <v>6.2857580000000004</v>
      </c>
      <c r="G139">
        <v>297.83824900000002</v>
      </c>
      <c r="H139">
        <v>-24</v>
      </c>
      <c r="I139">
        <v>44</v>
      </c>
      <c r="J139">
        <v>1.18</v>
      </c>
      <c r="K139">
        <v>22.229607000000001</v>
      </c>
      <c r="L139">
        <v>-1.8308699262065771</v>
      </c>
      <c r="M139">
        <v>-1.4638174652079241</v>
      </c>
      <c r="N139">
        <v>-0.99930282288130767</v>
      </c>
      <c r="O139">
        <v>-1.0353776304775291</v>
      </c>
    </row>
    <row r="140" spans="1:15" x14ac:dyDescent="0.25">
      <c r="A140">
        <v>237.45791249999999</v>
      </c>
      <c r="B140">
        <v>-272.555725</v>
      </c>
      <c r="C140">
        <v>-289.95288075000002</v>
      </c>
      <c r="D140">
        <v>87.679700749999995</v>
      </c>
      <c r="E140">
        <v>-42.236970999999997</v>
      </c>
      <c r="F140">
        <v>5.7010414999999997</v>
      </c>
      <c r="G140">
        <v>274.93322000000001</v>
      </c>
      <c r="H140">
        <v>-20</v>
      </c>
      <c r="I140">
        <v>-44</v>
      </c>
      <c r="J140">
        <v>1.18</v>
      </c>
      <c r="K140">
        <v>21.361750749999999</v>
      </c>
      <c r="L140">
        <v>2.2066148314276059</v>
      </c>
      <c r="M140">
        <v>-1.5071536593197781</v>
      </c>
      <c r="N140">
        <v>-1.326989255523197</v>
      </c>
      <c r="O140">
        <v>-1.2005691880788221</v>
      </c>
    </row>
    <row r="141" spans="1:15" x14ac:dyDescent="0.25">
      <c r="A141">
        <v>238.06022625</v>
      </c>
      <c r="B141">
        <v>-226.80237199999999</v>
      </c>
      <c r="C141">
        <v>-252.41736574999999</v>
      </c>
      <c r="D141">
        <v>115.72318850000001</v>
      </c>
      <c r="E141">
        <v>8.8516100000000009</v>
      </c>
      <c r="F141">
        <v>5.6523149999999998</v>
      </c>
      <c r="G141">
        <v>271.18753049999998</v>
      </c>
      <c r="H141">
        <v>-20</v>
      </c>
      <c r="I141">
        <v>-40</v>
      </c>
      <c r="J141">
        <v>1.18</v>
      </c>
      <c r="K141">
        <v>21.214585499999998</v>
      </c>
      <c r="L141">
        <v>1.9740423733407719</v>
      </c>
      <c r="M141">
        <v>-1.3785843997432401</v>
      </c>
      <c r="N141">
        <v>-1.0558322858558311</v>
      </c>
      <c r="O141">
        <v>-0.98711500668048968</v>
      </c>
    </row>
    <row r="142" spans="1:15" x14ac:dyDescent="0.25">
      <c r="A142">
        <v>258.71658324999999</v>
      </c>
      <c r="B142">
        <v>-197.10199374999999</v>
      </c>
      <c r="C142">
        <v>-235.00303625000001</v>
      </c>
      <c r="D142">
        <v>155.02788525</v>
      </c>
      <c r="E142">
        <v>60.977632499999999</v>
      </c>
      <c r="F142">
        <v>6.0908524999999996</v>
      </c>
      <c r="G142">
        <v>291.85881825000001</v>
      </c>
      <c r="H142">
        <v>-20</v>
      </c>
      <c r="I142">
        <v>-36</v>
      </c>
      <c r="J142">
        <v>1.18</v>
      </c>
      <c r="K142">
        <v>22.00798825</v>
      </c>
      <c r="L142">
        <v>1.7821874135506179</v>
      </c>
      <c r="M142">
        <v>-1.271080643526459</v>
      </c>
      <c r="N142">
        <v>-0.83341947114259096</v>
      </c>
      <c r="O142">
        <v>-0.80187123006631089</v>
      </c>
    </row>
    <row r="143" spans="1:15" x14ac:dyDescent="0.25">
      <c r="A143">
        <v>272.96173850000002</v>
      </c>
      <c r="B143">
        <v>-167.18719849999999</v>
      </c>
      <c r="C143">
        <v>-206.85139849999999</v>
      </c>
      <c r="D143">
        <v>189.118244</v>
      </c>
      <c r="E143">
        <v>109.3931425</v>
      </c>
      <c r="F143">
        <v>6.4806644999999996</v>
      </c>
      <c r="G143">
        <v>309.22473150000002</v>
      </c>
      <c r="H143">
        <v>-20</v>
      </c>
      <c r="I143">
        <v>-32</v>
      </c>
      <c r="J143">
        <v>1.18</v>
      </c>
      <c r="K143">
        <v>22.65227075</v>
      </c>
      <c r="L143">
        <v>1.6187471693498741</v>
      </c>
      <c r="M143">
        <v>-1.2020538142577579</v>
      </c>
      <c r="N143">
        <v>-0.6741857312126478</v>
      </c>
      <c r="O143">
        <v>-0.65281452538102291</v>
      </c>
    </row>
    <row r="144" spans="1:15" x14ac:dyDescent="0.25">
      <c r="A144">
        <v>281.32957425000001</v>
      </c>
      <c r="B144">
        <v>-124.25982275</v>
      </c>
      <c r="C144">
        <v>-166.24807375</v>
      </c>
      <c r="D144">
        <v>222.02552424999999</v>
      </c>
      <c r="E144">
        <v>158.56863025000001</v>
      </c>
      <c r="F144">
        <v>6.9192012500000004</v>
      </c>
      <c r="G144">
        <v>322.909401</v>
      </c>
      <c r="H144">
        <v>-20</v>
      </c>
      <c r="I144">
        <v>-28</v>
      </c>
      <c r="J144">
        <v>1.18</v>
      </c>
      <c r="K144">
        <v>23.142520000000001</v>
      </c>
      <c r="L144">
        <v>1.4731483336782281</v>
      </c>
      <c r="M144">
        <v>-1.139763465315532</v>
      </c>
      <c r="N144">
        <v>-0.54091017125792029</v>
      </c>
      <c r="O144">
        <v>-0.50085393928098043</v>
      </c>
    </row>
    <row r="145" spans="1:15" x14ac:dyDescent="0.25">
      <c r="A145">
        <v>286.08754725</v>
      </c>
      <c r="B145">
        <v>-85.003019249999994</v>
      </c>
      <c r="C145">
        <v>-124.291298</v>
      </c>
      <c r="D145">
        <v>250.72627249999999</v>
      </c>
      <c r="E145">
        <v>201.75365425000001</v>
      </c>
      <c r="F145">
        <v>6.9192009999999993</v>
      </c>
      <c r="G145">
        <v>336.95414</v>
      </c>
      <c r="H145">
        <v>-20</v>
      </c>
      <c r="I145">
        <v>-24</v>
      </c>
      <c r="J145">
        <v>1.18</v>
      </c>
      <c r="K145">
        <v>23.65123225</v>
      </c>
      <c r="L145">
        <v>1.3393586691046599</v>
      </c>
      <c r="M145">
        <v>-1.095718432054597</v>
      </c>
      <c r="N145">
        <v>-0.44126349254978092</v>
      </c>
      <c r="O145">
        <v>-0.36411213990025559</v>
      </c>
    </row>
    <row r="146" spans="1:15" x14ac:dyDescent="0.25">
      <c r="A146">
        <v>256.59523775000002</v>
      </c>
      <c r="B146">
        <v>-50.084183750000001</v>
      </c>
      <c r="C146">
        <v>-61.942629999999987</v>
      </c>
      <c r="D146">
        <v>252.12844874999999</v>
      </c>
      <c r="E146">
        <v>221.37915799999999</v>
      </c>
      <c r="F146">
        <v>6.4806642500000002</v>
      </c>
      <c r="G146">
        <v>316.94413774999998</v>
      </c>
      <c r="H146">
        <v>-20</v>
      </c>
      <c r="I146">
        <v>-20</v>
      </c>
      <c r="J146">
        <v>1.18</v>
      </c>
      <c r="K146">
        <v>22.939219999999999</v>
      </c>
      <c r="L146">
        <v>1.1482791190677479</v>
      </c>
      <c r="M146">
        <v>-1.0894522267314171</v>
      </c>
      <c r="N146">
        <v>-0.34449304411244908</v>
      </c>
      <c r="O146">
        <v>-0.22524846625815209</v>
      </c>
    </row>
    <row r="147" spans="1:15" x14ac:dyDescent="0.25">
      <c r="A147">
        <v>225.94825349999999</v>
      </c>
      <c r="B147">
        <v>-33.722939750000002</v>
      </c>
      <c r="C147">
        <v>-11.865194750000001</v>
      </c>
      <c r="D147">
        <v>248.44774225</v>
      </c>
      <c r="E147">
        <v>227.90606700000001</v>
      </c>
      <c r="F147">
        <v>6.1395787500000001</v>
      </c>
      <c r="G147">
        <v>295.45441449999998</v>
      </c>
      <c r="H147">
        <v>-20</v>
      </c>
      <c r="I147">
        <v>-16</v>
      </c>
      <c r="J147">
        <v>1.18</v>
      </c>
      <c r="K147">
        <v>22.144148999999999</v>
      </c>
      <c r="L147">
        <v>0.94860430887289404</v>
      </c>
      <c r="M147">
        <v>-1.125534397686494</v>
      </c>
      <c r="N147">
        <v>-0.26943954327125819</v>
      </c>
      <c r="O147">
        <v>-0.1154019518850697</v>
      </c>
    </row>
    <row r="148" spans="1:15" x14ac:dyDescent="0.25">
      <c r="A148">
        <v>198.15783300000001</v>
      </c>
      <c r="B148">
        <v>-29.983488749999999</v>
      </c>
      <c r="C148">
        <v>28.135979249999998</v>
      </c>
      <c r="D148">
        <v>243.934494</v>
      </c>
      <c r="E148">
        <v>228.93428424999999</v>
      </c>
      <c r="F148">
        <v>5.7984925</v>
      </c>
      <c r="G148">
        <v>278.87065124999998</v>
      </c>
      <c r="H148">
        <v>-20</v>
      </c>
      <c r="I148">
        <v>-12</v>
      </c>
      <c r="J148">
        <v>1.18</v>
      </c>
      <c r="K148">
        <v>21.513561750000001</v>
      </c>
      <c r="L148">
        <v>0.73968531376319224</v>
      </c>
      <c r="M148">
        <v>-1.1916651606443409</v>
      </c>
      <c r="N148">
        <v>-0.2172570877854462</v>
      </c>
      <c r="O148">
        <v>-2.9246025893849611E-2</v>
      </c>
    </row>
    <row r="149" spans="1:15" x14ac:dyDescent="0.25">
      <c r="A149">
        <v>172.29349525000001</v>
      </c>
      <c r="B149">
        <v>-32.619759999999999</v>
      </c>
      <c r="C149">
        <v>58.665577749999997</v>
      </c>
      <c r="D149">
        <v>238.32579425</v>
      </c>
      <c r="E149">
        <v>228.21900550000001</v>
      </c>
      <c r="F149">
        <v>5.7010375</v>
      </c>
      <c r="G149">
        <v>266.62570975</v>
      </c>
      <c r="H149">
        <v>-20</v>
      </c>
      <c r="I149">
        <v>-8</v>
      </c>
      <c r="J149">
        <v>1.18</v>
      </c>
      <c r="K149">
        <v>21.029609000000001</v>
      </c>
      <c r="L149">
        <v>0.52802978092399688</v>
      </c>
      <c r="M149">
        <v>-1.2590414611115961</v>
      </c>
      <c r="N149">
        <v>-0.17847288214393961</v>
      </c>
      <c r="O149">
        <v>3.4034476171888192E-2</v>
      </c>
    </row>
    <row r="150" spans="1:15" x14ac:dyDescent="0.25">
      <c r="A150">
        <v>161.17892075</v>
      </c>
      <c r="B150">
        <v>-43.173029</v>
      </c>
      <c r="C150">
        <v>93.304924</v>
      </c>
      <c r="D150">
        <v>261.242592</v>
      </c>
      <c r="E150">
        <v>254.14790325000001</v>
      </c>
      <c r="F150">
        <v>6.0908524999999996</v>
      </c>
      <c r="G150">
        <v>287.71418</v>
      </c>
      <c r="H150">
        <v>-20</v>
      </c>
      <c r="I150">
        <v>-4</v>
      </c>
      <c r="J150">
        <v>1.18</v>
      </c>
      <c r="K150">
        <v>21.847814</v>
      </c>
      <c r="L150">
        <v>0.29630367102547889</v>
      </c>
      <c r="M150">
        <v>-1.328871601218603</v>
      </c>
      <c r="N150">
        <v>-0.1465441768371703</v>
      </c>
      <c r="O150">
        <v>8.2825254358823985E-2</v>
      </c>
    </row>
    <row r="151" spans="1:15" x14ac:dyDescent="0.25">
      <c r="A151">
        <v>141.45478424999999</v>
      </c>
      <c r="B151">
        <v>-49.453644750000002</v>
      </c>
      <c r="C151">
        <v>128.30557024999999</v>
      </c>
      <c r="D151">
        <v>280.21575174999998</v>
      </c>
      <c r="E151">
        <v>275.65100849999999</v>
      </c>
      <c r="F151">
        <v>6.4319375000000001</v>
      </c>
      <c r="G151">
        <v>306.12149075000002</v>
      </c>
      <c r="H151">
        <v>-20</v>
      </c>
      <c r="I151">
        <v>0</v>
      </c>
      <c r="J151">
        <v>1.18</v>
      </c>
      <c r="K151">
        <v>22.537694500000001</v>
      </c>
      <c r="L151">
        <v>5.5655546050536409E-2</v>
      </c>
      <c r="M151">
        <v>-1.395580683223687</v>
      </c>
      <c r="N151">
        <v>-0.12899040391346919</v>
      </c>
      <c r="O151">
        <v>0.13967599673065331</v>
      </c>
    </row>
    <row r="152" spans="1:15" x14ac:dyDescent="0.25">
      <c r="A152">
        <v>121.18882375</v>
      </c>
      <c r="B152">
        <v>-55.021574999999999</v>
      </c>
      <c r="C152">
        <v>160.37068174999999</v>
      </c>
      <c r="D152">
        <v>292.2656935</v>
      </c>
      <c r="E152">
        <v>287.09548174999998</v>
      </c>
      <c r="F152">
        <v>6.9191989999999999</v>
      </c>
      <c r="G152">
        <v>319.92980975</v>
      </c>
      <c r="H152">
        <v>-20</v>
      </c>
      <c r="I152">
        <v>4</v>
      </c>
      <c r="J152">
        <v>1.18</v>
      </c>
      <c r="K152">
        <v>23.033153500000001</v>
      </c>
      <c r="L152">
        <v>-0.15424749817517239</v>
      </c>
      <c r="M152">
        <v>-1.367229304070041</v>
      </c>
      <c r="N152">
        <v>-0.12928201479593299</v>
      </c>
      <c r="O152">
        <v>0.1029996507032986</v>
      </c>
    </row>
    <row r="153" spans="1:15" x14ac:dyDescent="0.25">
      <c r="A153">
        <v>92.443569249999996</v>
      </c>
      <c r="B153">
        <v>-63.172110750000002</v>
      </c>
      <c r="C153">
        <v>194.0616225</v>
      </c>
      <c r="D153">
        <v>303.26399249999997</v>
      </c>
      <c r="E153">
        <v>294.51651025000001</v>
      </c>
      <c r="F153">
        <v>7.0653807500000001</v>
      </c>
      <c r="G153">
        <v>333.852417</v>
      </c>
      <c r="H153">
        <v>-20</v>
      </c>
      <c r="I153">
        <v>8</v>
      </c>
      <c r="J153">
        <v>1.18</v>
      </c>
      <c r="K153">
        <v>23.534571499999998</v>
      </c>
      <c r="L153">
        <v>-0.36305952177284578</v>
      </c>
      <c r="M153">
        <v>-1.309272206508092</v>
      </c>
      <c r="N153">
        <v>-0.14057521447429469</v>
      </c>
      <c r="O153">
        <v>2.7055049293459039E-2</v>
      </c>
    </row>
    <row r="154" spans="1:15" x14ac:dyDescent="0.25">
      <c r="A154">
        <v>52.180067000000001</v>
      </c>
      <c r="B154">
        <v>-61.981591999999999</v>
      </c>
      <c r="C154">
        <v>214.42973724999999</v>
      </c>
      <c r="D154">
        <v>288.19062050000002</v>
      </c>
      <c r="E154">
        <v>276.23216224999999</v>
      </c>
      <c r="F154">
        <v>6.7730234999999999</v>
      </c>
      <c r="G154">
        <v>323.94725025000002</v>
      </c>
      <c r="H154">
        <v>-20</v>
      </c>
      <c r="I154">
        <v>12</v>
      </c>
      <c r="J154">
        <v>1.18</v>
      </c>
      <c r="K154">
        <v>23.185797749999999</v>
      </c>
      <c r="L154">
        <v>-0.57712076365459108</v>
      </c>
      <c r="M154">
        <v>-1.245585737006458</v>
      </c>
      <c r="N154">
        <v>-0.16972939670578049</v>
      </c>
      <c r="O154">
        <v>-4.1524349956481028E-2</v>
      </c>
    </row>
    <row r="155" spans="1:15" x14ac:dyDescent="0.25">
      <c r="A155">
        <v>11.058934750000001</v>
      </c>
      <c r="B155">
        <v>-53.770645999999999</v>
      </c>
      <c r="C155">
        <v>219.35241675</v>
      </c>
      <c r="D155">
        <v>257.82478325</v>
      </c>
      <c r="E155">
        <v>243.46341674999999</v>
      </c>
      <c r="F155">
        <v>6.1883067500000006</v>
      </c>
      <c r="G155">
        <v>299.81642925</v>
      </c>
      <c r="H155">
        <v>-20</v>
      </c>
      <c r="I155">
        <v>16</v>
      </c>
      <c r="J155">
        <v>1.18</v>
      </c>
      <c r="K155">
        <v>22.308596999999999</v>
      </c>
      <c r="L155">
        <v>-0.78653359560102365</v>
      </c>
      <c r="M155">
        <v>-1.1766700037246649</v>
      </c>
      <c r="N155">
        <v>-0.21281858334095491</v>
      </c>
      <c r="O155">
        <v>-0.10400641247001501</v>
      </c>
    </row>
    <row r="156" spans="1:15" x14ac:dyDescent="0.25">
      <c r="A156">
        <v>-29.954275500000001</v>
      </c>
      <c r="B156">
        <v>-59.530614</v>
      </c>
      <c r="C156">
        <v>222.28794500000001</v>
      </c>
      <c r="D156">
        <v>233.24291600000001</v>
      </c>
      <c r="E156">
        <v>213.95812225</v>
      </c>
      <c r="F156">
        <v>5.9933984999999996</v>
      </c>
      <c r="G156">
        <v>282.46488199999999</v>
      </c>
      <c r="H156">
        <v>-20</v>
      </c>
      <c r="I156">
        <v>20</v>
      </c>
      <c r="J156">
        <v>1.18</v>
      </c>
      <c r="K156">
        <v>21.64705725</v>
      </c>
      <c r="L156">
        <v>-0.9750485811631624</v>
      </c>
      <c r="M156">
        <v>-1.1316972057678181</v>
      </c>
      <c r="N156">
        <v>-0.26484306179753547</v>
      </c>
      <c r="O156">
        <v>-0.19610470279187531</v>
      </c>
    </row>
    <row r="157" spans="1:15" x14ac:dyDescent="0.25">
      <c r="A157">
        <v>-68.962398500000006</v>
      </c>
      <c r="B157">
        <v>-67.493922999999995</v>
      </c>
      <c r="C157">
        <v>219.62338249999999</v>
      </c>
      <c r="D157">
        <v>205.37469849999999</v>
      </c>
      <c r="E157">
        <v>183.96106325</v>
      </c>
      <c r="F157">
        <v>5.5061334999999998</v>
      </c>
      <c r="G157">
        <v>264.46498100000002</v>
      </c>
      <c r="H157">
        <v>-20</v>
      </c>
      <c r="I157">
        <v>24</v>
      </c>
      <c r="J157">
        <v>1.18</v>
      </c>
      <c r="K157">
        <v>20.950232750000001</v>
      </c>
      <c r="L157">
        <v>-1.1443177117330909</v>
      </c>
      <c r="M157">
        <v>-1.0819866733726919</v>
      </c>
      <c r="N157">
        <v>-0.31922317116860421</v>
      </c>
      <c r="O157">
        <v>-0.29236190762884018</v>
      </c>
    </row>
    <row r="158" spans="1:15" x14ac:dyDescent="0.25">
      <c r="A158">
        <v>-101.8895875</v>
      </c>
      <c r="B158">
        <v>-82.940200750000002</v>
      </c>
      <c r="C158">
        <v>216.1007425</v>
      </c>
      <c r="D158">
        <v>180.66138050000001</v>
      </c>
      <c r="E158">
        <v>152.4887545</v>
      </c>
      <c r="F158">
        <v>4.7752330000000001</v>
      </c>
      <c r="G158">
        <v>251.04509350000001</v>
      </c>
      <c r="H158">
        <v>-20</v>
      </c>
      <c r="I158">
        <v>28</v>
      </c>
      <c r="J158">
        <v>1.18</v>
      </c>
      <c r="K158">
        <v>20.430513999999999</v>
      </c>
      <c r="L158">
        <v>-1.29843140404948</v>
      </c>
      <c r="M158">
        <v>-1.076340954480439</v>
      </c>
      <c r="N158">
        <v>-0.40242915423651099</v>
      </c>
      <c r="O158">
        <v>-0.39684672718256692</v>
      </c>
    </row>
    <row r="159" spans="1:15" x14ac:dyDescent="0.25">
      <c r="A159">
        <v>-147.969616</v>
      </c>
      <c r="B159">
        <v>-121.284952</v>
      </c>
      <c r="C159">
        <v>234.61721025</v>
      </c>
      <c r="D159">
        <v>174.78977950000001</v>
      </c>
      <c r="E159">
        <v>131.56681424999999</v>
      </c>
      <c r="F159">
        <v>5.5061355000000001</v>
      </c>
      <c r="G159">
        <v>266.434799</v>
      </c>
      <c r="H159">
        <v>-20</v>
      </c>
      <c r="I159">
        <v>32</v>
      </c>
      <c r="J159">
        <v>1.18</v>
      </c>
      <c r="K159">
        <v>21.029763500000001</v>
      </c>
      <c r="L159">
        <v>-1.4372488011087501</v>
      </c>
      <c r="M159">
        <v>-1.1122494142676751</v>
      </c>
      <c r="N159">
        <v>-0.50668485549172859</v>
      </c>
      <c r="O159">
        <v>-0.52642221874562634</v>
      </c>
    </row>
    <row r="160" spans="1:15" x14ac:dyDescent="0.25">
      <c r="A160">
        <v>-199.68015675000001</v>
      </c>
      <c r="B160">
        <v>-163.38596724999999</v>
      </c>
      <c r="C160">
        <v>252.86271274999999</v>
      </c>
      <c r="D160">
        <v>163.57238749999999</v>
      </c>
      <c r="E160">
        <v>101.480356</v>
      </c>
      <c r="F160">
        <v>5.9933967499999996</v>
      </c>
      <c r="G160">
        <v>284.11267850000002</v>
      </c>
      <c r="H160">
        <v>-20</v>
      </c>
      <c r="I160">
        <v>36</v>
      </c>
      <c r="J160">
        <v>1.18</v>
      </c>
      <c r="K160">
        <v>21.711475249999999</v>
      </c>
      <c r="L160">
        <v>-1.5990317356140371</v>
      </c>
      <c r="M160">
        <v>-1.155265094627568</v>
      </c>
      <c r="N160">
        <v>-0.64534363917083692</v>
      </c>
      <c r="O160">
        <v>-0.66260203729066691</v>
      </c>
    </row>
    <row r="161" spans="1:15" x14ac:dyDescent="0.25">
      <c r="A161">
        <v>-255.624832</v>
      </c>
      <c r="B161">
        <v>-216.99868025000001</v>
      </c>
      <c r="C161">
        <v>267.63072175000002</v>
      </c>
      <c r="D161">
        <v>148.1922835</v>
      </c>
      <c r="E161">
        <v>59.189432250000003</v>
      </c>
      <c r="F161">
        <v>6.1883049999999997</v>
      </c>
      <c r="G161">
        <v>300.63923625000001</v>
      </c>
      <c r="H161">
        <v>-20</v>
      </c>
      <c r="I161">
        <v>40</v>
      </c>
      <c r="J161">
        <v>1.18</v>
      </c>
      <c r="K161">
        <v>22.339841</v>
      </c>
      <c r="L161">
        <v>-1.770754511788702</v>
      </c>
      <c r="M161">
        <v>-1.2358357010610019</v>
      </c>
      <c r="N161">
        <v>-0.8170992883642304</v>
      </c>
      <c r="O161">
        <v>-0.82063095572534261</v>
      </c>
    </row>
    <row r="162" spans="1:15" x14ac:dyDescent="0.25">
      <c r="A162">
        <v>-318.82159424999998</v>
      </c>
      <c r="B162">
        <v>-275.59733599999998</v>
      </c>
      <c r="C162">
        <v>279.91481775</v>
      </c>
      <c r="D162">
        <v>125.45076950000001</v>
      </c>
      <c r="E162">
        <v>5.3199154999999996</v>
      </c>
      <c r="F162">
        <v>6.5293907499999992</v>
      </c>
      <c r="G162">
        <v>316.36560800000001</v>
      </c>
      <c r="H162">
        <v>-20</v>
      </c>
      <c r="I162">
        <v>44</v>
      </c>
      <c r="J162">
        <v>1.18</v>
      </c>
      <c r="K162">
        <v>22.916052749999999</v>
      </c>
      <c r="L162">
        <v>-1.9791444036118471</v>
      </c>
      <c r="M162">
        <v>-1.325650556399002</v>
      </c>
      <c r="N162">
        <v>-1.0281906153102349</v>
      </c>
      <c r="O162">
        <v>-1.0040140032282101</v>
      </c>
    </row>
    <row r="163" spans="1:15" x14ac:dyDescent="0.25">
      <c r="A163">
        <v>306.44987474999999</v>
      </c>
      <c r="B163">
        <v>-285.12551875000003</v>
      </c>
      <c r="C163">
        <v>-349.05327625000001</v>
      </c>
      <c r="D163">
        <v>71.116516500000003</v>
      </c>
      <c r="E163">
        <v>-45.1360235</v>
      </c>
      <c r="F163">
        <v>6.82175025</v>
      </c>
      <c r="G163">
        <v>333.05210849999997</v>
      </c>
      <c r="H163">
        <v>-16</v>
      </c>
      <c r="I163">
        <v>-44</v>
      </c>
      <c r="J163">
        <v>1.18</v>
      </c>
      <c r="K163">
        <v>23.514515750000001</v>
      </c>
      <c r="L163">
        <v>2.4104490423679392</v>
      </c>
      <c r="M163">
        <v>-1.309940981624945</v>
      </c>
      <c r="N163">
        <v>-1.390717525779807</v>
      </c>
      <c r="O163">
        <v>-1.1910970788441231</v>
      </c>
    </row>
    <row r="164" spans="1:15" x14ac:dyDescent="0.25">
      <c r="A164">
        <v>305.43206800000002</v>
      </c>
      <c r="B164">
        <v>-224.94729225</v>
      </c>
      <c r="C164">
        <v>-302.72037499999999</v>
      </c>
      <c r="D164">
        <v>108.71231849999999</v>
      </c>
      <c r="E164">
        <v>20.83254925</v>
      </c>
      <c r="F164">
        <v>6.7730234999999999</v>
      </c>
      <c r="G164">
        <v>327.08979025000002</v>
      </c>
      <c r="H164">
        <v>-16</v>
      </c>
      <c r="I164">
        <v>-40</v>
      </c>
      <c r="J164">
        <v>1.18</v>
      </c>
      <c r="K164">
        <v>23.300368750000001</v>
      </c>
      <c r="L164">
        <v>2.136360205859579</v>
      </c>
      <c r="M164">
        <v>-1.1720887661232671</v>
      </c>
      <c r="N164">
        <v>-1.075836085448832</v>
      </c>
      <c r="O164">
        <v>-0.9505995975340148</v>
      </c>
    </row>
    <row r="165" spans="1:15" x14ac:dyDescent="0.25">
      <c r="A165">
        <v>281.97993474999998</v>
      </c>
      <c r="B165">
        <v>-160.315811</v>
      </c>
      <c r="C165">
        <v>-237.48434825000001</v>
      </c>
      <c r="D165">
        <v>133.11891575000001</v>
      </c>
      <c r="E165">
        <v>74.389131750000004</v>
      </c>
      <c r="F165">
        <v>6.3832087499999997</v>
      </c>
      <c r="G165">
        <v>300.90196200000003</v>
      </c>
      <c r="H165">
        <v>-16</v>
      </c>
      <c r="I165">
        <v>-36</v>
      </c>
      <c r="J165">
        <v>1.18</v>
      </c>
      <c r="K165">
        <v>22.342411250000001</v>
      </c>
      <c r="L165">
        <v>1.900795869677862</v>
      </c>
      <c r="M165">
        <v>-1.0737216698856671</v>
      </c>
      <c r="N165">
        <v>-0.82884891779940506</v>
      </c>
      <c r="O165">
        <v>-0.75116220055563376</v>
      </c>
    </row>
    <row r="166" spans="1:15" x14ac:dyDescent="0.25">
      <c r="A166">
        <v>263.77174374999998</v>
      </c>
      <c r="B166">
        <v>-110.38686</v>
      </c>
      <c r="C166">
        <v>-181.27130124999999</v>
      </c>
      <c r="D166">
        <v>151.128086</v>
      </c>
      <c r="E166">
        <v>113.99775475</v>
      </c>
      <c r="F166">
        <v>6.0421209999999999</v>
      </c>
      <c r="G166">
        <v>282.61579899999998</v>
      </c>
      <c r="H166">
        <v>-16</v>
      </c>
      <c r="I166">
        <v>-32</v>
      </c>
      <c r="J166">
        <v>1.18</v>
      </c>
      <c r="K166">
        <v>21.6510465</v>
      </c>
      <c r="L166">
        <v>1.7128344765301191</v>
      </c>
      <c r="M166">
        <v>-1.0064834596013561</v>
      </c>
      <c r="N166">
        <v>-0.64895943145036994</v>
      </c>
      <c r="O166">
        <v>-0.5845017661888442</v>
      </c>
    </row>
    <row r="167" spans="1:15" x14ac:dyDescent="0.25">
      <c r="A167">
        <v>248.29039750000001</v>
      </c>
      <c r="B167">
        <v>-61.54982175</v>
      </c>
      <c r="C167">
        <v>-132.81799699999999</v>
      </c>
      <c r="D167">
        <v>165.14982599999999</v>
      </c>
      <c r="E167">
        <v>145.47006999999999</v>
      </c>
      <c r="F167">
        <v>5.7497682499999998</v>
      </c>
      <c r="G167">
        <v>268.70669550000002</v>
      </c>
      <c r="H167">
        <v>-16</v>
      </c>
      <c r="I167">
        <v>-28</v>
      </c>
      <c r="J167">
        <v>1.18</v>
      </c>
      <c r="K167">
        <v>21.111355499999998</v>
      </c>
      <c r="L167">
        <v>1.5706071981764369</v>
      </c>
      <c r="M167">
        <v>-0.93424281054602509</v>
      </c>
      <c r="N167">
        <v>-0.50787933987473288</v>
      </c>
      <c r="O167">
        <v>-0.42419941544957518</v>
      </c>
    </row>
    <row r="168" spans="1:15" x14ac:dyDescent="0.25">
      <c r="A168">
        <v>249.59928525000001</v>
      </c>
      <c r="B168">
        <v>-21.442520999999999</v>
      </c>
      <c r="C168">
        <v>-95.102014499999996</v>
      </c>
      <c r="D168">
        <v>188.5486105</v>
      </c>
      <c r="E168">
        <v>183.42460274999999</v>
      </c>
      <c r="F168">
        <v>5.9933967499999996</v>
      </c>
      <c r="G168">
        <v>277.39008324999998</v>
      </c>
      <c r="H168">
        <v>-16</v>
      </c>
      <c r="I168">
        <v>-24</v>
      </c>
      <c r="J168">
        <v>1.18</v>
      </c>
      <c r="K168">
        <v>21.447450499999999</v>
      </c>
      <c r="L168">
        <v>1.4261641140032619</v>
      </c>
      <c r="M168">
        <v>-0.8688296993579967</v>
      </c>
      <c r="N168">
        <v>-0.38877601679101592</v>
      </c>
      <c r="O168">
        <v>-0.26589789300660888</v>
      </c>
    </row>
    <row r="169" spans="1:15" x14ac:dyDescent="0.25">
      <c r="A169">
        <v>255.58549124999999</v>
      </c>
      <c r="B169">
        <v>0.43293599999999999</v>
      </c>
      <c r="C169">
        <v>-53.867080999999999</v>
      </c>
      <c r="D169">
        <v>217.64373800000001</v>
      </c>
      <c r="E169">
        <v>224.10615150000001</v>
      </c>
      <c r="F169">
        <v>5.8472210000000002</v>
      </c>
      <c r="G169">
        <v>294.95700099999999</v>
      </c>
      <c r="H169">
        <v>-16</v>
      </c>
      <c r="I169">
        <v>-20</v>
      </c>
      <c r="J169">
        <v>1.18</v>
      </c>
      <c r="K169">
        <v>22.136307500000001</v>
      </c>
      <c r="L169">
        <v>1.233746660292955</v>
      </c>
      <c r="M169">
        <v>-0.86599178230187013</v>
      </c>
      <c r="N169">
        <v>-0.28247227662155061</v>
      </c>
      <c r="O169">
        <v>-0.1298297246732753</v>
      </c>
    </row>
    <row r="170" spans="1:15" x14ac:dyDescent="0.25">
      <c r="A170">
        <v>255.28624350000001</v>
      </c>
      <c r="B170">
        <v>15.19982725</v>
      </c>
      <c r="C170">
        <v>-8.0755505000000003</v>
      </c>
      <c r="D170">
        <v>243.45249949999999</v>
      </c>
      <c r="E170">
        <v>258.037239</v>
      </c>
      <c r="F170">
        <v>6.6755662499999993</v>
      </c>
      <c r="G170">
        <v>310.76723475</v>
      </c>
      <c r="H170">
        <v>-16</v>
      </c>
      <c r="I170">
        <v>-16</v>
      </c>
      <c r="J170">
        <v>1.18</v>
      </c>
      <c r="K170">
        <v>22.702629000000002</v>
      </c>
      <c r="L170">
        <v>1.034924484263315</v>
      </c>
      <c r="M170">
        <v>-0.89696051727765846</v>
      </c>
      <c r="N170">
        <v>-0.2072214195536777</v>
      </c>
      <c r="O170">
        <v>-1.22382044914538E-2</v>
      </c>
    </row>
    <row r="171" spans="1:15" x14ac:dyDescent="0.25">
      <c r="A171">
        <v>248.44207</v>
      </c>
      <c r="B171">
        <v>16.642846250000002</v>
      </c>
      <c r="C171">
        <v>40.600725750000002</v>
      </c>
      <c r="D171">
        <v>264.09075925000002</v>
      </c>
      <c r="E171">
        <v>284.234375</v>
      </c>
      <c r="F171">
        <v>6.821752</v>
      </c>
      <c r="G171">
        <v>323.4696275</v>
      </c>
      <c r="H171">
        <v>-16</v>
      </c>
      <c r="I171">
        <v>-12</v>
      </c>
      <c r="J171">
        <v>1.18</v>
      </c>
      <c r="K171">
        <v>23.166590750000001</v>
      </c>
      <c r="L171">
        <v>0.81314002347695635</v>
      </c>
      <c r="M171">
        <v>-0.96804731149288903</v>
      </c>
      <c r="N171">
        <v>-0.15351072615254641</v>
      </c>
      <c r="O171">
        <v>8.5285645493435008E-2</v>
      </c>
    </row>
    <row r="172" spans="1:15" x14ac:dyDescent="0.25">
      <c r="A172">
        <v>231.981224</v>
      </c>
      <c r="B172">
        <v>5.8202060000000007</v>
      </c>
      <c r="C172">
        <v>86.078982999999994</v>
      </c>
      <c r="D172">
        <v>283.85265349999997</v>
      </c>
      <c r="E172">
        <v>306.81038675000002</v>
      </c>
      <c r="F172">
        <v>6.9679277500000003</v>
      </c>
      <c r="G172">
        <v>336.81368974999998</v>
      </c>
      <c r="H172">
        <v>-16</v>
      </c>
      <c r="I172">
        <v>-8</v>
      </c>
      <c r="J172">
        <v>1.18</v>
      </c>
      <c r="K172">
        <v>23.64445375</v>
      </c>
      <c r="L172">
        <v>0.55936184603318795</v>
      </c>
      <c r="M172">
        <v>-1.065808412883738</v>
      </c>
      <c r="N172">
        <v>-0.1150518541206694</v>
      </c>
      <c r="O172">
        <v>0.14943929111206741</v>
      </c>
    </row>
    <row r="173" spans="1:15" x14ac:dyDescent="0.25">
      <c r="A173">
        <v>191.91610725000001</v>
      </c>
      <c r="B173">
        <v>-0.95935974999999996</v>
      </c>
      <c r="C173">
        <v>116.87955475</v>
      </c>
      <c r="D173">
        <v>272.54762275000002</v>
      </c>
      <c r="E173">
        <v>298.49526225</v>
      </c>
      <c r="F173">
        <v>6.6268419999999999</v>
      </c>
      <c r="G173">
        <v>318.22789775000001</v>
      </c>
      <c r="H173">
        <v>-16</v>
      </c>
      <c r="I173">
        <v>-4</v>
      </c>
      <c r="J173">
        <v>1.18</v>
      </c>
      <c r="K173">
        <v>22.981184750000001</v>
      </c>
      <c r="L173">
        <v>0.3119522781141556</v>
      </c>
      <c r="M173">
        <v>-1.1370589922275309</v>
      </c>
      <c r="N173">
        <v>-8.2044219647149697E-2</v>
      </c>
      <c r="O173">
        <v>0.21342529344288211</v>
      </c>
    </row>
    <row r="174" spans="1:15" x14ac:dyDescent="0.25">
      <c r="A174">
        <v>149.99510175</v>
      </c>
      <c r="B174">
        <v>-7.5787345000000004</v>
      </c>
      <c r="C174">
        <v>135.75732425000001</v>
      </c>
      <c r="D174">
        <v>255.1518935</v>
      </c>
      <c r="E174">
        <v>281.10501850000003</v>
      </c>
      <c r="F174">
        <v>6.3344827499999994</v>
      </c>
      <c r="G174">
        <v>295.3571245</v>
      </c>
      <c r="H174">
        <v>-16</v>
      </c>
      <c r="I174">
        <v>0</v>
      </c>
      <c r="J174">
        <v>1.18</v>
      </c>
      <c r="K174">
        <v>22.13297275</v>
      </c>
      <c r="L174">
        <v>6.5617816790010108E-2</v>
      </c>
      <c r="M174">
        <v>-1.210652225987666</v>
      </c>
      <c r="N174">
        <v>-6.5683512443470579E-2</v>
      </c>
      <c r="O174">
        <v>0.26613241732365828</v>
      </c>
    </row>
    <row r="175" spans="1:15" x14ac:dyDescent="0.25">
      <c r="A175">
        <v>115.9155635</v>
      </c>
      <c r="B175">
        <v>-10.264868999999999</v>
      </c>
      <c r="C175">
        <v>151.38342274999999</v>
      </c>
      <c r="D175">
        <v>240.7357825</v>
      </c>
      <c r="E175">
        <v>264.4747615</v>
      </c>
      <c r="F175">
        <v>5.7010375</v>
      </c>
      <c r="G175">
        <v>278.44670100000002</v>
      </c>
      <c r="H175">
        <v>-16</v>
      </c>
      <c r="I175">
        <v>4</v>
      </c>
      <c r="J175">
        <v>1.18</v>
      </c>
      <c r="K175">
        <v>21.500696999999999</v>
      </c>
      <c r="L175">
        <v>-0.16757556023487319</v>
      </c>
      <c r="M175">
        <v>-1.1859118522551459</v>
      </c>
      <c r="N175">
        <v>-6.6023413026220695E-2</v>
      </c>
      <c r="O175">
        <v>0.2226663842708258</v>
      </c>
    </row>
    <row r="176" spans="1:15" x14ac:dyDescent="0.25">
      <c r="A176">
        <v>83.867261749999997</v>
      </c>
      <c r="B176">
        <v>-10.217556249999999</v>
      </c>
      <c r="C176">
        <v>168.590191</v>
      </c>
      <c r="D176">
        <v>229.3869325</v>
      </c>
      <c r="E176">
        <v>250.61620325000001</v>
      </c>
      <c r="F176">
        <v>5.4086802499999997</v>
      </c>
      <c r="G176">
        <v>267.02597824999998</v>
      </c>
      <c r="H176">
        <v>-16</v>
      </c>
      <c r="I176">
        <v>8</v>
      </c>
      <c r="J176">
        <v>1.18</v>
      </c>
      <c r="K176">
        <v>21.057492750000002</v>
      </c>
      <c r="L176">
        <v>-0.3962796027756848</v>
      </c>
      <c r="M176">
        <v>-1.1207545584119529</v>
      </c>
      <c r="N176">
        <v>-7.6766420352737133E-2</v>
      </c>
      <c r="O176">
        <v>0.1469457475961076</v>
      </c>
    </row>
    <row r="177" spans="1:15" x14ac:dyDescent="0.25">
      <c r="A177">
        <v>55.926558499999999</v>
      </c>
      <c r="B177">
        <v>-10.312835249999999</v>
      </c>
      <c r="C177">
        <v>203.184372</v>
      </c>
      <c r="D177">
        <v>241.6121445</v>
      </c>
      <c r="E177">
        <v>261.12188700000002</v>
      </c>
      <c r="F177">
        <v>5.9933969999999999</v>
      </c>
      <c r="G177">
        <v>288.03426400000001</v>
      </c>
      <c r="H177">
        <v>-16</v>
      </c>
      <c r="I177">
        <v>12</v>
      </c>
      <c r="J177">
        <v>1.18</v>
      </c>
      <c r="K177">
        <v>21.864007999999998</v>
      </c>
      <c r="L177">
        <v>-0.61791269249219449</v>
      </c>
      <c r="M177">
        <v>-1.0570970023081181</v>
      </c>
      <c r="N177">
        <v>-0.1129278813972252</v>
      </c>
      <c r="O177">
        <v>7.0559292865659595E-2</v>
      </c>
    </row>
    <row r="178" spans="1:15" x14ac:dyDescent="0.25">
      <c r="A178">
        <v>16.294995749999998</v>
      </c>
      <c r="B178">
        <v>-7.3394892499999997</v>
      </c>
      <c r="C178">
        <v>238.00437149999999</v>
      </c>
      <c r="D178">
        <v>246.0815695</v>
      </c>
      <c r="E178">
        <v>265.36885825000002</v>
      </c>
      <c r="F178">
        <v>6.5293887499999999</v>
      </c>
      <c r="G178">
        <v>306.26374049999998</v>
      </c>
      <c r="H178">
        <v>-16</v>
      </c>
      <c r="I178">
        <v>16</v>
      </c>
      <c r="J178">
        <v>1.18</v>
      </c>
      <c r="K178">
        <v>22.539372499999999</v>
      </c>
      <c r="L178">
        <v>-0.84980709798623988</v>
      </c>
      <c r="M178">
        <v>-0.97135406483666331</v>
      </c>
      <c r="N178">
        <v>-0.1567484571981676</v>
      </c>
      <c r="O178">
        <v>-7.8520818771614966E-3</v>
      </c>
    </row>
    <row r="179" spans="1:15" x14ac:dyDescent="0.25">
      <c r="A179">
        <v>-29.41374725</v>
      </c>
      <c r="B179">
        <v>-11.75183575</v>
      </c>
      <c r="C179">
        <v>267.90171049999998</v>
      </c>
      <c r="D179">
        <v>243.75922775000001</v>
      </c>
      <c r="E179">
        <v>262.46303525000002</v>
      </c>
      <c r="F179">
        <v>6.5781155</v>
      </c>
      <c r="G179">
        <v>320.12702200000001</v>
      </c>
      <c r="H179">
        <v>-16</v>
      </c>
      <c r="I179">
        <v>20</v>
      </c>
      <c r="J179">
        <v>1.18</v>
      </c>
      <c r="K179">
        <v>23.05294825</v>
      </c>
      <c r="L179">
        <v>-1.0503918457374239</v>
      </c>
      <c r="M179">
        <v>-0.90272452030932271</v>
      </c>
      <c r="N179">
        <v>-0.20374214997439061</v>
      </c>
      <c r="O179">
        <v>-9.5944946819358778E-2</v>
      </c>
    </row>
    <row r="180" spans="1:15" x14ac:dyDescent="0.25">
      <c r="A180">
        <v>-83.736840999999998</v>
      </c>
      <c r="B180">
        <v>-30.221438500000001</v>
      </c>
      <c r="C180">
        <v>294.00540174999998</v>
      </c>
      <c r="D180">
        <v>238.06289275</v>
      </c>
      <c r="E180">
        <v>251.55501924999999</v>
      </c>
      <c r="F180">
        <v>7.1628340000000001</v>
      </c>
      <c r="G180">
        <v>333.97251875000001</v>
      </c>
      <c r="H180">
        <v>-16</v>
      </c>
      <c r="I180">
        <v>24</v>
      </c>
      <c r="J180">
        <v>1.18</v>
      </c>
      <c r="K180">
        <v>23.535382999999999</v>
      </c>
      <c r="L180">
        <v>-1.2243453222751131</v>
      </c>
      <c r="M180">
        <v>-0.86951294119777423</v>
      </c>
      <c r="N180">
        <v>-0.26715929395216897</v>
      </c>
      <c r="O180">
        <v>-0.2078746645600314</v>
      </c>
    </row>
    <row r="181" spans="1:15" x14ac:dyDescent="0.25">
      <c r="A181">
        <v>-130.94297399999999</v>
      </c>
      <c r="B181">
        <v>-54.634049249999997</v>
      </c>
      <c r="C181">
        <v>296.35384349999998</v>
      </c>
      <c r="D181">
        <v>213.70011124999999</v>
      </c>
      <c r="E181">
        <v>213.01930999999999</v>
      </c>
      <c r="F181">
        <v>6.7730214999999996</v>
      </c>
      <c r="G181">
        <v>324.88907649999999</v>
      </c>
      <c r="H181">
        <v>-16</v>
      </c>
      <c r="I181">
        <v>28</v>
      </c>
      <c r="J181">
        <v>1.18</v>
      </c>
      <c r="K181">
        <v>23.220170499999998</v>
      </c>
      <c r="L181">
        <v>-1.397273584058413</v>
      </c>
      <c r="M181">
        <v>-0.87748801482348338</v>
      </c>
      <c r="N181">
        <v>-0.36584077827964251</v>
      </c>
      <c r="O181">
        <v>-0.32557049341633559</v>
      </c>
    </row>
    <row r="182" spans="1:15" x14ac:dyDescent="0.25">
      <c r="A182">
        <v>-160.08645625</v>
      </c>
      <c r="B182">
        <v>-86.447973250000004</v>
      </c>
      <c r="C182">
        <v>278.69544224999999</v>
      </c>
      <c r="D182">
        <v>177.90085625</v>
      </c>
      <c r="E182">
        <v>161.56386225</v>
      </c>
      <c r="F182">
        <v>6.3832110000000002</v>
      </c>
      <c r="G182">
        <v>300.21662874999998</v>
      </c>
      <c r="H182">
        <v>-16</v>
      </c>
      <c r="I182">
        <v>32</v>
      </c>
      <c r="J182">
        <v>1.18</v>
      </c>
      <c r="K182">
        <v>22.316395499999999</v>
      </c>
      <c r="L182">
        <v>-1.540507147406968</v>
      </c>
      <c r="M182">
        <v>-0.92809358823109023</v>
      </c>
      <c r="N182">
        <v>-0.48680845045420218</v>
      </c>
      <c r="O182">
        <v>-0.45518658943202811</v>
      </c>
    </row>
    <row r="183" spans="1:15" x14ac:dyDescent="0.25">
      <c r="A183">
        <v>-191.52718725</v>
      </c>
      <c r="B183">
        <v>-120.46101575</v>
      </c>
      <c r="C183">
        <v>265.64358525</v>
      </c>
      <c r="D183">
        <v>145.78230275000001</v>
      </c>
      <c r="E183">
        <v>112.120142</v>
      </c>
      <c r="F183">
        <v>6.0908502499999999</v>
      </c>
      <c r="G183">
        <v>282.79225150000002</v>
      </c>
      <c r="H183">
        <v>-16</v>
      </c>
      <c r="I183">
        <v>36</v>
      </c>
      <c r="J183">
        <v>1.18</v>
      </c>
      <c r="K183">
        <v>21.65605175</v>
      </c>
      <c r="L183">
        <v>-1.7051648058660991</v>
      </c>
      <c r="M183">
        <v>-0.99300805887918098</v>
      </c>
      <c r="N183">
        <v>-0.63659177169902514</v>
      </c>
      <c r="O183">
        <v>-0.60452907528910738</v>
      </c>
    </row>
    <row r="184" spans="1:15" x14ac:dyDescent="0.25">
      <c r="A184">
        <v>-213.82397449999999</v>
      </c>
      <c r="B184">
        <v>-147.41191499999999</v>
      </c>
      <c r="C184">
        <v>249.38522725000001</v>
      </c>
      <c r="D184">
        <v>112.5682965</v>
      </c>
      <c r="E184">
        <v>62.452893250000002</v>
      </c>
      <c r="F184">
        <v>5.5548574999999998</v>
      </c>
      <c r="G184">
        <v>264.80970000000002</v>
      </c>
      <c r="H184">
        <v>-16</v>
      </c>
      <c r="I184">
        <v>40</v>
      </c>
      <c r="J184">
        <v>1.18</v>
      </c>
      <c r="K184">
        <v>20.96220975</v>
      </c>
      <c r="L184">
        <v>-1.9056629629344619</v>
      </c>
      <c r="M184">
        <v>-1.06957938953037</v>
      </c>
      <c r="N184">
        <v>-0.83252428415945612</v>
      </c>
      <c r="O184">
        <v>-0.76591670733936201</v>
      </c>
    </row>
    <row r="185" spans="1:15" x14ac:dyDescent="0.25">
      <c r="A185">
        <v>-264.90390000000002</v>
      </c>
      <c r="B185">
        <v>-199.5691185</v>
      </c>
      <c r="C185">
        <v>262.97901899999999</v>
      </c>
      <c r="D185">
        <v>90.834594500000009</v>
      </c>
      <c r="E185">
        <v>14.2162095</v>
      </c>
      <c r="F185">
        <v>5.9933967499999996</v>
      </c>
      <c r="G185">
        <v>281.33538049999999</v>
      </c>
      <c r="H185">
        <v>-16</v>
      </c>
      <c r="I185">
        <v>44</v>
      </c>
      <c r="J185">
        <v>1.18</v>
      </c>
      <c r="K185">
        <v>21.602779250000001</v>
      </c>
      <c r="L185">
        <v>-2.141945549589944</v>
      </c>
      <c r="M185">
        <v>-1.178332325142049</v>
      </c>
      <c r="N185">
        <v>-1.0838832271334209</v>
      </c>
      <c r="O185">
        <v>-0.96664589856841421</v>
      </c>
    </row>
    <row r="186" spans="1:15" x14ac:dyDescent="0.25">
      <c r="A186">
        <v>295.25706450000001</v>
      </c>
      <c r="B186">
        <v>-213.92797849999999</v>
      </c>
      <c r="C186">
        <v>-316.97664650000002</v>
      </c>
      <c r="D186">
        <v>30.190556999999998</v>
      </c>
      <c r="E186">
        <v>-38.9811105</v>
      </c>
      <c r="F186">
        <v>6.4806600000000003</v>
      </c>
      <c r="G186">
        <v>307.0818635</v>
      </c>
      <c r="H186">
        <v>-12</v>
      </c>
      <c r="I186">
        <v>-44</v>
      </c>
      <c r="J186">
        <v>1.18</v>
      </c>
      <c r="K186">
        <v>22.571945750000001</v>
      </c>
      <c r="L186">
        <v>2.7033977652598109</v>
      </c>
      <c r="M186">
        <v>-1.077923220799073</v>
      </c>
      <c r="N186">
        <v>-1.5280903807011099</v>
      </c>
      <c r="O186">
        <v>-1.2007539208554201</v>
      </c>
    </row>
    <row r="187" spans="1:15" x14ac:dyDescent="0.25">
      <c r="A187">
        <v>311.70578</v>
      </c>
      <c r="B187">
        <v>-175.23436724999999</v>
      </c>
      <c r="C187">
        <v>-294.19367199999999</v>
      </c>
      <c r="D187">
        <v>71.861424999999997</v>
      </c>
      <c r="E187">
        <v>24.990112249999999</v>
      </c>
      <c r="F187">
        <v>6.5293910000000004</v>
      </c>
      <c r="G187">
        <v>320.78586575000003</v>
      </c>
      <c r="H187">
        <v>-12</v>
      </c>
      <c r="I187">
        <v>-40</v>
      </c>
      <c r="J187">
        <v>1.18</v>
      </c>
      <c r="K187">
        <v>23.078946250000001</v>
      </c>
      <c r="L187">
        <v>2.333039034585946</v>
      </c>
      <c r="M187">
        <v>-0.95145300965414725</v>
      </c>
      <c r="N187">
        <v>-1.138974517970071</v>
      </c>
      <c r="O187">
        <v>-0.92891869581946551</v>
      </c>
    </row>
    <row r="188" spans="1:15" x14ac:dyDescent="0.25">
      <c r="A188">
        <v>325.38180549999998</v>
      </c>
      <c r="B188">
        <v>-132.20533775000001</v>
      </c>
      <c r="C188">
        <v>-258.91389450000003</v>
      </c>
      <c r="D188">
        <v>112.74356275</v>
      </c>
      <c r="E188">
        <v>89.231185749999995</v>
      </c>
      <c r="F188">
        <v>6.9192030000000004</v>
      </c>
      <c r="G188">
        <v>334.71229525000001</v>
      </c>
      <c r="H188">
        <v>-12</v>
      </c>
      <c r="I188">
        <v>-36</v>
      </c>
      <c r="J188">
        <v>1.18</v>
      </c>
      <c r="K188">
        <v>23.570758000000001</v>
      </c>
      <c r="L188">
        <v>2.0516717441358661</v>
      </c>
      <c r="M188">
        <v>-0.86009768588039814</v>
      </c>
      <c r="N188">
        <v>-0.86197413139057466</v>
      </c>
      <c r="O188">
        <v>-0.71097738671760924</v>
      </c>
    </row>
    <row r="189" spans="1:15" x14ac:dyDescent="0.25">
      <c r="A189">
        <v>311.45534500000002</v>
      </c>
      <c r="B189">
        <v>-77.849922249999992</v>
      </c>
      <c r="C189">
        <v>-201.88876350000001</v>
      </c>
      <c r="D189">
        <v>143.37230700000001</v>
      </c>
      <c r="E189">
        <v>140.9101565</v>
      </c>
      <c r="F189">
        <v>6.8217479999999986</v>
      </c>
      <c r="G189">
        <v>322.00778200000002</v>
      </c>
      <c r="H189">
        <v>-12</v>
      </c>
      <c r="I189">
        <v>-32</v>
      </c>
      <c r="J189">
        <v>1.18</v>
      </c>
      <c r="K189">
        <v>23.113022000000001</v>
      </c>
      <c r="L189">
        <v>1.828273263859675</v>
      </c>
      <c r="M189">
        <v>-0.78789477232144867</v>
      </c>
      <c r="N189">
        <v>-0.64497908605522913</v>
      </c>
      <c r="O189">
        <v>-0.52243801301592641</v>
      </c>
    </row>
    <row r="190" spans="1:15" x14ac:dyDescent="0.25">
      <c r="A190">
        <v>285.54587550000002</v>
      </c>
      <c r="B190">
        <v>-25.66217275</v>
      </c>
      <c r="C190">
        <v>-142.78837175000001</v>
      </c>
      <c r="D190">
        <v>159.19058974999999</v>
      </c>
      <c r="E190">
        <v>173.81303424999999</v>
      </c>
      <c r="F190">
        <v>6.3832087499999997</v>
      </c>
      <c r="G190">
        <v>298.59844950000002</v>
      </c>
      <c r="H190">
        <v>-12</v>
      </c>
      <c r="I190">
        <v>-28</v>
      </c>
      <c r="J190">
        <v>1.18</v>
      </c>
      <c r="K190">
        <v>22.254875500000001</v>
      </c>
      <c r="L190">
        <v>1.6600096332372809</v>
      </c>
      <c r="M190">
        <v>-0.71639401676850989</v>
      </c>
      <c r="N190">
        <v>-0.4836290265190204</v>
      </c>
      <c r="O190">
        <v>-0.3511574831997572</v>
      </c>
    </row>
    <row r="191" spans="1:15" x14ac:dyDescent="0.25">
      <c r="A191">
        <v>263.88998425</v>
      </c>
      <c r="B191">
        <v>15.34412975</v>
      </c>
      <c r="C191">
        <v>-92.801160749999994</v>
      </c>
      <c r="D191">
        <v>170.27653125000001</v>
      </c>
      <c r="E191">
        <v>197.8196145</v>
      </c>
      <c r="F191">
        <v>5.9446725000000002</v>
      </c>
      <c r="G191">
        <v>281.52804574999999</v>
      </c>
      <c r="H191">
        <v>-12</v>
      </c>
      <c r="I191">
        <v>-24</v>
      </c>
      <c r="J191">
        <v>1.18</v>
      </c>
      <c r="K191">
        <v>21.612258749999999</v>
      </c>
      <c r="L191">
        <v>1.5078745031315559</v>
      </c>
      <c r="M191">
        <v>-0.65497763132909292</v>
      </c>
      <c r="N191">
        <v>-0.35386577816361181</v>
      </c>
      <c r="O191">
        <v>-0.18884139233958591</v>
      </c>
    </row>
    <row r="192" spans="1:15" x14ac:dyDescent="0.25">
      <c r="A192">
        <v>239.53412650000001</v>
      </c>
      <c r="B192">
        <v>40.500757249999999</v>
      </c>
      <c r="C192">
        <v>-49.084909250000003</v>
      </c>
      <c r="D192">
        <v>173.9134215</v>
      </c>
      <c r="E192">
        <v>210.91817825000001</v>
      </c>
      <c r="F192">
        <v>5.4574047500000002</v>
      </c>
      <c r="G192">
        <v>263.880066</v>
      </c>
      <c r="H192">
        <v>-12</v>
      </c>
      <c r="I192">
        <v>-20</v>
      </c>
      <c r="J192">
        <v>1.18</v>
      </c>
      <c r="K192">
        <v>20.928553999999998</v>
      </c>
      <c r="L192">
        <v>1.3411141791000201</v>
      </c>
      <c r="M192">
        <v>-0.61991925227004019</v>
      </c>
      <c r="N192">
        <v>-0.24610392524150559</v>
      </c>
      <c r="O192">
        <v>-4.5305031801545548E-2</v>
      </c>
    </row>
    <row r="193" spans="1:15" x14ac:dyDescent="0.25">
      <c r="A193">
        <v>244.22826000000001</v>
      </c>
      <c r="B193">
        <v>59.6929035</v>
      </c>
      <c r="C193">
        <v>-12.541916499999999</v>
      </c>
      <c r="D193">
        <v>199.459282</v>
      </c>
      <c r="E193">
        <v>245.2069055</v>
      </c>
      <c r="F193">
        <v>6.0421215000000004</v>
      </c>
      <c r="G193">
        <v>282.89577474999999</v>
      </c>
      <c r="H193">
        <v>-12</v>
      </c>
      <c r="I193">
        <v>-16</v>
      </c>
      <c r="J193">
        <v>1.18</v>
      </c>
      <c r="K193">
        <v>21.662011</v>
      </c>
      <c r="L193">
        <v>1.1585243311247979</v>
      </c>
      <c r="M193">
        <v>-0.63063321999771438</v>
      </c>
      <c r="N193">
        <v>-0.17005066895001339</v>
      </c>
      <c r="O193">
        <v>7.9118655491119669E-2</v>
      </c>
    </row>
    <row r="194" spans="1:15" x14ac:dyDescent="0.25">
      <c r="A194">
        <v>241.06866825</v>
      </c>
      <c r="B194">
        <v>62.915645750000003</v>
      </c>
      <c r="C194">
        <v>33.374788250000002</v>
      </c>
      <c r="D194">
        <v>225.04896199999999</v>
      </c>
      <c r="E194">
        <v>277.61802675000001</v>
      </c>
      <c r="F194">
        <v>6.2857564999999997</v>
      </c>
      <c r="G194">
        <v>302.29744725</v>
      </c>
      <c r="H194">
        <v>-12</v>
      </c>
      <c r="I194">
        <v>-12</v>
      </c>
      <c r="J194">
        <v>1.18</v>
      </c>
      <c r="K194">
        <v>22.398975249999999</v>
      </c>
      <c r="L194">
        <v>0.90516883773106471</v>
      </c>
      <c r="M194">
        <v>-0.70652393180470119</v>
      </c>
      <c r="N194">
        <v>-0.1075834043266473</v>
      </c>
      <c r="O194">
        <v>0.18241892206184329</v>
      </c>
    </row>
    <row r="195" spans="1:15" x14ac:dyDescent="0.25">
      <c r="A195">
        <v>228.8519785</v>
      </c>
      <c r="B195">
        <v>54.690440500000001</v>
      </c>
      <c r="C195">
        <v>78.356260000000006</v>
      </c>
      <c r="D195">
        <v>244.72321324999999</v>
      </c>
      <c r="E195">
        <v>299.38935125</v>
      </c>
      <c r="F195">
        <v>6.4806644999999996</v>
      </c>
      <c r="G195">
        <v>316.72244999999998</v>
      </c>
      <c r="H195">
        <v>-12</v>
      </c>
      <c r="I195">
        <v>-8</v>
      </c>
      <c r="J195">
        <v>1.18</v>
      </c>
      <c r="K195">
        <v>22.931040249999999</v>
      </c>
      <c r="L195">
        <v>0.64628521510581494</v>
      </c>
      <c r="M195">
        <v>-0.81604847858249219</v>
      </c>
      <c r="N195">
        <v>-7.4436429627839834E-2</v>
      </c>
      <c r="O195">
        <v>0.25784605275414002</v>
      </c>
    </row>
    <row r="196" spans="1:15" x14ac:dyDescent="0.25">
      <c r="A196">
        <v>210.12338650000001</v>
      </c>
      <c r="B196">
        <v>47.812052000000001</v>
      </c>
      <c r="C196">
        <v>121.84738725</v>
      </c>
      <c r="D196">
        <v>258.87640375000001</v>
      </c>
      <c r="E196">
        <v>318.43367799999999</v>
      </c>
      <c r="F196">
        <v>6.9192032499999998</v>
      </c>
      <c r="G196">
        <v>331.00978874999998</v>
      </c>
      <c r="H196">
        <v>-12</v>
      </c>
      <c r="I196">
        <v>-4</v>
      </c>
      <c r="J196">
        <v>1.18</v>
      </c>
      <c r="K196">
        <v>23.437270250000001</v>
      </c>
      <c r="L196">
        <v>0.37789961816505091</v>
      </c>
      <c r="M196">
        <v>-0.90351471947290074</v>
      </c>
      <c r="N196">
        <v>-5.384261967662423E-2</v>
      </c>
      <c r="O196">
        <v>0.33351708167827421</v>
      </c>
    </row>
    <row r="197" spans="1:15" x14ac:dyDescent="0.25">
      <c r="A197">
        <v>178.25177400000001</v>
      </c>
      <c r="B197">
        <v>40.308353250000003</v>
      </c>
      <c r="C197">
        <v>157.88676425</v>
      </c>
      <c r="D197">
        <v>262.86385324999998</v>
      </c>
      <c r="E197">
        <v>325.54178624999997</v>
      </c>
      <c r="F197">
        <v>7.1628295</v>
      </c>
      <c r="G197">
        <v>330.69138325</v>
      </c>
      <c r="H197">
        <v>-12</v>
      </c>
      <c r="I197">
        <v>0</v>
      </c>
      <c r="J197">
        <v>1.18</v>
      </c>
      <c r="K197">
        <v>23.416873500000001</v>
      </c>
      <c r="L197">
        <v>8.9934984887546865E-2</v>
      </c>
      <c r="M197">
        <v>-0.98282587402655675</v>
      </c>
      <c r="N197">
        <v>-2.273699421194084E-2</v>
      </c>
      <c r="O197">
        <v>0.40599023366171028</v>
      </c>
    </row>
    <row r="198" spans="1:15" x14ac:dyDescent="0.25">
      <c r="A198">
        <v>130.35986725000001</v>
      </c>
      <c r="B198">
        <v>34.776781999999997</v>
      </c>
      <c r="C198">
        <v>174.68707275</v>
      </c>
      <c r="D198">
        <v>241.34923175</v>
      </c>
      <c r="E198">
        <v>297.6011585</v>
      </c>
      <c r="F198">
        <v>6.2857560000000001</v>
      </c>
      <c r="G198">
        <v>303.81826775000002</v>
      </c>
      <c r="H198">
        <v>-12</v>
      </c>
      <c r="I198">
        <v>4</v>
      </c>
      <c r="J198">
        <v>1.18</v>
      </c>
      <c r="K198">
        <v>22.456439</v>
      </c>
      <c r="L198">
        <v>-0.20614396531937029</v>
      </c>
      <c r="M198">
        <v>-0.96065759190947342</v>
      </c>
      <c r="N198">
        <v>-2.8923399310701418E-2</v>
      </c>
      <c r="O198">
        <v>0.35474982336192612</v>
      </c>
    </row>
    <row r="199" spans="1:15" x14ac:dyDescent="0.25">
      <c r="A199">
        <v>90.006093750000005</v>
      </c>
      <c r="B199">
        <v>32.804656999999999</v>
      </c>
      <c r="C199">
        <v>190.71962350000001</v>
      </c>
      <c r="D199">
        <v>225.92532</v>
      </c>
      <c r="E199">
        <v>277.34979974999999</v>
      </c>
      <c r="F199">
        <v>6.0908519999999999</v>
      </c>
      <c r="G199">
        <v>285.68994149999997</v>
      </c>
      <c r="H199">
        <v>-12</v>
      </c>
      <c r="I199">
        <v>8</v>
      </c>
      <c r="J199">
        <v>1.18</v>
      </c>
      <c r="K199">
        <v>21.769157499999999</v>
      </c>
      <c r="L199">
        <v>-0.46638235175652942</v>
      </c>
      <c r="M199">
        <v>-0.89430558944734229</v>
      </c>
      <c r="N199">
        <v>-3.8622259654742468E-2</v>
      </c>
      <c r="O199">
        <v>0.25615295150765488</v>
      </c>
    </row>
    <row r="200" spans="1:15" x14ac:dyDescent="0.25">
      <c r="A200">
        <v>49.649109750000001</v>
      </c>
      <c r="B200">
        <v>32.756556500000002</v>
      </c>
      <c r="C200">
        <v>199.16494</v>
      </c>
      <c r="D200">
        <v>206.86451349999999</v>
      </c>
      <c r="E200">
        <v>252.40441125000001</v>
      </c>
      <c r="F200">
        <v>5.7010375</v>
      </c>
      <c r="G200">
        <v>267.76182575000001</v>
      </c>
      <c r="H200">
        <v>-12</v>
      </c>
      <c r="I200">
        <v>12</v>
      </c>
      <c r="J200">
        <v>1.18</v>
      </c>
      <c r="K200">
        <v>21.075343499999999</v>
      </c>
      <c r="L200">
        <v>-0.70791799983500292</v>
      </c>
      <c r="M200">
        <v>-0.82438460770892685</v>
      </c>
      <c r="N200">
        <v>-7.2719855948285589E-2</v>
      </c>
      <c r="O200">
        <v>0.16810134720002151</v>
      </c>
    </row>
    <row r="201" spans="1:15" x14ac:dyDescent="0.25">
      <c r="A201">
        <v>11.01379625</v>
      </c>
      <c r="B201">
        <v>37.326114750000002</v>
      </c>
      <c r="C201">
        <v>226.39771275000001</v>
      </c>
      <c r="D201">
        <v>205.37470250000001</v>
      </c>
      <c r="E201">
        <v>252.80675500000001</v>
      </c>
      <c r="F201">
        <v>5.7010375</v>
      </c>
      <c r="G201">
        <v>277.55024724999998</v>
      </c>
      <c r="H201">
        <v>-12</v>
      </c>
      <c r="I201">
        <v>16</v>
      </c>
      <c r="J201">
        <v>1.18</v>
      </c>
      <c r="K201">
        <v>21.465319749999999</v>
      </c>
      <c r="L201">
        <v>-0.9420461149701902</v>
      </c>
      <c r="M201">
        <v>-0.73499354756258872</v>
      </c>
      <c r="N201">
        <v>-0.1082308951703754</v>
      </c>
      <c r="O201">
        <v>8.0781146895882755E-2</v>
      </c>
    </row>
    <row r="202" spans="1:15" x14ac:dyDescent="0.25">
      <c r="A202">
        <v>-32.298545500000003</v>
      </c>
      <c r="B202">
        <v>34.488179250000002</v>
      </c>
      <c r="C202">
        <v>259.50154099999997</v>
      </c>
      <c r="D202">
        <v>207.30269250000001</v>
      </c>
      <c r="E202">
        <v>255.98080825</v>
      </c>
      <c r="F202">
        <v>6.4319354999999998</v>
      </c>
      <c r="G202">
        <v>297.65534200000002</v>
      </c>
      <c r="H202">
        <v>-12</v>
      </c>
      <c r="I202">
        <v>20</v>
      </c>
      <c r="J202">
        <v>1.18</v>
      </c>
      <c r="K202">
        <v>22.217069500000001</v>
      </c>
      <c r="L202">
        <v>-1.144826725556704</v>
      </c>
      <c r="M202">
        <v>-0.67798611689886434</v>
      </c>
      <c r="N202">
        <v>-0.16352978724638531</v>
      </c>
      <c r="O202">
        <v>-2.0907491025340522E-2</v>
      </c>
    </row>
    <row r="203" spans="1:15" x14ac:dyDescent="0.25">
      <c r="A203">
        <v>-81.079244500000001</v>
      </c>
      <c r="B203">
        <v>25.156656999999999</v>
      </c>
      <c r="C203">
        <v>286.91494749999998</v>
      </c>
      <c r="D203">
        <v>201.8692705</v>
      </c>
      <c r="E203">
        <v>245.83277525</v>
      </c>
      <c r="F203">
        <v>6.7242929999999994</v>
      </c>
      <c r="G203">
        <v>313.26251200000002</v>
      </c>
      <c r="H203">
        <v>-12</v>
      </c>
      <c r="I203">
        <v>24</v>
      </c>
      <c r="J203">
        <v>1.18</v>
      </c>
      <c r="K203">
        <v>22.793769749999999</v>
      </c>
      <c r="L203">
        <v>-1.344080227085978</v>
      </c>
      <c r="M203">
        <v>-0.64539622834727517</v>
      </c>
      <c r="N203">
        <v>-0.24629591508883941</v>
      </c>
      <c r="O203">
        <v>-0.12667871389442781</v>
      </c>
    </row>
    <row r="204" spans="1:15" x14ac:dyDescent="0.25">
      <c r="A204">
        <v>-129.01451474999999</v>
      </c>
      <c r="B204">
        <v>-4.7966672499999996</v>
      </c>
      <c r="C204">
        <v>309.27020249999998</v>
      </c>
      <c r="D204">
        <v>192.22932449999999</v>
      </c>
      <c r="E204">
        <v>225.93904524999999</v>
      </c>
      <c r="F204">
        <v>6.8704765000000014</v>
      </c>
      <c r="G204">
        <v>327.22887424999999</v>
      </c>
      <c r="H204">
        <v>-12</v>
      </c>
      <c r="I204">
        <v>28</v>
      </c>
      <c r="J204">
        <v>1.18</v>
      </c>
      <c r="K204">
        <v>23.301928499999999</v>
      </c>
      <c r="L204">
        <v>-1.496655487908211</v>
      </c>
      <c r="M204">
        <v>-0.67280949405770596</v>
      </c>
      <c r="N204">
        <v>-0.34589472227144169</v>
      </c>
      <c r="O204">
        <v>-0.25193399433784358</v>
      </c>
    </row>
    <row r="205" spans="1:15" x14ac:dyDescent="0.25">
      <c r="A205">
        <v>-178.01397700000001</v>
      </c>
      <c r="B205">
        <v>-46.6715765</v>
      </c>
      <c r="C205">
        <v>325.03179175000002</v>
      </c>
      <c r="D205">
        <v>175.49086750000001</v>
      </c>
      <c r="E205">
        <v>193.88557449999999</v>
      </c>
      <c r="F205">
        <v>7.0166562499999996</v>
      </c>
      <c r="G205">
        <v>338.65370174999998</v>
      </c>
      <c r="H205">
        <v>-12</v>
      </c>
      <c r="I205">
        <v>32</v>
      </c>
      <c r="J205">
        <v>1.18</v>
      </c>
      <c r="K205">
        <v>23.708550500000001</v>
      </c>
      <c r="L205">
        <v>-1.642719462796854</v>
      </c>
      <c r="M205">
        <v>-0.72543460756293932</v>
      </c>
      <c r="N205">
        <v>-0.47273748102047253</v>
      </c>
      <c r="O205">
        <v>-0.38975196368403081</v>
      </c>
    </row>
    <row r="206" spans="1:15" x14ac:dyDescent="0.25">
      <c r="A206">
        <v>-201.03147150000001</v>
      </c>
      <c r="B206">
        <v>-84.757116499999995</v>
      </c>
      <c r="C206">
        <v>298.29580700000002</v>
      </c>
      <c r="D206">
        <v>134.65253824999999</v>
      </c>
      <c r="E206">
        <v>129.86802650000001</v>
      </c>
      <c r="F206">
        <v>6.5293887499999999</v>
      </c>
      <c r="G206">
        <v>307.33986675</v>
      </c>
      <c r="H206">
        <v>-12</v>
      </c>
      <c r="I206">
        <v>36</v>
      </c>
      <c r="J206">
        <v>1.18</v>
      </c>
      <c r="K206">
        <v>22.579785749999999</v>
      </c>
      <c r="L206">
        <v>-1.8306530616713881</v>
      </c>
      <c r="M206">
        <v>-0.80438858584191131</v>
      </c>
      <c r="N206">
        <v>-0.65066230775257117</v>
      </c>
      <c r="O206">
        <v>-0.54782001680767256</v>
      </c>
    </row>
    <row r="207" spans="1:15" x14ac:dyDescent="0.25">
      <c r="A207">
        <v>-226.03091425</v>
      </c>
      <c r="B207">
        <v>-117.61429425</v>
      </c>
      <c r="C207">
        <v>281.08904274999998</v>
      </c>
      <c r="D207">
        <v>97.363466000000003</v>
      </c>
      <c r="E207">
        <v>72.287996249999992</v>
      </c>
      <c r="F207">
        <v>6.0421234999999998</v>
      </c>
      <c r="G207">
        <v>287.7941515</v>
      </c>
      <c r="H207">
        <v>-12</v>
      </c>
      <c r="I207">
        <v>40</v>
      </c>
      <c r="J207">
        <v>1.18</v>
      </c>
      <c r="K207">
        <v>21.852798750000002</v>
      </c>
      <c r="L207">
        <v>-2.077442086113416</v>
      </c>
      <c r="M207">
        <v>-0.88065772180649227</v>
      </c>
      <c r="N207">
        <v>-0.88285744083243123</v>
      </c>
      <c r="O207">
        <v>-0.72862952193930075</v>
      </c>
    </row>
    <row r="208" spans="1:15" x14ac:dyDescent="0.25">
      <c r="A208">
        <v>-245.03948199999999</v>
      </c>
      <c r="B208">
        <v>-150.9615135</v>
      </c>
      <c r="C208">
        <v>260.81124125000002</v>
      </c>
      <c r="D208">
        <v>62.57202075</v>
      </c>
      <c r="E208">
        <v>15.602064499999999</v>
      </c>
      <c r="F208">
        <v>5.4574069999999999</v>
      </c>
      <c r="G208">
        <v>268.54650874999999</v>
      </c>
      <c r="H208">
        <v>-12</v>
      </c>
      <c r="I208">
        <v>44</v>
      </c>
      <c r="J208">
        <v>1.18</v>
      </c>
      <c r="K208">
        <v>21.116631000000002</v>
      </c>
      <c r="L208">
        <v>-2.3682958048280058</v>
      </c>
      <c r="M208">
        <v>-0.99963679472518141</v>
      </c>
      <c r="N208">
        <v>-1.184278224276196</v>
      </c>
      <c r="O208">
        <v>-0.95252347880507415</v>
      </c>
    </row>
    <row r="209" spans="1:15" x14ac:dyDescent="0.25">
      <c r="A209">
        <v>274.83003975000003</v>
      </c>
      <c r="B209">
        <v>-154.69252775000001</v>
      </c>
      <c r="C209">
        <v>-288.41897575000002</v>
      </c>
      <c r="D209">
        <v>-8.347990750000001</v>
      </c>
      <c r="E209">
        <v>-38.312098499999998</v>
      </c>
      <c r="F209">
        <v>5.8472150000000003</v>
      </c>
      <c r="G209">
        <v>279.6471555</v>
      </c>
      <c r="H209">
        <v>-8</v>
      </c>
      <c r="I209">
        <v>-44</v>
      </c>
      <c r="J209">
        <v>1.18</v>
      </c>
      <c r="K209">
        <v>21.542214749999999</v>
      </c>
      <c r="L209">
        <v>3.073795015621263</v>
      </c>
      <c r="M209">
        <v>-0.79859966318800701</v>
      </c>
      <c r="N209">
        <v>-1.7352181580045141</v>
      </c>
      <c r="O209">
        <v>-1.240986887950571</v>
      </c>
    </row>
    <row r="210" spans="1:15" x14ac:dyDescent="0.25">
      <c r="A210">
        <v>292.83914175000001</v>
      </c>
      <c r="B210">
        <v>-119.82075875</v>
      </c>
      <c r="C210">
        <v>-268.70381175</v>
      </c>
      <c r="D210">
        <v>30.059103499999999</v>
      </c>
      <c r="E210">
        <v>23.514847499999998</v>
      </c>
      <c r="F210">
        <v>6.0908519999999999</v>
      </c>
      <c r="G210">
        <v>296.07186124999998</v>
      </c>
      <c r="H210">
        <v>-8</v>
      </c>
      <c r="I210">
        <v>-40</v>
      </c>
      <c r="J210">
        <v>1.18</v>
      </c>
      <c r="K210">
        <v>22.169636000000001</v>
      </c>
      <c r="L210">
        <v>2.5786139713256362</v>
      </c>
      <c r="M210">
        <v>-0.68815650547804985</v>
      </c>
      <c r="N210">
        <v>-1.2515983041400931</v>
      </c>
      <c r="O210">
        <v>-0.92000166021596574</v>
      </c>
    </row>
    <row r="211" spans="1:15" x14ac:dyDescent="0.25">
      <c r="A211">
        <v>306.44996624999999</v>
      </c>
      <c r="B211">
        <v>-76.842620999999994</v>
      </c>
      <c r="C211">
        <v>-235.72488375</v>
      </c>
      <c r="D211">
        <v>69.582890000000006</v>
      </c>
      <c r="E211">
        <v>85.475967499999996</v>
      </c>
      <c r="F211">
        <v>6.3832070000000014</v>
      </c>
      <c r="G211">
        <v>308.46026625000002</v>
      </c>
      <c r="H211">
        <v>-8</v>
      </c>
      <c r="I211">
        <v>-36</v>
      </c>
      <c r="J211">
        <v>1.18</v>
      </c>
      <c r="K211">
        <v>22.627300000000002</v>
      </c>
      <c r="L211">
        <v>2.2426623431013102</v>
      </c>
      <c r="M211">
        <v>-0.60566827777589971</v>
      </c>
      <c r="N211">
        <v>-0.92236424598750455</v>
      </c>
      <c r="O211">
        <v>-0.67285004971976814</v>
      </c>
    </row>
    <row r="212" spans="1:15" x14ac:dyDescent="0.25">
      <c r="A212">
        <v>315.50100674999999</v>
      </c>
      <c r="B212">
        <v>-31.418173750000001</v>
      </c>
      <c r="C212">
        <v>-200.71578600000001</v>
      </c>
      <c r="D212">
        <v>109.5010395</v>
      </c>
      <c r="E212">
        <v>144.03950524999999</v>
      </c>
      <c r="F212">
        <v>6.4806600000000003</v>
      </c>
      <c r="G212">
        <v>320.38572675</v>
      </c>
      <c r="H212">
        <v>-8</v>
      </c>
      <c r="I212">
        <v>-32</v>
      </c>
      <c r="J212">
        <v>1.18</v>
      </c>
      <c r="K212">
        <v>23.066036749999999</v>
      </c>
      <c r="L212">
        <v>1.984643320853444</v>
      </c>
      <c r="M212">
        <v>-0.54176749873162033</v>
      </c>
      <c r="N212">
        <v>-0.677981642235711</v>
      </c>
      <c r="O212">
        <v>-0.47113906905896419</v>
      </c>
    </row>
    <row r="213" spans="1:15" x14ac:dyDescent="0.25">
      <c r="A213">
        <v>325.60986300000002</v>
      </c>
      <c r="B213">
        <v>13.80490975</v>
      </c>
      <c r="C213">
        <v>-164.48860174999999</v>
      </c>
      <c r="D213">
        <v>145.95756925000001</v>
      </c>
      <c r="E213">
        <v>198.93724075</v>
      </c>
      <c r="F213">
        <v>6.8704747499999996</v>
      </c>
      <c r="G213">
        <v>332.67130300000002</v>
      </c>
      <c r="H213">
        <v>-8</v>
      </c>
      <c r="I213">
        <v>-28</v>
      </c>
      <c r="J213">
        <v>1.18</v>
      </c>
      <c r="K213">
        <v>23.499030999999999</v>
      </c>
      <c r="L213">
        <v>1.7868616930224079</v>
      </c>
      <c r="M213">
        <v>-0.48181563860460352</v>
      </c>
      <c r="N213">
        <v>-0.48758364723853442</v>
      </c>
      <c r="O213">
        <v>-0.29973941410966892</v>
      </c>
    </row>
    <row r="214" spans="1:15" x14ac:dyDescent="0.25">
      <c r="A214">
        <v>313.53572075</v>
      </c>
      <c r="B214">
        <v>53.824630499999998</v>
      </c>
      <c r="C214">
        <v>-116.847353</v>
      </c>
      <c r="D214">
        <v>166.20146174999999</v>
      </c>
      <c r="E214">
        <v>237.6070555</v>
      </c>
      <c r="F214">
        <v>6.7242949999999997</v>
      </c>
      <c r="G214">
        <v>327.94927999999999</v>
      </c>
      <c r="H214">
        <v>-8</v>
      </c>
      <c r="I214">
        <v>-24</v>
      </c>
      <c r="J214">
        <v>1.18</v>
      </c>
      <c r="K214">
        <v>23.333377500000001</v>
      </c>
      <c r="L214">
        <v>1.599206556429984</v>
      </c>
      <c r="M214">
        <v>-0.41758853574205163</v>
      </c>
      <c r="N214">
        <v>-0.33569539887546168</v>
      </c>
      <c r="O214">
        <v>-0.14207175203352981</v>
      </c>
    </row>
    <row r="215" spans="1:15" x14ac:dyDescent="0.25">
      <c r="A215">
        <v>280.08412900000002</v>
      </c>
      <c r="B215">
        <v>80.857181499999996</v>
      </c>
      <c r="C215">
        <v>-62.2133185</v>
      </c>
      <c r="D215">
        <v>173.519058</v>
      </c>
      <c r="E215">
        <v>249.05153275000001</v>
      </c>
      <c r="F215">
        <v>6.1883067500000006</v>
      </c>
      <c r="G215">
        <v>301.71475974999998</v>
      </c>
      <c r="H215">
        <v>-8</v>
      </c>
      <c r="I215">
        <v>-20</v>
      </c>
      <c r="J215">
        <v>1.18</v>
      </c>
      <c r="K215">
        <v>22.380603749999999</v>
      </c>
      <c r="L215">
        <v>1.4278587469655579</v>
      </c>
      <c r="M215">
        <v>-0.38652902863476379</v>
      </c>
      <c r="N215">
        <v>-0.219683726550535</v>
      </c>
      <c r="O215">
        <v>1.3069954142539029E-2</v>
      </c>
    </row>
    <row r="216" spans="1:15" x14ac:dyDescent="0.25">
      <c r="A216">
        <v>247.25226225</v>
      </c>
      <c r="B216">
        <v>93.748144249999996</v>
      </c>
      <c r="C216">
        <v>-19.805401499999999</v>
      </c>
      <c r="D216">
        <v>173.25614924999999</v>
      </c>
      <c r="E216">
        <v>251.37619000000001</v>
      </c>
      <c r="F216">
        <v>5.7010395000000003</v>
      </c>
      <c r="G216">
        <v>279.58339699999999</v>
      </c>
      <c r="H216">
        <v>-8</v>
      </c>
      <c r="I216">
        <v>-16</v>
      </c>
      <c r="J216">
        <v>1.18</v>
      </c>
      <c r="K216">
        <v>21.545423750000001</v>
      </c>
      <c r="L216">
        <v>1.2456112282510581</v>
      </c>
      <c r="M216">
        <v>-0.37083036657666169</v>
      </c>
      <c r="N216">
        <v>-0.1315771327001122</v>
      </c>
      <c r="O216">
        <v>0.1458356630339753</v>
      </c>
    </row>
    <row r="217" spans="1:15" x14ac:dyDescent="0.25">
      <c r="A217">
        <v>215.65736375</v>
      </c>
      <c r="B217">
        <v>90.862110250000001</v>
      </c>
      <c r="C217">
        <v>20.639067499999999</v>
      </c>
      <c r="D217">
        <v>173.65051274999999</v>
      </c>
      <c r="E217">
        <v>248.06802350000001</v>
      </c>
      <c r="F217">
        <v>5.5061289999999996</v>
      </c>
      <c r="G217">
        <v>262.45462800000001</v>
      </c>
      <c r="H217">
        <v>-8</v>
      </c>
      <c r="I217">
        <v>-12</v>
      </c>
      <c r="J217">
        <v>1.18</v>
      </c>
      <c r="K217">
        <v>20.868777000000001</v>
      </c>
      <c r="L217">
        <v>1.0140598230323901</v>
      </c>
      <c r="M217">
        <v>-0.43047616620006979</v>
      </c>
      <c r="N217">
        <v>-7.4818965372350998E-2</v>
      </c>
      <c r="O217">
        <v>0.26125531052284978</v>
      </c>
    </row>
    <row r="218" spans="1:15" x14ac:dyDescent="0.25">
      <c r="A218">
        <v>209.02255249999999</v>
      </c>
      <c r="B218">
        <v>91.29501375000001</v>
      </c>
      <c r="C218">
        <v>61.826924249999998</v>
      </c>
      <c r="D218">
        <v>192.0540465</v>
      </c>
      <c r="E218">
        <v>271.18050375000001</v>
      </c>
      <c r="F218">
        <v>5.8959417500000004</v>
      </c>
      <c r="G218">
        <v>279.92739875000001</v>
      </c>
      <c r="H218">
        <v>-8</v>
      </c>
      <c r="I218">
        <v>-8</v>
      </c>
      <c r="J218">
        <v>1.18</v>
      </c>
      <c r="K218">
        <v>21.551312500000002</v>
      </c>
      <c r="L218">
        <v>0.75636038711048248</v>
      </c>
      <c r="M218">
        <v>-0.51770524417993569</v>
      </c>
      <c r="N218">
        <v>-4.4954034759276201E-2</v>
      </c>
      <c r="O218">
        <v>0.36310640956621831</v>
      </c>
    </row>
    <row r="219" spans="1:15" x14ac:dyDescent="0.25">
      <c r="A219">
        <v>193.63125224999999</v>
      </c>
      <c r="B219">
        <v>86.533052499999997</v>
      </c>
      <c r="C219">
        <v>106.08580550000001</v>
      </c>
      <c r="D219">
        <v>207.17124200000001</v>
      </c>
      <c r="E219">
        <v>291.16363525000003</v>
      </c>
      <c r="F219">
        <v>6.1395742499999999</v>
      </c>
      <c r="G219">
        <v>295.45442174999999</v>
      </c>
      <c r="H219">
        <v>-8</v>
      </c>
      <c r="I219">
        <v>-4</v>
      </c>
      <c r="J219">
        <v>1.18</v>
      </c>
      <c r="K219">
        <v>22.144161</v>
      </c>
      <c r="L219">
        <v>0.44931835404604981</v>
      </c>
      <c r="M219">
        <v>-0.6191457304544119</v>
      </c>
      <c r="N219">
        <v>-2.2049861957756111E-2</v>
      </c>
      <c r="O219">
        <v>0.46275988209079399</v>
      </c>
    </row>
    <row r="220" spans="1:15" x14ac:dyDescent="0.25">
      <c r="A220">
        <v>170.521908</v>
      </c>
      <c r="B220">
        <v>82.300197499999996</v>
      </c>
      <c r="C220">
        <v>147.72528474999999</v>
      </c>
      <c r="D220">
        <v>218.213356</v>
      </c>
      <c r="E220">
        <v>307.61508175</v>
      </c>
      <c r="F220">
        <v>6.3832052499999996</v>
      </c>
      <c r="G220">
        <v>308.71835349999998</v>
      </c>
      <c r="H220">
        <v>-8</v>
      </c>
      <c r="I220">
        <v>0</v>
      </c>
      <c r="J220">
        <v>1.18</v>
      </c>
      <c r="K220">
        <v>22.636957500000001</v>
      </c>
      <c r="L220">
        <v>0.1183344549875609</v>
      </c>
      <c r="M220">
        <v>-0.70569059058744743</v>
      </c>
      <c r="N220">
        <v>-5.7559959859215691E-3</v>
      </c>
      <c r="O220">
        <v>0.5640278236018812</v>
      </c>
    </row>
    <row r="221" spans="1:15" x14ac:dyDescent="0.25">
      <c r="A221">
        <v>138.20494074999999</v>
      </c>
      <c r="B221">
        <v>82.5888025</v>
      </c>
      <c r="C221">
        <v>190.99059700000001</v>
      </c>
      <c r="D221">
        <v>227.70736725</v>
      </c>
      <c r="E221">
        <v>320.49012025000002</v>
      </c>
      <c r="F221">
        <v>6.6268399999999996</v>
      </c>
      <c r="G221">
        <v>321.62635799999998</v>
      </c>
      <c r="H221">
        <v>-8</v>
      </c>
      <c r="I221">
        <v>4</v>
      </c>
      <c r="J221">
        <v>1.18</v>
      </c>
      <c r="K221">
        <v>23.106210999999998</v>
      </c>
      <c r="L221">
        <v>-0.25123077908330033</v>
      </c>
      <c r="M221">
        <v>-0.69073071947090625</v>
      </c>
      <c r="N221">
        <v>-5.4161703038931568E-3</v>
      </c>
      <c r="O221">
        <v>0.49394539554543587</v>
      </c>
    </row>
    <row r="222" spans="1:15" x14ac:dyDescent="0.25">
      <c r="A222">
        <v>99.239879500000001</v>
      </c>
      <c r="B222">
        <v>85.33053975</v>
      </c>
      <c r="C222">
        <v>228.06870649999999</v>
      </c>
      <c r="D222">
        <v>232.62946700000001</v>
      </c>
      <c r="E222">
        <v>326.70410950000002</v>
      </c>
      <c r="F222">
        <v>7.0166519999999997</v>
      </c>
      <c r="G222">
        <v>332.13035574999998</v>
      </c>
      <c r="H222">
        <v>-8</v>
      </c>
      <c r="I222">
        <v>8</v>
      </c>
      <c r="J222">
        <v>1.18</v>
      </c>
      <c r="K222">
        <v>23.47423775</v>
      </c>
      <c r="L222">
        <v>-0.5495281631124187</v>
      </c>
      <c r="M222">
        <v>-0.62839533992535346</v>
      </c>
      <c r="N222">
        <v>-2.3196967883362309E-2</v>
      </c>
      <c r="O222">
        <v>0.36376629278342992</v>
      </c>
    </row>
    <row r="223" spans="1:15" x14ac:dyDescent="0.25">
      <c r="A223">
        <v>51.954375499999998</v>
      </c>
      <c r="B223">
        <v>88.50517825</v>
      </c>
      <c r="C223">
        <v>253.08851999999999</v>
      </c>
      <c r="D223">
        <v>225.39950575</v>
      </c>
      <c r="E223">
        <v>317.67370599999998</v>
      </c>
      <c r="F223">
        <v>7.0166522499999999</v>
      </c>
      <c r="G223">
        <v>327.68808000000001</v>
      </c>
      <c r="H223">
        <v>-8</v>
      </c>
      <c r="I223">
        <v>12</v>
      </c>
      <c r="J223">
        <v>1.18</v>
      </c>
      <c r="K223">
        <v>23.313276250000001</v>
      </c>
      <c r="L223">
        <v>-0.81284304384312711</v>
      </c>
      <c r="M223">
        <v>-0.55319940149576308</v>
      </c>
      <c r="N223">
        <v>-4.0481763350323913E-2</v>
      </c>
      <c r="O223">
        <v>0.2555068384114938</v>
      </c>
    </row>
    <row r="224" spans="1:15" x14ac:dyDescent="0.25">
      <c r="A224">
        <v>6.0485662500000004</v>
      </c>
      <c r="B224">
        <v>82.829305750000003</v>
      </c>
      <c r="C224">
        <v>253.81111525</v>
      </c>
      <c r="D224">
        <v>199.02110300000001</v>
      </c>
      <c r="E224">
        <v>283.51908850000001</v>
      </c>
      <c r="F224">
        <v>6.48066225</v>
      </c>
      <c r="G224">
        <v>302.4176635</v>
      </c>
      <c r="H224">
        <v>-8</v>
      </c>
      <c r="I224">
        <v>16</v>
      </c>
      <c r="J224">
        <v>1.18</v>
      </c>
      <c r="K224">
        <v>22.396113</v>
      </c>
      <c r="L224">
        <v>-1.036323477408355</v>
      </c>
      <c r="M224">
        <v>-0.4860061243599445</v>
      </c>
      <c r="N224">
        <v>-7.9058640606957734E-2</v>
      </c>
      <c r="O224">
        <v>0.15876472970974431</v>
      </c>
    </row>
    <row r="225" spans="1:15" x14ac:dyDescent="0.25">
      <c r="A225">
        <v>-33.918149999999997</v>
      </c>
      <c r="B225">
        <v>73.353485000000006</v>
      </c>
      <c r="C225">
        <v>251.23686975000001</v>
      </c>
      <c r="D225">
        <v>173.91341775000001</v>
      </c>
      <c r="E225">
        <v>248.33626150000001</v>
      </c>
      <c r="F225">
        <v>5.9933969999999999</v>
      </c>
      <c r="G225">
        <v>279.743492</v>
      </c>
      <c r="H225">
        <v>-8</v>
      </c>
      <c r="I225">
        <v>20</v>
      </c>
      <c r="J225">
        <v>1.18</v>
      </c>
      <c r="K225">
        <v>21.54025025</v>
      </c>
      <c r="L225">
        <v>-1.2472932925244169</v>
      </c>
      <c r="M225">
        <v>-0.43986506639734502</v>
      </c>
      <c r="N225">
        <v>-0.137390463472956</v>
      </c>
      <c r="O225">
        <v>6.0037734879093377E-2</v>
      </c>
    </row>
    <row r="226" spans="1:15" x14ac:dyDescent="0.25">
      <c r="A226">
        <v>-67.1155945</v>
      </c>
      <c r="B226">
        <v>59.741009750000003</v>
      </c>
      <c r="C226">
        <v>247.12710974999999</v>
      </c>
      <c r="D226">
        <v>149.76972975000001</v>
      </c>
      <c r="E226">
        <v>215.209858</v>
      </c>
      <c r="F226">
        <v>5.3599492499999997</v>
      </c>
      <c r="G226">
        <v>263.23970025</v>
      </c>
      <c r="H226">
        <v>-8</v>
      </c>
      <c r="I226">
        <v>24</v>
      </c>
      <c r="J226">
        <v>1.18</v>
      </c>
      <c r="K226">
        <v>20.906548999999998</v>
      </c>
      <c r="L226">
        <v>-1.4355601010575469</v>
      </c>
      <c r="M226">
        <v>-0.41127339327043549</v>
      </c>
      <c r="N226">
        <v>-0.219429937064261</v>
      </c>
      <c r="O226">
        <v>-4.1318095673573502E-2</v>
      </c>
    </row>
    <row r="227" spans="1:15" x14ac:dyDescent="0.25">
      <c r="A227">
        <v>-106.52911575</v>
      </c>
      <c r="B227">
        <v>35.209689249999997</v>
      </c>
      <c r="C227">
        <v>267.04362500000002</v>
      </c>
      <c r="D227">
        <v>140.91850650000001</v>
      </c>
      <c r="E227">
        <v>198.08784499999999</v>
      </c>
      <c r="F227">
        <v>5.8959434999999996</v>
      </c>
      <c r="G227">
        <v>277.58237450000001</v>
      </c>
      <c r="H227">
        <v>-8</v>
      </c>
      <c r="I227">
        <v>28</v>
      </c>
      <c r="J227">
        <v>1.18</v>
      </c>
      <c r="K227">
        <v>21.458912999999999</v>
      </c>
      <c r="L227">
        <v>-1.5981963788328959</v>
      </c>
      <c r="M227">
        <v>-0.45223029702214662</v>
      </c>
      <c r="N227">
        <v>-0.3400876538130112</v>
      </c>
      <c r="O227">
        <v>-0.17777950280207791</v>
      </c>
    </row>
    <row r="228" spans="1:15" x14ac:dyDescent="0.25">
      <c r="A228">
        <v>-152.25873200000001</v>
      </c>
      <c r="B228">
        <v>2.9822692499999999</v>
      </c>
      <c r="C228">
        <v>287.41173550000002</v>
      </c>
      <c r="D228">
        <v>127.247305</v>
      </c>
      <c r="E228">
        <v>174.21537774999999</v>
      </c>
      <c r="F228">
        <v>6.1395745000000002</v>
      </c>
      <c r="G228">
        <v>292.77311700000001</v>
      </c>
      <c r="H228">
        <v>-8</v>
      </c>
      <c r="I228">
        <v>32</v>
      </c>
      <c r="J228">
        <v>1.18</v>
      </c>
      <c r="K228">
        <v>22.041295999999999</v>
      </c>
      <c r="L228">
        <v>-1.766782668592872</v>
      </c>
      <c r="M228">
        <v>-0.49936181553669912</v>
      </c>
      <c r="N228">
        <v>-0.4764273640705412</v>
      </c>
      <c r="O228">
        <v>-0.32460743206661002</v>
      </c>
    </row>
    <row r="229" spans="1:15" x14ac:dyDescent="0.25">
      <c r="A229">
        <v>-200.67111600000001</v>
      </c>
      <c r="B229">
        <v>-37.174176250000002</v>
      </c>
      <c r="C229">
        <v>304.57333399999999</v>
      </c>
      <c r="D229">
        <v>104.68106450000001</v>
      </c>
      <c r="E229">
        <v>134.38322825</v>
      </c>
      <c r="F229">
        <v>6.3832087499999997</v>
      </c>
      <c r="G229">
        <v>307.27760325000003</v>
      </c>
      <c r="H229">
        <v>-8</v>
      </c>
      <c r="I229">
        <v>36</v>
      </c>
      <c r="J229">
        <v>1.18</v>
      </c>
      <c r="K229">
        <v>22.58295575</v>
      </c>
      <c r="L229">
        <v>-1.994609184312949</v>
      </c>
      <c r="M229">
        <v>-0.56001484744232022</v>
      </c>
      <c r="N229">
        <v>-0.68257221984504279</v>
      </c>
      <c r="O229">
        <v>-0.49468233702258141</v>
      </c>
    </row>
    <row r="230" spans="1:15" x14ac:dyDescent="0.25">
      <c r="A230">
        <v>-248.10247824999999</v>
      </c>
      <c r="B230">
        <v>-83.557960750000007</v>
      </c>
      <c r="C230">
        <v>317.12841800000001</v>
      </c>
      <c r="D230">
        <v>76.944305499999999</v>
      </c>
      <c r="E230">
        <v>84.268932250000006</v>
      </c>
      <c r="F230">
        <v>6.5293887499999999</v>
      </c>
      <c r="G230">
        <v>319.36380000000003</v>
      </c>
      <c r="H230">
        <v>-8</v>
      </c>
      <c r="I230">
        <v>40</v>
      </c>
      <c r="J230">
        <v>1.18</v>
      </c>
      <c r="K230">
        <v>23.0266625</v>
      </c>
      <c r="L230">
        <v>-2.2600501641321991</v>
      </c>
      <c r="M230">
        <v>-0.6417546768971919</v>
      </c>
      <c r="N230">
        <v>-0.9400268238137085</v>
      </c>
      <c r="O230">
        <v>-0.68916779619341928</v>
      </c>
    </row>
    <row r="231" spans="1:15" x14ac:dyDescent="0.25">
      <c r="A231">
        <v>-304.18228925</v>
      </c>
      <c r="B231">
        <v>-139.34319675</v>
      </c>
      <c r="C231">
        <v>332.66416924999999</v>
      </c>
      <c r="D231">
        <v>36.982340000000001</v>
      </c>
      <c r="E231">
        <v>20.25138325</v>
      </c>
      <c r="F231">
        <v>6.8217480000000004</v>
      </c>
      <c r="G231">
        <v>335.05184924999998</v>
      </c>
      <c r="H231">
        <v>-8</v>
      </c>
      <c r="I231">
        <v>44</v>
      </c>
      <c r="J231">
        <v>1.18</v>
      </c>
      <c r="K231">
        <v>23.58647775</v>
      </c>
      <c r="L231">
        <v>-2.6315760548164602</v>
      </c>
      <c r="M231">
        <v>-0.72859702025358786</v>
      </c>
      <c r="N231">
        <v>-1.300897520911831</v>
      </c>
      <c r="O231">
        <v>-0.94455475213727746</v>
      </c>
    </row>
    <row r="232" spans="1:15" x14ac:dyDescent="0.25">
      <c r="A232">
        <v>313.55632774999998</v>
      </c>
      <c r="B232">
        <v>-129.89375674999999</v>
      </c>
      <c r="C232">
        <v>-330.01482399999998</v>
      </c>
      <c r="D232">
        <v>-55.026809499999999</v>
      </c>
      <c r="E232">
        <v>-47.053859750000001</v>
      </c>
      <c r="F232">
        <v>6.5293890000000001</v>
      </c>
      <c r="G232">
        <v>314.80146774999997</v>
      </c>
      <c r="H232">
        <v>-4</v>
      </c>
      <c r="I232">
        <v>-44</v>
      </c>
      <c r="J232">
        <v>1.18</v>
      </c>
      <c r="K232">
        <v>22.858096750000001</v>
      </c>
      <c r="L232">
        <v>3.5187741374978279</v>
      </c>
      <c r="M232">
        <v>-0.40931507964802749</v>
      </c>
      <c r="N232">
        <v>-1.978488011789707</v>
      </c>
      <c r="O232">
        <v>-1.29299804028961</v>
      </c>
    </row>
    <row r="233" spans="1:15" x14ac:dyDescent="0.25">
      <c r="A233">
        <v>293.22624949999999</v>
      </c>
      <c r="B233">
        <v>-74.780052249999997</v>
      </c>
      <c r="C233">
        <v>-269.01960774999998</v>
      </c>
      <c r="D233">
        <v>-9.0910057500000008</v>
      </c>
      <c r="E233">
        <v>23.425438499999998</v>
      </c>
      <c r="F233">
        <v>6.1395739999999996</v>
      </c>
      <c r="G233">
        <v>293.23040025</v>
      </c>
      <c r="H233">
        <v>-4</v>
      </c>
      <c r="I233">
        <v>-40</v>
      </c>
      <c r="J233">
        <v>1.18</v>
      </c>
      <c r="K233">
        <v>22.058882000000001</v>
      </c>
      <c r="L233">
        <v>2.878549049500668</v>
      </c>
      <c r="M233">
        <v>-0.33628788775986251</v>
      </c>
      <c r="N233">
        <v>-1.3813579811674721</v>
      </c>
      <c r="O233">
        <v>-0.91149207758677786</v>
      </c>
    </row>
    <row r="234" spans="1:15" x14ac:dyDescent="0.25">
      <c r="A234">
        <v>277.08679949999998</v>
      </c>
      <c r="B234">
        <v>-30.219007749999999</v>
      </c>
      <c r="C234">
        <v>-216.91199850000001</v>
      </c>
      <c r="D234">
        <v>27.7805705</v>
      </c>
      <c r="E234">
        <v>75.953803999999991</v>
      </c>
      <c r="F234">
        <v>5.7497660000000002</v>
      </c>
      <c r="G234">
        <v>277.582382</v>
      </c>
      <c r="H234">
        <v>-4</v>
      </c>
      <c r="I234">
        <v>-36</v>
      </c>
      <c r="J234">
        <v>1.18</v>
      </c>
      <c r="K234">
        <v>21.464682750000001</v>
      </c>
      <c r="L234">
        <v>2.4759956813367978</v>
      </c>
      <c r="M234">
        <v>-0.29069323653761192</v>
      </c>
      <c r="N234">
        <v>-1.010598082541597</v>
      </c>
      <c r="O234">
        <v>-0.64815405581828667</v>
      </c>
    </row>
    <row r="235" spans="1:15" x14ac:dyDescent="0.25">
      <c r="A235">
        <v>263.23020200000002</v>
      </c>
      <c r="B235">
        <v>12.02518675</v>
      </c>
      <c r="C235">
        <v>-169.4963415</v>
      </c>
      <c r="D235">
        <v>60.205849000000001</v>
      </c>
      <c r="E235">
        <v>121.508194</v>
      </c>
      <c r="F235">
        <v>5.4574047500000002</v>
      </c>
      <c r="G235">
        <v>265.40065774999999</v>
      </c>
      <c r="H235">
        <v>-4</v>
      </c>
      <c r="I235">
        <v>-32</v>
      </c>
      <c r="J235">
        <v>1.18</v>
      </c>
      <c r="K235">
        <v>20.990009000000001</v>
      </c>
      <c r="L235">
        <v>2.1610358403947312</v>
      </c>
      <c r="M235">
        <v>-0.24059003669685269</v>
      </c>
      <c r="N235">
        <v>-0.71861082028261292</v>
      </c>
      <c r="O235">
        <v>-0.42046494489873348</v>
      </c>
    </row>
    <row r="236" spans="1:15" x14ac:dyDescent="0.25">
      <c r="A236">
        <v>281.83436599999999</v>
      </c>
      <c r="B236">
        <v>50.120882000000002</v>
      </c>
      <c r="C236">
        <v>-143.91624049999999</v>
      </c>
      <c r="D236">
        <v>94.120936999999998</v>
      </c>
      <c r="E236">
        <v>176.54003524999999</v>
      </c>
      <c r="F236">
        <v>6.1882985000000001</v>
      </c>
      <c r="G236">
        <v>286.50695050000002</v>
      </c>
      <c r="H236">
        <v>-4</v>
      </c>
      <c r="I236">
        <v>-28</v>
      </c>
      <c r="J236">
        <v>1.18</v>
      </c>
      <c r="K236">
        <v>21.797146000000001</v>
      </c>
      <c r="L236">
        <v>1.9055617309925861</v>
      </c>
      <c r="M236">
        <v>-0.19686211405977419</v>
      </c>
      <c r="N236">
        <v>-0.49220579114523511</v>
      </c>
      <c r="O236">
        <v>-0.23758943019478951</v>
      </c>
    </row>
    <row r="237" spans="1:15" x14ac:dyDescent="0.25">
      <c r="A237">
        <v>295.66334499999999</v>
      </c>
      <c r="B237">
        <v>87.735568999999998</v>
      </c>
      <c r="C237">
        <v>-110.21548075</v>
      </c>
      <c r="D237">
        <v>126.4147665</v>
      </c>
      <c r="E237">
        <v>227.90607449999999</v>
      </c>
      <c r="F237">
        <v>6.3832069999999996</v>
      </c>
      <c r="G237">
        <v>305.45895400000001</v>
      </c>
      <c r="H237">
        <v>-4</v>
      </c>
      <c r="I237">
        <v>-24</v>
      </c>
      <c r="J237">
        <v>1.18</v>
      </c>
      <c r="K237">
        <v>22.514594500000001</v>
      </c>
      <c r="L237">
        <v>1.697233037833642</v>
      </c>
      <c r="M237">
        <v>-0.16172424605147021</v>
      </c>
      <c r="N237">
        <v>-0.32431707189973469</v>
      </c>
      <c r="O237">
        <v>-7.3678488693835295E-2</v>
      </c>
    </row>
    <row r="238" spans="1:15" x14ac:dyDescent="0.25">
      <c r="A238">
        <v>300.15688325000002</v>
      </c>
      <c r="B238">
        <v>119.48198325</v>
      </c>
      <c r="C238">
        <v>-72.770187499999992</v>
      </c>
      <c r="D238">
        <v>154.28297825000001</v>
      </c>
      <c r="E238">
        <v>271.091095</v>
      </c>
      <c r="F238">
        <v>6.96792575</v>
      </c>
      <c r="G238">
        <v>320.36431875</v>
      </c>
      <c r="H238">
        <v>-4</v>
      </c>
      <c r="I238">
        <v>-20</v>
      </c>
      <c r="J238">
        <v>1.18</v>
      </c>
      <c r="K238">
        <v>23.047338249999999</v>
      </c>
      <c r="L238">
        <v>1.5053638577403139</v>
      </c>
      <c r="M238">
        <v>-0.14046742430058851</v>
      </c>
      <c r="N238">
        <v>-0.19890487015954031</v>
      </c>
      <c r="O238">
        <v>6.6154335422205363E-2</v>
      </c>
    </row>
    <row r="239" spans="1:15" x14ac:dyDescent="0.25">
      <c r="A239">
        <v>298.03578924999999</v>
      </c>
      <c r="B239">
        <v>144.68670650000001</v>
      </c>
      <c r="C239">
        <v>-30.497609499999999</v>
      </c>
      <c r="D239">
        <v>177.2873955</v>
      </c>
      <c r="E239">
        <v>306.27391825000001</v>
      </c>
      <c r="F239">
        <v>6.6755684999999998</v>
      </c>
      <c r="G239">
        <v>334.33148975</v>
      </c>
      <c r="H239">
        <v>-4</v>
      </c>
      <c r="I239">
        <v>-16</v>
      </c>
      <c r="J239">
        <v>1.18</v>
      </c>
      <c r="K239">
        <v>23.565831500000002</v>
      </c>
      <c r="L239">
        <v>1.3185183321452429</v>
      </c>
      <c r="M239">
        <v>-0.13081809415382439</v>
      </c>
      <c r="N239">
        <v>-0.1126251699865677</v>
      </c>
      <c r="O239">
        <v>0.20235239885660261</v>
      </c>
    </row>
    <row r="240" spans="1:15" x14ac:dyDescent="0.25">
      <c r="A240">
        <v>271.24654399999997</v>
      </c>
      <c r="B240">
        <v>148.2942505</v>
      </c>
      <c r="C240">
        <v>16.890611</v>
      </c>
      <c r="D240">
        <v>185.612808</v>
      </c>
      <c r="E240">
        <v>313.24790999999999</v>
      </c>
      <c r="F240">
        <v>6.6755665000000004</v>
      </c>
      <c r="G240">
        <v>325.88715374999998</v>
      </c>
      <c r="H240">
        <v>-4</v>
      </c>
      <c r="I240">
        <v>-12</v>
      </c>
      <c r="J240">
        <v>1.18</v>
      </c>
      <c r="K240">
        <v>23.2601695</v>
      </c>
      <c r="L240">
        <v>1.102744556770398</v>
      </c>
      <c r="M240">
        <v>-0.1617918517682497</v>
      </c>
      <c r="N240">
        <v>-5.4795514449334892E-2</v>
      </c>
      <c r="O240">
        <v>0.3291460509419365</v>
      </c>
    </row>
    <row r="241" spans="1:15" x14ac:dyDescent="0.25">
      <c r="A241">
        <v>228.09986499999999</v>
      </c>
      <c r="B241">
        <v>133.14255524999999</v>
      </c>
      <c r="C241">
        <v>58.801063499999998</v>
      </c>
      <c r="D241">
        <v>179.39065925</v>
      </c>
      <c r="E241">
        <v>296.26002499999998</v>
      </c>
      <c r="F241">
        <v>6.4806582500000003</v>
      </c>
      <c r="G241">
        <v>300.25663750000001</v>
      </c>
      <c r="H241">
        <v>-4</v>
      </c>
      <c r="I241">
        <v>-8</v>
      </c>
      <c r="J241">
        <v>1.18</v>
      </c>
      <c r="K241">
        <v>22.314225499999999</v>
      </c>
      <c r="L241">
        <v>0.84528645497432642</v>
      </c>
      <c r="M241">
        <v>-0.23090873875492149</v>
      </c>
      <c r="N241">
        <v>-1.99630175403928E-2</v>
      </c>
      <c r="O241">
        <v>0.44681317315727759</v>
      </c>
    </row>
    <row r="242" spans="1:15" x14ac:dyDescent="0.25">
      <c r="A242">
        <v>188.96995924999999</v>
      </c>
      <c r="B242">
        <v>120.49209949999999</v>
      </c>
      <c r="C242">
        <v>95.879163750000004</v>
      </c>
      <c r="D242">
        <v>171.15288899999999</v>
      </c>
      <c r="E242">
        <v>282.71439325</v>
      </c>
      <c r="F242">
        <v>6.0421212499999992</v>
      </c>
      <c r="G242">
        <v>283.22526549999998</v>
      </c>
      <c r="H242">
        <v>-4</v>
      </c>
      <c r="I242">
        <v>-4</v>
      </c>
      <c r="J242">
        <v>1.18</v>
      </c>
      <c r="K242">
        <v>21.674899750000002</v>
      </c>
      <c r="L242">
        <v>0.53343280018646955</v>
      </c>
      <c r="M242">
        <v>-0.29023126861159942</v>
      </c>
      <c r="N242">
        <v>-2.9477555345763318E-3</v>
      </c>
      <c r="O242">
        <v>0.5852651990245662</v>
      </c>
    </row>
    <row r="243" spans="1:15" x14ac:dyDescent="0.25">
      <c r="A243">
        <v>149.04718750000001</v>
      </c>
      <c r="B243">
        <v>107.98593150000001</v>
      </c>
      <c r="C243">
        <v>125.95713600000001</v>
      </c>
      <c r="D243">
        <v>161.03094475</v>
      </c>
      <c r="E243">
        <v>266.39707924999999</v>
      </c>
      <c r="F243">
        <v>5.8959415000000002</v>
      </c>
      <c r="G243">
        <v>266.84132399999999</v>
      </c>
      <c r="H243">
        <v>-4</v>
      </c>
      <c r="I243">
        <v>0</v>
      </c>
      <c r="J243">
        <v>1.18</v>
      </c>
      <c r="K243">
        <v>21.03043825</v>
      </c>
      <c r="L243">
        <v>0.15458243933534571</v>
      </c>
      <c r="M243">
        <v>-0.35495014247187612</v>
      </c>
      <c r="N243">
        <v>-3.0160929738383062E-3</v>
      </c>
      <c r="O243">
        <v>0.74338702321107986</v>
      </c>
    </row>
    <row r="244" spans="1:15" x14ac:dyDescent="0.25">
      <c r="A244">
        <v>121.9481885</v>
      </c>
      <c r="B244">
        <v>113.22889875</v>
      </c>
      <c r="C244">
        <v>166.4675675</v>
      </c>
      <c r="D244">
        <v>167.95417749999999</v>
      </c>
      <c r="E244">
        <v>281.10501825</v>
      </c>
      <c r="F244">
        <v>6.0908457499999997</v>
      </c>
      <c r="G244">
        <v>280.28757474999998</v>
      </c>
      <c r="H244">
        <v>-4</v>
      </c>
      <c r="I244">
        <v>4</v>
      </c>
      <c r="J244">
        <v>1.18</v>
      </c>
      <c r="K244">
        <v>21.557794250000001</v>
      </c>
      <c r="L244">
        <v>-0.27227517505842552</v>
      </c>
      <c r="M244">
        <v>-0.33469189607805439</v>
      </c>
      <c r="N244">
        <v>4.993749250254041E-3</v>
      </c>
      <c r="O244">
        <v>0.68188071071567447</v>
      </c>
    </row>
    <row r="245" spans="1:15" x14ac:dyDescent="0.25">
      <c r="A245">
        <v>88.60098275</v>
      </c>
      <c r="B245">
        <v>121.30980649999999</v>
      </c>
      <c r="C245">
        <v>209.77804574999999</v>
      </c>
      <c r="D245">
        <v>181.31865300000001</v>
      </c>
      <c r="E245">
        <v>298.49524700000001</v>
      </c>
      <c r="F245">
        <v>6.2857562500000004</v>
      </c>
      <c r="G245">
        <v>300.11393724999999</v>
      </c>
      <c r="H245">
        <v>-4</v>
      </c>
      <c r="I245">
        <v>8</v>
      </c>
      <c r="J245">
        <v>1.18</v>
      </c>
      <c r="K245">
        <v>22.316206749999999</v>
      </c>
      <c r="L245">
        <v>-0.62610830670406792</v>
      </c>
      <c r="M245">
        <v>-0.31005813021930578</v>
      </c>
      <c r="N245">
        <v>-8.3650479536890483E-3</v>
      </c>
      <c r="O245">
        <v>0.50981566285813917</v>
      </c>
    </row>
    <row r="246" spans="1:15" x14ac:dyDescent="0.25">
      <c r="A246">
        <v>48.791572500000001</v>
      </c>
      <c r="B246">
        <v>128.33249624999999</v>
      </c>
      <c r="C246">
        <v>247.62390149999999</v>
      </c>
      <c r="D246">
        <v>185.39371875000001</v>
      </c>
      <c r="E246">
        <v>309.22446450000001</v>
      </c>
      <c r="F246">
        <v>6.6755665000000004</v>
      </c>
      <c r="G246">
        <v>314.96154775000002</v>
      </c>
      <c r="H246">
        <v>-4</v>
      </c>
      <c r="I246">
        <v>12</v>
      </c>
      <c r="J246">
        <v>1.18</v>
      </c>
      <c r="K246">
        <v>22.858655250000002</v>
      </c>
      <c r="L246">
        <v>-0.9010819373296608</v>
      </c>
      <c r="M246">
        <v>-0.25850417755600791</v>
      </c>
      <c r="N246">
        <v>-2.6031280754466049E-2</v>
      </c>
      <c r="O246">
        <v>0.37114688080957031</v>
      </c>
    </row>
    <row r="247" spans="1:15" x14ac:dyDescent="0.25">
      <c r="A247">
        <v>2.8888745</v>
      </c>
      <c r="B247">
        <v>130.06411750000001</v>
      </c>
      <c r="C247">
        <v>281.13420100000002</v>
      </c>
      <c r="D247">
        <v>189.20588699999999</v>
      </c>
      <c r="E247">
        <v>311.63852724999998</v>
      </c>
      <c r="F247">
        <v>7.0166520000000014</v>
      </c>
      <c r="G247">
        <v>328.32840750000003</v>
      </c>
      <c r="H247">
        <v>-4</v>
      </c>
      <c r="I247">
        <v>16</v>
      </c>
      <c r="J247">
        <v>1.18</v>
      </c>
      <c r="K247">
        <v>23.336570500000001</v>
      </c>
      <c r="L247">
        <v>-1.1349432142190401</v>
      </c>
      <c r="M247">
        <v>-0.2412426003650929</v>
      </c>
      <c r="N247">
        <v>-6.8089175978974958E-2</v>
      </c>
      <c r="O247">
        <v>0.24253758831356459</v>
      </c>
    </row>
    <row r="248" spans="1:15" x14ac:dyDescent="0.25">
      <c r="A248">
        <v>-42.071115249999998</v>
      </c>
      <c r="B248">
        <v>128.813503</v>
      </c>
      <c r="C248">
        <v>307.41855624999999</v>
      </c>
      <c r="D248">
        <v>183.23505025</v>
      </c>
      <c r="E248">
        <v>305.51393925000002</v>
      </c>
      <c r="F248">
        <v>7.1628315000000002</v>
      </c>
      <c r="G248">
        <v>338.13343049999997</v>
      </c>
      <c r="H248">
        <v>-4</v>
      </c>
      <c r="I248">
        <v>20</v>
      </c>
      <c r="J248">
        <v>1.18</v>
      </c>
      <c r="K248">
        <v>23.68470975</v>
      </c>
      <c r="L248">
        <v>-1.3331776549527969</v>
      </c>
      <c r="M248">
        <v>-0.207619101261594</v>
      </c>
      <c r="N248">
        <v>-0.12444863357022171</v>
      </c>
      <c r="O248">
        <v>0.13813360893694801</v>
      </c>
    </row>
    <row r="249" spans="1:15" x14ac:dyDescent="0.25">
      <c r="A249">
        <v>-76.664930499999997</v>
      </c>
      <c r="B249">
        <v>105.147999</v>
      </c>
      <c r="C249">
        <v>292.24407975000003</v>
      </c>
      <c r="D249">
        <v>148.89337175</v>
      </c>
      <c r="E249">
        <v>255.75728574999999</v>
      </c>
      <c r="F249">
        <v>6.48066225</v>
      </c>
      <c r="G249">
        <v>308.43820199999999</v>
      </c>
      <c r="H249">
        <v>-4</v>
      </c>
      <c r="I249">
        <v>24</v>
      </c>
      <c r="J249">
        <v>1.18</v>
      </c>
      <c r="K249">
        <v>22.622800000000002</v>
      </c>
      <c r="L249">
        <v>-1.5274713541288989</v>
      </c>
      <c r="M249">
        <v>-0.18112034950765549</v>
      </c>
      <c r="N249">
        <v>-0.21813629706437371</v>
      </c>
      <c r="O249">
        <v>3.2138876628763913E-2</v>
      </c>
    </row>
    <row r="250" spans="1:15" x14ac:dyDescent="0.25">
      <c r="A250">
        <v>-107.56512650000001</v>
      </c>
      <c r="B250">
        <v>74.026892000000004</v>
      </c>
      <c r="C250">
        <v>281.54065700000001</v>
      </c>
      <c r="D250">
        <v>120.98133850000001</v>
      </c>
      <c r="E250">
        <v>211.54404475000001</v>
      </c>
      <c r="F250">
        <v>5.9446702499999997</v>
      </c>
      <c r="G250">
        <v>289.06826000000001</v>
      </c>
      <c r="H250">
        <v>-4</v>
      </c>
      <c r="I250">
        <v>28</v>
      </c>
      <c r="J250">
        <v>1.18</v>
      </c>
      <c r="K250">
        <v>21.90592925</v>
      </c>
      <c r="L250">
        <v>-1.7042605828346269</v>
      </c>
      <c r="M250">
        <v>-0.20565230491025421</v>
      </c>
      <c r="N250">
        <v>-0.33955315071845998</v>
      </c>
      <c r="O250">
        <v>-9.9479004098173202E-2</v>
      </c>
    </row>
    <row r="251" spans="1:15" x14ac:dyDescent="0.25">
      <c r="A251">
        <v>-139.10501124999999</v>
      </c>
      <c r="B251">
        <v>39.971651250000001</v>
      </c>
      <c r="C251">
        <v>271.46950525</v>
      </c>
      <c r="D251">
        <v>92.806399999999996</v>
      </c>
      <c r="E251">
        <v>165.40849324999999</v>
      </c>
      <c r="F251">
        <v>5.8959437499999998</v>
      </c>
      <c r="G251">
        <v>273.82044975000002</v>
      </c>
      <c r="H251">
        <v>-4</v>
      </c>
      <c r="I251">
        <v>32</v>
      </c>
      <c r="J251">
        <v>1.18</v>
      </c>
      <c r="K251">
        <v>21.309813250000001</v>
      </c>
      <c r="L251">
        <v>-1.909859370691614</v>
      </c>
      <c r="M251">
        <v>-0.24576648752504959</v>
      </c>
      <c r="N251">
        <v>-0.50429712795687087</v>
      </c>
      <c r="O251">
        <v>-0.2579872699590503</v>
      </c>
    </row>
    <row r="252" spans="1:15" x14ac:dyDescent="0.25">
      <c r="A252">
        <v>-176.8428385</v>
      </c>
      <c r="B252">
        <v>6.3974134999999999</v>
      </c>
      <c r="C252">
        <v>271.28884900000003</v>
      </c>
      <c r="D252">
        <v>62.35293025</v>
      </c>
      <c r="E252">
        <v>120.1223335</v>
      </c>
      <c r="F252">
        <v>5.5061289999999996</v>
      </c>
      <c r="G252">
        <v>272.45974699999999</v>
      </c>
      <c r="H252">
        <v>-4</v>
      </c>
      <c r="I252">
        <v>36</v>
      </c>
      <c r="J252">
        <v>1.18</v>
      </c>
      <c r="K252">
        <v>21.271165</v>
      </c>
      <c r="L252">
        <v>-2.1823184960266571</v>
      </c>
      <c r="M252">
        <v>-0.27249692256239583</v>
      </c>
      <c r="N252">
        <v>-0.74186253926996104</v>
      </c>
      <c r="O252">
        <v>-0.44182920703371498</v>
      </c>
    </row>
    <row r="253" spans="1:15" x14ac:dyDescent="0.25">
      <c r="A253">
        <v>-229.22903049999999</v>
      </c>
      <c r="B253">
        <v>-32.569374500000002</v>
      </c>
      <c r="C253">
        <v>293.01184849999999</v>
      </c>
      <c r="D253">
        <v>32.951089500000002</v>
      </c>
      <c r="E253">
        <v>77.965528750000004</v>
      </c>
      <c r="F253">
        <v>5.9446744999999996</v>
      </c>
      <c r="G253">
        <v>293.110344</v>
      </c>
      <c r="H253">
        <v>-4</v>
      </c>
      <c r="I253">
        <v>40</v>
      </c>
      <c r="J253">
        <v>1.18</v>
      </c>
      <c r="K253">
        <v>22.061745999999999</v>
      </c>
      <c r="L253">
        <v>-2.5004723424823778</v>
      </c>
      <c r="M253">
        <v>-0.31366999769090098</v>
      </c>
      <c r="N253">
        <v>-1.0301677136148299</v>
      </c>
      <c r="O253">
        <v>-0.65518890316673406</v>
      </c>
    </row>
    <row r="254" spans="1:15" x14ac:dyDescent="0.25">
      <c r="A254">
        <v>-283.82238749999999</v>
      </c>
      <c r="B254">
        <v>-81.543357999999998</v>
      </c>
      <c r="C254">
        <v>311.12185675000001</v>
      </c>
      <c r="D254">
        <v>-6.9930807499999998</v>
      </c>
      <c r="E254">
        <v>19.6255135</v>
      </c>
      <c r="F254">
        <v>6.6755684999999998</v>
      </c>
      <c r="G254">
        <v>310.59930424999999</v>
      </c>
      <c r="H254">
        <v>-4</v>
      </c>
      <c r="I254">
        <v>44</v>
      </c>
      <c r="J254">
        <v>1.18</v>
      </c>
      <c r="K254">
        <v>22.696353999999999</v>
      </c>
      <c r="L254">
        <v>-2.941001351342051</v>
      </c>
      <c r="M254">
        <v>-0.36846337441602961</v>
      </c>
      <c r="N254">
        <v>-1.4384501657915469</v>
      </c>
      <c r="O254">
        <v>-0.93603150933349066</v>
      </c>
    </row>
    <row r="255" spans="1:15" x14ac:dyDescent="0.25">
      <c r="A255">
        <v>328.18025225000002</v>
      </c>
      <c r="B255">
        <v>-84.469322500000004</v>
      </c>
      <c r="C255">
        <v>-347.56449125</v>
      </c>
      <c r="D255">
        <v>-106.86302550000001</v>
      </c>
      <c r="E255">
        <v>-50.532724250000001</v>
      </c>
      <c r="F255">
        <v>7.11410725</v>
      </c>
      <c r="G255">
        <v>329.84918199999998</v>
      </c>
      <c r="H255">
        <v>0</v>
      </c>
      <c r="I255">
        <v>-44</v>
      </c>
      <c r="J255">
        <v>1.18</v>
      </c>
      <c r="K255">
        <v>23.388206499999999</v>
      </c>
      <c r="L255">
        <v>3.824695882712609</v>
      </c>
      <c r="M255">
        <v>0.12671740637919671</v>
      </c>
      <c r="N255">
        <v>-2.1529780131090521</v>
      </c>
      <c r="O255">
        <v>-1.3262815445816321</v>
      </c>
    </row>
    <row r="256" spans="1:15" x14ac:dyDescent="0.25">
      <c r="A256">
        <v>333.48444375000003</v>
      </c>
      <c r="B256">
        <v>-37.270109249999997</v>
      </c>
      <c r="C256">
        <v>-309.84849524999998</v>
      </c>
      <c r="D256">
        <v>-57.998867750000002</v>
      </c>
      <c r="E256">
        <v>23.514847750000001</v>
      </c>
      <c r="F256">
        <v>7.1141052499999997</v>
      </c>
      <c r="G256">
        <v>334.29145799999998</v>
      </c>
      <c r="H256">
        <v>0</v>
      </c>
      <c r="I256">
        <v>-40</v>
      </c>
      <c r="J256">
        <v>1.18</v>
      </c>
      <c r="K256">
        <v>23.548579749999998</v>
      </c>
      <c r="L256">
        <v>3.1013418247656661</v>
      </c>
      <c r="M256">
        <v>9.9898629271226211E-2</v>
      </c>
      <c r="N256">
        <v>-1.49817533884841</v>
      </c>
      <c r="O256">
        <v>-0.92093547631849637</v>
      </c>
    </row>
    <row r="257" spans="1:15" x14ac:dyDescent="0.25">
      <c r="A257">
        <v>305.95339949999999</v>
      </c>
      <c r="B257">
        <v>9.7163562500000005</v>
      </c>
      <c r="C257">
        <v>-240.23635874999999</v>
      </c>
      <c r="D257">
        <v>-6.7745472499999986</v>
      </c>
      <c r="E257">
        <v>85.341852250000002</v>
      </c>
      <c r="F257">
        <v>6.3832110000000002</v>
      </c>
      <c r="G257">
        <v>306.15703574999998</v>
      </c>
      <c r="H257">
        <v>0</v>
      </c>
      <c r="I257">
        <v>-36</v>
      </c>
      <c r="J257">
        <v>1.18</v>
      </c>
      <c r="K257">
        <v>22.540857249999998</v>
      </c>
      <c r="L257">
        <v>2.61526288369167</v>
      </c>
      <c r="M257">
        <v>7.893440144227104E-2</v>
      </c>
      <c r="N257">
        <v>-1.057304816509862</v>
      </c>
      <c r="O257">
        <v>-0.62192017639662756</v>
      </c>
    </row>
    <row r="258" spans="1:15" x14ac:dyDescent="0.25">
      <c r="A258">
        <v>286.66305549999998</v>
      </c>
      <c r="B258">
        <v>48.341156750000003</v>
      </c>
      <c r="C258">
        <v>-185.55721274999999</v>
      </c>
      <c r="D258">
        <v>28.919837000000001</v>
      </c>
      <c r="E258">
        <v>131.879749</v>
      </c>
      <c r="F258">
        <v>5.8959437499999998</v>
      </c>
      <c r="G258">
        <v>287.97104675000003</v>
      </c>
      <c r="H258">
        <v>0</v>
      </c>
      <c r="I258">
        <v>-32</v>
      </c>
      <c r="J258">
        <v>1.18</v>
      </c>
      <c r="K258">
        <v>21.865329249999998</v>
      </c>
      <c r="L258">
        <v>2.2465441408183811</v>
      </c>
      <c r="M258">
        <v>9.240753363357998E-2</v>
      </c>
      <c r="N258">
        <v>-0.74259553861503813</v>
      </c>
      <c r="O258">
        <v>-0.40063786283353781</v>
      </c>
    </row>
    <row r="259" spans="1:15" x14ac:dyDescent="0.25">
      <c r="A259">
        <v>268.19511425000002</v>
      </c>
      <c r="B259">
        <v>78.836954250000005</v>
      </c>
      <c r="C259">
        <v>-135.1188545</v>
      </c>
      <c r="D259">
        <v>59.855305999999999</v>
      </c>
      <c r="E259">
        <v>168.22491450000001</v>
      </c>
      <c r="F259">
        <v>5.31122475</v>
      </c>
      <c r="G259">
        <v>271.86782075000002</v>
      </c>
      <c r="H259">
        <v>0</v>
      </c>
      <c r="I259">
        <v>-28</v>
      </c>
      <c r="J259">
        <v>1.18</v>
      </c>
      <c r="K259">
        <v>21.255342500000001</v>
      </c>
      <c r="L259">
        <v>1.9592039108729999</v>
      </c>
      <c r="M259">
        <v>9.2198912900186072E-2</v>
      </c>
      <c r="N259">
        <v>-0.50347608953154632</v>
      </c>
      <c r="O259">
        <v>-0.20860158223890429</v>
      </c>
    </row>
    <row r="260" spans="1:15" x14ac:dyDescent="0.25">
      <c r="A260">
        <v>265.44187925</v>
      </c>
      <c r="B260">
        <v>108.17833525</v>
      </c>
      <c r="C260">
        <v>-96.500575999999995</v>
      </c>
      <c r="D260">
        <v>87.153884750000003</v>
      </c>
      <c r="E260">
        <v>205.86651599999999</v>
      </c>
      <c r="F260">
        <v>5.7010375</v>
      </c>
      <c r="G260">
        <v>273.82044975000002</v>
      </c>
      <c r="H260">
        <v>0</v>
      </c>
      <c r="I260">
        <v>-24</v>
      </c>
      <c r="J260">
        <v>1.18</v>
      </c>
      <c r="K260">
        <v>21.317561000000001</v>
      </c>
      <c r="L260">
        <v>1.7191522692236949</v>
      </c>
      <c r="M260">
        <v>9.9860152519325923E-2</v>
      </c>
      <c r="N260">
        <v>-0.32277300225907668</v>
      </c>
      <c r="O260">
        <v>-4.927990332382693E-2</v>
      </c>
    </row>
    <row r="261" spans="1:15" x14ac:dyDescent="0.25">
      <c r="A261">
        <v>277.41152199999999</v>
      </c>
      <c r="B261">
        <v>140.64625175</v>
      </c>
      <c r="C261">
        <v>-63.611876499999987</v>
      </c>
      <c r="D261">
        <v>115.065918</v>
      </c>
      <c r="E261">
        <v>250.88444525</v>
      </c>
      <c r="F261">
        <v>6.0421234999999998</v>
      </c>
      <c r="G261">
        <v>294.45391849999999</v>
      </c>
      <c r="H261">
        <v>0</v>
      </c>
      <c r="I261">
        <v>-20</v>
      </c>
      <c r="J261">
        <v>1.18</v>
      </c>
      <c r="K261">
        <v>22.109561249999999</v>
      </c>
      <c r="L261">
        <v>1.514622474269218</v>
      </c>
      <c r="M261">
        <v>0.1135876557110444</v>
      </c>
      <c r="N261">
        <v>-0.19350992052420779</v>
      </c>
      <c r="O261">
        <v>8.7434384136099677E-2</v>
      </c>
    </row>
    <row r="262" spans="1:15" x14ac:dyDescent="0.25">
      <c r="A262">
        <v>279.55087300000002</v>
      </c>
      <c r="B262">
        <v>164.6003685</v>
      </c>
      <c r="C262">
        <v>-26.166589500000001</v>
      </c>
      <c r="D262">
        <v>138.90288150000001</v>
      </c>
      <c r="E262">
        <v>287.72134375000002</v>
      </c>
      <c r="F262">
        <v>6.5293907500000001</v>
      </c>
      <c r="G262">
        <v>311.63983925000002</v>
      </c>
      <c r="H262">
        <v>0</v>
      </c>
      <c r="I262">
        <v>-16</v>
      </c>
      <c r="J262">
        <v>1.18</v>
      </c>
      <c r="K262">
        <v>22.740625000000001</v>
      </c>
      <c r="L262">
        <v>1.321441020992326</v>
      </c>
      <c r="M262">
        <v>0.1110387916912398</v>
      </c>
      <c r="N262">
        <v>-0.10340683299588541</v>
      </c>
      <c r="O262">
        <v>0.21544563406393921</v>
      </c>
    </row>
    <row r="263" spans="1:15" x14ac:dyDescent="0.25">
      <c r="A263">
        <v>272.23947125000001</v>
      </c>
      <c r="B263">
        <v>178.83815000000001</v>
      </c>
      <c r="C263">
        <v>17.65836775</v>
      </c>
      <c r="D263">
        <v>155.11552025</v>
      </c>
      <c r="E263">
        <v>315.61725625000003</v>
      </c>
      <c r="F263">
        <v>6.7242952499999999</v>
      </c>
      <c r="G263">
        <v>325.64702625000001</v>
      </c>
      <c r="H263">
        <v>0</v>
      </c>
      <c r="I263">
        <v>-12</v>
      </c>
      <c r="J263">
        <v>1.18</v>
      </c>
      <c r="K263">
        <v>23.249654750000001</v>
      </c>
      <c r="L263">
        <v>1.11059274967036</v>
      </c>
      <c r="M263">
        <v>0.10350003982021071</v>
      </c>
      <c r="N263">
        <v>-4.3760551113701272E-2</v>
      </c>
      <c r="O263">
        <v>0.34752318501681578</v>
      </c>
    </row>
    <row r="264" spans="1:15" x14ac:dyDescent="0.25">
      <c r="A264">
        <v>259.51205449999998</v>
      </c>
      <c r="B264">
        <v>189.66079350000001</v>
      </c>
      <c r="C264">
        <v>66.568948750000004</v>
      </c>
      <c r="D264">
        <v>166.11382275</v>
      </c>
      <c r="E264">
        <v>336.449791</v>
      </c>
      <c r="F264">
        <v>6.9192032499999998</v>
      </c>
      <c r="G264">
        <v>339.79454025000001</v>
      </c>
      <c r="H264">
        <v>0</v>
      </c>
      <c r="I264">
        <v>-8</v>
      </c>
      <c r="J264">
        <v>1.18</v>
      </c>
      <c r="K264">
        <v>23.752797749999999</v>
      </c>
      <c r="L264">
        <v>0.87658179470240194</v>
      </c>
      <c r="M264">
        <v>0.10697151042798191</v>
      </c>
      <c r="N264">
        <v>-1.520058039009544E-2</v>
      </c>
      <c r="O264">
        <v>0.49714429783092168</v>
      </c>
    </row>
    <row r="265" spans="1:15" x14ac:dyDescent="0.25">
      <c r="A265">
        <v>211.05356599999999</v>
      </c>
      <c r="B265">
        <v>173.883793</v>
      </c>
      <c r="C265">
        <v>103.46639999999999</v>
      </c>
      <c r="D265">
        <v>149.15627699999999</v>
      </c>
      <c r="E265">
        <v>311.01266475</v>
      </c>
      <c r="F265">
        <v>6.4319377500000003</v>
      </c>
      <c r="G265">
        <v>312.36022224999999</v>
      </c>
      <c r="H265">
        <v>0</v>
      </c>
      <c r="I265">
        <v>-4</v>
      </c>
      <c r="J265">
        <v>1.18</v>
      </c>
      <c r="K265">
        <v>22.77105225</v>
      </c>
      <c r="L265">
        <v>0.58250537951086134</v>
      </c>
      <c r="M265">
        <v>0.1338448101427209</v>
      </c>
      <c r="N265">
        <v>-7.2945623271933749E-3</v>
      </c>
      <c r="O265">
        <v>0.6490572335839353</v>
      </c>
    </row>
    <row r="266" spans="1:15" x14ac:dyDescent="0.25">
      <c r="A266">
        <v>167.01230225</v>
      </c>
      <c r="B266">
        <v>159.40550225000001</v>
      </c>
      <c r="C266">
        <v>136.570244</v>
      </c>
      <c r="D266">
        <v>138.81524675</v>
      </c>
      <c r="E266">
        <v>293.30948675000002</v>
      </c>
      <c r="F266">
        <v>6.0421234999999998</v>
      </c>
      <c r="G266">
        <v>292.6300885</v>
      </c>
      <c r="H266">
        <v>0</v>
      </c>
      <c r="I266">
        <v>0</v>
      </c>
      <c r="J266">
        <v>1.18</v>
      </c>
      <c r="K266">
        <v>22.039540250000002</v>
      </c>
      <c r="L266">
        <v>0.19564203507418981</v>
      </c>
      <c r="M266">
        <v>0.1322526093999</v>
      </c>
      <c r="N266">
        <v>4.3317184570232838E-3</v>
      </c>
      <c r="O266">
        <v>0.84603695784084287</v>
      </c>
    </row>
    <row r="267" spans="1:15" x14ac:dyDescent="0.25">
      <c r="A267">
        <v>122.957165</v>
      </c>
      <c r="B267">
        <v>149.208168</v>
      </c>
      <c r="C267">
        <v>163.66751475000001</v>
      </c>
      <c r="D267">
        <v>131.1470985</v>
      </c>
      <c r="E267">
        <v>277.75214349999999</v>
      </c>
      <c r="F267">
        <v>5.847213</v>
      </c>
      <c r="G267">
        <v>277.14996324999998</v>
      </c>
      <c r="H267">
        <v>0</v>
      </c>
      <c r="I267">
        <v>4</v>
      </c>
      <c r="J267">
        <v>1.18</v>
      </c>
      <c r="K267">
        <v>21.4437575</v>
      </c>
      <c r="L267">
        <v>-0.27009803717240632</v>
      </c>
      <c r="M267">
        <v>0.1198107634287419</v>
      </c>
      <c r="N267">
        <v>3.941801348994794E-3</v>
      </c>
      <c r="O267">
        <v>0.80433262805073069</v>
      </c>
    </row>
    <row r="268" spans="1:15" x14ac:dyDescent="0.25">
      <c r="A268">
        <v>81.520061499999997</v>
      </c>
      <c r="B268">
        <v>143.38798925</v>
      </c>
      <c r="C268">
        <v>186.42922225000001</v>
      </c>
      <c r="D268">
        <v>131.497646</v>
      </c>
      <c r="E268">
        <v>266.62059025000002</v>
      </c>
      <c r="F268">
        <v>5.4086824999999994</v>
      </c>
      <c r="G268">
        <v>267.97745524999999</v>
      </c>
      <c r="H268">
        <v>0</v>
      </c>
      <c r="I268">
        <v>8</v>
      </c>
      <c r="J268">
        <v>1.18</v>
      </c>
      <c r="K268">
        <v>21.095748749999998</v>
      </c>
      <c r="L268">
        <v>-0.65519834585860648</v>
      </c>
      <c r="M268">
        <v>7.4231055006952942E-2</v>
      </c>
      <c r="N268">
        <v>-8.483778767643179E-3</v>
      </c>
      <c r="O268">
        <v>0.63147189097433809</v>
      </c>
    </row>
    <row r="269" spans="1:15" x14ac:dyDescent="0.25">
      <c r="A269">
        <v>46.892695500000002</v>
      </c>
      <c r="B269">
        <v>151.80559925</v>
      </c>
      <c r="C269">
        <v>227.07514574999999</v>
      </c>
      <c r="D269">
        <v>141.75104525</v>
      </c>
      <c r="E269">
        <v>283.87673174999998</v>
      </c>
      <c r="F269">
        <v>6.0421212500000001</v>
      </c>
      <c r="G269">
        <v>289.34841949999998</v>
      </c>
      <c r="H269">
        <v>0</v>
      </c>
      <c r="I269">
        <v>12</v>
      </c>
      <c r="J269">
        <v>1.18</v>
      </c>
      <c r="K269">
        <v>21.912996499999998</v>
      </c>
      <c r="L269">
        <v>-0.95054046600499253</v>
      </c>
      <c r="M269">
        <v>5.3046689504300193E-2</v>
      </c>
      <c r="N269">
        <v>-2.8875783409441639E-2</v>
      </c>
      <c r="O269">
        <v>0.46573365120864602</v>
      </c>
    </row>
    <row r="270" spans="1:15" x14ac:dyDescent="0.25">
      <c r="A270">
        <v>4.2879185</v>
      </c>
      <c r="B270">
        <v>155.70174399999999</v>
      </c>
      <c r="C270">
        <v>264.55969225000001</v>
      </c>
      <c r="D270">
        <v>146.65865725</v>
      </c>
      <c r="E270">
        <v>293.22006249999998</v>
      </c>
      <c r="F270">
        <v>6.4806619999999997</v>
      </c>
      <c r="G270">
        <v>308.03799475</v>
      </c>
      <c r="H270">
        <v>0</v>
      </c>
      <c r="I270">
        <v>16</v>
      </c>
      <c r="J270">
        <v>1.18</v>
      </c>
      <c r="K270">
        <v>22.607820749999998</v>
      </c>
      <c r="L270">
        <v>-1.195297150531524</v>
      </c>
      <c r="M270">
        <v>4.1509378509535337E-2</v>
      </c>
      <c r="N270">
        <v>-6.8062516396438427E-2</v>
      </c>
      <c r="O270">
        <v>0.31685956848049679</v>
      </c>
    </row>
    <row r="271" spans="1:15" x14ac:dyDescent="0.25">
      <c r="A271">
        <v>-38.379958000000002</v>
      </c>
      <c r="B271">
        <v>156.615658</v>
      </c>
      <c r="C271">
        <v>293.37313074999997</v>
      </c>
      <c r="D271">
        <v>147.09683225000001</v>
      </c>
      <c r="E271">
        <v>289.91189574999999</v>
      </c>
      <c r="F271">
        <v>6.8217460000000001</v>
      </c>
      <c r="G271">
        <v>322.04518875000002</v>
      </c>
      <c r="H271">
        <v>0</v>
      </c>
      <c r="I271">
        <v>20</v>
      </c>
      <c r="J271">
        <v>1.18</v>
      </c>
      <c r="K271">
        <v>23.11441975</v>
      </c>
      <c r="L271">
        <v>-1.408404767466332</v>
      </c>
      <c r="M271">
        <v>4.0412025595746602E-2</v>
      </c>
      <c r="N271">
        <v>-0.13642006844734669</v>
      </c>
      <c r="O271">
        <v>0.2018119210293339</v>
      </c>
    </row>
    <row r="272" spans="1:15" x14ac:dyDescent="0.25">
      <c r="A272">
        <v>-84.817896000000005</v>
      </c>
      <c r="B272">
        <v>148.53475574999999</v>
      </c>
      <c r="C272">
        <v>320.28974925</v>
      </c>
      <c r="D272">
        <v>133.29418200000001</v>
      </c>
      <c r="E272">
        <v>278.78036474999999</v>
      </c>
      <c r="F272">
        <v>7.0166562499999996</v>
      </c>
      <c r="G272">
        <v>336.53261550000002</v>
      </c>
      <c r="H272">
        <v>0</v>
      </c>
      <c r="I272">
        <v>24</v>
      </c>
      <c r="J272">
        <v>1.18</v>
      </c>
      <c r="K272">
        <v>23.632631</v>
      </c>
      <c r="L272">
        <v>-1.591515351470683</v>
      </c>
      <c r="M272">
        <v>5.9883792081564448E-2</v>
      </c>
      <c r="N272">
        <v>-0.22690361150291771</v>
      </c>
      <c r="O272">
        <v>6.7658462972358224E-2</v>
      </c>
    </row>
    <row r="273" spans="1:15" x14ac:dyDescent="0.25">
      <c r="A273">
        <v>-121.0412295</v>
      </c>
      <c r="B273">
        <v>118.423765</v>
      </c>
      <c r="C273">
        <v>311.93476125000001</v>
      </c>
      <c r="D273">
        <v>101.0879935</v>
      </c>
      <c r="E273">
        <v>234.388294</v>
      </c>
      <c r="F273">
        <v>6.7242929999999994</v>
      </c>
      <c r="G273">
        <v>318.86495200000002</v>
      </c>
      <c r="H273">
        <v>0</v>
      </c>
      <c r="I273">
        <v>28</v>
      </c>
      <c r="J273">
        <v>1.18</v>
      </c>
      <c r="K273">
        <v>23.001092750000002</v>
      </c>
      <c r="L273">
        <v>-1.7718747283780181</v>
      </c>
      <c r="M273">
        <v>7.0900273990808671E-2</v>
      </c>
      <c r="N273">
        <v>-0.34571461666964459</v>
      </c>
      <c r="O273">
        <v>-6.8341294566328925E-2</v>
      </c>
    </row>
    <row r="274" spans="1:15" x14ac:dyDescent="0.25">
      <c r="A274">
        <v>-152.24880225000001</v>
      </c>
      <c r="B274">
        <v>81.097681249999994</v>
      </c>
      <c r="C274">
        <v>294.41186525000001</v>
      </c>
      <c r="D274">
        <v>65.902181749999997</v>
      </c>
      <c r="E274">
        <v>180.11643599999999</v>
      </c>
      <c r="F274">
        <v>6.0908479999999994</v>
      </c>
      <c r="G274">
        <v>296.87226850000002</v>
      </c>
      <c r="H274">
        <v>0</v>
      </c>
      <c r="I274">
        <v>32</v>
      </c>
      <c r="J274">
        <v>1.18</v>
      </c>
      <c r="K274">
        <v>22.200198749999998</v>
      </c>
      <c r="L274">
        <v>-2.000371327500178</v>
      </c>
      <c r="M274">
        <v>6.8048633656294516E-2</v>
      </c>
      <c r="N274">
        <v>-0.52289638594990584</v>
      </c>
      <c r="O274">
        <v>-0.22062997878121121</v>
      </c>
    </row>
    <row r="275" spans="1:15" x14ac:dyDescent="0.25">
      <c r="A275">
        <v>-181.16706450000001</v>
      </c>
      <c r="B275">
        <v>44.974113500000001</v>
      </c>
      <c r="C275">
        <v>280.05030825</v>
      </c>
      <c r="D275">
        <v>29.489471000000002</v>
      </c>
      <c r="E275">
        <v>125.48693849999999</v>
      </c>
      <c r="F275">
        <v>5.7984904999999998</v>
      </c>
      <c r="G275">
        <v>280.72768400000001</v>
      </c>
      <c r="H275">
        <v>0</v>
      </c>
      <c r="I275">
        <v>36</v>
      </c>
      <c r="J275">
        <v>1.18</v>
      </c>
      <c r="K275">
        <v>21.586593000000001</v>
      </c>
      <c r="L275">
        <v>-2.290985966853504</v>
      </c>
      <c r="M275">
        <v>7.6864037984601147E-2</v>
      </c>
      <c r="N275">
        <v>-0.77115988244798173</v>
      </c>
      <c r="O275">
        <v>-0.40550756984451308</v>
      </c>
    </row>
    <row r="276" spans="1:15" x14ac:dyDescent="0.25">
      <c r="A276">
        <v>-204.27464275</v>
      </c>
      <c r="B276">
        <v>8.9948467500000007</v>
      </c>
      <c r="C276">
        <v>263.52097325</v>
      </c>
      <c r="D276">
        <v>-5.6818780000000002</v>
      </c>
      <c r="E276">
        <v>70.589202999999998</v>
      </c>
      <c r="F276">
        <v>5.4086759999999998</v>
      </c>
      <c r="G276">
        <v>263.92008199999998</v>
      </c>
      <c r="H276">
        <v>0</v>
      </c>
      <c r="I276">
        <v>40</v>
      </c>
      <c r="J276">
        <v>1.18</v>
      </c>
      <c r="K276">
        <v>20.9321485</v>
      </c>
      <c r="L276">
        <v>-2.6645013369821382</v>
      </c>
      <c r="M276">
        <v>8.3600859153424911E-2</v>
      </c>
      <c r="N276">
        <v>-1.101200422488553</v>
      </c>
      <c r="O276">
        <v>-0.62874331381366955</v>
      </c>
    </row>
    <row r="277" spans="1:15" x14ac:dyDescent="0.25">
      <c r="A277">
        <v>-258.64276875000002</v>
      </c>
      <c r="B277">
        <v>-30.506807250000001</v>
      </c>
      <c r="C277">
        <v>285.24395724999999</v>
      </c>
      <c r="D277">
        <v>-48.689329999999998</v>
      </c>
      <c r="E277">
        <v>18.329068500000002</v>
      </c>
      <c r="F277">
        <v>5.7010354999999997</v>
      </c>
      <c r="G277">
        <v>284.30583200000001</v>
      </c>
      <c r="H277">
        <v>0</v>
      </c>
      <c r="I277">
        <v>44</v>
      </c>
      <c r="J277">
        <v>1.18</v>
      </c>
      <c r="K277">
        <v>21.730405999999999</v>
      </c>
      <c r="L277">
        <v>-3.162281832955701</v>
      </c>
      <c r="M277">
        <v>0.10568444643112269</v>
      </c>
      <c r="N277">
        <v>-1.5464756818124841</v>
      </c>
      <c r="O277">
        <v>-0.92658672299046052</v>
      </c>
    </row>
    <row r="278" spans="1:15" x14ac:dyDescent="0.25">
      <c r="A278">
        <v>306.20433800000001</v>
      </c>
      <c r="B278">
        <v>-30.123074249999998</v>
      </c>
      <c r="C278">
        <v>-319.5482025</v>
      </c>
      <c r="D278">
        <v>-143.00851800000001</v>
      </c>
      <c r="E278">
        <v>-43.084386000000002</v>
      </c>
      <c r="F278">
        <v>6.4319332500000002</v>
      </c>
      <c r="G278">
        <v>309.48278049999999</v>
      </c>
      <c r="H278">
        <v>4</v>
      </c>
      <c r="I278">
        <v>-44</v>
      </c>
      <c r="J278">
        <v>1.18</v>
      </c>
      <c r="K278">
        <v>22.663743499999999</v>
      </c>
      <c r="L278">
        <v>3.3251844619734769</v>
      </c>
      <c r="M278">
        <v>0.59981241693886278</v>
      </c>
      <c r="N278">
        <v>-1.8735691906061041</v>
      </c>
      <c r="O278">
        <v>-1.2631711496564511</v>
      </c>
    </row>
    <row r="279" spans="1:15" x14ac:dyDescent="0.25">
      <c r="A279">
        <v>322.58335099999999</v>
      </c>
      <c r="B279">
        <v>13.949211500000001</v>
      </c>
      <c r="C279">
        <v>-300.28416449999997</v>
      </c>
      <c r="D279">
        <v>-103.235361</v>
      </c>
      <c r="E279">
        <v>23.470143</v>
      </c>
      <c r="F279">
        <v>6.7730195000000002</v>
      </c>
      <c r="G279">
        <v>323.66717525000001</v>
      </c>
      <c r="H279">
        <v>4</v>
      </c>
      <c r="I279">
        <v>-40</v>
      </c>
      <c r="J279">
        <v>1.18</v>
      </c>
      <c r="K279">
        <v>23.175592999999999</v>
      </c>
      <c r="L279">
        <v>2.7654772597553698</v>
      </c>
      <c r="M279">
        <v>0.52026612979143638</v>
      </c>
      <c r="N279">
        <v>-1.3328612896515479</v>
      </c>
      <c r="O279">
        <v>-0.92585515497610127</v>
      </c>
    </row>
    <row r="280" spans="1:15" x14ac:dyDescent="0.25">
      <c r="A280">
        <v>337.18534849999998</v>
      </c>
      <c r="B280">
        <v>58.778993499999999</v>
      </c>
      <c r="C280">
        <v>-270.01213050000001</v>
      </c>
      <c r="D280">
        <v>-55.5512905</v>
      </c>
      <c r="E280">
        <v>92.71817575</v>
      </c>
      <c r="F280">
        <v>7.1141050000000003</v>
      </c>
      <c r="G280">
        <v>338.21346275000002</v>
      </c>
      <c r="H280">
        <v>4</v>
      </c>
      <c r="I280">
        <v>-36</v>
      </c>
      <c r="J280">
        <v>1.18</v>
      </c>
      <c r="K280">
        <v>23.689341750000001</v>
      </c>
      <c r="L280">
        <v>2.3764949889555749</v>
      </c>
      <c r="M280">
        <v>0.44748687191123337</v>
      </c>
      <c r="N280">
        <v>-0.96083994156226871</v>
      </c>
      <c r="O280">
        <v>-0.66494945401147576</v>
      </c>
    </row>
    <row r="281" spans="1:15" x14ac:dyDescent="0.25">
      <c r="A281">
        <v>313.26503750000001</v>
      </c>
      <c r="B281">
        <v>93.844348999999994</v>
      </c>
      <c r="C281">
        <v>-206.1295585</v>
      </c>
      <c r="D281">
        <v>-7.4738555</v>
      </c>
      <c r="E281">
        <v>142.83247374999999</v>
      </c>
      <c r="F281">
        <v>6.6268399999999996</v>
      </c>
      <c r="G281">
        <v>315.90358724999999</v>
      </c>
      <c r="H281">
        <v>4</v>
      </c>
      <c r="I281">
        <v>-32</v>
      </c>
      <c r="J281">
        <v>1.18</v>
      </c>
      <c r="K281">
        <v>22.89532775</v>
      </c>
      <c r="L281">
        <v>2.08063783555628</v>
      </c>
      <c r="M281">
        <v>0.40587567632058358</v>
      </c>
      <c r="N281">
        <v>-0.69330640887342776</v>
      </c>
      <c r="O281">
        <v>-0.4543847726536191</v>
      </c>
    </row>
    <row r="282" spans="1:15" x14ac:dyDescent="0.25">
      <c r="A282">
        <v>291.07878875</v>
      </c>
      <c r="B282">
        <v>117.84655925</v>
      </c>
      <c r="C282">
        <v>-151.31506350000001</v>
      </c>
      <c r="D282">
        <v>31.023099500000001</v>
      </c>
      <c r="E282">
        <v>178.81999225000001</v>
      </c>
      <c r="F282">
        <v>5.8472169999999997</v>
      </c>
      <c r="G282">
        <v>295.07135</v>
      </c>
      <c r="H282">
        <v>4</v>
      </c>
      <c r="I282">
        <v>-28</v>
      </c>
      <c r="J282">
        <v>1.18</v>
      </c>
      <c r="K282">
        <v>22.140685000000001</v>
      </c>
      <c r="L282">
        <v>1.8512882673733839</v>
      </c>
      <c r="M282">
        <v>0.36333356897864238</v>
      </c>
      <c r="N282">
        <v>-0.48648940467611468</v>
      </c>
      <c r="O282">
        <v>-0.27616006524248182</v>
      </c>
    </row>
    <row r="283" spans="1:15" x14ac:dyDescent="0.25">
      <c r="A283">
        <v>269.82002249999999</v>
      </c>
      <c r="B283">
        <v>138.24122249999999</v>
      </c>
      <c r="C283">
        <v>-102.4557305</v>
      </c>
      <c r="D283">
        <v>59.154221749999998</v>
      </c>
      <c r="E283">
        <v>206.49238224999999</v>
      </c>
      <c r="F283">
        <v>5.7010375</v>
      </c>
      <c r="G283">
        <v>280.03112049999999</v>
      </c>
      <c r="H283">
        <v>4</v>
      </c>
      <c r="I283">
        <v>-24</v>
      </c>
      <c r="J283">
        <v>1.18</v>
      </c>
      <c r="K283">
        <v>21.563060499999999</v>
      </c>
      <c r="L283">
        <v>1.6317654446402909</v>
      </c>
      <c r="M283">
        <v>0.34663865186402532</v>
      </c>
      <c r="N283">
        <v>-0.32233193479592459</v>
      </c>
      <c r="O283">
        <v>-0.1198778535616016</v>
      </c>
    </row>
    <row r="284" spans="1:15" x14ac:dyDescent="0.25">
      <c r="A284">
        <v>246.07875824999999</v>
      </c>
      <c r="B284">
        <v>149.40057375000001</v>
      </c>
      <c r="C284">
        <v>-58.965053500000003</v>
      </c>
      <c r="D284">
        <v>78.346480999999997</v>
      </c>
      <c r="E284">
        <v>221.11091625</v>
      </c>
      <c r="F284">
        <v>5.5061292499999999</v>
      </c>
      <c r="G284">
        <v>263.69525924999999</v>
      </c>
      <c r="H284">
        <v>4</v>
      </c>
      <c r="I284">
        <v>-20</v>
      </c>
      <c r="J284">
        <v>1.18</v>
      </c>
      <c r="K284">
        <v>20.919080749999999</v>
      </c>
      <c r="L284">
        <v>1.4428489682914689</v>
      </c>
      <c r="M284">
        <v>0.33608489191369201</v>
      </c>
      <c r="N284">
        <v>-0.20144041657777659</v>
      </c>
      <c r="O284">
        <v>1.9799725999455821E-2</v>
      </c>
    </row>
    <row r="285" spans="1:15" x14ac:dyDescent="0.25">
      <c r="A285">
        <v>240.61736675</v>
      </c>
      <c r="B285">
        <v>165.75478375</v>
      </c>
      <c r="C285">
        <v>-24.407112000000001</v>
      </c>
      <c r="D285">
        <v>94.427665500000003</v>
      </c>
      <c r="E285">
        <v>245.29631424999999</v>
      </c>
      <c r="F285">
        <v>5.5061315000000004</v>
      </c>
      <c r="G285">
        <v>270.73886874999999</v>
      </c>
      <c r="H285">
        <v>4</v>
      </c>
      <c r="I285">
        <v>-16</v>
      </c>
      <c r="J285">
        <v>1.18</v>
      </c>
      <c r="K285">
        <v>21.202506</v>
      </c>
      <c r="L285">
        <v>1.2603172017675339</v>
      </c>
      <c r="M285">
        <v>0.33918239820701129</v>
      </c>
      <c r="N285">
        <v>-0.1209951455475639</v>
      </c>
      <c r="O285">
        <v>0.14030201185784261</v>
      </c>
    </row>
    <row r="286" spans="1:15" x14ac:dyDescent="0.25">
      <c r="A286">
        <v>240.25624475000001</v>
      </c>
      <c r="B286">
        <v>185.57224274999999</v>
      </c>
      <c r="C286">
        <v>15.58090975</v>
      </c>
      <c r="D286">
        <v>109.06286249999999</v>
      </c>
      <c r="E286">
        <v>276.09806049999997</v>
      </c>
      <c r="F286">
        <v>5.8959434999999996</v>
      </c>
      <c r="G286">
        <v>290.21199050000001</v>
      </c>
      <c r="H286">
        <v>4</v>
      </c>
      <c r="I286">
        <v>-12</v>
      </c>
      <c r="J286">
        <v>1.18</v>
      </c>
      <c r="K286">
        <v>21.95201475</v>
      </c>
      <c r="L286">
        <v>1.0509758955538451</v>
      </c>
      <c r="M286">
        <v>0.35789758472803962</v>
      </c>
      <c r="N286">
        <v>-6.6023931987895759E-2</v>
      </c>
      <c r="O286">
        <v>0.26394945765760269</v>
      </c>
    </row>
    <row r="287" spans="1:15" x14ac:dyDescent="0.25">
      <c r="A287">
        <v>230.85305399999999</v>
      </c>
      <c r="B287">
        <v>199.66572174999999</v>
      </c>
      <c r="C287">
        <v>62.188220000000001</v>
      </c>
      <c r="D287">
        <v>113.576103</v>
      </c>
      <c r="E287">
        <v>298.36113775000001</v>
      </c>
      <c r="F287">
        <v>6.4319354999999998</v>
      </c>
      <c r="G287">
        <v>305.16109475000002</v>
      </c>
      <c r="H287">
        <v>4</v>
      </c>
      <c r="I287">
        <v>-8</v>
      </c>
      <c r="J287">
        <v>1.18</v>
      </c>
      <c r="K287">
        <v>22.501556999999998</v>
      </c>
      <c r="L287">
        <v>0.80133667168222533</v>
      </c>
      <c r="M287">
        <v>0.40902037061421498</v>
      </c>
      <c r="N287">
        <v>-3.2308280818679792E-2</v>
      </c>
      <c r="O287">
        <v>0.38697330098322591</v>
      </c>
    </row>
    <row r="288" spans="1:15" x14ac:dyDescent="0.25">
      <c r="A288">
        <v>215.62641149999999</v>
      </c>
      <c r="B288">
        <v>213.66300200000001</v>
      </c>
      <c r="C288">
        <v>108.16326725</v>
      </c>
      <c r="D288">
        <v>109.3257655</v>
      </c>
      <c r="E288">
        <v>316.82431050000002</v>
      </c>
      <c r="F288">
        <v>6.62683775</v>
      </c>
      <c r="G288">
        <v>320.1056595</v>
      </c>
      <c r="H288">
        <v>4</v>
      </c>
      <c r="I288">
        <v>-4</v>
      </c>
      <c r="J288">
        <v>1.18</v>
      </c>
      <c r="K288">
        <v>23.050366749999998</v>
      </c>
      <c r="L288">
        <v>0.5165148089496886</v>
      </c>
      <c r="M288">
        <v>0.50133912955800897</v>
      </c>
      <c r="N288">
        <v>-1.5801879092042399E-2</v>
      </c>
      <c r="O288">
        <v>0.49081994854248939</v>
      </c>
    </row>
    <row r="289" spans="1:15" x14ac:dyDescent="0.25">
      <c r="A289">
        <v>192.27721775000001</v>
      </c>
      <c r="B289">
        <v>221.743908</v>
      </c>
      <c r="C289">
        <v>156.84803425000001</v>
      </c>
      <c r="D289">
        <v>111.5166645</v>
      </c>
      <c r="E289">
        <v>332.78398924999999</v>
      </c>
      <c r="F289">
        <v>6.9192032499999998</v>
      </c>
      <c r="G289">
        <v>334.37150574999998</v>
      </c>
      <c r="H289">
        <v>4</v>
      </c>
      <c r="I289">
        <v>0</v>
      </c>
      <c r="J289">
        <v>1.18</v>
      </c>
      <c r="K289">
        <v>23.558513999999999</v>
      </c>
      <c r="L289">
        <v>0.17838006296159309</v>
      </c>
      <c r="M289">
        <v>0.5549760469752818</v>
      </c>
      <c r="N289">
        <v>-8.0390744893086979E-3</v>
      </c>
      <c r="O289">
        <v>0.64088607298233258</v>
      </c>
    </row>
    <row r="290" spans="1:15" x14ac:dyDescent="0.25">
      <c r="A290">
        <v>150.62704099999999</v>
      </c>
      <c r="B290">
        <v>214.19211200000001</v>
      </c>
      <c r="C290">
        <v>192.39062525</v>
      </c>
      <c r="D290">
        <v>109.6763115</v>
      </c>
      <c r="E290">
        <v>325.76530474999998</v>
      </c>
      <c r="F290">
        <v>6.8704765000000014</v>
      </c>
      <c r="G290">
        <v>326.56751250000002</v>
      </c>
      <c r="H290">
        <v>4</v>
      </c>
      <c r="I290">
        <v>4</v>
      </c>
      <c r="J290">
        <v>1.18</v>
      </c>
      <c r="K290">
        <v>23.277831750000001</v>
      </c>
      <c r="L290">
        <v>-0.2134954109272918</v>
      </c>
      <c r="M290">
        <v>0.53430504792732458</v>
      </c>
      <c r="N290">
        <v>-4.1022460930125416E-3</v>
      </c>
      <c r="O290">
        <v>0.63022746361563631</v>
      </c>
    </row>
    <row r="291" spans="1:15" x14ac:dyDescent="0.25">
      <c r="A291">
        <v>99.575445250000001</v>
      </c>
      <c r="B291">
        <v>197.83790174999999</v>
      </c>
      <c r="C291">
        <v>210.4554785</v>
      </c>
      <c r="D291">
        <v>107.35396</v>
      </c>
      <c r="E291">
        <v>301.71400499999999</v>
      </c>
      <c r="F291">
        <v>6.2370277500000002</v>
      </c>
      <c r="G291">
        <v>303.35559849999999</v>
      </c>
      <c r="H291">
        <v>4</v>
      </c>
      <c r="I291">
        <v>8</v>
      </c>
      <c r="J291">
        <v>1.18</v>
      </c>
      <c r="K291">
        <v>22.440811</v>
      </c>
      <c r="L291">
        <v>-0.55925882412930172</v>
      </c>
      <c r="M291">
        <v>0.45641309064283248</v>
      </c>
      <c r="N291">
        <v>-8.2988305374786814E-3</v>
      </c>
      <c r="O291">
        <v>0.4904745843383484</v>
      </c>
    </row>
    <row r="292" spans="1:15" x14ac:dyDescent="0.25">
      <c r="A292">
        <v>53.440384000000002</v>
      </c>
      <c r="B292">
        <v>180.7621805</v>
      </c>
      <c r="C292">
        <v>221.29439124999999</v>
      </c>
      <c r="D292">
        <v>107.52923</v>
      </c>
      <c r="E292">
        <v>275.38277425000001</v>
      </c>
      <c r="F292">
        <v>5.9933967499999996</v>
      </c>
      <c r="G292">
        <v>282.43212125000002</v>
      </c>
      <c r="H292">
        <v>4</v>
      </c>
      <c r="I292">
        <v>12</v>
      </c>
      <c r="J292">
        <v>1.18</v>
      </c>
      <c r="K292">
        <v>21.645771499999999</v>
      </c>
      <c r="L292">
        <v>-0.86122360465990511</v>
      </c>
      <c r="M292">
        <v>0.37576239459254368</v>
      </c>
      <c r="N292">
        <v>-3.617296005059463E-2</v>
      </c>
      <c r="O292">
        <v>0.38221101643964722</v>
      </c>
    </row>
    <row r="293" spans="1:15" x14ac:dyDescent="0.25">
      <c r="A293">
        <v>12.09625625</v>
      </c>
      <c r="B293">
        <v>166.71679674999999</v>
      </c>
      <c r="C293">
        <v>228.7461395</v>
      </c>
      <c r="D293">
        <v>99.160007500000006</v>
      </c>
      <c r="E293">
        <v>253.25379924999999</v>
      </c>
      <c r="F293">
        <v>5.4086759999999998</v>
      </c>
      <c r="G293">
        <v>267.42615499999999</v>
      </c>
      <c r="H293">
        <v>4</v>
      </c>
      <c r="I293">
        <v>16</v>
      </c>
      <c r="J293">
        <v>1.18</v>
      </c>
      <c r="K293">
        <v>21.073611</v>
      </c>
      <c r="L293">
        <v>-1.0962734290117211</v>
      </c>
      <c r="M293">
        <v>0.34183740506994198</v>
      </c>
      <c r="N293">
        <v>-7.1722735465565457E-2</v>
      </c>
      <c r="O293">
        <v>0.2541127708620845</v>
      </c>
    </row>
    <row r="294" spans="1:15" x14ac:dyDescent="0.25">
      <c r="A294">
        <v>-26.89308325</v>
      </c>
      <c r="B294">
        <v>164.5041655</v>
      </c>
      <c r="C294">
        <v>252.95302574999999</v>
      </c>
      <c r="D294">
        <v>101.35090049999999</v>
      </c>
      <c r="E294">
        <v>248.15744375</v>
      </c>
      <c r="F294">
        <v>5.9933967499999996</v>
      </c>
      <c r="G294">
        <v>278.80689999999998</v>
      </c>
      <c r="H294">
        <v>4</v>
      </c>
      <c r="I294">
        <v>20</v>
      </c>
      <c r="J294">
        <v>1.18</v>
      </c>
      <c r="K294">
        <v>21.503361000000002</v>
      </c>
      <c r="L294">
        <v>-1.326740384073293</v>
      </c>
      <c r="M294">
        <v>0.29938639341952411</v>
      </c>
      <c r="N294">
        <v>-0.1453021692430716</v>
      </c>
      <c r="O294">
        <v>0.14809190739328859</v>
      </c>
    </row>
    <row r="295" spans="1:15" x14ac:dyDescent="0.25">
      <c r="A295">
        <v>-69.728149500000001</v>
      </c>
      <c r="B295">
        <v>160.078903</v>
      </c>
      <c r="C295">
        <v>280.72772950000001</v>
      </c>
      <c r="D295">
        <v>90.002054000000001</v>
      </c>
      <c r="E295">
        <v>243.50810999999999</v>
      </c>
      <c r="F295">
        <v>6.2370277500000002</v>
      </c>
      <c r="G295">
        <v>296.55768575000002</v>
      </c>
      <c r="H295">
        <v>4</v>
      </c>
      <c r="I295">
        <v>24</v>
      </c>
      <c r="J295">
        <v>1.18</v>
      </c>
      <c r="K295">
        <v>22.182605500000001</v>
      </c>
      <c r="L295">
        <v>-1.501709931594903</v>
      </c>
      <c r="M295">
        <v>0.30028586308715982</v>
      </c>
      <c r="N295">
        <v>-0.22732176351993449</v>
      </c>
      <c r="O295">
        <v>1.6711650874455988E-2</v>
      </c>
    </row>
    <row r="296" spans="1:15" x14ac:dyDescent="0.25">
      <c r="A296">
        <v>-114.90729325</v>
      </c>
      <c r="B296">
        <v>148.43856049999999</v>
      </c>
      <c r="C296">
        <v>303.26364150000001</v>
      </c>
      <c r="D296">
        <v>66.734724</v>
      </c>
      <c r="E296">
        <v>226.25197600000001</v>
      </c>
      <c r="F296">
        <v>6.2370295000000002</v>
      </c>
      <c r="G296">
        <v>313.02236950000002</v>
      </c>
      <c r="H296">
        <v>4</v>
      </c>
      <c r="I296">
        <v>28</v>
      </c>
      <c r="J296">
        <v>1.18</v>
      </c>
      <c r="K296">
        <v>22.80295675</v>
      </c>
      <c r="L296">
        <v>-1.67044813796478</v>
      </c>
      <c r="M296">
        <v>0.32635890157198272</v>
      </c>
      <c r="N296">
        <v>-0.34662249524956268</v>
      </c>
      <c r="O296">
        <v>-0.121125954036547</v>
      </c>
    </row>
    <row r="297" spans="1:15" x14ac:dyDescent="0.25">
      <c r="A297">
        <v>-166.84306699999999</v>
      </c>
      <c r="B297">
        <v>126.119871</v>
      </c>
      <c r="C297">
        <v>324.26401499999997</v>
      </c>
      <c r="D297">
        <v>32.994905000000003</v>
      </c>
      <c r="E297">
        <v>196.61257549999999</v>
      </c>
      <c r="F297">
        <v>6.8704704999999997</v>
      </c>
      <c r="G297">
        <v>328.86962899999997</v>
      </c>
      <c r="H297">
        <v>4</v>
      </c>
      <c r="I297">
        <v>32</v>
      </c>
      <c r="J297">
        <v>1.18</v>
      </c>
      <c r="K297">
        <v>23.361526999999999</v>
      </c>
      <c r="L297">
        <v>-1.8635115994957889</v>
      </c>
      <c r="M297">
        <v>0.35338549252626339</v>
      </c>
      <c r="N297">
        <v>-0.50186255335630547</v>
      </c>
      <c r="O297">
        <v>-0.28001842805108901</v>
      </c>
    </row>
    <row r="298" spans="1:15" x14ac:dyDescent="0.25">
      <c r="A298">
        <v>-219.31934375</v>
      </c>
      <c r="B298">
        <v>96.297479499999994</v>
      </c>
      <c r="C298">
        <v>337.58685300000002</v>
      </c>
      <c r="D298">
        <v>-9.6591930000000001</v>
      </c>
      <c r="E298">
        <v>152.44404625000001</v>
      </c>
      <c r="F298">
        <v>6.9192030000000004</v>
      </c>
      <c r="G298">
        <v>340.03467549999999</v>
      </c>
      <c r="H298">
        <v>4</v>
      </c>
      <c r="I298">
        <v>36</v>
      </c>
      <c r="J298">
        <v>1.18</v>
      </c>
      <c r="K298">
        <v>23.761356249999999</v>
      </c>
      <c r="L298">
        <v>-2.0863712645626169</v>
      </c>
      <c r="M298">
        <v>0.39690046333258577</v>
      </c>
      <c r="N298">
        <v>-0.70278553019232382</v>
      </c>
      <c r="O298">
        <v>-0.45482671596733698</v>
      </c>
    </row>
    <row r="299" spans="1:15" x14ac:dyDescent="0.25">
      <c r="A299">
        <v>-242.92241275000001</v>
      </c>
      <c r="B299">
        <v>51.034793000000001</v>
      </c>
      <c r="C299">
        <v>312.11541</v>
      </c>
      <c r="D299">
        <v>-52.185870250000001</v>
      </c>
      <c r="E299">
        <v>83.419536499999992</v>
      </c>
      <c r="F299">
        <v>6.6755684999999998</v>
      </c>
      <c r="G299">
        <v>312.90225225</v>
      </c>
      <c r="H299">
        <v>4</v>
      </c>
      <c r="I299">
        <v>40</v>
      </c>
      <c r="J299">
        <v>1.18</v>
      </c>
      <c r="K299">
        <v>22.782173499999999</v>
      </c>
      <c r="L299">
        <v>-2.4030992706281928</v>
      </c>
      <c r="M299">
        <v>0.44688627388434299</v>
      </c>
      <c r="N299">
        <v>-0.9936122856731967</v>
      </c>
      <c r="O299">
        <v>-0.66775743938190768</v>
      </c>
    </row>
    <row r="300" spans="1:15" x14ac:dyDescent="0.25">
      <c r="A300">
        <v>-261.25532525</v>
      </c>
      <c r="B300">
        <v>10.004960499999999</v>
      </c>
      <c r="C300">
        <v>290.66340650000001</v>
      </c>
      <c r="D300">
        <v>-92.570914999999999</v>
      </c>
      <c r="E300">
        <v>19.938447750000002</v>
      </c>
      <c r="F300">
        <v>5.9446724999999994</v>
      </c>
      <c r="G300">
        <v>291.22937775000003</v>
      </c>
      <c r="H300">
        <v>4</v>
      </c>
      <c r="I300">
        <v>44</v>
      </c>
      <c r="J300">
        <v>1.18</v>
      </c>
      <c r="K300">
        <v>21.98937025</v>
      </c>
      <c r="L300">
        <v>-2.8037749177676452</v>
      </c>
      <c r="M300">
        <v>0.52110421406931806</v>
      </c>
      <c r="N300">
        <v>-1.37820810323496</v>
      </c>
      <c r="O300">
        <v>-0.92892992736666979</v>
      </c>
    </row>
    <row r="301" spans="1:15" x14ac:dyDescent="0.25">
      <c r="A301">
        <v>263.57412725</v>
      </c>
      <c r="B301">
        <v>16.017537999999998</v>
      </c>
      <c r="C301">
        <v>-271.68137324999998</v>
      </c>
      <c r="D301">
        <v>-164.24999625000001</v>
      </c>
      <c r="E301">
        <v>-35.591448999999997</v>
      </c>
      <c r="F301">
        <v>5.55485775</v>
      </c>
      <c r="G301">
        <v>269.61136599999998</v>
      </c>
      <c r="H301">
        <v>8</v>
      </c>
      <c r="I301">
        <v>-44</v>
      </c>
      <c r="J301">
        <v>1.18</v>
      </c>
      <c r="K301">
        <v>21.15544775</v>
      </c>
      <c r="L301">
        <v>2.9349656348740778</v>
      </c>
      <c r="M301">
        <v>0.98848656064566187</v>
      </c>
      <c r="N301">
        <v>-1.6735574691394219</v>
      </c>
      <c r="O301">
        <v>-1.2256433616659621</v>
      </c>
    </row>
    <row r="302" spans="1:15" x14ac:dyDescent="0.25">
      <c r="A302">
        <v>271.62544274999999</v>
      </c>
      <c r="B302">
        <v>50.842390250000001</v>
      </c>
      <c r="C302">
        <v>-249.07886124999999</v>
      </c>
      <c r="D302">
        <v>-125.65693475</v>
      </c>
      <c r="E302">
        <v>21.190187999999999</v>
      </c>
      <c r="F302">
        <v>5.7984884999999986</v>
      </c>
      <c r="G302">
        <v>275.16524500000003</v>
      </c>
      <c r="H302">
        <v>8</v>
      </c>
      <c r="I302">
        <v>-40</v>
      </c>
      <c r="J302">
        <v>1.18</v>
      </c>
      <c r="K302">
        <v>21.367082750000002</v>
      </c>
      <c r="L302">
        <v>2.4966854433255632</v>
      </c>
      <c r="M302">
        <v>0.84628842233228385</v>
      </c>
      <c r="N302">
        <v>-1.2177646131528881</v>
      </c>
      <c r="O302">
        <v>-0.92619944394905251</v>
      </c>
    </row>
    <row r="303" spans="1:15" x14ac:dyDescent="0.25">
      <c r="A303">
        <v>289.34489424999998</v>
      </c>
      <c r="B303">
        <v>89.659593749999999</v>
      </c>
      <c r="C303">
        <v>-231.16828150000001</v>
      </c>
      <c r="D303">
        <v>-87.36981025</v>
      </c>
      <c r="E303">
        <v>77.920823999999996</v>
      </c>
      <c r="F303">
        <v>6.2370320000000001</v>
      </c>
      <c r="G303">
        <v>293.11033624999999</v>
      </c>
      <c r="H303">
        <v>8</v>
      </c>
      <c r="I303">
        <v>-36</v>
      </c>
      <c r="J303">
        <v>1.18</v>
      </c>
      <c r="K303">
        <v>22.050519000000001</v>
      </c>
      <c r="L303">
        <v>2.1944833261673731</v>
      </c>
      <c r="M303">
        <v>0.74635147413565361</v>
      </c>
      <c r="N303">
        <v>-0.90723786524897077</v>
      </c>
      <c r="O303">
        <v>-0.69776582208506921</v>
      </c>
    </row>
    <row r="304" spans="1:15" x14ac:dyDescent="0.25">
      <c r="A304">
        <v>305.27657325000001</v>
      </c>
      <c r="B304">
        <v>129.24640625000001</v>
      </c>
      <c r="C304">
        <v>-204.23474525</v>
      </c>
      <c r="D304">
        <v>-45.979510500000004</v>
      </c>
      <c r="E304">
        <v>133.93617599999999</v>
      </c>
      <c r="F304">
        <v>6.5293865000000002</v>
      </c>
      <c r="G304">
        <v>310.14103725000001</v>
      </c>
      <c r="H304">
        <v>8</v>
      </c>
      <c r="I304">
        <v>-32</v>
      </c>
      <c r="J304">
        <v>1.18</v>
      </c>
      <c r="K304">
        <v>22.68470275</v>
      </c>
      <c r="L304">
        <v>1.966933217688231</v>
      </c>
      <c r="M304">
        <v>0.67643176778338676</v>
      </c>
      <c r="N304">
        <v>-0.68023452500337711</v>
      </c>
      <c r="O304">
        <v>-0.50816450783599765</v>
      </c>
    </row>
    <row r="305" spans="1:15" x14ac:dyDescent="0.25">
      <c r="A305">
        <v>316.58029175000001</v>
      </c>
      <c r="B305">
        <v>166.47629574999999</v>
      </c>
      <c r="C305">
        <v>-168.729389</v>
      </c>
      <c r="D305">
        <v>-3.75878025</v>
      </c>
      <c r="E305">
        <v>190.6221085</v>
      </c>
      <c r="F305">
        <v>6.9191989999999999</v>
      </c>
      <c r="G305">
        <v>326.00720999999999</v>
      </c>
      <c r="H305">
        <v>8</v>
      </c>
      <c r="I305">
        <v>-28</v>
      </c>
      <c r="J305">
        <v>1.18</v>
      </c>
      <c r="K305">
        <v>23.255682</v>
      </c>
      <c r="L305">
        <v>1.7528696114428211</v>
      </c>
      <c r="M305">
        <v>0.61486689053495103</v>
      </c>
      <c r="N305">
        <v>-0.48899120750979641</v>
      </c>
      <c r="O305">
        <v>-0.33649257272354371</v>
      </c>
    </row>
    <row r="306" spans="1:15" x14ac:dyDescent="0.25">
      <c r="A306">
        <v>322.24633025000003</v>
      </c>
      <c r="B306">
        <v>196.63538725000001</v>
      </c>
      <c r="C306">
        <v>-127.900486</v>
      </c>
      <c r="D306">
        <v>32.688181</v>
      </c>
      <c r="E306">
        <v>238.45645525</v>
      </c>
      <c r="F306">
        <v>7.1628317499999996</v>
      </c>
      <c r="G306">
        <v>338.4135665</v>
      </c>
      <c r="H306">
        <v>8</v>
      </c>
      <c r="I306">
        <v>-24</v>
      </c>
      <c r="J306">
        <v>1.18</v>
      </c>
      <c r="K306">
        <v>23.694754750000001</v>
      </c>
      <c r="L306">
        <v>1.57359898598324</v>
      </c>
      <c r="M306">
        <v>0.57311813543445111</v>
      </c>
      <c r="N306">
        <v>-0.34943672370424111</v>
      </c>
      <c r="O306">
        <v>-0.1914610313336248</v>
      </c>
    </row>
    <row r="307" spans="1:15" x14ac:dyDescent="0.25">
      <c r="A307">
        <v>292.82009900000003</v>
      </c>
      <c r="B307">
        <v>207.55422225000001</v>
      </c>
      <c r="C307">
        <v>-71.281396999999998</v>
      </c>
      <c r="D307">
        <v>59.11040225</v>
      </c>
      <c r="E307">
        <v>255.7125815</v>
      </c>
      <c r="F307">
        <v>6.8217439999999998</v>
      </c>
      <c r="G307">
        <v>317.64605699999998</v>
      </c>
      <c r="H307">
        <v>8</v>
      </c>
      <c r="I307">
        <v>-20</v>
      </c>
      <c r="J307">
        <v>1.18</v>
      </c>
      <c r="K307">
        <v>22.952555749999998</v>
      </c>
      <c r="L307">
        <v>1.390783091678037</v>
      </c>
      <c r="M307">
        <v>0.56703043359771521</v>
      </c>
      <c r="N307">
        <v>-0.23657738703745509</v>
      </c>
      <c r="O307">
        <v>-4.930764468991003E-2</v>
      </c>
    </row>
    <row r="308" spans="1:15" x14ac:dyDescent="0.25">
      <c r="A308">
        <v>257.57152574999998</v>
      </c>
      <c r="B308">
        <v>206.25550799999999</v>
      </c>
      <c r="C308">
        <v>-20.527238000000001</v>
      </c>
      <c r="D308">
        <v>68.487440499999991</v>
      </c>
      <c r="E308">
        <v>258.70781675000001</v>
      </c>
      <c r="F308">
        <v>6.0908499999999997</v>
      </c>
      <c r="G308">
        <v>294.83706649999999</v>
      </c>
      <c r="H308">
        <v>8</v>
      </c>
      <c r="I308">
        <v>-16</v>
      </c>
      <c r="J308">
        <v>1.18</v>
      </c>
      <c r="K308">
        <v>22.12237125</v>
      </c>
      <c r="L308">
        <v>1.1847948479269741</v>
      </c>
      <c r="M308">
        <v>0.58691739640941909</v>
      </c>
      <c r="N308">
        <v>-0.15393343738093451</v>
      </c>
      <c r="O308">
        <v>7.6232849603532007E-2</v>
      </c>
    </row>
    <row r="309" spans="1:15" x14ac:dyDescent="0.25">
      <c r="A309">
        <v>225.61753100000001</v>
      </c>
      <c r="B309">
        <v>202.84036624999999</v>
      </c>
      <c r="C309">
        <v>23.981064750000002</v>
      </c>
      <c r="D309">
        <v>73.000690250000005</v>
      </c>
      <c r="E309">
        <v>258.35015850000002</v>
      </c>
      <c r="F309">
        <v>5.8959414999999993</v>
      </c>
      <c r="G309">
        <v>278.37435149999999</v>
      </c>
      <c r="H309">
        <v>8</v>
      </c>
      <c r="I309">
        <v>-12</v>
      </c>
      <c r="J309">
        <v>1.18</v>
      </c>
      <c r="K309">
        <v>21.49015825</v>
      </c>
      <c r="L309">
        <v>0.96081966712836975</v>
      </c>
      <c r="M309">
        <v>0.61870535773101043</v>
      </c>
      <c r="N309">
        <v>-9.5424239938668748E-2</v>
      </c>
      <c r="O309">
        <v>0.20296967870983609</v>
      </c>
    </row>
    <row r="310" spans="1:15" x14ac:dyDescent="0.25">
      <c r="A310">
        <v>196.08803175</v>
      </c>
      <c r="B310">
        <v>199.32901749999999</v>
      </c>
      <c r="C310">
        <v>61.194654249999999</v>
      </c>
      <c r="D310">
        <v>61.914751250000002</v>
      </c>
      <c r="E310">
        <v>253.47732925</v>
      </c>
      <c r="F310">
        <v>5.4086780000000001</v>
      </c>
      <c r="G310">
        <v>264.68042000000003</v>
      </c>
      <c r="H310">
        <v>8</v>
      </c>
      <c r="I310">
        <v>-8</v>
      </c>
      <c r="J310">
        <v>1.18</v>
      </c>
      <c r="K310">
        <v>20.962897000000002</v>
      </c>
      <c r="L310">
        <v>0.70286304611100958</v>
      </c>
      <c r="M310">
        <v>0.71600312276367095</v>
      </c>
      <c r="N310">
        <v>-5.8402192843761851E-2</v>
      </c>
      <c r="O310">
        <v>0.29255277911318578</v>
      </c>
    </row>
    <row r="311" spans="1:15" x14ac:dyDescent="0.25">
      <c r="A311">
        <v>185.39223849999999</v>
      </c>
      <c r="B311">
        <v>214.72121774999999</v>
      </c>
      <c r="C311">
        <v>102.2470265</v>
      </c>
      <c r="D311">
        <v>57.313862999999998</v>
      </c>
      <c r="E311">
        <v>274.935722</v>
      </c>
      <c r="F311">
        <v>6.0421232500000004</v>
      </c>
      <c r="G311">
        <v>280.67146300000002</v>
      </c>
      <c r="H311">
        <v>8</v>
      </c>
      <c r="I311">
        <v>-4</v>
      </c>
      <c r="J311">
        <v>1.18</v>
      </c>
      <c r="K311">
        <v>21.574810750000001</v>
      </c>
      <c r="L311">
        <v>0.42604023710681321</v>
      </c>
      <c r="M311">
        <v>0.80660312227394604</v>
      </c>
      <c r="N311">
        <v>-2.939879287529866E-2</v>
      </c>
      <c r="O311">
        <v>0.37784368012680403</v>
      </c>
    </row>
    <row r="312" spans="1:15" x14ac:dyDescent="0.25">
      <c r="A312">
        <v>172.46266925</v>
      </c>
      <c r="B312">
        <v>230.20961775000001</v>
      </c>
      <c r="C312">
        <v>142.80260849999999</v>
      </c>
      <c r="D312">
        <v>59.198038500000003</v>
      </c>
      <c r="E312">
        <v>296.26000225000001</v>
      </c>
      <c r="F312">
        <v>6.1395747500000004</v>
      </c>
      <c r="G312">
        <v>299.53631575000003</v>
      </c>
      <c r="H312">
        <v>8</v>
      </c>
      <c r="I312">
        <v>0</v>
      </c>
      <c r="J312">
        <v>1.18</v>
      </c>
      <c r="K312">
        <v>22.299814999999999</v>
      </c>
      <c r="L312">
        <v>0.15194038687962161</v>
      </c>
      <c r="M312">
        <v>0.87581329089158511</v>
      </c>
      <c r="N312">
        <v>-1.6812690964592359E-2</v>
      </c>
      <c r="O312">
        <v>0.48582567006212157</v>
      </c>
    </row>
    <row r="313" spans="1:15" x14ac:dyDescent="0.25">
      <c r="A313">
        <v>149.71443174999999</v>
      </c>
      <c r="B313">
        <v>242.28288649999999</v>
      </c>
      <c r="C313">
        <v>186.20341500000001</v>
      </c>
      <c r="D313">
        <v>61.651841500000003</v>
      </c>
      <c r="E313">
        <v>314.18670674999998</v>
      </c>
      <c r="F313">
        <v>6.48066225</v>
      </c>
      <c r="G313">
        <v>316.68243374999997</v>
      </c>
      <c r="H313">
        <v>8</v>
      </c>
      <c r="I313">
        <v>4</v>
      </c>
      <c r="J313">
        <v>1.18</v>
      </c>
      <c r="K313">
        <v>22.92957075</v>
      </c>
      <c r="L313">
        <v>-0.17499418443766929</v>
      </c>
      <c r="M313">
        <v>0.86634012971905938</v>
      </c>
      <c r="N313">
        <v>-1.198356393467212E-2</v>
      </c>
      <c r="O313">
        <v>0.47579048516688549</v>
      </c>
    </row>
    <row r="314" spans="1:15" x14ac:dyDescent="0.25">
      <c r="A314">
        <v>120.15077574999999</v>
      </c>
      <c r="B314">
        <v>249.78658275000001</v>
      </c>
      <c r="C314">
        <v>225.22348775</v>
      </c>
      <c r="D314">
        <v>70.283977500000006</v>
      </c>
      <c r="E314">
        <v>323.03829975000002</v>
      </c>
      <c r="F314">
        <v>6.82175025</v>
      </c>
      <c r="G314">
        <v>329.76914225000002</v>
      </c>
      <c r="H314">
        <v>8</v>
      </c>
      <c r="I314">
        <v>8</v>
      </c>
      <c r="J314">
        <v>1.18</v>
      </c>
      <c r="K314">
        <v>23.395899</v>
      </c>
      <c r="L314">
        <v>-0.46120092977217381</v>
      </c>
      <c r="M314">
        <v>0.78790475460428133</v>
      </c>
      <c r="N314">
        <v>-2.954377492066507E-2</v>
      </c>
      <c r="O314">
        <v>0.38800578558790588</v>
      </c>
    </row>
    <row r="315" spans="1:15" x14ac:dyDescent="0.25">
      <c r="A315">
        <v>75.511682750000006</v>
      </c>
      <c r="B315">
        <v>248.39165499999999</v>
      </c>
      <c r="C315">
        <v>257.78537375000002</v>
      </c>
      <c r="D315">
        <v>84.524808999999991</v>
      </c>
      <c r="E315">
        <v>320.93716449999999</v>
      </c>
      <c r="F315">
        <v>6.9679322499999996</v>
      </c>
      <c r="G315">
        <v>334.93179325</v>
      </c>
      <c r="H315">
        <v>8</v>
      </c>
      <c r="I315">
        <v>12</v>
      </c>
      <c r="J315">
        <v>1.18</v>
      </c>
      <c r="K315">
        <v>23.576858999999999</v>
      </c>
      <c r="L315">
        <v>-0.75656217012537852</v>
      </c>
      <c r="M315">
        <v>0.6801822024122216</v>
      </c>
      <c r="N315">
        <v>-5.8121693550837572E-2</v>
      </c>
      <c r="O315">
        <v>0.30323124231296839</v>
      </c>
    </row>
    <row r="316" spans="1:15" x14ac:dyDescent="0.25">
      <c r="A316">
        <v>27.081264749999999</v>
      </c>
      <c r="B316">
        <v>222.65782175000001</v>
      </c>
      <c r="C316">
        <v>258.59830449999998</v>
      </c>
      <c r="D316">
        <v>79.222838999999993</v>
      </c>
      <c r="E316">
        <v>284.86023699999998</v>
      </c>
      <c r="F316">
        <v>6.4319375000000001</v>
      </c>
      <c r="G316">
        <v>308.5004275</v>
      </c>
      <c r="H316">
        <v>8</v>
      </c>
      <c r="I316">
        <v>16</v>
      </c>
      <c r="J316">
        <v>1.18</v>
      </c>
      <c r="K316">
        <v>22.626942750000001</v>
      </c>
      <c r="L316">
        <v>-0.99913741067780482</v>
      </c>
      <c r="M316">
        <v>0.6190738973730433</v>
      </c>
      <c r="N316">
        <v>-0.1020355852292881</v>
      </c>
      <c r="O316">
        <v>0.20164298881396139</v>
      </c>
    </row>
    <row r="317" spans="1:15" x14ac:dyDescent="0.25">
      <c r="A317">
        <v>-14.684352000000001</v>
      </c>
      <c r="B317">
        <v>197.74169900000001</v>
      </c>
      <c r="C317">
        <v>256.83698275</v>
      </c>
      <c r="D317">
        <v>69.582889499999993</v>
      </c>
      <c r="E317">
        <v>252.53852825000001</v>
      </c>
      <c r="F317">
        <v>5.8472210000000002</v>
      </c>
      <c r="G317">
        <v>288.17109675</v>
      </c>
      <c r="H317">
        <v>8</v>
      </c>
      <c r="I317">
        <v>20</v>
      </c>
      <c r="J317">
        <v>1.18</v>
      </c>
      <c r="K317">
        <v>21.874972499999998</v>
      </c>
      <c r="L317">
        <v>-1.2062817792310661</v>
      </c>
      <c r="M317">
        <v>0.56937101425865766</v>
      </c>
      <c r="N317">
        <v>-0.15830419858717651</v>
      </c>
      <c r="O317">
        <v>9.5971301793058142E-2</v>
      </c>
    </row>
    <row r="318" spans="1:15" x14ac:dyDescent="0.25">
      <c r="A318">
        <v>-54.278049500000002</v>
      </c>
      <c r="B318">
        <v>172.63317499999999</v>
      </c>
      <c r="C318">
        <v>253.54013850000001</v>
      </c>
      <c r="D318">
        <v>53.545521999999998</v>
      </c>
      <c r="E318">
        <v>218.65212600000001</v>
      </c>
      <c r="F318">
        <v>5.6523087500000004</v>
      </c>
      <c r="G318">
        <v>273.3243865</v>
      </c>
      <c r="H318">
        <v>8</v>
      </c>
      <c r="I318">
        <v>24</v>
      </c>
      <c r="J318">
        <v>1.18</v>
      </c>
      <c r="K318">
        <v>21.299784750000001</v>
      </c>
      <c r="L318">
        <v>-1.4054538074339951</v>
      </c>
      <c r="M318">
        <v>0.54372498057207985</v>
      </c>
      <c r="N318">
        <v>-0.24962662504205371</v>
      </c>
      <c r="O318">
        <v>-2.7473128463206781E-2</v>
      </c>
    </row>
    <row r="319" spans="1:15" x14ac:dyDescent="0.25">
      <c r="A319">
        <v>-91.259193500000009</v>
      </c>
      <c r="B319">
        <v>151.99800099999999</v>
      </c>
      <c r="C319">
        <v>257.10795224999998</v>
      </c>
      <c r="D319">
        <v>26.904212000000001</v>
      </c>
      <c r="E319">
        <v>189.99624249999999</v>
      </c>
      <c r="F319">
        <v>5.5548597500000003</v>
      </c>
      <c r="G319">
        <v>267.68183125000002</v>
      </c>
      <c r="H319">
        <v>8</v>
      </c>
      <c r="I319">
        <v>28</v>
      </c>
      <c r="J319">
        <v>1.18</v>
      </c>
      <c r="K319">
        <v>21.07797575</v>
      </c>
      <c r="L319">
        <v>-1.5679791601574851</v>
      </c>
      <c r="M319">
        <v>0.56307947244075729</v>
      </c>
      <c r="N319">
        <v>-0.34968213470067222</v>
      </c>
      <c r="O319">
        <v>-0.16982164242265341</v>
      </c>
    </row>
    <row r="320" spans="1:15" x14ac:dyDescent="0.25">
      <c r="A320">
        <v>-138.8256835</v>
      </c>
      <c r="B320">
        <v>141.8487705</v>
      </c>
      <c r="C320">
        <v>281.45032500000002</v>
      </c>
      <c r="D320">
        <v>-7.56126875</v>
      </c>
      <c r="E320">
        <v>169.74487675</v>
      </c>
      <c r="F320">
        <v>6.0421255</v>
      </c>
      <c r="G320">
        <v>288.22783674999999</v>
      </c>
      <c r="H320">
        <v>8</v>
      </c>
      <c r="I320">
        <v>32</v>
      </c>
      <c r="J320">
        <v>1.18</v>
      </c>
      <c r="K320">
        <v>21.869596000000001</v>
      </c>
      <c r="L320">
        <v>-1.7299661773111299</v>
      </c>
      <c r="M320">
        <v>0.61499428218084506</v>
      </c>
      <c r="N320">
        <v>-0.48771409990374159</v>
      </c>
      <c r="O320">
        <v>-0.32613406925003963</v>
      </c>
    </row>
    <row r="321" spans="1:15" x14ac:dyDescent="0.25">
      <c r="A321">
        <v>-192.51816550000001</v>
      </c>
      <c r="B321">
        <v>121.30980675000001</v>
      </c>
      <c r="C321">
        <v>301.86361699999998</v>
      </c>
      <c r="D321">
        <v>-52.0984555</v>
      </c>
      <c r="E321">
        <v>134.29381925000001</v>
      </c>
      <c r="F321">
        <v>6.3832132499999998</v>
      </c>
      <c r="G321">
        <v>306.81955725</v>
      </c>
      <c r="H321">
        <v>8</v>
      </c>
      <c r="I321">
        <v>36</v>
      </c>
      <c r="J321">
        <v>1.18</v>
      </c>
      <c r="K321">
        <v>22.565759</v>
      </c>
      <c r="L321">
        <v>-1.926661147011558</v>
      </c>
      <c r="M321">
        <v>0.67577564970451831</v>
      </c>
      <c r="N321">
        <v>-0.67236250524304397</v>
      </c>
      <c r="O321">
        <v>-0.50152289424898444</v>
      </c>
    </row>
    <row r="322" spans="1:15" x14ac:dyDescent="0.25">
      <c r="A322">
        <v>-245.17461</v>
      </c>
      <c r="B322">
        <v>93.507644749999997</v>
      </c>
      <c r="C322">
        <v>318.39295175000001</v>
      </c>
      <c r="D322">
        <v>-102.57976325</v>
      </c>
      <c r="E322">
        <v>85.118329750000001</v>
      </c>
      <c r="F322">
        <v>6.5781132499999986</v>
      </c>
      <c r="G322">
        <v>321.22610474999999</v>
      </c>
      <c r="H322">
        <v>8</v>
      </c>
      <c r="I322">
        <v>40</v>
      </c>
      <c r="J322">
        <v>1.18</v>
      </c>
      <c r="K322">
        <v>23.09332075</v>
      </c>
      <c r="L322">
        <v>-2.1760540299244209</v>
      </c>
      <c r="M322">
        <v>0.7570964697444742</v>
      </c>
      <c r="N322">
        <v>-0.91170944665930909</v>
      </c>
      <c r="O322">
        <v>-0.69677584780381829</v>
      </c>
    </row>
    <row r="323" spans="1:15" x14ac:dyDescent="0.25">
      <c r="A323">
        <v>-294.45278925000002</v>
      </c>
      <c r="B323">
        <v>56.951169999999998</v>
      </c>
      <c r="C323">
        <v>329.23185699999999</v>
      </c>
      <c r="D323">
        <v>-158.30588549999999</v>
      </c>
      <c r="E323">
        <v>22.486632499999999</v>
      </c>
      <c r="F323">
        <v>6.7242949999999997</v>
      </c>
      <c r="G323">
        <v>333.37235249999998</v>
      </c>
      <c r="H323">
        <v>8</v>
      </c>
      <c r="I323">
        <v>44</v>
      </c>
      <c r="J323">
        <v>1.18</v>
      </c>
      <c r="K323">
        <v>23.529558000000002</v>
      </c>
      <c r="L323">
        <v>-2.5061508790370399</v>
      </c>
      <c r="M323">
        <v>0.86494285969237417</v>
      </c>
      <c r="N323">
        <v>-1.2492417182245199</v>
      </c>
      <c r="O323">
        <v>-0.93667550729772364</v>
      </c>
    </row>
    <row r="324" spans="1:15" x14ac:dyDescent="0.25">
      <c r="A324">
        <v>300.94381700000002</v>
      </c>
      <c r="B324">
        <v>59.596705499999999</v>
      </c>
      <c r="C324">
        <v>-321.75881950000002</v>
      </c>
      <c r="D324">
        <v>-241.6983645</v>
      </c>
      <c r="E324">
        <v>-42.058570000000003</v>
      </c>
      <c r="F324">
        <v>6.1883005000000004</v>
      </c>
      <c r="G324">
        <v>316.08531199999999</v>
      </c>
      <c r="H324">
        <v>12</v>
      </c>
      <c r="I324">
        <v>-44</v>
      </c>
      <c r="J324">
        <v>1.18</v>
      </c>
      <c r="K324">
        <v>22.918288499999999</v>
      </c>
      <c r="L324">
        <v>2.5981616022384899</v>
      </c>
      <c r="M324">
        <v>1.257128576703411</v>
      </c>
      <c r="N324">
        <v>-1.4943255759522429</v>
      </c>
      <c r="O324">
        <v>-1.2013058316802081</v>
      </c>
    </row>
    <row r="325" spans="1:15" x14ac:dyDescent="0.25">
      <c r="A325">
        <v>282.02508525000002</v>
      </c>
      <c r="B325">
        <v>90.958309</v>
      </c>
      <c r="C325">
        <v>-265.41043100000002</v>
      </c>
      <c r="D325">
        <v>-179.285122</v>
      </c>
      <c r="E325">
        <v>21.72664825</v>
      </c>
      <c r="F325">
        <v>5.8472210000000002</v>
      </c>
      <c r="G325">
        <v>294.070831</v>
      </c>
      <c r="H325">
        <v>12</v>
      </c>
      <c r="I325">
        <v>-40</v>
      </c>
      <c r="J325">
        <v>1.18</v>
      </c>
      <c r="K325">
        <v>22.102341249999998</v>
      </c>
      <c r="L325">
        <v>2.242913324854154</v>
      </c>
      <c r="M325">
        <v>1.1072091239694539</v>
      </c>
      <c r="N325">
        <v>-1.115838195476291</v>
      </c>
      <c r="O325">
        <v>-0.93493587617339347</v>
      </c>
    </row>
    <row r="326" spans="1:15" x14ac:dyDescent="0.25">
      <c r="A326">
        <v>268.19531275000003</v>
      </c>
      <c r="B326">
        <v>116.78835075000001</v>
      </c>
      <c r="C326">
        <v>-218.17522025</v>
      </c>
      <c r="D326">
        <v>-124.782797</v>
      </c>
      <c r="E326">
        <v>70.857435499999994</v>
      </c>
      <c r="F326">
        <v>5.9933967499999996</v>
      </c>
      <c r="G326">
        <v>278.04645525000001</v>
      </c>
      <c r="H326">
        <v>12</v>
      </c>
      <c r="I326">
        <v>-36</v>
      </c>
      <c r="J326">
        <v>1.18</v>
      </c>
      <c r="K326">
        <v>21.473380500000001</v>
      </c>
      <c r="L326">
        <v>2.007028198250997</v>
      </c>
      <c r="M326">
        <v>0.99681589695452522</v>
      </c>
      <c r="N326">
        <v>-0.85497235198781074</v>
      </c>
      <c r="O326">
        <v>-0.73233761337472081</v>
      </c>
    </row>
    <row r="327" spans="1:15" x14ac:dyDescent="0.25">
      <c r="A327">
        <v>255.01559474999999</v>
      </c>
      <c r="B327">
        <v>140.21334475</v>
      </c>
      <c r="C327">
        <v>-171.30092974999999</v>
      </c>
      <c r="D327">
        <v>-79.284059499999998</v>
      </c>
      <c r="E327">
        <v>112.03073275</v>
      </c>
      <c r="F327">
        <v>5.6523129999999986</v>
      </c>
      <c r="G327">
        <v>266.72134399999999</v>
      </c>
      <c r="H327">
        <v>12</v>
      </c>
      <c r="I327">
        <v>-32</v>
      </c>
      <c r="J327">
        <v>1.18</v>
      </c>
      <c r="K327">
        <v>21.035410250000002</v>
      </c>
      <c r="L327">
        <v>1.7963756243079829</v>
      </c>
      <c r="M327">
        <v>0.92488143644784626</v>
      </c>
      <c r="N327">
        <v>-0.65182717463506634</v>
      </c>
      <c r="O327">
        <v>-0.55176377058092829</v>
      </c>
    </row>
    <row r="328" spans="1:15" x14ac:dyDescent="0.25">
      <c r="A328">
        <v>273.88206450000001</v>
      </c>
      <c r="B328">
        <v>175.42301175</v>
      </c>
      <c r="C328">
        <v>-145.54037500000001</v>
      </c>
      <c r="D328">
        <v>-41.696246250000002</v>
      </c>
      <c r="E328">
        <v>161.78738799999999</v>
      </c>
      <c r="F328">
        <v>5.8959457500000001</v>
      </c>
      <c r="G328">
        <v>287.89093774999998</v>
      </c>
      <c r="H328">
        <v>12</v>
      </c>
      <c r="I328">
        <v>-28</v>
      </c>
      <c r="J328">
        <v>1.18</v>
      </c>
      <c r="K328">
        <v>21.862222750000001</v>
      </c>
      <c r="L328">
        <v>1.642193800354921</v>
      </c>
      <c r="M328">
        <v>0.85008973548014599</v>
      </c>
      <c r="N328">
        <v>-0.49374760226182751</v>
      </c>
      <c r="O328">
        <v>-0.38963079949229429</v>
      </c>
    </row>
    <row r="329" spans="1:15" x14ac:dyDescent="0.25">
      <c r="A329">
        <v>285.84312399999999</v>
      </c>
      <c r="B329">
        <v>203.75427250000001</v>
      </c>
      <c r="C329">
        <v>-113.05771249999999</v>
      </c>
      <c r="D329">
        <v>-13.81133475</v>
      </c>
      <c r="E329">
        <v>206.8947335</v>
      </c>
      <c r="F329">
        <v>6.1395809999999997</v>
      </c>
      <c r="G329">
        <v>306.47719599999999</v>
      </c>
      <c r="H329">
        <v>12</v>
      </c>
      <c r="I329">
        <v>-24</v>
      </c>
      <c r="J329">
        <v>1.18</v>
      </c>
      <c r="K329">
        <v>22.562042999999999</v>
      </c>
      <c r="L329">
        <v>1.4756099563750289</v>
      </c>
      <c r="M329">
        <v>0.8048181472973599</v>
      </c>
      <c r="N329">
        <v>-0.36837404228300658</v>
      </c>
      <c r="O329">
        <v>-0.25736787406544831</v>
      </c>
    </row>
    <row r="330" spans="1:15" x14ac:dyDescent="0.25">
      <c r="A330">
        <v>289.29950724999998</v>
      </c>
      <c r="B330">
        <v>233.91336075000001</v>
      </c>
      <c r="C330">
        <v>-62.935156499999998</v>
      </c>
      <c r="D330">
        <v>15.99354275</v>
      </c>
      <c r="E330">
        <v>248.7832985</v>
      </c>
      <c r="F330">
        <v>6.3832092500000002</v>
      </c>
      <c r="G330">
        <v>321.12470999999999</v>
      </c>
      <c r="H330">
        <v>12</v>
      </c>
      <c r="I330">
        <v>-20</v>
      </c>
      <c r="J330">
        <v>1.18</v>
      </c>
      <c r="K330">
        <v>23.0967375</v>
      </c>
      <c r="L330">
        <v>1.2937777867715901</v>
      </c>
      <c r="M330">
        <v>0.80043671912501935</v>
      </c>
      <c r="N330">
        <v>-0.26571837841422691</v>
      </c>
      <c r="O330">
        <v>-0.10966174353704659</v>
      </c>
    </row>
    <row r="331" spans="1:15" x14ac:dyDescent="0.25">
      <c r="A331">
        <v>285.32791125</v>
      </c>
      <c r="B331">
        <v>258.973793</v>
      </c>
      <c r="C331">
        <v>-11.14335775</v>
      </c>
      <c r="D331">
        <v>31.943275499999999</v>
      </c>
      <c r="E331">
        <v>283.74261474999997</v>
      </c>
      <c r="F331">
        <v>7.0653807500000001</v>
      </c>
      <c r="G331">
        <v>335.25299074999998</v>
      </c>
      <c r="H331">
        <v>12</v>
      </c>
      <c r="I331">
        <v>-16</v>
      </c>
      <c r="J331">
        <v>1.18</v>
      </c>
      <c r="K331">
        <v>23.584948749999999</v>
      </c>
      <c r="L331">
        <v>1.084625023133744</v>
      </c>
      <c r="M331">
        <v>0.83057251997480042</v>
      </c>
      <c r="N331">
        <v>-0.18845647390467579</v>
      </c>
      <c r="O331">
        <v>1.219761024490369E-2</v>
      </c>
    </row>
    <row r="332" spans="1:15" x14ac:dyDescent="0.25">
      <c r="A332">
        <v>254.71117774999999</v>
      </c>
      <c r="B332">
        <v>258.63709249999999</v>
      </c>
      <c r="C332">
        <v>37.032918000000002</v>
      </c>
      <c r="D332">
        <v>35.6678</v>
      </c>
      <c r="E332">
        <v>289.24132550000002</v>
      </c>
      <c r="F332">
        <v>6.8217460000000001</v>
      </c>
      <c r="G332">
        <v>322.12769324999999</v>
      </c>
      <c r="H332">
        <v>12</v>
      </c>
      <c r="I332">
        <v>-12</v>
      </c>
      <c r="J332">
        <v>1.18</v>
      </c>
      <c r="K332">
        <v>23.117406500000001</v>
      </c>
      <c r="L332">
        <v>0.86075751172422155</v>
      </c>
      <c r="M332">
        <v>0.88166760454230697</v>
      </c>
      <c r="N332">
        <v>-0.13004327730327939</v>
      </c>
      <c r="O332">
        <v>0.11678612911901021</v>
      </c>
    </row>
    <row r="333" spans="1:15" x14ac:dyDescent="0.25">
      <c r="A333">
        <v>214.52919025</v>
      </c>
      <c r="B333">
        <v>246.66003425</v>
      </c>
      <c r="C333">
        <v>76.323966999999996</v>
      </c>
      <c r="D333">
        <v>23.004414499999999</v>
      </c>
      <c r="E333">
        <v>277.70743525</v>
      </c>
      <c r="F333">
        <v>6.1883032500000006</v>
      </c>
      <c r="G333">
        <v>298.11831649999999</v>
      </c>
      <c r="H333">
        <v>12</v>
      </c>
      <c r="I333">
        <v>-8</v>
      </c>
      <c r="J333">
        <v>1.18</v>
      </c>
      <c r="K333">
        <v>22.24400275</v>
      </c>
      <c r="L333">
        <v>0.60605328220271504</v>
      </c>
      <c r="M333">
        <v>0.98073038266210255</v>
      </c>
      <c r="N333">
        <v>-8.9513341856543749E-2</v>
      </c>
      <c r="O333">
        <v>0.19065931192138699</v>
      </c>
    </row>
    <row r="334" spans="1:15" x14ac:dyDescent="0.25">
      <c r="A334">
        <v>180.53025049999999</v>
      </c>
      <c r="B334">
        <v>237.424713</v>
      </c>
      <c r="C334">
        <v>107.66648475</v>
      </c>
      <c r="D334">
        <v>16.738448000000002</v>
      </c>
      <c r="E334">
        <v>269.83935524999998</v>
      </c>
      <c r="F334">
        <v>5.7984925</v>
      </c>
      <c r="G334">
        <v>281.60804000000002</v>
      </c>
      <c r="H334">
        <v>12</v>
      </c>
      <c r="I334">
        <v>-4</v>
      </c>
      <c r="J334">
        <v>1.18</v>
      </c>
      <c r="K334">
        <v>21.621131999999999</v>
      </c>
      <c r="L334">
        <v>0.35090556143606838</v>
      </c>
      <c r="M334">
        <v>1.062861468371034</v>
      </c>
      <c r="N334">
        <v>-5.6695195174342128E-2</v>
      </c>
      <c r="O334">
        <v>0.27165901642981999</v>
      </c>
    </row>
    <row r="335" spans="1:15" x14ac:dyDescent="0.25">
      <c r="A335">
        <v>147.24164949999999</v>
      </c>
      <c r="B335">
        <v>224.05273450000001</v>
      </c>
      <c r="C335">
        <v>126.81522</v>
      </c>
      <c r="D335">
        <v>15.511545</v>
      </c>
      <c r="E335">
        <v>257.72430400000002</v>
      </c>
      <c r="F335">
        <v>5.6035845000000002</v>
      </c>
      <c r="G335">
        <v>264.60035699999997</v>
      </c>
      <c r="H335">
        <v>12</v>
      </c>
      <c r="I335">
        <v>0</v>
      </c>
      <c r="J335">
        <v>1.18</v>
      </c>
      <c r="K335">
        <v>20.9517825</v>
      </c>
      <c r="L335">
        <v>0.10948180602572941</v>
      </c>
      <c r="M335">
        <v>1.1178130497955161</v>
      </c>
      <c r="N335">
        <v>-3.6860246224716918E-2</v>
      </c>
      <c r="O335">
        <v>0.35141975614460252</v>
      </c>
    </row>
    <row r="336" spans="1:15" x14ac:dyDescent="0.25">
      <c r="A336">
        <v>133.96212775000001</v>
      </c>
      <c r="B336">
        <v>239.34873575</v>
      </c>
      <c r="C336">
        <v>161.09327325000001</v>
      </c>
      <c r="D336">
        <v>16.606993750000001</v>
      </c>
      <c r="E336">
        <v>275.69570924999999</v>
      </c>
      <c r="F336">
        <v>5.7010354999999997</v>
      </c>
      <c r="G336">
        <v>283.09589375000002</v>
      </c>
      <c r="H336">
        <v>12</v>
      </c>
      <c r="I336">
        <v>4</v>
      </c>
      <c r="J336">
        <v>1.18</v>
      </c>
      <c r="K336">
        <v>21.683163749999999</v>
      </c>
      <c r="L336">
        <v>-0.13537106303359331</v>
      </c>
      <c r="M336">
        <v>1.111373201040226</v>
      </c>
      <c r="N336">
        <v>-3.6970094560022621E-2</v>
      </c>
      <c r="O336">
        <v>0.34727054967942311</v>
      </c>
    </row>
    <row r="337" spans="1:15" x14ac:dyDescent="0.25">
      <c r="A337">
        <v>114.50130299999999</v>
      </c>
      <c r="B337">
        <v>253.63462075000001</v>
      </c>
      <c r="C337">
        <v>202.05532049999999</v>
      </c>
      <c r="D337">
        <v>20.024794499999999</v>
      </c>
      <c r="E337">
        <v>291.25305200000003</v>
      </c>
      <c r="F337">
        <v>6.2370312500000002</v>
      </c>
      <c r="G337">
        <v>302.43512724999999</v>
      </c>
      <c r="H337">
        <v>12</v>
      </c>
      <c r="I337">
        <v>8</v>
      </c>
      <c r="J337">
        <v>1.18</v>
      </c>
      <c r="K337">
        <v>22.406025249999999</v>
      </c>
      <c r="L337">
        <v>-0.39088869275571342</v>
      </c>
      <c r="M337">
        <v>1.042939131305862</v>
      </c>
      <c r="N337">
        <v>-4.9920669242057611E-2</v>
      </c>
      <c r="O337">
        <v>0.27245120256647448</v>
      </c>
    </row>
    <row r="338" spans="1:15" x14ac:dyDescent="0.25">
      <c r="A338">
        <v>82.868801250000004</v>
      </c>
      <c r="B338">
        <v>261.61933125000002</v>
      </c>
      <c r="C338">
        <v>237.46242899999999</v>
      </c>
      <c r="D338">
        <v>30.979280500000002</v>
      </c>
      <c r="E338">
        <v>297.51175699999999</v>
      </c>
      <c r="F338">
        <v>6.5781132499999986</v>
      </c>
      <c r="G338">
        <v>318.00612649999999</v>
      </c>
      <c r="H338">
        <v>12</v>
      </c>
      <c r="I338">
        <v>12</v>
      </c>
      <c r="J338">
        <v>1.18</v>
      </c>
      <c r="K338">
        <v>22.974847749999999</v>
      </c>
      <c r="L338">
        <v>-0.64259231201013489</v>
      </c>
      <c r="M338">
        <v>0.95866495025688148</v>
      </c>
      <c r="N338">
        <v>-8.5207712885758707E-2</v>
      </c>
      <c r="O338">
        <v>0.20926724017765089</v>
      </c>
    </row>
    <row r="339" spans="1:15" x14ac:dyDescent="0.25">
      <c r="A339">
        <v>39.992683499999998</v>
      </c>
      <c r="B339">
        <v>263.49525449999999</v>
      </c>
      <c r="C339">
        <v>270.92755125000002</v>
      </c>
      <c r="D339">
        <v>43.555031999999997</v>
      </c>
      <c r="E339">
        <v>297.82469200000003</v>
      </c>
      <c r="F339">
        <v>6.9192010000000002</v>
      </c>
      <c r="G339">
        <v>332.05178849999999</v>
      </c>
      <c r="H339">
        <v>12</v>
      </c>
      <c r="I339">
        <v>16</v>
      </c>
      <c r="J339">
        <v>1.18</v>
      </c>
      <c r="K339">
        <v>23.474913749999999</v>
      </c>
      <c r="L339">
        <v>-0.90191178567016728</v>
      </c>
      <c r="M339">
        <v>0.85898227810607997</v>
      </c>
      <c r="N339">
        <v>-0.13368216803281169</v>
      </c>
      <c r="O339">
        <v>0.13613523955255491</v>
      </c>
    </row>
    <row r="340" spans="1:15" x14ac:dyDescent="0.25">
      <c r="A340">
        <v>-6.8466914999999986</v>
      </c>
      <c r="B340">
        <v>248.43975825000001</v>
      </c>
      <c r="C340">
        <v>284.70201125</v>
      </c>
      <c r="D340">
        <v>36.237434499999999</v>
      </c>
      <c r="E340">
        <v>278.95917474999999</v>
      </c>
      <c r="F340">
        <v>6.8704745000000003</v>
      </c>
      <c r="G340">
        <v>329.21059424999999</v>
      </c>
      <c r="H340">
        <v>12</v>
      </c>
      <c r="I340">
        <v>20</v>
      </c>
      <c r="J340">
        <v>1.18</v>
      </c>
      <c r="K340">
        <v>23.37388</v>
      </c>
      <c r="L340">
        <v>-1.1033080382815741</v>
      </c>
      <c r="M340">
        <v>0.80299895895833817</v>
      </c>
      <c r="N340">
        <v>-0.19026262136957151</v>
      </c>
      <c r="O340">
        <v>2.9654932797282409E-2</v>
      </c>
    </row>
    <row r="341" spans="1:15" x14ac:dyDescent="0.25">
      <c r="A341">
        <v>-52.209322999999998</v>
      </c>
      <c r="B341">
        <v>214.38450649999999</v>
      </c>
      <c r="C341">
        <v>274.13407124999998</v>
      </c>
      <c r="D341">
        <v>19.148435500000001</v>
      </c>
      <c r="E341">
        <v>235.774147</v>
      </c>
      <c r="F341">
        <v>6.3344825</v>
      </c>
      <c r="G341">
        <v>303.04026800000003</v>
      </c>
      <c r="H341">
        <v>12</v>
      </c>
      <c r="I341">
        <v>24</v>
      </c>
      <c r="J341">
        <v>1.18</v>
      </c>
      <c r="K341">
        <v>22.425207</v>
      </c>
      <c r="L341">
        <v>-1.2934423948730731</v>
      </c>
      <c r="M341">
        <v>0.77380651087687136</v>
      </c>
      <c r="N341">
        <v>-0.26660248147418109</v>
      </c>
      <c r="O341">
        <v>-9.0621397990261102E-2</v>
      </c>
    </row>
    <row r="342" spans="1:15" x14ac:dyDescent="0.25">
      <c r="A342">
        <v>-90.133088749999999</v>
      </c>
      <c r="B342">
        <v>185.5241355</v>
      </c>
      <c r="C342">
        <v>266.00489025000002</v>
      </c>
      <c r="D342">
        <v>-7.211614</v>
      </c>
      <c r="E342">
        <v>195.53966525000001</v>
      </c>
      <c r="F342">
        <v>5.9933927499999999</v>
      </c>
      <c r="G342">
        <v>285.32009125000002</v>
      </c>
      <c r="H342">
        <v>12</v>
      </c>
      <c r="I342">
        <v>28</v>
      </c>
      <c r="J342">
        <v>1.18</v>
      </c>
      <c r="K342">
        <v>21.758550750000001</v>
      </c>
      <c r="L342">
        <v>-1.458307433933907</v>
      </c>
      <c r="M342">
        <v>0.78921822096152683</v>
      </c>
      <c r="N342">
        <v>-0.36763509751285323</v>
      </c>
      <c r="O342">
        <v>-0.2238451166153006</v>
      </c>
    </row>
    <row r="343" spans="1:15" x14ac:dyDescent="0.25">
      <c r="A343">
        <v>-121.61886425</v>
      </c>
      <c r="B343">
        <v>156.03844849999999</v>
      </c>
      <c r="C343">
        <v>254.578869</v>
      </c>
      <c r="D343">
        <v>-43.837878000000003</v>
      </c>
      <c r="E343">
        <v>152.48875050000001</v>
      </c>
      <c r="F343">
        <v>5.5061289999999996</v>
      </c>
      <c r="G343">
        <v>269.378174</v>
      </c>
      <c r="H343">
        <v>12</v>
      </c>
      <c r="I343">
        <v>32</v>
      </c>
      <c r="J343">
        <v>1.18</v>
      </c>
      <c r="K343">
        <v>21.148031499999998</v>
      </c>
      <c r="L343">
        <v>-1.599401668694618</v>
      </c>
      <c r="M343">
        <v>0.84975829033762773</v>
      </c>
      <c r="N343">
        <v>-0.4969999727694645</v>
      </c>
      <c r="O343">
        <v>-0.37512012295646979</v>
      </c>
    </row>
    <row r="344" spans="1:15" x14ac:dyDescent="0.25">
      <c r="A344">
        <v>-169.410572</v>
      </c>
      <c r="B344">
        <v>138.38552824999999</v>
      </c>
      <c r="C344">
        <v>266.99845900000003</v>
      </c>
      <c r="D344">
        <v>-89.030666499999995</v>
      </c>
      <c r="E344">
        <v>117.79767775000001</v>
      </c>
      <c r="F344">
        <v>5.6523149999999998</v>
      </c>
      <c r="G344">
        <v>277.06211100000002</v>
      </c>
      <c r="H344">
        <v>12</v>
      </c>
      <c r="I344">
        <v>36</v>
      </c>
      <c r="J344">
        <v>1.18</v>
      </c>
      <c r="K344">
        <v>21.447972750000002</v>
      </c>
      <c r="L344">
        <v>-1.7667186373068851</v>
      </c>
      <c r="M344">
        <v>0.92064719412576523</v>
      </c>
      <c r="N344">
        <v>-0.64477411160746412</v>
      </c>
      <c r="O344">
        <v>-0.54600569549112943</v>
      </c>
    </row>
    <row r="345" spans="1:15" x14ac:dyDescent="0.25">
      <c r="A345">
        <v>-224.09401700000001</v>
      </c>
      <c r="B345">
        <v>118.37566575</v>
      </c>
      <c r="C345">
        <v>286.82463050000001</v>
      </c>
      <c r="D345">
        <v>-139.64309299999999</v>
      </c>
      <c r="E345">
        <v>76.087919499999998</v>
      </c>
      <c r="F345">
        <v>5.8959477500000004</v>
      </c>
      <c r="G345">
        <v>297.27247625000001</v>
      </c>
      <c r="H345">
        <v>12</v>
      </c>
      <c r="I345">
        <v>40</v>
      </c>
      <c r="J345">
        <v>1.18</v>
      </c>
      <c r="K345">
        <v>22.222909000000001</v>
      </c>
      <c r="L345">
        <v>-1.9806874844031379</v>
      </c>
      <c r="M345">
        <v>1.0002801328560571</v>
      </c>
      <c r="N345">
        <v>-0.85754470791978332</v>
      </c>
      <c r="O345">
        <v>-0.72791685184998323</v>
      </c>
    </row>
    <row r="346" spans="1:15" x14ac:dyDescent="0.25">
      <c r="A346">
        <v>-278.73242199999999</v>
      </c>
      <c r="B346">
        <v>89.41909050000001</v>
      </c>
      <c r="C346">
        <v>301.81844324999997</v>
      </c>
      <c r="D346">
        <v>-196.068512</v>
      </c>
      <c r="E346">
        <v>20.296088000000001</v>
      </c>
      <c r="F346">
        <v>6.5293887499999999</v>
      </c>
      <c r="G346">
        <v>313.94279449999999</v>
      </c>
      <c r="H346">
        <v>12</v>
      </c>
      <c r="I346">
        <v>44</v>
      </c>
      <c r="J346">
        <v>1.18</v>
      </c>
      <c r="K346">
        <v>22.826283750000002</v>
      </c>
      <c r="L346">
        <v>-2.2530181911513871</v>
      </c>
      <c r="M346">
        <v>1.107884595217643</v>
      </c>
      <c r="N346">
        <v>-1.1396850756615451</v>
      </c>
      <c r="O346">
        <v>-0.94664964123215223</v>
      </c>
    </row>
    <row r="347" spans="1:15" x14ac:dyDescent="0.25">
      <c r="A347">
        <v>303.20582574999997</v>
      </c>
      <c r="B347">
        <v>100.818941</v>
      </c>
      <c r="C347">
        <v>-345.98546599999997</v>
      </c>
      <c r="D347">
        <v>-305.07317375000002</v>
      </c>
      <c r="E347">
        <v>-44.734615499999997</v>
      </c>
      <c r="F347">
        <v>6.8217460000000001</v>
      </c>
      <c r="G347">
        <v>333.15152725000002</v>
      </c>
      <c r="H347">
        <v>16</v>
      </c>
      <c r="I347">
        <v>-44</v>
      </c>
      <c r="J347">
        <v>1.18</v>
      </c>
      <c r="K347">
        <v>23.51810175</v>
      </c>
      <c r="L347">
        <v>2.311975493272906</v>
      </c>
      <c r="M347">
        <v>1.4454945757091751</v>
      </c>
      <c r="N347">
        <v>-1.345774551442267</v>
      </c>
      <c r="O347">
        <v>-1.183599506816962</v>
      </c>
    </row>
    <row r="348" spans="1:15" x14ac:dyDescent="0.25">
      <c r="A348">
        <v>303.33042875000001</v>
      </c>
      <c r="B348">
        <v>135.59569550000001</v>
      </c>
      <c r="C348">
        <v>-305.11144250000001</v>
      </c>
      <c r="D348">
        <v>-251.00791150000001</v>
      </c>
      <c r="E348">
        <v>18.10554325</v>
      </c>
      <c r="F348">
        <v>6.6755684999999998</v>
      </c>
      <c r="G348">
        <v>327.18872075000002</v>
      </c>
      <c r="H348">
        <v>16</v>
      </c>
      <c r="I348">
        <v>-40</v>
      </c>
      <c r="J348">
        <v>1.18</v>
      </c>
      <c r="K348">
        <v>23.307517749999999</v>
      </c>
      <c r="L348">
        <v>2.0544052828200612</v>
      </c>
      <c r="M348">
        <v>1.3053746566954609</v>
      </c>
      <c r="N348">
        <v>-1.043623552987174</v>
      </c>
      <c r="O348">
        <v>-0.96141671348216673</v>
      </c>
    </row>
    <row r="349" spans="1:15" x14ac:dyDescent="0.25">
      <c r="A349">
        <v>279.58760799999999</v>
      </c>
      <c r="B349">
        <v>156.71186449999999</v>
      </c>
      <c r="C349">
        <v>-242.17629650000001</v>
      </c>
      <c r="D349">
        <v>-186.05967724999999</v>
      </c>
      <c r="E349">
        <v>70.097450250000009</v>
      </c>
      <c r="F349">
        <v>6.3344820000000004</v>
      </c>
      <c r="G349">
        <v>301.49708550000003</v>
      </c>
      <c r="H349">
        <v>16</v>
      </c>
      <c r="I349">
        <v>-36</v>
      </c>
      <c r="J349">
        <v>1.18</v>
      </c>
      <c r="K349">
        <v>22.366823749999998</v>
      </c>
      <c r="L349">
        <v>1.835805514342578</v>
      </c>
      <c r="M349">
        <v>1.206017602161686</v>
      </c>
      <c r="N349">
        <v>-0.8141660890066782</v>
      </c>
      <c r="O349">
        <v>-0.77564748097127356</v>
      </c>
    </row>
    <row r="350" spans="1:15" x14ac:dyDescent="0.25">
      <c r="A350">
        <v>262.75096150000002</v>
      </c>
      <c r="B350">
        <v>174.79769924999999</v>
      </c>
      <c r="C350">
        <v>-187.22646324999999</v>
      </c>
      <c r="D350">
        <v>-130.81432724999999</v>
      </c>
      <c r="E350">
        <v>111.13663649999999</v>
      </c>
      <c r="F350">
        <v>5.7010395000000003</v>
      </c>
      <c r="G350">
        <v>284.32939125000001</v>
      </c>
      <c r="H350">
        <v>16</v>
      </c>
      <c r="I350">
        <v>-32</v>
      </c>
      <c r="J350">
        <v>1.18</v>
      </c>
      <c r="K350">
        <v>21.73133275</v>
      </c>
      <c r="L350">
        <v>1.665652174918212</v>
      </c>
      <c r="M350">
        <v>1.13124784295263</v>
      </c>
      <c r="N350">
        <v>-0.64111926183907997</v>
      </c>
      <c r="O350">
        <v>-0.60974142803639353</v>
      </c>
    </row>
    <row r="351" spans="1:15" x14ac:dyDescent="0.25">
      <c r="A351">
        <v>243.74485799999999</v>
      </c>
      <c r="B351">
        <v>183.55201324999999</v>
      </c>
      <c r="C351">
        <v>-133.67518225000001</v>
      </c>
      <c r="D351">
        <v>-83.785856249999995</v>
      </c>
      <c r="E351">
        <v>140.37369924999999</v>
      </c>
      <c r="F351">
        <v>5.3599514999999993</v>
      </c>
      <c r="G351">
        <v>267.22604374999997</v>
      </c>
      <c r="H351">
        <v>16</v>
      </c>
      <c r="I351">
        <v>-28</v>
      </c>
      <c r="J351">
        <v>1.18</v>
      </c>
      <c r="K351">
        <v>21.067498749999999</v>
      </c>
      <c r="L351">
        <v>1.5151007236647269</v>
      </c>
      <c r="M351">
        <v>1.073206618247275</v>
      </c>
      <c r="N351">
        <v>-0.50923423937841594</v>
      </c>
      <c r="O351">
        <v>-0.45800272085797789</v>
      </c>
    </row>
    <row r="352" spans="1:15" x14ac:dyDescent="0.25">
      <c r="A352">
        <v>249.02886574999999</v>
      </c>
      <c r="B352">
        <v>206.832718</v>
      </c>
      <c r="C352">
        <v>-95.327589250000003</v>
      </c>
      <c r="D352">
        <v>-56.600251499999999</v>
      </c>
      <c r="E352">
        <v>177.79177874999999</v>
      </c>
      <c r="F352">
        <v>5.8959417500000004</v>
      </c>
      <c r="G352">
        <v>278.79061875000002</v>
      </c>
      <c r="H352">
        <v>16</v>
      </c>
      <c r="I352">
        <v>-24</v>
      </c>
      <c r="J352">
        <v>1.18</v>
      </c>
      <c r="K352">
        <v>21.50655725</v>
      </c>
      <c r="L352">
        <v>1.357056456764419</v>
      </c>
      <c r="M352">
        <v>1.038135261885808</v>
      </c>
      <c r="N352">
        <v>-0.39802022741591309</v>
      </c>
      <c r="O352">
        <v>-0.32259356798497862</v>
      </c>
    </row>
    <row r="353" spans="1:15" x14ac:dyDescent="0.25">
      <c r="A353">
        <v>258.81810775000002</v>
      </c>
      <c r="B353">
        <v>235.93359000000001</v>
      </c>
      <c r="C353">
        <v>-52.874554000000003</v>
      </c>
      <c r="D353">
        <v>-30.5510245</v>
      </c>
      <c r="E353">
        <v>219.859173</v>
      </c>
      <c r="F353">
        <v>5.9933969999999999</v>
      </c>
      <c r="G353">
        <v>298.77592449999997</v>
      </c>
      <c r="H353">
        <v>16</v>
      </c>
      <c r="I353">
        <v>-20</v>
      </c>
      <c r="J353">
        <v>1.18</v>
      </c>
      <c r="K353">
        <v>22.276457499999999</v>
      </c>
      <c r="L353">
        <v>1.1916656375207531</v>
      </c>
      <c r="M353">
        <v>1.018787220529876</v>
      </c>
      <c r="N353">
        <v>-0.30173033227195822</v>
      </c>
      <c r="O353">
        <v>-0.18238347129626989</v>
      </c>
    </row>
    <row r="354" spans="1:15" x14ac:dyDescent="0.25">
      <c r="A354">
        <v>258.67163099999999</v>
      </c>
      <c r="B354">
        <v>261.47502100000003</v>
      </c>
      <c r="C354">
        <v>-3.5640700000000001</v>
      </c>
      <c r="D354">
        <v>-14.991416750000001</v>
      </c>
      <c r="E354">
        <v>255.31023400000001</v>
      </c>
      <c r="F354">
        <v>6.7242949999999997</v>
      </c>
      <c r="G354">
        <v>315.08161124999998</v>
      </c>
      <c r="H354">
        <v>16</v>
      </c>
      <c r="I354">
        <v>-16</v>
      </c>
      <c r="J354">
        <v>1.18</v>
      </c>
      <c r="K354">
        <v>22.86130275</v>
      </c>
      <c r="L354">
        <v>0.99112726759246073</v>
      </c>
      <c r="M354">
        <v>1.044908834573067</v>
      </c>
      <c r="N354">
        <v>-0.22592009701228791</v>
      </c>
      <c r="O354">
        <v>-6.0470773201667237E-2</v>
      </c>
    </row>
    <row r="355" spans="1:15" x14ac:dyDescent="0.25">
      <c r="A355">
        <v>251.87258925</v>
      </c>
      <c r="B355">
        <v>282.87979875000002</v>
      </c>
      <c r="C355">
        <v>44.123373000000001</v>
      </c>
      <c r="D355">
        <v>-16.30262025</v>
      </c>
      <c r="E355">
        <v>283.02732075</v>
      </c>
      <c r="F355">
        <v>6.6755642499999999</v>
      </c>
      <c r="G355">
        <v>329.20884699999999</v>
      </c>
      <c r="H355">
        <v>16</v>
      </c>
      <c r="I355">
        <v>-12</v>
      </c>
      <c r="J355">
        <v>1.18</v>
      </c>
      <c r="K355">
        <v>23.380894999999999</v>
      </c>
      <c r="L355">
        <v>0.77198448327491365</v>
      </c>
      <c r="M355">
        <v>1.111724535087248</v>
      </c>
      <c r="N355">
        <v>-0.1716230289794459</v>
      </c>
      <c r="O355">
        <v>2.689780173637266E-2</v>
      </c>
    </row>
    <row r="356" spans="1:15" x14ac:dyDescent="0.25">
      <c r="A356">
        <v>230.13081750000001</v>
      </c>
      <c r="B356">
        <v>295.57836900000001</v>
      </c>
      <c r="C356">
        <v>88.111278499999997</v>
      </c>
      <c r="D356">
        <v>-28.84646025</v>
      </c>
      <c r="E356">
        <v>300.59639750000002</v>
      </c>
      <c r="F356">
        <v>6.9679277500000003</v>
      </c>
      <c r="G356">
        <v>335.35243974999997</v>
      </c>
      <c r="H356">
        <v>16</v>
      </c>
      <c r="I356">
        <v>-8</v>
      </c>
      <c r="J356">
        <v>1.18</v>
      </c>
      <c r="K356">
        <v>23.5919825</v>
      </c>
      <c r="L356">
        <v>0.52410188755296816</v>
      </c>
      <c r="M356">
        <v>1.1972873535298709</v>
      </c>
      <c r="N356">
        <v>-0.1282642009942829</v>
      </c>
      <c r="O356">
        <v>8.3651741775415789E-2</v>
      </c>
    </row>
    <row r="357" spans="1:15" x14ac:dyDescent="0.25">
      <c r="A357">
        <v>187.50515350000001</v>
      </c>
      <c r="B357">
        <v>275.08750125</v>
      </c>
      <c r="C357">
        <v>115.61501724999999</v>
      </c>
      <c r="D357">
        <v>-25.21879925</v>
      </c>
      <c r="E357">
        <v>283.65321349999999</v>
      </c>
      <c r="F357">
        <v>6.5781109999999998</v>
      </c>
      <c r="G357">
        <v>307.32199100000003</v>
      </c>
      <c r="H357">
        <v>16</v>
      </c>
      <c r="I357">
        <v>-4</v>
      </c>
      <c r="J357">
        <v>1.18</v>
      </c>
      <c r="K357">
        <v>22.577291750000001</v>
      </c>
      <c r="L357">
        <v>0.30150424227660411</v>
      </c>
      <c r="M357">
        <v>1.25937672635578</v>
      </c>
      <c r="N357">
        <v>-9.9275523642522193E-2</v>
      </c>
      <c r="O357">
        <v>0.16196159923174369</v>
      </c>
    </row>
    <row r="358" spans="1:15" x14ac:dyDescent="0.25">
      <c r="A358">
        <v>152.161743</v>
      </c>
      <c r="B358">
        <v>261.52312449999999</v>
      </c>
      <c r="C358">
        <v>136.52507775000001</v>
      </c>
      <c r="D358">
        <v>-23.426822250000001</v>
      </c>
      <c r="E358">
        <v>272.11930825000002</v>
      </c>
      <c r="F358">
        <v>6.0421235000000006</v>
      </c>
      <c r="G358">
        <v>288.77136999999999</v>
      </c>
      <c r="H358">
        <v>16</v>
      </c>
      <c r="I358">
        <v>0</v>
      </c>
      <c r="J358">
        <v>1.18</v>
      </c>
      <c r="K358">
        <v>21.890672250000001</v>
      </c>
      <c r="L358">
        <v>7.2555045850385982E-2</v>
      </c>
      <c r="M358">
        <v>1.3218713081310911</v>
      </c>
      <c r="N358">
        <v>-7.7288160467166078E-2</v>
      </c>
      <c r="O358">
        <v>0.2343115011876164</v>
      </c>
    </row>
    <row r="359" spans="1:15" x14ac:dyDescent="0.25">
      <c r="A359">
        <v>121.27897824999999</v>
      </c>
      <c r="B359">
        <v>246.22713450000001</v>
      </c>
      <c r="C359">
        <v>151.24793625000001</v>
      </c>
      <c r="D359">
        <v>-19.493213749999999</v>
      </c>
      <c r="E359">
        <v>256.42786799999999</v>
      </c>
      <c r="F359">
        <v>5.4574047500000002</v>
      </c>
      <c r="G359">
        <v>273.06835949999999</v>
      </c>
      <c r="H359">
        <v>16</v>
      </c>
      <c r="I359">
        <v>4</v>
      </c>
      <c r="J359">
        <v>1.18</v>
      </c>
      <c r="K359">
        <v>21.297328</v>
      </c>
      <c r="L359">
        <v>-0.14580591277364729</v>
      </c>
      <c r="M359">
        <v>1.2928350949776779</v>
      </c>
      <c r="N359">
        <v>-8.0965158760296113E-2</v>
      </c>
      <c r="O359">
        <v>0.2210610222545584</v>
      </c>
    </row>
    <row r="360" spans="1:15" x14ac:dyDescent="0.25">
      <c r="A360">
        <v>96.944748000000004</v>
      </c>
      <c r="B360">
        <v>245.072712</v>
      </c>
      <c r="C360">
        <v>174.3709375</v>
      </c>
      <c r="D360">
        <v>-20.454763499999999</v>
      </c>
      <c r="E360">
        <v>254.23731225</v>
      </c>
      <c r="F360">
        <v>5.7984885000000004</v>
      </c>
      <c r="G360">
        <v>273.69270349999999</v>
      </c>
      <c r="H360">
        <v>16</v>
      </c>
      <c r="I360">
        <v>8</v>
      </c>
      <c r="J360">
        <v>1.18</v>
      </c>
      <c r="K360">
        <v>21.308604750000001</v>
      </c>
      <c r="L360">
        <v>-0.35845229511889692</v>
      </c>
      <c r="M360">
        <v>1.2293468224202391</v>
      </c>
      <c r="N360">
        <v>-9.0087881619560245E-2</v>
      </c>
      <c r="O360">
        <v>0.15023118849867481</v>
      </c>
    </row>
    <row r="361" spans="1:15" x14ac:dyDescent="0.25">
      <c r="A361">
        <v>74.378490499999998</v>
      </c>
      <c r="B361">
        <v>259.1180875</v>
      </c>
      <c r="C361">
        <v>209.86837374999999</v>
      </c>
      <c r="D361">
        <v>-16.302620749999999</v>
      </c>
      <c r="E361">
        <v>266.79940749999997</v>
      </c>
      <c r="F361">
        <v>6.1395765000000004</v>
      </c>
      <c r="G361">
        <v>294.87124599999999</v>
      </c>
      <c r="H361">
        <v>16</v>
      </c>
      <c r="I361">
        <v>12</v>
      </c>
      <c r="J361">
        <v>1.18</v>
      </c>
      <c r="K361">
        <v>22.121810750000002</v>
      </c>
      <c r="L361">
        <v>-0.56987538008792771</v>
      </c>
      <c r="M361">
        <v>1.1583964063940819</v>
      </c>
      <c r="N361">
        <v>-0.1180917616045512</v>
      </c>
      <c r="O361">
        <v>9.634872673080741E-2</v>
      </c>
    </row>
    <row r="362" spans="1:15" x14ac:dyDescent="0.25">
      <c r="A362">
        <v>41.707945000000002</v>
      </c>
      <c r="B362">
        <v>264.64966575</v>
      </c>
      <c r="C362">
        <v>241.5270155</v>
      </c>
      <c r="D362">
        <v>-4.2832610000000004</v>
      </c>
      <c r="E362">
        <v>268.9899595</v>
      </c>
      <c r="F362">
        <v>6.5781109999999998</v>
      </c>
      <c r="G362">
        <v>310.82134250000001</v>
      </c>
      <c r="H362">
        <v>16</v>
      </c>
      <c r="I362">
        <v>16</v>
      </c>
      <c r="J362">
        <v>1.18</v>
      </c>
      <c r="K362">
        <v>22.708285499999999</v>
      </c>
      <c r="L362">
        <v>-0.7984450463499343</v>
      </c>
      <c r="M362">
        <v>1.074541626052623</v>
      </c>
      <c r="N362">
        <v>-0.1672295711195568</v>
      </c>
      <c r="O362">
        <v>4.8553164521628681E-2</v>
      </c>
    </row>
    <row r="363" spans="1:15" x14ac:dyDescent="0.25">
      <c r="A363">
        <v>-1.126101</v>
      </c>
      <c r="B363">
        <v>264.74586499999998</v>
      </c>
      <c r="C363">
        <v>267.76620474999999</v>
      </c>
      <c r="D363">
        <v>-11.014102250000001</v>
      </c>
      <c r="E363">
        <v>262.77597025</v>
      </c>
      <c r="F363">
        <v>6.9192010000000002</v>
      </c>
      <c r="G363">
        <v>324.36637875000002</v>
      </c>
      <c r="H363">
        <v>16</v>
      </c>
      <c r="I363">
        <v>20</v>
      </c>
      <c r="J363">
        <v>1.18</v>
      </c>
      <c r="K363">
        <v>23.195812249999999</v>
      </c>
      <c r="L363">
        <v>-1.000180484508163</v>
      </c>
      <c r="M363">
        <v>1.025729125349752</v>
      </c>
      <c r="N363">
        <v>-0.22910863457064551</v>
      </c>
      <c r="O363">
        <v>-4.8314226219389682E-2</v>
      </c>
    </row>
    <row r="364" spans="1:15" x14ac:dyDescent="0.25">
      <c r="A364">
        <v>-55.1789305</v>
      </c>
      <c r="B364">
        <v>260.51301575000002</v>
      </c>
      <c r="C364">
        <v>292.15376275</v>
      </c>
      <c r="D364">
        <v>-29.895422249999999</v>
      </c>
      <c r="E364">
        <v>248.336254</v>
      </c>
      <c r="F364">
        <v>7.1628354999999999</v>
      </c>
      <c r="G364">
        <v>338.23382574999999</v>
      </c>
      <c r="H364">
        <v>16</v>
      </c>
      <c r="I364">
        <v>24</v>
      </c>
      <c r="J364">
        <v>1.18</v>
      </c>
      <c r="K364">
        <v>23.688328250000001</v>
      </c>
      <c r="L364">
        <v>-1.194105711951355</v>
      </c>
      <c r="M364">
        <v>0.99842219811676036</v>
      </c>
      <c r="N364">
        <v>-0.30908141463249661</v>
      </c>
      <c r="O364">
        <v>-0.1708548820101306</v>
      </c>
    </row>
    <row r="365" spans="1:15" x14ac:dyDescent="0.25">
      <c r="A365">
        <v>-103.15081225</v>
      </c>
      <c r="B365">
        <v>225.8324585</v>
      </c>
      <c r="C365">
        <v>283.75359350000002</v>
      </c>
      <c r="D365">
        <v>-58.654469749999997</v>
      </c>
      <c r="E365">
        <v>203.00539375</v>
      </c>
      <c r="F365">
        <v>6.6268419999999999</v>
      </c>
      <c r="G365">
        <v>315.2416915</v>
      </c>
      <c r="H365">
        <v>16</v>
      </c>
      <c r="I365">
        <v>28</v>
      </c>
      <c r="J365">
        <v>1.18</v>
      </c>
      <c r="K365">
        <v>22.87082225</v>
      </c>
      <c r="L365">
        <v>-1.362792675338595</v>
      </c>
      <c r="M365">
        <v>1.002059058920282</v>
      </c>
      <c r="N365">
        <v>-0.39535732281641639</v>
      </c>
      <c r="O365">
        <v>-0.30830146993621138</v>
      </c>
    </row>
    <row r="366" spans="1:15" x14ac:dyDescent="0.25">
      <c r="A366">
        <v>-138.05992524999999</v>
      </c>
      <c r="B366">
        <v>192.97973625</v>
      </c>
      <c r="C366">
        <v>269.57268525000001</v>
      </c>
      <c r="D366">
        <v>-96.723056749999998</v>
      </c>
      <c r="E366">
        <v>156.73572175000001</v>
      </c>
      <c r="F366">
        <v>6.0908542499999996</v>
      </c>
      <c r="G366">
        <v>293.95078274999997</v>
      </c>
      <c r="H366">
        <v>16</v>
      </c>
      <c r="I366">
        <v>32</v>
      </c>
      <c r="J366">
        <v>1.18</v>
      </c>
      <c r="K366">
        <v>22.088398250000001</v>
      </c>
      <c r="L366">
        <v>-1.48702440289852</v>
      </c>
      <c r="M366">
        <v>1.05682648972486</v>
      </c>
      <c r="N366">
        <v>-0.5005623706658664</v>
      </c>
      <c r="O366">
        <v>-0.45045602851525662</v>
      </c>
    </row>
    <row r="367" spans="1:15" x14ac:dyDescent="0.25">
      <c r="A367">
        <v>-172.43985375</v>
      </c>
      <c r="B367">
        <v>161.37761674999999</v>
      </c>
      <c r="C367">
        <v>257.64989474999999</v>
      </c>
      <c r="D367">
        <v>-132.16924299999999</v>
      </c>
      <c r="E367">
        <v>110.33194349999999</v>
      </c>
      <c r="F367">
        <v>5.7497659999999993</v>
      </c>
      <c r="G367">
        <v>278.02259824999999</v>
      </c>
      <c r="H367">
        <v>16</v>
      </c>
      <c r="I367">
        <v>36</v>
      </c>
      <c r="J367">
        <v>1.18</v>
      </c>
      <c r="K367">
        <v>21.48206175</v>
      </c>
      <c r="L367">
        <v>-1.6375898050241871</v>
      </c>
      <c r="M367">
        <v>1.1176826360533689</v>
      </c>
      <c r="N367">
        <v>-0.63849165886043802</v>
      </c>
      <c r="O367">
        <v>-0.60179250307789589</v>
      </c>
    </row>
    <row r="368" spans="1:15" x14ac:dyDescent="0.25">
      <c r="A368">
        <v>-204.90525450000001</v>
      </c>
      <c r="B368">
        <v>129.77551650000001</v>
      </c>
      <c r="C368">
        <v>248.30133824999999</v>
      </c>
      <c r="D368">
        <v>-166.173092</v>
      </c>
      <c r="E368">
        <v>64.241099249999991</v>
      </c>
      <c r="F368">
        <v>5.3599515000000002</v>
      </c>
      <c r="G368">
        <v>266.78588124999999</v>
      </c>
      <c r="H368">
        <v>16</v>
      </c>
      <c r="I368">
        <v>40</v>
      </c>
      <c r="J368">
        <v>1.18</v>
      </c>
      <c r="K368">
        <v>21.049787999999999</v>
      </c>
      <c r="L368">
        <v>-1.8145043280230939</v>
      </c>
      <c r="M368">
        <v>1.184813711846697</v>
      </c>
      <c r="N368">
        <v>-0.81095494626643982</v>
      </c>
      <c r="O368">
        <v>-0.76427439348180082</v>
      </c>
    </row>
    <row r="369" spans="1:15" x14ac:dyDescent="0.25">
      <c r="A369">
        <v>-261.79586024999998</v>
      </c>
      <c r="B369">
        <v>107.84163100000001</v>
      </c>
      <c r="C369">
        <v>265.32745349999999</v>
      </c>
      <c r="D369">
        <v>-218.88343424999999</v>
      </c>
      <c r="E369">
        <v>17.032624250000001</v>
      </c>
      <c r="F369">
        <v>5.9446680000000001</v>
      </c>
      <c r="G369">
        <v>287.93090825000002</v>
      </c>
      <c r="H369">
        <v>16</v>
      </c>
      <c r="I369">
        <v>44</v>
      </c>
      <c r="J369">
        <v>1.18</v>
      </c>
      <c r="K369">
        <v>21.861875999999999</v>
      </c>
      <c r="L369">
        <v>-2.048096211907048</v>
      </c>
      <c r="M369">
        <v>1.26947550458429</v>
      </c>
      <c r="N369">
        <v>-1.0525587836354049</v>
      </c>
      <c r="O369">
        <v>-0.95692190386896303</v>
      </c>
    </row>
    <row r="370" spans="1:15" x14ac:dyDescent="0.25">
      <c r="A370">
        <v>266.913971</v>
      </c>
      <c r="B370">
        <v>124.43634400000001</v>
      </c>
      <c r="C370">
        <v>-337.95504</v>
      </c>
      <c r="D370">
        <v>-329.46153249999998</v>
      </c>
      <c r="E370">
        <v>-46.697050249999997</v>
      </c>
      <c r="F370">
        <v>6.7730195000000002</v>
      </c>
      <c r="G370">
        <v>311.86560824999998</v>
      </c>
      <c r="H370">
        <v>20</v>
      </c>
      <c r="I370">
        <v>-44</v>
      </c>
      <c r="J370">
        <v>1.18</v>
      </c>
      <c r="K370">
        <v>22.739961000000001</v>
      </c>
      <c r="L370">
        <v>2.1074669953445859</v>
      </c>
      <c r="M370">
        <v>1.581457977402235</v>
      </c>
      <c r="N370">
        <v>-1.249301332419589</v>
      </c>
      <c r="O370">
        <v>-1.1862862544741199</v>
      </c>
    </row>
    <row r="371" spans="1:15" x14ac:dyDescent="0.25">
      <c r="A371">
        <v>284.53420225000002</v>
      </c>
      <c r="B371">
        <v>163.49404525</v>
      </c>
      <c r="C371">
        <v>-317.96918499999998</v>
      </c>
      <c r="D371">
        <v>-298.95422350000001</v>
      </c>
      <c r="E371">
        <v>9.8351197500000005</v>
      </c>
      <c r="F371">
        <v>6.6268417499999996</v>
      </c>
      <c r="G371">
        <v>326.00934599999999</v>
      </c>
      <c r="H371">
        <v>20</v>
      </c>
      <c r="I371">
        <v>-40</v>
      </c>
      <c r="J371">
        <v>1.18</v>
      </c>
      <c r="K371">
        <v>23.266411000000002</v>
      </c>
      <c r="L371">
        <v>1.8929076452615869</v>
      </c>
      <c r="M371">
        <v>1.4529047515906359</v>
      </c>
      <c r="N371">
        <v>-0.99335584517043229</v>
      </c>
      <c r="O371">
        <v>-0.98993576910577796</v>
      </c>
    </row>
    <row r="372" spans="1:15" x14ac:dyDescent="0.25">
      <c r="A372">
        <v>299.222824</v>
      </c>
      <c r="B372">
        <v>202.74416350000001</v>
      </c>
      <c r="C372">
        <v>-290.99052425000002</v>
      </c>
      <c r="D372">
        <v>-262.06571924999997</v>
      </c>
      <c r="E372">
        <v>65.939889999999991</v>
      </c>
      <c r="F372">
        <v>7.1628295</v>
      </c>
      <c r="G372">
        <v>339.97491474999998</v>
      </c>
      <c r="H372">
        <v>20</v>
      </c>
      <c r="I372">
        <v>-36</v>
      </c>
      <c r="J372">
        <v>1.18</v>
      </c>
      <c r="K372">
        <v>23.750541999999999</v>
      </c>
      <c r="L372">
        <v>1.7234202274452299</v>
      </c>
      <c r="M372">
        <v>1.3572156203609591</v>
      </c>
      <c r="N372">
        <v>-0.80018690307547724</v>
      </c>
      <c r="O372">
        <v>-0.82836093925219889</v>
      </c>
    </row>
    <row r="373" spans="1:15" x14ac:dyDescent="0.25">
      <c r="A373">
        <v>272.23004175</v>
      </c>
      <c r="B373">
        <v>210.15166074999999</v>
      </c>
      <c r="C373">
        <v>-224.58152774999999</v>
      </c>
      <c r="D373">
        <v>-200.65773024999999</v>
      </c>
      <c r="E373">
        <v>103.4473765</v>
      </c>
      <c r="F373">
        <v>6.4319357500000001</v>
      </c>
      <c r="G373">
        <v>311.50161750000001</v>
      </c>
      <c r="H373">
        <v>20</v>
      </c>
      <c r="I373">
        <v>-32</v>
      </c>
      <c r="J373">
        <v>1.18</v>
      </c>
      <c r="K373">
        <v>22.739091500000001</v>
      </c>
      <c r="L373">
        <v>1.571834181028847</v>
      </c>
      <c r="M373">
        <v>1.299747075176195</v>
      </c>
      <c r="N373">
        <v>-0.65824448222534404</v>
      </c>
      <c r="O373">
        <v>-0.6930363720106455</v>
      </c>
    </row>
    <row r="374" spans="1:15" x14ac:dyDescent="0.25">
      <c r="A374">
        <v>251.19551100000001</v>
      </c>
      <c r="B374">
        <v>217.70345275</v>
      </c>
      <c r="C374">
        <v>-159.52597025</v>
      </c>
      <c r="D374">
        <v>-144.71306999999999</v>
      </c>
      <c r="E374">
        <v>137.64669000000001</v>
      </c>
      <c r="F374">
        <v>5.94467225</v>
      </c>
      <c r="G374">
        <v>291.98976900000002</v>
      </c>
      <c r="H374">
        <v>20</v>
      </c>
      <c r="I374">
        <v>-28</v>
      </c>
      <c r="J374">
        <v>1.18</v>
      </c>
      <c r="K374">
        <v>22.01866175</v>
      </c>
      <c r="L374">
        <v>1.4174305659195909</v>
      </c>
      <c r="M374">
        <v>1.250706002403194</v>
      </c>
      <c r="N374">
        <v>-0.53264623846276615</v>
      </c>
      <c r="O374">
        <v>-0.54548090382203041</v>
      </c>
    </row>
    <row r="375" spans="1:15" x14ac:dyDescent="0.25">
      <c r="A375">
        <v>233.71152499999999</v>
      </c>
      <c r="B375">
        <v>221.16670224999999</v>
      </c>
      <c r="C375">
        <v>-104.5310075</v>
      </c>
      <c r="D375">
        <v>-101.74933224999999</v>
      </c>
      <c r="E375">
        <v>160.93799974999999</v>
      </c>
      <c r="F375">
        <v>5.8472169999999997</v>
      </c>
      <c r="G375">
        <v>276.50965875000003</v>
      </c>
      <c r="H375">
        <v>20</v>
      </c>
      <c r="I375">
        <v>-24</v>
      </c>
      <c r="J375">
        <v>1.18</v>
      </c>
      <c r="K375">
        <v>21.418431500000001</v>
      </c>
      <c r="L375">
        <v>1.280841696528263</v>
      </c>
      <c r="M375">
        <v>1.22280354837578</v>
      </c>
      <c r="N375">
        <v>-0.43765214296791449</v>
      </c>
      <c r="O375">
        <v>-0.41270763530929949</v>
      </c>
    </row>
    <row r="376" spans="1:15" x14ac:dyDescent="0.25">
      <c r="A376">
        <v>210.87299375000001</v>
      </c>
      <c r="B376">
        <v>216.93384524999999</v>
      </c>
      <c r="C376">
        <v>-55.581443</v>
      </c>
      <c r="D376">
        <v>-69.450040749999999</v>
      </c>
      <c r="E376">
        <v>173.90243924999999</v>
      </c>
      <c r="F376">
        <v>5.4086780000000001</v>
      </c>
      <c r="G376">
        <v>259.47797400000002</v>
      </c>
      <c r="H376">
        <v>20</v>
      </c>
      <c r="I376">
        <v>-20</v>
      </c>
      <c r="J376">
        <v>1.18</v>
      </c>
      <c r="K376">
        <v>20.751518999999998</v>
      </c>
      <c r="L376">
        <v>1.1270394634388241</v>
      </c>
      <c r="M376">
        <v>1.2113415041475339</v>
      </c>
      <c r="N376">
        <v>-0.36196860829027783</v>
      </c>
      <c r="O376">
        <v>-0.28730378063248818</v>
      </c>
    </row>
    <row r="377" spans="1:15" x14ac:dyDescent="0.25">
      <c r="A377">
        <v>207.623234</v>
      </c>
      <c r="B377">
        <v>234.29817575000001</v>
      </c>
      <c r="C377">
        <v>-8.8876172499999999</v>
      </c>
      <c r="D377">
        <v>-51.2680285</v>
      </c>
      <c r="E377">
        <v>200.94896324999999</v>
      </c>
      <c r="F377">
        <v>5.6035864999999996</v>
      </c>
      <c r="G377">
        <v>267.88183600000002</v>
      </c>
      <c r="H377">
        <v>20</v>
      </c>
      <c r="I377">
        <v>-16</v>
      </c>
      <c r="J377">
        <v>1.18</v>
      </c>
      <c r="K377">
        <v>21.084078250000001</v>
      </c>
      <c r="L377">
        <v>0.93722050067855678</v>
      </c>
      <c r="M377">
        <v>1.2360633608819629</v>
      </c>
      <c r="N377">
        <v>-0.28975933848828311</v>
      </c>
      <c r="O377">
        <v>-0.15444560100900001</v>
      </c>
    </row>
    <row r="378" spans="1:15" x14ac:dyDescent="0.25">
      <c r="A378">
        <v>207.72718850000001</v>
      </c>
      <c r="B378">
        <v>259.98390949999998</v>
      </c>
      <c r="C378">
        <v>32.245733749999999</v>
      </c>
      <c r="D378">
        <v>-55.070514000000003</v>
      </c>
      <c r="E378">
        <v>231.39307024999999</v>
      </c>
      <c r="F378">
        <v>5.9933990000000001</v>
      </c>
      <c r="G378">
        <v>288.22783700000002</v>
      </c>
      <c r="H378">
        <v>20</v>
      </c>
      <c r="I378">
        <v>-12</v>
      </c>
      <c r="J378">
        <v>1.18</v>
      </c>
      <c r="K378">
        <v>21.871506750000002</v>
      </c>
      <c r="L378">
        <v>0.72272055554589021</v>
      </c>
      <c r="M378">
        <v>1.297553943231887</v>
      </c>
      <c r="N378">
        <v>-0.23407477397450319</v>
      </c>
      <c r="O378">
        <v>-7.1681171289877832E-2</v>
      </c>
    </row>
    <row r="379" spans="1:15" x14ac:dyDescent="0.25">
      <c r="A379">
        <v>200.38842750000001</v>
      </c>
      <c r="B379">
        <v>282.15829474999998</v>
      </c>
      <c r="C379">
        <v>70.814187750000002</v>
      </c>
      <c r="D379">
        <v>-64.161521250000007</v>
      </c>
      <c r="E379">
        <v>255.84669124999999</v>
      </c>
      <c r="F379">
        <v>6.1395782499999996</v>
      </c>
      <c r="G379">
        <v>304.098343</v>
      </c>
      <c r="H379">
        <v>20</v>
      </c>
      <c r="I379">
        <v>-8</v>
      </c>
      <c r="J379">
        <v>1.18</v>
      </c>
      <c r="K379">
        <v>22.472525999999998</v>
      </c>
      <c r="L379">
        <v>0.51312326913012229</v>
      </c>
      <c r="M379">
        <v>1.371452259930708</v>
      </c>
      <c r="N379">
        <v>-0.191078266815983</v>
      </c>
      <c r="O379">
        <v>-1.113958735401663E-2</v>
      </c>
    </row>
    <row r="380" spans="1:15" x14ac:dyDescent="0.25">
      <c r="A380">
        <v>184.333473</v>
      </c>
      <c r="B380">
        <v>298.51250475000001</v>
      </c>
      <c r="C380">
        <v>105.5890275</v>
      </c>
      <c r="D380">
        <v>-71.329429500000003</v>
      </c>
      <c r="E380">
        <v>275.47219050000001</v>
      </c>
      <c r="F380">
        <v>6.7242949999999997</v>
      </c>
      <c r="G380">
        <v>319.52388000000002</v>
      </c>
      <c r="H380">
        <v>20</v>
      </c>
      <c r="I380">
        <v>-4</v>
      </c>
      <c r="J380">
        <v>1.18</v>
      </c>
      <c r="K380">
        <v>23.025380250000001</v>
      </c>
      <c r="L380">
        <v>0.30484563445057627</v>
      </c>
      <c r="M380">
        <v>1.4315939717027171</v>
      </c>
      <c r="N380">
        <v>-0.17054270940179569</v>
      </c>
      <c r="O380">
        <v>4.0281016492632632E-2</v>
      </c>
    </row>
    <row r="381" spans="1:15" x14ac:dyDescent="0.25">
      <c r="A381">
        <v>163.61620350000001</v>
      </c>
      <c r="B381">
        <v>313.56800075000001</v>
      </c>
      <c r="C381">
        <v>141.08645250000001</v>
      </c>
      <c r="D381">
        <v>-72.509512000000001</v>
      </c>
      <c r="E381">
        <v>293.17536949999999</v>
      </c>
      <c r="F381">
        <v>7.0166519999999997</v>
      </c>
      <c r="G381">
        <v>333.45103475000002</v>
      </c>
      <c r="H381">
        <v>20</v>
      </c>
      <c r="I381">
        <v>0</v>
      </c>
      <c r="J381">
        <v>1.18</v>
      </c>
      <c r="K381">
        <v>23.521871000000001</v>
      </c>
      <c r="L381">
        <v>8.7010853240911207E-2</v>
      </c>
      <c r="M381">
        <v>1.491303800005523</v>
      </c>
      <c r="N381">
        <v>-0.15557922650595851</v>
      </c>
      <c r="O381">
        <v>0.1053605670557991</v>
      </c>
    </row>
    <row r="382" spans="1:15" x14ac:dyDescent="0.25">
      <c r="A382">
        <v>133.6287955</v>
      </c>
      <c r="B382">
        <v>307.69972250000001</v>
      </c>
      <c r="C382">
        <v>165.65464800000001</v>
      </c>
      <c r="D382">
        <v>-68.488490749999997</v>
      </c>
      <c r="E382">
        <v>287.81076024999999</v>
      </c>
      <c r="F382">
        <v>6.724297</v>
      </c>
      <c r="G382">
        <v>327.64805625000002</v>
      </c>
      <c r="H382">
        <v>20</v>
      </c>
      <c r="I382">
        <v>4</v>
      </c>
      <c r="J382">
        <v>1.18</v>
      </c>
      <c r="K382">
        <v>23.322439750000001</v>
      </c>
      <c r="L382">
        <v>-0.1254780073741944</v>
      </c>
      <c r="M382">
        <v>1.4738815723052121</v>
      </c>
      <c r="N382">
        <v>-0.15609400400136561</v>
      </c>
      <c r="O382">
        <v>0.10126193610145991</v>
      </c>
    </row>
    <row r="383" spans="1:15" x14ac:dyDescent="0.25">
      <c r="A383">
        <v>93.88800024999999</v>
      </c>
      <c r="B383">
        <v>284.99622349999999</v>
      </c>
      <c r="C383">
        <v>177.80325675</v>
      </c>
      <c r="D383">
        <v>-67.089876000000004</v>
      </c>
      <c r="E383">
        <v>263.58066550000001</v>
      </c>
      <c r="F383">
        <v>6.1883032500000006</v>
      </c>
      <c r="G383">
        <v>304.53845975000002</v>
      </c>
      <c r="H383">
        <v>20</v>
      </c>
      <c r="I383">
        <v>8</v>
      </c>
      <c r="J383">
        <v>1.18</v>
      </c>
      <c r="K383">
        <v>22.487277250000002</v>
      </c>
      <c r="L383">
        <v>-0.33542116669688388</v>
      </c>
      <c r="M383">
        <v>1.4073497482208539</v>
      </c>
      <c r="N383">
        <v>-0.1637485694988981</v>
      </c>
      <c r="O383">
        <v>2.8824728034153431E-2</v>
      </c>
    </row>
    <row r="384" spans="1:15" x14ac:dyDescent="0.25">
      <c r="A384">
        <v>58.631011749999999</v>
      </c>
      <c r="B384">
        <v>260.84972349999998</v>
      </c>
      <c r="C384">
        <v>185.0743635</v>
      </c>
      <c r="D384">
        <v>-59.921964500000001</v>
      </c>
      <c r="E384">
        <v>237.38352599999999</v>
      </c>
      <c r="F384">
        <v>6.0421235000000006</v>
      </c>
      <c r="G384">
        <v>283.47248074999999</v>
      </c>
      <c r="H384">
        <v>20</v>
      </c>
      <c r="I384">
        <v>12</v>
      </c>
      <c r="J384">
        <v>1.18</v>
      </c>
      <c r="K384">
        <v>21.684562750000001</v>
      </c>
      <c r="L384">
        <v>-0.53121137209214153</v>
      </c>
      <c r="M384">
        <v>1.3476185290862679</v>
      </c>
      <c r="N384">
        <v>-0.19362562973038169</v>
      </c>
      <c r="O384">
        <v>-2.8094208975798209E-2</v>
      </c>
    </row>
    <row r="385" spans="1:15" x14ac:dyDescent="0.25">
      <c r="A385">
        <v>24.37153825</v>
      </c>
      <c r="B385">
        <v>241.46516800000001</v>
      </c>
      <c r="C385">
        <v>194.24227525000001</v>
      </c>
      <c r="D385">
        <v>-45.76097575</v>
      </c>
      <c r="E385">
        <v>217.4003945</v>
      </c>
      <c r="F385">
        <v>5.8472150000000003</v>
      </c>
      <c r="G385">
        <v>268.80223074999998</v>
      </c>
      <c r="H385">
        <v>20</v>
      </c>
      <c r="I385">
        <v>16</v>
      </c>
      <c r="J385">
        <v>1.18</v>
      </c>
      <c r="K385">
        <v>21.11127625</v>
      </c>
      <c r="L385">
        <v>-0.74475705786649227</v>
      </c>
      <c r="M385">
        <v>1.259228973114904</v>
      </c>
      <c r="N385">
        <v>-0.22536103219204889</v>
      </c>
      <c r="O385">
        <v>-7.2505641012465746E-2</v>
      </c>
    </row>
    <row r="386" spans="1:15" x14ac:dyDescent="0.25">
      <c r="A386">
        <v>-14.2799335</v>
      </c>
      <c r="B386">
        <v>241.03226100000001</v>
      </c>
      <c r="C386">
        <v>212.036148</v>
      </c>
      <c r="D386">
        <v>-50.26277125</v>
      </c>
      <c r="E386">
        <v>206.626499</v>
      </c>
      <c r="F386">
        <v>5.6523110000000001</v>
      </c>
      <c r="G386">
        <v>275.789444</v>
      </c>
      <c r="H386">
        <v>20</v>
      </c>
      <c r="I386">
        <v>20</v>
      </c>
      <c r="J386">
        <v>1.18</v>
      </c>
      <c r="K386">
        <v>21.397628999999998</v>
      </c>
      <c r="L386">
        <v>-0.94732761163802059</v>
      </c>
      <c r="M386">
        <v>1.219333410658699</v>
      </c>
      <c r="N386">
        <v>-0.28951032357714829</v>
      </c>
      <c r="O386">
        <v>-0.15874208480442639</v>
      </c>
    </row>
    <row r="387" spans="1:15" x14ac:dyDescent="0.25">
      <c r="A387">
        <v>-65.588327250000006</v>
      </c>
      <c r="B387">
        <v>243.91829675</v>
      </c>
      <c r="C387">
        <v>238.86245324999999</v>
      </c>
      <c r="D387">
        <v>-72.815460250000001</v>
      </c>
      <c r="E387">
        <v>198.13255325</v>
      </c>
      <c r="F387">
        <v>6.2370295000000002</v>
      </c>
      <c r="G387">
        <v>293.71065525</v>
      </c>
      <c r="H387">
        <v>20</v>
      </c>
      <c r="I387">
        <v>24</v>
      </c>
      <c r="J387">
        <v>1.18</v>
      </c>
      <c r="K387">
        <v>22.073564000000001</v>
      </c>
      <c r="L387">
        <v>-1.1388356916346041</v>
      </c>
      <c r="M387">
        <v>1.184787120816329</v>
      </c>
      <c r="N387">
        <v>-0.3575250510031589</v>
      </c>
      <c r="O387">
        <v>-0.28218907306614027</v>
      </c>
    </row>
    <row r="388" spans="1:15" x14ac:dyDescent="0.25">
      <c r="A388">
        <v>-116.13103099999999</v>
      </c>
      <c r="B388">
        <v>241.27275850000001</v>
      </c>
      <c r="C388">
        <v>263.566124</v>
      </c>
      <c r="D388">
        <v>-107.56233225</v>
      </c>
      <c r="E388">
        <v>182.97755824999999</v>
      </c>
      <c r="F388">
        <v>6.5781155</v>
      </c>
      <c r="G388">
        <v>310.70131674999999</v>
      </c>
      <c r="H388">
        <v>20</v>
      </c>
      <c r="I388">
        <v>28</v>
      </c>
      <c r="J388">
        <v>1.18</v>
      </c>
      <c r="K388">
        <v>22.703795249999999</v>
      </c>
      <c r="L388">
        <v>-1.287880565124556</v>
      </c>
      <c r="M388">
        <v>1.183198855894338</v>
      </c>
      <c r="N388">
        <v>-0.43322977955168102</v>
      </c>
      <c r="O388">
        <v>-0.40167930478192859</v>
      </c>
    </row>
    <row r="389" spans="1:15" x14ac:dyDescent="0.25">
      <c r="A389">
        <v>-171.27967425</v>
      </c>
      <c r="B389">
        <v>233.81716925000001</v>
      </c>
      <c r="C389">
        <v>283.07616424999998</v>
      </c>
      <c r="D389">
        <v>-158.69923800000001</v>
      </c>
      <c r="E389">
        <v>157.13807324999999</v>
      </c>
      <c r="F389">
        <v>6.9191989999999999</v>
      </c>
      <c r="G389">
        <v>326.24733750000001</v>
      </c>
      <c r="H389">
        <v>20</v>
      </c>
      <c r="I389">
        <v>32</v>
      </c>
      <c r="J389">
        <v>1.18</v>
      </c>
      <c r="K389">
        <v>23.26442875</v>
      </c>
      <c r="L389">
        <v>-1.410482757327898</v>
      </c>
      <c r="M389">
        <v>1.2185285057021491</v>
      </c>
      <c r="N389">
        <v>-0.52499881265900195</v>
      </c>
      <c r="O389">
        <v>-0.5336674979572571</v>
      </c>
    </row>
    <row r="390" spans="1:15" x14ac:dyDescent="0.25">
      <c r="A390">
        <v>-227.33718124999999</v>
      </c>
      <c r="B390">
        <v>217.46295125</v>
      </c>
      <c r="C390">
        <v>298.11515050000003</v>
      </c>
      <c r="D390">
        <v>-214.9498365</v>
      </c>
      <c r="E390">
        <v>120.47997650000001</v>
      </c>
      <c r="F390">
        <v>7.0653810000000004</v>
      </c>
      <c r="G390">
        <v>338.85379024999997</v>
      </c>
      <c r="H390">
        <v>20</v>
      </c>
      <c r="I390">
        <v>36</v>
      </c>
      <c r="J390">
        <v>1.18</v>
      </c>
      <c r="K390">
        <v>23.713984249999999</v>
      </c>
      <c r="L390">
        <v>-1.538121174862318</v>
      </c>
      <c r="M390">
        <v>1.265759674276637</v>
      </c>
      <c r="N390">
        <v>-0.63924307245866796</v>
      </c>
      <c r="O390">
        <v>-0.66801031840997416</v>
      </c>
    </row>
    <row r="391" spans="1:15" x14ac:dyDescent="0.25">
      <c r="A391">
        <v>-255.86666099999999</v>
      </c>
      <c r="B391">
        <v>176.48122425</v>
      </c>
      <c r="C391">
        <v>277.06960299999997</v>
      </c>
      <c r="D391">
        <v>-238.98855599999999</v>
      </c>
      <c r="E391">
        <v>66.789279999999991</v>
      </c>
      <c r="F391">
        <v>6.6755684999999998</v>
      </c>
      <c r="G391">
        <v>316.40552500000001</v>
      </c>
      <c r="H391">
        <v>20</v>
      </c>
      <c r="I391">
        <v>40</v>
      </c>
      <c r="J391">
        <v>1.18</v>
      </c>
      <c r="K391">
        <v>22.912121500000001</v>
      </c>
      <c r="L391">
        <v>-1.6960875146402921</v>
      </c>
      <c r="M391">
        <v>1.322263901838145</v>
      </c>
      <c r="N391">
        <v>-0.79444426268853918</v>
      </c>
      <c r="O391">
        <v>-0.80869737157799304</v>
      </c>
    </row>
    <row r="392" spans="1:15" x14ac:dyDescent="0.25">
      <c r="A392">
        <v>-276.39012924999997</v>
      </c>
      <c r="B392">
        <v>132.42104699999999</v>
      </c>
      <c r="C392">
        <v>253.04335399999999</v>
      </c>
      <c r="D392">
        <v>-258.78771975000001</v>
      </c>
      <c r="E392">
        <v>11.62331975</v>
      </c>
      <c r="F392">
        <v>6.0908457499999997</v>
      </c>
      <c r="G392">
        <v>293.59651174999999</v>
      </c>
      <c r="H392">
        <v>20</v>
      </c>
      <c r="I392">
        <v>44</v>
      </c>
      <c r="J392">
        <v>1.18</v>
      </c>
      <c r="K392">
        <v>22.074803500000002</v>
      </c>
      <c r="L392">
        <v>-1.8961844879170779</v>
      </c>
      <c r="M392">
        <v>1.401111418794539</v>
      </c>
      <c r="N392">
        <v>-1.009902026121025</v>
      </c>
      <c r="O392">
        <v>-0.98018815390481473</v>
      </c>
    </row>
    <row r="393" spans="1:15" x14ac:dyDescent="0.25">
      <c r="A393">
        <v>214.54607799999999</v>
      </c>
      <c r="B393">
        <v>124.29204350000001</v>
      </c>
      <c r="C393">
        <v>-317.1571045</v>
      </c>
      <c r="D393">
        <v>-323.82336450000003</v>
      </c>
      <c r="E393">
        <v>-52.673560000000002</v>
      </c>
      <c r="F393">
        <v>5.6523067500000002</v>
      </c>
      <c r="G393">
        <v>272.16379549999999</v>
      </c>
      <c r="H393">
        <v>24</v>
      </c>
      <c r="I393">
        <v>-44</v>
      </c>
      <c r="J393">
        <v>1.18</v>
      </c>
      <c r="K393">
        <v>21.253565500000001</v>
      </c>
      <c r="L393">
        <v>1.9853362036353459</v>
      </c>
      <c r="M393">
        <v>1.673225290810358</v>
      </c>
      <c r="N393">
        <v>-1.212919091852098</v>
      </c>
      <c r="O393">
        <v>-1.2177878309528629</v>
      </c>
    </row>
    <row r="394" spans="1:15" x14ac:dyDescent="0.25">
      <c r="A394">
        <v>218.18502050000001</v>
      </c>
      <c r="B394">
        <v>150.60308075</v>
      </c>
      <c r="C394">
        <v>-280.88480375</v>
      </c>
      <c r="D394">
        <v>-285.40513625</v>
      </c>
      <c r="E394">
        <v>-5.7981055000000001</v>
      </c>
      <c r="F394">
        <v>5.55485775</v>
      </c>
      <c r="G394">
        <v>269.8984375</v>
      </c>
      <c r="H394">
        <v>24</v>
      </c>
      <c r="I394">
        <v>-40</v>
      </c>
      <c r="J394">
        <v>1.18</v>
      </c>
      <c r="K394">
        <v>21.166934000000001</v>
      </c>
      <c r="L394">
        <v>1.7994569595339831</v>
      </c>
      <c r="M394">
        <v>1.572073873814664</v>
      </c>
      <c r="N394">
        <v>-0.99406036802123077</v>
      </c>
      <c r="O394">
        <v>-1.0409439396630631</v>
      </c>
    </row>
    <row r="395" spans="1:15" x14ac:dyDescent="0.25">
      <c r="A395">
        <v>235.54676025000001</v>
      </c>
      <c r="B395">
        <v>187.11144999999999</v>
      </c>
      <c r="C395">
        <v>-263.60582725</v>
      </c>
      <c r="D395">
        <v>-263.46433274999998</v>
      </c>
      <c r="E395">
        <v>39.832169499999999</v>
      </c>
      <c r="F395">
        <v>5.9933967499999996</v>
      </c>
      <c r="G395">
        <v>288.42794025000001</v>
      </c>
      <c r="H395">
        <v>24</v>
      </c>
      <c r="I395">
        <v>-36</v>
      </c>
      <c r="J395">
        <v>1.18</v>
      </c>
      <c r="K395">
        <v>21.879255000000001</v>
      </c>
      <c r="L395">
        <v>1.645376208755625</v>
      </c>
      <c r="M395">
        <v>1.485247956896157</v>
      </c>
      <c r="N395">
        <v>-0.81945468426828949</v>
      </c>
      <c r="O395">
        <v>-0.88845640650332702</v>
      </c>
    </row>
    <row r="396" spans="1:15" x14ac:dyDescent="0.25">
      <c r="A396">
        <v>248.696575</v>
      </c>
      <c r="B396">
        <v>221.31100475</v>
      </c>
      <c r="C396">
        <v>-241.274002</v>
      </c>
      <c r="D396">
        <v>-238.07070924999999</v>
      </c>
      <c r="E396">
        <v>83.508945499999996</v>
      </c>
      <c r="F396">
        <v>6.48066225</v>
      </c>
      <c r="G396">
        <v>306.39715575000002</v>
      </c>
      <c r="H396">
        <v>24</v>
      </c>
      <c r="I396">
        <v>-32</v>
      </c>
      <c r="J396">
        <v>1.18</v>
      </c>
      <c r="K396">
        <v>22.546218</v>
      </c>
      <c r="L396">
        <v>1.5161080748143341</v>
      </c>
      <c r="M396">
        <v>1.421439435851966</v>
      </c>
      <c r="N396">
        <v>-0.68968552138121764</v>
      </c>
      <c r="O396">
        <v>-0.76166276979088132</v>
      </c>
    </row>
    <row r="397" spans="1:15" x14ac:dyDescent="0.25">
      <c r="A397">
        <v>257.52641699999998</v>
      </c>
      <c r="B397">
        <v>252.91311250000001</v>
      </c>
      <c r="C397">
        <v>-207.3927765</v>
      </c>
      <c r="D397">
        <v>-211.32217025</v>
      </c>
      <c r="E397">
        <v>127.543369</v>
      </c>
      <c r="F397">
        <v>6.8704725</v>
      </c>
      <c r="G397">
        <v>321.96514875000003</v>
      </c>
      <c r="H397">
        <v>24</v>
      </c>
      <c r="I397">
        <v>-28</v>
      </c>
      <c r="J397">
        <v>1.18</v>
      </c>
      <c r="K397">
        <v>23.109701250000001</v>
      </c>
      <c r="L397">
        <v>1.3800012790276801</v>
      </c>
      <c r="M397">
        <v>1.37797082228895</v>
      </c>
      <c r="N397">
        <v>-0.57711393172318382</v>
      </c>
      <c r="O397">
        <v>-0.64182182969198576</v>
      </c>
    </row>
    <row r="398" spans="1:15" x14ac:dyDescent="0.25">
      <c r="A398">
        <v>262.70583375000001</v>
      </c>
      <c r="B398">
        <v>281.14818574999998</v>
      </c>
      <c r="C398">
        <v>-166.11273199999999</v>
      </c>
      <c r="D398">
        <v>-182.25717925000001</v>
      </c>
      <c r="E398">
        <v>167.59903324999999</v>
      </c>
      <c r="F398">
        <v>6.9679254999999998</v>
      </c>
      <c r="G398">
        <v>335.09187300000002</v>
      </c>
      <c r="H398">
        <v>24</v>
      </c>
      <c r="I398">
        <v>-24</v>
      </c>
      <c r="J398">
        <v>1.18</v>
      </c>
      <c r="K398">
        <v>23.582652750000001</v>
      </c>
      <c r="L398">
        <v>1.2546607366578491</v>
      </c>
      <c r="M398">
        <v>1.355851956168074</v>
      </c>
      <c r="N398">
        <v>-0.49007323466803138</v>
      </c>
      <c r="O398">
        <v>-0.53003282794462403</v>
      </c>
    </row>
    <row r="399" spans="1:15" x14ac:dyDescent="0.25">
      <c r="A399">
        <v>241.41386025</v>
      </c>
      <c r="B399">
        <v>282.83171075000001</v>
      </c>
      <c r="C399">
        <v>-103.31291</v>
      </c>
      <c r="D399">
        <v>-131.8632925</v>
      </c>
      <c r="E399">
        <v>191.337391</v>
      </c>
      <c r="F399">
        <v>6.5781132499999986</v>
      </c>
      <c r="G399">
        <v>321.64497375000002</v>
      </c>
      <c r="H399">
        <v>24</v>
      </c>
      <c r="I399">
        <v>-20</v>
      </c>
      <c r="J399">
        <v>1.18</v>
      </c>
      <c r="K399">
        <v>23.108651250000001</v>
      </c>
      <c r="L399">
        <v>1.115898708634758</v>
      </c>
      <c r="M399">
        <v>1.3423705979225651</v>
      </c>
      <c r="N399">
        <v>-0.42180856530832078</v>
      </c>
      <c r="O399">
        <v>-0.40192472103905952</v>
      </c>
    </row>
    <row r="400" spans="1:15" x14ac:dyDescent="0.25">
      <c r="A400">
        <v>210.54325474999999</v>
      </c>
      <c r="B400">
        <v>269.84453600000001</v>
      </c>
      <c r="C400">
        <v>-42.317689000000001</v>
      </c>
      <c r="D400">
        <v>-102.6234705</v>
      </c>
      <c r="E400">
        <v>196.97021874999999</v>
      </c>
      <c r="F400">
        <v>6.3344802500000004</v>
      </c>
      <c r="G400">
        <v>297.07237225</v>
      </c>
      <c r="H400">
        <v>24</v>
      </c>
      <c r="I400">
        <v>-16</v>
      </c>
      <c r="J400">
        <v>1.18</v>
      </c>
      <c r="K400">
        <v>22.198531750000001</v>
      </c>
      <c r="L400">
        <v>0.9384774723074214</v>
      </c>
      <c r="M400">
        <v>1.3823853012546841</v>
      </c>
      <c r="N400">
        <v>-0.37153795825603902</v>
      </c>
      <c r="O400">
        <v>-0.2924833767543224</v>
      </c>
    </row>
    <row r="401" spans="1:15" x14ac:dyDescent="0.25">
      <c r="A401">
        <v>185.15795499999999</v>
      </c>
      <c r="B401">
        <v>260.36871324999998</v>
      </c>
      <c r="C401">
        <v>5.3742697499999998</v>
      </c>
      <c r="D401">
        <v>-90.910055</v>
      </c>
      <c r="E401">
        <v>200.90426249999999</v>
      </c>
      <c r="F401">
        <v>5.8472169999999997</v>
      </c>
      <c r="G401">
        <v>279.22322075</v>
      </c>
      <c r="H401">
        <v>24</v>
      </c>
      <c r="I401">
        <v>-12</v>
      </c>
      <c r="J401">
        <v>1.18</v>
      </c>
      <c r="K401">
        <v>21.525538999999998</v>
      </c>
      <c r="L401">
        <v>0.73780581208614315</v>
      </c>
      <c r="M401">
        <v>1.4416003065654319</v>
      </c>
      <c r="N401">
        <v>-0.32141060819726752</v>
      </c>
      <c r="O401">
        <v>-0.19950933608406929</v>
      </c>
    </row>
    <row r="402" spans="1:15" x14ac:dyDescent="0.25">
      <c r="A402">
        <v>159.93919</v>
      </c>
      <c r="B402">
        <v>252.04729825000001</v>
      </c>
      <c r="C402">
        <v>39.832970750000001</v>
      </c>
      <c r="D402">
        <v>-85.403005499999992</v>
      </c>
      <c r="E402">
        <v>200.367794</v>
      </c>
      <c r="F402">
        <v>5.7010335000000003</v>
      </c>
      <c r="G402">
        <v>264.88972475000003</v>
      </c>
      <c r="H402">
        <v>24</v>
      </c>
      <c r="I402">
        <v>-8</v>
      </c>
      <c r="J402">
        <v>1.18</v>
      </c>
      <c r="K402">
        <v>20.9595445</v>
      </c>
      <c r="L402">
        <v>0.53822889193377321</v>
      </c>
      <c r="M402">
        <v>1.512212457884117</v>
      </c>
      <c r="N402">
        <v>-0.28915859024468021</v>
      </c>
      <c r="O402">
        <v>-0.12765944974361379</v>
      </c>
    </row>
    <row r="403" spans="1:15" x14ac:dyDescent="0.25">
      <c r="A403">
        <v>146.1131895</v>
      </c>
      <c r="B403">
        <v>268.44961525000002</v>
      </c>
      <c r="C403">
        <v>72.078725750000004</v>
      </c>
      <c r="D403">
        <v>-92.833154500000006</v>
      </c>
      <c r="E403">
        <v>218.65213424999999</v>
      </c>
      <c r="F403">
        <v>5.8472169999999997</v>
      </c>
      <c r="G403">
        <v>279.14317325000002</v>
      </c>
      <c r="H403">
        <v>24</v>
      </c>
      <c r="I403">
        <v>-4</v>
      </c>
      <c r="J403">
        <v>1.18</v>
      </c>
      <c r="K403">
        <v>21.522378</v>
      </c>
      <c r="L403">
        <v>0.32328446326544807</v>
      </c>
      <c r="M403">
        <v>1.577473631527488</v>
      </c>
      <c r="N403">
        <v>-0.26414779775872538</v>
      </c>
      <c r="O403">
        <v>-7.0825819526456654E-2</v>
      </c>
    </row>
    <row r="404" spans="1:15" x14ac:dyDescent="0.25">
      <c r="A404">
        <v>128.45560449999999</v>
      </c>
      <c r="B404">
        <v>288.98857900000002</v>
      </c>
      <c r="C404">
        <v>104.82126225</v>
      </c>
      <c r="D404">
        <v>-101.39968675</v>
      </c>
      <c r="E404">
        <v>237.2941285</v>
      </c>
      <c r="F404">
        <v>6.1883032499999997</v>
      </c>
      <c r="G404">
        <v>298.07288375000002</v>
      </c>
      <c r="H404">
        <v>24</v>
      </c>
      <c r="I404">
        <v>0</v>
      </c>
      <c r="J404">
        <v>1.18</v>
      </c>
      <c r="K404">
        <v>22.242274250000001</v>
      </c>
      <c r="L404">
        <v>0.1003354011648651</v>
      </c>
      <c r="M404">
        <v>1.657133680406359</v>
      </c>
      <c r="N404">
        <v>-0.25802026924968652</v>
      </c>
      <c r="O404">
        <v>-1.897656855453007E-2</v>
      </c>
    </row>
    <row r="405" spans="1:15" x14ac:dyDescent="0.25">
      <c r="A405">
        <v>107.512823</v>
      </c>
      <c r="B405">
        <v>304.28456875000001</v>
      </c>
      <c r="C405">
        <v>137.51864624999999</v>
      </c>
      <c r="D405">
        <v>-106.338545</v>
      </c>
      <c r="E405">
        <v>250.39269275000001</v>
      </c>
      <c r="F405">
        <v>6.6268419999999999</v>
      </c>
      <c r="G405">
        <v>315.00156375</v>
      </c>
      <c r="H405">
        <v>24</v>
      </c>
      <c r="I405">
        <v>4</v>
      </c>
      <c r="J405">
        <v>1.18</v>
      </c>
      <c r="K405">
        <v>22.861937000000001</v>
      </c>
      <c r="L405">
        <v>-0.120101661650042</v>
      </c>
      <c r="M405">
        <v>1.6437979793204911</v>
      </c>
      <c r="N405">
        <v>-0.25866975360078032</v>
      </c>
      <c r="O405">
        <v>-2.4173819936424749E-2</v>
      </c>
    </row>
    <row r="406" spans="1:15" x14ac:dyDescent="0.25">
      <c r="A406">
        <v>78.349973750000004</v>
      </c>
      <c r="B406">
        <v>314.91481775</v>
      </c>
      <c r="C406">
        <v>170.30635075000001</v>
      </c>
      <c r="D406">
        <v>-112.7197285</v>
      </c>
      <c r="E406">
        <v>255.17612075</v>
      </c>
      <c r="F406">
        <v>6.8217479999999986</v>
      </c>
      <c r="G406">
        <v>328.25027449999999</v>
      </c>
      <c r="H406">
        <v>24</v>
      </c>
      <c r="I406">
        <v>8</v>
      </c>
      <c r="J406">
        <v>1.18</v>
      </c>
      <c r="K406">
        <v>23.340813499999999</v>
      </c>
      <c r="L406">
        <v>-0.33760058191140607</v>
      </c>
      <c r="M406">
        <v>1.570105706426471</v>
      </c>
      <c r="N406">
        <v>-0.26831216558298299</v>
      </c>
      <c r="O406">
        <v>-8.81105319799457E-2</v>
      </c>
    </row>
    <row r="407" spans="1:15" x14ac:dyDescent="0.25">
      <c r="A407">
        <v>42.791269249999999</v>
      </c>
      <c r="B407">
        <v>321.793205</v>
      </c>
      <c r="C407">
        <v>201.60369850000001</v>
      </c>
      <c r="D407">
        <v>-116.434805</v>
      </c>
      <c r="E407">
        <v>254.90789025000001</v>
      </c>
      <c r="F407">
        <v>7.1141052499999997</v>
      </c>
      <c r="G407">
        <v>338.33354174999999</v>
      </c>
      <c r="H407">
        <v>24</v>
      </c>
      <c r="I407">
        <v>12</v>
      </c>
      <c r="J407">
        <v>1.18</v>
      </c>
      <c r="K407">
        <v>23.693606750000001</v>
      </c>
      <c r="L407">
        <v>-0.54436234223627533</v>
      </c>
      <c r="M407">
        <v>1.5021592517900471</v>
      </c>
      <c r="N407">
        <v>-0.28597642794876332</v>
      </c>
      <c r="O407">
        <v>-0.1505708017506581</v>
      </c>
    </row>
    <row r="408" spans="1:15" x14ac:dyDescent="0.25">
      <c r="A408">
        <v>1.1285657499999999</v>
      </c>
      <c r="B408">
        <v>289.66199499999999</v>
      </c>
      <c r="C408">
        <v>202.01015075000001</v>
      </c>
      <c r="D408">
        <v>-105.85776875000001</v>
      </c>
      <c r="E408">
        <v>221.60267999999999</v>
      </c>
      <c r="F408">
        <v>6.6755665000000004</v>
      </c>
      <c r="G408">
        <v>309.7188645</v>
      </c>
      <c r="H408">
        <v>24</v>
      </c>
      <c r="I408">
        <v>16</v>
      </c>
      <c r="J408">
        <v>1.18</v>
      </c>
      <c r="K408">
        <v>22.663438750000001</v>
      </c>
      <c r="L408">
        <v>-0.73323170067798449</v>
      </c>
      <c r="M408">
        <v>1.4437132001469939</v>
      </c>
      <c r="N408">
        <v>-0.32168179215000792</v>
      </c>
      <c r="O408">
        <v>-0.21548201796182409</v>
      </c>
    </row>
    <row r="409" spans="1:15" x14ac:dyDescent="0.25">
      <c r="A409">
        <v>-37.076203499999998</v>
      </c>
      <c r="B409">
        <v>262.77375050000001</v>
      </c>
      <c r="C409">
        <v>205.80376824999999</v>
      </c>
      <c r="D409">
        <v>-96.766761750000001</v>
      </c>
      <c r="E409">
        <v>194.33262275000001</v>
      </c>
      <c r="F409">
        <v>5.9446720000000006</v>
      </c>
      <c r="G409">
        <v>289.868675</v>
      </c>
      <c r="H409">
        <v>24</v>
      </c>
      <c r="I409">
        <v>20</v>
      </c>
      <c r="J409">
        <v>1.18</v>
      </c>
      <c r="K409">
        <v>21.936869250000001</v>
      </c>
      <c r="L409">
        <v>-0.92966810384591758</v>
      </c>
      <c r="M409">
        <v>1.3762245354243521</v>
      </c>
      <c r="N409">
        <v>-0.36569516144808878</v>
      </c>
      <c r="O409">
        <v>-0.27891524581857252</v>
      </c>
    </row>
    <row r="410" spans="1:15" x14ac:dyDescent="0.25">
      <c r="A410">
        <v>-79.772966499999995</v>
      </c>
      <c r="B410">
        <v>237.90571600000001</v>
      </c>
      <c r="C410">
        <v>207.38445250000001</v>
      </c>
      <c r="D410">
        <v>-108.17422474999999</v>
      </c>
      <c r="E410">
        <v>164.42498399999999</v>
      </c>
      <c r="F410">
        <v>5.8959414999999993</v>
      </c>
      <c r="G410">
        <v>274.60488125000001</v>
      </c>
      <c r="H410">
        <v>24</v>
      </c>
      <c r="I410">
        <v>24</v>
      </c>
      <c r="J410">
        <v>1.18</v>
      </c>
      <c r="K410">
        <v>21.34100625</v>
      </c>
      <c r="L410">
        <v>-1.1113052998857069</v>
      </c>
      <c r="M410">
        <v>1.339338825668505</v>
      </c>
      <c r="N410">
        <v>-0.42641839778334528</v>
      </c>
      <c r="O410">
        <v>-0.38649454179996068</v>
      </c>
    </row>
    <row r="411" spans="1:15" x14ac:dyDescent="0.25">
      <c r="A411">
        <v>-122.34756075</v>
      </c>
      <c r="B411">
        <v>219.38697049999999</v>
      </c>
      <c r="C411">
        <v>210.81677225000001</v>
      </c>
      <c r="D411">
        <v>-133.08707824999999</v>
      </c>
      <c r="E411">
        <v>136.70788949999999</v>
      </c>
      <c r="F411">
        <v>5.7984865000000001</v>
      </c>
      <c r="G411">
        <v>268.53105149999999</v>
      </c>
      <c r="H411">
        <v>24</v>
      </c>
      <c r="I411">
        <v>28</v>
      </c>
      <c r="J411">
        <v>1.18</v>
      </c>
      <c r="K411">
        <v>21.10232925</v>
      </c>
      <c r="L411">
        <v>-1.2599689289342599</v>
      </c>
      <c r="M411">
        <v>1.332971202773392</v>
      </c>
      <c r="N411">
        <v>-0.49854897709291479</v>
      </c>
      <c r="O411">
        <v>-0.50490556971525469</v>
      </c>
    </row>
    <row r="412" spans="1:15" x14ac:dyDescent="0.25">
      <c r="A412">
        <v>-176.97797</v>
      </c>
      <c r="B412">
        <v>219.386978</v>
      </c>
      <c r="C412">
        <v>232.765568</v>
      </c>
      <c r="D412">
        <v>-182.43201450000001</v>
      </c>
      <c r="E412">
        <v>117.7529775</v>
      </c>
      <c r="F412">
        <v>6.1395770000000001</v>
      </c>
      <c r="G412">
        <v>289.41160574999998</v>
      </c>
      <c r="H412">
        <v>24</v>
      </c>
      <c r="I412">
        <v>32</v>
      </c>
      <c r="J412">
        <v>1.18</v>
      </c>
      <c r="K412">
        <v>21.911658500000001</v>
      </c>
      <c r="L412">
        <v>-1.3774817052495201</v>
      </c>
      <c r="M412">
        <v>1.3508460902223569</v>
      </c>
      <c r="N412">
        <v>-0.57708859055481454</v>
      </c>
      <c r="O412">
        <v>-0.62477435872941278</v>
      </c>
    </row>
    <row r="413" spans="1:15" x14ac:dyDescent="0.25">
      <c r="A413">
        <v>-231.30105225</v>
      </c>
      <c r="B413">
        <v>212.60478975000001</v>
      </c>
      <c r="C413">
        <v>251.14655325000001</v>
      </c>
      <c r="D413">
        <v>-239.95010375000001</v>
      </c>
      <c r="E413">
        <v>89.857055500000001</v>
      </c>
      <c r="F413">
        <v>6.3832114999999998</v>
      </c>
      <c r="G413">
        <v>307.99797074999998</v>
      </c>
      <c r="H413">
        <v>24</v>
      </c>
      <c r="I413">
        <v>36</v>
      </c>
      <c r="J413">
        <v>1.18</v>
      </c>
      <c r="K413">
        <v>22.609970000000001</v>
      </c>
      <c r="L413">
        <v>-1.482269932616743</v>
      </c>
      <c r="M413">
        <v>1.390404173972581</v>
      </c>
      <c r="N413">
        <v>-0.67022273347273464</v>
      </c>
      <c r="O413">
        <v>-0.74353907177971124</v>
      </c>
    </row>
    <row r="414" spans="1:15" x14ac:dyDescent="0.25">
      <c r="A414">
        <v>-280.12878425000002</v>
      </c>
      <c r="B414">
        <v>194.13415125</v>
      </c>
      <c r="C414">
        <v>260.67575825</v>
      </c>
      <c r="D414">
        <v>-284.66210150000001</v>
      </c>
      <c r="E414">
        <v>50.471958749999999</v>
      </c>
      <c r="F414">
        <v>6.8217439999999998</v>
      </c>
      <c r="G414">
        <v>322.24529250000001</v>
      </c>
      <c r="H414">
        <v>24</v>
      </c>
      <c r="I414">
        <v>40</v>
      </c>
      <c r="J414">
        <v>1.18</v>
      </c>
      <c r="K414">
        <v>23.121760500000001</v>
      </c>
      <c r="L414">
        <v>-1.6246761957323641</v>
      </c>
      <c r="M414">
        <v>1.4384025420076429</v>
      </c>
      <c r="N414">
        <v>-0.81646905010758741</v>
      </c>
      <c r="O414">
        <v>-0.86885359565487641</v>
      </c>
    </row>
    <row r="415" spans="1:15" x14ac:dyDescent="0.25">
      <c r="A415">
        <v>-332.60506425</v>
      </c>
      <c r="B415">
        <v>170.61294574999999</v>
      </c>
      <c r="C415">
        <v>266.50167075000002</v>
      </c>
      <c r="D415">
        <v>-331.86540975000003</v>
      </c>
      <c r="E415">
        <v>2.7717307500000001</v>
      </c>
      <c r="F415">
        <v>6.6268440000000002</v>
      </c>
      <c r="G415">
        <v>336.13241575000001</v>
      </c>
      <c r="H415">
        <v>24</v>
      </c>
      <c r="I415">
        <v>44</v>
      </c>
      <c r="J415">
        <v>1.18</v>
      </c>
      <c r="K415">
        <v>23.632255000000001</v>
      </c>
      <c r="L415">
        <v>-1.7883506408481189</v>
      </c>
      <c r="M415">
        <v>1.49991106540424</v>
      </c>
      <c r="N415">
        <v>-0.99509785199887657</v>
      </c>
      <c r="O415">
        <v>-1.0115113036628529</v>
      </c>
    </row>
    <row r="416" spans="1:15" x14ac:dyDescent="0.25">
      <c r="A416">
        <v>221.69102100000001</v>
      </c>
      <c r="B416">
        <v>153.44102100000001</v>
      </c>
      <c r="C416">
        <v>-390.06263749999999</v>
      </c>
      <c r="D416">
        <v>-398.29969025000003</v>
      </c>
      <c r="E416">
        <v>-75.509176249999996</v>
      </c>
      <c r="F416">
        <v>6.4319354999999998</v>
      </c>
      <c r="G416">
        <v>310.31916825000002</v>
      </c>
      <c r="H416">
        <v>28</v>
      </c>
      <c r="I416">
        <v>-44</v>
      </c>
      <c r="J416">
        <v>1.18</v>
      </c>
      <c r="K416">
        <v>22.694974500000001</v>
      </c>
      <c r="L416">
        <v>1.919693897350637</v>
      </c>
      <c r="M416">
        <v>1.7313752632197079</v>
      </c>
      <c r="N416">
        <v>-1.210736836967943</v>
      </c>
      <c r="O416">
        <v>-1.257132385887836</v>
      </c>
    </row>
    <row r="417" spans="1:15" x14ac:dyDescent="0.25">
      <c r="A417">
        <v>212.21326074999999</v>
      </c>
      <c r="B417">
        <v>171.76736074999999</v>
      </c>
      <c r="C417">
        <v>-324.87174225000001</v>
      </c>
      <c r="D417">
        <v>-334.57523350000002</v>
      </c>
      <c r="E417">
        <v>-24.173640249999998</v>
      </c>
      <c r="F417">
        <v>6.1395745000000002</v>
      </c>
      <c r="G417">
        <v>290.63525399999997</v>
      </c>
      <c r="H417">
        <v>28</v>
      </c>
      <c r="I417">
        <v>-40</v>
      </c>
      <c r="J417">
        <v>1.18</v>
      </c>
      <c r="K417">
        <v>21.958948750000001</v>
      </c>
      <c r="L417">
        <v>1.757770354019224</v>
      </c>
      <c r="M417">
        <v>1.6571562842739189</v>
      </c>
      <c r="N417">
        <v>-1.030316446308962</v>
      </c>
      <c r="O417">
        <v>-1.099211113897246</v>
      </c>
    </row>
    <row r="418" spans="1:15" x14ac:dyDescent="0.25">
      <c r="A418">
        <v>204.508915</v>
      </c>
      <c r="B418">
        <v>186.48614875000001</v>
      </c>
      <c r="C418">
        <v>-273.03482050000002</v>
      </c>
      <c r="D418">
        <v>-279.02394099999998</v>
      </c>
      <c r="E418">
        <v>17.882018250000002</v>
      </c>
      <c r="F418">
        <v>5.7984865000000001</v>
      </c>
      <c r="G418">
        <v>275.45330050000001</v>
      </c>
      <c r="H418">
        <v>28</v>
      </c>
      <c r="I418">
        <v>-36</v>
      </c>
      <c r="J418">
        <v>1.18</v>
      </c>
      <c r="K418">
        <v>21.378522749999998</v>
      </c>
      <c r="L418">
        <v>1.624789301567259</v>
      </c>
      <c r="M418">
        <v>1.5838457825066889</v>
      </c>
      <c r="N418">
        <v>-0.87635834542184932</v>
      </c>
      <c r="O418">
        <v>-0.95888861921704827</v>
      </c>
    </row>
    <row r="419" spans="1:15" x14ac:dyDescent="0.25">
      <c r="A419">
        <v>199.09278850000001</v>
      </c>
      <c r="B419">
        <v>202.35935574999999</v>
      </c>
      <c r="C419">
        <v>-234.95792775000001</v>
      </c>
      <c r="D419">
        <v>-236.80320750000001</v>
      </c>
      <c r="E419">
        <v>51.857813749999998</v>
      </c>
      <c r="F419">
        <v>5.7984884999999986</v>
      </c>
      <c r="G419">
        <v>269.76277900000002</v>
      </c>
      <c r="H419">
        <v>28</v>
      </c>
      <c r="I419">
        <v>-32</v>
      </c>
      <c r="J419">
        <v>1.18</v>
      </c>
      <c r="K419">
        <v>21.151725750000001</v>
      </c>
      <c r="L419">
        <v>1.508487265147515</v>
      </c>
      <c r="M419">
        <v>1.526250598355384</v>
      </c>
      <c r="N419">
        <v>-0.757302528532104</v>
      </c>
      <c r="O419">
        <v>-0.83992433306979464</v>
      </c>
    </row>
    <row r="420" spans="1:15" x14ac:dyDescent="0.25">
      <c r="A420">
        <v>211.64041900000001</v>
      </c>
      <c r="B420">
        <v>234.87537775000001</v>
      </c>
      <c r="C420">
        <v>-211.85914199999999</v>
      </c>
      <c r="D420">
        <v>-215.34319300000001</v>
      </c>
      <c r="E420">
        <v>90.39351825</v>
      </c>
      <c r="F420">
        <v>6.2370260000000002</v>
      </c>
      <c r="G420">
        <v>290.73222349999998</v>
      </c>
      <c r="H420">
        <v>28</v>
      </c>
      <c r="I420">
        <v>-28</v>
      </c>
      <c r="J420">
        <v>1.18</v>
      </c>
      <c r="K420">
        <v>21.958921</v>
      </c>
      <c r="L420">
        <v>1.3931294161467951</v>
      </c>
      <c r="M420">
        <v>1.4810087788784521</v>
      </c>
      <c r="N420">
        <v>-0.65903389839462445</v>
      </c>
      <c r="O420">
        <v>-0.72317257110069288</v>
      </c>
    </row>
    <row r="421" spans="1:15" x14ac:dyDescent="0.25">
      <c r="A421">
        <v>218.80246750000001</v>
      </c>
      <c r="B421">
        <v>266.62178024999997</v>
      </c>
      <c r="C421">
        <v>-179.91786200000001</v>
      </c>
      <c r="D421">
        <v>-196.06851574999999</v>
      </c>
      <c r="E421">
        <v>126.60456075</v>
      </c>
      <c r="F421">
        <v>6.6268417499999996</v>
      </c>
      <c r="G421">
        <v>309.26068874999999</v>
      </c>
      <c r="H421">
        <v>28</v>
      </c>
      <c r="I421">
        <v>-24</v>
      </c>
      <c r="J421">
        <v>1.18</v>
      </c>
      <c r="K421">
        <v>22.648138500000002</v>
      </c>
      <c r="L421">
        <v>1.2673949791250321</v>
      </c>
      <c r="M421">
        <v>1.4707356749837091</v>
      </c>
      <c r="N421">
        <v>-0.58060242238077908</v>
      </c>
      <c r="O421">
        <v>-0.61862912409507576</v>
      </c>
    </row>
    <row r="422" spans="1:15" x14ac:dyDescent="0.25">
      <c r="A422">
        <v>218.03518700000001</v>
      </c>
      <c r="B422">
        <v>292.40372474999998</v>
      </c>
      <c r="C422">
        <v>-135.1188545</v>
      </c>
      <c r="D422">
        <v>-175.74486924999999</v>
      </c>
      <c r="E422">
        <v>159.19450000000001</v>
      </c>
      <c r="F422">
        <v>6.9191989999999999</v>
      </c>
      <c r="G422">
        <v>323.12816624999999</v>
      </c>
      <c r="H422">
        <v>28</v>
      </c>
      <c r="I422">
        <v>-20</v>
      </c>
      <c r="J422">
        <v>1.18</v>
      </c>
      <c r="K422">
        <v>23.150533500000002</v>
      </c>
      <c r="L422">
        <v>1.122471951398202</v>
      </c>
      <c r="M422">
        <v>1.487968937635066</v>
      </c>
      <c r="N422">
        <v>-0.52108831591673932</v>
      </c>
      <c r="O422">
        <v>-0.51602001606688686</v>
      </c>
    </row>
    <row r="423" spans="1:15" x14ac:dyDescent="0.25">
      <c r="A423">
        <v>213.50490575000001</v>
      </c>
      <c r="B423">
        <v>315.44392399999998</v>
      </c>
      <c r="C423">
        <v>-87.026464500000003</v>
      </c>
      <c r="D423">
        <v>-165.211544</v>
      </c>
      <c r="E423">
        <v>188.833912</v>
      </c>
      <c r="F423">
        <v>7.0166519999999997</v>
      </c>
      <c r="G423">
        <v>337.35343925000001</v>
      </c>
      <c r="H423">
        <v>28</v>
      </c>
      <c r="I423">
        <v>-16</v>
      </c>
      <c r="J423">
        <v>1.18</v>
      </c>
      <c r="K423">
        <v>23.6620515</v>
      </c>
      <c r="L423">
        <v>0.95422555422857935</v>
      </c>
      <c r="M423">
        <v>1.526125947825111</v>
      </c>
      <c r="N423">
        <v>-0.47157428467309431</v>
      </c>
      <c r="O423">
        <v>-0.42271815141694541</v>
      </c>
    </row>
    <row r="424" spans="1:15" x14ac:dyDescent="0.25">
      <c r="A424">
        <v>183.71352375000001</v>
      </c>
      <c r="B424">
        <v>303.89975724999999</v>
      </c>
      <c r="C424">
        <v>-33.069153</v>
      </c>
      <c r="D424">
        <v>-148.90892375000001</v>
      </c>
      <c r="E424">
        <v>193.34911725000001</v>
      </c>
      <c r="F424">
        <v>6.57811725</v>
      </c>
      <c r="G424">
        <v>317.48284124999998</v>
      </c>
      <c r="H424">
        <v>28</v>
      </c>
      <c r="I424">
        <v>-12</v>
      </c>
      <c r="J424">
        <v>1.18</v>
      </c>
      <c r="K424">
        <v>22.955502249999999</v>
      </c>
      <c r="L424">
        <v>0.76241682029787872</v>
      </c>
      <c r="M424">
        <v>1.5925040788444449</v>
      </c>
      <c r="N424">
        <v>-0.43657797554622452</v>
      </c>
      <c r="O424">
        <v>-0.34314114449654798</v>
      </c>
    </row>
    <row r="425" spans="1:15" x14ac:dyDescent="0.25">
      <c r="A425">
        <v>152.56799325</v>
      </c>
      <c r="B425">
        <v>286.58354200000002</v>
      </c>
      <c r="C425">
        <v>8.7162670000000002</v>
      </c>
      <c r="D425">
        <v>-138.90008125</v>
      </c>
      <c r="E425">
        <v>189.1021385</v>
      </c>
      <c r="F425">
        <v>6.2857539999999998</v>
      </c>
      <c r="G425">
        <v>295.59722125000002</v>
      </c>
      <c r="H425">
        <v>28</v>
      </c>
      <c r="I425">
        <v>-8</v>
      </c>
      <c r="J425">
        <v>1.18</v>
      </c>
      <c r="K425">
        <v>22.144026</v>
      </c>
      <c r="L425">
        <v>0.56591474143637532</v>
      </c>
      <c r="M425">
        <v>1.6738583169810499</v>
      </c>
      <c r="N425">
        <v>-0.41897856521038968</v>
      </c>
      <c r="O425">
        <v>-0.28078999967711038</v>
      </c>
    </row>
    <row r="426" spans="1:15" x14ac:dyDescent="0.25">
      <c r="A426">
        <v>123.634243</v>
      </c>
      <c r="B426">
        <v>274.26979825000001</v>
      </c>
      <c r="C426">
        <v>42.362048999999999</v>
      </c>
      <c r="D426">
        <v>-128.54158025000001</v>
      </c>
      <c r="E426">
        <v>186.330433</v>
      </c>
      <c r="F426">
        <v>5.7497639999999999</v>
      </c>
      <c r="G426">
        <v>279.68721000000011</v>
      </c>
      <c r="H426">
        <v>28</v>
      </c>
      <c r="I426">
        <v>-4</v>
      </c>
      <c r="J426">
        <v>1.18</v>
      </c>
      <c r="K426">
        <v>21.547621500000002</v>
      </c>
      <c r="L426">
        <v>0.35423527975924979</v>
      </c>
      <c r="M426">
        <v>1.7557933104168799</v>
      </c>
      <c r="N426">
        <v>-0.4069332840545079</v>
      </c>
      <c r="O426">
        <v>-0.21288254735744661</v>
      </c>
    </row>
    <row r="427" spans="1:15" x14ac:dyDescent="0.25">
      <c r="A427">
        <v>93.650054749999995</v>
      </c>
      <c r="B427">
        <v>260.89781925</v>
      </c>
      <c r="C427">
        <v>68.375434999999996</v>
      </c>
      <c r="D427">
        <v>-119.84393325000001</v>
      </c>
      <c r="E427">
        <v>178.99880999999999</v>
      </c>
      <c r="F427">
        <v>5.5061335000000007</v>
      </c>
      <c r="G427">
        <v>264.57571424999998</v>
      </c>
      <c r="H427">
        <v>28</v>
      </c>
      <c r="I427">
        <v>0</v>
      </c>
      <c r="J427">
        <v>1.18</v>
      </c>
      <c r="K427">
        <v>20.954722</v>
      </c>
      <c r="L427">
        <v>0.1234581702948286</v>
      </c>
      <c r="M427">
        <v>1.859719389993431</v>
      </c>
      <c r="N427">
        <v>-0.41800326628437501</v>
      </c>
      <c r="O427">
        <v>-0.15258399775942449</v>
      </c>
    </row>
    <row r="428" spans="1:15" x14ac:dyDescent="0.25">
      <c r="A428">
        <v>73.575697000000005</v>
      </c>
      <c r="B428">
        <v>281.43679049999997</v>
      </c>
      <c r="C428">
        <v>101.25345799999999</v>
      </c>
      <c r="D428">
        <v>-131.42622374999999</v>
      </c>
      <c r="E428">
        <v>194.06439599999999</v>
      </c>
      <c r="F428">
        <v>5.9933949999999996</v>
      </c>
      <c r="G428">
        <v>285.73004125</v>
      </c>
      <c r="H428">
        <v>28</v>
      </c>
      <c r="I428">
        <v>4</v>
      </c>
      <c r="J428">
        <v>1.18</v>
      </c>
      <c r="K428">
        <v>21.774506500000001</v>
      </c>
      <c r="L428">
        <v>-0.1240985645137308</v>
      </c>
      <c r="M428">
        <v>1.851548409467342</v>
      </c>
      <c r="N428">
        <v>-0.41112141845843958</v>
      </c>
      <c r="O428">
        <v>-0.15659749863289241</v>
      </c>
    </row>
    <row r="429" spans="1:15" x14ac:dyDescent="0.25">
      <c r="A429">
        <v>42.836405749999997</v>
      </c>
      <c r="B429">
        <v>298.70491049999998</v>
      </c>
      <c r="C429">
        <v>133.81534575000001</v>
      </c>
      <c r="D429">
        <v>-144.97531475</v>
      </c>
      <c r="E429">
        <v>201.35130699999999</v>
      </c>
      <c r="F429">
        <v>6.1883032500000006</v>
      </c>
      <c r="G429">
        <v>304.85873425</v>
      </c>
      <c r="H429">
        <v>28</v>
      </c>
      <c r="I429">
        <v>8</v>
      </c>
      <c r="J429">
        <v>1.18</v>
      </c>
      <c r="K429">
        <v>22.49933875</v>
      </c>
      <c r="L429">
        <v>-0.36037527481762532</v>
      </c>
      <c r="M429">
        <v>1.7577392978687441</v>
      </c>
      <c r="N429">
        <v>-0.41008198911517119</v>
      </c>
      <c r="O429">
        <v>-0.2268082210544147</v>
      </c>
    </row>
    <row r="430" spans="1:15" x14ac:dyDescent="0.25">
      <c r="A430">
        <v>5.1909355000000001</v>
      </c>
      <c r="B430">
        <v>310.24906924999999</v>
      </c>
      <c r="C430">
        <v>164.02880875</v>
      </c>
      <c r="D430">
        <v>-156.2079545</v>
      </c>
      <c r="E430">
        <v>203.40773775</v>
      </c>
      <c r="F430">
        <v>6.9679254999999998</v>
      </c>
      <c r="G430">
        <v>319.60683425000002</v>
      </c>
      <c r="H430">
        <v>28</v>
      </c>
      <c r="I430">
        <v>12</v>
      </c>
      <c r="J430">
        <v>1.18</v>
      </c>
      <c r="K430">
        <v>23.01947225</v>
      </c>
      <c r="L430">
        <v>-0.56946109752758112</v>
      </c>
      <c r="M430">
        <v>1.672410780278287</v>
      </c>
      <c r="N430">
        <v>-0.41662504042547382</v>
      </c>
      <c r="O430">
        <v>-0.2957034897513624</v>
      </c>
    </row>
    <row r="431" spans="1:15" x14ac:dyDescent="0.25">
      <c r="A431">
        <v>-40.899975750000003</v>
      </c>
      <c r="B431">
        <v>318.52236175000002</v>
      </c>
      <c r="C431">
        <v>193.70032900000001</v>
      </c>
      <c r="D431">
        <v>-164.07516475</v>
      </c>
      <c r="E431">
        <v>202.11129025</v>
      </c>
      <c r="F431">
        <v>6.9679254999999998</v>
      </c>
      <c r="G431">
        <v>333.77238475000001</v>
      </c>
      <c r="H431">
        <v>28</v>
      </c>
      <c r="I431">
        <v>16</v>
      </c>
      <c r="J431">
        <v>1.18</v>
      </c>
      <c r="K431">
        <v>23.535201499999999</v>
      </c>
      <c r="L431">
        <v>-0.77018815402195884</v>
      </c>
      <c r="M431">
        <v>1.5843753406971799</v>
      </c>
      <c r="N431">
        <v>-0.43225618982303687</v>
      </c>
      <c r="O431">
        <v>-0.35933782548822119</v>
      </c>
    </row>
    <row r="432" spans="1:15" x14ac:dyDescent="0.25">
      <c r="A432">
        <v>-89.6376135</v>
      </c>
      <c r="B432">
        <v>301.5428465</v>
      </c>
      <c r="C432">
        <v>207.02314749999999</v>
      </c>
      <c r="D432">
        <v>-163.41956325000001</v>
      </c>
      <c r="E432">
        <v>181.32346749999999</v>
      </c>
      <c r="F432">
        <v>6.6755684999999998</v>
      </c>
      <c r="G432">
        <v>325.00669875</v>
      </c>
      <c r="H432">
        <v>28</v>
      </c>
      <c r="I432">
        <v>20</v>
      </c>
      <c r="J432">
        <v>1.18</v>
      </c>
      <c r="K432">
        <v>23.228033</v>
      </c>
      <c r="L432">
        <v>-0.96365292108966139</v>
      </c>
      <c r="M432">
        <v>1.510357582084553</v>
      </c>
      <c r="N432">
        <v>-0.46673871694533248</v>
      </c>
      <c r="O432">
        <v>-0.43269791428417509</v>
      </c>
    </row>
    <row r="433" spans="1:15" x14ac:dyDescent="0.25">
      <c r="A433">
        <v>-127.3845005</v>
      </c>
      <c r="B433">
        <v>266.42938974999998</v>
      </c>
      <c r="C433">
        <v>202.64242949999999</v>
      </c>
      <c r="D433">
        <v>-163.06991975</v>
      </c>
      <c r="E433">
        <v>147.79472375</v>
      </c>
      <c r="F433">
        <v>6.2857562500000004</v>
      </c>
      <c r="G433">
        <v>299.93637825000002</v>
      </c>
      <c r="H433">
        <v>28</v>
      </c>
      <c r="I433">
        <v>24</v>
      </c>
      <c r="J433">
        <v>1.18</v>
      </c>
      <c r="K433">
        <v>22.309467999999999</v>
      </c>
      <c r="L433">
        <v>-1.1262840058094969</v>
      </c>
      <c r="M433">
        <v>1.4657629228115601</v>
      </c>
      <c r="N433">
        <v>-0.51921892029727823</v>
      </c>
      <c r="O433">
        <v>-0.51707067365525217</v>
      </c>
    </row>
    <row r="434" spans="1:15" x14ac:dyDescent="0.25">
      <c r="A434">
        <v>-162.24858125</v>
      </c>
      <c r="B434">
        <v>238.48292925000001</v>
      </c>
      <c r="C434">
        <v>201.91983425000001</v>
      </c>
      <c r="D434">
        <v>-179.67848574999999</v>
      </c>
      <c r="E434">
        <v>117.708271</v>
      </c>
      <c r="F434">
        <v>5.9446744999999996</v>
      </c>
      <c r="G434">
        <v>283.16882325</v>
      </c>
      <c r="H434">
        <v>28</v>
      </c>
      <c r="I434">
        <v>28</v>
      </c>
      <c r="J434">
        <v>1.18</v>
      </c>
      <c r="K434">
        <v>21.676499249999999</v>
      </c>
      <c r="L434">
        <v>-1.2615334318951901</v>
      </c>
      <c r="M434">
        <v>1.448571751121456</v>
      </c>
      <c r="N434">
        <v>-0.57318058958208795</v>
      </c>
      <c r="O434">
        <v>-0.61283366762815095</v>
      </c>
    </row>
    <row r="435" spans="1:15" x14ac:dyDescent="0.25">
      <c r="A435">
        <v>-189.00473024999999</v>
      </c>
      <c r="B435">
        <v>209.28584674999999</v>
      </c>
      <c r="C435">
        <v>193.70032875000001</v>
      </c>
      <c r="D435">
        <v>-197.59824374999999</v>
      </c>
      <c r="E435">
        <v>83.911291000000006</v>
      </c>
      <c r="F435">
        <v>5.7010335000000003</v>
      </c>
      <c r="G435">
        <v>266.05007174999997</v>
      </c>
      <c r="H435">
        <v>28</v>
      </c>
      <c r="I435">
        <v>32</v>
      </c>
      <c r="J435">
        <v>1.18</v>
      </c>
      <c r="K435">
        <v>21.006393500000001</v>
      </c>
      <c r="L435">
        <v>-1.380546249268906</v>
      </c>
      <c r="M435">
        <v>1.467773262876457</v>
      </c>
      <c r="N435">
        <v>-0.65704848348971756</v>
      </c>
      <c r="O435">
        <v>-0.71786792899684748</v>
      </c>
    </row>
    <row r="436" spans="1:15" x14ac:dyDescent="0.25">
      <c r="A436">
        <v>-233.37308125000001</v>
      </c>
      <c r="B436">
        <v>202.69606400000001</v>
      </c>
      <c r="C436">
        <v>205.80377200000001</v>
      </c>
      <c r="D436">
        <v>-243.40294274999999</v>
      </c>
      <c r="E436">
        <v>58.831792999999998</v>
      </c>
      <c r="F436">
        <v>5.9446702499999997</v>
      </c>
      <c r="G436">
        <v>280.24753575</v>
      </c>
      <c r="H436">
        <v>28</v>
      </c>
      <c r="I436">
        <v>36</v>
      </c>
      <c r="J436">
        <v>1.18</v>
      </c>
      <c r="K436">
        <v>21.561971750000001</v>
      </c>
      <c r="L436">
        <v>-1.477623776324847</v>
      </c>
      <c r="M436">
        <v>1.5009299958609259</v>
      </c>
      <c r="N436">
        <v>-0.74498969441052587</v>
      </c>
      <c r="O436">
        <v>-0.82207357204318043</v>
      </c>
    </row>
    <row r="437" spans="1:15" x14ac:dyDescent="0.25">
      <c r="A437">
        <v>-283.28186049999999</v>
      </c>
      <c r="B437">
        <v>193.41263975000001</v>
      </c>
      <c r="C437">
        <v>218.67498775000001</v>
      </c>
      <c r="D437">
        <v>-292.48562625</v>
      </c>
      <c r="E437">
        <v>26.644197500000001</v>
      </c>
      <c r="F437">
        <v>6.1395787500000001</v>
      </c>
      <c r="G437">
        <v>300.021614</v>
      </c>
      <c r="H437">
        <v>28</v>
      </c>
      <c r="I437">
        <v>40</v>
      </c>
      <c r="J437">
        <v>1.18</v>
      </c>
      <c r="K437">
        <v>22.318248000000001</v>
      </c>
      <c r="L437">
        <v>-1.5959142126507979</v>
      </c>
      <c r="M437">
        <v>1.5448536399909401</v>
      </c>
      <c r="N437">
        <v>-0.86919257868795818</v>
      </c>
      <c r="O437">
        <v>-0.93480850791180436</v>
      </c>
    </row>
    <row r="438" spans="1:15" x14ac:dyDescent="0.25">
      <c r="A438">
        <v>-335.03744499999999</v>
      </c>
      <c r="B438">
        <v>175.8078155</v>
      </c>
      <c r="C438">
        <v>226.08156600000001</v>
      </c>
      <c r="D438">
        <v>-339.86375425</v>
      </c>
      <c r="E438">
        <v>-13.6478495</v>
      </c>
      <c r="F438">
        <v>6.4806644999999996</v>
      </c>
      <c r="G438">
        <v>316.04545574999997</v>
      </c>
      <c r="H438">
        <v>28</v>
      </c>
      <c r="I438">
        <v>44</v>
      </c>
      <c r="J438">
        <v>1.18</v>
      </c>
      <c r="K438">
        <v>22.90601775</v>
      </c>
      <c r="L438">
        <v>-1.7329016025898989</v>
      </c>
      <c r="M438">
        <v>1.5925661534429421</v>
      </c>
      <c r="N438">
        <v>-1.018207027369197</v>
      </c>
      <c r="O438">
        <v>-1.0621605454226379</v>
      </c>
    </row>
    <row r="439" spans="1:15" x14ac:dyDescent="0.25">
      <c r="A439">
        <v>207.72718424999999</v>
      </c>
      <c r="B439">
        <v>174.17239000000001</v>
      </c>
      <c r="C439">
        <v>-445.95984650000003</v>
      </c>
      <c r="D439">
        <v>-451.70934275000002</v>
      </c>
      <c r="E439">
        <v>-104.23210525</v>
      </c>
      <c r="F439">
        <v>6.7242992499999996</v>
      </c>
      <c r="G439">
        <v>333.41101075</v>
      </c>
      <c r="H439">
        <v>32</v>
      </c>
      <c r="I439">
        <v>-44</v>
      </c>
      <c r="J439">
        <v>1.18</v>
      </c>
      <c r="K439">
        <v>23.530951999999999</v>
      </c>
      <c r="L439">
        <v>1.8969464292805069</v>
      </c>
      <c r="M439">
        <v>1.816262621055164</v>
      </c>
      <c r="N439">
        <v>-1.2700335197729651</v>
      </c>
      <c r="O439">
        <v>-1.32200154274311</v>
      </c>
    </row>
    <row r="440" spans="1:15" x14ac:dyDescent="0.25">
      <c r="A440">
        <v>209.02243075000001</v>
      </c>
      <c r="B440">
        <v>200.57963175</v>
      </c>
      <c r="C440">
        <v>-396.92008974999999</v>
      </c>
      <c r="D440">
        <v>-405.55500799999999</v>
      </c>
      <c r="E440">
        <v>-55.75101875</v>
      </c>
      <c r="F440">
        <v>6.8217499999999998</v>
      </c>
      <c r="G440">
        <v>325.50803374999998</v>
      </c>
      <c r="H440">
        <v>32</v>
      </c>
      <c r="I440">
        <v>-40</v>
      </c>
      <c r="J440">
        <v>1.18</v>
      </c>
      <c r="K440">
        <v>23.240991749999999</v>
      </c>
      <c r="L440">
        <v>1.753875476837492</v>
      </c>
      <c r="M440">
        <v>1.754428175707694</v>
      </c>
      <c r="N440">
        <v>-1.103542347316997</v>
      </c>
      <c r="O440">
        <v>-1.181100335118912</v>
      </c>
    </row>
    <row r="441" spans="1:15" x14ac:dyDescent="0.25">
      <c r="A441">
        <v>196.98423775000001</v>
      </c>
      <c r="B441">
        <v>210.10356125000001</v>
      </c>
      <c r="C441">
        <v>-325.05219249999999</v>
      </c>
      <c r="D441">
        <v>-327.66956299999998</v>
      </c>
      <c r="E441">
        <v>-7.7159420000000001</v>
      </c>
      <c r="F441">
        <v>6.2857539999999998</v>
      </c>
      <c r="G441">
        <v>300.34172825000002</v>
      </c>
      <c r="H441">
        <v>32</v>
      </c>
      <c r="I441">
        <v>-36</v>
      </c>
      <c r="J441">
        <v>1.18</v>
      </c>
      <c r="K441">
        <v>22.324857250000001</v>
      </c>
      <c r="L441">
        <v>1.638291313951922</v>
      </c>
      <c r="M441">
        <v>1.687681677563889</v>
      </c>
      <c r="N441">
        <v>-0.96677830264311693</v>
      </c>
      <c r="O441">
        <v>-1.043933381609828</v>
      </c>
    </row>
    <row r="442" spans="1:15" x14ac:dyDescent="0.25">
      <c r="A442">
        <v>184.81784825</v>
      </c>
      <c r="B442">
        <v>216.59714099999999</v>
      </c>
      <c r="C442">
        <v>-276.37331375000002</v>
      </c>
      <c r="D442">
        <v>-271.06931300000002</v>
      </c>
      <c r="E442">
        <v>26.241852000000002</v>
      </c>
      <c r="F442">
        <v>5.8959457500000001</v>
      </c>
      <c r="G442">
        <v>282.87941749999999</v>
      </c>
      <c r="H442">
        <v>32</v>
      </c>
      <c r="I442">
        <v>-32</v>
      </c>
      <c r="J442">
        <v>1.18</v>
      </c>
      <c r="K442">
        <v>21.667096749999999</v>
      </c>
      <c r="L442">
        <v>1.5374912055533889</v>
      </c>
      <c r="M442">
        <v>1.625755999440649</v>
      </c>
      <c r="N442">
        <v>-0.85557087339788274</v>
      </c>
      <c r="O442">
        <v>-0.93216884321176341</v>
      </c>
    </row>
    <row r="443" spans="1:15" x14ac:dyDescent="0.25">
      <c r="A443">
        <v>171.06351475</v>
      </c>
      <c r="B443">
        <v>219.33887100000001</v>
      </c>
      <c r="C443">
        <v>-224.62664050000001</v>
      </c>
      <c r="D443">
        <v>-223.07929225000001</v>
      </c>
      <c r="E443">
        <v>52.349568499999997</v>
      </c>
      <c r="F443">
        <v>5.5548580000000003</v>
      </c>
      <c r="G443">
        <v>265.26521300000002</v>
      </c>
      <c r="H443">
        <v>32</v>
      </c>
      <c r="I443">
        <v>-28</v>
      </c>
      <c r="J443">
        <v>1.18</v>
      </c>
      <c r="K443">
        <v>20.980627250000001</v>
      </c>
      <c r="L443">
        <v>1.4326110298518819</v>
      </c>
      <c r="M443">
        <v>1.6017952218928579</v>
      </c>
      <c r="N443">
        <v>-0.77087596301084105</v>
      </c>
      <c r="O443">
        <v>-0.83058365544344004</v>
      </c>
    </row>
    <row r="444" spans="1:15" x14ac:dyDescent="0.25">
      <c r="A444">
        <v>174.95666499999999</v>
      </c>
      <c r="B444">
        <v>246.56383875</v>
      </c>
      <c r="C444">
        <v>-196.61033624999999</v>
      </c>
      <c r="D444">
        <v>-209.83613600000001</v>
      </c>
      <c r="E444">
        <v>80.111368249999998</v>
      </c>
      <c r="F444">
        <v>5.6523149999999998</v>
      </c>
      <c r="G444">
        <v>280.38381199999998</v>
      </c>
      <c r="H444">
        <v>32</v>
      </c>
      <c r="I444">
        <v>-24</v>
      </c>
      <c r="J444">
        <v>1.18</v>
      </c>
      <c r="K444">
        <v>21.578821749999999</v>
      </c>
      <c r="L444">
        <v>1.3114159934530889</v>
      </c>
      <c r="M444">
        <v>1.6108193125891319</v>
      </c>
      <c r="N444">
        <v>-0.70685023174568951</v>
      </c>
      <c r="O444">
        <v>-0.73720843064504593</v>
      </c>
    </row>
    <row r="445" spans="1:15" x14ac:dyDescent="0.25">
      <c r="A445">
        <v>176.88602449999999</v>
      </c>
      <c r="B445">
        <v>275.76090975</v>
      </c>
      <c r="C445">
        <v>-163.31560899999999</v>
      </c>
      <c r="D445">
        <v>-201.88151174999999</v>
      </c>
      <c r="E445">
        <v>108.27551075</v>
      </c>
      <c r="F445">
        <v>6.2857539999999998</v>
      </c>
      <c r="G445">
        <v>299.98165875000001</v>
      </c>
      <c r="H445">
        <v>32</v>
      </c>
      <c r="I445">
        <v>-20</v>
      </c>
      <c r="J445">
        <v>1.18</v>
      </c>
      <c r="K445">
        <v>22.311184999999998</v>
      </c>
      <c r="L445">
        <v>1.1695904626165641</v>
      </c>
      <c r="M445">
        <v>1.6420921898312919</v>
      </c>
      <c r="N445">
        <v>-0.65907410567276514</v>
      </c>
      <c r="O445">
        <v>-0.64936880131914987</v>
      </c>
    </row>
    <row r="446" spans="1:15" x14ac:dyDescent="0.25">
      <c r="A446">
        <v>170.7926635</v>
      </c>
      <c r="B446">
        <v>299.18592074999998</v>
      </c>
      <c r="C446">
        <v>-123.11831650000001</v>
      </c>
      <c r="D446">
        <v>-198.21014775</v>
      </c>
      <c r="E446">
        <v>132.99737525</v>
      </c>
      <c r="F446">
        <v>6.5781175000000003</v>
      </c>
      <c r="G446">
        <v>315.52519975000001</v>
      </c>
      <c r="H446">
        <v>32</v>
      </c>
      <c r="I446">
        <v>-16</v>
      </c>
      <c r="J446">
        <v>1.18</v>
      </c>
      <c r="K446">
        <v>22.883156499999998</v>
      </c>
      <c r="L446">
        <v>1.000853596520344</v>
      </c>
      <c r="M446">
        <v>1.6937854570073381</v>
      </c>
      <c r="N446">
        <v>-0.62157361822854329</v>
      </c>
      <c r="O446">
        <v>-0.56951089466559579</v>
      </c>
    </row>
    <row r="447" spans="1:15" x14ac:dyDescent="0.25">
      <c r="A447">
        <v>160.5123595</v>
      </c>
      <c r="B447">
        <v>320.39829250000003</v>
      </c>
      <c r="C447">
        <v>-76.830518499999997</v>
      </c>
      <c r="D447">
        <v>-198.69092175</v>
      </c>
      <c r="E447">
        <v>157.00395599999999</v>
      </c>
      <c r="F447">
        <v>6.9192032499999998</v>
      </c>
      <c r="G447">
        <v>329.95003550000001</v>
      </c>
      <c r="H447">
        <v>32</v>
      </c>
      <c r="I447">
        <v>-12</v>
      </c>
      <c r="J447">
        <v>1.18</v>
      </c>
      <c r="K447">
        <v>23.398920749999998</v>
      </c>
      <c r="L447">
        <v>0.80520350111327588</v>
      </c>
      <c r="M447">
        <v>1.761037465633926</v>
      </c>
      <c r="N447">
        <v>-0.5867556052629892</v>
      </c>
      <c r="O447">
        <v>-0.49083488279581239</v>
      </c>
    </row>
    <row r="448" spans="1:15" x14ac:dyDescent="0.25">
      <c r="A448">
        <v>139.071594</v>
      </c>
      <c r="B448">
        <v>328.142494</v>
      </c>
      <c r="C448">
        <v>-35.234664500000001</v>
      </c>
      <c r="D448">
        <v>-205.0284005</v>
      </c>
      <c r="E448">
        <v>166.43671075</v>
      </c>
      <c r="F448">
        <v>7.1628357500000002</v>
      </c>
      <c r="G448">
        <v>333.67181399999998</v>
      </c>
      <c r="H448">
        <v>32</v>
      </c>
      <c r="I448">
        <v>-8</v>
      </c>
      <c r="J448">
        <v>1.18</v>
      </c>
      <c r="K448">
        <v>23.5245</v>
      </c>
      <c r="L448">
        <v>0.60824444526587074</v>
      </c>
      <c r="M448">
        <v>1.860539129247857</v>
      </c>
      <c r="N448">
        <v>-0.58358201256916642</v>
      </c>
      <c r="O448">
        <v>-0.44420343018641167</v>
      </c>
    </row>
    <row r="449" spans="1:15" x14ac:dyDescent="0.25">
      <c r="A449">
        <v>103.54089949999999</v>
      </c>
      <c r="B449">
        <v>302.64915450000001</v>
      </c>
      <c r="C449">
        <v>12.780857749999999</v>
      </c>
      <c r="D449">
        <v>-180.50891475</v>
      </c>
      <c r="E449">
        <v>159.954487</v>
      </c>
      <c r="F449">
        <v>6.4806602499999997</v>
      </c>
      <c r="G449">
        <v>305.74364500000001</v>
      </c>
      <c r="H449">
        <v>32</v>
      </c>
      <c r="I449">
        <v>-4</v>
      </c>
      <c r="J449">
        <v>1.18</v>
      </c>
      <c r="K449">
        <v>22.521643000000001</v>
      </c>
      <c r="L449">
        <v>0.37223171736728622</v>
      </c>
      <c r="M449">
        <v>1.981644204749089</v>
      </c>
      <c r="N449">
        <v>-0.59795797436449416</v>
      </c>
      <c r="O449">
        <v>-0.37053247033582898</v>
      </c>
    </row>
    <row r="450" spans="1:15" x14ac:dyDescent="0.25">
      <c r="A450">
        <v>70.054895500000001</v>
      </c>
      <c r="B450">
        <v>285.81393450000002</v>
      </c>
      <c r="C450">
        <v>44.304022000000003</v>
      </c>
      <c r="D450">
        <v>-169.10145199999999</v>
      </c>
      <c r="E450">
        <v>152.93580274999999</v>
      </c>
      <c r="F450">
        <v>6.0908502499999999</v>
      </c>
      <c r="G450">
        <v>287.67411049999998</v>
      </c>
      <c r="H450">
        <v>32</v>
      </c>
      <c r="I450">
        <v>0</v>
      </c>
      <c r="J450">
        <v>1.18</v>
      </c>
      <c r="K450">
        <v>21.84626175</v>
      </c>
      <c r="L450">
        <v>0.11957802218613189</v>
      </c>
      <c r="M450">
        <v>2.1125956759954949</v>
      </c>
      <c r="N450">
        <v>-0.62571306094973689</v>
      </c>
      <c r="O450">
        <v>-0.31805488997431358</v>
      </c>
    </row>
    <row r="451" spans="1:15" x14ac:dyDescent="0.25">
      <c r="A451">
        <v>38.051733249999998</v>
      </c>
      <c r="B451">
        <v>269.21923049999998</v>
      </c>
      <c r="C451">
        <v>69.730295249999998</v>
      </c>
      <c r="D451">
        <v>-160.2289735</v>
      </c>
      <c r="E451">
        <v>144.84420424999999</v>
      </c>
      <c r="F451">
        <v>5.5548599999999997</v>
      </c>
      <c r="G451">
        <v>270.64304349999998</v>
      </c>
      <c r="H451">
        <v>32</v>
      </c>
      <c r="I451">
        <v>4</v>
      </c>
      <c r="J451">
        <v>1.18</v>
      </c>
      <c r="K451">
        <v>21.196725000000001</v>
      </c>
      <c r="L451">
        <v>-0.1538314893886796</v>
      </c>
      <c r="M451">
        <v>2.0853914251470922</v>
      </c>
      <c r="N451">
        <v>-0.61088525525871218</v>
      </c>
      <c r="O451">
        <v>-0.32359551001019771</v>
      </c>
    </row>
    <row r="452" spans="1:15" x14ac:dyDescent="0.25">
      <c r="A452">
        <v>8.2603502500000001</v>
      </c>
      <c r="B452">
        <v>273.21157075000002</v>
      </c>
      <c r="C452">
        <v>94.975923499999993</v>
      </c>
      <c r="D452">
        <v>-167.17835249999999</v>
      </c>
      <c r="E452">
        <v>143.19011699999999</v>
      </c>
      <c r="F452">
        <v>5.7984884999999986</v>
      </c>
      <c r="G452">
        <v>275.33335099999999</v>
      </c>
      <c r="H452">
        <v>32</v>
      </c>
      <c r="I452">
        <v>8</v>
      </c>
      <c r="J452">
        <v>1.18</v>
      </c>
      <c r="K452">
        <v>21.373746000000001</v>
      </c>
      <c r="L452">
        <v>-0.38946413928850021</v>
      </c>
      <c r="M452">
        <v>1.9780215523139699</v>
      </c>
      <c r="N452">
        <v>-0.59358105964591013</v>
      </c>
      <c r="O452">
        <v>-0.38294911063396347</v>
      </c>
    </row>
    <row r="453" spans="1:15" x14ac:dyDescent="0.25">
      <c r="A453">
        <v>-28.242603249999998</v>
      </c>
      <c r="B453">
        <v>290.72021475000003</v>
      </c>
      <c r="C453">
        <v>125.55068199999999</v>
      </c>
      <c r="D453">
        <v>-180.98968525000001</v>
      </c>
      <c r="E453">
        <v>147.43709175000001</v>
      </c>
      <c r="F453">
        <v>6.2370295000000002</v>
      </c>
      <c r="G453">
        <v>295.74020374999998</v>
      </c>
      <c r="H453">
        <v>32</v>
      </c>
      <c r="I453">
        <v>12</v>
      </c>
      <c r="J453">
        <v>1.18</v>
      </c>
      <c r="K453">
        <v>22.15134625</v>
      </c>
      <c r="L453">
        <v>-0.610135506797157</v>
      </c>
      <c r="M453">
        <v>1.87152248024148</v>
      </c>
      <c r="N453">
        <v>-0.58842720179418628</v>
      </c>
      <c r="O453">
        <v>-0.43980693148737732</v>
      </c>
    </row>
    <row r="454" spans="1:15" x14ac:dyDescent="0.25">
      <c r="A454">
        <v>-78.646869500000008</v>
      </c>
      <c r="B454">
        <v>301.92764275000002</v>
      </c>
      <c r="C454">
        <v>152.73828499999999</v>
      </c>
      <c r="D454">
        <v>-201.44443899999999</v>
      </c>
      <c r="E454">
        <v>143.68187349999999</v>
      </c>
      <c r="F454">
        <v>6.5781135000000006</v>
      </c>
      <c r="G454">
        <v>312.38576499999999</v>
      </c>
      <c r="H454">
        <v>32</v>
      </c>
      <c r="I454">
        <v>16</v>
      </c>
      <c r="J454">
        <v>1.18</v>
      </c>
      <c r="K454">
        <v>22.766591999999999</v>
      </c>
      <c r="L454">
        <v>-0.81547367945500937</v>
      </c>
      <c r="M454">
        <v>1.7742058044975479</v>
      </c>
      <c r="N454">
        <v>-0.59464291418072923</v>
      </c>
      <c r="O454">
        <v>-0.51677331904833768</v>
      </c>
    </row>
    <row r="455" spans="1:15" x14ac:dyDescent="0.25">
      <c r="A455">
        <v>-128.69078250000001</v>
      </c>
      <c r="B455">
        <v>306.97821800000003</v>
      </c>
      <c r="C455">
        <v>177.98390950000001</v>
      </c>
      <c r="D455">
        <v>-212.93932325</v>
      </c>
      <c r="E455">
        <v>137.78080750000001</v>
      </c>
      <c r="F455">
        <v>6.6755724999999986</v>
      </c>
      <c r="G455">
        <v>326.84765625</v>
      </c>
      <c r="H455">
        <v>32</v>
      </c>
      <c r="I455">
        <v>20</v>
      </c>
      <c r="J455">
        <v>1.18</v>
      </c>
      <c r="K455">
        <v>23.2951555</v>
      </c>
      <c r="L455">
        <v>-0.99375653610952364</v>
      </c>
      <c r="M455">
        <v>1.6848361767342479</v>
      </c>
      <c r="N455">
        <v>-0.61271367673312505</v>
      </c>
      <c r="O455">
        <v>-0.57516688792216208</v>
      </c>
    </row>
    <row r="456" spans="1:15" x14ac:dyDescent="0.25">
      <c r="A456">
        <v>-186.57234575000001</v>
      </c>
      <c r="B456">
        <v>306.97821800000003</v>
      </c>
      <c r="C456">
        <v>197.90040575</v>
      </c>
      <c r="D456">
        <v>-239.20708825</v>
      </c>
      <c r="E456">
        <v>120.7929115</v>
      </c>
      <c r="F456">
        <v>7.0653807500000001</v>
      </c>
      <c r="G456">
        <v>339.01446525</v>
      </c>
      <c r="H456">
        <v>32</v>
      </c>
      <c r="I456">
        <v>24</v>
      </c>
      <c r="J456">
        <v>1.18</v>
      </c>
      <c r="K456">
        <v>23.719698749999999</v>
      </c>
      <c r="L456">
        <v>-1.1522101063751209</v>
      </c>
      <c r="M456">
        <v>1.636837953743091</v>
      </c>
      <c r="N456">
        <v>-0.65397834458027604</v>
      </c>
      <c r="O456">
        <v>-0.65917120941933915</v>
      </c>
    </row>
    <row r="457" spans="1:15" x14ac:dyDescent="0.25">
      <c r="A457">
        <v>-210.175411</v>
      </c>
      <c r="B457">
        <v>266.81419349999999</v>
      </c>
      <c r="C457">
        <v>190.80994799999999</v>
      </c>
      <c r="D457">
        <v>-236.19131874999999</v>
      </c>
      <c r="E457">
        <v>90.125284249999993</v>
      </c>
      <c r="F457">
        <v>6.3832110000000002</v>
      </c>
      <c r="G457">
        <v>309.64277650000002</v>
      </c>
      <c r="H457">
        <v>32</v>
      </c>
      <c r="I457">
        <v>28</v>
      </c>
      <c r="J457">
        <v>1.18</v>
      </c>
      <c r="K457">
        <v>22.67152725</v>
      </c>
      <c r="L457">
        <v>-1.2798528917376639</v>
      </c>
      <c r="M457">
        <v>1.6054737072945959</v>
      </c>
      <c r="N457">
        <v>-0.70065784544995435</v>
      </c>
      <c r="O457">
        <v>-0.73271859543542017</v>
      </c>
    </row>
    <row r="458" spans="1:15" x14ac:dyDescent="0.25">
      <c r="A458">
        <v>-236.16580949999999</v>
      </c>
      <c r="B458">
        <v>235.01968024999999</v>
      </c>
      <c r="C458">
        <v>185.074364</v>
      </c>
      <c r="D458">
        <v>-249.52187724999999</v>
      </c>
      <c r="E458">
        <v>60.172941999999999</v>
      </c>
      <c r="F458">
        <v>6.1883007499999998</v>
      </c>
      <c r="G458">
        <v>290.37837999999999</v>
      </c>
      <c r="H458">
        <v>32</v>
      </c>
      <c r="I458">
        <v>32</v>
      </c>
      <c r="J458">
        <v>1.18</v>
      </c>
      <c r="K458">
        <v>21.947132499999999</v>
      </c>
      <c r="L458">
        <v>-1.390162448890595</v>
      </c>
      <c r="M458">
        <v>1.59907275294462</v>
      </c>
      <c r="N458">
        <v>-0.75973213458571398</v>
      </c>
      <c r="O458">
        <v>-0.82185153922645882</v>
      </c>
    </row>
    <row r="459" spans="1:15" x14ac:dyDescent="0.25">
      <c r="A459">
        <v>-253.05731225</v>
      </c>
      <c r="B459">
        <v>204.57199075</v>
      </c>
      <c r="C459">
        <v>176.49356075</v>
      </c>
      <c r="D459">
        <v>-261.10417174999998</v>
      </c>
      <c r="E459">
        <v>29.684137499999999</v>
      </c>
      <c r="F459">
        <v>5.554862</v>
      </c>
      <c r="G459">
        <v>275.12508374999999</v>
      </c>
      <c r="H459">
        <v>32</v>
      </c>
      <c r="I459">
        <v>36</v>
      </c>
      <c r="J459">
        <v>1.18</v>
      </c>
      <c r="K459">
        <v>21.375161250000001</v>
      </c>
      <c r="L459">
        <v>-1.497924954430145</v>
      </c>
      <c r="M459">
        <v>1.623895569174671</v>
      </c>
      <c r="N459">
        <v>-0.85590229928254269</v>
      </c>
      <c r="O459">
        <v>-0.91586016928376657</v>
      </c>
    </row>
    <row r="460" spans="1:15" x14ac:dyDescent="0.25">
      <c r="A460">
        <v>-274.45323200000001</v>
      </c>
      <c r="B460">
        <v>181.29128650000001</v>
      </c>
      <c r="C460">
        <v>172.74509825000001</v>
      </c>
      <c r="D460">
        <v>-280.42254650000001</v>
      </c>
      <c r="E460">
        <v>1.2517609999999999</v>
      </c>
      <c r="F460">
        <v>5.2137717499999994</v>
      </c>
      <c r="G460">
        <v>270.54736324999999</v>
      </c>
      <c r="H460">
        <v>32</v>
      </c>
      <c r="I460">
        <v>40</v>
      </c>
      <c r="J460">
        <v>1.18</v>
      </c>
      <c r="K460">
        <v>21.206518500000001</v>
      </c>
      <c r="L460">
        <v>-1.604650360606211</v>
      </c>
      <c r="M460">
        <v>1.656735079962862</v>
      </c>
      <c r="N460">
        <v>-0.9662980445345013</v>
      </c>
      <c r="O460">
        <v>-1.014219208788949</v>
      </c>
    </row>
    <row r="461" spans="1:15" x14ac:dyDescent="0.25">
      <c r="A461">
        <v>-325.8034285</v>
      </c>
      <c r="B461">
        <v>170.3724445</v>
      </c>
      <c r="C461">
        <v>180.874279</v>
      </c>
      <c r="D461">
        <v>-331.12240600000001</v>
      </c>
      <c r="E461">
        <v>-35.636050249999997</v>
      </c>
      <c r="F461">
        <v>6.0421234999999998</v>
      </c>
      <c r="G461">
        <v>290.475281</v>
      </c>
      <c r="H461">
        <v>32</v>
      </c>
      <c r="I461">
        <v>44</v>
      </c>
      <c r="J461">
        <v>1.18</v>
      </c>
      <c r="K461">
        <v>21.956529499999998</v>
      </c>
      <c r="L461">
        <v>-1.7303055357914481</v>
      </c>
      <c r="M461">
        <v>1.7126424378989289</v>
      </c>
      <c r="N461">
        <v>-1.113699542006823</v>
      </c>
      <c r="O461">
        <v>-1.142346501209734</v>
      </c>
    </row>
    <row r="462" spans="1:15" x14ac:dyDescent="0.25">
      <c r="A462">
        <v>163.58177549999999</v>
      </c>
      <c r="B462">
        <v>170.75725174999999</v>
      </c>
      <c r="C462">
        <v>-433.2374805</v>
      </c>
      <c r="D462">
        <v>-437.19871525000002</v>
      </c>
      <c r="E462">
        <v>-124.168667</v>
      </c>
      <c r="F462">
        <v>6.4806642500000002</v>
      </c>
      <c r="G462">
        <v>314.1246185</v>
      </c>
      <c r="H462">
        <v>36</v>
      </c>
      <c r="I462">
        <v>-44</v>
      </c>
      <c r="J462">
        <v>1.18</v>
      </c>
      <c r="K462">
        <v>22.834837</v>
      </c>
      <c r="L462">
        <v>1.918747111330634</v>
      </c>
      <c r="M462">
        <v>1.9545476122732199</v>
      </c>
      <c r="N462">
        <v>-1.40910454671815</v>
      </c>
      <c r="O462">
        <v>-1.420040936878961</v>
      </c>
    </row>
    <row r="463" spans="1:15" x14ac:dyDescent="0.25">
      <c r="A463">
        <v>177.15674225000001</v>
      </c>
      <c r="B463">
        <v>206.64031199999999</v>
      </c>
      <c r="C463">
        <v>-425.02661925000001</v>
      </c>
      <c r="D463">
        <v>-426.97132875</v>
      </c>
      <c r="E463">
        <v>-88.398816999999994</v>
      </c>
      <c r="F463">
        <v>6.724297</v>
      </c>
      <c r="G463">
        <v>328.54939274999998</v>
      </c>
      <c r="H463">
        <v>36</v>
      </c>
      <c r="I463">
        <v>-40</v>
      </c>
      <c r="J463">
        <v>1.18</v>
      </c>
      <c r="K463">
        <v>23.355208999999999</v>
      </c>
      <c r="L463">
        <v>1.783735649085161</v>
      </c>
      <c r="M463">
        <v>1.8768128818555381</v>
      </c>
      <c r="N463">
        <v>-1.2350689819747021</v>
      </c>
      <c r="O463">
        <v>-1.2817759905846979</v>
      </c>
    </row>
    <row r="464" spans="1:15" x14ac:dyDescent="0.25">
      <c r="A464">
        <v>184.6042975</v>
      </c>
      <c r="B464">
        <v>237.56901925</v>
      </c>
      <c r="C464">
        <v>-398.814911</v>
      </c>
      <c r="D464">
        <v>-396.90106950000001</v>
      </c>
      <c r="E464">
        <v>-49.506905750000001</v>
      </c>
      <c r="F464">
        <v>6.5293867499999996</v>
      </c>
      <c r="G464">
        <v>336.073891</v>
      </c>
      <c r="H464">
        <v>36</v>
      </c>
      <c r="I464">
        <v>-36</v>
      </c>
      <c r="J464">
        <v>1.18</v>
      </c>
      <c r="K464">
        <v>23.633616249999999</v>
      </c>
      <c r="L464">
        <v>1.6748014014293371</v>
      </c>
      <c r="M464">
        <v>1.8213497330521971</v>
      </c>
      <c r="N464">
        <v>-1.1068798730759739</v>
      </c>
      <c r="O464">
        <v>-1.160860402465832</v>
      </c>
    </row>
    <row r="465" spans="1:15" x14ac:dyDescent="0.25">
      <c r="A465">
        <v>169.9463045</v>
      </c>
      <c r="B465">
        <v>239.54113000000001</v>
      </c>
      <c r="C465">
        <v>-331.90963725</v>
      </c>
      <c r="D465">
        <v>-325.04716500000001</v>
      </c>
      <c r="E465">
        <v>-9.9905830000000009</v>
      </c>
      <c r="F465">
        <v>6.2370312500000002</v>
      </c>
      <c r="G465">
        <v>307.49980950000003</v>
      </c>
      <c r="H465">
        <v>36</v>
      </c>
      <c r="I465">
        <v>-32</v>
      </c>
      <c r="J465">
        <v>1.18</v>
      </c>
      <c r="K465">
        <v>22.596767499999999</v>
      </c>
      <c r="L465">
        <v>1.5757469531910091</v>
      </c>
      <c r="M465">
        <v>1.77272073948408</v>
      </c>
      <c r="N465">
        <v>-0.99687435771417476</v>
      </c>
      <c r="O465">
        <v>-1.05095125632451</v>
      </c>
    </row>
    <row r="466" spans="1:15" x14ac:dyDescent="0.25">
      <c r="A466">
        <v>156.97094724999999</v>
      </c>
      <c r="B466">
        <v>240.69555675000001</v>
      </c>
      <c r="C466">
        <v>-274.25292975000002</v>
      </c>
      <c r="D466">
        <v>-273.47317500000003</v>
      </c>
      <c r="E466">
        <v>18.105543999999998</v>
      </c>
      <c r="F466">
        <v>6.0421235000000006</v>
      </c>
      <c r="G466">
        <v>288.9778445</v>
      </c>
      <c r="H466">
        <v>36</v>
      </c>
      <c r="I466">
        <v>-28</v>
      </c>
      <c r="J466">
        <v>1.18</v>
      </c>
      <c r="K466">
        <v>21.898667499999998</v>
      </c>
      <c r="L466">
        <v>1.4769891390127969</v>
      </c>
      <c r="M466">
        <v>1.7610809794950859</v>
      </c>
      <c r="N466">
        <v>-0.92780097192469091</v>
      </c>
      <c r="O466">
        <v>-0.95870045696437056</v>
      </c>
    </row>
    <row r="467" spans="1:15" x14ac:dyDescent="0.25">
      <c r="A467">
        <v>142.68266650000001</v>
      </c>
      <c r="B467">
        <v>241.70566174999999</v>
      </c>
      <c r="C467">
        <v>-221.64905949999999</v>
      </c>
      <c r="D467">
        <v>-235.6668435</v>
      </c>
      <c r="E467">
        <v>39.474530250000001</v>
      </c>
      <c r="F467">
        <v>5.8472150000000003</v>
      </c>
      <c r="G467">
        <v>272.53230274999999</v>
      </c>
      <c r="H467">
        <v>36</v>
      </c>
      <c r="I467">
        <v>-24</v>
      </c>
      <c r="J467">
        <v>1.18</v>
      </c>
      <c r="K467">
        <v>21.2604635</v>
      </c>
      <c r="L467">
        <v>1.3587605795409321</v>
      </c>
      <c r="M467">
        <v>1.7803547264676389</v>
      </c>
      <c r="N467">
        <v>-0.86918648709660795</v>
      </c>
      <c r="O467">
        <v>-0.8745743548378857</v>
      </c>
    </row>
    <row r="468" spans="1:15" x14ac:dyDescent="0.25">
      <c r="A468">
        <v>133.70011550000001</v>
      </c>
      <c r="B468">
        <v>251.75870125</v>
      </c>
      <c r="C468">
        <v>-179.9629745</v>
      </c>
      <c r="D468">
        <v>-214.94983675</v>
      </c>
      <c r="E468">
        <v>59.725889000000002</v>
      </c>
      <c r="F468">
        <v>5.8959475000000001</v>
      </c>
      <c r="G468">
        <v>272.61982699999999</v>
      </c>
      <c r="H468">
        <v>36</v>
      </c>
      <c r="I468">
        <v>-20</v>
      </c>
      <c r="J468">
        <v>1.18</v>
      </c>
      <c r="K468">
        <v>21.262020249999999</v>
      </c>
      <c r="L468">
        <v>1.219625739643075</v>
      </c>
      <c r="M468">
        <v>1.8147354834017799</v>
      </c>
      <c r="N468">
        <v>-0.82782433710672754</v>
      </c>
      <c r="O468">
        <v>-0.79070479645468561</v>
      </c>
    </row>
    <row r="469" spans="1:15" x14ac:dyDescent="0.25">
      <c r="A469">
        <v>129.36682525000001</v>
      </c>
      <c r="B469">
        <v>281.29248024999998</v>
      </c>
      <c r="C469">
        <v>-151.40530025000001</v>
      </c>
      <c r="D469">
        <v>-220.06352625</v>
      </c>
      <c r="E469">
        <v>79.574909250000005</v>
      </c>
      <c r="F469">
        <v>6.0908519999999999</v>
      </c>
      <c r="G469">
        <v>293.33338900000001</v>
      </c>
      <c r="H469">
        <v>36</v>
      </c>
      <c r="I469">
        <v>-16</v>
      </c>
      <c r="J469">
        <v>1.18</v>
      </c>
      <c r="K469">
        <v>22.06469225</v>
      </c>
      <c r="L469">
        <v>1.058274314889784</v>
      </c>
      <c r="M469">
        <v>1.889710924845208</v>
      </c>
      <c r="N469">
        <v>-0.80570098389262823</v>
      </c>
      <c r="O469">
        <v>-0.72302483852975696</v>
      </c>
    </row>
    <row r="470" spans="1:15" x14ac:dyDescent="0.25">
      <c r="A470">
        <v>118.21762674999999</v>
      </c>
      <c r="B470">
        <v>302.64917000000003</v>
      </c>
      <c r="C470">
        <v>-113.37351775</v>
      </c>
      <c r="D470">
        <v>-224.82757175</v>
      </c>
      <c r="E470">
        <v>97.45690725</v>
      </c>
      <c r="F470">
        <v>6.5781152499999997</v>
      </c>
      <c r="G470">
        <v>310.64332574999997</v>
      </c>
      <c r="H470">
        <v>36</v>
      </c>
      <c r="I470">
        <v>-12</v>
      </c>
      <c r="J470">
        <v>1.18</v>
      </c>
      <c r="K470">
        <v>22.70162775</v>
      </c>
      <c r="L470">
        <v>0.86881061668423876</v>
      </c>
      <c r="M470">
        <v>1.9788407044558129</v>
      </c>
      <c r="N470">
        <v>-0.79977509731334617</v>
      </c>
      <c r="O470">
        <v>-0.65905026870559313</v>
      </c>
    </row>
    <row r="471" spans="1:15" x14ac:dyDescent="0.25">
      <c r="A471">
        <v>98.492120999999997</v>
      </c>
      <c r="B471">
        <v>321.64890274999999</v>
      </c>
      <c r="C471">
        <v>-76.334253000000004</v>
      </c>
      <c r="D471">
        <v>-237.24028025000001</v>
      </c>
      <c r="E471">
        <v>109.169617</v>
      </c>
      <c r="F471">
        <v>6.8217460000000001</v>
      </c>
      <c r="G471">
        <v>324.91009524999998</v>
      </c>
      <c r="H471">
        <v>36</v>
      </c>
      <c r="I471">
        <v>-8</v>
      </c>
      <c r="J471">
        <v>1.18</v>
      </c>
      <c r="K471">
        <v>23.219224749999999</v>
      </c>
      <c r="L471">
        <v>0.65735259260672785</v>
      </c>
      <c r="M471">
        <v>2.1014226101723281</v>
      </c>
      <c r="N471">
        <v>-0.81118452925803408</v>
      </c>
      <c r="O471">
        <v>-0.61516296252770108</v>
      </c>
    </row>
    <row r="472" spans="1:15" x14ac:dyDescent="0.25">
      <c r="A472">
        <v>71.900856250000004</v>
      </c>
      <c r="B472">
        <v>338.53223424999999</v>
      </c>
      <c r="C472">
        <v>-33.29472775</v>
      </c>
      <c r="D472">
        <v>-250.26489649999999</v>
      </c>
      <c r="E472">
        <v>119.4964695</v>
      </c>
      <c r="F472">
        <v>7.0653810000000004</v>
      </c>
      <c r="G472">
        <v>339.19493125000002</v>
      </c>
      <c r="H472">
        <v>36</v>
      </c>
      <c r="I472">
        <v>-4</v>
      </c>
      <c r="J472">
        <v>1.18</v>
      </c>
      <c r="K472">
        <v>23.726169250000002</v>
      </c>
      <c r="L472">
        <v>0.40264019892933672</v>
      </c>
      <c r="M472">
        <v>2.2535565149698531</v>
      </c>
      <c r="N472">
        <v>-0.84088847336617656</v>
      </c>
      <c r="O472">
        <v>-0.56968351338962575</v>
      </c>
    </row>
    <row r="473" spans="1:15" x14ac:dyDescent="0.25">
      <c r="A473">
        <v>37.013545999999998</v>
      </c>
      <c r="B473">
        <v>312.75029000000001</v>
      </c>
      <c r="C473">
        <v>8.9872402499999993</v>
      </c>
      <c r="D473">
        <v>-228.45521525000001</v>
      </c>
      <c r="E473">
        <v>112.96954150000001</v>
      </c>
      <c r="F473">
        <v>6.5293910000000004</v>
      </c>
      <c r="G473">
        <v>313.02247625000001</v>
      </c>
      <c r="H473">
        <v>36</v>
      </c>
      <c r="I473">
        <v>0</v>
      </c>
      <c r="J473">
        <v>1.18</v>
      </c>
      <c r="K473">
        <v>22.792054749999998</v>
      </c>
      <c r="L473">
        <v>0.12581942656606379</v>
      </c>
      <c r="M473">
        <v>2.4302180303208698</v>
      </c>
      <c r="N473">
        <v>-0.89834865271149533</v>
      </c>
      <c r="O473">
        <v>-0.52204595177654078</v>
      </c>
    </row>
    <row r="474" spans="1:15" x14ac:dyDescent="0.25">
      <c r="A474">
        <v>3.746505</v>
      </c>
      <c r="B474">
        <v>292.98093425000002</v>
      </c>
      <c r="C474">
        <v>40.600725250000004</v>
      </c>
      <c r="D474">
        <v>-213.9882925</v>
      </c>
      <c r="E474">
        <v>105.68262300000001</v>
      </c>
      <c r="F474">
        <v>6.0421234999999998</v>
      </c>
      <c r="G474">
        <v>293.23637424999998</v>
      </c>
      <c r="H474">
        <v>36</v>
      </c>
      <c r="I474">
        <v>4</v>
      </c>
      <c r="J474">
        <v>1.18</v>
      </c>
      <c r="K474">
        <v>22.062843000000001</v>
      </c>
      <c r="L474">
        <v>-0.17482612940264489</v>
      </c>
      <c r="M474">
        <v>2.404979029667353</v>
      </c>
      <c r="N474">
        <v>-0.88977123212496834</v>
      </c>
      <c r="O474">
        <v>-0.52733344016762906</v>
      </c>
    </row>
    <row r="475" spans="1:15" x14ac:dyDescent="0.25">
      <c r="A475">
        <v>-28.242603750000001</v>
      </c>
      <c r="B475">
        <v>276.3381195</v>
      </c>
      <c r="C475">
        <v>64.310842750000006</v>
      </c>
      <c r="D475">
        <v>-205.072113</v>
      </c>
      <c r="E475">
        <v>96.69692225</v>
      </c>
      <c r="F475">
        <v>5.9446702499999997</v>
      </c>
      <c r="G475">
        <v>277.59018700000001</v>
      </c>
      <c r="H475">
        <v>36</v>
      </c>
      <c r="I475">
        <v>8</v>
      </c>
      <c r="J475">
        <v>1.18</v>
      </c>
      <c r="K475">
        <v>21.4572945</v>
      </c>
      <c r="L475">
        <v>-0.43378344378006772</v>
      </c>
      <c r="M475">
        <v>2.256467208757948</v>
      </c>
      <c r="N475">
        <v>-0.84792040061034935</v>
      </c>
      <c r="O475">
        <v>-0.57463996324571331</v>
      </c>
    </row>
    <row r="476" spans="1:15" x14ac:dyDescent="0.25">
      <c r="A476">
        <v>-59.818464250000012</v>
      </c>
      <c r="B476">
        <v>263.880066</v>
      </c>
      <c r="C476">
        <v>83.143447749999993</v>
      </c>
      <c r="D476">
        <v>-199.65246974999999</v>
      </c>
      <c r="E476">
        <v>88.828844000000004</v>
      </c>
      <c r="F476">
        <v>5.6035822500000014</v>
      </c>
      <c r="G476">
        <v>267.33048250000002</v>
      </c>
      <c r="H476">
        <v>36</v>
      </c>
      <c r="I476">
        <v>12</v>
      </c>
      <c r="J476">
        <v>1.18</v>
      </c>
      <c r="K476">
        <v>21.061909</v>
      </c>
      <c r="L476">
        <v>-0.65410742661486987</v>
      </c>
      <c r="M476">
        <v>2.1209019711750869</v>
      </c>
      <c r="N476">
        <v>-0.81679365995469122</v>
      </c>
      <c r="O476">
        <v>-0.61925821097096134</v>
      </c>
    </row>
    <row r="477" spans="1:15" x14ac:dyDescent="0.25">
      <c r="A477">
        <v>-103.73638925</v>
      </c>
      <c r="B477">
        <v>281.72538774999998</v>
      </c>
      <c r="C477">
        <v>108.66004574999999</v>
      </c>
      <c r="D477">
        <v>-221.68067174999999</v>
      </c>
      <c r="E477">
        <v>86.727709000000004</v>
      </c>
      <c r="F477">
        <v>6.1395787500000001</v>
      </c>
      <c r="G477">
        <v>289.29161850000003</v>
      </c>
      <c r="H477">
        <v>36</v>
      </c>
      <c r="I477">
        <v>16</v>
      </c>
      <c r="J477">
        <v>1.18</v>
      </c>
      <c r="K477">
        <v>21.907021749999998</v>
      </c>
      <c r="L477">
        <v>-0.85149570881549341</v>
      </c>
      <c r="M477">
        <v>2.0182115929196471</v>
      </c>
      <c r="N477">
        <v>-0.81212204232352037</v>
      </c>
      <c r="O477">
        <v>-0.67692713616343192</v>
      </c>
    </row>
    <row r="478" spans="1:15" x14ac:dyDescent="0.25">
      <c r="A478">
        <v>-155.89736550000001</v>
      </c>
      <c r="B478">
        <v>289.42149375000002</v>
      </c>
      <c r="C478">
        <v>132.64112875000001</v>
      </c>
      <c r="D478">
        <v>-242.65992750000001</v>
      </c>
      <c r="E478">
        <v>77.294954500000003</v>
      </c>
      <c r="F478">
        <v>6.33448075</v>
      </c>
      <c r="G478">
        <v>305.02330799999999</v>
      </c>
      <c r="H478">
        <v>36</v>
      </c>
      <c r="I478">
        <v>20</v>
      </c>
      <c r="J478">
        <v>1.18</v>
      </c>
      <c r="K478">
        <v>22.500038249999999</v>
      </c>
      <c r="L478">
        <v>-1.0432609739305281</v>
      </c>
      <c r="M478">
        <v>1.9238357223489091</v>
      </c>
      <c r="N478">
        <v>-0.82340010262541918</v>
      </c>
      <c r="O478">
        <v>-0.74342987953717699</v>
      </c>
    </row>
    <row r="479" spans="1:15" x14ac:dyDescent="0.25">
      <c r="A479">
        <v>-206.93223549999999</v>
      </c>
      <c r="B479">
        <v>289.03667474999997</v>
      </c>
      <c r="C479">
        <v>150.61566174999999</v>
      </c>
      <c r="D479">
        <v>-270.41371125000001</v>
      </c>
      <c r="E479">
        <v>62.274077249999998</v>
      </c>
      <c r="F479">
        <v>6.724297</v>
      </c>
      <c r="G479">
        <v>316.58397674999998</v>
      </c>
      <c r="H479">
        <v>36</v>
      </c>
      <c r="I479">
        <v>24</v>
      </c>
      <c r="J479">
        <v>1.18</v>
      </c>
      <c r="K479">
        <v>22.916927250000001</v>
      </c>
      <c r="L479">
        <v>-1.188082366072976</v>
      </c>
      <c r="M479">
        <v>1.858983111872363</v>
      </c>
      <c r="N479">
        <v>-0.84505684406823778</v>
      </c>
      <c r="O479">
        <v>-0.81542540018671339</v>
      </c>
    </row>
    <row r="480" spans="1:15" x14ac:dyDescent="0.25">
      <c r="A480">
        <v>-260.2193145</v>
      </c>
      <c r="B480">
        <v>287.06455249999999</v>
      </c>
      <c r="C480">
        <v>165.56432325</v>
      </c>
      <c r="D480">
        <v>-304.50498950000002</v>
      </c>
      <c r="E480">
        <v>42.782698750000002</v>
      </c>
      <c r="F480">
        <v>6.7730234999999999</v>
      </c>
      <c r="G480">
        <v>329.33071124999998</v>
      </c>
      <c r="H480">
        <v>36</v>
      </c>
      <c r="I480">
        <v>28</v>
      </c>
      <c r="J480">
        <v>1.18</v>
      </c>
      <c r="K480">
        <v>23.38177825</v>
      </c>
      <c r="L480">
        <v>-1.309505686022955</v>
      </c>
      <c r="M480">
        <v>1.819431724531781</v>
      </c>
      <c r="N480">
        <v>-0.88131521840537519</v>
      </c>
      <c r="O480">
        <v>-0.88925382992227453</v>
      </c>
    </row>
    <row r="481" spans="1:15" x14ac:dyDescent="0.25">
      <c r="A481">
        <v>-301.43460049999999</v>
      </c>
      <c r="B481">
        <v>272.73056774999998</v>
      </c>
      <c r="C481">
        <v>172.83542650000001</v>
      </c>
      <c r="D481">
        <v>-334.13816050000003</v>
      </c>
      <c r="E481">
        <v>18.642003249999998</v>
      </c>
      <c r="F481">
        <v>6.724297</v>
      </c>
      <c r="G481">
        <v>332.23117074999999</v>
      </c>
      <c r="H481">
        <v>36</v>
      </c>
      <c r="I481">
        <v>32</v>
      </c>
      <c r="J481">
        <v>1.18</v>
      </c>
      <c r="K481">
        <v>23.488373750000001</v>
      </c>
      <c r="L481">
        <v>-1.4097183191838629</v>
      </c>
      <c r="M481">
        <v>1.803867260452751</v>
      </c>
      <c r="N481">
        <v>-0.93211833204178585</v>
      </c>
      <c r="O481">
        <v>-0.96457600018366929</v>
      </c>
    </row>
    <row r="482" spans="1:15" x14ac:dyDescent="0.25">
      <c r="A482">
        <v>-304.58767699999999</v>
      </c>
      <c r="B482">
        <v>230.88302625</v>
      </c>
      <c r="C482">
        <v>162.44813925</v>
      </c>
      <c r="D482">
        <v>-324.78491200000002</v>
      </c>
      <c r="E482">
        <v>-6.6009207500000002</v>
      </c>
      <c r="F482">
        <v>6.0908542499999996</v>
      </c>
      <c r="G482">
        <v>304.28083049999998</v>
      </c>
      <c r="H482">
        <v>36</v>
      </c>
      <c r="I482">
        <v>36</v>
      </c>
      <c r="J482">
        <v>1.18</v>
      </c>
      <c r="K482">
        <v>22.481228250000001</v>
      </c>
      <c r="L482">
        <v>-1.5159369114883361</v>
      </c>
      <c r="M482">
        <v>1.803640522912926</v>
      </c>
      <c r="N482">
        <v>-1.00910633231309</v>
      </c>
      <c r="O482">
        <v>-1.0412096301087539</v>
      </c>
    </row>
    <row r="483" spans="1:15" x14ac:dyDescent="0.25">
      <c r="A483">
        <v>-314.27215575000002</v>
      </c>
      <c r="B483">
        <v>196.73158649999999</v>
      </c>
      <c r="C483">
        <v>151.92536924999999</v>
      </c>
      <c r="D483">
        <v>-323.82336400000003</v>
      </c>
      <c r="E483">
        <v>-32.424793749999999</v>
      </c>
      <c r="F483">
        <v>6.1395724999999999</v>
      </c>
      <c r="G483">
        <v>286.24035624999999</v>
      </c>
      <c r="H483">
        <v>36</v>
      </c>
      <c r="I483">
        <v>40</v>
      </c>
      <c r="J483">
        <v>1.18</v>
      </c>
      <c r="K483">
        <v>21.788677</v>
      </c>
      <c r="L483">
        <v>-1.626531851456364</v>
      </c>
      <c r="M483">
        <v>1.816190136772319</v>
      </c>
      <c r="N483">
        <v>-1.1118202448676839</v>
      </c>
      <c r="O483">
        <v>-1.1345658826912111</v>
      </c>
    </row>
    <row r="484" spans="1:15" x14ac:dyDescent="0.25">
      <c r="A484">
        <v>-318.19097900000003</v>
      </c>
      <c r="B484">
        <v>163.49405300000001</v>
      </c>
      <c r="C484">
        <v>138.24123750000001</v>
      </c>
      <c r="D484">
        <v>-320.720192</v>
      </c>
      <c r="E484">
        <v>-59.765090000000001</v>
      </c>
      <c r="F484">
        <v>5.7497619999999996</v>
      </c>
      <c r="G484">
        <v>267.89080050000001</v>
      </c>
      <c r="H484">
        <v>36</v>
      </c>
      <c r="I484">
        <v>44</v>
      </c>
      <c r="J484">
        <v>1.18</v>
      </c>
      <c r="K484">
        <v>21.078572250000001</v>
      </c>
      <c r="L484">
        <v>-1.7576362458440911</v>
      </c>
      <c r="M484">
        <v>1.8646159968525591</v>
      </c>
      <c r="N484">
        <v>-1.2617839583426169</v>
      </c>
      <c r="O484">
        <v>-1.252306979168061</v>
      </c>
    </row>
    <row r="485" spans="1:15" x14ac:dyDescent="0.25">
      <c r="A485">
        <v>115.7273445</v>
      </c>
      <c r="B485">
        <v>159.164997</v>
      </c>
      <c r="C485">
        <v>-388.57385249999999</v>
      </c>
      <c r="D485">
        <v>-391.00066399999997</v>
      </c>
      <c r="E485">
        <v>-138.1733285</v>
      </c>
      <c r="F485">
        <v>5.7010395000000003</v>
      </c>
      <c r="G485">
        <v>283.03225700000002</v>
      </c>
      <c r="H485">
        <v>40</v>
      </c>
      <c r="I485">
        <v>-44</v>
      </c>
      <c r="J485">
        <v>1.18</v>
      </c>
      <c r="K485">
        <v>21.680679000000001</v>
      </c>
      <c r="L485">
        <v>2.0043245400306748</v>
      </c>
      <c r="M485">
        <v>2.1866290697878061</v>
      </c>
      <c r="N485">
        <v>-1.6741394834287839</v>
      </c>
      <c r="O485">
        <v>-1.571861549513875</v>
      </c>
    </row>
    <row r="486" spans="1:15" x14ac:dyDescent="0.25">
      <c r="A486">
        <v>128.05780974999999</v>
      </c>
      <c r="B486">
        <v>191.3443145</v>
      </c>
      <c r="C486">
        <v>-398.36376200000001</v>
      </c>
      <c r="D486">
        <v>-393.53565200000003</v>
      </c>
      <c r="E486">
        <v>-113.50907325</v>
      </c>
      <c r="F486">
        <v>6.1883027500000001</v>
      </c>
      <c r="G486">
        <v>299.9991225</v>
      </c>
      <c r="H486">
        <v>40</v>
      </c>
      <c r="I486">
        <v>-40</v>
      </c>
      <c r="J486">
        <v>1.18</v>
      </c>
      <c r="K486">
        <v>22.315548750000001</v>
      </c>
      <c r="L486">
        <v>1.8638351190889531</v>
      </c>
      <c r="M486">
        <v>2.070805548956399</v>
      </c>
      <c r="N486">
        <v>-1.4640583072756761</v>
      </c>
      <c r="O486">
        <v>-1.423798473824468</v>
      </c>
    </row>
    <row r="487" spans="1:15" x14ac:dyDescent="0.25">
      <c r="A487">
        <v>135.37023925</v>
      </c>
      <c r="B487">
        <v>222.60972225</v>
      </c>
      <c r="C487">
        <v>-397.14566050000002</v>
      </c>
      <c r="D487">
        <v>-389.164963</v>
      </c>
      <c r="E487">
        <v>-88.53261775</v>
      </c>
      <c r="F487">
        <v>6.2857597500000004</v>
      </c>
      <c r="G487">
        <v>312.84046925000001</v>
      </c>
      <c r="H487">
        <v>40</v>
      </c>
      <c r="I487">
        <v>-36</v>
      </c>
      <c r="J487">
        <v>1.18</v>
      </c>
      <c r="K487">
        <v>22.7943815</v>
      </c>
      <c r="L487">
        <v>1.7481743806716989</v>
      </c>
      <c r="M487">
        <v>2.0083615317057619</v>
      </c>
      <c r="N487">
        <v>-1.317723558906432</v>
      </c>
      <c r="O487">
        <v>-1.3112957312080771</v>
      </c>
    </row>
    <row r="488" spans="1:15" x14ac:dyDescent="0.25">
      <c r="A488">
        <v>140.958145</v>
      </c>
      <c r="B488">
        <v>253.73082350000001</v>
      </c>
      <c r="C488">
        <v>-382.12242874999998</v>
      </c>
      <c r="D488">
        <v>-380.0739595</v>
      </c>
      <c r="E488">
        <v>-62.1735355</v>
      </c>
      <c r="F488">
        <v>6.7242949999999997</v>
      </c>
      <c r="G488">
        <v>326.03049475</v>
      </c>
      <c r="H488">
        <v>40</v>
      </c>
      <c r="I488">
        <v>-32</v>
      </c>
      <c r="J488">
        <v>1.18</v>
      </c>
      <c r="K488">
        <v>23.263630249999999</v>
      </c>
      <c r="L488">
        <v>1.640171233993462</v>
      </c>
      <c r="M488">
        <v>1.987333712950488</v>
      </c>
      <c r="N488">
        <v>-1.2172715391962281</v>
      </c>
      <c r="O488">
        <v>-1.216059716694593</v>
      </c>
    </row>
    <row r="489" spans="1:15" x14ac:dyDescent="0.25">
      <c r="A489">
        <v>142.17673875</v>
      </c>
      <c r="B489">
        <v>284.27471924999998</v>
      </c>
      <c r="C489">
        <v>-356.00095349999998</v>
      </c>
      <c r="D489">
        <v>-370.93924700000002</v>
      </c>
      <c r="E489">
        <v>-34.298026</v>
      </c>
      <c r="F489">
        <v>7.0166589999999998</v>
      </c>
      <c r="G489">
        <v>338.69371024999998</v>
      </c>
      <c r="H489">
        <v>40</v>
      </c>
      <c r="I489">
        <v>-28</v>
      </c>
      <c r="J489">
        <v>1.18</v>
      </c>
      <c r="K489">
        <v>23.710006750000002</v>
      </c>
      <c r="L489">
        <v>1.513429112858776</v>
      </c>
      <c r="M489">
        <v>1.990534773357608</v>
      </c>
      <c r="N489">
        <v>-1.1331599039292271</v>
      </c>
      <c r="O489">
        <v>-1.125530150032678</v>
      </c>
    </row>
    <row r="490" spans="1:15" x14ac:dyDescent="0.25">
      <c r="A490">
        <v>126.11685749999999</v>
      </c>
      <c r="B490">
        <v>279.84946450000001</v>
      </c>
      <c r="C490">
        <v>-290.90029900000002</v>
      </c>
      <c r="D490">
        <v>-316.21839875000001</v>
      </c>
      <c r="E490">
        <v>-8.6079575000000013</v>
      </c>
      <c r="F490">
        <v>6.4806664999999999</v>
      </c>
      <c r="G490">
        <v>314.44128425000002</v>
      </c>
      <c r="H490">
        <v>40</v>
      </c>
      <c r="I490">
        <v>-24</v>
      </c>
      <c r="J490">
        <v>1.18</v>
      </c>
      <c r="K490">
        <v>22.846577249999999</v>
      </c>
      <c r="L490">
        <v>1.4138628356296139</v>
      </c>
      <c r="M490">
        <v>2.0208842983804112</v>
      </c>
      <c r="N490">
        <v>-1.095271105409664</v>
      </c>
      <c r="O490">
        <v>-1.051138469987221</v>
      </c>
    </row>
    <row r="491" spans="1:15" x14ac:dyDescent="0.25">
      <c r="A491">
        <v>107.60300675000001</v>
      </c>
      <c r="B491">
        <v>273.06727625000002</v>
      </c>
      <c r="C491">
        <v>-232.47660450000001</v>
      </c>
      <c r="D491">
        <v>-271.20043924999999</v>
      </c>
      <c r="E491">
        <v>10.37158</v>
      </c>
      <c r="F491">
        <v>6.0421257500000003</v>
      </c>
      <c r="G491">
        <v>295.01422100000002</v>
      </c>
      <c r="H491">
        <v>40</v>
      </c>
      <c r="I491">
        <v>-20</v>
      </c>
      <c r="J491">
        <v>1.18</v>
      </c>
      <c r="K491">
        <v>22.131024</v>
      </c>
      <c r="L491">
        <v>1.297006344860328</v>
      </c>
      <c r="M491">
        <v>2.0757193407373209</v>
      </c>
      <c r="N491">
        <v>-1.0855960648679861</v>
      </c>
      <c r="O491">
        <v>-0.98352117342867484</v>
      </c>
    </row>
    <row r="492" spans="1:15" x14ac:dyDescent="0.25">
      <c r="A492">
        <v>87.658893750000004</v>
      </c>
      <c r="B492">
        <v>263.83195525000002</v>
      </c>
      <c r="C492">
        <v>-176.12821575000001</v>
      </c>
      <c r="D492">
        <v>-239.25079375000001</v>
      </c>
      <c r="E492">
        <v>24.766587000000001</v>
      </c>
      <c r="F492">
        <v>5.8472189999999999</v>
      </c>
      <c r="G492">
        <v>275.60539249999999</v>
      </c>
      <c r="H492">
        <v>40</v>
      </c>
      <c r="I492">
        <v>-16</v>
      </c>
      <c r="J492">
        <v>1.18</v>
      </c>
      <c r="K492">
        <v>21.382622000000001</v>
      </c>
      <c r="L492">
        <v>1.1347822409164099</v>
      </c>
      <c r="M492">
        <v>2.1642323621225308</v>
      </c>
      <c r="N492">
        <v>-1.0791132026329471</v>
      </c>
      <c r="O492">
        <v>-0.91861304970997693</v>
      </c>
    </row>
    <row r="493" spans="1:15" x14ac:dyDescent="0.25">
      <c r="A493">
        <v>66.624372499999993</v>
      </c>
      <c r="B493">
        <v>256.03965749999998</v>
      </c>
      <c r="C493">
        <v>-129.88553999999999</v>
      </c>
      <c r="D493">
        <v>-221.549553</v>
      </c>
      <c r="E493">
        <v>31.651157000000001</v>
      </c>
      <c r="F493">
        <v>5.3112227499999998</v>
      </c>
      <c r="G493">
        <v>261.72867600000001</v>
      </c>
      <c r="H493">
        <v>40</v>
      </c>
      <c r="I493">
        <v>-12</v>
      </c>
      <c r="J493">
        <v>1.18</v>
      </c>
      <c r="K493">
        <v>20.847194250000001</v>
      </c>
      <c r="L493">
        <v>0.94763262128765224</v>
      </c>
      <c r="M493">
        <v>2.3030813379652968</v>
      </c>
      <c r="N493">
        <v>-1.1095014524860281</v>
      </c>
      <c r="O493">
        <v>-0.87297203287119896</v>
      </c>
    </row>
    <row r="494" spans="1:15" x14ac:dyDescent="0.25">
      <c r="A494">
        <v>49.923143250000003</v>
      </c>
      <c r="B494">
        <v>269.07491299999998</v>
      </c>
      <c r="C494">
        <v>-97.1772955</v>
      </c>
      <c r="D494">
        <v>-229.37305825000001</v>
      </c>
      <c r="E494">
        <v>40.770974250000002</v>
      </c>
      <c r="F494">
        <v>5.6035884999999999</v>
      </c>
      <c r="G494">
        <v>271.69936374999997</v>
      </c>
      <c r="H494">
        <v>40</v>
      </c>
      <c r="I494">
        <v>-8</v>
      </c>
      <c r="J494">
        <v>1.18</v>
      </c>
      <c r="K494">
        <v>21.236974249999999</v>
      </c>
      <c r="L494">
        <v>0.72093408130304926</v>
      </c>
      <c r="M494">
        <v>2.4429152544604849</v>
      </c>
      <c r="N494">
        <v>-1.131838026479028</v>
      </c>
      <c r="O494">
        <v>-0.82768113783911501</v>
      </c>
    </row>
    <row r="495" spans="1:15" x14ac:dyDescent="0.25">
      <c r="A495">
        <v>25.142132749999998</v>
      </c>
      <c r="B495">
        <v>287.97846225000001</v>
      </c>
      <c r="C495">
        <v>-65.777391499999993</v>
      </c>
      <c r="D495">
        <v>-248.691452</v>
      </c>
      <c r="E495">
        <v>45.28617775</v>
      </c>
      <c r="F495">
        <v>6.0421252499999998</v>
      </c>
      <c r="G495">
        <v>289.37160525000002</v>
      </c>
      <c r="H495">
        <v>40</v>
      </c>
      <c r="I495">
        <v>-4</v>
      </c>
      <c r="J495">
        <v>1.18</v>
      </c>
      <c r="K495">
        <v>21.913896250000001</v>
      </c>
      <c r="L495">
        <v>0.448942751222213</v>
      </c>
      <c r="M495">
        <v>2.6500195691323412</v>
      </c>
      <c r="N495">
        <v>-1.205307345325471</v>
      </c>
      <c r="O495">
        <v>-0.80624498585460624</v>
      </c>
    </row>
    <row r="496" spans="1:15" x14ac:dyDescent="0.25">
      <c r="A496">
        <v>-5.0449314999999997</v>
      </c>
      <c r="B496">
        <v>306.59339925</v>
      </c>
      <c r="C496">
        <v>-33.881220249999998</v>
      </c>
      <c r="D496">
        <v>-264.90666199999998</v>
      </c>
      <c r="E496">
        <v>48.504938250000002</v>
      </c>
      <c r="F496">
        <v>6.5781135000000006</v>
      </c>
      <c r="G496">
        <v>306.34381124999999</v>
      </c>
      <c r="H496">
        <v>40</v>
      </c>
      <c r="I496">
        <v>0</v>
      </c>
      <c r="J496">
        <v>1.18</v>
      </c>
      <c r="K496">
        <v>22.540556250000002</v>
      </c>
      <c r="L496">
        <v>0.14573287203640239</v>
      </c>
      <c r="M496">
        <v>2.8879437329576692</v>
      </c>
      <c r="N496">
        <v>-1.302975761286856</v>
      </c>
      <c r="O496">
        <v>-0.78818926313288773</v>
      </c>
    </row>
    <row r="497" spans="1:15" x14ac:dyDescent="0.25">
      <c r="A497">
        <v>-40.764842000000002</v>
      </c>
      <c r="B497">
        <v>319.82108299999999</v>
      </c>
      <c r="C497">
        <v>1.9872110000000001</v>
      </c>
      <c r="D497">
        <v>-277.14455400000003</v>
      </c>
      <c r="E497">
        <v>50.293138499999998</v>
      </c>
      <c r="F497">
        <v>6.6268440000000002</v>
      </c>
      <c r="G497">
        <v>320.66580199999999</v>
      </c>
      <c r="H497">
        <v>40</v>
      </c>
      <c r="I497">
        <v>4</v>
      </c>
      <c r="J497">
        <v>1.18</v>
      </c>
      <c r="K497">
        <v>23.070957499999999</v>
      </c>
      <c r="L497">
        <v>-0.2042938957070406</v>
      </c>
      <c r="M497">
        <v>2.852991895309696</v>
      </c>
      <c r="N497">
        <v>-1.2922080565775389</v>
      </c>
      <c r="O497">
        <v>-0.79131250616446636</v>
      </c>
    </row>
    <row r="498" spans="1:15" x14ac:dyDescent="0.25">
      <c r="A498">
        <v>-83.016136000000003</v>
      </c>
      <c r="B498">
        <v>331.50953675</v>
      </c>
      <c r="C498">
        <v>32.2908945</v>
      </c>
      <c r="D498">
        <v>-293.44718175000003</v>
      </c>
      <c r="E498">
        <v>48.102592250000001</v>
      </c>
      <c r="F498">
        <v>6.7242930000000003</v>
      </c>
      <c r="G498">
        <v>333.49229450000001</v>
      </c>
      <c r="H498">
        <v>40</v>
      </c>
      <c r="I498">
        <v>8</v>
      </c>
      <c r="J498">
        <v>1.18</v>
      </c>
      <c r="K498">
        <v>23.533889250000001</v>
      </c>
      <c r="L498">
        <v>-0.48790612977426751</v>
      </c>
      <c r="M498">
        <v>2.6443875790534328</v>
      </c>
      <c r="N498">
        <v>-1.2075768530110109</v>
      </c>
      <c r="O498">
        <v>-0.82491895837915896</v>
      </c>
    </row>
    <row r="499" spans="1:15" x14ac:dyDescent="0.25">
      <c r="A499">
        <v>-120.22249425</v>
      </c>
      <c r="B499">
        <v>322.27421550000003</v>
      </c>
      <c r="C499">
        <v>59.568818</v>
      </c>
      <c r="D499">
        <v>-287.02227800000003</v>
      </c>
      <c r="E499">
        <v>43.945030000000003</v>
      </c>
      <c r="F499">
        <v>6.6755705000000001</v>
      </c>
      <c r="G499">
        <v>325.66817474999999</v>
      </c>
      <c r="H499">
        <v>40</v>
      </c>
      <c r="I499">
        <v>12</v>
      </c>
      <c r="J499">
        <v>1.18</v>
      </c>
      <c r="K499">
        <v>23.2521685</v>
      </c>
      <c r="L499">
        <v>-0.72618394476892345</v>
      </c>
      <c r="M499">
        <v>2.4612029607390218</v>
      </c>
      <c r="N499">
        <v>-1.138022725086953</v>
      </c>
      <c r="O499">
        <v>-0.84946412425384321</v>
      </c>
    </row>
    <row r="500" spans="1:15" x14ac:dyDescent="0.25">
      <c r="A500">
        <v>-146.88856125000001</v>
      </c>
      <c r="B500">
        <v>292.40374000000003</v>
      </c>
      <c r="C500">
        <v>74.562646999999998</v>
      </c>
      <c r="D500">
        <v>-269.189911</v>
      </c>
      <c r="E500">
        <v>29.997071999999999</v>
      </c>
      <c r="F500">
        <v>6.3344784999999986</v>
      </c>
      <c r="G500">
        <v>300.484352</v>
      </c>
      <c r="H500">
        <v>40</v>
      </c>
      <c r="I500">
        <v>16</v>
      </c>
      <c r="J500">
        <v>1.18</v>
      </c>
      <c r="K500">
        <v>22.328407500000001</v>
      </c>
      <c r="L500">
        <v>-0.93029442660310657</v>
      </c>
      <c r="M500">
        <v>2.359339318946025</v>
      </c>
      <c r="N500">
        <v>-1.1363666983152989</v>
      </c>
      <c r="O500">
        <v>-0.90059728602476197</v>
      </c>
    </row>
    <row r="501" spans="1:15" x14ac:dyDescent="0.25">
      <c r="A501">
        <v>-175.26629224999999</v>
      </c>
      <c r="B501">
        <v>268.49771874999999</v>
      </c>
      <c r="C501">
        <v>87.072549749999993</v>
      </c>
      <c r="D501">
        <v>-261.67235599999998</v>
      </c>
      <c r="E501">
        <v>18.105543000000001</v>
      </c>
      <c r="F501">
        <v>5.8959414999999993</v>
      </c>
      <c r="G501">
        <v>283.01586900000001</v>
      </c>
      <c r="H501">
        <v>40</v>
      </c>
      <c r="I501">
        <v>20</v>
      </c>
      <c r="J501">
        <v>1.18</v>
      </c>
      <c r="K501">
        <v>21.672428499999999</v>
      </c>
      <c r="L501">
        <v>-1.10892548151137</v>
      </c>
      <c r="M501">
        <v>2.2411839184490909</v>
      </c>
      <c r="N501">
        <v>-1.1199303384128481</v>
      </c>
      <c r="O501">
        <v>-0.94846000426180999</v>
      </c>
    </row>
    <row r="502" spans="1:15" x14ac:dyDescent="0.25">
      <c r="A502">
        <v>-203.28367225</v>
      </c>
      <c r="B502">
        <v>246.32333</v>
      </c>
      <c r="C502">
        <v>94.433976999999999</v>
      </c>
      <c r="D502">
        <v>-259.96778849999998</v>
      </c>
      <c r="E502">
        <v>3.0399612500000002</v>
      </c>
      <c r="F502">
        <v>5.7497619999999996</v>
      </c>
      <c r="G502">
        <v>268.58658624999998</v>
      </c>
      <c r="H502">
        <v>40</v>
      </c>
      <c r="I502">
        <v>24</v>
      </c>
      <c r="J502">
        <v>1.18</v>
      </c>
      <c r="K502">
        <v>21.106527499999999</v>
      </c>
      <c r="L502">
        <v>-1.268698309022892</v>
      </c>
      <c r="M502">
        <v>2.157592674520084</v>
      </c>
      <c r="N502">
        <v>-1.131688440328501</v>
      </c>
      <c r="O502">
        <v>-1.011581970509202</v>
      </c>
    </row>
    <row r="503" spans="1:15" x14ac:dyDescent="0.25">
      <c r="A503">
        <v>-240.89542775000001</v>
      </c>
      <c r="B503">
        <v>239.58924124999999</v>
      </c>
      <c r="C503">
        <v>104.776104</v>
      </c>
      <c r="D503">
        <v>-283.65686025000002</v>
      </c>
      <c r="E503">
        <v>-12.80043425</v>
      </c>
      <c r="F503">
        <v>5.7497660000000002</v>
      </c>
      <c r="G503">
        <v>274.89315025000002</v>
      </c>
      <c r="H503">
        <v>40</v>
      </c>
      <c r="I503">
        <v>28</v>
      </c>
      <c r="J503">
        <v>1.18</v>
      </c>
      <c r="K503">
        <v>21.35823225</v>
      </c>
      <c r="L503">
        <v>-1.3855900791854041</v>
      </c>
      <c r="M503">
        <v>2.0973765412510699</v>
      </c>
      <c r="N503">
        <v>-1.153196441717204</v>
      </c>
      <c r="O503">
        <v>-1.0743437325875771</v>
      </c>
    </row>
    <row r="504" spans="1:15" x14ac:dyDescent="0.25">
      <c r="A504">
        <v>-292.29065724999998</v>
      </c>
      <c r="B504">
        <v>242.81198474999999</v>
      </c>
      <c r="C504">
        <v>117.33117300000001</v>
      </c>
      <c r="D504">
        <v>-326.83914199999998</v>
      </c>
      <c r="E504">
        <v>-33.406008749999998</v>
      </c>
      <c r="F504">
        <v>5.9933990000000001</v>
      </c>
      <c r="G504">
        <v>294.613968</v>
      </c>
      <c r="H504">
        <v>40</v>
      </c>
      <c r="I504">
        <v>32</v>
      </c>
      <c r="J504">
        <v>1.18</v>
      </c>
      <c r="K504">
        <v>22.117570749999999</v>
      </c>
      <c r="L504">
        <v>-1.4832914513339399</v>
      </c>
      <c r="M504">
        <v>2.0627884476396199</v>
      </c>
      <c r="N504">
        <v>-1.187831421812571</v>
      </c>
      <c r="O504">
        <v>-1.142684239453033</v>
      </c>
    </row>
    <row r="505" spans="1:15" x14ac:dyDescent="0.25">
      <c r="A505">
        <v>-340.93820950000003</v>
      </c>
      <c r="B505">
        <v>238.67532750000001</v>
      </c>
      <c r="C505">
        <v>126.18295675</v>
      </c>
      <c r="D505">
        <v>-369.19098650000001</v>
      </c>
      <c r="E505">
        <v>-57.936460250000003</v>
      </c>
      <c r="F505">
        <v>6.1883055000000002</v>
      </c>
      <c r="G505">
        <v>312.14205199999998</v>
      </c>
      <c r="H505">
        <v>40</v>
      </c>
      <c r="I505">
        <v>36</v>
      </c>
      <c r="J505">
        <v>1.18</v>
      </c>
      <c r="K505">
        <v>22.772023999999998</v>
      </c>
      <c r="L505">
        <v>-1.5721318258262409</v>
      </c>
      <c r="M505">
        <v>2.0458628884452401</v>
      </c>
      <c r="N505">
        <v>-1.2455941022350481</v>
      </c>
      <c r="O505">
        <v>-1.2158409958099521</v>
      </c>
    </row>
    <row r="506" spans="1:15" x14ac:dyDescent="0.25">
      <c r="A506">
        <v>-378.41484075</v>
      </c>
      <c r="B506">
        <v>225.30336</v>
      </c>
      <c r="C506">
        <v>130.157217</v>
      </c>
      <c r="D506">
        <v>-405.42389650000001</v>
      </c>
      <c r="E506">
        <v>-85.053753</v>
      </c>
      <c r="F506">
        <v>6.5293884999999996</v>
      </c>
      <c r="G506">
        <v>322.36797324999998</v>
      </c>
      <c r="H506">
        <v>40</v>
      </c>
      <c r="I506">
        <v>40</v>
      </c>
      <c r="J506">
        <v>1.18</v>
      </c>
      <c r="K506">
        <v>23.136967250000001</v>
      </c>
      <c r="L506">
        <v>-1.657318899397471</v>
      </c>
      <c r="M506">
        <v>2.0554331292908889</v>
      </c>
      <c r="N506">
        <v>-1.3277457417253129</v>
      </c>
      <c r="O506">
        <v>-1.2984700395576221</v>
      </c>
    </row>
    <row r="507" spans="1:15" x14ac:dyDescent="0.25">
      <c r="A507">
        <v>-422.332741</v>
      </c>
      <c r="B507">
        <v>207.16942599999999</v>
      </c>
      <c r="C507">
        <v>131.28627424999999</v>
      </c>
      <c r="D507">
        <v>-440.95747375000002</v>
      </c>
      <c r="E507">
        <v>-118.95037474999999</v>
      </c>
      <c r="F507">
        <v>6.8217499999999998</v>
      </c>
      <c r="G507">
        <v>333.21220375000001</v>
      </c>
      <c r="H507">
        <v>40</v>
      </c>
      <c r="I507">
        <v>44</v>
      </c>
      <c r="J507">
        <v>1.18</v>
      </c>
      <c r="K507">
        <v>23.520285749999999</v>
      </c>
      <c r="L507">
        <v>-1.770497461016705</v>
      </c>
      <c r="M507">
        <v>2.0727551379438038</v>
      </c>
      <c r="N507">
        <v>-1.4460665472112151</v>
      </c>
      <c r="O507">
        <v>-1.4022408539685449</v>
      </c>
    </row>
    <row r="508" spans="1:15" x14ac:dyDescent="0.25">
      <c r="A508">
        <v>87.25264525</v>
      </c>
      <c r="B508">
        <v>173.83568975</v>
      </c>
      <c r="C508">
        <v>-439.95960975000003</v>
      </c>
      <c r="D508">
        <v>-436.23715974999999</v>
      </c>
      <c r="E508">
        <v>-186.07459625000001</v>
      </c>
      <c r="F508">
        <v>6.3344825</v>
      </c>
      <c r="G508">
        <v>305.15652475000002</v>
      </c>
      <c r="H508">
        <v>44</v>
      </c>
      <c r="I508">
        <v>-44</v>
      </c>
      <c r="J508">
        <v>1.18</v>
      </c>
      <c r="K508">
        <v>22.50503075</v>
      </c>
      <c r="L508">
        <v>2.091951049419833</v>
      </c>
      <c r="M508">
        <v>2.4207434308979789</v>
      </c>
      <c r="N508">
        <v>-1.949232953791638</v>
      </c>
      <c r="O508">
        <v>-1.7634921984236041</v>
      </c>
    </row>
    <row r="509" spans="1:15" x14ac:dyDescent="0.25">
      <c r="A509">
        <v>86.440153250000009</v>
      </c>
      <c r="B509">
        <v>182.97481149999999</v>
      </c>
      <c r="C509">
        <v>-399.491623</v>
      </c>
      <c r="D509">
        <v>-391.48143775</v>
      </c>
      <c r="E509">
        <v>-147.76249675</v>
      </c>
      <c r="F509">
        <v>5.6523130000000004</v>
      </c>
      <c r="G509">
        <v>284.38586425</v>
      </c>
      <c r="H509">
        <v>44</v>
      </c>
      <c r="I509">
        <v>-40</v>
      </c>
      <c r="J509">
        <v>1.18</v>
      </c>
      <c r="K509">
        <v>21.73543875</v>
      </c>
      <c r="L509">
        <v>1.961719788799196</v>
      </c>
      <c r="M509">
        <v>2.3191200501562181</v>
      </c>
      <c r="N509">
        <v>-1.744734757802594</v>
      </c>
      <c r="O509">
        <v>-1.6194537919913929</v>
      </c>
    </row>
    <row r="510" spans="1:15" x14ac:dyDescent="0.25">
      <c r="A510">
        <v>82.467969750000009</v>
      </c>
      <c r="B510">
        <v>190.04559699999999</v>
      </c>
      <c r="C510">
        <v>-356.22653174999999</v>
      </c>
      <c r="D510">
        <v>-349.34810625</v>
      </c>
      <c r="E510">
        <v>-114.5794945</v>
      </c>
      <c r="F510">
        <v>5.2625004999999998</v>
      </c>
      <c r="G510">
        <v>266.92136375000001</v>
      </c>
      <c r="H510">
        <v>44</v>
      </c>
      <c r="I510">
        <v>-36</v>
      </c>
      <c r="J510">
        <v>1.18</v>
      </c>
      <c r="K510">
        <v>21.059176749999999</v>
      </c>
      <c r="L510">
        <v>1.841663603003608</v>
      </c>
      <c r="M510">
        <v>2.2644166015208009</v>
      </c>
      <c r="N510">
        <v>-1.601589754147227</v>
      </c>
      <c r="O510">
        <v>-1.5031172134308559</v>
      </c>
    </row>
    <row r="511" spans="1:15" x14ac:dyDescent="0.25">
      <c r="A511">
        <v>82.422828500000008</v>
      </c>
      <c r="B511">
        <v>211.73897925</v>
      </c>
      <c r="C511">
        <v>-338.54152675</v>
      </c>
      <c r="D511">
        <v>-340.82530200000002</v>
      </c>
      <c r="E511">
        <v>-95.7133465</v>
      </c>
      <c r="F511">
        <v>5.3599517499999996</v>
      </c>
      <c r="G511">
        <v>272.18801100000002</v>
      </c>
      <c r="H511">
        <v>44</v>
      </c>
      <c r="I511">
        <v>-32</v>
      </c>
      <c r="J511">
        <v>1.18</v>
      </c>
      <c r="K511">
        <v>21.266168749999999</v>
      </c>
      <c r="L511">
        <v>1.7255169757030859</v>
      </c>
      <c r="M511">
        <v>2.2649557223040282</v>
      </c>
      <c r="N511">
        <v>-1.508063080258637</v>
      </c>
      <c r="O511">
        <v>-1.4143302551998771</v>
      </c>
    </row>
    <row r="512" spans="1:15" x14ac:dyDescent="0.25">
      <c r="A512">
        <v>82.693662500000002</v>
      </c>
      <c r="B512">
        <v>240.35884874999999</v>
      </c>
      <c r="C512">
        <v>-327.17258475</v>
      </c>
      <c r="D512">
        <v>-348.69252024999997</v>
      </c>
      <c r="E512">
        <v>-83.448125750000003</v>
      </c>
      <c r="F512">
        <v>5.7984885000000004</v>
      </c>
      <c r="G512">
        <v>289.37805950000001</v>
      </c>
      <c r="H512">
        <v>44</v>
      </c>
      <c r="I512">
        <v>-28</v>
      </c>
      <c r="J512">
        <v>1.18</v>
      </c>
      <c r="K512">
        <v>21.92356775</v>
      </c>
      <c r="L512">
        <v>1.6105897616575311</v>
      </c>
      <c r="M512">
        <v>2.314712142347267</v>
      </c>
      <c r="N512">
        <v>-1.465063969773583</v>
      </c>
      <c r="O512">
        <v>-1.350710921715204</v>
      </c>
    </row>
    <row r="513" spans="1:15" x14ac:dyDescent="0.25">
      <c r="A513">
        <v>79.127723750000001</v>
      </c>
      <c r="B513">
        <v>267.15088624999999</v>
      </c>
      <c r="C513">
        <v>-309.62293275000002</v>
      </c>
      <c r="D513">
        <v>-342.31134025</v>
      </c>
      <c r="E513">
        <v>-67.347228999999999</v>
      </c>
      <c r="F513">
        <v>6.1395724999999999</v>
      </c>
      <c r="G513">
        <v>303.68525675000001</v>
      </c>
      <c r="H513">
        <v>44</v>
      </c>
      <c r="I513">
        <v>-24</v>
      </c>
      <c r="J513">
        <v>1.18</v>
      </c>
      <c r="K513">
        <v>22.45694275</v>
      </c>
      <c r="L513">
        <v>1.5031770260280819</v>
      </c>
      <c r="M513">
        <v>2.3565879348565502</v>
      </c>
      <c r="N513">
        <v>-1.434666623948037</v>
      </c>
      <c r="O513">
        <v>-1.284145440597205</v>
      </c>
    </row>
    <row r="514" spans="1:15" x14ac:dyDescent="0.25">
      <c r="A514">
        <v>71.499326499999995</v>
      </c>
      <c r="B514">
        <v>286.92024974999998</v>
      </c>
      <c r="C514">
        <v>-278.80951725</v>
      </c>
      <c r="D514">
        <v>-326.09613050000002</v>
      </c>
      <c r="E514">
        <v>-49.863710500000003</v>
      </c>
      <c r="F514">
        <v>6.3832070000000014</v>
      </c>
      <c r="G514">
        <v>312.86230499999999</v>
      </c>
      <c r="H514">
        <v>44</v>
      </c>
      <c r="I514">
        <v>-20</v>
      </c>
      <c r="J514">
        <v>1.18</v>
      </c>
      <c r="K514">
        <v>22.791578000000001</v>
      </c>
      <c r="L514">
        <v>1.38693981517765</v>
      </c>
      <c r="M514">
        <v>2.4269862091513712</v>
      </c>
      <c r="N514">
        <v>-1.436114196033327</v>
      </c>
      <c r="O514">
        <v>-1.222704866182815</v>
      </c>
    </row>
    <row r="515" spans="1:15" x14ac:dyDescent="0.25">
      <c r="A515">
        <v>58.58972825</v>
      </c>
      <c r="B515">
        <v>303.80356599999999</v>
      </c>
      <c r="C515">
        <v>-245.96593849999999</v>
      </c>
      <c r="D515">
        <v>-315.86873624999998</v>
      </c>
      <c r="E515">
        <v>-35.725253250000002</v>
      </c>
      <c r="F515">
        <v>6.4806642500000002</v>
      </c>
      <c r="G515">
        <v>320.44435125000001</v>
      </c>
      <c r="H515">
        <v>44</v>
      </c>
      <c r="I515">
        <v>-16</v>
      </c>
      <c r="J515">
        <v>1.18</v>
      </c>
      <c r="K515">
        <v>23.068192249999999</v>
      </c>
      <c r="L515">
        <v>1.2420986723151479</v>
      </c>
      <c r="M515">
        <v>2.5273240129843688</v>
      </c>
      <c r="N515">
        <v>-1.4526488777434581</v>
      </c>
      <c r="O515">
        <v>-1.172139048450729</v>
      </c>
    </row>
    <row r="516" spans="1:15" x14ac:dyDescent="0.25">
      <c r="A516">
        <v>38.322560250000002</v>
      </c>
      <c r="B516">
        <v>319.43627924999998</v>
      </c>
      <c r="C516">
        <v>-208.74621974999999</v>
      </c>
      <c r="D516">
        <v>-317.22364800000003</v>
      </c>
      <c r="E516">
        <v>-27.384900500000001</v>
      </c>
      <c r="F516">
        <v>6.5293864999999993</v>
      </c>
      <c r="G516">
        <v>329.27156074999999</v>
      </c>
      <c r="H516">
        <v>44</v>
      </c>
      <c r="I516">
        <v>-12</v>
      </c>
      <c r="J516">
        <v>1.18</v>
      </c>
      <c r="K516">
        <v>23.388469749999999</v>
      </c>
      <c r="L516">
        <v>1.0486628063610739</v>
      </c>
      <c r="M516">
        <v>2.7024157104768092</v>
      </c>
      <c r="N516">
        <v>-1.513920286560372</v>
      </c>
      <c r="O516">
        <v>-1.1439883704563729</v>
      </c>
    </row>
    <row r="517" spans="1:15" x14ac:dyDescent="0.25">
      <c r="A517">
        <v>11.28400025</v>
      </c>
      <c r="B517">
        <v>330.25891849999999</v>
      </c>
      <c r="C517">
        <v>-168.41358199999999</v>
      </c>
      <c r="D517">
        <v>-324.56638325</v>
      </c>
      <c r="E517">
        <v>-21.854399000000001</v>
      </c>
      <c r="F517">
        <v>6.9192010000000002</v>
      </c>
      <c r="G517">
        <v>334.79219799999998</v>
      </c>
      <c r="H517">
        <v>44</v>
      </c>
      <c r="I517">
        <v>-8</v>
      </c>
      <c r="J517">
        <v>1.18</v>
      </c>
      <c r="K517">
        <v>23.573623000000001</v>
      </c>
      <c r="L517">
        <v>0.79997164212408434</v>
      </c>
      <c r="M517">
        <v>2.9150683565565112</v>
      </c>
      <c r="N517">
        <v>-1.5877133569795541</v>
      </c>
      <c r="O517">
        <v>-1.128072789635528</v>
      </c>
    </row>
    <row r="518" spans="1:15" x14ac:dyDescent="0.25">
      <c r="A518">
        <v>-17.97256625</v>
      </c>
      <c r="B518">
        <v>305.43899549999998</v>
      </c>
      <c r="C518">
        <v>-115.26833925</v>
      </c>
      <c r="D518">
        <v>-299.56610875000001</v>
      </c>
      <c r="E518">
        <v>-18.3309335</v>
      </c>
      <c r="F518">
        <v>6.4319315000000001</v>
      </c>
      <c r="G518">
        <v>307.52632925</v>
      </c>
      <c r="H518">
        <v>44</v>
      </c>
      <c r="I518">
        <v>-4</v>
      </c>
      <c r="J518">
        <v>1.18</v>
      </c>
      <c r="K518">
        <v>22.590452500000001</v>
      </c>
      <c r="L518">
        <v>0.51454502463760399</v>
      </c>
      <c r="M518">
        <v>3.1996998614309979</v>
      </c>
      <c r="N518">
        <v>-1.723420056833362</v>
      </c>
      <c r="O518">
        <v>-1.130963019629053</v>
      </c>
    </row>
    <row r="519" spans="1:15" x14ac:dyDescent="0.25">
      <c r="A519">
        <v>-43.602616500000003</v>
      </c>
      <c r="B519">
        <v>282.68740100000002</v>
      </c>
      <c r="C519">
        <v>-69.296345000000002</v>
      </c>
      <c r="D519">
        <v>-274.52214025000001</v>
      </c>
      <c r="E519">
        <v>-13.291041999999999</v>
      </c>
      <c r="F519">
        <v>5.8959460000000004</v>
      </c>
      <c r="G519">
        <v>284.06569674999997</v>
      </c>
      <c r="H519">
        <v>44</v>
      </c>
      <c r="I519">
        <v>0</v>
      </c>
      <c r="J519">
        <v>1.18</v>
      </c>
      <c r="K519">
        <v>21.71342125</v>
      </c>
      <c r="L519">
        <v>0.16198766912411289</v>
      </c>
      <c r="M519">
        <v>3.5131085870176451</v>
      </c>
      <c r="N519">
        <v>-1.8748522773698251</v>
      </c>
      <c r="O519">
        <v>-1.1210311275746021</v>
      </c>
    </row>
    <row r="520" spans="1:15" x14ac:dyDescent="0.25">
      <c r="A520">
        <v>-68.737178999999998</v>
      </c>
      <c r="B520">
        <v>265.17878000000002</v>
      </c>
      <c r="C520">
        <v>-36.31741925</v>
      </c>
      <c r="D520">
        <v>-255.24746300000001</v>
      </c>
      <c r="E520">
        <v>-14.9858735</v>
      </c>
      <c r="F520">
        <v>5.4574049999999996</v>
      </c>
      <c r="G520">
        <v>266.70576499999999</v>
      </c>
      <c r="H520">
        <v>44</v>
      </c>
      <c r="I520">
        <v>4</v>
      </c>
      <c r="J520">
        <v>1.18</v>
      </c>
      <c r="K520">
        <v>21.04265625</v>
      </c>
      <c r="L520">
        <v>-0.2205382840449969</v>
      </c>
      <c r="M520">
        <v>3.5402475124021882</v>
      </c>
      <c r="N520">
        <v>-1.9162843504091609</v>
      </c>
      <c r="O520">
        <v>-1.13909385508781</v>
      </c>
    </row>
    <row r="521" spans="1:15" x14ac:dyDescent="0.25">
      <c r="A521">
        <v>-100.58330725</v>
      </c>
      <c r="B521">
        <v>270.42174549999999</v>
      </c>
      <c r="C521">
        <v>-9.3838802500000007</v>
      </c>
      <c r="D521">
        <v>-260.62339800000001</v>
      </c>
      <c r="E521">
        <v>-16.323898</v>
      </c>
      <c r="F521">
        <v>5.3599490000000003</v>
      </c>
      <c r="G521">
        <v>272.85237124999998</v>
      </c>
      <c r="H521">
        <v>44</v>
      </c>
      <c r="I521">
        <v>8</v>
      </c>
      <c r="J521">
        <v>1.18</v>
      </c>
      <c r="K521">
        <v>21.29263675</v>
      </c>
      <c r="L521">
        <v>-0.55518588442672434</v>
      </c>
      <c r="M521">
        <v>3.232598677745997</v>
      </c>
      <c r="N521">
        <v>-1.760313664082831</v>
      </c>
      <c r="O521">
        <v>-1.1320012430468189</v>
      </c>
    </row>
    <row r="522" spans="1:15" x14ac:dyDescent="0.25">
      <c r="A522">
        <v>-142.51929100000001</v>
      </c>
      <c r="B522">
        <v>282.44689949999997</v>
      </c>
      <c r="C522">
        <v>15.309937</v>
      </c>
      <c r="D522">
        <v>-273.82283000000001</v>
      </c>
      <c r="E522">
        <v>-21.497594500000002</v>
      </c>
      <c r="F522">
        <v>5.7497660000000002</v>
      </c>
      <c r="G522">
        <v>287.73089599999997</v>
      </c>
      <c r="H522">
        <v>44</v>
      </c>
      <c r="I522">
        <v>12</v>
      </c>
      <c r="J522">
        <v>1.18</v>
      </c>
      <c r="K522">
        <v>21.861696250000001</v>
      </c>
      <c r="L522">
        <v>-0.84550369534495695</v>
      </c>
      <c r="M522">
        <v>2.9799361230257402</v>
      </c>
      <c r="N522">
        <v>-1.6565704586443299</v>
      </c>
      <c r="O522">
        <v>-1.1459866582154561</v>
      </c>
    </row>
    <row r="523" spans="1:15" x14ac:dyDescent="0.25">
      <c r="A523">
        <v>-187.06783275000001</v>
      </c>
      <c r="B523">
        <v>292.01893625000002</v>
      </c>
      <c r="C523">
        <v>34.865138250000001</v>
      </c>
      <c r="D523">
        <v>-296.8125915</v>
      </c>
      <c r="E523">
        <v>-32.15718725</v>
      </c>
      <c r="F523">
        <v>6.2370299999999999</v>
      </c>
      <c r="G523">
        <v>302.51516724999999</v>
      </c>
      <c r="H523">
        <v>44</v>
      </c>
      <c r="I523">
        <v>16</v>
      </c>
      <c r="J523">
        <v>1.18</v>
      </c>
      <c r="K523">
        <v>22.409053750000002</v>
      </c>
      <c r="L523">
        <v>-1.0579275848857239</v>
      </c>
      <c r="M523">
        <v>2.8068716273577001</v>
      </c>
      <c r="N523">
        <v>-1.5953438157653761</v>
      </c>
      <c r="O523">
        <v>-1.1830189188226139</v>
      </c>
    </row>
    <row r="524" spans="1:15" x14ac:dyDescent="0.25">
      <c r="A524">
        <v>-234.31899999999999</v>
      </c>
      <c r="B524">
        <v>296.15557849999999</v>
      </c>
      <c r="C524">
        <v>54.555822499999998</v>
      </c>
      <c r="D524">
        <v>-323.12406175000001</v>
      </c>
      <c r="E524">
        <v>-45.136022750000002</v>
      </c>
      <c r="F524">
        <v>6.48066225</v>
      </c>
      <c r="G524">
        <v>315.28507999999999</v>
      </c>
      <c r="H524">
        <v>44</v>
      </c>
      <c r="I524">
        <v>20</v>
      </c>
      <c r="J524">
        <v>1.18</v>
      </c>
      <c r="K524">
        <v>22.877875499999998</v>
      </c>
      <c r="L524">
        <v>-1.236710264875533</v>
      </c>
      <c r="M524">
        <v>2.651248370432012</v>
      </c>
      <c r="N524">
        <v>-1.5430424020257349</v>
      </c>
      <c r="O524">
        <v>-1.220984903002541</v>
      </c>
    </row>
    <row r="525" spans="1:15" x14ac:dyDescent="0.25">
      <c r="A525">
        <v>-281.48010249999999</v>
      </c>
      <c r="B525">
        <v>296.29987325000002</v>
      </c>
      <c r="C525">
        <v>69.685133000000008</v>
      </c>
      <c r="D525">
        <v>-352.14535525000002</v>
      </c>
      <c r="E525">
        <v>-61.816726500000001</v>
      </c>
      <c r="F525">
        <v>6.5781174999999994</v>
      </c>
      <c r="G525">
        <v>325.60922249999999</v>
      </c>
      <c r="H525">
        <v>44</v>
      </c>
      <c r="I525">
        <v>24</v>
      </c>
      <c r="J525">
        <v>1.18</v>
      </c>
      <c r="K525">
        <v>23.253609000000001</v>
      </c>
      <c r="L525">
        <v>-1.377153827306093</v>
      </c>
      <c r="M525">
        <v>2.5430227789766602</v>
      </c>
      <c r="N525">
        <v>-1.5193997399676511</v>
      </c>
      <c r="O525">
        <v>-1.268239866825579</v>
      </c>
    </row>
    <row r="526" spans="1:15" x14ac:dyDescent="0.25">
      <c r="A526">
        <v>-335.08248900000001</v>
      </c>
      <c r="B526">
        <v>292.35563674999997</v>
      </c>
      <c r="C526">
        <v>84.091853749999999</v>
      </c>
      <c r="D526">
        <v>-382.74007425000002</v>
      </c>
      <c r="E526">
        <v>-79.924661749999999</v>
      </c>
      <c r="F526">
        <v>6.8704725</v>
      </c>
      <c r="G526">
        <v>336.57360075000003</v>
      </c>
      <c r="H526">
        <v>44</v>
      </c>
      <c r="I526">
        <v>28</v>
      </c>
      <c r="J526">
        <v>1.18</v>
      </c>
      <c r="K526">
        <v>23.639344250000001</v>
      </c>
      <c r="L526">
        <v>-1.5025474316720919</v>
      </c>
      <c r="M526">
        <v>2.4202327076051189</v>
      </c>
      <c r="N526">
        <v>-1.4932978471680001</v>
      </c>
      <c r="O526">
        <v>-1.3112608904533309</v>
      </c>
    </row>
    <row r="527" spans="1:15" x14ac:dyDescent="0.25">
      <c r="A527">
        <v>-346.70383450000003</v>
      </c>
      <c r="B527">
        <v>252.86500925000001</v>
      </c>
      <c r="C527">
        <v>84.046691749999994</v>
      </c>
      <c r="D527">
        <v>-368.79762249999999</v>
      </c>
      <c r="E527">
        <v>-92.457492999999999</v>
      </c>
      <c r="F527">
        <v>6.3344825</v>
      </c>
      <c r="G527">
        <v>311.0395355</v>
      </c>
      <c r="H527">
        <v>44</v>
      </c>
      <c r="I527">
        <v>32</v>
      </c>
      <c r="J527">
        <v>1.18</v>
      </c>
      <c r="K527">
        <v>22.725478249999998</v>
      </c>
      <c r="L527">
        <v>-1.6236759891976631</v>
      </c>
      <c r="M527">
        <v>2.3433538615063272</v>
      </c>
      <c r="N527">
        <v>-1.52099176472086</v>
      </c>
      <c r="O527">
        <v>-1.372398480042746</v>
      </c>
    </row>
    <row r="528" spans="1:15" x14ac:dyDescent="0.25">
      <c r="A528">
        <v>-356.74865749999998</v>
      </c>
      <c r="B528">
        <v>217.65535349999999</v>
      </c>
      <c r="C528">
        <v>81.698261000000002</v>
      </c>
      <c r="D528">
        <v>-356.99679574999999</v>
      </c>
      <c r="E528">
        <v>-102.44807225</v>
      </c>
      <c r="F528">
        <v>5.7984904999999998</v>
      </c>
      <c r="G528">
        <v>288.83453400000002</v>
      </c>
      <c r="H528">
        <v>44</v>
      </c>
      <c r="I528">
        <v>36</v>
      </c>
      <c r="J528">
        <v>1.18</v>
      </c>
      <c r="K528">
        <v>21.902542</v>
      </c>
      <c r="L528">
        <v>-1.723301979167821</v>
      </c>
      <c r="M528">
        <v>2.2586533943146301</v>
      </c>
      <c r="N528">
        <v>-1.537945045968852</v>
      </c>
      <c r="O528">
        <v>-1.425462229594328</v>
      </c>
    </row>
    <row r="529" spans="1:15" x14ac:dyDescent="0.25">
      <c r="A529">
        <v>-364.36109175000001</v>
      </c>
      <c r="B529">
        <v>186.91906349999999</v>
      </c>
      <c r="C529">
        <v>77.543344499999989</v>
      </c>
      <c r="D529">
        <v>-356.07896449999998</v>
      </c>
      <c r="E529">
        <v>-114.534891</v>
      </c>
      <c r="F529">
        <v>5.5548574999999998</v>
      </c>
      <c r="G529">
        <v>271.38761925</v>
      </c>
      <c r="H529">
        <v>44</v>
      </c>
      <c r="I529">
        <v>40</v>
      </c>
      <c r="J529">
        <v>1.18</v>
      </c>
      <c r="K529">
        <v>21.226470249999998</v>
      </c>
      <c r="L529">
        <v>-1.7987080733524761</v>
      </c>
      <c r="M529">
        <v>2.2102416674163079</v>
      </c>
      <c r="N529">
        <v>-1.570920119169704</v>
      </c>
      <c r="O529">
        <v>-1.488874792028984</v>
      </c>
    </row>
    <row r="530" spans="1:15" x14ac:dyDescent="0.25">
      <c r="A530">
        <v>-390.03619375</v>
      </c>
      <c r="B530">
        <v>164.79277425000001</v>
      </c>
      <c r="C530">
        <v>71.49161724999999</v>
      </c>
      <c r="D530">
        <v>-374.61061825000002</v>
      </c>
      <c r="E530">
        <v>-137.10290524999999</v>
      </c>
      <c r="F530">
        <v>5.4086802499999997</v>
      </c>
      <c r="G530">
        <v>268.20201850000001</v>
      </c>
      <c r="H530">
        <v>44</v>
      </c>
      <c r="I530">
        <v>44</v>
      </c>
      <c r="J530">
        <v>1.18</v>
      </c>
      <c r="K530">
        <v>21.104781249999998</v>
      </c>
      <c r="L530">
        <v>-1.88215277393659</v>
      </c>
      <c r="M530">
        <v>2.199771270120229</v>
      </c>
      <c r="N530">
        <v>-1.652954775534383</v>
      </c>
      <c r="O530">
        <v>-1.581237070290179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C5BB-E57F-4158-BCB1-7E9806E21ED8}">
  <dimension ref="A1:O530"/>
  <sheetViews>
    <sheetView workbookViewId="0">
      <selection activeCell="F35" sqref="F35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69.133985249999995</v>
      </c>
      <c r="B2">
        <v>-442.37969974999999</v>
      </c>
      <c r="C2">
        <v>-444.7155305</v>
      </c>
      <c r="D2">
        <v>176.36615</v>
      </c>
      <c r="E2">
        <v>-191.2036895</v>
      </c>
      <c r="F2">
        <v>6.4301170000000001</v>
      </c>
      <c r="G2">
        <v>300.404335</v>
      </c>
      <c r="H2">
        <v>-44</v>
      </c>
      <c r="I2">
        <v>-44</v>
      </c>
      <c r="J2">
        <v>1.18</v>
      </c>
      <c r="K2">
        <v>22.32174775</v>
      </c>
      <c r="L2">
        <v>2.0363132174932428</v>
      </c>
      <c r="M2">
        <v>-2.4520046365898809</v>
      </c>
      <c r="N2">
        <v>-1.9481745707472979</v>
      </c>
      <c r="O2">
        <v>-1.7831960937423861</v>
      </c>
    </row>
    <row r="3" spans="1:15" x14ac:dyDescent="0.25">
      <c r="A3">
        <v>76.850637250000005</v>
      </c>
      <c r="B3">
        <v>-439.42272200000002</v>
      </c>
      <c r="C3">
        <v>-447.73744950000003</v>
      </c>
      <c r="D3">
        <v>207.95085524999999</v>
      </c>
      <c r="E3">
        <v>-166.80704474999999</v>
      </c>
      <c r="F3">
        <v>6.9172444999999998</v>
      </c>
      <c r="G3">
        <v>316.07035074999999</v>
      </c>
      <c r="H3">
        <v>-44</v>
      </c>
      <c r="I3">
        <v>-40</v>
      </c>
      <c r="J3">
        <v>1.18</v>
      </c>
      <c r="K3">
        <v>22.8907755</v>
      </c>
      <c r="L3">
        <v>1.895374785254812</v>
      </c>
      <c r="M3">
        <v>-2.3390085740457822</v>
      </c>
      <c r="N3">
        <v>-1.744672952291614</v>
      </c>
      <c r="O3">
        <v>-1.627681171899771</v>
      </c>
    </row>
    <row r="4" spans="1:15" x14ac:dyDescent="0.25">
      <c r="A4">
        <v>82.626848499999994</v>
      </c>
      <c r="B4">
        <v>-429.26542649999999</v>
      </c>
      <c r="C4">
        <v>-440.83668525000002</v>
      </c>
      <c r="D4">
        <v>241.50687024999999</v>
      </c>
      <c r="E4">
        <v>-144.060631</v>
      </c>
      <c r="F4">
        <v>7.1608082499999997</v>
      </c>
      <c r="G4">
        <v>331.01291650000002</v>
      </c>
      <c r="H4">
        <v>-44</v>
      </c>
      <c r="I4">
        <v>-36</v>
      </c>
      <c r="J4">
        <v>1.18</v>
      </c>
      <c r="K4">
        <v>23.428637250000001</v>
      </c>
      <c r="L4">
        <v>1.7989490129105139</v>
      </c>
      <c r="M4">
        <v>-2.305162901392968</v>
      </c>
      <c r="N4">
        <v>-1.632642029664777</v>
      </c>
      <c r="O4">
        <v>-1.5196845358528619</v>
      </c>
    </row>
    <row r="5" spans="1:15" x14ac:dyDescent="0.25">
      <c r="A5">
        <v>81.543807999999999</v>
      </c>
      <c r="B5">
        <v>-399.63854199999997</v>
      </c>
      <c r="C5">
        <v>-400.64991750000002</v>
      </c>
      <c r="D5">
        <v>262.00844575000002</v>
      </c>
      <c r="E5">
        <v>-112.43865775</v>
      </c>
      <c r="F5">
        <v>6.7223934999999999</v>
      </c>
      <c r="G5">
        <v>331.01291624999999</v>
      </c>
      <c r="H5">
        <v>-44</v>
      </c>
      <c r="I5">
        <v>-32</v>
      </c>
      <c r="J5">
        <v>1.18</v>
      </c>
      <c r="K5">
        <v>23.444429750000001</v>
      </c>
      <c r="L5">
        <v>1.676036185277108</v>
      </c>
      <c r="M5">
        <v>-2.299855006095481</v>
      </c>
      <c r="N5">
        <v>-1.5414317994978659</v>
      </c>
      <c r="O5">
        <v>-1.4142075460802299</v>
      </c>
    </row>
    <row r="6" spans="1:15" x14ac:dyDescent="0.25">
      <c r="A6">
        <v>69.675504750000002</v>
      </c>
      <c r="B6">
        <v>-342.24224874999999</v>
      </c>
      <c r="C6">
        <v>-328.44001774999998</v>
      </c>
      <c r="D6">
        <v>256.44498475</v>
      </c>
      <c r="E6">
        <v>-78.319029</v>
      </c>
      <c r="F6">
        <v>6.2352662499999996</v>
      </c>
      <c r="G6">
        <v>303.12510674999999</v>
      </c>
      <c r="H6">
        <v>-44</v>
      </c>
      <c r="I6">
        <v>-28</v>
      </c>
      <c r="J6">
        <v>1.18</v>
      </c>
      <c r="K6">
        <v>22.432168999999998</v>
      </c>
      <c r="L6">
        <v>1.5489859344888279</v>
      </c>
      <c r="M6">
        <v>-2.329380960040818</v>
      </c>
      <c r="N6">
        <v>-1.4841494143505389</v>
      </c>
      <c r="O6">
        <v>-1.3289804228089179</v>
      </c>
    </row>
    <row r="7" spans="1:15" x14ac:dyDescent="0.25">
      <c r="A7">
        <v>57.626695750000003</v>
      </c>
      <c r="B7">
        <v>-305.02011099999999</v>
      </c>
      <c r="C7">
        <v>-269.85121950000001</v>
      </c>
      <c r="D7">
        <v>252.721405</v>
      </c>
      <c r="E7">
        <v>-53.29797525</v>
      </c>
      <c r="F7">
        <v>6.0404157499999993</v>
      </c>
      <c r="G7">
        <v>284.70333099999999</v>
      </c>
      <c r="H7">
        <v>-44</v>
      </c>
      <c r="I7">
        <v>-24</v>
      </c>
      <c r="J7">
        <v>1.18</v>
      </c>
      <c r="K7">
        <v>21.732679749999999</v>
      </c>
      <c r="L7">
        <v>1.398611615152304</v>
      </c>
      <c r="M7">
        <v>-2.3821335044001182</v>
      </c>
      <c r="N7">
        <v>-1.4436293199340591</v>
      </c>
      <c r="O7">
        <v>-1.2533991408122711</v>
      </c>
    </row>
    <row r="8" spans="1:15" x14ac:dyDescent="0.25">
      <c r="A8">
        <v>45.126619249999997</v>
      </c>
      <c r="B8">
        <v>-275.85636125000002</v>
      </c>
      <c r="C8">
        <v>-220.01241675</v>
      </c>
      <c r="D8">
        <v>247.46458425</v>
      </c>
      <c r="E8">
        <v>-35.190042499999997</v>
      </c>
      <c r="F8">
        <v>5.55328775</v>
      </c>
      <c r="G8">
        <v>266.93936150000002</v>
      </c>
      <c r="H8">
        <v>-44</v>
      </c>
      <c r="I8">
        <v>-20</v>
      </c>
      <c r="J8">
        <v>1.18</v>
      </c>
      <c r="K8">
        <v>21.04816975</v>
      </c>
      <c r="L8">
        <v>1.246294613248673</v>
      </c>
      <c r="M8">
        <v>-2.459957004438293</v>
      </c>
      <c r="N8">
        <v>-1.4202240704361939</v>
      </c>
      <c r="O8">
        <v>-1.1915309264719369</v>
      </c>
    </row>
    <row r="9" spans="1:15" x14ac:dyDescent="0.25">
      <c r="A9">
        <v>33.25831625</v>
      </c>
      <c r="B9">
        <v>-282.71559124999999</v>
      </c>
      <c r="C9">
        <v>-196.37845225000001</v>
      </c>
      <c r="D9">
        <v>270.68218999999999</v>
      </c>
      <c r="E9">
        <v>-24.887255499999998</v>
      </c>
      <c r="F9">
        <v>6.0404157499999993</v>
      </c>
      <c r="G9">
        <v>282.58298474999998</v>
      </c>
      <c r="H9">
        <v>-44</v>
      </c>
      <c r="I9">
        <v>-16</v>
      </c>
      <c r="J9">
        <v>1.18</v>
      </c>
      <c r="K9">
        <v>21.649833749999999</v>
      </c>
      <c r="L9">
        <v>1.069817811556147</v>
      </c>
      <c r="M9">
        <v>-2.5782192581084749</v>
      </c>
      <c r="N9">
        <v>-1.4325580508963669</v>
      </c>
      <c r="O9">
        <v>-1.1441398624453369</v>
      </c>
    </row>
    <row r="10" spans="1:15" x14ac:dyDescent="0.25">
      <c r="A10">
        <v>20.081340749999999</v>
      </c>
      <c r="B10">
        <v>-300.175476</v>
      </c>
      <c r="C10">
        <v>-175.99190525</v>
      </c>
      <c r="D10">
        <v>297.01008624999997</v>
      </c>
      <c r="E10">
        <v>-16.36850025</v>
      </c>
      <c r="F10">
        <v>6.57625525</v>
      </c>
      <c r="G10">
        <v>303.32515699999999</v>
      </c>
      <c r="H10">
        <v>-44</v>
      </c>
      <c r="I10">
        <v>-12</v>
      </c>
      <c r="J10">
        <v>1.18</v>
      </c>
      <c r="K10">
        <v>22.426833500000001</v>
      </c>
      <c r="L10">
        <v>0.8843294798792074</v>
      </c>
      <c r="M10">
        <v>-2.6935160768015041</v>
      </c>
      <c r="N10">
        <v>-1.4419292339265199</v>
      </c>
      <c r="O10">
        <v>-1.10349858912799</v>
      </c>
    </row>
    <row r="11" spans="1:15" x14ac:dyDescent="0.25">
      <c r="A11">
        <v>-0.17951975000000001</v>
      </c>
      <c r="B11">
        <v>-311.9273225</v>
      </c>
      <c r="C11">
        <v>-147.26129524999999</v>
      </c>
      <c r="D11">
        <v>317.77450575</v>
      </c>
      <c r="E11">
        <v>-9.9905837500000008</v>
      </c>
      <c r="F11">
        <v>6.9177032499999997</v>
      </c>
      <c r="G11">
        <v>319.92981724999999</v>
      </c>
      <c r="H11">
        <v>-44</v>
      </c>
      <c r="I11">
        <v>-8</v>
      </c>
      <c r="J11">
        <v>1.18</v>
      </c>
      <c r="K11">
        <v>23.03320575</v>
      </c>
      <c r="L11">
        <v>0.66974561157481471</v>
      </c>
      <c r="M11">
        <v>-2.867527463869374</v>
      </c>
      <c r="N11">
        <v>-1.502402942739723</v>
      </c>
      <c r="O11">
        <v>-1.0770149687811259</v>
      </c>
    </row>
    <row r="12" spans="1:15" x14ac:dyDescent="0.25">
      <c r="A12">
        <v>-27.47685375</v>
      </c>
      <c r="B12">
        <v>-327.37256624999998</v>
      </c>
      <c r="C12">
        <v>-115.19306</v>
      </c>
      <c r="D12">
        <v>333.76399199999997</v>
      </c>
      <c r="E12">
        <v>-9.4107727499999996</v>
      </c>
      <c r="F12">
        <v>6.8694767499999996</v>
      </c>
      <c r="G12">
        <v>334.77397174999999</v>
      </c>
      <c r="H12">
        <v>-44</v>
      </c>
      <c r="I12">
        <v>-4</v>
      </c>
      <c r="J12">
        <v>1.18</v>
      </c>
      <c r="K12">
        <v>23.574766749999998</v>
      </c>
      <c r="L12">
        <v>0.4139621167516665</v>
      </c>
      <c r="M12">
        <v>-3.1205787839005179</v>
      </c>
      <c r="N12">
        <v>-1.624585615775761</v>
      </c>
      <c r="O12">
        <v>-1.0768782329631399</v>
      </c>
    </row>
    <row r="13" spans="1:15" x14ac:dyDescent="0.25">
      <c r="A13">
        <v>-56.485207750000001</v>
      </c>
      <c r="B13">
        <v>-321.66452800000002</v>
      </c>
      <c r="C13">
        <v>-75.457313499999998</v>
      </c>
      <c r="D13">
        <v>325.35308850000001</v>
      </c>
      <c r="E13">
        <v>-11.73001575</v>
      </c>
      <c r="F13">
        <v>6.9177172499999999</v>
      </c>
      <c r="G13">
        <v>324.97122949999999</v>
      </c>
      <c r="H13">
        <v>-44</v>
      </c>
      <c r="I13">
        <v>0</v>
      </c>
      <c r="J13">
        <v>1.18</v>
      </c>
      <c r="K13">
        <v>23.217931499999999</v>
      </c>
      <c r="L13">
        <v>0.10154840813516521</v>
      </c>
      <c r="M13">
        <v>-3.4633098410635972</v>
      </c>
      <c r="N13">
        <v>-1.8023059852106289</v>
      </c>
      <c r="O13">
        <v>-1.099857539960895</v>
      </c>
    </row>
    <row r="14" spans="1:15" x14ac:dyDescent="0.25">
      <c r="A14">
        <v>-77.610853249999991</v>
      </c>
      <c r="B14">
        <v>-296.52999849999998</v>
      </c>
      <c r="C14">
        <v>-34.999926500000001</v>
      </c>
      <c r="D14">
        <v>299.28803249999999</v>
      </c>
      <c r="E14">
        <v>-9.1431679999999993</v>
      </c>
      <c r="F14">
        <v>6.3818495000000004</v>
      </c>
      <c r="G14">
        <v>299.88417800000002</v>
      </c>
      <c r="H14">
        <v>-44</v>
      </c>
      <c r="I14">
        <v>4</v>
      </c>
      <c r="J14">
        <v>1.18</v>
      </c>
      <c r="K14">
        <v>22.303826749999999</v>
      </c>
      <c r="L14">
        <v>-0.23942672842233029</v>
      </c>
      <c r="M14">
        <v>-3.348830116621953</v>
      </c>
      <c r="N14">
        <v>-1.736930391022347</v>
      </c>
      <c r="O14">
        <v>-1.087257628486205</v>
      </c>
    </row>
    <row r="15" spans="1:15" x14ac:dyDescent="0.25">
      <c r="A15">
        <v>-102.70037625000001</v>
      </c>
      <c r="B15">
        <v>-281.2765885</v>
      </c>
      <c r="C15">
        <v>-6.0889047500000002</v>
      </c>
      <c r="D15">
        <v>282.02815249999998</v>
      </c>
      <c r="E15">
        <v>-12.176024249999999</v>
      </c>
      <c r="F15">
        <v>5.9429904999999996</v>
      </c>
      <c r="G15">
        <v>282.55931824999999</v>
      </c>
      <c r="H15">
        <v>-44</v>
      </c>
      <c r="I15">
        <v>8</v>
      </c>
      <c r="J15">
        <v>1.18</v>
      </c>
      <c r="K15">
        <v>21.652727500000001</v>
      </c>
      <c r="L15">
        <v>-0.53731182137897626</v>
      </c>
      <c r="M15">
        <v>-3.132799926898612</v>
      </c>
      <c r="N15">
        <v>-1.6391927722708239</v>
      </c>
      <c r="O15">
        <v>-1.100775090611839</v>
      </c>
    </row>
    <row r="16" spans="1:15" x14ac:dyDescent="0.25">
      <c r="A16">
        <v>-127.474592</v>
      </c>
      <c r="B16">
        <v>-267.07845325</v>
      </c>
      <c r="C16">
        <v>16.168061250000001</v>
      </c>
      <c r="D16">
        <v>265.68821700000001</v>
      </c>
      <c r="E16">
        <v>-16.100894749999998</v>
      </c>
      <c r="F16">
        <v>5.6511169999999993</v>
      </c>
      <c r="G16">
        <v>267.35505649999999</v>
      </c>
      <c r="H16">
        <v>-44</v>
      </c>
      <c r="I16">
        <v>12</v>
      </c>
      <c r="J16">
        <v>1.18</v>
      </c>
      <c r="K16">
        <v>21.0609635</v>
      </c>
      <c r="L16">
        <v>-0.79279272565489523</v>
      </c>
      <c r="M16">
        <v>-2.9410009479317081</v>
      </c>
      <c r="N16">
        <v>-1.5648821151934891</v>
      </c>
      <c r="O16">
        <v>-1.120217988858909</v>
      </c>
    </row>
    <row r="17" spans="1:15" x14ac:dyDescent="0.25">
      <c r="A17">
        <v>-165.6719205</v>
      </c>
      <c r="B17">
        <v>-281.22862249999997</v>
      </c>
      <c r="C17">
        <v>39.471717750000003</v>
      </c>
      <c r="D17">
        <v>275.71998574999998</v>
      </c>
      <c r="E17">
        <v>-22.612613</v>
      </c>
      <c r="F17">
        <v>5.7968522499999997</v>
      </c>
      <c r="G17">
        <v>282.03918475</v>
      </c>
      <c r="H17">
        <v>-44</v>
      </c>
      <c r="I17">
        <v>16</v>
      </c>
      <c r="J17">
        <v>1.18</v>
      </c>
      <c r="K17">
        <v>21.638077750000001</v>
      </c>
      <c r="L17">
        <v>-1.021439886340425</v>
      </c>
      <c r="M17">
        <v>-2.7731354939639998</v>
      </c>
      <c r="N17">
        <v>-1.516906067986165</v>
      </c>
      <c r="O17">
        <v>-1.1414557475913829</v>
      </c>
    </row>
    <row r="18" spans="1:15" x14ac:dyDescent="0.25">
      <c r="A18">
        <v>-218.2382925</v>
      </c>
      <c r="B18">
        <v>-308.5216825</v>
      </c>
      <c r="C18">
        <v>60.788239500000003</v>
      </c>
      <c r="D18">
        <v>288.73059050000001</v>
      </c>
      <c r="E18">
        <v>-35.323847499999999</v>
      </c>
      <c r="F18">
        <v>6.3331227500000002</v>
      </c>
      <c r="G18">
        <v>302.36486824999997</v>
      </c>
      <c r="H18">
        <v>-44</v>
      </c>
      <c r="I18">
        <v>20</v>
      </c>
      <c r="J18">
        <v>1.18</v>
      </c>
      <c r="K18">
        <v>22.399730000000002</v>
      </c>
      <c r="L18">
        <v>-1.2235977863656049</v>
      </c>
      <c r="M18">
        <v>-2.619301245830175</v>
      </c>
      <c r="N18">
        <v>-1.4810883317562591</v>
      </c>
      <c r="O18">
        <v>-1.1828327535046841</v>
      </c>
    </row>
    <row r="19" spans="1:15" x14ac:dyDescent="0.25">
      <c r="A19">
        <v>-272.38120249999997</v>
      </c>
      <c r="B19">
        <v>-333.70417800000001</v>
      </c>
      <c r="C19">
        <v>79.846653000000003</v>
      </c>
      <c r="D19">
        <v>293.54934700000001</v>
      </c>
      <c r="E19">
        <v>-50.577324750000002</v>
      </c>
      <c r="F19">
        <v>6.9172444999999998</v>
      </c>
      <c r="G19">
        <v>319.80977675000003</v>
      </c>
      <c r="H19">
        <v>-44</v>
      </c>
      <c r="I19">
        <v>24</v>
      </c>
      <c r="J19">
        <v>1.18</v>
      </c>
      <c r="K19">
        <v>23.028800749999998</v>
      </c>
      <c r="L19">
        <v>-1.3951562188111659</v>
      </c>
      <c r="M19">
        <v>-2.4846061421358159</v>
      </c>
      <c r="N19">
        <v>-1.4671762382015641</v>
      </c>
      <c r="O19">
        <v>-1.227756364940342</v>
      </c>
    </row>
    <row r="20" spans="1:15" x14ac:dyDescent="0.25">
      <c r="A20">
        <v>-330.57809450000002</v>
      </c>
      <c r="B20">
        <v>-359.60619374999999</v>
      </c>
      <c r="C20">
        <v>96.466316250000006</v>
      </c>
      <c r="D20">
        <v>293.28649925000002</v>
      </c>
      <c r="E20">
        <v>-71.807314250000005</v>
      </c>
      <c r="F20">
        <v>7.0638690000000004</v>
      </c>
      <c r="G20">
        <v>334.09378800000002</v>
      </c>
      <c r="H20">
        <v>-44</v>
      </c>
      <c r="I20">
        <v>28</v>
      </c>
      <c r="J20">
        <v>1.18</v>
      </c>
      <c r="K20">
        <v>23.543310000000002</v>
      </c>
      <c r="L20">
        <v>-1.562651632090003</v>
      </c>
      <c r="M20">
        <v>-2.3890744601226639</v>
      </c>
      <c r="N20">
        <v>-1.4852954265554179</v>
      </c>
      <c r="O20">
        <v>-1.2886180004233929</v>
      </c>
    </row>
    <row r="21" spans="1:15" x14ac:dyDescent="0.25">
      <c r="A21">
        <v>-366.70339200000001</v>
      </c>
      <c r="B21">
        <v>-367.9044035</v>
      </c>
      <c r="C21">
        <v>102.77548975000001</v>
      </c>
      <c r="D21">
        <v>272.69731875000002</v>
      </c>
      <c r="E21">
        <v>-91.431665250000009</v>
      </c>
      <c r="F21">
        <v>6.9181900000000001</v>
      </c>
      <c r="G21">
        <v>327.61196899999999</v>
      </c>
      <c r="H21">
        <v>-44</v>
      </c>
      <c r="I21">
        <v>32</v>
      </c>
      <c r="J21">
        <v>1.18</v>
      </c>
      <c r="K21">
        <v>23.314087000000001</v>
      </c>
      <c r="L21">
        <v>-1.7018033348028121</v>
      </c>
      <c r="M21">
        <v>-2.322100624533276</v>
      </c>
      <c r="N21">
        <v>-1.518988850217021</v>
      </c>
      <c r="O21">
        <v>-1.3565140105451561</v>
      </c>
    </row>
    <row r="22" spans="1:15" x14ac:dyDescent="0.25">
      <c r="A22">
        <v>-371.52310925</v>
      </c>
      <c r="B22">
        <v>-358.1671905</v>
      </c>
      <c r="C22">
        <v>98.317966499999997</v>
      </c>
      <c r="D22">
        <v>233.79686325</v>
      </c>
      <c r="E22">
        <v>-105.65933200000001</v>
      </c>
      <c r="F22">
        <v>6.57625525</v>
      </c>
      <c r="G22">
        <v>302.284851</v>
      </c>
      <c r="H22">
        <v>-44</v>
      </c>
      <c r="I22">
        <v>36</v>
      </c>
      <c r="J22">
        <v>1.18</v>
      </c>
      <c r="K22">
        <v>22.387504</v>
      </c>
      <c r="L22">
        <v>-1.812789867947687</v>
      </c>
      <c r="M22">
        <v>-2.2839604294786682</v>
      </c>
      <c r="N22">
        <v>-1.5739823490900391</v>
      </c>
      <c r="O22">
        <v>-1.433046178733183</v>
      </c>
    </row>
    <row r="23" spans="1:15" x14ac:dyDescent="0.25">
      <c r="A23">
        <v>-378.77519999999998</v>
      </c>
      <c r="B23">
        <v>-362.14840700000002</v>
      </c>
      <c r="C23">
        <v>91.441205999999994</v>
      </c>
      <c r="D23">
        <v>201.64267375</v>
      </c>
      <c r="E23">
        <v>-124.30246925</v>
      </c>
      <c r="F23">
        <v>5.8950844999999994</v>
      </c>
      <c r="G23">
        <v>284.51987450000001</v>
      </c>
      <c r="H23">
        <v>-44</v>
      </c>
      <c r="I23">
        <v>40</v>
      </c>
      <c r="J23">
        <v>1.18</v>
      </c>
      <c r="K23">
        <v>21.731193749999999</v>
      </c>
      <c r="L23">
        <v>-1.910248148066604</v>
      </c>
      <c r="M23">
        <v>-2.2903914056549999</v>
      </c>
      <c r="N23">
        <v>-1.6608789145039811</v>
      </c>
      <c r="O23">
        <v>-1.5289573443805391</v>
      </c>
    </row>
    <row r="24" spans="1:15" x14ac:dyDescent="0.25">
      <c r="A24">
        <v>-372.10868075000002</v>
      </c>
      <c r="B24">
        <v>-354.47375499999998</v>
      </c>
      <c r="C24">
        <v>84.543520000000001</v>
      </c>
      <c r="D24">
        <v>172.77399449999999</v>
      </c>
      <c r="E24">
        <v>-139.51134099999999</v>
      </c>
      <c r="F24">
        <v>5.6511032500000002</v>
      </c>
      <c r="G24">
        <v>269.87577049999999</v>
      </c>
      <c r="H24">
        <v>-44</v>
      </c>
      <c r="I24">
        <v>44</v>
      </c>
      <c r="J24">
        <v>1.18</v>
      </c>
      <c r="K24">
        <v>21.162182999999999</v>
      </c>
      <c r="L24">
        <v>-2.040684359138397</v>
      </c>
      <c r="M24">
        <v>-2.3562043020037571</v>
      </c>
      <c r="N24">
        <v>-1.82954108057961</v>
      </c>
      <c r="O24">
        <v>-1.6487578739277911</v>
      </c>
    </row>
    <row r="25" spans="1:15" x14ac:dyDescent="0.25">
      <c r="A25">
        <v>103.33997175</v>
      </c>
      <c r="B25">
        <v>-407.95660425</v>
      </c>
      <c r="C25">
        <v>-387.52494825000002</v>
      </c>
      <c r="D25">
        <v>163.44314199999999</v>
      </c>
      <c r="E25">
        <v>-146.37987899999999</v>
      </c>
      <c r="F25">
        <v>6.2356835000000004</v>
      </c>
      <c r="G25">
        <v>284.91999025000001</v>
      </c>
      <c r="H25">
        <v>-40</v>
      </c>
      <c r="I25">
        <v>-44</v>
      </c>
      <c r="J25">
        <v>1.18</v>
      </c>
      <c r="K25">
        <v>21.733494</v>
      </c>
      <c r="L25">
        <v>1.952950652230842</v>
      </c>
      <c r="M25">
        <v>-2.273333876568246</v>
      </c>
      <c r="N25">
        <v>-1.716015197462879</v>
      </c>
      <c r="O25">
        <v>-1.6072368791124121</v>
      </c>
    </row>
    <row r="26" spans="1:15" x14ac:dyDescent="0.25">
      <c r="A26">
        <v>114.03498475000001</v>
      </c>
      <c r="B26">
        <v>-413.47274775</v>
      </c>
      <c r="C26">
        <v>-390.14093050000002</v>
      </c>
      <c r="D26">
        <v>198.62001025000001</v>
      </c>
      <c r="E26">
        <v>-119.753191</v>
      </c>
      <c r="F26">
        <v>6.5767139999999999</v>
      </c>
      <c r="G26">
        <v>304.72554024999999</v>
      </c>
      <c r="H26">
        <v>-40</v>
      </c>
      <c r="I26">
        <v>-40</v>
      </c>
      <c r="J26">
        <v>1.18</v>
      </c>
      <c r="K26">
        <v>22.4796865</v>
      </c>
      <c r="L26">
        <v>1.7875145140632369</v>
      </c>
      <c r="M26">
        <v>-2.1701212151054219</v>
      </c>
      <c r="N26">
        <v>-1.504956496052515</v>
      </c>
      <c r="O26">
        <v>-1.447891649313066</v>
      </c>
    </row>
    <row r="27" spans="1:15" x14ac:dyDescent="0.25">
      <c r="A27">
        <v>123.6920815</v>
      </c>
      <c r="B27">
        <v>-389.77722949999998</v>
      </c>
      <c r="C27">
        <v>-393.433426</v>
      </c>
      <c r="D27">
        <v>230.07327649999999</v>
      </c>
      <c r="E27">
        <v>-86.837785750000009</v>
      </c>
      <c r="F27">
        <v>6.6258995000000001</v>
      </c>
      <c r="G27">
        <v>321.13014249999998</v>
      </c>
      <c r="H27">
        <v>-40</v>
      </c>
      <c r="I27">
        <v>-36</v>
      </c>
      <c r="J27">
        <v>1.18</v>
      </c>
      <c r="K27">
        <v>23.088043500000001</v>
      </c>
      <c r="L27">
        <v>1.696802230095287</v>
      </c>
      <c r="M27">
        <v>-2.0338703164026821</v>
      </c>
      <c r="N27">
        <v>-1.338655849236795</v>
      </c>
      <c r="O27">
        <v>-1.3066777610130049</v>
      </c>
    </row>
    <row r="28" spans="1:15" x14ac:dyDescent="0.25">
      <c r="A28">
        <v>130.50620275</v>
      </c>
      <c r="B28">
        <v>-368.86374649999999</v>
      </c>
      <c r="C28">
        <v>-371.24275949999998</v>
      </c>
      <c r="D28">
        <v>263.54169474999998</v>
      </c>
      <c r="E28">
        <v>-52.495158000000004</v>
      </c>
      <c r="F28">
        <v>7.0151427499999999</v>
      </c>
      <c r="G28">
        <v>335.25411224999999</v>
      </c>
      <c r="H28">
        <v>-40</v>
      </c>
      <c r="I28">
        <v>-32</v>
      </c>
      <c r="J28">
        <v>1.18</v>
      </c>
      <c r="K28">
        <v>23.586786499999999</v>
      </c>
      <c r="L28">
        <v>1.58004442398834</v>
      </c>
      <c r="M28">
        <v>-1.991482301142621</v>
      </c>
      <c r="N28">
        <v>-1.221061243578478</v>
      </c>
      <c r="O28">
        <v>-1.187417726894912</v>
      </c>
    </row>
    <row r="29" spans="1:15" x14ac:dyDescent="0.25">
      <c r="A29">
        <v>119.54043025</v>
      </c>
      <c r="B29">
        <v>-335.76673875</v>
      </c>
      <c r="C29">
        <v>-315.58566300000001</v>
      </c>
      <c r="D29">
        <v>272.12782275000001</v>
      </c>
      <c r="E29">
        <v>-22.7464175</v>
      </c>
      <c r="F29">
        <v>6.9664434999999996</v>
      </c>
      <c r="G29">
        <v>324.7311555</v>
      </c>
      <c r="H29">
        <v>-40</v>
      </c>
      <c r="I29">
        <v>-28</v>
      </c>
      <c r="J29">
        <v>1.18</v>
      </c>
      <c r="K29">
        <v>23.2073915</v>
      </c>
      <c r="L29">
        <v>1.436367076882388</v>
      </c>
      <c r="M29">
        <v>-2.0067342314815191</v>
      </c>
      <c r="N29">
        <v>-1.1470707533695219</v>
      </c>
      <c r="O29">
        <v>-1.098044660474353</v>
      </c>
    </row>
    <row r="30" spans="1:15" x14ac:dyDescent="0.25">
      <c r="A30">
        <v>101.173895</v>
      </c>
      <c r="B30">
        <v>-294.94710524999999</v>
      </c>
      <c r="C30">
        <v>-252.08065049999999</v>
      </c>
      <c r="D30">
        <v>265.77584074999999</v>
      </c>
      <c r="E30">
        <v>-0.62367875000000006</v>
      </c>
      <c r="F30">
        <v>6.5293504999999996</v>
      </c>
      <c r="G30">
        <v>300.04422749999998</v>
      </c>
      <c r="H30">
        <v>-40</v>
      </c>
      <c r="I30">
        <v>-24</v>
      </c>
      <c r="J30">
        <v>1.18</v>
      </c>
      <c r="K30">
        <v>22.304304500000001</v>
      </c>
      <c r="L30">
        <v>1.2944895585105769</v>
      </c>
      <c r="M30">
        <v>-2.0547730967938271</v>
      </c>
      <c r="N30">
        <v>-1.101806466222238</v>
      </c>
      <c r="O30">
        <v>-1.0262088009437049</v>
      </c>
    </row>
    <row r="31" spans="1:15" x14ac:dyDescent="0.25">
      <c r="A31">
        <v>84.341657749999996</v>
      </c>
      <c r="B31">
        <v>-262.37773900000002</v>
      </c>
      <c r="C31">
        <v>-200.48282975000001</v>
      </c>
      <c r="D31">
        <v>261.83321375000003</v>
      </c>
      <c r="E31">
        <v>16.670622250000001</v>
      </c>
      <c r="F31">
        <v>5.8946947499999993</v>
      </c>
      <c r="G31">
        <v>282.639343</v>
      </c>
      <c r="H31">
        <v>-40</v>
      </c>
      <c r="I31">
        <v>-20</v>
      </c>
      <c r="J31">
        <v>1.18</v>
      </c>
      <c r="K31">
        <v>21.65774875</v>
      </c>
      <c r="L31">
        <v>1.1480350440582181</v>
      </c>
      <c r="M31">
        <v>-2.1129336288597531</v>
      </c>
      <c r="N31">
        <v>-1.0720558953037991</v>
      </c>
      <c r="O31">
        <v>-0.95657685054303432</v>
      </c>
    </row>
    <row r="32" spans="1:15" x14ac:dyDescent="0.25">
      <c r="A32">
        <v>68.411960749999992</v>
      </c>
      <c r="B32">
        <v>-238.63422</v>
      </c>
      <c r="C32">
        <v>-157.09374625000001</v>
      </c>
      <c r="D32">
        <v>256.13834025</v>
      </c>
      <c r="E32">
        <v>29.140080999999999</v>
      </c>
      <c r="F32">
        <v>5.7002055</v>
      </c>
      <c r="G32">
        <v>268.23531324999999</v>
      </c>
      <c r="H32">
        <v>-40</v>
      </c>
      <c r="I32">
        <v>-16</v>
      </c>
      <c r="J32">
        <v>1.18</v>
      </c>
      <c r="K32">
        <v>21.094403499999999</v>
      </c>
      <c r="L32">
        <v>0.99339030723763821</v>
      </c>
      <c r="M32">
        <v>-2.1796573988429468</v>
      </c>
      <c r="N32">
        <v>-1.053316102134972</v>
      </c>
      <c r="O32">
        <v>-0.89676604334156207</v>
      </c>
    </row>
    <row r="33" spans="1:15" x14ac:dyDescent="0.25">
      <c r="A33">
        <v>55.776510500000001</v>
      </c>
      <c r="B33">
        <v>-241.27238875</v>
      </c>
      <c r="C33">
        <v>-126.1079805</v>
      </c>
      <c r="D33">
        <v>273.74867975000001</v>
      </c>
      <c r="E33">
        <v>41.3413775</v>
      </c>
      <c r="F33">
        <v>5.9446320000000004</v>
      </c>
      <c r="G33">
        <v>279.67852025000002</v>
      </c>
      <c r="H33">
        <v>-40</v>
      </c>
      <c r="I33">
        <v>-12</v>
      </c>
      <c r="J33">
        <v>1.18</v>
      </c>
      <c r="K33">
        <v>21.53960975</v>
      </c>
      <c r="L33">
        <v>0.8082916125932097</v>
      </c>
      <c r="M33">
        <v>-2.2886717632427578</v>
      </c>
      <c r="N33">
        <v>-1.0591304192372399</v>
      </c>
      <c r="O33">
        <v>-0.84269345970849296</v>
      </c>
    </row>
    <row r="34" spans="1:15" x14ac:dyDescent="0.25">
      <c r="A34">
        <v>39.2601625</v>
      </c>
      <c r="B34">
        <v>-254.99086750000001</v>
      </c>
      <c r="C34">
        <v>-96.926336499999991</v>
      </c>
      <c r="D34">
        <v>297.22912574999998</v>
      </c>
      <c r="E34">
        <v>52.157179999999997</v>
      </c>
      <c r="F34">
        <v>6.4314527500000001</v>
      </c>
      <c r="G34">
        <v>300.0042115</v>
      </c>
      <c r="H34">
        <v>-40</v>
      </c>
      <c r="I34">
        <v>-8</v>
      </c>
      <c r="J34">
        <v>1.18</v>
      </c>
      <c r="K34">
        <v>22.306500750000001</v>
      </c>
      <c r="L34">
        <v>0.59702204584461871</v>
      </c>
      <c r="M34">
        <v>-2.4207904428641189</v>
      </c>
      <c r="N34">
        <v>-1.086514772462575</v>
      </c>
      <c r="O34">
        <v>-0.79955000213121441</v>
      </c>
    </row>
    <row r="35" spans="1:15" x14ac:dyDescent="0.25">
      <c r="A35">
        <v>16.3358305</v>
      </c>
      <c r="B35">
        <v>-271.01171849999997</v>
      </c>
      <c r="C35">
        <v>-66.211195000000004</v>
      </c>
      <c r="D35">
        <v>316.94217674999999</v>
      </c>
      <c r="E35">
        <v>57.8332385</v>
      </c>
      <c r="F35">
        <v>6.7237977500000001</v>
      </c>
      <c r="G35">
        <v>317.36909474999999</v>
      </c>
      <c r="H35">
        <v>-40</v>
      </c>
      <c r="I35">
        <v>-4</v>
      </c>
      <c r="J35">
        <v>1.18</v>
      </c>
      <c r="K35">
        <v>22.94595975</v>
      </c>
      <c r="L35">
        <v>0.36453966021114159</v>
      </c>
      <c r="M35">
        <v>-2.5964831069354979</v>
      </c>
      <c r="N35">
        <v>-1.1461490405344119</v>
      </c>
      <c r="O35">
        <v>-0.77429663848786456</v>
      </c>
    </row>
    <row r="36" spans="1:15" x14ac:dyDescent="0.25">
      <c r="A36">
        <v>-11.081678500000001</v>
      </c>
      <c r="B36">
        <v>-285.16189574999999</v>
      </c>
      <c r="C36">
        <v>-31.307574750000001</v>
      </c>
      <c r="D36">
        <v>331.57366174999999</v>
      </c>
      <c r="E36">
        <v>60.961776749999999</v>
      </c>
      <c r="F36">
        <v>7.1622950000000003</v>
      </c>
      <c r="G36">
        <v>331.33301525000002</v>
      </c>
      <c r="H36">
        <v>-40</v>
      </c>
      <c r="I36">
        <v>0</v>
      </c>
      <c r="J36">
        <v>1.18</v>
      </c>
      <c r="K36">
        <v>23.440170250000001</v>
      </c>
      <c r="L36">
        <v>9.2175566224092176E-2</v>
      </c>
      <c r="M36">
        <v>-2.8138230310588939</v>
      </c>
      <c r="N36">
        <v>-1.2336324580501929</v>
      </c>
      <c r="O36">
        <v>-0.75461584113023183</v>
      </c>
    </row>
    <row r="37" spans="1:15" x14ac:dyDescent="0.25">
      <c r="A37">
        <v>-44.008012000000001</v>
      </c>
      <c r="B37">
        <v>-289.09516124999999</v>
      </c>
      <c r="C37">
        <v>4.8765454999999998</v>
      </c>
      <c r="D37">
        <v>332.09932674999999</v>
      </c>
      <c r="E37">
        <v>59.755057499999999</v>
      </c>
      <c r="F37">
        <v>7.01612875</v>
      </c>
      <c r="G37">
        <v>331.49305700000002</v>
      </c>
      <c r="H37">
        <v>-40</v>
      </c>
      <c r="I37">
        <v>4</v>
      </c>
      <c r="J37">
        <v>1.18</v>
      </c>
      <c r="K37">
        <v>23.451200499999999</v>
      </c>
      <c r="L37">
        <v>-0.2160125717250104</v>
      </c>
      <c r="M37">
        <v>-2.7449289752330248</v>
      </c>
      <c r="N37">
        <v>-1.200761111961322</v>
      </c>
      <c r="O37">
        <v>-0.76694788392505919</v>
      </c>
    </row>
    <row r="38" spans="1:15" x14ac:dyDescent="0.25">
      <c r="A38">
        <v>-70.858913250000001</v>
      </c>
      <c r="B38">
        <v>-267.94184875000002</v>
      </c>
      <c r="C38">
        <v>34.542270500000001</v>
      </c>
      <c r="D38">
        <v>304.93910975</v>
      </c>
      <c r="E38">
        <v>54.347154750000001</v>
      </c>
      <c r="F38">
        <v>6.4318974999999998</v>
      </c>
      <c r="G38">
        <v>305.16566475000002</v>
      </c>
      <c r="H38">
        <v>-40</v>
      </c>
      <c r="I38">
        <v>8</v>
      </c>
      <c r="J38">
        <v>1.18</v>
      </c>
      <c r="K38">
        <v>22.501710500000002</v>
      </c>
      <c r="L38">
        <v>-0.47107165078187829</v>
      </c>
      <c r="M38">
        <v>-2.5603982103985419</v>
      </c>
      <c r="N38">
        <v>-1.1209962088172649</v>
      </c>
      <c r="O38">
        <v>-0.7858522315632348</v>
      </c>
    </row>
    <row r="39" spans="1:15" x14ac:dyDescent="0.25">
      <c r="A39">
        <v>-99.515171000000009</v>
      </c>
      <c r="B39">
        <v>-253.35999674999999</v>
      </c>
      <c r="C39">
        <v>56.576935749999997</v>
      </c>
      <c r="D39">
        <v>284.7003785</v>
      </c>
      <c r="E39">
        <v>43.846895500000002</v>
      </c>
      <c r="F39">
        <v>6.0420850000000002</v>
      </c>
      <c r="G39">
        <v>286.76049799999998</v>
      </c>
      <c r="H39">
        <v>-40</v>
      </c>
      <c r="I39">
        <v>12</v>
      </c>
      <c r="J39">
        <v>1.18</v>
      </c>
      <c r="K39">
        <v>21.812685500000001</v>
      </c>
      <c r="L39">
        <v>-0.70857729031631267</v>
      </c>
      <c r="M39">
        <v>-2.4426127687975239</v>
      </c>
      <c r="N39">
        <v>-1.1027555270689979</v>
      </c>
      <c r="O39">
        <v>-0.82839337582217332</v>
      </c>
    </row>
    <row r="40" spans="1:15" x14ac:dyDescent="0.25">
      <c r="A40">
        <v>-126.1315615</v>
      </c>
      <c r="B40">
        <v>-242.99918775</v>
      </c>
      <c r="C40">
        <v>74.728676250000007</v>
      </c>
      <c r="D40">
        <v>266.52055350000001</v>
      </c>
      <c r="E40">
        <v>35.7993965</v>
      </c>
      <c r="F40">
        <v>5.8471787499999994</v>
      </c>
      <c r="G40">
        <v>271.83631124999999</v>
      </c>
      <c r="H40">
        <v>-40</v>
      </c>
      <c r="I40">
        <v>16</v>
      </c>
      <c r="J40">
        <v>1.18</v>
      </c>
      <c r="K40">
        <v>21.232723</v>
      </c>
      <c r="L40">
        <v>-0.91152094937248918</v>
      </c>
      <c r="M40">
        <v>-2.312225284747679</v>
      </c>
      <c r="N40">
        <v>-1.071216626137425</v>
      </c>
      <c r="O40">
        <v>-0.86409504782981039</v>
      </c>
    </row>
    <row r="41" spans="1:15" x14ac:dyDescent="0.25">
      <c r="A41">
        <v>-162.84500125</v>
      </c>
      <c r="B41">
        <v>-251.77709575</v>
      </c>
      <c r="C41">
        <v>90.345752750000003</v>
      </c>
      <c r="D41">
        <v>257.97821825</v>
      </c>
      <c r="E41">
        <v>24.538421249999999</v>
      </c>
      <c r="F41">
        <v>5.7984522500000004</v>
      </c>
      <c r="G41">
        <v>270.83603649999998</v>
      </c>
      <c r="H41">
        <v>-40</v>
      </c>
      <c r="I41">
        <v>20</v>
      </c>
      <c r="J41">
        <v>1.18</v>
      </c>
      <c r="K41">
        <v>21.19470875</v>
      </c>
      <c r="L41">
        <v>-1.0920499172180469</v>
      </c>
      <c r="M41">
        <v>-2.198673767470535</v>
      </c>
      <c r="N41">
        <v>-1.0623498791524919</v>
      </c>
      <c r="O41">
        <v>-0.91918630454984029</v>
      </c>
    </row>
    <row r="42" spans="1:15" x14ac:dyDescent="0.25">
      <c r="A42">
        <v>-215.535652</v>
      </c>
      <c r="B42">
        <v>-278.78232574999998</v>
      </c>
      <c r="C42">
        <v>109.17342375</v>
      </c>
      <c r="D42">
        <v>264.89969624999998</v>
      </c>
      <c r="E42">
        <v>8.8939722500000009</v>
      </c>
      <c r="F42">
        <v>6.1395379999999999</v>
      </c>
      <c r="G42">
        <v>287.36067200000002</v>
      </c>
      <c r="H42">
        <v>-40</v>
      </c>
      <c r="I42">
        <v>24</v>
      </c>
      <c r="J42">
        <v>1.18</v>
      </c>
      <c r="K42">
        <v>21.832206750000001</v>
      </c>
      <c r="L42">
        <v>-1.268202168387252</v>
      </c>
      <c r="M42">
        <v>-2.12339880937584</v>
      </c>
      <c r="N42">
        <v>-1.087635685402822</v>
      </c>
      <c r="O42">
        <v>-0.98928871897157944</v>
      </c>
    </row>
    <row r="43" spans="1:15" x14ac:dyDescent="0.25">
      <c r="A43">
        <v>-272.19178025000002</v>
      </c>
      <c r="B43">
        <v>-307.03471350000001</v>
      </c>
      <c r="C43">
        <v>125.69842525</v>
      </c>
      <c r="D43">
        <v>265.46918475000001</v>
      </c>
      <c r="E43">
        <v>-10.52579375</v>
      </c>
      <c r="F43">
        <v>6.5780767500000001</v>
      </c>
      <c r="G43">
        <v>302.40489200000002</v>
      </c>
      <c r="H43">
        <v>-40</v>
      </c>
      <c r="I43">
        <v>28</v>
      </c>
      <c r="J43">
        <v>1.18</v>
      </c>
      <c r="K43">
        <v>22.391955500000002</v>
      </c>
      <c r="L43">
        <v>-1.4257715076119011</v>
      </c>
      <c r="M43">
        <v>-2.0515087300224839</v>
      </c>
      <c r="N43">
        <v>-1.121473107745085</v>
      </c>
      <c r="O43">
        <v>-1.0613547651083981</v>
      </c>
    </row>
    <row r="44" spans="1:15" x14ac:dyDescent="0.25">
      <c r="A44">
        <v>-330.23934174999999</v>
      </c>
      <c r="B44">
        <v>-336.96590424999999</v>
      </c>
      <c r="C44">
        <v>141.77193449999999</v>
      </c>
      <c r="D44">
        <v>263.54167925000002</v>
      </c>
      <c r="E44">
        <v>-30.729963999999999</v>
      </c>
      <c r="F44">
        <v>6.9191625000000014</v>
      </c>
      <c r="G44">
        <v>319.32965074999998</v>
      </c>
      <c r="H44">
        <v>-40</v>
      </c>
      <c r="I44">
        <v>32</v>
      </c>
      <c r="J44">
        <v>1.18</v>
      </c>
      <c r="K44">
        <v>23.011056750000002</v>
      </c>
      <c r="L44">
        <v>-1.558470000325286</v>
      </c>
      <c r="M44">
        <v>-1.982740514306621</v>
      </c>
      <c r="N44">
        <v>-1.155825515615915</v>
      </c>
      <c r="O44">
        <v>-1.1243148990884719</v>
      </c>
    </row>
    <row r="45" spans="1:15" x14ac:dyDescent="0.25">
      <c r="A45">
        <v>-391.27790075000001</v>
      </c>
      <c r="B45">
        <v>-371.59783924999999</v>
      </c>
      <c r="C45">
        <v>152.11134375</v>
      </c>
      <c r="D45">
        <v>255.74407575000001</v>
      </c>
      <c r="E45">
        <v>-60.612508750000003</v>
      </c>
      <c r="F45">
        <v>7.06534175</v>
      </c>
      <c r="G45">
        <v>332.93346374999999</v>
      </c>
      <c r="H45">
        <v>-40</v>
      </c>
      <c r="I45">
        <v>36</v>
      </c>
      <c r="J45">
        <v>1.18</v>
      </c>
      <c r="K45">
        <v>23.501455750000002</v>
      </c>
      <c r="L45">
        <v>-1.6937248389247319</v>
      </c>
      <c r="M45">
        <v>-1.9554086157870221</v>
      </c>
      <c r="N45">
        <v>-1.2266744479048379</v>
      </c>
      <c r="O45">
        <v>-1.210950704377411</v>
      </c>
    </row>
    <row r="46" spans="1:15" x14ac:dyDescent="0.25">
      <c r="A46">
        <v>-417.64820850000001</v>
      </c>
      <c r="B46">
        <v>-388.91382625</v>
      </c>
      <c r="C46">
        <v>148.49931749999999</v>
      </c>
      <c r="D46">
        <v>227.18203324999999</v>
      </c>
      <c r="E46">
        <v>-89.692238000000003</v>
      </c>
      <c r="F46">
        <v>6.9678887500000002</v>
      </c>
      <c r="G46">
        <v>326.25157925000002</v>
      </c>
      <c r="H46">
        <v>-40</v>
      </c>
      <c r="I46">
        <v>40</v>
      </c>
      <c r="J46">
        <v>1.18</v>
      </c>
      <c r="K46">
        <v>23.262772250000001</v>
      </c>
      <c r="L46">
        <v>-1.8054568912756319</v>
      </c>
      <c r="M46">
        <v>-1.96473193029322</v>
      </c>
      <c r="N46">
        <v>-1.3265145112253121</v>
      </c>
      <c r="O46">
        <v>-1.3082607775114721</v>
      </c>
    </row>
    <row r="47" spans="1:15" x14ac:dyDescent="0.25">
      <c r="A47">
        <v>-404.85568224999997</v>
      </c>
      <c r="B47">
        <v>-380.75949075</v>
      </c>
      <c r="C47">
        <v>133.82547750000001</v>
      </c>
      <c r="D47">
        <v>188.32540524999999</v>
      </c>
      <c r="E47">
        <v>-115.9175245</v>
      </c>
      <c r="F47">
        <v>6.4806237499999986</v>
      </c>
      <c r="G47">
        <v>300.96448500000002</v>
      </c>
      <c r="H47">
        <v>-40</v>
      </c>
      <c r="I47">
        <v>44</v>
      </c>
      <c r="J47">
        <v>1.18</v>
      </c>
      <c r="K47">
        <v>22.341088750000001</v>
      </c>
      <c r="L47">
        <v>-1.945490918471102</v>
      </c>
      <c r="M47">
        <v>-2.055301476382335</v>
      </c>
      <c r="N47">
        <v>-1.505633547952157</v>
      </c>
      <c r="O47">
        <v>-1.4420573726093331</v>
      </c>
    </row>
    <row r="48" spans="1:15" x14ac:dyDescent="0.25">
      <c r="A48">
        <v>137.95210274999999</v>
      </c>
      <c r="B48">
        <v>-376.20264450000002</v>
      </c>
      <c r="C48">
        <v>-351.64687325</v>
      </c>
      <c r="D48">
        <v>151.83434274999999</v>
      </c>
      <c r="E48">
        <v>-108.91519175000001</v>
      </c>
      <c r="F48">
        <v>5.8471787500000003</v>
      </c>
      <c r="G48">
        <v>277.91802224999998</v>
      </c>
      <c r="H48">
        <v>-36</v>
      </c>
      <c r="I48">
        <v>-44</v>
      </c>
      <c r="J48">
        <v>1.18</v>
      </c>
      <c r="K48">
        <v>21.474081250000001</v>
      </c>
      <c r="L48">
        <v>1.919910441357487</v>
      </c>
      <c r="M48">
        <v>-2.0706500089473812</v>
      </c>
      <c r="N48">
        <v>-1.516928645065617</v>
      </c>
      <c r="O48">
        <v>-1.450016835597767</v>
      </c>
    </row>
    <row r="49" spans="1:15" x14ac:dyDescent="0.25">
      <c r="A49">
        <v>136.4177895</v>
      </c>
      <c r="B49">
        <v>-338.88458274999999</v>
      </c>
      <c r="C49">
        <v>-310.27949525000002</v>
      </c>
      <c r="D49">
        <v>170.05797200000001</v>
      </c>
      <c r="E49">
        <v>-69.220462999999995</v>
      </c>
      <c r="F49">
        <v>5.7497255000000003</v>
      </c>
      <c r="G49">
        <v>269.51565575000001</v>
      </c>
      <c r="H49">
        <v>-36</v>
      </c>
      <c r="I49">
        <v>-40</v>
      </c>
      <c r="J49">
        <v>1.18</v>
      </c>
      <c r="K49">
        <v>21.1437855</v>
      </c>
      <c r="L49">
        <v>1.7492768409186921</v>
      </c>
      <c r="M49">
        <v>-1.993051922172711</v>
      </c>
      <c r="N49">
        <v>-1.326512323234645</v>
      </c>
      <c r="O49">
        <v>-1.2935891124906189</v>
      </c>
    </row>
    <row r="50" spans="1:15" x14ac:dyDescent="0.25">
      <c r="A50">
        <v>150.63269025</v>
      </c>
      <c r="B50">
        <v>-330.63431550000001</v>
      </c>
      <c r="C50">
        <v>-317.72278599999999</v>
      </c>
      <c r="D50">
        <v>205.32243725000001</v>
      </c>
      <c r="E50">
        <v>-39.739324500000002</v>
      </c>
      <c r="F50">
        <v>5.895905</v>
      </c>
      <c r="G50">
        <v>291.48182700000001</v>
      </c>
      <c r="H50">
        <v>-36</v>
      </c>
      <c r="I50">
        <v>-36</v>
      </c>
      <c r="J50">
        <v>1.18</v>
      </c>
      <c r="K50">
        <v>22.000964</v>
      </c>
      <c r="L50">
        <v>1.6466075187292719</v>
      </c>
      <c r="M50">
        <v>-1.8842635706342059</v>
      </c>
      <c r="N50">
        <v>-1.164482567314655</v>
      </c>
      <c r="O50">
        <v>-1.1604517693146901</v>
      </c>
    </row>
    <row r="51" spans="1:15" x14ac:dyDescent="0.25">
      <c r="A51">
        <v>157.89807124999999</v>
      </c>
      <c r="B51">
        <v>-314.08580749999999</v>
      </c>
      <c r="C51">
        <v>-307.48231500000003</v>
      </c>
      <c r="D51">
        <v>238.39657975</v>
      </c>
      <c r="E51">
        <v>-3.7464710000000001</v>
      </c>
      <c r="F51">
        <v>6.6268039999999999</v>
      </c>
      <c r="G51">
        <v>310.20709249999999</v>
      </c>
      <c r="H51">
        <v>-36</v>
      </c>
      <c r="I51">
        <v>-32</v>
      </c>
      <c r="J51">
        <v>1.18</v>
      </c>
      <c r="K51">
        <v>22.683522</v>
      </c>
      <c r="L51">
        <v>1.515726987658405</v>
      </c>
      <c r="M51">
        <v>-1.7994077202514129</v>
      </c>
      <c r="N51">
        <v>-1.0225347664043991</v>
      </c>
      <c r="O51">
        <v>-1.0337928657169471</v>
      </c>
    </row>
    <row r="52" spans="1:15" x14ac:dyDescent="0.25">
      <c r="A52">
        <v>161.14718250000001</v>
      </c>
      <c r="B52">
        <v>-302.76567825000001</v>
      </c>
      <c r="C52">
        <v>-282.07413474999998</v>
      </c>
      <c r="D52">
        <v>267.3966825</v>
      </c>
      <c r="E52">
        <v>27.938871750000001</v>
      </c>
      <c r="F52">
        <v>6.8704357500000004</v>
      </c>
      <c r="G52">
        <v>324.37106325000002</v>
      </c>
      <c r="H52">
        <v>-36</v>
      </c>
      <c r="I52">
        <v>-28</v>
      </c>
      <c r="J52">
        <v>1.18</v>
      </c>
      <c r="K52">
        <v>23.197756999999999</v>
      </c>
      <c r="L52">
        <v>1.3835232281607399</v>
      </c>
      <c r="M52">
        <v>-1.7797560291338881</v>
      </c>
      <c r="N52">
        <v>-0.92531490929011895</v>
      </c>
      <c r="O52">
        <v>-0.93423599362146881</v>
      </c>
    </row>
    <row r="53" spans="1:15" x14ac:dyDescent="0.25">
      <c r="A53">
        <v>158.07857899999999</v>
      </c>
      <c r="B53">
        <v>-291.7333375</v>
      </c>
      <c r="C53">
        <v>-246.56509025</v>
      </c>
      <c r="D53">
        <v>296.30917375000001</v>
      </c>
      <c r="E53">
        <v>57.304392749999998</v>
      </c>
      <c r="F53">
        <v>7.1140682499999999</v>
      </c>
      <c r="G53">
        <v>338.97515125000001</v>
      </c>
      <c r="H53">
        <v>-36</v>
      </c>
      <c r="I53">
        <v>-24</v>
      </c>
      <c r="J53">
        <v>1.18</v>
      </c>
      <c r="K53">
        <v>23.716576249999999</v>
      </c>
      <c r="L53">
        <v>1.239500683434221</v>
      </c>
      <c r="M53">
        <v>-1.801316855216869</v>
      </c>
      <c r="N53">
        <v>-0.86283074287551997</v>
      </c>
      <c r="O53">
        <v>-0.84625657559489487</v>
      </c>
    </row>
    <row r="54" spans="1:15" x14ac:dyDescent="0.25">
      <c r="A54">
        <v>135.65063875000001</v>
      </c>
      <c r="B54">
        <v>-253.264061</v>
      </c>
      <c r="C54">
        <v>-189.301739</v>
      </c>
      <c r="D54">
        <v>288.38014199999998</v>
      </c>
      <c r="E54">
        <v>74.165607749999992</v>
      </c>
      <c r="F54">
        <v>6.5293504999999996</v>
      </c>
      <c r="G54">
        <v>315.04844650000001</v>
      </c>
      <c r="H54">
        <v>-36</v>
      </c>
      <c r="I54">
        <v>-20</v>
      </c>
      <c r="J54">
        <v>1.18</v>
      </c>
      <c r="K54">
        <v>22.867262749999998</v>
      </c>
      <c r="L54">
        <v>1.099856533477257</v>
      </c>
      <c r="M54">
        <v>-1.833294564638251</v>
      </c>
      <c r="N54">
        <v>-0.81531753970397058</v>
      </c>
      <c r="O54">
        <v>-0.77107751511498979</v>
      </c>
    </row>
    <row r="55" spans="1:15" x14ac:dyDescent="0.25">
      <c r="A55">
        <v>110.78586224999999</v>
      </c>
      <c r="B55">
        <v>-222.43690125000001</v>
      </c>
      <c r="C55">
        <v>-134.80305100000001</v>
      </c>
      <c r="D55">
        <v>279.268326</v>
      </c>
      <c r="E55">
        <v>85.923019249999996</v>
      </c>
      <c r="F55">
        <v>6.23699125</v>
      </c>
      <c r="G55">
        <v>293.92250825000002</v>
      </c>
      <c r="H55">
        <v>-36</v>
      </c>
      <c r="I55">
        <v>-16</v>
      </c>
      <c r="J55">
        <v>1.18</v>
      </c>
      <c r="K55">
        <v>22.081708249999998</v>
      </c>
      <c r="L55">
        <v>0.92833433827069689</v>
      </c>
      <c r="M55">
        <v>-1.896509266201601</v>
      </c>
      <c r="N55">
        <v>-0.78626296414847241</v>
      </c>
      <c r="O55">
        <v>-0.69877874456873934</v>
      </c>
    </row>
    <row r="56" spans="1:15" x14ac:dyDescent="0.25">
      <c r="A56">
        <v>89.440979249999998</v>
      </c>
      <c r="B56">
        <v>-202.75514625</v>
      </c>
      <c r="C56">
        <v>-89.688239999999993</v>
      </c>
      <c r="D56">
        <v>270.85742925</v>
      </c>
      <c r="E56">
        <v>92.041608749999995</v>
      </c>
      <c r="F56">
        <v>5.9933585000000003</v>
      </c>
      <c r="G56">
        <v>278.15808099999998</v>
      </c>
      <c r="H56">
        <v>-36</v>
      </c>
      <c r="I56">
        <v>-12</v>
      </c>
      <c r="J56">
        <v>1.18</v>
      </c>
      <c r="K56">
        <v>21.477795</v>
      </c>
      <c r="L56">
        <v>0.75180454011354458</v>
      </c>
      <c r="M56">
        <v>-1.9877775644591029</v>
      </c>
      <c r="N56">
        <v>-0.78114166247783556</v>
      </c>
      <c r="O56">
        <v>-0.63885390764876304</v>
      </c>
    </row>
    <row r="57" spans="1:15" x14ac:dyDescent="0.25">
      <c r="A57">
        <v>68.005829250000005</v>
      </c>
      <c r="B57">
        <v>-185.63103849999999</v>
      </c>
      <c r="C57">
        <v>-50.167665249999999</v>
      </c>
      <c r="D57">
        <v>256.70783249999999</v>
      </c>
      <c r="E57">
        <v>94.404714500000011</v>
      </c>
      <c r="F57">
        <v>5.5548190000000002</v>
      </c>
      <c r="G57">
        <v>260.71319599999998</v>
      </c>
      <c r="H57">
        <v>-36</v>
      </c>
      <c r="I57">
        <v>-8</v>
      </c>
      <c r="J57">
        <v>1.18</v>
      </c>
      <c r="K57">
        <v>20.795940999999999</v>
      </c>
      <c r="L57">
        <v>0.55661734718440914</v>
      </c>
      <c r="M57">
        <v>-2.083524177586364</v>
      </c>
      <c r="N57">
        <v>-0.78336424730033816</v>
      </c>
      <c r="O57">
        <v>-0.58149767473377034</v>
      </c>
    </row>
    <row r="58" spans="1:15" x14ac:dyDescent="0.25">
      <c r="A58">
        <v>48.420866750000002</v>
      </c>
      <c r="B58">
        <v>-184.47983575000001</v>
      </c>
      <c r="C58">
        <v>-18.542185499999999</v>
      </c>
      <c r="D58">
        <v>258.72293100000002</v>
      </c>
      <c r="E58">
        <v>98.395709999999994</v>
      </c>
      <c r="F58">
        <v>5.652272</v>
      </c>
      <c r="G58">
        <v>259.83294699999999</v>
      </c>
      <c r="H58">
        <v>-36</v>
      </c>
      <c r="I58">
        <v>-4</v>
      </c>
      <c r="J58">
        <v>1.18</v>
      </c>
      <c r="K58">
        <v>20.756038749999998</v>
      </c>
      <c r="L58">
        <v>0.33497341036513811</v>
      </c>
      <c r="M58">
        <v>-2.2170623469881541</v>
      </c>
      <c r="N58">
        <v>-0.80757388720252754</v>
      </c>
      <c r="O58">
        <v>-0.53606565650430338</v>
      </c>
    </row>
    <row r="59" spans="1:15" x14ac:dyDescent="0.25">
      <c r="A59">
        <v>28.8810365</v>
      </c>
      <c r="B59">
        <v>-202.481289</v>
      </c>
      <c r="C59">
        <v>11.87455825</v>
      </c>
      <c r="D59">
        <v>281.852936</v>
      </c>
      <c r="E59">
        <v>109.348438</v>
      </c>
      <c r="F59">
        <v>6.0420847499999999</v>
      </c>
      <c r="G59">
        <v>282.19922624999998</v>
      </c>
      <c r="H59">
        <v>-36</v>
      </c>
      <c r="I59">
        <v>0</v>
      </c>
      <c r="J59">
        <v>1.18</v>
      </c>
      <c r="K59">
        <v>21.634740000000001</v>
      </c>
      <c r="L59">
        <v>8.307886333771787E-2</v>
      </c>
      <c r="M59">
        <v>-2.366703230043357</v>
      </c>
      <c r="N59">
        <v>-0.84465653330807444</v>
      </c>
      <c r="O59">
        <v>-0.4952209316583569</v>
      </c>
    </row>
    <row r="60" spans="1:15" x14ac:dyDescent="0.25">
      <c r="A60">
        <v>2.4819610000000001</v>
      </c>
      <c r="B60">
        <v>-218.24837124999999</v>
      </c>
      <c r="C60">
        <v>42.53160175</v>
      </c>
      <c r="D60">
        <v>298.98139175</v>
      </c>
      <c r="E60">
        <v>115.741247</v>
      </c>
      <c r="F60">
        <v>6.23699125</v>
      </c>
      <c r="G60">
        <v>299.04394500000001</v>
      </c>
      <c r="H60">
        <v>-36</v>
      </c>
      <c r="I60">
        <v>4</v>
      </c>
      <c r="J60">
        <v>1.18</v>
      </c>
      <c r="K60">
        <v>22.277392249999998</v>
      </c>
      <c r="L60">
        <v>-0.17906524200161181</v>
      </c>
      <c r="M60">
        <v>-2.312981709130423</v>
      </c>
      <c r="N60">
        <v>-0.81970479965970999</v>
      </c>
      <c r="O60">
        <v>-0.51032239674818292</v>
      </c>
    </row>
    <row r="61" spans="1:15" x14ac:dyDescent="0.25">
      <c r="A61">
        <v>-30.678904500000002</v>
      </c>
      <c r="B61">
        <v>-233.03832625000001</v>
      </c>
      <c r="C61">
        <v>75.039806749999997</v>
      </c>
      <c r="D61">
        <v>313.437637</v>
      </c>
      <c r="E61">
        <v>118.6023615</v>
      </c>
      <c r="F61">
        <v>6.8217094999999999</v>
      </c>
      <c r="G61">
        <v>314.72835524999999</v>
      </c>
      <c r="H61">
        <v>-36</v>
      </c>
      <c r="I61">
        <v>8</v>
      </c>
      <c r="J61">
        <v>1.18</v>
      </c>
      <c r="K61">
        <v>22.84459</v>
      </c>
      <c r="L61">
        <v>-0.42210067417017971</v>
      </c>
      <c r="M61">
        <v>-2.1819321334320891</v>
      </c>
      <c r="N61">
        <v>-0.78310702170496282</v>
      </c>
      <c r="O61">
        <v>-0.55372155213163077</v>
      </c>
    </row>
    <row r="62" spans="1:15" x14ac:dyDescent="0.25">
      <c r="A62">
        <v>-71.368392999999998</v>
      </c>
      <c r="B62">
        <v>-249.10828774999999</v>
      </c>
      <c r="C62">
        <v>107.05135900000001</v>
      </c>
      <c r="D62">
        <v>326.49206550000002</v>
      </c>
      <c r="E62">
        <v>116.501234</v>
      </c>
      <c r="F62">
        <v>7.0166149999999998</v>
      </c>
      <c r="G62">
        <v>330.13267500000001</v>
      </c>
      <c r="H62">
        <v>-36</v>
      </c>
      <c r="I62">
        <v>12</v>
      </c>
      <c r="J62">
        <v>1.18</v>
      </c>
      <c r="K62">
        <v>23.402005249999998</v>
      </c>
      <c r="L62">
        <v>-0.64472648321784898</v>
      </c>
      <c r="M62">
        <v>-2.079930933071743</v>
      </c>
      <c r="N62">
        <v>-0.77195788287120115</v>
      </c>
      <c r="O62">
        <v>-0.60437522879423855</v>
      </c>
    </row>
    <row r="63" spans="1:15" x14ac:dyDescent="0.25">
      <c r="A63">
        <v>-121.76992224999999</v>
      </c>
      <c r="B63">
        <v>-268.56541425</v>
      </c>
      <c r="C63">
        <v>133.32883050000001</v>
      </c>
      <c r="D63">
        <v>327.19297024999997</v>
      </c>
      <c r="E63">
        <v>104.74381825</v>
      </c>
      <c r="F63">
        <v>7.06534175</v>
      </c>
      <c r="G63">
        <v>337.41471899999999</v>
      </c>
      <c r="H63">
        <v>-36</v>
      </c>
      <c r="I63">
        <v>16</v>
      </c>
      <c r="J63">
        <v>1.18</v>
      </c>
      <c r="K63">
        <v>23.662441250000001</v>
      </c>
      <c r="L63">
        <v>-0.8505622543763468</v>
      </c>
      <c r="M63">
        <v>-1.9864768757173741</v>
      </c>
      <c r="N63">
        <v>-0.77582478411626699</v>
      </c>
      <c r="O63">
        <v>-0.67431322029921748</v>
      </c>
    </row>
    <row r="64" spans="1:15" x14ac:dyDescent="0.25">
      <c r="A64">
        <v>-155.0066415</v>
      </c>
      <c r="B64">
        <v>-259.05614474999999</v>
      </c>
      <c r="C64">
        <v>141.09466950000001</v>
      </c>
      <c r="D64">
        <v>294.46929175000002</v>
      </c>
      <c r="E64">
        <v>83.240718999999999</v>
      </c>
      <c r="F64">
        <v>6.7729832500000002</v>
      </c>
      <c r="G64">
        <v>310.28710949999999</v>
      </c>
      <c r="H64">
        <v>-36</v>
      </c>
      <c r="I64">
        <v>20</v>
      </c>
      <c r="J64">
        <v>1.18</v>
      </c>
      <c r="K64">
        <v>22.681044499999999</v>
      </c>
      <c r="L64">
        <v>-1.020081408989834</v>
      </c>
      <c r="M64">
        <v>-1.9069230875969041</v>
      </c>
      <c r="N64">
        <v>-0.78218559861488213</v>
      </c>
      <c r="O64">
        <v>-0.736566639593633</v>
      </c>
    </row>
    <row r="65" spans="1:15" x14ac:dyDescent="0.25">
      <c r="A65">
        <v>-183.25115224999999</v>
      </c>
      <c r="B65">
        <v>-250.32506950000001</v>
      </c>
      <c r="C65">
        <v>144.93244575</v>
      </c>
      <c r="D65">
        <v>262.44652574999998</v>
      </c>
      <c r="E65">
        <v>62.274077499999997</v>
      </c>
      <c r="F65">
        <v>6.3344445</v>
      </c>
      <c r="G65">
        <v>288.40096275000002</v>
      </c>
      <c r="H65">
        <v>-36</v>
      </c>
      <c r="I65">
        <v>24</v>
      </c>
      <c r="J65">
        <v>1.18</v>
      </c>
      <c r="K65">
        <v>21.864987750000001</v>
      </c>
      <c r="L65">
        <v>-1.1760302917856751</v>
      </c>
      <c r="M65">
        <v>-1.8374931337440989</v>
      </c>
      <c r="N65">
        <v>-0.81032510495333376</v>
      </c>
      <c r="O65">
        <v>-0.79955637217332343</v>
      </c>
    </row>
    <row r="66" spans="1:15" x14ac:dyDescent="0.25">
      <c r="A66">
        <v>-214.8740425</v>
      </c>
      <c r="B66">
        <v>-251.65072275</v>
      </c>
      <c r="C66">
        <v>146.46755999999999</v>
      </c>
      <c r="D66">
        <v>236.25004974999999</v>
      </c>
      <c r="E66">
        <v>38.982775500000002</v>
      </c>
      <c r="F66">
        <v>5.9446319999999986</v>
      </c>
      <c r="G66">
        <v>272.47648650000002</v>
      </c>
      <c r="H66">
        <v>-36</v>
      </c>
      <c r="I66">
        <v>28</v>
      </c>
      <c r="J66">
        <v>1.18</v>
      </c>
      <c r="K66">
        <v>21.254372249999999</v>
      </c>
      <c r="L66">
        <v>-1.327271552989653</v>
      </c>
      <c r="M66">
        <v>-1.792142445978864</v>
      </c>
      <c r="N66">
        <v>-0.85766579153136202</v>
      </c>
      <c r="O66">
        <v>-0.87864719536051539</v>
      </c>
    </row>
    <row r="67" spans="1:15" x14ac:dyDescent="0.25">
      <c r="A67">
        <v>-256.55916224999999</v>
      </c>
      <c r="B67">
        <v>-269.44754775000001</v>
      </c>
      <c r="C67">
        <v>151.66978474999999</v>
      </c>
      <c r="D67">
        <v>220.304371</v>
      </c>
      <c r="E67">
        <v>16.80910025</v>
      </c>
      <c r="F67">
        <v>5.9446320000000004</v>
      </c>
      <c r="G67">
        <v>272.35646050000003</v>
      </c>
      <c r="H67">
        <v>-36</v>
      </c>
      <c r="I67">
        <v>32</v>
      </c>
      <c r="J67">
        <v>1.18</v>
      </c>
      <c r="K67">
        <v>21.249561499999999</v>
      </c>
      <c r="L67">
        <v>-1.4589489103999409</v>
      </c>
      <c r="M67">
        <v>-1.750307868596769</v>
      </c>
      <c r="N67">
        <v>-0.91330049200888608</v>
      </c>
      <c r="O67">
        <v>-0.96118667459280382</v>
      </c>
    </row>
    <row r="68" spans="1:15" x14ac:dyDescent="0.25">
      <c r="A68">
        <v>-315.59883124999999</v>
      </c>
      <c r="B68">
        <v>-305.76097099999998</v>
      </c>
      <c r="C68">
        <v>167.74426625000001</v>
      </c>
      <c r="D68">
        <v>218.11404024999999</v>
      </c>
      <c r="E68">
        <v>-6.8239262500000004</v>
      </c>
      <c r="F68">
        <v>6.1882650000000003</v>
      </c>
      <c r="G68">
        <v>291.64186875000001</v>
      </c>
      <c r="H68">
        <v>-36</v>
      </c>
      <c r="I68">
        <v>36</v>
      </c>
      <c r="J68">
        <v>1.18</v>
      </c>
      <c r="K68">
        <v>21.995876500000001</v>
      </c>
      <c r="L68">
        <v>-1.590695463850319</v>
      </c>
      <c r="M68">
        <v>-1.724090818706006</v>
      </c>
      <c r="N68">
        <v>-0.98226086153669578</v>
      </c>
      <c r="O68">
        <v>-1.042822735434362</v>
      </c>
    </row>
    <row r="69" spans="1:15" x14ac:dyDescent="0.25">
      <c r="A69">
        <v>-368.68890375000001</v>
      </c>
      <c r="B69">
        <v>-337.51696800000002</v>
      </c>
      <c r="C69">
        <v>176.820099</v>
      </c>
      <c r="D69">
        <v>208.5203435</v>
      </c>
      <c r="E69">
        <v>-42.147770749999999</v>
      </c>
      <c r="F69">
        <v>6.1882647500000001</v>
      </c>
      <c r="G69">
        <v>308.92671975000002</v>
      </c>
      <c r="H69">
        <v>-36</v>
      </c>
      <c r="I69">
        <v>40</v>
      </c>
      <c r="J69">
        <v>1.18</v>
      </c>
      <c r="K69">
        <v>22.652057500000002</v>
      </c>
      <c r="L69">
        <v>-1.7543796790753201</v>
      </c>
      <c r="M69">
        <v>-1.756055271809853</v>
      </c>
      <c r="N69">
        <v>-1.129134046842021</v>
      </c>
      <c r="O69">
        <v>-1.155458991915417</v>
      </c>
    </row>
    <row r="70" spans="1:15" x14ac:dyDescent="0.25">
      <c r="A70">
        <v>-421.45198799999997</v>
      </c>
      <c r="B70">
        <v>-388.24228675000001</v>
      </c>
      <c r="C70">
        <v>182.31688324999999</v>
      </c>
      <c r="D70">
        <v>193.84506625</v>
      </c>
      <c r="E70">
        <v>-87.774402499999994</v>
      </c>
      <c r="F70">
        <v>6.9191625000000014</v>
      </c>
      <c r="G70">
        <v>325.29132099999998</v>
      </c>
      <c r="H70">
        <v>-36</v>
      </c>
      <c r="I70">
        <v>44</v>
      </c>
      <c r="J70">
        <v>1.18</v>
      </c>
      <c r="K70">
        <v>23.229575749999999</v>
      </c>
      <c r="L70">
        <v>-1.9042002617274689</v>
      </c>
      <c r="M70">
        <v>-1.8358206926192391</v>
      </c>
      <c r="N70">
        <v>-1.302750648303898</v>
      </c>
      <c r="O70">
        <v>-1.2986498065905501</v>
      </c>
    </row>
    <row r="71" spans="1:15" x14ac:dyDescent="0.25">
      <c r="A71">
        <v>204.96514875</v>
      </c>
      <c r="B71">
        <v>-445.35352349999999</v>
      </c>
      <c r="C71">
        <v>-412.07867449999998</v>
      </c>
      <c r="D71">
        <v>172.24830600000001</v>
      </c>
      <c r="E71">
        <v>-103.07248325</v>
      </c>
      <c r="F71">
        <v>7.1140690000000006</v>
      </c>
      <c r="G71">
        <v>335.77426125</v>
      </c>
      <c r="H71">
        <v>-32</v>
      </c>
      <c r="I71">
        <v>-44</v>
      </c>
      <c r="J71">
        <v>1.18</v>
      </c>
      <c r="K71">
        <v>23.601870000000002</v>
      </c>
      <c r="L71">
        <v>1.894872555859298</v>
      </c>
      <c r="M71">
        <v>-1.8965956143210629</v>
      </c>
      <c r="N71">
        <v>-1.347677658949975</v>
      </c>
      <c r="O71">
        <v>-1.3383892691254731</v>
      </c>
    </row>
    <row r="72" spans="1:15" x14ac:dyDescent="0.25">
      <c r="A72">
        <v>194.31526199999999</v>
      </c>
      <c r="B72">
        <v>-369.61257949999998</v>
      </c>
      <c r="C72">
        <v>-338.4513015</v>
      </c>
      <c r="D72">
        <v>186.13506699999999</v>
      </c>
      <c r="E72">
        <v>-47.053859750000001</v>
      </c>
      <c r="F72">
        <v>6.5780772499999998</v>
      </c>
      <c r="G72">
        <v>309.726944</v>
      </c>
      <c r="H72">
        <v>-32</v>
      </c>
      <c r="I72">
        <v>-40</v>
      </c>
      <c r="J72">
        <v>1.18</v>
      </c>
      <c r="K72">
        <v>22.667390999999999</v>
      </c>
      <c r="L72">
        <v>1.7355247016797291</v>
      </c>
      <c r="M72">
        <v>-1.8103904739941299</v>
      </c>
      <c r="N72">
        <v>-1.16224700521803</v>
      </c>
      <c r="O72">
        <v>-1.1747161187146189</v>
      </c>
    </row>
    <row r="73" spans="1:15" x14ac:dyDescent="0.25">
      <c r="A73">
        <v>181.95055775</v>
      </c>
      <c r="B73">
        <v>-305.90464774999998</v>
      </c>
      <c r="C73">
        <v>-289.817543</v>
      </c>
      <c r="D73">
        <v>194.58977899999999</v>
      </c>
      <c r="E73">
        <v>-5.5751032499999997</v>
      </c>
      <c r="F73">
        <v>6.0908115</v>
      </c>
      <c r="G73">
        <v>288.00084700000002</v>
      </c>
      <c r="H73">
        <v>-32</v>
      </c>
      <c r="I73">
        <v>-36</v>
      </c>
      <c r="J73">
        <v>1.18</v>
      </c>
      <c r="K73">
        <v>21.858935249999998</v>
      </c>
      <c r="L73">
        <v>1.614065403919569</v>
      </c>
      <c r="M73">
        <v>-1.7123455078495291</v>
      </c>
      <c r="N73">
        <v>-1.0044156189893629</v>
      </c>
      <c r="O73">
        <v>-1.0399092946867241</v>
      </c>
    </row>
    <row r="74" spans="1:15" x14ac:dyDescent="0.25">
      <c r="A74">
        <v>170.53352325</v>
      </c>
      <c r="B74">
        <v>-253.20326650000001</v>
      </c>
      <c r="C74">
        <v>-245.37945550000001</v>
      </c>
      <c r="D74">
        <v>201.33602550000001</v>
      </c>
      <c r="E74">
        <v>29.371202749999998</v>
      </c>
      <c r="F74">
        <v>5.7984520000000002</v>
      </c>
      <c r="G74">
        <v>272.43647774999999</v>
      </c>
      <c r="H74">
        <v>-32</v>
      </c>
      <c r="I74">
        <v>-32</v>
      </c>
      <c r="J74">
        <v>1.18</v>
      </c>
      <c r="K74">
        <v>21.2586105</v>
      </c>
      <c r="L74">
        <v>1.4925337369241161</v>
      </c>
      <c r="M74">
        <v>-1.631145935085448</v>
      </c>
      <c r="N74">
        <v>-0.87225741920594024</v>
      </c>
      <c r="O74">
        <v>-0.91540764329265611</v>
      </c>
    </row>
    <row r="75" spans="1:15" x14ac:dyDescent="0.25">
      <c r="A75">
        <v>166.51725375000001</v>
      </c>
      <c r="B75">
        <v>-220.83670050000001</v>
      </c>
      <c r="C75">
        <v>-210.460579</v>
      </c>
      <c r="D75">
        <v>216.75602749999999</v>
      </c>
      <c r="E75">
        <v>59.904712500000002</v>
      </c>
      <c r="F75">
        <v>5.7984520000000002</v>
      </c>
      <c r="G75">
        <v>271.19613625</v>
      </c>
      <c r="H75">
        <v>-32</v>
      </c>
      <c r="I75">
        <v>-28</v>
      </c>
      <c r="J75">
        <v>1.18</v>
      </c>
      <c r="K75">
        <v>21.209088749999999</v>
      </c>
      <c r="L75">
        <v>1.3680811558207331</v>
      </c>
      <c r="M75">
        <v>-1.588059160076404</v>
      </c>
      <c r="N75">
        <v>-0.76679385810706857</v>
      </c>
      <c r="O75">
        <v>-0.80364526277962678</v>
      </c>
    </row>
    <row r="76" spans="1:15" x14ac:dyDescent="0.25">
      <c r="A76">
        <v>170.08226425000001</v>
      </c>
      <c r="B76">
        <v>-211.63994575000001</v>
      </c>
      <c r="C76">
        <v>-186.414387</v>
      </c>
      <c r="D76">
        <v>248.73498524999999</v>
      </c>
      <c r="E76">
        <v>91.019388249999992</v>
      </c>
      <c r="F76">
        <v>6.2369909999999997</v>
      </c>
      <c r="G76">
        <v>290.32150300000001</v>
      </c>
      <c r="H76">
        <v>-32</v>
      </c>
      <c r="I76">
        <v>-24</v>
      </c>
      <c r="J76">
        <v>1.18</v>
      </c>
      <c r="K76">
        <v>21.9430695</v>
      </c>
      <c r="L76">
        <v>1.229103331915947</v>
      </c>
      <c r="M76">
        <v>-1.5872500322772769</v>
      </c>
      <c r="N76">
        <v>-0.68714252701489997</v>
      </c>
      <c r="O76">
        <v>-0.70769887749182725</v>
      </c>
    </row>
    <row r="77" spans="1:15" x14ac:dyDescent="0.25">
      <c r="A77">
        <v>168.18693924999999</v>
      </c>
      <c r="B77">
        <v>-203.86717999999999</v>
      </c>
      <c r="C77">
        <v>-152.66850675000001</v>
      </c>
      <c r="D77">
        <v>277.51606774999999</v>
      </c>
      <c r="E77">
        <v>119.67528525</v>
      </c>
      <c r="F77">
        <v>6.6268035000000003</v>
      </c>
      <c r="G77">
        <v>307.96645375000003</v>
      </c>
      <c r="H77">
        <v>-32</v>
      </c>
      <c r="I77">
        <v>-20</v>
      </c>
      <c r="J77">
        <v>1.18</v>
      </c>
      <c r="K77">
        <v>22.599662250000002</v>
      </c>
      <c r="L77">
        <v>1.0769079359526459</v>
      </c>
      <c r="M77">
        <v>-1.6156925816501879</v>
      </c>
      <c r="N77">
        <v>-0.63198258000329388</v>
      </c>
      <c r="O77">
        <v>-0.62057381323451644</v>
      </c>
    </row>
    <row r="78" spans="1:15" x14ac:dyDescent="0.25">
      <c r="A78">
        <v>159.11648925</v>
      </c>
      <c r="B78">
        <v>-199.96695349999999</v>
      </c>
      <c r="C78">
        <v>-111.47146825</v>
      </c>
      <c r="D78">
        <v>304.19439699999998</v>
      </c>
      <c r="E78">
        <v>146.36417</v>
      </c>
      <c r="F78">
        <v>7.0166149999999998</v>
      </c>
      <c r="G78">
        <v>324.45108049999999</v>
      </c>
      <c r="H78">
        <v>-32</v>
      </c>
      <c r="I78">
        <v>-16</v>
      </c>
      <c r="J78">
        <v>1.18</v>
      </c>
      <c r="K78">
        <v>23.19534775</v>
      </c>
      <c r="L78">
        <v>0.8957395070766252</v>
      </c>
      <c r="M78">
        <v>-1.6689418777950049</v>
      </c>
      <c r="N78">
        <v>-0.58952791188544795</v>
      </c>
      <c r="O78">
        <v>-0.53870423438511694</v>
      </c>
    </row>
    <row r="79" spans="1:15" x14ac:dyDescent="0.25">
      <c r="A79">
        <v>145.71388225000001</v>
      </c>
      <c r="B79">
        <v>-205.16263950000001</v>
      </c>
      <c r="C79">
        <v>-67.21219450000001</v>
      </c>
      <c r="D79">
        <v>325.17786425000003</v>
      </c>
      <c r="E79">
        <v>166.61552825000001</v>
      </c>
      <c r="F79">
        <v>7.2602485000000003</v>
      </c>
      <c r="G79">
        <v>336.97458649999999</v>
      </c>
      <c r="H79">
        <v>-32</v>
      </c>
      <c r="I79">
        <v>-12</v>
      </c>
      <c r="J79">
        <v>1.18</v>
      </c>
      <c r="K79">
        <v>23.639747249999999</v>
      </c>
      <c r="L79">
        <v>0.70318446889453523</v>
      </c>
      <c r="M79">
        <v>-1.751443070237223</v>
      </c>
      <c r="N79">
        <v>-0.56261127090315088</v>
      </c>
      <c r="O79">
        <v>-0.47373474437400581</v>
      </c>
    </row>
    <row r="80" spans="1:15" x14ac:dyDescent="0.25">
      <c r="A80">
        <v>118.36714375</v>
      </c>
      <c r="B80">
        <v>-192.94877625000001</v>
      </c>
      <c r="C80">
        <v>-21.65384375</v>
      </c>
      <c r="D80">
        <v>311.94820375</v>
      </c>
      <c r="E80">
        <v>166.88375875</v>
      </c>
      <c r="F80">
        <v>6.8704357500000004</v>
      </c>
      <c r="G80">
        <v>318.92953475000002</v>
      </c>
      <c r="H80">
        <v>-32</v>
      </c>
      <c r="I80">
        <v>-8</v>
      </c>
      <c r="J80">
        <v>1.18</v>
      </c>
      <c r="K80">
        <v>22.998102500000002</v>
      </c>
      <c r="L80">
        <v>0.51066252064812545</v>
      </c>
      <c r="M80">
        <v>-1.841433925551492</v>
      </c>
      <c r="N80">
        <v>-0.55452906439399741</v>
      </c>
      <c r="O80">
        <v>-0.41638258825544289</v>
      </c>
    </row>
    <row r="81" spans="1:15" x14ac:dyDescent="0.25">
      <c r="A81">
        <v>90.298379749999995</v>
      </c>
      <c r="B81">
        <v>-172.77611949999999</v>
      </c>
      <c r="C81">
        <v>16.210016750000001</v>
      </c>
      <c r="D81">
        <v>292.60414874999998</v>
      </c>
      <c r="E81">
        <v>164.02264400000001</v>
      </c>
      <c r="F81">
        <v>6.4318974999999998</v>
      </c>
      <c r="G81">
        <v>296.40320574999998</v>
      </c>
      <c r="H81">
        <v>-32</v>
      </c>
      <c r="I81">
        <v>-4</v>
      </c>
      <c r="J81">
        <v>1.18</v>
      </c>
      <c r="K81">
        <v>22.169238499999999</v>
      </c>
      <c r="L81">
        <v>0.30572791133282079</v>
      </c>
      <c r="M81">
        <v>-1.9206527500964741</v>
      </c>
      <c r="N81">
        <v>-0.54633845435856254</v>
      </c>
      <c r="O81">
        <v>-0.34960250042133623</v>
      </c>
    </row>
    <row r="82" spans="1:15" x14ac:dyDescent="0.25">
      <c r="A82">
        <v>61.597848249999998</v>
      </c>
      <c r="B82">
        <v>-162.70030975</v>
      </c>
      <c r="C82">
        <v>46.643357000000002</v>
      </c>
      <c r="D82">
        <v>277.90192400000001</v>
      </c>
      <c r="E82">
        <v>158.52393000000001</v>
      </c>
      <c r="F82">
        <v>6.1882644999999998</v>
      </c>
      <c r="G82">
        <v>280.19866174999999</v>
      </c>
      <c r="H82">
        <v>-32</v>
      </c>
      <c r="I82">
        <v>0</v>
      </c>
      <c r="J82">
        <v>1.18</v>
      </c>
      <c r="K82">
        <v>21.550495000000002</v>
      </c>
      <c r="L82">
        <v>6.9064449297922742E-2</v>
      </c>
      <c r="M82">
        <v>-2.034619383932335</v>
      </c>
      <c r="N82">
        <v>-0.56187432944168969</v>
      </c>
      <c r="O82">
        <v>-0.29654054088430781</v>
      </c>
    </row>
    <row r="83" spans="1:15" x14ac:dyDescent="0.25">
      <c r="A83">
        <v>33.754716000000002</v>
      </c>
      <c r="B83">
        <v>-154.72477325</v>
      </c>
      <c r="C83">
        <v>69.987556249999997</v>
      </c>
      <c r="D83">
        <v>262.91800699999999</v>
      </c>
      <c r="E83">
        <v>148.95705824999999</v>
      </c>
      <c r="F83">
        <v>5.7984522500000004</v>
      </c>
      <c r="G83">
        <v>265.15443399999998</v>
      </c>
      <c r="H83">
        <v>-32</v>
      </c>
      <c r="I83">
        <v>4</v>
      </c>
      <c r="J83">
        <v>1.18</v>
      </c>
      <c r="K83">
        <v>20.966297000000001</v>
      </c>
      <c r="L83">
        <v>-0.1729989006307103</v>
      </c>
      <c r="M83">
        <v>-1.9940797496157321</v>
      </c>
      <c r="N83">
        <v>-0.55480110467375654</v>
      </c>
      <c r="O83">
        <v>-0.3164800397589792</v>
      </c>
    </row>
    <row r="84" spans="1:15" x14ac:dyDescent="0.25">
      <c r="A84">
        <v>4.28702775</v>
      </c>
      <c r="B84">
        <v>-167.7629585</v>
      </c>
      <c r="C84">
        <v>97.447191500000002</v>
      </c>
      <c r="D84">
        <v>276.24565899999999</v>
      </c>
      <c r="E84">
        <v>152.48875425</v>
      </c>
      <c r="F84">
        <v>5.9933584999999994</v>
      </c>
      <c r="G84">
        <v>279.99861149999998</v>
      </c>
      <c r="H84">
        <v>-32</v>
      </c>
      <c r="I84">
        <v>8</v>
      </c>
      <c r="J84">
        <v>1.18</v>
      </c>
      <c r="K84">
        <v>21.550286750000001</v>
      </c>
      <c r="L84">
        <v>-0.39771032216909552</v>
      </c>
      <c r="M84">
        <v>-1.8956582964155999</v>
      </c>
      <c r="N84">
        <v>-0.54441308497245977</v>
      </c>
      <c r="O84">
        <v>-0.37455366509158272</v>
      </c>
    </row>
    <row r="85" spans="1:15" x14ac:dyDescent="0.25">
      <c r="A85">
        <v>-29.331328500000001</v>
      </c>
      <c r="B85">
        <v>-184.09940349999999</v>
      </c>
      <c r="C85">
        <v>128.02614775000001</v>
      </c>
      <c r="D85">
        <v>291.07091500000001</v>
      </c>
      <c r="E85">
        <v>154.4557685</v>
      </c>
      <c r="F85">
        <v>6.4806237499999986</v>
      </c>
      <c r="G85">
        <v>297.68357075</v>
      </c>
      <c r="H85">
        <v>-32</v>
      </c>
      <c r="I85">
        <v>12</v>
      </c>
      <c r="J85">
        <v>1.18</v>
      </c>
      <c r="K85">
        <v>22.21629175</v>
      </c>
      <c r="L85">
        <v>-0.60251186448314853</v>
      </c>
      <c r="M85">
        <v>-1.8193975268021341</v>
      </c>
      <c r="N85">
        <v>-0.54841935007950215</v>
      </c>
      <c r="O85">
        <v>-0.43342490641105941</v>
      </c>
    </row>
    <row r="86" spans="1:15" x14ac:dyDescent="0.25">
      <c r="A86">
        <v>-71.458504000000005</v>
      </c>
      <c r="B86">
        <v>-208.07488649999999</v>
      </c>
      <c r="C86">
        <v>157.73061774999999</v>
      </c>
      <c r="D86">
        <v>301.7549515</v>
      </c>
      <c r="E86">
        <v>151.23701474999999</v>
      </c>
      <c r="F86">
        <v>6.7729827499999997</v>
      </c>
      <c r="G86">
        <v>314.36824775000002</v>
      </c>
      <c r="H86">
        <v>-32</v>
      </c>
      <c r="I86">
        <v>16</v>
      </c>
      <c r="J86">
        <v>1.18</v>
      </c>
      <c r="K86">
        <v>22.833026499999999</v>
      </c>
      <c r="L86">
        <v>-0.78756970472744725</v>
      </c>
      <c r="M86">
        <v>-1.751981052598012</v>
      </c>
      <c r="N86">
        <v>-0.56059420575142704</v>
      </c>
      <c r="O86">
        <v>-0.50356720327468019</v>
      </c>
    </row>
    <row r="87" spans="1:15" x14ac:dyDescent="0.25">
      <c r="A87">
        <v>-120.74955575</v>
      </c>
      <c r="B87">
        <v>-228.59300250000001</v>
      </c>
      <c r="C87">
        <v>182.882721</v>
      </c>
      <c r="D87">
        <v>304.60806274999999</v>
      </c>
      <c r="E87">
        <v>141.80426025</v>
      </c>
      <c r="F87">
        <v>7.1140685000000001</v>
      </c>
      <c r="G87">
        <v>328.05208575</v>
      </c>
      <c r="H87">
        <v>-32</v>
      </c>
      <c r="I87">
        <v>20</v>
      </c>
      <c r="J87">
        <v>1.18</v>
      </c>
      <c r="K87">
        <v>23.323001000000001</v>
      </c>
      <c r="L87">
        <v>-0.95940745549540474</v>
      </c>
      <c r="M87">
        <v>-1.684820542833509</v>
      </c>
      <c r="N87">
        <v>-0.58851644947929194</v>
      </c>
      <c r="O87">
        <v>-0.57440090844142544</v>
      </c>
    </row>
    <row r="88" spans="1:15" x14ac:dyDescent="0.25">
      <c r="A88">
        <v>-175.717636</v>
      </c>
      <c r="B88">
        <v>-252.998726</v>
      </c>
      <c r="C88">
        <v>205.66830049999999</v>
      </c>
      <c r="D88">
        <v>302.37367999999998</v>
      </c>
      <c r="E88">
        <v>126.2469175</v>
      </c>
      <c r="F88">
        <v>7.2602482500000001</v>
      </c>
      <c r="G88">
        <v>339.85540025</v>
      </c>
      <c r="H88">
        <v>-32</v>
      </c>
      <c r="I88">
        <v>24</v>
      </c>
      <c r="J88">
        <v>1.18</v>
      </c>
      <c r="K88">
        <v>23.742780249999999</v>
      </c>
      <c r="L88">
        <v>-1.1197419963767621</v>
      </c>
      <c r="M88">
        <v>-1.6305647017974629</v>
      </c>
      <c r="N88">
        <v>-0.62716460026920173</v>
      </c>
      <c r="O88">
        <v>-0.65066973979532061</v>
      </c>
    </row>
    <row r="89" spans="1:15" x14ac:dyDescent="0.25">
      <c r="A89">
        <v>-204.77862924999999</v>
      </c>
      <c r="B89">
        <v>-250.02396775</v>
      </c>
      <c r="C89">
        <v>200.29401025000001</v>
      </c>
      <c r="D89">
        <v>264.01335925000001</v>
      </c>
      <c r="E89">
        <v>93.925211000000004</v>
      </c>
      <c r="F89">
        <v>6.4806237499999986</v>
      </c>
      <c r="G89">
        <v>312.8078155</v>
      </c>
      <c r="H89">
        <v>-32</v>
      </c>
      <c r="I89">
        <v>28</v>
      </c>
      <c r="J89">
        <v>1.18</v>
      </c>
      <c r="K89">
        <v>22.785877249999999</v>
      </c>
      <c r="L89">
        <v>-1.260606152081861</v>
      </c>
      <c r="M89">
        <v>-1.5997302147299639</v>
      </c>
      <c r="N89">
        <v>-0.68117771631292734</v>
      </c>
      <c r="O89">
        <v>-0.72784091831107001</v>
      </c>
    </row>
    <row r="90" spans="1:15" x14ac:dyDescent="0.25">
      <c r="A90">
        <v>-235.59679800000001</v>
      </c>
      <c r="B90">
        <v>-259.1700975</v>
      </c>
      <c r="C90">
        <v>191.171257</v>
      </c>
      <c r="D90">
        <v>227.79532624999999</v>
      </c>
      <c r="E90">
        <v>60.798812750000003</v>
      </c>
      <c r="F90">
        <v>5.9933585000000003</v>
      </c>
      <c r="G90">
        <v>290.24148574999998</v>
      </c>
      <c r="H90">
        <v>-32</v>
      </c>
      <c r="I90">
        <v>32</v>
      </c>
      <c r="J90">
        <v>1.18</v>
      </c>
      <c r="K90">
        <v>21.949395249999998</v>
      </c>
      <c r="L90">
        <v>-1.3847945879495029</v>
      </c>
      <c r="M90">
        <v>-1.5801137768228639</v>
      </c>
      <c r="N90">
        <v>-0.74450608884929781</v>
      </c>
      <c r="O90">
        <v>-0.82216115900493481</v>
      </c>
    </row>
    <row r="91" spans="1:15" x14ac:dyDescent="0.25">
      <c r="A91">
        <v>-265.64901750000001</v>
      </c>
      <c r="B91">
        <v>-277.14218149999999</v>
      </c>
      <c r="C91">
        <v>182.63562049999999</v>
      </c>
      <c r="D91">
        <v>197.63756950000001</v>
      </c>
      <c r="E91">
        <v>26.375968499999999</v>
      </c>
      <c r="F91">
        <v>5.7984522500000004</v>
      </c>
      <c r="G91">
        <v>274.67710899999997</v>
      </c>
      <c r="H91">
        <v>-32</v>
      </c>
      <c r="I91">
        <v>36</v>
      </c>
      <c r="J91">
        <v>1.18</v>
      </c>
      <c r="K91">
        <v>21.34774225</v>
      </c>
      <c r="L91">
        <v>-1.5055036048697381</v>
      </c>
      <c r="M91">
        <v>-1.594513046502781</v>
      </c>
      <c r="N91">
        <v>-0.83395459793231697</v>
      </c>
      <c r="O91">
        <v>-0.93091446320115734</v>
      </c>
    </row>
    <row r="92" spans="1:15" x14ac:dyDescent="0.25">
      <c r="A92">
        <v>-295.79135124999999</v>
      </c>
      <c r="B92">
        <v>-305.87810524999998</v>
      </c>
      <c r="C92">
        <v>175.81613924999999</v>
      </c>
      <c r="D92">
        <v>172.77399075</v>
      </c>
      <c r="E92">
        <v>-10.213588</v>
      </c>
      <c r="F92">
        <v>5.7497255000000003</v>
      </c>
      <c r="G92">
        <v>265.91465749999998</v>
      </c>
      <c r="H92">
        <v>-32</v>
      </c>
      <c r="I92">
        <v>40</v>
      </c>
      <c r="J92">
        <v>1.18</v>
      </c>
      <c r="K92">
        <v>20.998958250000001</v>
      </c>
      <c r="L92">
        <v>-1.6228054232206699</v>
      </c>
      <c r="M92">
        <v>-1.647070979396642</v>
      </c>
      <c r="N92">
        <v>-0.95020380941797122</v>
      </c>
      <c r="O92">
        <v>-1.0549570247140441</v>
      </c>
    </row>
    <row r="93" spans="1:15" x14ac:dyDescent="0.25">
      <c r="A93">
        <v>-351.07482924999999</v>
      </c>
      <c r="B93">
        <v>-356.75444049999999</v>
      </c>
      <c r="C93">
        <v>186.5195655</v>
      </c>
      <c r="D93">
        <v>161.43826675</v>
      </c>
      <c r="E93">
        <v>-50.443522250000001</v>
      </c>
      <c r="F93">
        <v>6.0420850000000002</v>
      </c>
      <c r="G93">
        <v>286.60045650000001</v>
      </c>
      <c r="H93">
        <v>-32</v>
      </c>
      <c r="I93">
        <v>44</v>
      </c>
      <c r="J93">
        <v>1.18</v>
      </c>
      <c r="K93">
        <v>21.80646175</v>
      </c>
      <c r="L93">
        <v>-1.7716073465606921</v>
      </c>
      <c r="M93">
        <v>-1.707534638751067</v>
      </c>
      <c r="N93">
        <v>-1.1107039231682341</v>
      </c>
      <c r="O93">
        <v>-1.186141735139209</v>
      </c>
    </row>
    <row r="94" spans="1:15" x14ac:dyDescent="0.25">
      <c r="A94">
        <v>221.39123524999999</v>
      </c>
      <c r="B94">
        <v>-390.50291449999997</v>
      </c>
      <c r="C94">
        <v>-362.47377024999997</v>
      </c>
      <c r="D94">
        <v>145.02810650000001</v>
      </c>
      <c r="E94">
        <v>-74.081952999999999</v>
      </c>
      <c r="F94">
        <v>6.5780767500000001</v>
      </c>
      <c r="G94">
        <v>311.72750100000002</v>
      </c>
      <c r="H94">
        <v>-28</v>
      </c>
      <c r="I94">
        <v>-44</v>
      </c>
      <c r="J94">
        <v>1.18</v>
      </c>
      <c r="K94">
        <v>22.742068499999998</v>
      </c>
      <c r="L94">
        <v>1.9307345458141869</v>
      </c>
      <c r="M94">
        <v>-1.7709074286663491</v>
      </c>
      <c r="N94">
        <v>-1.2758097949767311</v>
      </c>
      <c r="O94">
        <v>-1.266726195505774</v>
      </c>
    </row>
    <row r="95" spans="1:15" x14ac:dyDescent="0.25">
      <c r="A95">
        <v>235.74150850000001</v>
      </c>
      <c r="B95">
        <v>-361.45410149999998</v>
      </c>
      <c r="C95">
        <v>-334.93234999999999</v>
      </c>
      <c r="D95">
        <v>181.35086824999999</v>
      </c>
      <c r="E95">
        <v>-22.880219</v>
      </c>
      <c r="F95">
        <v>7.0166155000000003</v>
      </c>
      <c r="G95">
        <v>325.57140375</v>
      </c>
      <c r="H95">
        <v>-28</v>
      </c>
      <c r="I95">
        <v>-40</v>
      </c>
      <c r="J95">
        <v>1.18</v>
      </c>
      <c r="K95">
        <v>23.236243250000001</v>
      </c>
      <c r="L95">
        <v>1.75423452766942</v>
      </c>
      <c r="M95">
        <v>-1.6685556810133271</v>
      </c>
      <c r="N95">
        <v>-1.0711269565645241</v>
      </c>
      <c r="O95">
        <v>-1.0918986317517041</v>
      </c>
    </row>
    <row r="96" spans="1:15" x14ac:dyDescent="0.25">
      <c r="A96">
        <v>248.96360774999999</v>
      </c>
      <c r="B96">
        <v>-330.03177649999998</v>
      </c>
      <c r="C96">
        <v>-317.18496699999997</v>
      </c>
      <c r="D96">
        <v>216.40296549999999</v>
      </c>
      <c r="E96">
        <v>24.945409250000001</v>
      </c>
      <c r="F96">
        <v>7.0166155000000003</v>
      </c>
      <c r="G96">
        <v>339.49530049999998</v>
      </c>
      <c r="H96">
        <v>-28</v>
      </c>
      <c r="I96">
        <v>-36</v>
      </c>
      <c r="J96">
        <v>1.18</v>
      </c>
      <c r="K96">
        <v>23.738636750000001</v>
      </c>
      <c r="L96">
        <v>1.6242807052501871</v>
      </c>
      <c r="M96">
        <v>-1.5677293945428239</v>
      </c>
      <c r="N96">
        <v>-0.90245196067960143</v>
      </c>
      <c r="O96">
        <v>-0.94857071440303709</v>
      </c>
    </row>
    <row r="97" spans="1:15" x14ac:dyDescent="0.25">
      <c r="A97">
        <v>227.93458575</v>
      </c>
      <c r="B97">
        <v>-258.25260574999999</v>
      </c>
      <c r="C97">
        <v>-254.54959500000001</v>
      </c>
      <c r="D97">
        <v>223.36955624999999</v>
      </c>
      <c r="E97">
        <v>66.968101500000003</v>
      </c>
      <c r="F97">
        <v>6.6755297499999999</v>
      </c>
      <c r="G97">
        <v>314.60832199999999</v>
      </c>
      <c r="H97">
        <v>-28</v>
      </c>
      <c r="I97">
        <v>-32</v>
      </c>
      <c r="J97">
        <v>1.18</v>
      </c>
      <c r="K97">
        <v>22.845533</v>
      </c>
      <c r="L97">
        <v>1.492043596115141</v>
      </c>
      <c r="M97">
        <v>-1.4893835353092819</v>
      </c>
      <c r="N97">
        <v>-0.76580378154180395</v>
      </c>
      <c r="O97">
        <v>-0.81353848609375323</v>
      </c>
    </row>
    <row r="98" spans="1:15" x14ac:dyDescent="0.25">
      <c r="A98">
        <v>208.98141849999999</v>
      </c>
      <c r="B98">
        <v>-201.5700645</v>
      </c>
      <c r="C98">
        <v>-199.35525525</v>
      </c>
      <c r="D98">
        <v>226.94807449999999</v>
      </c>
      <c r="E98">
        <v>96.875740000000008</v>
      </c>
      <c r="F98">
        <v>6.4318980000000003</v>
      </c>
      <c r="G98">
        <v>292.80219275000002</v>
      </c>
      <c r="H98">
        <v>-28</v>
      </c>
      <c r="I98">
        <v>-28</v>
      </c>
      <c r="J98">
        <v>1.18</v>
      </c>
      <c r="K98">
        <v>22.031174</v>
      </c>
      <c r="L98">
        <v>1.3732916650092031</v>
      </c>
      <c r="M98">
        <v>-1.4411748053590581</v>
      </c>
      <c r="N98">
        <v>-0.65892773275410221</v>
      </c>
      <c r="O98">
        <v>-0.69580426510689541</v>
      </c>
    </row>
    <row r="99" spans="1:15" x14ac:dyDescent="0.25">
      <c r="A99">
        <v>191.833294</v>
      </c>
      <c r="B99">
        <v>-162.5817605</v>
      </c>
      <c r="C99">
        <v>-148.47906875000001</v>
      </c>
      <c r="D99">
        <v>229.43074025000001</v>
      </c>
      <c r="E99">
        <v>119.228239</v>
      </c>
      <c r="F99">
        <v>5.9933584999999994</v>
      </c>
      <c r="G99">
        <v>277.11780575</v>
      </c>
      <c r="H99">
        <v>-28</v>
      </c>
      <c r="I99">
        <v>-24</v>
      </c>
      <c r="J99">
        <v>1.18</v>
      </c>
      <c r="K99">
        <v>21.436704750000001</v>
      </c>
      <c r="L99">
        <v>1.2385839873915701</v>
      </c>
      <c r="M99">
        <v>-1.4267521924630779</v>
      </c>
      <c r="N99">
        <v>-0.57464744904001819</v>
      </c>
      <c r="O99">
        <v>-0.58787402359694363</v>
      </c>
    </row>
    <row r="100" spans="1:15" x14ac:dyDescent="0.25">
      <c r="A100">
        <v>172.11295724999999</v>
      </c>
      <c r="B100">
        <v>-131.71648775</v>
      </c>
      <c r="C100">
        <v>-100.1351375</v>
      </c>
      <c r="D100">
        <v>233.18429925000001</v>
      </c>
      <c r="E100">
        <v>137.06553249999999</v>
      </c>
      <c r="F100">
        <v>5.652272</v>
      </c>
      <c r="G100">
        <v>265.59455850000001</v>
      </c>
      <c r="H100">
        <v>-28</v>
      </c>
      <c r="I100">
        <v>-20</v>
      </c>
      <c r="J100">
        <v>1.18</v>
      </c>
      <c r="K100">
        <v>20.989976500000001</v>
      </c>
      <c r="L100">
        <v>1.076123983045834</v>
      </c>
      <c r="M100">
        <v>-1.4423498081182839</v>
      </c>
      <c r="N100">
        <v>-0.50804318766030854</v>
      </c>
      <c r="O100">
        <v>-0.48056844849987262</v>
      </c>
    </row>
    <row r="101" spans="1:15" x14ac:dyDescent="0.25">
      <c r="A101">
        <v>171.48118199999999</v>
      </c>
      <c r="B101">
        <v>-129.65393075</v>
      </c>
      <c r="C101">
        <v>-65.133001500000006</v>
      </c>
      <c r="D101">
        <v>263.50441749999999</v>
      </c>
      <c r="E101">
        <v>168.04609300000001</v>
      </c>
      <c r="F101">
        <v>6.3831712500000002</v>
      </c>
      <c r="G101">
        <v>286.80051424999999</v>
      </c>
      <c r="H101">
        <v>-28</v>
      </c>
      <c r="I101">
        <v>-16</v>
      </c>
      <c r="J101">
        <v>1.18</v>
      </c>
      <c r="K101">
        <v>21.800969500000001</v>
      </c>
      <c r="L101">
        <v>0.89139713537858634</v>
      </c>
      <c r="M101">
        <v>-1.4811801217566349</v>
      </c>
      <c r="N101">
        <v>-0.44740809650763619</v>
      </c>
      <c r="O101">
        <v>-0.39097418652112542</v>
      </c>
    </row>
    <row r="102" spans="1:15" x14ac:dyDescent="0.25">
      <c r="A102">
        <v>164.71218875</v>
      </c>
      <c r="B102">
        <v>-138.91149899999999</v>
      </c>
      <c r="C102">
        <v>-26.430356750000001</v>
      </c>
      <c r="D102">
        <v>288.54115300000001</v>
      </c>
      <c r="E102">
        <v>192.27619949999999</v>
      </c>
      <c r="F102">
        <v>6.5780767500000001</v>
      </c>
      <c r="G102">
        <v>305.76583875</v>
      </c>
      <c r="H102">
        <v>-28</v>
      </c>
      <c r="I102">
        <v>-12</v>
      </c>
      <c r="J102">
        <v>1.18</v>
      </c>
      <c r="K102">
        <v>22.518810500000001</v>
      </c>
      <c r="L102">
        <v>0.69515816402259012</v>
      </c>
      <c r="M102">
        <v>-1.5547117075030199</v>
      </c>
      <c r="N102">
        <v>-0.41279073148869949</v>
      </c>
      <c r="O102">
        <v>-0.32461400755188452</v>
      </c>
    </row>
    <row r="103" spans="1:15" x14ac:dyDescent="0.25">
      <c r="A103">
        <v>151.53521749999999</v>
      </c>
      <c r="B103">
        <v>-145.86666875</v>
      </c>
      <c r="C103">
        <v>15.53575975</v>
      </c>
      <c r="D103">
        <v>308.43450949999999</v>
      </c>
      <c r="E103">
        <v>214.22634525000001</v>
      </c>
      <c r="F103">
        <v>6.6268035000000003</v>
      </c>
      <c r="G103">
        <v>320.89009099999998</v>
      </c>
      <c r="H103">
        <v>-28</v>
      </c>
      <c r="I103">
        <v>-8</v>
      </c>
      <c r="J103">
        <v>1.18</v>
      </c>
      <c r="K103">
        <v>23.079189249999999</v>
      </c>
      <c r="L103">
        <v>0.48676301171185371</v>
      </c>
      <c r="M103">
        <v>-1.626039472691353</v>
      </c>
      <c r="N103">
        <v>-0.38177530324032782</v>
      </c>
      <c r="O103">
        <v>-0.25695709643379838</v>
      </c>
    </row>
    <row r="104" spans="1:15" x14ac:dyDescent="0.25">
      <c r="A104">
        <v>133.30405825</v>
      </c>
      <c r="B104">
        <v>-154.30879974999999</v>
      </c>
      <c r="C104">
        <v>54.465509500000003</v>
      </c>
      <c r="D104">
        <v>325.52350625000003</v>
      </c>
      <c r="E104">
        <v>232.8236235</v>
      </c>
      <c r="F104">
        <v>7.2115217500000002</v>
      </c>
      <c r="G104">
        <v>334.89399750000001</v>
      </c>
      <c r="H104">
        <v>-28</v>
      </c>
      <c r="I104">
        <v>-4</v>
      </c>
      <c r="J104">
        <v>1.18</v>
      </c>
      <c r="K104">
        <v>23.566788249999998</v>
      </c>
      <c r="L104">
        <v>0.27879872275852807</v>
      </c>
      <c r="M104">
        <v>-1.6970623668382749</v>
      </c>
      <c r="N104">
        <v>-0.36100863432447122</v>
      </c>
      <c r="O104">
        <v>-0.20205807068776341</v>
      </c>
    </row>
    <row r="105" spans="1:15" x14ac:dyDescent="0.25">
      <c r="A105">
        <v>103.43023125000001</v>
      </c>
      <c r="B105">
        <v>-146.63413224999999</v>
      </c>
      <c r="C105">
        <v>85.627376999999996</v>
      </c>
      <c r="D105">
        <v>316.0588305</v>
      </c>
      <c r="E105">
        <v>227.99549099999999</v>
      </c>
      <c r="F105">
        <v>6.8217094999999999</v>
      </c>
      <c r="G105">
        <v>324.17099775000003</v>
      </c>
      <c r="H105">
        <v>-28</v>
      </c>
      <c r="I105">
        <v>0</v>
      </c>
      <c r="J105">
        <v>1.18</v>
      </c>
      <c r="K105">
        <v>23.1922155</v>
      </c>
      <c r="L105">
        <v>6.8864151781366331E-2</v>
      </c>
      <c r="M105">
        <v>-1.7899365180002571</v>
      </c>
      <c r="N105">
        <v>-0.37207382142034912</v>
      </c>
      <c r="O105">
        <v>-0.14439891783910599</v>
      </c>
    </row>
    <row r="106" spans="1:15" x14ac:dyDescent="0.25">
      <c r="A106">
        <v>70.036527750000005</v>
      </c>
      <c r="B106">
        <v>-132.96362300000001</v>
      </c>
      <c r="C106">
        <v>108.38908549999999</v>
      </c>
      <c r="D106">
        <v>291.126419</v>
      </c>
      <c r="E106">
        <v>211.45463549999999</v>
      </c>
      <c r="F106">
        <v>6.2857177499999999</v>
      </c>
      <c r="G106">
        <v>299.08395400000001</v>
      </c>
      <c r="H106">
        <v>-28</v>
      </c>
      <c r="I106">
        <v>4</v>
      </c>
      <c r="J106">
        <v>1.18</v>
      </c>
      <c r="K106">
        <v>22.277059250000001</v>
      </c>
      <c r="L106">
        <v>-0.1578739724374095</v>
      </c>
      <c r="M106">
        <v>-1.745799143835878</v>
      </c>
      <c r="N106">
        <v>-0.36073366655639288</v>
      </c>
      <c r="O106">
        <v>-0.15538664479577849</v>
      </c>
    </row>
    <row r="107" spans="1:15" x14ac:dyDescent="0.25">
      <c r="A107">
        <v>37.409974249999998</v>
      </c>
      <c r="B107">
        <v>-128.74256700000001</v>
      </c>
      <c r="C107">
        <v>125.866829</v>
      </c>
      <c r="D107">
        <v>273.51160425</v>
      </c>
      <c r="E107">
        <v>194.55614875000001</v>
      </c>
      <c r="F107">
        <v>6.0420850000000002</v>
      </c>
      <c r="G107">
        <v>282.15920225000002</v>
      </c>
      <c r="H107">
        <v>-28</v>
      </c>
      <c r="I107">
        <v>8</v>
      </c>
      <c r="J107">
        <v>1.18</v>
      </c>
      <c r="K107">
        <v>21.633177499999999</v>
      </c>
      <c r="L107">
        <v>-0.36820692846565378</v>
      </c>
      <c r="M107">
        <v>-1.6745277847949811</v>
      </c>
      <c r="N107">
        <v>-0.36468948373427112</v>
      </c>
      <c r="O107">
        <v>-0.21523353700116829</v>
      </c>
    </row>
    <row r="108" spans="1:15" x14ac:dyDescent="0.25">
      <c r="A108">
        <v>5.5054470000000002</v>
      </c>
      <c r="B108">
        <v>-125.43286525000001</v>
      </c>
      <c r="C108">
        <v>138.78319925</v>
      </c>
      <c r="D108">
        <v>254.713707</v>
      </c>
      <c r="E108">
        <v>175.86946125</v>
      </c>
      <c r="F108">
        <v>5.6035455000000001</v>
      </c>
      <c r="G108">
        <v>265.67458325000001</v>
      </c>
      <c r="H108">
        <v>-28</v>
      </c>
      <c r="I108">
        <v>12</v>
      </c>
      <c r="J108">
        <v>1.18</v>
      </c>
      <c r="K108">
        <v>20.995167500000001</v>
      </c>
      <c r="L108">
        <v>-0.56513785177752363</v>
      </c>
      <c r="M108">
        <v>-1.611899536481195</v>
      </c>
      <c r="N108">
        <v>-0.38078825722427101</v>
      </c>
      <c r="O108">
        <v>-0.27801302322786442</v>
      </c>
    </row>
    <row r="109" spans="1:15" x14ac:dyDescent="0.25">
      <c r="A109">
        <v>-27.529095999999999</v>
      </c>
      <c r="B109">
        <v>-139.34319675</v>
      </c>
      <c r="C109">
        <v>165.97079475000001</v>
      </c>
      <c r="D109">
        <v>262.99529250000001</v>
      </c>
      <c r="E109">
        <v>175.8247605</v>
      </c>
      <c r="F109">
        <v>6.1882644999999998</v>
      </c>
      <c r="G109">
        <v>280.75881950000002</v>
      </c>
      <c r="H109">
        <v>-28</v>
      </c>
      <c r="I109">
        <v>16</v>
      </c>
      <c r="J109">
        <v>1.18</v>
      </c>
      <c r="K109">
        <v>21.572496749999999</v>
      </c>
      <c r="L109">
        <v>-0.74635943646678249</v>
      </c>
      <c r="M109">
        <v>-1.5518674514515529</v>
      </c>
      <c r="N109">
        <v>-0.40474617005966129</v>
      </c>
      <c r="O109">
        <v>-0.34569486890160589</v>
      </c>
    </row>
    <row r="110" spans="1:15" x14ac:dyDescent="0.25">
      <c r="A110">
        <v>-72.985700750000007</v>
      </c>
      <c r="B110">
        <v>-159.48920050000001</v>
      </c>
      <c r="C110">
        <v>194.784233</v>
      </c>
      <c r="D110">
        <v>272.81052399999999</v>
      </c>
      <c r="E110">
        <v>172.91893400000001</v>
      </c>
      <c r="F110">
        <v>6.48062425</v>
      </c>
      <c r="G110">
        <v>300.60438525000001</v>
      </c>
      <c r="H110">
        <v>-28</v>
      </c>
      <c r="I110">
        <v>20</v>
      </c>
      <c r="J110">
        <v>1.18</v>
      </c>
      <c r="K110">
        <v>22.327422250000001</v>
      </c>
      <c r="L110">
        <v>-0.92603652717898843</v>
      </c>
      <c r="M110">
        <v>-1.495040606513238</v>
      </c>
      <c r="N110">
        <v>-0.44158031957055149</v>
      </c>
      <c r="O110">
        <v>-0.42440071212577257</v>
      </c>
    </row>
    <row r="111" spans="1:15" x14ac:dyDescent="0.25">
      <c r="A111">
        <v>-124.03863124999999</v>
      </c>
      <c r="B111">
        <v>-185.91883874999999</v>
      </c>
      <c r="C111">
        <v>219.71372199999999</v>
      </c>
      <c r="D111">
        <v>273.29251099999999</v>
      </c>
      <c r="E111">
        <v>160.80388275000001</v>
      </c>
      <c r="F111">
        <v>6.6755302500000004</v>
      </c>
      <c r="G111">
        <v>316.80892925000001</v>
      </c>
      <c r="H111">
        <v>-28</v>
      </c>
      <c r="I111">
        <v>24</v>
      </c>
      <c r="J111">
        <v>1.18</v>
      </c>
      <c r="K111">
        <v>22.927035750000002</v>
      </c>
      <c r="L111">
        <v>-1.0885632026872569</v>
      </c>
      <c r="M111">
        <v>-1.454194756798048</v>
      </c>
      <c r="N111">
        <v>-0.49403609390969833</v>
      </c>
      <c r="O111">
        <v>-0.51189838059332105</v>
      </c>
    </row>
    <row r="112" spans="1:15" x14ac:dyDescent="0.25">
      <c r="A112">
        <v>-180.83026100000001</v>
      </c>
      <c r="B112">
        <v>-222.85317599999999</v>
      </c>
      <c r="C112">
        <v>239.720539</v>
      </c>
      <c r="D112">
        <v>267.8152695</v>
      </c>
      <c r="E112">
        <v>140.68663050000001</v>
      </c>
      <c r="F112">
        <v>7.162795</v>
      </c>
      <c r="G112">
        <v>330.73284150000001</v>
      </c>
      <c r="H112">
        <v>-28</v>
      </c>
      <c r="I112">
        <v>28</v>
      </c>
      <c r="J112">
        <v>1.18</v>
      </c>
      <c r="K112">
        <v>23.41844175</v>
      </c>
      <c r="L112">
        <v>-1.2277848045156721</v>
      </c>
      <c r="M112">
        <v>-1.4324864844039451</v>
      </c>
      <c r="N112">
        <v>-0.55483311659920664</v>
      </c>
      <c r="O112">
        <v>-0.61018156368097332</v>
      </c>
    </row>
    <row r="113" spans="1:15" x14ac:dyDescent="0.25">
      <c r="A113">
        <v>-231.7670555</v>
      </c>
      <c r="B113">
        <v>-257.14937574999999</v>
      </c>
      <c r="C113">
        <v>246.9916455</v>
      </c>
      <c r="D113">
        <v>248.92974100000001</v>
      </c>
      <c r="E113">
        <v>107.2920055</v>
      </c>
      <c r="F113">
        <v>6.9678887500000002</v>
      </c>
      <c r="G113">
        <v>331.21297475</v>
      </c>
      <c r="H113">
        <v>-28</v>
      </c>
      <c r="I113">
        <v>32</v>
      </c>
      <c r="J113">
        <v>1.18</v>
      </c>
      <c r="K113">
        <v>23.442833</v>
      </c>
      <c r="L113">
        <v>-1.3610872073964599</v>
      </c>
      <c r="M113">
        <v>-1.4387365705060791</v>
      </c>
      <c r="N113">
        <v>-0.63661076067532973</v>
      </c>
      <c r="O113">
        <v>-0.71477739186566336</v>
      </c>
    </row>
    <row r="114" spans="1:15" x14ac:dyDescent="0.25">
      <c r="A114">
        <v>-256.60434350000003</v>
      </c>
      <c r="B114">
        <v>-273.45802275</v>
      </c>
      <c r="C114">
        <v>230.23650375</v>
      </c>
      <c r="D114">
        <v>208.52959050000001</v>
      </c>
      <c r="E114">
        <v>63.615226499999999</v>
      </c>
      <c r="F114">
        <v>6.7242565000000001</v>
      </c>
      <c r="G114">
        <v>304.56549849999999</v>
      </c>
      <c r="H114">
        <v>-28</v>
      </c>
      <c r="I114">
        <v>36</v>
      </c>
      <c r="J114">
        <v>1.18</v>
      </c>
      <c r="K114">
        <v>22.468083499999999</v>
      </c>
      <c r="L114">
        <v>-1.4813764565459959</v>
      </c>
      <c r="M114">
        <v>-1.4665983324188521</v>
      </c>
      <c r="N114">
        <v>-0.73320034522557009</v>
      </c>
      <c r="O114">
        <v>-0.82690325618153659</v>
      </c>
    </row>
    <row r="115" spans="1:15" x14ac:dyDescent="0.25">
      <c r="A115">
        <v>-278.399811</v>
      </c>
      <c r="B115">
        <v>-293.22029850000001</v>
      </c>
      <c r="C115">
        <v>216.64269275000001</v>
      </c>
      <c r="D115">
        <v>174.65831775000001</v>
      </c>
      <c r="E115">
        <v>20.698434249999998</v>
      </c>
      <c r="F115">
        <v>6.0420850000000002</v>
      </c>
      <c r="G115">
        <v>286.60045624999998</v>
      </c>
      <c r="H115">
        <v>-28</v>
      </c>
      <c r="I115">
        <v>40</v>
      </c>
      <c r="J115">
        <v>1.18</v>
      </c>
      <c r="K115">
        <v>21.80646625</v>
      </c>
      <c r="L115">
        <v>-1.6151309035388279</v>
      </c>
      <c r="M115">
        <v>-1.526494062360517</v>
      </c>
      <c r="N115">
        <v>-0.86756955892333543</v>
      </c>
      <c r="O115">
        <v>-0.95218269305836079</v>
      </c>
    </row>
    <row r="116" spans="1:15" x14ac:dyDescent="0.25">
      <c r="A116">
        <v>-290.39197524999997</v>
      </c>
      <c r="B116">
        <v>-312.50290675000002</v>
      </c>
      <c r="C116">
        <v>201.42306500000001</v>
      </c>
      <c r="D116">
        <v>143.4161225</v>
      </c>
      <c r="E116">
        <v>-21.8097995</v>
      </c>
      <c r="F116">
        <v>5.6522722500000002</v>
      </c>
      <c r="G116">
        <v>271.63625350000001</v>
      </c>
      <c r="H116">
        <v>-28</v>
      </c>
      <c r="I116">
        <v>44</v>
      </c>
      <c r="J116">
        <v>1.18</v>
      </c>
      <c r="K116">
        <v>21.232496749999999</v>
      </c>
      <c r="L116">
        <v>-1.7587928249486571</v>
      </c>
      <c r="M116">
        <v>-1.630422415535165</v>
      </c>
      <c r="N116">
        <v>-1.0494220357749959</v>
      </c>
      <c r="O116">
        <v>-1.098217898187329</v>
      </c>
    </row>
    <row r="117" spans="1:15" x14ac:dyDescent="0.25">
      <c r="A117">
        <v>225.27213674999999</v>
      </c>
      <c r="B117">
        <v>-320.32146475000002</v>
      </c>
      <c r="C117">
        <v>-307.96325675000003</v>
      </c>
      <c r="D117">
        <v>113.7513735</v>
      </c>
      <c r="E117">
        <v>-52.049151250000001</v>
      </c>
      <c r="F117">
        <v>6.0908115</v>
      </c>
      <c r="G117">
        <v>283.03945924999999</v>
      </c>
      <c r="H117">
        <v>-24</v>
      </c>
      <c r="I117">
        <v>-44</v>
      </c>
      <c r="J117">
        <v>1.18</v>
      </c>
      <c r="K117">
        <v>21.665721999999999</v>
      </c>
      <c r="L117">
        <v>2.0345349949957399</v>
      </c>
      <c r="M117">
        <v>-1.6561848366753891</v>
      </c>
      <c r="N117">
        <v>-1.278520928060858</v>
      </c>
      <c r="O117">
        <v>-1.2218325056749311</v>
      </c>
    </row>
    <row r="118" spans="1:15" x14ac:dyDescent="0.25">
      <c r="A118">
        <v>246.16575624999999</v>
      </c>
      <c r="B118">
        <v>-298.49664324999998</v>
      </c>
      <c r="C118">
        <v>-293.21458424999997</v>
      </c>
      <c r="D118">
        <v>151.78535074999999</v>
      </c>
      <c r="E118">
        <v>-2.4527282499999998</v>
      </c>
      <c r="F118">
        <v>6.3344445</v>
      </c>
      <c r="G118">
        <v>302.52491774999999</v>
      </c>
      <c r="H118">
        <v>-24</v>
      </c>
      <c r="I118">
        <v>-40</v>
      </c>
      <c r="J118">
        <v>1.18</v>
      </c>
      <c r="K118">
        <v>22.405733000000001</v>
      </c>
      <c r="L118">
        <v>1.838365517585965</v>
      </c>
      <c r="M118">
        <v>-1.5346714072648331</v>
      </c>
      <c r="N118">
        <v>-1.03947040832657</v>
      </c>
      <c r="O118">
        <v>-1.0299178665779409</v>
      </c>
    </row>
    <row r="119" spans="1:15" x14ac:dyDescent="0.25">
      <c r="A119">
        <v>260.33551775000001</v>
      </c>
      <c r="B119">
        <v>-265.73538975000002</v>
      </c>
      <c r="C119">
        <v>-273.41435274999998</v>
      </c>
      <c r="D119">
        <v>187.80370325000001</v>
      </c>
      <c r="E119">
        <v>47.387315000000001</v>
      </c>
      <c r="F119">
        <v>6.8217094999999999</v>
      </c>
      <c r="G119">
        <v>318.16932650000001</v>
      </c>
      <c r="H119">
        <v>-24</v>
      </c>
      <c r="I119">
        <v>-36</v>
      </c>
      <c r="J119">
        <v>1.18</v>
      </c>
      <c r="K119">
        <v>22.971882000000001</v>
      </c>
      <c r="L119">
        <v>1.683954652099835</v>
      </c>
      <c r="M119">
        <v>-1.4308911284257559</v>
      </c>
      <c r="N119">
        <v>-0.85430716813220631</v>
      </c>
      <c r="O119">
        <v>-0.87201644495644048</v>
      </c>
    </row>
    <row r="120" spans="1:15" x14ac:dyDescent="0.25">
      <c r="A120">
        <v>270.30850225</v>
      </c>
      <c r="B120">
        <v>-227.07424549999999</v>
      </c>
      <c r="C120">
        <v>-241.79715375000001</v>
      </c>
      <c r="D120">
        <v>222.8142435</v>
      </c>
      <c r="E120">
        <v>98.619236000000001</v>
      </c>
      <c r="F120">
        <v>6.9678887500000002</v>
      </c>
      <c r="G120">
        <v>331.93318925</v>
      </c>
      <c r="H120">
        <v>-24</v>
      </c>
      <c r="I120">
        <v>-32</v>
      </c>
      <c r="J120">
        <v>1.18</v>
      </c>
      <c r="K120">
        <v>23.468876999999999</v>
      </c>
      <c r="L120">
        <v>1.537595513597126</v>
      </c>
      <c r="M120">
        <v>-1.3507807907062761</v>
      </c>
      <c r="N120">
        <v>-0.7005205737485859</v>
      </c>
      <c r="O120">
        <v>-0.72480586525193258</v>
      </c>
    </row>
    <row r="121" spans="1:15" x14ac:dyDescent="0.25">
      <c r="A121">
        <v>266.60813124999999</v>
      </c>
      <c r="B121">
        <v>-181.12216950000001</v>
      </c>
      <c r="C121">
        <v>-194.52923225000001</v>
      </c>
      <c r="D121">
        <v>244.635582</v>
      </c>
      <c r="E121">
        <v>139.52430724999999</v>
      </c>
      <c r="F121">
        <v>7.0166155000000003</v>
      </c>
      <c r="G121">
        <v>332.05321475</v>
      </c>
      <c r="H121">
        <v>-24</v>
      </c>
      <c r="I121">
        <v>-28</v>
      </c>
      <c r="J121">
        <v>1.18</v>
      </c>
      <c r="K121">
        <v>23.471404249999999</v>
      </c>
      <c r="L121">
        <v>1.4086984642035869</v>
      </c>
      <c r="M121">
        <v>-1.3006068080720341</v>
      </c>
      <c r="N121">
        <v>-0.58814061293192776</v>
      </c>
      <c r="O121">
        <v>-0.59520658521682235</v>
      </c>
    </row>
    <row r="122" spans="1:15" x14ac:dyDescent="0.25">
      <c r="A122">
        <v>236.14764425000001</v>
      </c>
      <c r="B122">
        <v>-125.864565</v>
      </c>
      <c r="C122">
        <v>-129.49070925000001</v>
      </c>
      <c r="D122">
        <v>240.51668925000001</v>
      </c>
      <c r="E122">
        <v>160.6697695</v>
      </c>
      <c r="F122">
        <v>6.1395382500000002</v>
      </c>
      <c r="G122">
        <v>303.68524925000003</v>
      </c>
      <c r="H122">
        <v>-24</v>
      </c>
      <c r="I122">
        <v>-24</v>
      </c>
      <c r="J122">
        <v>1.18</v>
      </c>
      <c r="K122">
        <v>22.456937499999999</v>
      </c>
      <c r="L122">
        <v>1.2680456525170269</v>
      </c>
      <c r="M122">
        <v>-1.2706009072071689</v>
      </c>
      <c r="N122">
        <v>-0.49597889884675089</v>
      </c>
      <c r="O122">
        <v>-0.46405672779757567</v>
      </c>
    </row>
    <row r="123" spans="1:15" x14ac:dyDescent="0.25">
      <c r="A123">
        <v>211.19261574999999</v>
      </c>
      <c r="B123">
        <v>-92.671619500000006</v>
      </c>
      <c r="C123">
        <v>-75.863239499999992</v>
      </c>
      <c r="D123">
        <v>241.43687424999999</v>
      </c>
      <c r="E123">
        <v>177.88118775000001</v>
      </c>
      <c r="F123">
        <v>6.2857177499999999</v>
      </c>
      <c r="G123">
        <v>285.48013324999999</v>
      </c>
      <c r="H123">
        <v>-24</v>
      </c>
      <c r="I123">
        <v>-20</v>
      </c>
      <c r="J123">
        <v>1.18</v>
      </c>
      <c r="K123">
        <v>21.7533955</v>
      </c>
      <c r="L123">
        <v>1.0950114841533769</v>
      </c>
      <c r="M123">
        <v>-1.274500362461944</v>
      </c>
      <c r="N123">
        <v>-0.41045204829268261</v>
      </c>
      <c r="O123">
        <v>-0.34542989369419119</v>
      </c>
    </row>
    <row r="124" spans="1:15" x14ac:dyDescent="0.25">
      <c r="A124">
        <v>185.38019174999999</v>
      </c>
      <c r="B124">
        <v>-76.219053500000001</v>
      </c>
      <c r="C124">
        <v>-32.744775500000003</v>
      </c>
      <c r="D124">
        <v>238.501068</v>
      </c>
      <c r="E124">
        <v>186.1516115</v>
      </c>
      <c r="F124">
        <v>6.0420850000000002</v>
      </c>
      <c r="G124">
        <v>269.31561249999999</v>
      </c>
      <c r="H124">
        <v>-24</v>
      </c>
      <c r="I124">
        <v>-16</v>
      </c>
      <c r="J124">
        <v>1.18</v>
      </c>
      <c r="K124">
        <v>21.124028500000001</v>
      </c>
      <c r="L124">
        <v>0.90644110887219909</v>
      </c>
      <c r="M124">
        <v>-1.3078817175556641</v>
      </c>
      <c r="N124">
        <v>-0.34560018945215237</v>
      </c>
      <c r="O124">
        <v>-0.25151689968360558</v>
      </c>
    </row>
    <row r="125" spans="1:15" x14ac:dyDescent="0.25">
      <c r="A125">
        <v>177.61840824999999</v>
      </c>
      <c r="B125">
        <v>-75.787353499999995</v>
      </c>
      <c r="C125">
        <v>4.0194179999999999</v>
      </c>
      <c r="D125">
        <v>254.538433</v>
      </c>
      <c r="E125">
        <v>206.40298100000001</v>
      </c>
      <c r="F125">
        <v>5.8471789999999997</v>
      </c>
      <c r="G125">
        <v>278.198105</v>
      </c>
      <c r="H125">
        <v>-24</v>
      </c>
      <c r="I125">
        <v>-12</v>
      </c>
      <c r="J125">
        <v>1.18</v>
      </c>
      <c r="K125">
        <v>21.4851195</v>
      </c>
      <c r="L125">
        <v>0.71649328684573843</v>
      </c>
      <c r="M125">
        <v>-1.3633705226063</v>
      </c>
      <c r="N125">
        <v>-0.2963252453029801</v>
      </c>
      <c r="O125">
        <v>-0.1722432987277514</v>
      </c>
    </row>
    <row r="126" spans="1:15" x14ac:dyDescent="0.25">
      <c r="A126">
        <v>171.12016675000001</v>
      </c>
      <c r="B126">
        <v>-85.716449749999995</v>
      </c>
      <c r="C126">
        <v>41.865278250000003</v>
      </c>
      <c r="D126">
        <v>279.260086</v>
      </c>
      <c r="E126">
        <v>231.57188400000001</v>
      </c>
      <c r="F126">
        <v>6.5293504999999996</v>
      </c>
      <c r="G126">
        <v>298.12368750000002</v>
      </c>
      <c r="H126">
        <v>-24</v>
      </c>
      <c r="I126">
        <v>-8</v>
      </c>
      <c r="J126">
        <v>1.18</v>
      </c>
      <c r="K126">
        <v>22.2312105</v>
      </c>
      <c r="L126">
        <v>0.50992132176901572</v>
      </c>
      <c r="M126">
        <v>-1.4397684695037409</v>
      </c>
      <c r="N126">
        <v>-0.26254529420550637</v>
      </c>
      <c r="O126">
        <v>-0.1122574385310276</v>
      </c>
    </row>
    <row r="127" spans="1:15" x14ac:dyDescent="0.25">
      <c r="A127">
        <v>155.23559950000001</v>
      </c>
      <c r="B127">
        <v>-95.933355500000005</v>
      </c>
      <c r="C127">
        <v>79.711137750000006</v>
      </c>
      <c r="D127">
        <v>298.00582900000001</v>
      </c>
      <c r="E127">
        <v>252.8514595</v>
      </c>
      <c r="F127">
        <v>6.4318980000000003</v>
      </c>
      <c r="G127">
        <v>314.80838</v>
      </c>
      <c r="H127">
        <v>-24</v>
      </c>
      <c r="I127">
        <v>-4</v>
      </c>
      <c r="J127">
        <v>1.18</v>
      </c>
      <c r="K127">
        <v>22.862006000000001</v>
      </c>
      <c r="L127">
        <v>0.28940742483180121</v>
      </c>
      <c r="M127">
        <v>-1.509551976241879</v>
      </c>
      <c r="N127">
        <v>-0.2374122011351803</v>
      </c>
      <c r="O127">
        <v>-5.5720858881131811E-2</v>
      </c>
    </row>
    <row r="128" spans="1:15" x14ac:dyDescent="0.25">
      <c r="A128">
        <v>134.43222025</v>
      </c>
      <c r="B128">
        <v>-100.96986025</v>
      </c>
      <c r="C128">
        <v>114.16983399999999</v>
      </c>
      <c r="D128">
        <v>311.78859699999998</v>
      </c>
      <c r="E128">
        <v>267.648819</v>
      </c>
      <c r="F128">
        <v>7.0166155000000003</v>
      </c>
      <c r="G128">
        <v>328.45220174999997</v>
      </c>
      <c r="H128">
        <v>-24</v>
      </c>
      <c r="I128">
        <v>0</v>
      </c>
      <c r="J128">
        <v>1.18</v>
      </c>
      <c r="K128">
        <v>23.3410695</v>
      </c>
      <c r="L128">
        <v>7.7613428562495201E-2</v>
      </c>
      <c r="M128">
        <v>-1.5811578411948799</v>
      </c>
      <c r="N128">
        <v>-0.23292242082818301</v>
      </c>
      <c r="O128">
        <v>-1.5965813859275381E-3</v>
      </c>
    </row>
    <row r="129" spans="1:15" x14ac:dyDescent="0.25">
      <c r="A129">
        <v>106.99523725</v>
      </c>
      <c r="B129">
        <v>-106.965687</v>
      </c>
      <c r="C129">
        <v>148.62854024999999</v>
      </c>
      <c r="D129">
        <v>323.26804349999998</v>
      </c>
      <c r="E129">
        <v>276.81333124999998</v>
      </c>
      <c r="F129">
        <v>7.3577015000000001</v>
      </c>
      <c r="G129">
        <v>340.09546675000001</v>
      </c>
      <c r="H129">
        <v>-24</v>
      </c>
      <c r="I129">
        <v>4</v>
      </c>
      <c r="J129">
        <v>1.18</v>
      </c>
      <c r="K129">
        <v>23.747861749999998</v>
      </c>
      <c r="L129">
        <v>-0.15031920937900381</v>
      </c>
      <c r="M129">
        <v>-1.554362457775923</v>
      </c>
      <c r="N129">
        <v>-0.2286715629471448</v>
      </c>
      <c r="O129">
        <v>-2.6471728642890258E-2</v>
      </c>
    </row>
    <row r="130" spans="1:15" x14ac:dyDescent="0.25">
      <c r="A130">
        <v>67.238672249999993</v>
      </c>
      <c r="B130">
        <v>-101.83325775</v>
      </c>
      <c r="C130">
        <v>161.86104975000001</v>
      </c>
      <c r="D130">
        <v>293.12351999999998</v>
      </c>
      <c r="E130">
        <v>247.352745</v>
      </c>
      <c r="F130">
        <v>6.6755297499999999</v>
      </c>
      <c r="G130">
        <v>310.24709324999998</v>
      </c>
      <c r="H130">
        <v>-24</v>
      </c>
      <c r="I130">
        <v>8</v>
      </c>
      <c r="J130">
        <v>1.18</v>
      </c>
      <c r="K130">
        <v>22.683188000000001</v>
      </c>
      <c r="L130">
        <v>-0.3575482911114799</v>
      </c>
      <c r="M130">
        <v>-1.4923769453208311</v>
      </c>
      <c r="N130">
        <v>-0.2376770803891835</v>
      </c>
      <c r="O130">
        <v>-9.0584751725936885E-2</v>
      </c>
    </row>
    <row r="131" spans="1:15" x14ac:dyDescent="0.25">
      <c r="A131">
        <v>33.077816499999997</v>
      </c>
      <c r="B131">
        <v>-97.324388749999997</v>
      </c>
      <c r="C131">
        <v>175.00321975</v>
      </c>
      <c r="D131">
        <v>271.06702424999997</v>
      </c>
      <c r="E131">
        <v>224.82142625</v>
      </c>
      <c r="F131">
        <v>6.23699125</v>
      </c>
      <c r="G131">
        <v>290.76161975000002</v>
      </c>
      <c r="H131">
        <v>-24</v>
      </c>
      <c r="I131">
        <v>12</v>
      </c>
      <c r="J131">
        <v>1.18</v>
      </c>
      <c r="K131">
        <v>21.96006525</v>
      </c>
      <c r="L131">
        <v>-0.55233628674321467</v>
      </c>
      <c r="M131">
        <v>-1.4337472220069261</v>
      </c>
      <c r="N131">
        <v>-0.25663906404360948</v>
      </c>
      <c r="O131">
        <v>-0.1492826032286583</v>
      </c>
    </row>
    <row r="132" spans="1:15" x14ac:dyDescent="0.25">
      <c r="A132">
        <v>-1.4414197500000001</v>
      </c>
      <c r="B132">
        <v>-93.151287249999996</v>
      </c>
      <c r="C132">
        <v>183.9453125</v>
      </c>
      <c r="D132">
        <v>248.73862449999999</v>
      </c>
      <c r="E132">
        <v>201.26190174999999</v>
      </c>
      <c r="F132">
        <v>5.8959054999999996</v>
      </c>
      <c r="G132">
        <v>275.27727525</v>
      </c>
      <c r="H132">
        <v>-24</v>
      </c>
      <c r="I132">
        <v>16</v>
      </c>
      <c r="J132">
        <v>1.18</v>
      </c>
      <c r="K132">
        <v>21.367688999999999</v>
      </c>
      <c r="L132">
        <v>-0.74584716607561885</v>
      </c>
      <c r="M132">
        <v>-1.375481769436526</v>
      </c>
      <c r="N132">
        <v>-0.2977801710037562</v>
      </c>
      <c r="O132">
        <v>-0.2139902454584636</v>
      </c>
    </row>
    <row r="133" spans="1:15" x14ac:dyDescent="0.25">
      <c r="A133">
        <v>-40.542378499999998</v>
      </c>
      <c r="B133">
        <v>-99.243059249999988</v>
      </c>
      <c r="C133">
        <v>196.00360850000001</v>
      </c>
      <c r="D133">
        <v>236.08974449999999</v>
      </c>
      <c r="E133">
        <v>184.36341125000001</v>
      </c>
      <c r="F133">
        <v>6.0420850000000002</v>
      </c>
      <c r="G133">
        <v>270.7960205</v>
      </c>
      <c r="H133">
        <v>-24</v>
      </c>
      <c r="I133">
        <v>20</v>
      </c>
      <c r="J133">
        <v>1.18</v>
      </c>
      <c r="K133">
        <v>21.18334175</v>
      </c>
      <c r="L133">
        <v>-0.93034987134496994</v>
      </c>
      <c r="M133">
        <v>-1.318871979377402</v>
      </c>
      <c r="N133">
        <v>-0.33994704085702487</v>
      </c>
      <c r="O133">
        <v>-0.29865515683160221</v>
      </c>
    </row>
    <row r="134" spans="1:15" x14ac:dyDescent="0.25">
      <c r="A134">
        <v>-89.553418999999991</v>
      </c>
      <c r="B134">
        <v>-122.315029</v>
      </c>
      <c r="C134">
        <v>224.32025525</v>
      </c>
      <c r="D134">
        <v>240.150902</v>
      </c>
      <c r="E134">
        <v>178.81999575</v>
      </c>
      <c r="F134">
        <v>6.23699125</v>
      </c>
      <c r="G134">
        <v>291.52183550000001</v>
      </c>
      <c r="H134">
        <v>-24</v>
      </c>
      <c r="I134">
        <v>24</v>
      </c>
      <c r="J134">
        <v>1.18</v>
      </c>
      <c r="K134">
        <v>21.989374250000001</v>
      </c>
      <c r="L134">
        <v>-1.1022656173189509</v>
      </c>
      <c r="M134">
        <v>-1.2729021387167889</v>
      </c>
      <c r="N134">
        <v>-0.39578396388599518</v>
      </c>
      <c r="O134">
        <v>-0.39392063661126842</v>
      </c>
    </row>
    <row r="135" spans="1:15" x14ac:dyDescent="0.25">
      <c r="A135">
        <v>-145.25045025</v>
      </c>
      <c r="B135">
        <v>-157.23475999999999</v>
      </c>
      <c r="C135">
        <v>248.39167399999999</v>
      </c>
      <c r="D135">
        <v>238.39825074999999</v>
      </c>
      <c r="E135">
        <v>163.44148250000001</v>
      </c>
      <c r="F135">
        <v>6.48062425</v>
      </c>
      <c r="G135">
        <v>309.24681874999999</v>
      </c>
      <c r="H135">
        <v>-24</v>
      </c>
      <c r="I135">
        <v>28</v>
      </c>
      <c r="J135">
        <v>1.18</v>
      </c>
      <c r="K135">
        <v>22.65309225</v>
      </c>
      <c r="L135">
        <v>-1.2509242682746311</v>
      </c>
      <c r="M135">
        <v>-1.257236869695475</v>
      </c>
      <c r="N135">
        <v>-0.46335932119757262</v>
      </c>
      <c r="O135">
        <v>-0.50120795433576715</v>
      </c>
    </row>
    <row r="136" spans="1:15" x14ac:dyDescent="0.25">
      <c r="A136">
        <v>-200.47196199999999</v>
      </c>
      <c r="B136">
        <v>-202.41938049999999</v>
      </c>
      <c r="C136">
        <v>265.10166175000001</v>
      </c>
      <c r="D136">
        <v>227.99958025000001</v>
      </c>
      <c r="E136">
        <v>135.36674099999999</v>
      </c>
      <c r="F136">
        <v>6.6268035000000003</v>
      </c>
      <c r="G136">
        <v>322.90934774999999</v>
      </c>
      <c r="H136">
        <v>-24</v>
      </c>
      <c r="I136">
        <v>32</v>
      </c>
      <c r="J136">
        <v>1.18</v>
      </c>
      <c r="K136">
        <v>23.153224250000001</v>
      </c>
      <c r="L136">
        <v>-1.382328632690766</v>
      </c>
      <c r="M136">
        <v>-1.277962413078829</v>
      </c>
      <c r="N136">
        <v>-0.55688476379001506</v>
      </c>
      <c r="O136">
        <v>-0.61778468051696911</v>
      </c>
    </row>
    <row r="137" spans="1:15" x14ac:dyDescent="0.25">
      <c r="A137">
        <v>-260.31540675000002</v>
      </c>
      <c r="B137">
        <v>-253.12016324999999</v>
      </c>
      <c r="C137">
        <v>278.92128749999989</v>
      </c>
      <c r="D137">
        <v>214.4751665</v>
      </c>
      <c r="E137">
        <v>97.993368000000004</v>
      </c>
      <c r="F137">
        <v>7.406428</v>
      </c>
      <c r="G137">
        <v>336.81455975</v>
      </c>
      <c r="H137">
        <v>-24</v>
      </c>
      <c r="I137">
        <v>36</v>
      </c>
      <c r="J137">
        <v>1.18</v>
      </c>
      <c r="K137">
        <v>23.628760499999999</v>
      </c>
      <c r="L137">
        <v>-1.5202166338388441</v>
      </c>
      <c r="M137">
        <v>-1.31826743173651</v>
      </c>
      <c r="N137">
        <v>-0.6733068318398554</v>
      </c>
      <c r="O137">
        <v>-0.74462821945879276</v>
      </c>
    </row>
    <row r="138" spans="1:15" x14ac:dyDescent="0.25">
      <c r="A138">
        <v>-293.57106025000002</v>
      </c>
      <c r="B138">
        <v>-282.955421</v>
      </c>
      <c r="C138">
        <v>266.77264374999999</v>
      </c>
      <c r="D138">
        <v>179.72973625</v>
      </c>
      <c r="E138">
        <v>48.549643500000002</v>
      </c>
      <c r="F138">
        <v>6.7729832500000002</v>
      </c>
      <c r="G138">
        <v>321.58898175000002</v>
      </c>
      <c r="H138">
        <v>-24</v>
      </c>
      <c r="I138">
        <v>40</v>
      </c>
      <c r="J138">
        <v>1.18</v>
      </c>
      <c r="K138">
        <v>23.099456750000002</v>
      </c>
      <c r="L138">
        <v>-1.663663864571522</v>
      </c>
      <c r="M138">
        <v>-1.3737292700553301</v>
      </c>
      <c r="N138">
        <v>-0.8106645482511301</v>
      </c>
      <c r="O138">
        <v>-0.8759718641106411</v>
      </c>
    </row>
    <row r="139" spans="1:15" x14ac:dyDescent="0.25">
      <c r="A139">
        <v>-310.14853675000001</v>
      </c>
      <c r="B139">
        <v>-301.32666775000001</v>
      </c>
      <c r="C139">
        <v>245.54645149999999</v>
      </c>
      <c r="D139">
        <v>140.07710274999999</v>
      </c>
      <c r="E139">
        <v>-3.1220585000000001</v>
      </c>
      <c r="F139">
        <v>6.3344445</v>
      </c>
      <c r="G139">
        <v>298.80388625000001</v>
      </c>
      <c r="H139">
        <v>-24</v>
      </c>
      <c r="I139">
        <v>44</v>
      </c>
      <c r="J139">
        <v>1.18</v>
      </c>
      <c r="K139">
        <v>22.264546500000002</v>
      </c>
      <c r="L139">
        <v>-1.8363318233417689</v>
      </c>
      <c r="M139">
        <v>-1.458655451590986</v>
      </c>
      <c r="N139">
        <v>-0.99776034366739097</v>
      </c>
      <c r="O139">
        <v>-1.0312579921323299</v>
      </c>
    </row>
    <row r="140" spans="1:15" x14ac:dyDescent="0.25">
      <c r="A140">
        <v>238.71986025000001</v>
      </c>
      <c r="B140">
        <v>-274.41735849999998</v>
      </c>
      <c r="C140">
        <v>-290.6888045</v>
      </c>
      <c r="D140">
        <v>87.942604250000002</v>
      </c>
      <c r="E140">
        <v>-42.013967749999999</v>
      </c>
      <c r="F140">
        <v>6.1395379999999999</v>
      </c>
      <c r="G140">
        <v>276.15753174999998</v>
      </c>
      <c r="H140">
        <v>-20</v>
      </c>
      <c r="I140">
        <v>-44</v>
      </c>
      <c r="J140">
        <v>1.18</v>
      </c>
      <c r="K140">
        <v>21.392891500000001</v>
      </c>
      <c r="L140">
        <v>2.2009724050240651</v>
      </c>
      <c r="M140">
        <v>-1.5064554970085411</v>
      </c>
      <c r="N140">
        <v>-1.322774448305122</v>
      </c>
      <c r="O140">
        <v>-1.200209139695243</v>
      </c>
    </row>
    <row r="141" spans="1:15" x14ac:dyDescent="0.25">
      <c r="A141">
        <v>227.618706</v>
      </c>
      <c r="B141">
        <v>-217.24106975000001</v>
      </c>
      <c r="C141">
        <v>-240.17345424999999</v>
      </c>
      <c r="D141">
        <v>111.59713175</v>
      </c>
      <c r="E141">
        <v>9.5668907499999989</v>
      </c>
      <c r="F141">
        <v>5.3599130000000006</v>
      </c>
      <c r="G141">
        <v>259.16780875000001</v>
      </c>
      <c r="H141">
        <v>-20</v>
      </c>
      <c r="I141">
        <v>-40</v>
      </c>
      <c r="J141">
        <v>1.18</v>
      </c>
      <c r="K141">
        <v>20.740841</v>
      </c>
      <c r="L141">
        <v>1.963270199558395</v>
      </c>
      <c r="M141">
        <v>-1.3800768090165521</v>
      </c>
      <c r="N141">
        <v>-1.047557952198005</v>
      </c>
      <c r="O141">
        <v>-0.98234972480377813</v>
      </c>
    </row>
    <row r="142" spans="1:15" x14ac:dyDescent="0.25">
      <c r="A142">
        <v>224.143959</v>
      </c>
      <c r="B142">
        <v>-170.42560950000001</v>
      </c>
      <c r="C142">
        <v>-202.55756375000001</v>
      </c>
      <c r="D142">
        <v>133.77617649999999</v>
      </c>
      <c r="E142">
        <v>51.991929249999998</v>
      </c>
      <c r="F142">
        <v>5.1162805000000002</v>
      </c>
      <c r="G142">
        <v>253.03103999999999</v>
      </c>
      <c r="H142">
        <v>-20</v>
      </c>
      <c r="I142">
        <v>-36</v>
      </c>
      <c r="J142">
        <v>1.18</v>
      </c>
      <c r="K142">
        <v>20.498611</v>
      </c>
      <c r="L142">
        <v>1.789225933892969</v>
      </c>
      <c r="M142">
        <v>-1.275557502795841</v>
      </c>
      <c r="N142">
        <v>-0.84300105408836867</v>
      </c>
      <c r="O142">
        <v>-0.80344098730843672</v>
      </c>
    </row>
    <row r="143" spans="1:15" x14ac:dyDescent="0.25">
      <c r="A143">
        <v>241.74335074999999</v>
      </c>
      <c r="B143">
        <v>-148.50483299999999</v>
      </c>
      <c r="C143">
        <v>-182.48673249999999</v>
      </c>
      <c r="D143">
        <v>168.29417824999999</v>
      </c>
      <c r="E143">
        <v>96.831039500000003</v>
      </c>
      <c r="F143">
        <v>5.9933585000000003</v>
      </c>
      <c r="G143">
        <v>273.69266499999998</v>
      </c>
      <c r="H143">
        <v>-20</v>
      </c>
      <c r="I143">
        <v>-32</v>
      </c>
      <c r="J143">
        <v>1.18</v>
      </c>
      <c r="K143">
        <v>21.300868749999999</v>
      </c>
      <c r="L143">
        <v>1.617194932107332</v>
      </c>
      <c r="M143">
        <v>-1.207630730599577</v>
      </c>
      <c r="N143">
        <v>-0.67421156532441029</v>
      </c>
      <c r="O143">
        <v>-0.65372279430453994</v>
      </c>
    </row>
    <row r="144" spans="1:15" x14ac:dyDescent="0.25">
      <c r="A144">
        <v>253.20550950000001</v>
      </c>
      <c r="B144">
        <v>-112.05015375000001</v>
      </c>
      <c r="C144">
        <v>-148.5692785</v>
      </c>
      <c r="D144">
        <v>198.51381699999999</v>
      </c>
      <c r="E144">
        <v>142.16189975</v>
      </c>
      <c r="F144">
        <v>6.23699125</v>
      </c>
      <c r="G144">
        <v>290.83540349999998</v>
      </c>
      <c r="H144">
        <v>-20</v>
      </c>
      <c r="I144">
        <v>-28</v>
      </c>
      <c r="J144">
        <v>1.18</v>
      </c>
      <c r="K144">
        <v>21.962918250000001</v>
      </c>
      <c r="L144">
        <v>1.474544542570674</v>
      </c>
      <c r="M144">
        <v>-1.139804956663421</v>
      </c>
      <c r="N144">
        <v>-0.54565070516253666</v>
      </c>
      <c r="O144">
        <v>-0.50114145361259987</v>
      </c>
    </row>
    <row r="145" spans="1:15" x14ac:dyDescent="0.25">
      <c r="A145">
        <v>260.33551025000003</v>
      </c>
      <c r="B145">
        <v>-72.669517999999997</v>
      </c>
      <c r="C145">
        <v>-110.05131900000001</v>
      </c>
      <c r="D145">
        <v>227.83900075</v>
      </c>
      <c r="E145">
        <v>185.92808925</v>
      </c>
      <c r="F145">
        <v>6.48062425</v>
      </c>
      <c r="G145">
        <v>307.16622174999998</v>
      </c>
      <c r="H145">
        <v>-20</v>
      </c>
      <c r="I145">
        <v>-24</v>
      </c>
      <c r="J145">
        <v>1.18</v>
      </c>
      <c r="K145">
        <v>22.575123999999999</v>
      </c>
      <c r="L145">
        <v>1.335781389562694</v>
      </c>
      <c r="M145">
        <v>-1.083731994468929</v>
      </c>
      <c r="N145">
        <v>-0.4372562838813403</v>
      </c>
      <c r="O145">
        <v>-0.35286080255276309</v>
      </c>
    </row>
    <row r="146" spans="1:15" x14ac:dyDescent="0.25">
      <c r="A146">
        <v>260.51602174999999</v>
      </c>
      <c r="B146">
        <v>-52.859280249999998</v>
      </c>
      <c r="C146">
        <v>-63.640325500000003</v>
      </c>
      <c r="D146">
        <v>256.02315149999998</v>
      </c>
      <c r="E146">
        <v>223.88262574999999</v>
      </c>
      <c r="F146">
        <v>6.9678892500000007</v>
      </c>
      <c r="G146">
        <v>321.24746725</v>
      </c>
      <c r="H146">
        <v>-20</v>
      </c>
      <c r="I146">
        <v>-20</v>
      </c>
      <c r="J146">
        <v>1.18</v>
      </c>
      <c r="K146">
        <v>23.079795749999999</v>
      </c>
      <c r="L146">
        <v>1.1489545395990439</v>
      </c>
      <c r="M146">
        <v>-1.094783480846542</v>
      </c>
      <c r="N146">
        <v>-0.34509464067492901</v>
      </c>
      <c r="O146">
        <v>-0.23113803816362941</v>
      </c>
    </row>
    <row r="147" spans="1:15" x14ac:dyDescent="0.25">
      <c r="A147">
        <v>254.87519449999999</v>
      </c>
      <c r="B147">
        <v>-39.236742999999997</v>
      </c>
      <c r="C147">
        <v>-13.891723000000001</v>
      </c>
      <c r="D147">
        <v>281.18779749999999</v>
      </c>
      <c r="E147">
        <v>257.72431175000003</v>
      </c>
      <c r="F147">
        <v>7.06534175</v>
      </c>
      <c r="G147">
        <v>333.9130705</v>
      </c>
      <c r="H147">
        <v>-20</v>
      </c>
      <c r="I147">
        <v>-16</v>
      </c>
      <c r="J147">
        <v>1.18</v>
      </c>
      <c r="K147">
        <v>23.536757000000001</v>
      </c>
      <c r="L147">
        <v>0.9454121618174488</v>
      </c>
      <c r="M147">
        <v>-1.1271044698091079</v>
      </c>
      <c r="N147">
        <v>-0.2680010682781917</v>
      </c>
      <c r="O147">
        <v>-0.1182961072382359</v>
      </c>
    </row>
    <row r="148" spans="1:15" x14ac:dyDescent="0.25">
      <c r="A148">
        <v>237.41119375</v>
      </c>
      <c r="B148">
        <v>-36.886376249999998</v>
      </c>
      <c r="C148">
        <v>32.426394999999999</v>
      </c>
      <c r="D148">
        <v>291.43984975000001</v>
      </c>
      <c r="E148">
        <v>273.9969175</v>
      </c>
      <c r="F148">
        <v>7.0166155000000003</v>
      </c>
      <c r="G148">
        <v>332.95288849999997</v>
      </c>
      <c r="H148">
        <v>-20</v>
      </c>
      <c r="I148">
        <v>-12</v>
      </c>
      <c r="J148">
        <v>1.18</v>
      </c>
      <c r="K148">
        <v>23.503881249999999</v>
      </c>
      <c r="L148">
        <v>0.7420771012125188</v>
      </c>
      <c r="M148">
        <v>-1.188613630124761</v>
      </c>
      <c r="N148">
        <v>-0.2134226773410739</v>
      </c>
      <c r="O148">
        <v>-3.3465758095989208E-2</v>
      </c>
    </row>
    <row r="149" spans="1:15" x14ac:dyDescent="0.25">
      <c r="A149">
        <v>198.51203924999999</v>
      </c>
      <c r="B149">
        <v>-38.709110249999988</v>
      </c>
      <c r="C149">
        <v>66.568956499999999</v>
      </c>
      <c r="D149">
        <v>273.18753049999998</v>
      </c>
      <c r="E149">
        <v>261.52423850000002</v>
      </c>
      <c r="F149">
        <v>6.6755297499999999</v>
      </c>
      <c r="G149">
        <v>305.22336575000003</v>
      </c>
      <c r="H149">
        <v>-20</v>
      </c>
      <c r="I149">
        <v>-8</v>
      </c>
      <c r="J149">
        <v>1.18</v>
      </c>
      <c r="K149">
        <v>22.494713999999998</v>
      </c>
      <c r="L149">
        <v>0.53289813899481031</v>
      </c>
      <c r="M149">
        <v>-1.259713957017095</v>
      </c>
      <c r="N149">
        <v>-0.17650240371131529</v>
      </c>
      <c r="O149">
        <v>2.930038104066765E-2</v>
      </c>
    </row>
    <row r="150" spans="1:15" x14ac:dyDescent="0.25">
      <c r="A150">
        <v>161.23744224999999</v>
      </c>
      <c r="B150">
        <v>-43.697643999999997</v>
      </c>
      <c r="C150">
        <v>93.259777249999999</v>
      </c>
      <c r="D150">
        <v>260.97361000000001</v>
      </c>
      <c r="E150">
        <v>253.43262100000001</v>
      </c>
      <c r="F150">
        <v>6.0908115</v>
      </c>
      <c r="G150">
        <v>286.79383100000001</v>
      </c>
      <c r="H150">
        <v>-20</v>
      </c>
      <c r="I150">
        <v>-4</v>
      </c>
      <c r="J150">
        <v>1.18</v>
      </c>
      <c r="K150">
        <v>21.812092750000001</v>
      </c>
      <c r="L150">
        <v>0.29728169981962121</v>
      </c>
      <c r="M150">
        <v>-1.3324708951329289</v>
      </c>
      <c r="N150">
        <v>-0.14590125937553161</v>
      </c>
      <c r="O150">
        <v>8.1750242376873991E-2</v>
      </c>
    </row>
    <row r="151" spans="1:15" x14ac:dyDescent="0.25">
      <c r="A151">
        <v>127.21196550000001</v>
      </c>
      <c r="B151">
        <v>-43.745611250000003</v>
      </c>
      <c r="C151">
        <v>112.67948749999999</v>
      </c>
      <c r="D151">
        <v>247.71508424999999</v>
      </c>
      <c r="E151">
        <v>243.15047075000001</v>
      </c>
      <c r="F151">
        <v>5.9933585000000003</v>
      </c>
      <c r="G151">
        <v>270.87604549999998</v>
      </c>
      <c r="H151">
        <v>-20</v>
      </c>
      <c r="I151">
        <v>0</v>
      </c>
      <c r="J151">
        <v>1.18</v>
      </c>
      <c r="K151">
        <v>21.188488249999999</v>
      </c>
      <c r="L151">
        <v>6.9649351270046039E-2</v>
      </c>
      <c r="M151">
        <v>-1.396662158915992</v>
      </c>
      <c r="N151">
        <v>-0.13287773055772731</v>
      </c>
      <c r="O151">
        <v>0.13644524267506189</v>
      </c>
    </row>
    <row r="152" spans="1:15" x14ac:dyDescent="0.25">
      <c r="A152">
        <v>104.423012</v>
      </c>
      <c r="B152">
        <v>-47.439044750000001</v>
      </c>
      <c r="C152">
        <v>139.05417249999999</v>
      </c>
      <c r="D152">
        <v>253.1755905</v>
      </c>
      <c r="E152">
        <v>248.02331899999999</v>
      </c>
      <c r="F152">
        <v>5.8471787499999994</v>
      </c>
      <c r="G152">
        <v>276.06963374999998</v>
      </c>
      <c r="H152">
        <v>-20</v>
      </c>
      <c r="I152">
        <v>4</v>
      </c>
      <c r="J152">
        <v>1.18</v>
      </c>
      <c r="K152">
        <v>21.400995250000001</v>
      </c>
      <c r="L152">
        <v>-0.15770816814817901</v>
      </c>
      <c r="M152">
        <v>-1.3693833953922729</v>
      </c>
      <c r="N152">
        <v>-0.12778132855412941</v>
      </c>
      <c r="O152">
        <v>0.1031540195546852</v>
      </c>
    </row>
    <row r="153" spans="1:15" x14ac:dyDescent="0.25">
      <c r="A153">
        <v>81.859702999999996</v>
      </c>
      <c r="B153">
        <v>-55.545417499999999</v>
      </c>
      <c r="C153">
        <v>172.42897825</v>
      </c>
      <c r="D153">
        <v>268.859329</v>
      </c>
      <c r="E153">
        <v>260.6301345</v>
      </c>
      <c r="F153">
        <v>6.1882647500000001</v>
      </c>
      <c r="G153">
        <v>295.82026674999997</v>
      </c>
      <c r="H153">
        <v>-20</v>
      </c>
      <c r="I153">
        <v>8</v>
      </c>
      <c r="J153">
        <v>1.18</v>
      </c>
      <c r="K153">
        <v>22.15627825</v>
      </c>
      <c r="L153">
        <v>-0.36597408154721189</v>
      </c>
      <c r="M153">
        <v>-1.3108721582308589</v>
      </c>
      <c r="N153">
        <v>-0.14220946703426651</v>
      </c>
      <c r="O153">
        <v>2.8157136142373761E-2</v>
      </c>
    </row>
    <row r="154" spans="1:15" x14ac:dyDescent="0.25">
      <c r="A154">
        <v>51.39922825</v>
      </c>
      <c r="B154">
        <v>-60.581916999999997</v>
      </c>
      <c r="C154">
        <v>206.1650885</v>
      </c>
      <c r="D154">
        <v>278.64680475</v>
      </c>
      <c r="E154">
        <v>266.48648050000003</v>
      </c>
      <c r="F154">
        <v>6.6755302500000004</v>
      </c>
      <c r="G154">
        <v>312.52773274999998</v>
      </c>
      <c r="H154">
        <v>-20</v>
      </c>
      <c r="I154">
        <v>12</v>
      </c>
      <c r="J154">
        <v>1.18</v>
      </c>
      <c r="K154">
        <v>22.768250500000001</v>
      </c>
      <c r="L154">
        <v>-0.570915481328921</v>
      </c>
      <c r="M154">
        <v>-1.2513914366773899</v>
      </c>
      <c r="N154">
        <v>-0.16984548526646259</v>
      </c>
      <c r="O154">
        <v>-4.1542070373023578E-2</v>
      </c>
    </row>
    <row r="155" spans="1:15" x14ac:dyDescent="0.25">
      <c r="A155">
        <v>12.454947499999999</v>
      </c>
      <c r="B155">
        <v>-60.581915000000002</v>
      </c>
      <c r="C155">
        <v>237.23662175000001</v>
      </c>
      <c r="D155">
        <v>280.1623305</v>
      </c>
      <c r="E155">
        <v>263.62537374999999</v>
      </c>
      <c r="F155">
        <v>6.9678887500000002</v>
      </c>
      <c r="G155">
        <v>325.72924024999998</v>
      </c>
      <c r="H155">
        <v>-20</v>
      </c>
      <c r="I155">
        <v>16</v>
      </c>
      <c r="J155">
        <v>1.18</v>
      </c>
      <c r="K155">
        <v>23.243781999999999</v>
      </c>
      <c r="L155">
        <v>-0.78134258820896074</v>
      </c>
      <c r="M155">
        <v>-1.184443175662228</v>
      </c>
      <c r="N155">
        <v>-0.215898532571977</v>
      </c>
      <c r="O155">
        <v>-0.1078739183254278</v>
      </c>
    </row>
    <row r="156" spans="1:15" x14ac:dyDescent="0.25">
      <c r="A156">
        <v>-38.197329500000002</v>
      </c>
      <c r="B156">
        <v>-72.189850250000006</v>
      </c>
      <c r="C156">
        <v>267.94686875000002</v>
      </c>
      <c r="D156">
        <v>280.31969475</v>
      </c>
      <c r="E156">
        <v>257.76902000000001</v>
      </c>
      <c r="F156">
        <v>7.3089750000000002</v>
      </c>
      <c r="G156">
        <v>339.69421399999999</v>
      </c>
      <c r="H156">
        <v>-20</v>
      </c>
      <c r="I156">
        <v>20</v>
      </c>
      <c r="J156">
        <v>1.18</v>
      </c>
      <c r="K156">
        <v>23.735297750000001</v>
      </c>
      <c r="L156">
        <v>-0.97821951312957434</v>
      </c>
      <c r="M156">
        <v>-1.126360688469112</v>
      </c>
      <c r="N156">
        <v>-0.26177967352866938</v>
      </c>
      <c r="O156">
        <v>-0.19971521487371879</v>
      </c>
    </row>
    <row r="157" spans="1:15" x14ac:dyDescent="0.25">
      <c r="A157">
        <v>-84.052146749999991</v>
      </c>
      <c r="B157">
        <v>-82.55065725</v>
      </c>
      <c r="C157">
        <v>265.64360049999999</v>
      </c>
      <c r="D157">
        <v>246.76367974999999</v>
      </c>
      <c r="E157">
        <v>221.24503350000001</v>
      </c>
      <c r="F157">
        <v>6.7729827499999997</v>
      </c>
      <c r="G157">
        <v>320.00685125000001</v>
      </c>
      <c r="H157">
        <v>-20</v>
      </c>
      <c r="I157">
        <v>24</v>
      </c>
      <c r="J157">
        <v>1.18</v>
      </c>
      <c r="K157">
        <v>23.041342499999999</v>
      </c>
      <c r="L157">
        <v>-1.1482655161095821</v>
      </c>
      <c r="M157">
        <v>-1.0813293438729901</v>
      </c>
      <c r="N157">
        <v>-0.32430944787545679</v>
      </c>
      <c r="O157">
        <v>-0.29576445458428391</v>
      </c>
    </row>
    <row r="158" spans="1:15" x14ac:dyDescent="0.25">
      <c r="A158">
        <v>-122.74496425</v>
      </c>
      <c r="B158">
        <v>-100.63409249999999</v>
      </c>
      <c r="C158">
        <v>256.52085499999998</v>
      </c>
      <c r="D158">
        <v>214.98740000000001</v>
      </c>
      <c r="E158">
        <v>180.29525749999999</v>
      </c>
      <c r="F158">
        <v>6.5780767500000001</v>
      </c>
      <c r="G158">
        <v>298.31829075000002</v>
      </c>
      <c r="H158">
        <v>-20</v>
      </c>
      <c r="I158">
        <v>28</v>
      </c>
      <c r="J158">
        <v>1.18</v>
      </c>
      <c r="K158">
        <v>22.236777499999999</v>
      </c>
      <c r="L158">
        <v>-1.2989300413153251</v>
      </c>
      <c r="M158">
        <v>-1.0809605536372739</v>
      </c>
      <c r="N158">
        <v>-0.40423096634324179</v>
      </c>
      <c r="O158">
        <v>-0.40504760140494328</v>
      </c>
    </row>
    <row r="159" spans="1:15" x14ac:dyDescent="0.25">
      <c r="A159">
        <v>-157.51895149999999</v>
      </c>
      <c r="B159">
        <v>-127.687298</v>
      </c>
      <c r="C159">
        <v>249.15943150000001</v>
      </c>
      <c r="D159">
        <v>184.68943400000001</v>
      </c>
      <c r="E159">
        <v>139.56900775</v>
      </c>
      <c r="F159">
        <v>5.9933584999999994</v>
      </c>
      <c r="G159">
        <v>282.39206675000003</v>
      </c>
      <c r="H159">
        <v>-20</v>
      </c>
      <c r="I159">
        <v>32</v>
      </c>
      <c r="J159">
        <v>1.18</v>
      </c>
      <c r="K159">
        <v>21.644209249999999</v>
      </c>
      <c r="L159">
        <v>-1.4412591088382061</v>
      </c>
      <c r="M159">
        <v>-1.1070348524098499</v>
      </c>
      <c r="N159">
        <v>-0.50618204267869604</v>
      </c>
      <c r="O159">
        <v>-0.52661554252070564</v>
      </c>
    </row>
    <row r="160" spans="1:15" x14ac:dyDescent="0.25">
      <c r="A160">
        <v>-189.51258075000001</v>
      </c>
      <c r="B160">
        <v>-156.56323225</v>
      </c>
      <c r="C160">
        <v>237.23662974999999</v>
      </c>
      <c r="D160">
        <v>155.17354574999999</v>
      </c>
      <c r="E160">
        <v>95.266361249999989</v>
      </c>
      <c r="F160">
        <v>5.8471787499999994</v>
      </c>
      <c r="G160">
        <v>266.46572099999997</v>
      </c>
      <c r="H160">
        <v>-20</v>
      </c>
      <c r="I160">
        <v>36</v>
      </c>
      <c r="J160">
        <v>1.18</v>
      </c>
      <c r="K160">
        <v>21.017267</v>
      </c>
      <c r="L160">
        <v>-1.590559565133381</v>
      </c>
      <c r="M160">
        <v>-1.161881255771799</v>
      </c>
      <c r="N160">
        <v>-0.63809083486151907</v>
      </c>
      <c r="O160">
        <v>-0.66673021914408748</v>
      </c>
    </row>
    <row r="161" spans="1:15" x14ac:dyDescent="0.25">
      <c r="A161">
        <v>-235.956177</v>
      </c>
      <c r="B161">
        <v>-201.028347</v>
      </c>
      <c r="C161">
        <v>248.07553100000001</v>
      </c>
      <c r="D161">
        <v>138.30684274999999</v>
      </c>
      <c r="E161">
        <v>55.791854999999998</v>
      </c>
      <c r="F161">
        <v>5.9446320000000004</v>
      </c>
      <c r="G161">
        <v>278.64672849999999</v>
      </c>
      <c r="H161">
        <v>-20</v>
      </c>
      <c r="I161">
        <v>40</v>
      </c>
      <c r="J161">
        <v>1.18</v>
      </c>
      <c r="K161">
        <v>21.498979500000001</v>
      </c>
      <c r="L161">
        <v>-1.76472810113412</v>
      </c>
      <c r="M161">
        <v>-1.2371893564452681</v>
      </c>
      <c r="N161">
        <v>-0.81252934569319057</v>
      </c>
      <c r="O161">
        <v>-0.81827285540976602</v>
      </c>
    </row>
    <row r="162" spans="1:15" x14ac:dyDescent="0.25">
      <c r="A162">
        <v>-297.12973775</v>
      </c>
      <c r="B162">
        <v>-257.77293400000002</v>
      </c>
      <c r="C162">
        <v>261.48869300000001</v>
      </c>
      <c r="D162">
        <v>118.85538099999999</v>
      </c>
      <c r="E162">
        <v>6.7504767499999998</v>
      </c>
      <c r="F162">
        <v>6.0908115</v>
      </c>
      <c r="G162">
        <v>296.07743075000002</v>
      </c>
      <c r="H162">
        <v>-20</v>
      </c>
      <c r="I162">
        <v>44</v>
      </c>
      <c r="J162">
        <v>1.18</v>
      </c>
      <c r="K162">
        <v>22.169827250000001</v>
      </c>
      <c r="L162">
        <v>-1.965594155774925</v>
      </c>
      <c r="M162">
        <v>-1.325209615045398</v>
      </c>
      <c r="N162">
        <v>-1.018042808859456</v>
      </c>
      <c r="O162">
        <v>-0.9976756295933803</v>
      </c>
    </row>
    <row r="163" spans="1:15" x14ac:dyDescent="0.25">
      <c r="A163">
        <v>291.38263699999999</v>
      </c>
      <c r="B163">
        <v>-268.32557674999998</v>
      </c>
      <c r="C163">
        <v>-329.8833085</v>
      </c>
      <c r="D163">
        <v>68.220207250000001</v>
      </c>
      <c r="E163">
        <v>-41.255753249999998</v>
      </c>
      <c r="F163">
        <v>6.7729827499999997</v>
      </c>
      <c r="G163">
        <v>315.90701274999998</v>
      </c>
      <c r="H163">
        <v>-16</v>
      </c>
      <c r="I163">
        <v>-44</v>
      </c>
      <c r="J163">
        <v>1.18</v>
      </c>
      <c r="K163">
        <v>22.890075</v>
      </c>
      <c r="L163">
        <v>2.4094125692250139</v>
      </c>
      <c r="M163">
        <v>-1.3052061972757989</v>
      </c>
      <c r="N163">
        <v>-1.385172902456884</v>
      </c>
      <c r="O163">
        <v>-1.1862571911981949</v>
      </c>
    </row>
    <row r="164" spans="1:15" x14ac:dyDescent="0.25">
      <c r="A164">
        <v>307.49284349999999</v>
      </c>
      <c r="B164">
        <v>-227.69781125</v>
      </c>
      <c r="C164">
        <v>-305.93361650000003</v>
      </c>
      <c r="D164">
        <v>109.39946550000001</v>
      </c>
      <c r="E164">
        <v>21.011368999999998</v>
      </c>
      <c r="F164">
        <v>7.0166155000000003</v>
      </c>
      <c r="G164">
        <v>330.3102035</v>
      </c>
      <c r="H164">
        <v>-16</v>
      </c>
      <c r="I164">
        <v>-40</v>
      </c>
      <c r="J164">
        <v>1.18</v>
      </c>
      <c r="K164">
        <v>23.408431749999998</v>
      </c>
      <c r="L164">
        <v>2.1312291309072822</v>
      </c>
      <c r="M164">
        <v>-1.171187196585032</v>
      </c>
      <c r="N164">
        <v>-1.0746033089056819</v>
      </c>
      <c r="O164">
        <v>-0.95137650873534618</v>
      </c>
    </row>
    <row r="165" spans="1:15" x14ac:dyDescent="0.25">
      <c r="A165">
        <v>321.93337274999999</v>
      </c>
      <c r="B165">
        <v>-185.43917475000001</v>
      </c>
      <c r="C165">
        <v>-273.14374550000002</v>
      </c>
      <c r="D165">
        <v>150.82678225000001</v>
      </c>
      <c r="E165">
        <v>83.196012499999995</v>
      </c>
      <c r="F165">
        <v>7.2115217500000002</v>
      </c>
      <c r="G165">
        <v>342.4958575</v>
      </c>
      <c r="H165">
        <v>-16</v>
      </c>
      <c r="I165">
        <v>-36</v>
      </c>
      <c r="J165">
        <v>1.18</v>
      </c>
      <c r="K165">
        <v>23.83859</v>
      </c>
      <c r="L165">
        <v>1.9043484873972849</v>
      </c>
      <c r="M165">
        <v>-1.076106067562042</v>
      </c>
      <c r="N165">
        <v>-0.82982893023930859</v>
      </c>
      <c r="O165">
        <v>-0.75684503520016011</v>
      </c>
    </row>
    <row r="166" spans="1:15" x14ac:dyDescent="0.25">
      <c r="A166">
        <v>296.61733225</v>
      </c>
      <c r="B166">
        <v>-126.34423074999999</v>
      </c>
      <c r="C166">
        <v>-204.54209524999999</v>
      </c>
      <c r="D166">
        <v>170.76975250000001</v>
      </c>
      <c r="E166">
        <v>128.97392275000001</v>
      </c>
      <c r="F166">
        <v>6.7729827499999997</v>
      </c>
      <c r="G166">
        <v>317.80600750000002</v>
      </c>
      <c r="H166">
        <v>-16</v>
      </c>
      <c r="I166">
        <v>-32</v>
      </c>
      <c r="J166">
        <v>1.18</v>
      </c>
      <c r="K166">
        <v>22.960266499999999</v>
      </c>
      <c r="L166">
        <v>1.702188109564188</v>
      </c>
      <c r="M166">
        <v>-1.0091582620063031</v>
      </c>
      <c r="N166">
        <v>-0.64136655498067552</v>
      </c>
      <c r="O166">
        <v>-0.58492487948776573</v>
      </c>
    </row>
    <row r="167" spans="1:15" x14ac:dyDescent="0.25">
      <c r="A167">
        <v>275.27243025000001</v>
      </c>
      <c r="B167">
        <v>-69.460559750000002</v>
      </c>
      <c r="C167">
        <v>-147.62211625</v>
      </c>
      <c r="D167">
        <v>183.68187699999999</v>
      </c>
      <c r="E167">
        <v>161.78739175000001</v>
      </c>
      <c r="F167">
        <v>6.3831712500000002</v>
      </c>
      <c r="G167">
        <v>297.53529374999999</v>
      </c>
      <c r="H167">
        <v>-16</v>
      </c>
      <c r="I167">
        <v>-28</v>
      </c>
      <c r="J167">
        <v>1.18</v>
      </c>
      <c r="K167">
        <v>22.214340249999999</v>
      </c>
      <c r="L167">
        <v>1.56437692096278</v>
      </c>
      <c r="M167">
        <v>-0.93642785345553614</v>
      </c>
      <c r="N167">
        <v>-0.50216459387440437</v>
      </c>
      <c r="O167">
        <v>-0.42512937819151592</v>
      </c>
    </row>
    <row r="168" spans="1:15" x14ac:dyDescent="0.25">
      <c r="A168">
        <v>250.40766124999999</v>
      </c>
      <c r="B168">
        <v>-21.156217000000002</v>
      </c>
      <c r="C168">
        <v>-95.032014750000002</v>
      </c>
      <c r="D168">
        <v>188.54444100000001</v>
      </c>
      <c r="E168">
        <v>183.20108400000001</v>
      </c>
      <c r="F168">
        <v>6.0420850000000002</v>
      </c>
      <c r="G168">
        <v>277.38225549999999</v>
      </c>
      <c r="H168">
        <v>-16</v>
      </c>
      <c r="I168">
        <v>-24</v>
      </c>
      <c r="J168">
        <v>1.18</v>
      </c>
      <c r="K168">
        <v>21.445234750000001</v>
      </c>
      <c r="L168">
        <v>1.431615559044074</v>
      </c>
      <c r="M168">
        <v>-0.86906304485214392</v>
      </c>
      <c r="N168">
        <v>-0.39031696240402031</v>
      </c>
      <c r="O168">
        <v>-0.26579948883717391</v>
      </c>
    </row>
    <row r="169" spans="1:15" x14ac:dyDescent="0.25">
      <c r="A169">
        <v>229.06276324999999</v>
      </c>
      <c r="B169">
        <v>0.81797425000000001</v>
      </c>
      <c r="C169">
        <v>-48.169999249999996</v>
      </c>
      <c r="D169">
        <v>195.1154555</v>
      </c>
      <c r="E169">
        <v>200.45720675000001</v>
      </c>
      <c r="F169">
        <v>5.7009989999999986</v>
      </c>
      <c r="G169">
        <v>264.08948500000002</v>
      </c>
      <c r="H169">
        <v>-16</v>
      </c>
      <c r="I169">
        <v>-20</v>
      </c>
      <c r="J169">
        <v>1.18</v>
      </c>
      <c r="K169">
        <v>20.927171749999999</v>
      </c>
      <c r="L169">
        <v>1.236896123733922</v>
      </c>
      <c r="M169">
        <v>-0.86688171850261497</v>
      </c>
      <c r="N169">
        <v>-0.28389651440748109</v>
      </c>
      <c r="O169">
        <v>-0.13106012813762949</v>
      </c>
    </row>
    <row r="170" spans="1:15" x14ac:dyDescent="0.25">
      <c r="A170">
        <v>233.57542824999999</v>
      </c>
      <c r="B170">
        <v>15.055540499999999</v>
      </c>
      <c r="C170">
        <v>-7.6675095000000004</v>
      </c>
      <c r="D170">
        <v>221.41370749999999</v>
      </c>
      <c r="E170">
        <v>235.81885500000001</v>
      </c>
      <c r="F170">
        <v>6.1395382500000002</v>
      </c>
      <c r="G170">
        <v>283.65603625</v>
      </c>
      <c r="H170">
        <v>-16</v>
      </c>
      <c r="I170">
        <v>-16</v>
      </c>
      <c r="J170">
        <v>1.18</v>
      </c>
      <c r="K170">
        <v>21.687929</v>
      </c>
      <c r="L170">
        <v>1.039302378026991</v>
      </c>
      <c r="M170">
        <v>-0.88899399127356804</v>
      </c>
      <c r="N170">
        <v>-0.2060982524564649</v>
      </c>
      <c r="O170">
        <v>-1.053540319479071E-2</v>
      </c>
    </row>
    <row r="171" spans="1:15" x14ac:dyDescent="0.25">
      <c r="A171">
        <v>230.01042175000001</v>
      </c>
      <c r="B171">
        <v>16.449346500000001</v>
      </c>
      <c r="C171">
        <v>38.97490225</v>
      </c>
      <c r="D171">
        <v>245.14282625000001</v>
      </c>
      <c r="E171">
        <v>264.65357949999998</v>
      </c>
      <c r="F171">
        <v>6.48062425</v>
      </c>
      <c r="G171">
        <v>300.47929349999998</v>
      </c>
      <c r="H171">
        <v>-16</v>
      </c>
      <c r="I171">
        <v>-12</v>
      </c>
      <c r="J171">
        <v>1.18</v>
      </c>
      <c r="K171">
        <v>22.322681500000002</v>
      </c>
      <c r="L171">
        <v>0.80626167244445524</v>
      </c>
      <c r="M171">
        <v>-0.96518304608503358</v>
      </c>
      <c r="N171">
        <v>-0.15120237656522861</v>
      </c>
      <c r="O171">
        <v>8.9609170436637242E-2</v>
      </c>
    </row>
    <row r="172" spans="1:15" x14ac:dyDescent="0.25">
      <c r="A172">
        <v>218.54825600000001</v>
      </c>
      <c r="B172">
        <v>8.2229109999999999</v>
      </c>
      <c r="C172">
        <v>82.104730750000002</v>
      </c>
      <c r="D172">
        <v>266.65196225</v>
      </c>
      <c r="E172">
        <v>289.33073400000001</v>
      </c>
      <c r="F172">
        <v>6.6755297499999999</v>
      </c>
      <c r="G172">
        <v>316.48554224999998</v>
      </c>
      <c r="H172">
        <v>-16</v>
      </c>
      <c r="I172">
        <v>-8</v>
      </c>
      <c r="J172">
        <v>1.18</v>
      </c>
      <c r="K172">
        <v>22.915084</v>
      </c>
      <c r="L172">
        <v>0.55881762490385234</v>
      </c>
      <c r="M172">
        <v>-1.0584057548763011</v>
      </c>
      <c r="N172">
        <v>-0.11121403908044369</v>
      </c>
      <c r="O172">
        <v>0.15763118011405411</v>
      </c>
    </row>
    <row r="173" spans="1:15" x14ac:dyDescent="0.25">
      <c r="A173">
        <v>199.54994975</v>
      </c>
      <c r="B173">
        <v>-2.3977867499999999</v>
      </c>
      <c r="C173">
        <v>121.486099</v>
      </c>
      <c r="D173">
        <v>283.69280225</v>
      </c>
      <c r="E173">
        <v>309.40327474999998</v>
      </c>
      <c r="F173">
        <v>6.9678887500000002</v>
      </c>
      <c r="G173">
        <v>330.61112200000002</v>
      </c>
      <c r="H173">
        <v>-16</v>
      </c>
      <c r="I173">
        <v>-4</v>
      </c>
      <c r="J173">
        <v>1.18</v>
      </c>
      <c r="K173">
        <v>23.4210885</v>
      </c>
      <c r="L173">
        <v>0.31248687857849339</v>
      </c>
      <c r="M173">
        <v>-1.1449642416074479</v>
      </c>
      <c r="N173">
        <v>-8.4893994171238871E-2</v>
      </c>
      <c r="O173">
        <v>0.21043659824911221</v>
      </c>
    </row>
    <row r="174" spans="1:15" x14ac:dyDescent="0.25">
      <c r="A174">
        <v>173.64726275000001</v>
      </c>
      <c r="B174">
        <v>-9.6426650000000009</v>
      </c>
      <c r="C174">
        <v>157.66096475000001</v>
      </c>
      <c r="D174">
        <v>296.04632574999999</v>
      </c>
      <c r="E174">
        <v>326.39117449999998</v>
      </c>
      <c r="F174">
        <v>7.1140685000000001</v>
      </c>
      <c r="G174">
        <v>342.91597775000002</v>
      </c>
      <c r="H174">
        <v>-16</v>
      </c>
      <c r="I174">
        <v>0</v>
      </c>
      <c r="J174">
        <v>1.18</v>
      </c>
      <c r="K174">
        <v>23.856979750000001</v>
      </c>
      <c r="L174">
        <v>6.3334622746705052E-2</v>
      </c>
      <c r="M174">
        <v>-1.211217657992629</v>
      </c>
      <c r="N174">
        <v>-6.5482596289919065E-2</v>
      </c>
      <c r="O174">
        <v>0.26505549649566967</v>
      </c>
    </row>
    <row r="175" spans="1:15" x14ac:dyDescent="0.25">
      <c r="A175">
        <v>131.63437250000001</v>
      </c>
      <c r="B175">
        <v>-12.567977750000001</v>
      </c>
      <c r="C175">
        <v>172.29349124999999</v>
      </c>
      <c r="D175">
        <v>274.05531350000001</v>
      </c>
      <c r="E175">
        <v>301.35638425000002</v>
      </c>
      <c r="F175">
        <v>6.6755302500000004</v>
      </c>
      <c r="G175">
        <v>316.62406924999999</v>
      </c>
      <c r="H175">
        <v>-16</v>
      </c>
      <c r="I175">
        <v>4</v>
      </c>
      <c r="J175">
        <v>1.18</v>
      </c>
      <c r="K175">
        <v>22.9202035</v>
      </c>
      <c r="L175">
        <v>-0.16812542629711849</v>
      </c>
      <c r="M175">
        <v>-1.1852632601969311</v>
      </c>
      <c r="N175">
        <v>-6.3142213995300678E-2</v>
      </c>
      <c r="O175">
        <v>0.21859291604338341</v>
      </c>
    </row>
    <row r="176" spans="1:15" x14ac:dyDescent="0.25">
      <c r="A176">
        <v>93.366990999999999</v>
      </c>
      <c r="B176">
        <v>-11.17775825</v>
      </c>
      <c r="C176">
        <v>184.66791549999999</v>
      </c>
      <c r="D176">
        <v>252.02049249999999</v>
      </c>
      <c r="E176">
        <v>275.42748225000003</v>
      </c>
      <c r="F176">
        <v>6.23699125</v>
      </c>
      <c r="G176">
        <v>293.81357574999998</v>
      </c>
      <c r="H176">
        <v>-16</v>
      </c>
      <c r="I176">
        <v>8</v>
      </c>
      <c r="J176">
        <v>1.18</v>
      </c>
      <c r="K176">
        <v>22.077522999999999</v>
      </c>
      <c r="L176">
        <v>-0.38961310844786923</v>
      </c>
      <c r="M176">
        <v>-1.123195972053902</v>
      </c>
      <c r="N176">
        <v>-7.8471245257695887E-2</v>
      </c>
      <c r="O176">
        <v>0.1487634825144771</v>
      </c>
    </row>
    <row r="177" spans="1:15" x14ac:dyDescent="0.25">
      <c r="A177">
        <v>54.422713250000001</v>
      </c>
      <c r="B177">
        <v>-7.6756700000000002</v>
      </c>
      <c r="C177">
        <v>196.54555525000001</v>
      </c>
      <c r="D177">
        <v>232.21982575000001</v>
      </c>
      <c r="E177">
        <v>252.046772</v>
      </c>
      <c r="F177">
        <v>5.9446320000000004</v>
      </c>
      <c r="G177">
        <v>277.58235200000001</v>
      </c>
      <c r="H177">
        <v>-16</v>
      </c>
      <c r="I177">
        <v>12</v>
      </c>
      <c r="J177">
        <v>1.18</v>
      </c>
      <c r="K177">
        <v>21.456988500000001</v>
      </c>
      <c r="L177">
        <v>-0.62150341622512417</v>
      </c>
      <c r="M177">
        <v>-1.049105836341083</v>
      </c>
      <c r="N177">
        <v>-0.1116982484332973</v>
      </c>
      <c r="O177">
        <v>7.6216881624768557E-2</v>
      </c>
    </row>
    <row r="178" spans="1:15" x14ac:dyDescent="0.25">
      <c r="A178">
        <v>15.8845715</v>
      </c>
      <c r="B178">
        <v>-5.1811227500000001</v>
      </c>
      <c r="C178">
        <v>205.57798025</v>
      </c>
      <c r="D178">
        <v>213.3390885</v>
      </c>
      <c r="E178">
        <v>230.32015999999999</v>
      </c>
      <c r="F178">
        <v>5.6035455000000001</v>
      </c>
      <c r="G178">
        <v>264.06478099999998</v>
      </c>
      <c r="H178">
        <v>-16</v>
      </c>
      <c r="I178">
        <v>16</v>
      </c>
      <c r="J178">
        <v>1.18</v>
      </c>
      <c r="K178">
        <v>20.93011825</v>
      </c>
      <c r="L178">
        <v>-0.84319584974894513</v>
      </c>
      <c r="M178">
        <v>-0.97134533366921705</v>
      </c>
      <c r="N178">
        <v>-0.150001151429554</v>
      </c>
      <c r="O178">
        <v>-1.1175520710507911E-3</v>
      </c>
    </row>
    <row r="179" spans="1:15" x14ac:dyDescent="0.25">
      <c r="A179">
        <v>-25.089520499999999</v>
      </c>
      <c r="B179">
        <v>-11.0323355</v>
      </c>
      <c r="C179">
        <v>235.9269295</v>
      </c>
      <c r="D179">
        <v>215.83608225</v>
      </c>
      <c r="E179">
        <v>231.61659225</v>
      </c>
      <c r="F179">
        <v>6.0420850000000002</v>
      </c>
      <c r="G179">
        <v>281.40792075000002</v>
      </c>
      <c r="H179">
        <v>-16</v>
      </c>
      <c r="I179">
        <v>20</v>
      </c>
      <c r="J179">
        <v>1.18</v>
      </c>
      <c r="K179">
        <v>21.603722999999999</v>
      </c>
      <c r="L179">
        <v>-1.0454126729161719</v>
      </c>
      <c r="M179">
        <v>-0.90864669767351081</v>
      </c>
      <c r="N179">
        <v>-0.19942179781667871</v>
      </c>
      <c r="O179">
        <v>-9.6536407637254643E-2</v>
      </c>
    </row>
    <row r="180" spans="1:15" x14ac:dyDescent="0.25">
      <c r="A180">
        <v>-75.854132000000007</v>
      </c>
      <c r="B180">
        <v>-25.667503249999999</v>
      </c>
      <c r="C180">
        <v>265.23713674999999</v>
      </c>
      <c r="D180">
        <v>214.65329349999999</v>
      </c>
      <c r="E180">
        <v>226.5649185</v>
      </c>
      <c r="F180">
        <v>6.5780772499999998</v>
      </c>
      <c r="G180">
        <v>299.99384300000003</v>
      </c>
      <c r="H180">
        <v>-16</v>
      </c>
      <c r="I180">
        <v>24</v>
      </c>
      <c r="J180">
        <v>1.18</v>
      </c>
      <c r="K180">
        <v>22.300545499999998</v>
      </c>
      <c r="L180">
        <v>-1.2299270214659721</v>
      </c>
      <c r="M180">
        <v>-0.86656287437453039</v>
      </c>
      <c r="N180">
        <v>-0.26478198054554258</v>
      </c>
      <c r="O180">
        <v>-0.20675333333069629</v>
      </c>
    </row>
    <row r="181" spans="1:15" x14ac:dyDescent="0.25">
      <c r="A181">
        <v>-126.483614</v>
      </c>
      <c r="B181">
        <v>-51.615765749999987</v>
      </c>
      <c r="C181">
        <v>288.81177524999998</v>
      </c>
      <c r="D181">
        <v>208.3889235</v>
      </c>
      <c r="E181">
        <v>208.19116975</v>
      </c>
      <c r="F181">
        <v>6.7729832500000002</v>
      </c>
      <c r="G181">
        <v>316.28219625000003</v>
      </c>
      <c r="H181">
        <v>-16</v>
      </c>
      <c r="I181">
        <v>28</v>
      </c>
      <c r="J181">
        <v>1.18</v>
      </c>
      <c r="K181">
        <v>22.903967250000001</v>
      </c>
      <c r="L181">
        <v>-1.397141173191317</v>
      </c>
      <c r="M181">
        <v>-0.87474173562640178</v>
      </c>
      <c r="N181">
        <v>-0.36364701094882662</v>
      </c>
      <c r="O181">
        <v>-0.32236604030859939</v>
      </c>
    </row>
    <row r="182" spans="1:15" x14ac:dyDescent="0.25">
      <c r="A182">
        <v>-177.38336175000001</v>
      </c>
      <c r="B182">
        <v>-97.481996500000008</v>
      </c>
      <c r="C182">
        <v>305.88306399999999</v>
      </c>
      <c r="D182">
        <v>195.99158875000001</v>
      </c>
      <c r="E182">
        <v>176.04828674999999</v>
      </c>
      <c r="F182">
        <v>6.8217100000000004</v>
      </c>
      <c r="G182">
        <v>329.30979150000002</v>
      </c>
      <c r="H182">
        <v>-16</v>
      </c>
      <c r="I182">
        <v>32</v>
      </c>
      <c r="J182">
        <v>1.18</v>
      </c>
      <c r="K182">
        <v>23.379258</v>
      </c>
      <c r="L182">
        <v>-1.541629023749032</v>
      </c>
      <c r="M182">
        <v>-0.93617029173388644</v>
      </c>
      <c r="N182">
        <v>-0.48891347343141361</v>
      </c>
      <c r="O182">
        <v>-0.46016804509898901</v>
      </c>
    </row>
    <row r="183" spans="1:15" x14ac:dyDescent="0.25">
      <c r="A183">
        <v>-232.24698225</v>
      </c>
      <c r="B183">
        <v>-146.98018625</v>
      </c>
      <c r="C183">
        <v>321.28334799999999</v>
      </c>
      <c r="D183">
        <v>175.79665775000001</v>
      </c>
      <c r="E183">
        <v>135.36673725</v>
      </c>
      <c r="F183">
        <v>7.2115217500000002</v>
      </c>
      <c r="G183">
        <v>342.81581125000002</v>
      </c>
      <c r="H183">
        <v>-16</v>
      </c>
      <c r="I183">
        <v>36</v>
      </c>
      <c r="J183">
        <v>1.18</v>
      </c>
      <c r="K183">
        <v>23.849959500000001</v>
      </c>
      <c r="L183">
        <v>-1.7032916880007449</v>
      </c>
      <c r="M183">
        <v>-0.99322155744902796</v>
      </c>
      <c r="N183">
        <v>-0.63835846526560247</v>
      </c>
      <c r="O183">
        <v>-0.60565995254639937</v>
      </c>
    </row>
    <row r="184" spans="1:15" x14ac:dyDescent="0.25">
      <c r="A184">
        <v>-259.40853125000001</v>
      </c>
      <c r="B184">
        <v>-177.57263549999999</v>
      </c>
      <c r="C184">
        <v>298.38613900000001</v>
      </c>
      <c r="D184">
        <v>133.65451049999999</v>
      </c>
      <c r="E184">
        <v>72.913865999999999</v>
      </c>
      <c r="F184">
        <v>6.87043625</v>
      </c>
      <c r="G184">
        <v>316.08529675</v>
      </c>
      <c r="H184">
        <v>-16</v>
      </c>
      <c r="I184">
        <v>40</v>
      </c>
      <c r="J184">
        <v>1.18</v>
      </c>
      <c r="K184">
        <v>22.893039250000001</v>
      </c>
      <c r="L184">
        <v>-1.914173466983067</v>
      </c>
      <c r="M184">
        <v>-1.067993202615692</v>
      </c>
      <c r="N184">
        <v>-0.8344764685221091</v>
      </c>
      <c r="O184">
        <v>-0.77334860788843662</v>
      </c>
    </row>
    <row r="185" spans="1:15" x14ac:dyDescent="0.25">
      <c r="A185">
        <v>-280.30896000000001</v>
      </c>
      <c r="B185">
        <v>-211.89814724999999</v>
      </c>
      <c r="C185">
        <v>275.39862049999999</v>
      </c>
      <c r="D185">
        <v>95.58640475</v>
      </c>
      <c r="E185">
        <v>12.919765999999999</v>
      </c>
      <c r="F185">
        <v>6.2857177499999999</v>
      </c>
      <c r="G185">
        <v>295.23715225000001</v>
      </c>
      <c r="H185">
        <v>-16</v>
      </c>
      <c r="I185">
        <v>44</v>
      </c>
      <c r="J185">
        <v>1.18</v>
      </c>
      <c r="K185">
        <v>22.130237749999999</v>
      </c>
      <c r="L185">
        <v>-2.145413518595622</v>
      </c>
      <c r="M185">
        <v>-1.1871284185275981</v>
      </c>
      <c r="N185">
        <v>-1.0899689979073821</v>
      </c>
      <c r="O185">
        <v>-0.97439535307301139</v>
      </c>
    </row>
    <row r="186" spans="1:15" x14ac:dyDescent="0.25">
      <c r="A186">
        <v>261.61611175000002</v>
      </c>
      <c r="B186">
        <v>-188.28231825</v>
      </c>
      <c r="C186">
        <v>-279.36795799999999</v>
      </c>
      <c r="D186">
        <v>28.255347</v>
      </c>
      <c r="E186">
        <v>-33.941220999999999</v>
      </c>
      <c r="F186">
        <v>5.8471789999999997</v>
      </c>
      <c r="G186">
        <v>272.45972449999999</v>
      </c>
      <c r="H186">
        <v>-12</v>
      </c>
      <c r="I186">
        <v>-44</v>
      </c>
      <c r="J186">
        <v>1.18</v>
      </c>
      <c r="K186">
        <v>21.257562249999999</v>
      </c>
      <c r="L186">
        <v>2.7065038478001591</v>
      </c>
      <c r="M186">
        <v>-1.083315540039135</v>
      </c>
      <c r="N186">
        <v>-1.532904909494655</v>
      </c>
      <c r="O186">
        <v>-1.199060079356481</v>
      </c>
    </row>
    <row r="187" spans="1:15" x14ac:dyDescent="0.25">
      <c r="A187">
        <v>266.20198049999999</v>
      </c>
      <c r="B187">
        <v>-148.86128249999999</v>
      </c>
      <c r="C187">
        <v>-249.4646645</v>
      </c>
      <c r="D187">
        <v>61.154255999999997</v>
      </c>
      <c r="E187">
        <v>20.474909749999998</v>
      </c>
      <c r="F187">
        <v>5.9446320000000004</v>
      </c>
      <c r="G187">
        <v>274.06054675000001</v>
      </c>
      <c r="H187">
        <v>-12</v>
      </c>
      <c r="I187">
        <v>-40</v>
      </c>
      <c r="J187">
        <v>1.18</v>
      </c>
      <c r="K187">
        <v>21.317423250000001</v>
      </c>
      <c r="L187">
        <v>2.3478558264796319</v>
      </c>
      <c r="M187">
        <v>-0.95618964953049113</v>
      </c>
      <c r="N187">
        <v>-1.154604527188291</v>
      </c>
      <c r="O187">
        <v>-0.93387268093391129</v>
      </c>
    </row>
    <row r="188" spans="1:15" x14ac:dyDescent="0.25">
      <c r="A188">
        <v>285.29054274999999</v>
      </c>
      <c r="B188">
        <v>-113.07309125</v>
      </c>
      <c r="C188">
        <v>-224.20700099999999</v>
      </c>
      <c r="D188">
        <v>100.49276525000001</v>
      </c>
      <c r="E188">
        <v>80.558422000000007</v>
      </c>
      <c r="F188">
        <v>6.1395379999999999</v>
      </c>
      <c r="G188">
        <v>294.29387650000001</v>
      </c>
      <c r="H188">
        <v>-12</v>
      </c>
      <c r="I188">
        <v>-36</v>
      </c>
      <c r="J188">
        <v>1.18</v>
      </c>
      <c r="K188">
        <v>22.099688749999999</v>
      </c>
      <c r="L188">
        <v>2.044558379772059</v>
      </c>
      <c r="M188">
        <v>-0.85699692466335931</v>
      </c>
      <c r="N188">
        <v>-0.85770811606636921</v>
      </c>
      <c r="O188">
        <v>-0.70136044017723342</v>
      </c>
    </row>
    <row r="189" spans="1:15" x14ac:dyDescent="0.25">
      <c r="A189">
        <v>301.39502725</v>
      </c>
      <c r="B189">
        <v>-75.59548749999999</v>
      </c>
      <c r="C189">
        <v>-193.58207325000001</v>
      </c>
      <c r="D189">
        <v>139.56843175</v>
      </c>
      <c r="E189">
        <v>136.39495450000001</v>
      </c>
      <c r="F189">
        <v>6.7242565000000001</v>
      </c>
      <c r="G189">
        <v>311.23962399999999</v>
      </c>
      <c r="H189">
        <v>-12</v>
      </c>
      <c r="I189">
        <v>-32</v>
      </c>
      <c r="J189">
        <v>1.18</v>
      </c>
      <c r="K189">
        <v>22.718433999999998</v>
      </c>
      <c r="L189">
        <v>1.826619818537687</v>
      </c>
      <c r="M189">
        <v>-0.79400353372718713</v>
      </c>
      <c r="N189">
        <v>-0.645235264559195</v>
      </c>
      <c r="O189">
        <v>-0.52148872474042507</v>
      </c>
    </row>
    <row r="190" spans="1:15" x14ac:dyDescent="0.25">
      <c r="A190">
        <v>311.59936525000001</v>
      </c>
      <c r="B190">
        <v>-30.271208999999999</v>
      </c>
      <c r="C190">
        <v>-157.49967175</v>
      </c>
      <c r="D190">
        <v>171.72262574999999</v>
      </c>
      <c r="E190">
        <v>187.13511675000001</v>
      </c>
      <c r="F190">
        <v>6.8704357500000004</v>
      </c>
      <c r="G190">
        <v>325.08671575</v>
      </c>
      <c r="H190">
        <v>-12</v>
      </c>
      <c r="I190">
        <v>-28</v>
      </c>
      <c r="J190">
        <v>1.18</v>
      </c>
      <c r="K190">
        <v>23.22389025</v>
      </c>
      <c r="L190">
        <v>1.6692697884993379</v>
      </c>
      <c r="M190">
        <v>-0.7187893015156418</v>
      </c>
      <c r="N190">
        <v>-0.49089262322816901</v>
      </c>
      <c r="O190">
        <v>-0.35852892523935131</v>
      </c>
    </row>
    <row r="191" spans="1:15" x14ac:dyDescent="0.25">
      <c r="A191">
        <v>314.62284849999998</v>
      </c>
      <c r="B191">
        <v>20.053903250000001</v>
      </c>
      <c r="C191">
        <v>-111.494614</v>
      </c>
      <c r="D191">
        <v>203.04448325000001</v>
      </c>
      <c r="E191">
        <v>236.98119324999999</v>
      </c>
      <c r="F191">
        <v>7.1140685000000001</v>
      </c>
      <c r="G191">
        <v>336.43398300000001</v>
      </c>
      <c r="H191">
        <v>-12</v>
      </c>
      <c r="I191">
        <v>-24</v>
      </c>
      <c r="J191">
        <v>1.18</v>
      </c>
      <c r="K191">
        <v>23.62560375</v>
      </c>
      <c r="L191">
        <v>1.507308484922842</v>
      </c>
      <c r="M191">
        <v>-0.64729817154477942</v>
      </c>
      <c r="N191">
        <v>-0.35180406966888877</v>
      </c>
      <c r="O191">
        <v>-0.1868975657476715</v>
      </c>
    </row>
    <row r="192" spans="1:15" x14ac:dyDescent="0.25">
      <c r="A192">
        <v>295.44403075000002</v>
      </c>
      <c r="B192">
        <v>47.75391475</v>
      </c>
      <c r="C192">
        <v>-62.287239</v>
      </c>
      <c r="D192">
        <v>213.99618899999999</v>
      </c>
      <c r="E192">
        <v>259.28897849999998</v>
      </c>
      <c r="F192">
        <v>6.9678892500000007</v>
      </c>
      <c r="G192">
        <v>324.34748100000002</v>
      </c>
      <c r="H192">
        <v>-12</v>
      </c>
      <c r="I192">
        <v>-20</v>
      </c>
      <c r="J192">
        <v>1.18</v>
      </c>
      <c r="K192">
        <v>23.193323249999999</v>
      </c>
      <c r="L192">
        <v>1.3420446827974319</v>
      </c>
      <c r="M192">
        <v>-0.62366558536542027</v>
      </c>
      <c r="N192">
        <v>-0.2440730194887967</v>
      </c>
      <c r="O192">
        <v>-5.34011646645077E-2</v>
      </c>
    </row>
    <row r="193" spans="1:15" x14ac:dyDescent="0.25">
      <c r="A193">
        <v>260.38063799999998</v>
      </c>
      <c r="B193">
        <v>64.869629750000001</v>
      </c>
      <c r="C193">
        <v>-14.162341250000001</v>
      </c>
      <c r="D193">
        <v>212.681984</v>
      </c>
      <c r="E193">
        <v>262.73126975000002</v>
      </c>
      <c r="F193">
        <v>6.48062425</v>
      </c>
      <c r="G193">
        <v>301.85733800000003</v>
      </c>
      <c r="H193">
        <v>-12</v>
      </c>
      <c r="I193">
        <v>-16</v>
      </c>
      <c r="J193">
        <v>1.18</v>
      </c>
      <c r="K193">
        <v>22.37492825</v>
      </c>
      <c r="L193">
        <v>1.156619610426765</v>
      </c>
      <c r="M193">
        <v>-0.62267047023107114</v>
      </c>
      <c r="N193">
        <v>-0.16485363924387419</v>
      </c>
      <c r="O193">
        <v>7.9510466123712598E-2</v>
      </c>
    </row>
    <row r="194" spans="1:15" x14ac:dyDescent="0.25">
      <c r="A194">
        <v>228.25047699999999</v>
      </c>
      <c r="B194">
        <v>61.074997000000003</v>
      </c>
      <c r="C194">
        <v>31.342503749999999</v>
      </c>
      <c r="D194">
        <v>212.11249549999999</v>
      </c>
      <c r="E194">
        <v>262.06069174999999</v>
      </c>
      <c r="F194">
        <v>5.9933585000000003</v>
      </c>
      <c r="G194">
        <v>284.94613650000002</v>
      </c>
      <c r="H194">
        <v>-12</v>
      </c>
      <c r="I194">
        <v>-12</v>
      </c>
      <c r="J194">
        <v>1.18</v>
      </c>
      <c r="K194">
        <v>21.743983</v>
      </c>
      <c r="L194">
        <v>0.91223719062633679</v>
      </c>
      <c r="M194">
        <v>-0.69976346609314222</v>
      </c>
      <c r="N194">
        <v>-0.1060510125528131</v>
      </c>
      <c r="O194">
        <v>0.18632489575748951</v>
      </c>
    </row>
    <row r="195" spans="1:15" x14ac:dyDescent="0.25">
      <c r="A195">
        <v>193.87665175000001</v>
      </c>
      <c r="B195">
        <v>48.808505750000002</v>
      </c>
      <c r="C195">
        <v>65.891525000000001</v>
      </c>
      <c r="D195">
        <v>205.234825</v>
      </c>
      <c r="E195">
        <v>251.3314895</v>
      </c>
      <c r="F195">
        <v>5.8471787499999994</v>
      </c>
      <c r="G195">
        <v>266.45022599999999</v>
      </c>
      <c r="H195">
        <v>-12</v>
      </c>
      <c r="I195">
        <v>-8</v>
      </c>
      <c r="J195">
        <v>1.18</v>
      </c>
      <c r="K195">
        <v>21.01665225</v>
      </c>
      <c r="L195">
        <v>0.65977292401857446</v>
      </c>
      <c r="M195">
        <v>-0.80639975622717841</v>
      </c>
      <c r="N195">
        <v>-7.7940476885760862E-2</v>
      </c>
      <c r="O195">
        <v>0.26550786981176649</v>
      </c>
    </row>
    <row r="196" spans="1:15" x14ac:dyDescent="0.25">
      <c r="A196">
        <v>178.566067</v>
      </c>
      <c r="B196">
        <v>41.934974750000002</v>
      </c>
      <c r="C196">
        <v>103.8728735</v>
      </c>
      <c r="D196">
        <v>219.1654015</v>
      </c>
      <c r="E196">
        <v>270.15228999999999</v>
      </c>
      <c r="F196">
        <v>6.0420850000000002</v>
      </c>
      <c r="G196">
        <v>279.48708349999998</v>
      </c>
      <c r="H196">
        <v>-12</v>
      </c>
      <c r="I196">
        <v>-4</v>
      </c>
      <c r="J196">
        <v>1.18</v>
      </c>
      <c r="K196">
        <v>21.528244000000001</v>
      </c>
      <c r="L196">
        <v>0.37869050174121838</v>
      </c>
      <c r="M196">
        <v>-0.89853271384716171</v>
      </c>
      <c r="N196">
        <v>-4.7348192420958862E-2</v>
      </c>
      <c r="O196">
        <v>0.33897719882213989</v>
      </c>
    </row>
    <row r="197" spans="1:15" x14ac:dyDescent="0.25">
      <c r="A197">
        <v>160.57112900000001</v>
      </c>
      <c r="B197">
        <v>36.358952000000002</v>
      </c>
      <c r="C197">
        <v>143.97683699999999</v>
      </c>
      <c r="D197">
        <v>237.95851525</v>
      </c>
      <c r="E197">
        <v>294.24828374999998</v>
      </c>
      <c r="F197">
        <v>6.4318974999999998</v>
      </c>
      <c r="G197">
        <v>298.73586275000002</v>
      </c>
      <c r="H197">
        <v>-12</v>
      </c>
      <c r="I197">
        <v>0</v>
      </c>
      <c r="J197">
        <v>1.18</v>
      </c>
      <c r="K197">
        <v>22.258254999999998</v>
      </c>
      <c r="L197">
        <v>8.1309989060783183E-2</v>
      </c>
      <c r="M197">
        <v>-0.98784609047235117</v>
      </c>
      <c r="N197">
        <v>-2.202709168125613E-2</v>
      </c>
      <c r="O197">
        <v>0.410317975795155</v>
      </c>
    </row>
    <row r="198" spans="1:15" x14ac:dyDescent="0.25">
      <c r="A198">
        <v>134.25171675000001</v>
      </c>
      <c r="B198">
        <v>36.596933250000014</v>
      </c>
      <c r="C198">
        <v>180.96462274999999</v>
      </c>
      <c r="D198">
        <v>249.04162575000001</v>
      </c>
      <c r="E198">
        <v>307.57037374999999</v>
      </c>
      <c r="F198">
        <v>6.7729827499999997</v>
      </c>
      <c r="G198">
        <v>312.92417899999998</v>
      </c>
      <c r="H198">
        <v>-12</v>
      </c>
      <c r="I198">
        <v>4</v>
      </c>
      <c r="J198">
        <v>1.18</v>
      </c>
      <c r="K198">
        <v>22.77938</v>
      </c>
      <c r="L198">
        <v>-0.2102518877199131</v>
      </c>
      <c r="M198">
        <v>-0.95631251780584126</v>
      </c>
      <c r="N198">
        <v>-2.4104206189506538E-2</v>
      </c>
      <c r="O198">
        <v>0.35408816528130488</v>
      </c>
    </row>
    <row r="199" spans="1:15" x14ac:dyDescent="0.25">
      <c r="A199">
        <v>103.29485325</v>
      </c>
      <c r="B199">
        <v>36.404570749999998</v>
      </c>
      <c r="C199">
        <v>216.32656474999999</v>
      </c>
      <c r="D199">
        <v>256.92685725000001</v>
      </c>
      <c r="E199">
        <v>315.34903724999998</v>
      </c>
      <c r="F199">
        <v>6.9678887500000002</v>
      </c>
      <c r="G199">
        <v>326.18835424999997</v>
      </c>
      <c r="H199">
        <v>-12</v>
      </c>
      <c r="I199">
        <v>8</v>
      </c>
      <c r="J199">
        <v>1.18</v>
      </c>
      <c r="K199">
        <v>23.26051125</v>
      </c>
      <c r="L199">
        <v>-0.46043822292288461</v>
      </c>
      <c r="M199">
        <v>-0.89825599435096271</v>
      </c>
      <c r="N199">
        <v>-4.4169189706887838E-2</v>
      </c>
      <c r="O199">
        <v>0.25614960441945511</v>
      </c>
    </row>
    <row r="200" spans="1:15" x14ac:dyDescent="0.25">
      <c r="A200">
        <v>62.003987249999987</v>
      </c>
      <c r="B200">
        <v>38.905320250000003</v>
      </c>
      <c r="C200">
        <v>251.95948050000001</v>
      </c>
      <c r="D200">
        <v>262.35888649999998</v>
      </c>
      <c r="E200">
        <v>319.19367249999999</v>
      </c>
      <c r="F200">
        <v>7.3089750000000002</v>
      </c>
      <c r="G200">
        <v>339.07421099999999</v>
      </c>
      <c r="H200">
        <v>-12</v>
      </c>
      <c r="I200">
        <v>12</v>
      </c>
      <c r="J200">
        <v>1.18</v>
      </c>
      <c r="K200">
        <v>23.71315675</v>
      </c>
      <c r="L200">
        <v>-0.70683890716554498</v>
      </c>
      <c r="M200">
        <v>-0.83149034009789069</v>
      </c>
      <c r="N200">
        <v>-7.4004222058759089E-2</v>
      </c>
      <c r="O200">
        <v>0.1605670311043125</v>
      </c>
    </row>
    <row r="201" spans="1:15" x14ac:dyDescent="0.25">
      <c r="A201">
        <v>11.868301750000001</v>
      </c>
      <c r="B201">
        <v>41.165539750000001</v>
      </c>
      <c r="C201">
        <v>265.59843425000003</v>
      </c>
      <c r="D201">
        <v>241.46306225000001</v>
      </c>
      <c r="E201">
        <v>296.66236125</v>
      </c>
      <c r="F201">
        <v>7.0166155000000003</v>
      </c>
      <c r="G201">
        <v>325.86822475000002</v>
      </c>
      <c r="H201">
        <v>-12</v>
      </c>
      <c r="I201">
        <v>16</v>
      </c>
      <c r="J201">
        <v>1.18</v>
      </c>
      <c r="K201">
        <v>23.247042749999999</v>
      </c>
      <c r="L201">
        <v>-0.93923797606087045</v>
      </c>
      <c r="M201">
        <v>-0.74143242091989547</v>
      </c>
      <c r="N201">
        <v>-0.1081092779966009</v>
      </c>
      <c r="O201">
        <v>7.2190156148287915E-2</v>
      </c>
    </row>
    <row r="202" spans="1:15" x14ac:dyDescent="0.25">
      <c r="A202">
        <v>-32.431697999999997</v>
      </c>
      <c r="B202">
        <v>36.738619</v>
      </c>
      <c r="C202">
        <v>264.92100525000001</v>
      </c>
      <c r="D202">
        <v>211.01732625</v>
      </c>
      <c r="E202">
        <v>261.79244975</v>
      </c>
      <c r="F202">
        <v>6.4318974999999998</v>
      </c>
      <c r="G202">
        <v>303.18265524999998</v>
      </c>
      <c r="H202">
        <v>-12</v>
      </c>
      <c r="I202">
        <v>20</v>
      </c>
      <c r="J202">
        <v>1.18</v>
      </c>
      <c r="K202">
        <v>22.426907499999999</v>
      </c>
      <c r="L202">
        <v>-1.1452666261814799</v>
      </c>
      <c r="M202">
        <v>-0.67120797458578652</v>
      </c>
      <c r="N202">
        <v>-0.1594399767800242</v>
      </c>
      <c r="O202">
        <v>-1.645723791559895E-2</v>
      </c>
    </row>
    <row r="203" spans="1:15" x14ac:dyDescent="0.25">
      <c r="A203">
        <v>-69.863279250000005</v>
      </c>
      <c r="B203">
        <v>26.351784250000001</v>
      </c>
      <c r="C203">
        <v>258.91444424999997</v>
      </c>
      <c r="D203">
        <v>182.14864349999999</v>
      </c>
      <c r="E203">
        <v>223.301468</v>
      </c>
      <c r="F203">
        <v>6.0420850000000002</v>
      </c>
      <c r="G203">
        <v>282.27198049999998</v>
      </c>
      <c r="H203">
        <v>-12</v>
      </c>
      <c r="I203">
        <v>24</v>
      </c>
      <c r="J203">
        <v>1.18</v>
      </c>
      <c r="K203">
        <v>21.637599999999999</v>
      </c>
      <c r="L203">
        <v>-1.341643696493845</v>
      </c>
      <c r="M203">
        <v>-0.63574578098803802</v>
      </c>
      <c r="N203">
        <v>-0.2406489479453385</v>
      </c>
      <c r="O203">
        <v>-0.11343237435616579</v>
      </c>
    </row>
    <row r="204" spans="1:15" x14ac:dyDescent="0.25">
      <c r="A204">
        <v>-102.29497175</v>
      </c>
      <c r="B204">
        <v>-1.6312012499999999</v>
      </c>
      <c r="C204">
        <v>252.72723775</v>
      </c>
      <c r="D204">
        <v>157.70444474999999</v>
      </c>
      <c r="E204">
        <v>185.30221599999999</v>
      </c>
      <c r="F204">
        <v>5.652272</v>
      </c>
      <c r="G204">
        <v>267.20150000000001</v>
      </c>
      <c r="H204">
        <v>-12</v>
      </c>
      <c r="I204">
        <v>28</v>
      </c>
      <c r="J204">
        <v>1.18</v>
      </c>
      <c r="K204">
        <v>21.054765</v>
      </c>
      <c r="L204">
        <v>-1.4963169863048089</v>
      </c>
      <c r="M204">
        <v>-0.67154684657422625</v>
      </c>
      <c r="N204">
        <v>-0.34522290525456328</v>
      </c>
      <c r="O204">
        <v>-0.24282256301393329</v>
      </c>
    </row>
    <row r="205" spans="1:15" x14ac:dyDescent="0.25">
      <c r="A205">
        <v>-143.28503425</v>
      </c>
      <c r="B205">
        <v>-35.742668999999999</v>
      </c>
      <c r="C205">
        <v>268.30816650000003</v>
      </c>
      <c r="D205">
        <v>145.65757375000001</v>
      </c>
      <c r="E205">
        <v>160.44624725</v>
      </c>
      <c r="F205">
        <v>5.9933585000000003</v>
      </c>
      <c r="G205">
        <v>278.91063724999998</v>
      </c>
      <c r="H205">
        <v>-12</v>
      </c>
      <c r="I205">
        <v>32</v>
      </c>
      <c r="J205">
        <v>1.18</v>
      </c>
      <c r="K205">
        <v>21.507458249999999</v>
      </c>
      <c r="L205">
        <v>-1.6466489035608289</v>
      </c>
      <c r="M205">
        <v>-0.7257166771803194</v>
      </c>
      <c r="N205">
        <v>-0.47394143183994519</v>
      </c>
      <c r="O205">
        <v>-0.38209508770852008</v>
      </c>
    </row>
    <row r="206" spans="1:15" x14ac:dyDescent="0.25">
      <c r="A206">
        <v>-191.8875425</v>
      </c>
      <c r="B206">
        <v>-78.687263250000001</v>
      </c>
      <c r="C206">
        <v>287.18593600000003</v>
      </c>
      <c r="D206">
        <v>130.281395</v>
      </c>
      <c r="E206">
        <v>127.00690625</v>
      </c>
      <c r="F206">
        <v>6.4318969999999993</v>
      </c>
      <c r="G206">
        <v>295.87745675000002</v>
      </c>
      <c r="H206">
        <v>-12</v>
      </c>
      <c r="I206">
        <v>36</v>
      </c>
      <c r="J206">
        <v>1.18</v>
      </c>
      <c r="K206">
        <v>22.149146250000001</v>
      </c>
      <c r="L206">
        <v>-1.826472434582981</v>
      </c>
      <c r="M206">
        <v>-0.79667308892167366</v>
      </c>
      <c r="N206">
        <v>-0.64382235814512889</v>
      </c>
      <c r="O206">
        <v>-0.54028851974572367</v>
      </c>
    </row>
    <row r="207" spans="1:15" x14ac:dyDescent="0.25">
      <c r="A207">
        <v>-243.64312375</v>
      </c>
      <c r="B207">
        <v>-126.27473825</v>
      </c>
      <c r="C207">
        <v>302.31524674999997</v>
      </c>
      <c r="D207">
        <v>105.00486375</v>
      </c>
      <c r="E207">
        <v>78.233756999999997</v>
      </c>
      <c r="F207">
        <v>6.6755297499999999</v>
      </c>
      <c r="G207">
        <v>312.14200575000001</v>
      </c>
      <c r="H207">
        <v>-12</v>
      </c>
      <c r="I207">
        <v>40</v>
      </c>
      <c r="J207">
        <v>1.18</v>
      </c>
      <c r="K207">
        <v>22.753885749999998</v>
      </c>
      <c r="L207">
        <v>-2.0744803372988341</v>
      </c>
      <c r="M207">
        <v>-0.87875507060584823</v>
      </c>
      <c r="N207">
        <v>-0.88884458735774308</v>
      </c>
      <c r="O207">
        <v>-0.72814274282133917</v>
      </c>
    </row>
    <row r="208" spans="1:15" x14ac:dyDescent="0.25">
      <c r="A208">
        <v>-301.11929325</v>
      </c>
      <c r="B208">
        <v>-183.25812149999999</v>
      </c>
      <c r="C208">
        <v>316.90261824999999</v>
      </c>
      <c r="D208">
        <v>74.252489249999996</v>
      </c>
      <c r="E208">
        <v>16.94321425</v>
      </c>
      <c r="F208">
        <v>6.87043625</v>
      </c>
      <c r="G208">
        <v>327.18884274999999</v>
      </c>
      <c r="H208">
        <v>-12</v>
      </c>
      <c r="I208">
        <v>44</v>
      </c>
      <c r="J208">
        <v>1.18</v>
      </c>
      <c r="K208">
        <v>23.300474999999999</v>
      </c>
      <c r="L208">
        <v>-2.385100141322662</v>
      </c>
      <c r="M208">
        <v>-0.99374899079791357</v>
      </c>
      <c r="N208">
        <v>-1.1973676163239431</v>
      </c>
      <c r="O208">
        <v>-0.96115528759102609</v>
      </c>
    </row>
    <row r="209" spans="1:15" x14ac:dyDescent="0.25">
      <c r="A209">
        <v>336.30564874999999</v>
      </c>
      <c r="B209">
        <v>-189.36402125000001</v>
      </c>
      <c r="C209">
        <v>-354.59976175000003</v>
      </c>
      <c r="D209">
        <v>-10.6207425</v>
      </c>
      <c r="E209">
        <v>-46.697052999999997</v>
      </c>
      <c r="F209">
        <v>7.1627952500000003</v>
      </c>
      <c r="G209">
        <v>341.9155045</v>
      </c>
      <c r="H209">
        <v>-8</v>
      </c>
      <c r="I209">
        <v>-44</v>
      </c>
      <c r="J209">
        <v>1.18</v>
      </c>
      <c r="K209">
        <v>23.819680250000001</v>
      </c>
      <c r="L209">
        <v>3.066983930527992</v>
      </c>
      <c r="M209">
        <v>-0.79341764906130285</v>
      </c>
      <c r="N209">
        <v>-1.7251555035455111</v>
      </c>
      <c r="O209">
        <v>-1.23915206804125</v>
      </c>
    </row>
    <row r="210" spans="1:15" x14ac:dyDescent="0.25">
      <c r="A210">
        <v>313.94194775</v>
      </c>
      <c r="B210">
        <v>-125.99558424999999</v>
      </c>
      <c r="C210">
        <v>-287.30608375000003</v>
      </c>
      <c r="D210">
        <v>32.197958499999999</v>
      </c>
      <c r="E210">
        <v>26.599493750000001</v>
      </c>
      <c r="F210">
        <v>6.8217100000000004</v>
      </c>
      <c r="G210">
        <v>316.7256625</v>
      </c>
      <c r="H210">
        <v>-8</v>
      </c>
      <c r="I210">
        <v>-40</v>
      </c>
      <c r="J210">
        <v>1.18</v>
      </c>
      <c r="K210">
        <v>22.91854025</v>
      </c>
      <c r="L210">
        <v>2.5776934766819251</v>
      </c>
      <c r="M210">
        <v>-0.67818956144237741</v>
      </c>
      <c r="N210">
        <v>-1.2438369259829509</v>
      </c>
      <c r="O210">
        <v>-0.91520115824332027</v>
      </c>
    </row>
    <row r="211" spans="1:15" x14ac:dyDescent="0.25">
      <c r="A211">
        <v>289.53244775000002</v>
      </c>
      <c r="B211">
        <v>-72.209960999999993</v>
      </c>
      <c r="C211">
        <v>-222.85389724999999</v>
      </c>
      <c r="D211">
        <v>65.622546999999997</v>
      </c>
      <c r="E211">
        <v>80.558420249999998</v>
      </c>
      <c r="F211">
        <v>6.1395379999999999</v>
      </c>
      <c r="G211">
        <v>292.17893199999997</v>
      </c>
      <c r="H211">
        <v>-8</v>
      </c>
      <c r="I211">
        <v>-36</v>
      </c>
      <c r="J211">
        <v>1.18</v>
      </c>
      <c r="K211">
        <v>22.018432749999999</v>
      </c>
      <c r="L211">
        <v>2.246402487826288</v>
      </c>
      <c r="M211">
        <v>-0.60429137948704259</v>
      </c>
      <c r="N211">
        <v>-0.92779222828009167</v>
      </c>
      <c r="O211">
        <v>-0.67372666000737746</v>
      </c>
    </row>
    <row r="212" spans="1:15" x14ac:dyDescent="0.25">
      <c r="A212">
        <v>270.8676835</v>
      </c>
      <c r="B212">
        <v>-24.133959000000001</v>
      </c>
      <c r="C212">
        <v>-170.12851325</v>
      </c>
      <c r="D212">
        <v>94.272197750000004</v>
      </c>
      <c r="E212">
        <v>124.54813025</v>
      </c>
      <c r="F212">
        <v>5.9446320000000004</v>
      </c>
      <c r="G212">
        <v>274.22886649999998</v>
      </c>
      <c r="H212">
        <v>-8</v>
      </c>
      <c r="I212">
        <v>-32</v>
      </c>
      <c r="J212">
        <v>1.18</v>
      </c>
      <c r="K212">
        <v>21.324129750000001</v>
      </c>
      <c r="L212">
        <v>1.989342654286163</v>
      </c>
      <c r="M212">
        <v>-0.53414436421939882</v>
      </c>
      <c r="N212">
        <v>-0.67522339414064803</v>
      </c>
      <c r="O212">
        <v>-0.46498329155226958</v>
      </c>
    </row>
    <row r="213" spans="1:15" x14ac:dyDescent="0.25">
      <c r="A213">
        <v>259.37679274999999</v>
      </c>
      <c r="B213">
        <v>13.46441525</v>
      </c>
      <c r="C213">
        <v>-127.37087074999999</v>
      </c>
      <c r="D213">
        <v>118.49735625</v>
      </c>
      <c r="E213">
        <v>160.31213</v>
      </c>
      <c r="F213">
        <v>5.7984522500000004</v>
      </c>
      <c r="G213">
        <v>265.18520324999997</v>
      </c>
      <c r="H213">
        <v>-8</v>
      </c>
      <c r="I213">
        <v>-28</v>
      </c>
      <c r="J213">
        <v>1.18</v>
      </c>
      <c r="K213">
        <v>20.96755375</v>
      </c>
      <c r="L213">
        <v>1.780074562684256</v>
      </c>
      <c r="M213">
        <v>-0.4834251419298341</v>
      </c>
      <c r="N213">
        <v>-0.48270095287743492</v>
      </c>
      <c r="O213">
        <v>-0.28882046542170697</v>
      </c>
    </row>
    <row r="214" spans="1:15" x14ac:dyDescent="0.25">
      <c r="A214">
        <v>271.04827125000003</v>
      </c>
      <c r="B214">
        <v>49.529813750000002</v>
      </c>
      <c r="C214">
        <v>-98.144119249999989</v>
      </c>
      <c r="D214">
        <v>144.08053175000001</v>
      </c>
      <c r="E214">
        <v>205.15123750000001</v>
      </c>
      <c r="F214">
        <v>5.8471787499999994</v>
      </c>
      <c r="G214">
        <v>281.73544325</v>
      </c>
      <c r="H214">
        <v>-8</v>
      </c>
      <c r="I214">
        <v>-24</v>
      </c>
      <c r="J214">
        <v>1.18</v>
      </c>
      <c r="K214">
        <v>21.624212249999999</v>
      </c>
      <c r="L214">
        <v>1.6089851106838751</v>
      </c>
      <c r="M214">
        <v>-0.41206135215658612</v>
      </c>
      <c r="N214">
        <v>-0.33376440189626028</v>
      </c>
      <c r="O214">
        <v>-0.1314164287138766</v>
      </c>
    </row>
    <row r="215" spans="1:15" x14ac:dyDescent="0.25">
      <c r="A215">
        <v>278.25078574999998</v>
      </c>
      <c r="B215">
        <v>81.171190499999994</v>
      </c>
      <c r="C215">
        <v>-62.197032</v>
      </c>
      <c r="D215">
        <v>171.72262975000001</v>
      </c>
      <c r="E215">
        <v>246.99510574999999</v>
      </c>
      <c r="F215">
        <v>6.3831707499999997</v>
      </c>
      <c r="G215">
        <v>299.36401375000003</v>
      </c>
      <c r="H215">
        <v>-8</v>
      </c>
      <c r="I215">
        <v>-20</v>
      </c>
      <c r="J215">
        <v>1.18</v>
      </c>
      <c r="K215">
        <v>22.283994499999999</v>
      </c>
      <c r="L215">
        <v>1.4334360748610959</v>
      </c>
      <c r="M215">
        <v>-0.38125626474229068</v>
      </c>
      <c r="N215">
        <v>-0.22050463289687569</v>
      </c>
      <c r="O215">
        <v>1.305802073610649E-2</v>
      </c>
    </row>
    <row r="216" spans="1:15" x14ac:dyDescent="0.25">
      <c r="A216">
        <v>276.617302</v>
      </c>
      <c r="B216">
        <v>104.92626725</v>
      </c>
      <c r="C216">
        <v>-22.957427249999999</v>
      </c>
      <c r="D216">
        <v>193.71363450000001</v>
      </c>
      <c r="E216">
        <v>281.373245</v>
      </c>
      <c r="F216">
        <v>6.4806237499999986</v>
      </c>
      <c r="G216">
        <v>312.54580700000002</v>
      </c>
      <c r="H216">
        <v>-8</v>
      </c>
      <c r="I216">
        <v>-16</v>
      </c>
      <c r="J216">
        <v>1.18</v>
      </c>
      <c r="K216">
        <v>22.776166750000002</v>
      </c>
      <c r="L216">
        <v>1.2461958071905079</v>
      </c>
      <c r="M216">
        <v>-0.36934751302328112</v>
      </c>
      <c r="N216">
        <v>-0.1296755650869823</v>
      </c>
      <c r="O216">
        <v>0.14353994259851779</v>
      </c>
    </row>
    <row r="217" spans="1:15" x14ac:dyDescent="0.25">
      <c r="A217">
        <v>264.88293449999998</v>
      </c>
      <c r="B217">
        <v>112.18743675</v>
      </c>
      <c r="C217">
        <v>23.529456249999999</v>
      </c>
      <c r="D217">
        <v>212.46295175</v>
      </c>
      <c r="E217">
        <v>306.09511574999999</v>
      </c>
      <c r="F217">
        <v>6.87043625</v>
      </c>
      <c r="G217">
        <v>323.02689325</v>
      </c>
      <c r="H217">
        <v>-8</v>
      </c>
      <c r="I217">
        <v>-12</v>
      </c>
      <c r="J217">
        <v>1.18</v>
      </c>
      <c r="K217">
        <v>23.148610999999999</v>
      </c>
      <c r="L217">
        <v>1.0130663238907669</v>
      </c>
      <c r="M217">
        <v>-0.42093084980476131</v>
      </c>
      <c r="N217">
        <v>-7.1081571980448302E-2</v>
      </c>
      <c r="O217">
        <v>0.25599811418167662</v>
      </c>
    </row>
    <row r="218" spans="1:15" x14ac:dyDescent="0.25">
      <c r="A218">
        <v>251.12968425</v>
      </c>
      <c r="B218">
        <v>108.05193300000001</v>
      </c>
      <c r="C218">
        <v>72.846494750000005</v>
      </c>
      <c r="D218">
        <v>230.02947975000001</v>
      </c>
      <c r="E218">
        <v>324.96061724999998</v>
      </c>
      <c r="F218">
        <v>7.2115217500000002</v>
      </c>
      <c r="G218">
        <v>335.89322675</v>
      </c>
      <c r="H218">
        <v>-8</v>
      </c>
      <c r="I218">
        <v>-8</v>
      </c>
      <c r="J218">
        <v>1.18</v>
      </c>
      <c r="K218">
        <v>23.60269675</v>
      </c>
      <c r="L218">
        <v>0.76024350211611225</v>
      </c>
      <c r="M218">
        <v>-0.5201388207962252</v>
      </c>
      <c r="N218">
        <v>-4.6627162711732117E-2</v>
      </c>
      <c r="O218">
        <v>0.35493962028190112</v>
      </c>
    </row>
    <row r="219" spans="1:15" x14ac:dyDescent="0.25">
      <c r="A219">
        <v>213.5081175</v>
      </c>
      <c r="B219">
        <v>93.818124749999996</v>
      </c>
      <c r="C219">
        <v>116.33762350000001</v>
      </c>
      <c r="D219">
        <v>228.97811874999999</v>
      </c>
      <c r="E219">
        <v>320.31129475</v>
      </c>
      <c r="F219">
        <v>6.7242565000000001</v>
      </c>
      <c r="G219">
        <v>325.38803124999998</v>
      </c>
      <c r="H219">
        <v>-8</v>
      </c>
      <c r="I219">
        <v>-4</v>
      </c>
      <c r="J219">
        <v>1.18</v>
      </c>
      <c r="K219">
        <v>23.240169250000001</v>
      </c>
      <c r="L219">
        <v>0.45153241312050568</v>
      </c>
      <c r="M219">
        <v>-0.62795581298840508</v>
      </c>
      <c r="N219">
        <v>-2.36493388605548E-2</v>
      </c>
      <c r="O219">
        <v>0.45699759831931558</v>
      </c>
    </row>
    <row r="220" spans="1:15" x14ac:dyDescent="0.25">
      <c r="A220">
        <v>165.75010275</v>
      </c>
      <c r="B220">
        <v>81.171189999999996</v>
      </c>
      <c r="C220">
        <v>143.93167525000001</v>
      </c>
      <c r="D220">
        <v>211.674431</v>
      </c>
      <c r="E220">
        <v>298.36114524999999</v>
      </c>
      <c r="F220">
        <v>6.3344445</v>
      </c>
      <c r="G220">
        <v>299.26132224999998</v>
      </c>
      <c r="H220">
        <v>-8</v>
      </c>
      <c r="I220">
        <v>0</v>
      </c>
      <c r="J220">
        <v>1.18</v>
      </c>
      <c r="K220">
        <v>22.281945499999999</v>
      </c>
      <c r="L220">
        <v>0.1174329742354132</v>
      </c>
      <c r="M220">
        <v>-0.70237980947555012</v>
      </c>
      <c r="N220">
        <v>-4.8691729469364049E-3</v>
      </c>
      <c r="O220">
        <v>0.57165803718734964</v>
      </c>
    </row>
    <row r="221" spans="1:15" x14ac:dyDescent="0.25">
      <c r="A221">
        <v>121.353449</v>
      </c>
      <c r="B221">
        <v>73.429153249999999</v>
      </c>
      <c r="C221">
        <v>167.55146024999999</v>
      </c>
      <c r="D221">
        <v>198.97045524999999</v>
      </c>
      <c r="E221">
        <v>279.85326350000003</v>
      </c>
      <c r="F221">
        <v>6.1395379999999999</v>
      </c>
      <c r="G221">
        <v>281.55173500000001</v>
      </c>
      <c r="H221">
        <v>-8</v>
      </c>
      <c r="I221">
        <v>4</v>
      </c>
      <c r="J221">
        <v>1.18</v>
      </c>
      <c r="K221">
        <v>21.60554325</v>
      </c>
      <c r="L221">
        <v>-0.25319181904425248</v>
      </c>
      <c r="M221">
        <v>-0.68803541814939728</v>
      </c>
      <c r="N221">
        <v>-9.3107783917754563E-3</v>
      </c>
      <c r="O221">
        <v>0.50012213456818899</v>
      </c>
    </row>
    <row r="222" spans="1:15" x14ac:dyDescent="0.25">
      <c r="A222">
        <v>78.971595750000006</v>
      </c>
      <c r="B222">
        <v>69.101304999999996</v>
      </c>
      <c r="C222">
        <v>180.648483</v>
      </c>
      <c r="D222">
        <v>183.55046075000001</v>
      </c>
      <c r="E222">
        <v>258.79722575</v>
      </c>
      <c r="F222">
        <v>5.4573662499999998</v>
      </c>
      <c r="G222">
        <v>262.6089475</v>
      </c>
      <c r="H222">
        <v>-8</v>
      </c>
      <c r="I222">
        <v>8</v>
      </c>
      <c r="J222">
        <v>1.18</v>
      </c>
      <c r="K222">
        <v>20.877020999999999</v>
      </c>
      <c r="L222">
        <v>-0.55030738995194572</v>
      </c>
      <c r="M222">
        <v>-0.6194573180318137</v>
      </c>
      <c r="N222">
        <v>-2.06443750296595E-2</v>
      </c>
      <c r="O222">
        <v>0.37117837011515298</v>
      </c>
    </row>
    <row r="223" spans="1:15" x14ac:dyDescent="0.25">
      <c r="A223">
        <v>45.493638249999997</v>
      </c>
      <c r="B223">
        <v>76.602904999999993</v>
      </c>
      <c r="C223">
        <v>218.26853149999999</v>
      </c>
      <c r="D223">
        <v>195.4221</v>
      </c>
      <c r="E223">
        <v>273.81810725000003</v>
      </c>
      <c r="F223">
        <v>6.0908115</v>
      </c>
      <c r="G223">
        <v>282.80859375</v>
      </c>
      <c r="H223">
        <v>-8</v>
      </c>
      <c r="I223">
        <v>12</v>
      </c>
      <c r="J223">
        <v>1.18</v>
      </c>
      <c r="K223">
        <v>21.65668475</v>
      </c>
      <c r="L223">
        <v>-0.81200974899262857</v>
      </c>
      <c r="M223">
        <v>-0.55845407077638809</v>
      </c>
      <c r="N223">
        <v>-4.2275639066547958E-2</v>
      </c>
      <c r="O223">
        <v>0.25830732386415661</v>
      </c>
    </row>
    <row r="224" spans="1:15" x14ac:dyDescent="0.25">
      <c r="A224">
        <v>6.0929700000000002</v>
      </c>
      <c r="B224">
        <v>83.383199750000003</v>
      </c>
      <c r="C224">
        <v>253.088528</v>
      </c>
      <c r="D224">
        <v>198.70761475</v>
      </c>
      <c r="E224">
        <v>281.55207024999999</v>
      </c>
      <c r="F224">
        <v>6.3344445</v>
      </c>
      <c r="G224">
        <v>301.3020095</v>
      </c>
      <c r="H224">
        <v>-8</v>
      </c>
      <c r="I224">
        <v>16</v>
      </c>
      <c r="J224">
        <v>1.18</v>
      </c>
      <c r="K224">
        <v>22.359437750000001</v>
      </c>
      <c r="L224">
        <v>-1.042993914487623</v>
      </c>
      <c r="M224">
        <v>-0.48699209240878261</v>
      </c>
      <c r="N224">
        <v>-8.3425187222431793E-2</v>
      </c>
      <c r="O224">
        <v>0.1621800596901016</v>
      </c>
    </row>
    <row r="225" spans="1:15" x14ac:dyDescent="0.25">
      <c r="A225">
        <v>-37.4766245</v>
      </c>
      <c r="B225">
        <v>81.267366500000009</v>
      </c>
      <c r="C225">
        <v>280.18580624999998</v>
      </c>
      <c r="D225">
        <v>194.502163</v>
      </c>
      <c r="E225">
        <v>277.12626625000001</v>
      </c>
      <c r="F225">
        <v>6.7242570000000006</v>
      </c>
      <c r="G225">
        <v>312.64405799999997</v>
      </c>
      <c r="H225">
        <v>-8</v>
      </c>
      <c r="I225">
        <v>20</v>
      </c>
      <c r="J225">
        <v>1.18</v>
      </c>
      <c r="K225">
        <v>22.77076825</v>
      </c>
      <c r="L225">
        <v>-1.244615173800635</v>
      </c>
      <c r="M225">
        <v>-0.44365408939431678</v>
      </c>
      <c r="N225">
        <v>-0.13917267515847079</v>
      </c>
      <c r="O225">
        <v>5.9441126649990517E-2</v>
      </c>
    </row>
    <row r="226" spans="1:15" x14ac:dyDescent="0.25">
      <c r="A226">
        <v>-85.673730500000005</v>
      </c>
      <c r="B226">
        <v>71.361404249999993</v>
      </c>
      <c r="C226">
        <v>306.60565200000002</v>
      </c>
      <c r="D226">
        <v>185.784603</v>
      </c>
      <c r="E226">
        <v>266.21826149999998</v>
      </c>
      <c r="F226">
        <v>7.1627952500000003</v>
      </c>
      <c r="G226">
        <v>326.85172249999999</v>
      </c>
      <c r="H226">
        <v>-8</v>
      </c>
      <c r="I226">
        <v>24</v>
      </c>
      <c r="J226">
        <v>1.18</v>
      </c>
      <c r="K226">
        <v>23.277570499999999</v>
      </c>
      <c r="L226">
        <v>-1.434945513932552</v>
      </c>
      <c r="M226">
        <v>-0.41857998868441432</v>
      </c>
      <c r="N226">
        <v>-0.22183791645074921</v>
      </c>
      <c r="O226">
        <v>-5.2356418532779267E-2</v>
      </c>
    </row>
    <row r="227" spans="1:15" x14ac:dyDescent="0.25">
      <c r="A227">
        <v>-135.40233599999999</v>
      </c>
      <c r="B227">
        <v>40.777943749999999</v>
      </c>
      <c r="C227">
        <v>327.87700649999999</v>
      </c>
      <c r="D227">
        <v>171.63500974999999</v>
      </c>
      <c r="E227">
        <v>242.301075</v>
      </c>
      <c r="F227">
        <v>7.2602485000000003</v>
      </c>
      <c r="G227">
        <v>340.59532150000001</v>
      </c>
      <c r="H227">
        <v>-8</v>
      </c>
      <c r="I227">
        <v>28</v>
      </c>
      <c r="J227">
        <v>1.18</v>
      </c>
      <c r="K227">
        <v>23.7691935</v>
      </c>
      <c r="L227">
        <v>-1.5996369753799049</v>
      </c>
      <c r="M227">
        <v>-0.45182729998154608</v>
      </c>
      <c r="N227">
        <v>-0.33939328956109938</v>
      </c>
      <c r="O227">
        <v>-0.18842270633306049</v>
      </c>
    </row>
    <row r="228" spans="1:15" x14ac:dyDescent="0.25">
      <c r="A228">
        <v>-169.09526074999999</v>
      </c>
      <c r="B228">
        <v>2.1158367500000002</v>
      </c>
      <c r="C228">
        <v>314.734825</v>
      </c>
      <c r="D228">
        <v>138.38564675000001</v>
      </c>
      <c r="E228">
        <v>188.8786125</v>
      </c>
      <c r="F228">
        <v>6.9191625000000014</v>
      </c>
      <c r="G228">
        <v>320.58848575000002</v>
      </c>
      <c r="H228">
        <v>-8</v>
      </c>
      <c r="I228">
        <v>32</v>
      </c>
      <c r="J228">
        <v>1.18</v>
      </c>
      <c r="K228">
        <v>23.057346249999998</v>
      </c>
      <c r="L228">
        <v>-1.7764309929164279</v>
      </c>
      <c r="M228">
        <v>-0.50027787940974044</v>
      </c>
      <c r="N228">
        <v>-0.48360764661493721</v>
      </c>
      <c r="O228">
        <v>-0.33192738135854061</v>
      </c>
    </row>
    <row r="229" spans="1:15" x14ac:dyDescent="0.25">
      <c r="A229">
        <v>-194.72531875000001</v>
      </c>
      <c r="B229">
        <v>-33.969866750000001</v>
      </c>
      <c r="C229">
        <v>297.25708025</v>
      </c>
      <c r="D229">
        <v>103.25259200000001</v>
      </c>
      <c r="E229">
        <v>133.48913924999999</v>
      </c>
      <c r="F229">
        <v>6.1395382500000002</v>
      </c>
      <c r="G229">
        <v>300.16422275000002</v>
      </c>
      <c r="H229">
        <v>-8</v>
      </c>
      <c r="I229">
        <v>36</v>
      </c>
      <c r="J229">
        <v>1.18</v>
      </c>
      <c r="K229">
        <v>22.323673249999999</v>
      </c>
      <c r="L229">
        <v>-1.9851416756859519</v>
      </c>
      <c r="M229">
        <v>-0.55362947690273212</v>
      </c>
      <c r="N229">
        <v>-0.67253781806613777</v>
      </c>
      <c r="O229">
        <v>-0.48613219456636741</v>
      </c>
    </row>
    <row r="230" spans="1:15" x14ac:dyDescent="0.25">
      <c r="A230">
        <v>-215.13025675</v>
      </c>
      <c r="B230">
        <v>-71.058439500000006</v>
      </c>
      <c r="C230">
        <v>278.46965024999997</v>
      </c>
      <c r="D230">
        <v>66.980560249999996</v>
      </c>
      <c r="E230">
        <v>74.210307999999998</v>
      </c>
      <c r="F230">
        <v>6.1395379999999999</v>
      </c>
      <c r="G230">
        <v>279.97484574999999</v>
      </c>
      <c r="H230">
        <v>-8</v>
      </c>
      <c r="I230">
        <v>40</v>
      </c>
      <c r="J230">
        <v>1.18</v>
      </c>
      <c r="K230">
        <v>21.543606749999999</v>
      </c>
      <c r="L230">
        <v>-2.2715103028239141</v>
      </c>
      <c r="M230">
        <v>-0.63527930852511094</v>
      </c>
      <c r="N230">
        <v>-0.94696138852940193</v>
      </c>
      <c r="O230">
        <v>-0.68677920884108734</v>
      </c>
    </row>
    <row r="231" spans="1:15" x14ac:dyDescent="0.25">
      <c r="A231">
        <v>-238.733318</v>
      </c>
      <c r="B231">
        <v>-107.13942725</v>
      </c>
      <c r="C231">
        <v>263.15969100000001</v>
      </c>
      <c r="D231">
        <v>31.497050250000001</v>
      </c>
      <c r="E231">
        <v>17.882020000000001</v>
      </c>
      <c r="F231">
        <v>5.6522722500000002</v>
      </c>
      <c r="G231">
        <v>265.32991025000001</v>
      </c>
      <c r="H231">
        <v>-8</v>
      </c>
      <c r="I231">
        <v>44</v>
      </c>
      <c r="J231">
        <v>1.18</v>
      </c>
      <c r="K231">
        <v>20.9793065</v>
      </c>
      <c r="L231">
        <v>-2.6302396387217981</v>
      </c>
      <c r="M231">
        <v>-0.72653406584001257</v>
      </c>
      <c r="N231">
        <v>-1.296792269938343</v>
      </c>
      <c r="O231">
        <v>-0.9359160385060985</v>
      </c>
    </row>
    <row r="232" spans="1:15" x14ac:dyDescent="0.25">
      <c r="A232">
        <v>268.13246175</v>
      </c>
      <c r="B232">
        <v>-107.66720775</v>
      </c>
      <c r="C232">
        <v>-279.95428475</v>
      </c>
      <c r="D232">
        <v>-45.979513249999997</v>
      </c>
      <c r="E232">
        <v>-38.445903749999999</v>
      </c>
      <c r="F232">
        <v>5.7497255000000003</v>
      </c>
      <c r="G232">
        <v>268.89103699999998</v>
      </c>
      <c r="H232">
        <v>-4</v>
      </c>
      <c r="I232">
        <v>-44</v>
      </c>
      <c r="J232">
        <v>1.18</v>
      </c>
      <c r="K232">
        <v>21.118747249999998</v>
      </c>
      <c r="L232">
        <v>3.527980532910223</v>
      </c>
      <c r="M232">
        <v>-0.39696474220089351</v>
      </c>
      <c r="N232">
        <v>-1.978334858001255</v>
      </c>
      <c r="O232">
        <v>-1.284517518236604</v>
      </c>
    </row>
    <row r="233" spans="1:15" x14ac:dyDescent="0.25">
      <c r="A233">
        <v>286.27559650000001</v>
      </c>
      <c r="B233">
        <v>-72.497842750000004</v>
      </c>
      <c r="C233">
        <v>-263.31128699999999</v>
      </c>
      <c r="D233">
        <v>-9.7903147500000003</v>
      </c>
      <c r="E233">
        <v>21.592534499999999</v>
      </c>
      <c r="F233">
        <v>6.0908115</v>
      </c>
      <c r="G233">
        <v>286.72047450000002</v>
      </c>
      <c r="H233">
        <v>-4</v>
      </c>
      <c r="I233">
        <v>-40</v>
      </c>
      <c r="J233">
        <v>1.18</v>
      </c>
      <c r="K233">
        <v>21.809229999999999</v>
      </c>
      <c r="L233">
        <v>2.9003370152870862</v>
      </c>
      <c r="M233">
        <v>-0.33083238453669811</v>
      </c>
      <c r="N233">
        <v>-1.399186038017306</v>
      </c>
      <c r="O233">
        <v>-0.91821545863912046</v>
      </c>
    </row>
    <row r="234" spans="1:15" x14ac:dyDescent="0.25">
      <c r="A234">
        <v>303.06501774999998</v>
      </c>
      <c r="B234">
        <v>-32.338545250000003</v>
      </c>
      <c r="C234">
        <v>-236.65541825</v>
      </c>
      <c r="D234">
        <v>31.102787750000001</v>
      </c>
      <c r="E234">
        <v>84.671276000000006</v>
      </c>
      <c r="F234">
        <v>6.4806237499999986</v>
      </c>
      <c r="G234">
        <v>303.96530925000002</v>
      </c>
      <c r="H234">
        <v>-4</v>
      </c>
      <c r="I234">
        <v>-36</v>
      </c>
      <c r="J234">
        <v>1.18</v>
      </c>
      <c r="K234">
        <v>22.4546375</v>
      </c>
      <c r="L234">
        <v>2.4626567736528471</v>
      </c>
      <c r="M234">
        <v>-0.28942621706295663</v>
      </c>
      <c r="N234">
        <v>-1.00061875258203</v>
      </c>
      <c r="O234">
        <v>-0.64324518929699248</v>
      </c>
    </row>
    <row r="235" spans="1:15" x14ac:dyDescent="0.25">
      <c r="A235">
        <v>316.830513</v>
      </c>
      <c r="B235">
        <v>11.589014499999999</v>
      </c>
      <c r="C235">
        <v>-207.47378925000001</v>
      </c>
      <c r="D235">
        <v>70.528909749999997</v>
      </c>
      <c r="E235">
        <v>143.860691</v>
      </c>
      <c r="F235">
        <v>6.52935</v>
      </c>
      <c r="G235">
        <v>318.52938849999998</v>
      </c>
      <c r="H235">
        <v>-4</v>
      </c>
      <c r="I235">
        <v>-32</v>
      </c>
      <c r="J235">
        <v>1.18</v>
      </c>
      <c r="K235">
        <v>22.99594325</v>
      </c>
      <c r="L235">
        <v>2.16838075421584</v>
      </c>
      <c r="M235">
        <v>-0.2437222306465632</v>
      </c>
      <c r="N235">
        <v>-0.72239762204196778</v>
      </c>
      <c r="O235">
        <v>-0.43206974161624562</v>
      </c>
    </row>
    <row r="236" spans="1:15" x14ac:dyDescent="0.25">
      <c r="A236">
        <v>326.55776974999998</v>
      </c>
      <c r="B236">
        <v>56.213937000000001</v>
      </c>
      <c r="C236">
        <v>-169.99320225</v>
      </c>
      <c r="D236">
        <v>107.5894625</v>
      </c>
      <c r="E236">
        <v>203.05010225000001</v>
      </c>
      <c r="F236">
        <v>6.9191625000000014</v>
      </c>
      <c r="G236">
        <v>330.9328615</v>
      </c>
      <c r="H236">
        <v>-4</v>
      </c>
      <c r="I236">
        <v>-28</v>
      </c>
      <c r="J236">
        <v>1.18</v>
      </c>
      <c r="K236">
        <v>23.434491999999999</v>
      </c>
      <c r="L236">
        <v>1.910235155795446</v>
      </c>
      <c r="M236">
        <v>-0.1976454830441737</v>
      </c>
      <c r="N236">
        <v>-0.49198049668541532</v>
      </c>
      <c r="O236">
        <v>-0.24547166615391211</v>
      </c>
    </row>
    <row r="237" spans="1:15" x14ac:dyDescent="0.25">
      <c r="A237">
        <v>330.28178400000002</v>
      </c>
      <c r="B237">
        <v>96.511005499999996</v>
      </c>
      <c r="C237">
        <v>-125.56674375</v>
      </c>
      <c r="D237">
        <v>141.32070525</v>
      </c>
      <c r="E237">
        <v>254.86318600000001</v>
      </c>
      <c r="F237">
        <v>7.2602485000000003</v>
      </c>
      <c r="G237">
        <v>342.25605000000002</v>
      </c>
      <c r="H237">
        <v>-4</v>
      </c>
      <c r="I237">
        <v>-24</v>
      </c>
      <c r="J237">
        <v>1.18</v>
      </c>
      <c r="K237">
        <v>23.828328249999998</v>
      </c>
      <c r="L237">
        <v>1.692171214339161</v>
      </c>
      <c r="M237">
        <v>-0.16632873881029411</v>
      </c>
      <c r="N237">
        <v>-0.3244168402874783</v>
      </c>
      <c r="O237">
        <v>-8.0882194930826559E-2</v>
      </c>
    </row>
    <row r="238" spans="1:15" x14ac:dyDescent="0.25">
      <c r="A238">
        <v>296.88185125000001</v>
      </c>
      <c r="B238">
        <v>117.90980725</v>
      </c>
      <c r="C238">
        <v>-70.676395249999999</v>
      </c>
      <c r="D238">
        <v>153.5428005</v>
      </c>
      <c r="E238">
        <v>267.11234274999998</v>
      </c>
      <c r="F238">
        <v>6.4806237499999986</v>
      </c>
      <c r="G238">
        <v>315.60857425</v>
      </c>
      <c r="H238">
        <v>-4</v>
      </c>
      <c r="I238">
        <v>-20</v>
      </c>
      <c r="J238">
        <v>1.18</v>
      </c>
      <c r="K238">
        <v>22.889834</v>
      </c>
      <c r="L238">
        <v>1.5095684154760449</v>
      </c>
      <c r="M238">
        <v>-0.14631115926722141</v>
      </c>
      <c r="N238">
        <v>-0.1991840648807944</v>
      </c>
      <c r="O238">
        <v>7.0373740309529489E-2</v>
      </c>
    </row>
    <row r="239" spans="1:15" x14ac:dyDescent="0.25">
      <c r="A239">
        <v>263.43849975000001</v>
      </c>
      <c r="B239">
        <v>129.73925800000001</v>
      </c>
      <c r="C239">
        <v>-25.528297500000001</v>
      </c>
      <c r="D239">
        <v>156.87211975</v>
      </c>
      <c r="E239">
        <v>270.46522525</v>
      </c>
      <c r="F239">
        <v>6.2369909999999997</v>
      </c>
      <c r="G239">
        <v>293.88246900000001</v>
      </c>
      <c r="H239">
        <v>-4</v>
      </c>
      <c r="I239">
        <v>-16</v>
      </c>
      <c r="J239">
        <v>1.18</v>
      </c>
      <c r="K239">
        <v>22.080176999999999</v>
      </c>
      <c r="L239">
        <v>1.3233687106363849</v>
      </c>
      <c r="M239">
        <v>-0.1242413534005737</v>
      </c>
      <c r="N239">
        <v>-0.10724579279505141</v>
      </c>
      <c r="O239">
        <v>0.21006257571499751</v>
      </c>
    </row>
    <row r="240" spans="1:15" x14ac:dyDescent="0.25">
      <c r="A240">
        <v>231.37938299999999</v>
      </c>
      <c r="B240">
        <v>127.431078</v>
      </c>
      <c r="C240">
        <v>15.671245750000001</v>
      </c>
      <c r="D240">
        <v>158.75581399999999</v>
      </c>
      <c r="E240">
        <v>268.67702474999999</v>
      </c>
      <c r="F240">
        <v>5.8959052500000002</v>
      </c>
      <c r="G240">
        <v>277.69399249999998</v>
      </c>
      <c r="H240">
        <v>-4</v>
      </c>
      <c r="I240">
        <v>-12</v>
      </c>
      <c r="J240">
        <v>1.18</v>
      </c>
      <c r="K240">
        <v>21.463309249999998</v>
      </c>
      <c r="L240">
        <v>1.094250879208049</v>
      </c>
      <c r="M240">
        <v>-0.15891881685960879</v>
      </c>
      <c r="N240">
        <v>-4.5743297388468662E-2</v>
      </c>
      <c r="O240">
        <v>0.33306071964109318</v>
      </c>
    </row>
    <row r="241" spans="1:15" x14ac:dyDescent="0.25">
      <c r="A241">
        <v>203.72833650000001</v>
      </c>
      <c r="B241">
        <v>121.03548050000001</v>
      </c>
      <c r="C241">
        <v>52.659027000000002</v>
      </c>
      <c r="D241">
        <v>158.88722974999999</v>
      </c>
      <c r="E241">
        <v>264.20653499999997</v>
      </c>
      <c r="F241">
        <v>5.6035455000000001</v>
      </c>
      <c r="G241">
        <v>267.07495125000003</v>
      </c>
      <c r="H241">
        <v>-4</v>
      </c>
      <c r="I241">
        <v>-8</v>
      </c>
      <c r="J241">
        <v>1.18</v>
      </c>
      <c r="K241">
        <v>21.05162825</v>
      </c>
      <c r="L241">
        <v>0.85179480765480287</v>
      </c>
      <c r="M241">
        <v>-0.21341279406832039</v>
      </c>
      <c r="N241">
        <v>-1.6184216677733131E-2</v>
      </c>
      <c r="O241">
        <v>0.45807251419833822</v>
      </c>
    </row>
    <row r="242" spans="1:15" x14ac:dyDescent="0.25">
      <c r="A242">
        <v>192.29723749999999</v>
      </c>
      <c r="B242">
        <v>122.045311</v>
      </c>
      <c r="C242">
        <v>96.782419250000004</v>
      </c>
      <c r="D242">
        <v>173.91296374999999</v>
      </c>
      <c r="E242">
        <v>285.79904149999999</v>
      </c>
      <c r="F242">
        <v>6.1882647500000001</v>
      </c>
      <c r="G242">
        <v>286.76047525000001</v>
      </c>
      <c r="H242">
        <v>-4</v>
      </c>
      <c r="I242">
        <v>-4</v>
      </c>
      <c r="J242">
        <v>1.18</v>
      </c>
      <c r="K242">
        <v>21.806999999999999</v>
      </c>
      <c r="L242">
        <v>0.5415923956511115</v>
      </c>
      <c r="M242">
        <v>-0.2939947480299846</v>
      </c>
      <c r="N242">
        <v>-5.4796756205417671E-3</v>
      </c>
      <c r="O242">
        <v>0.58526673148037078</v>
      </c>
    </row>
    <row r="243" spans="1:15" x14ac:dyDescent="0.25">
      <c r="A243">
        <v>170.28507225000001</v>
      </c>
      <c r="B243">
        <v>124.5939295</v>
      </c>
      <c r="C243">
        <v>142.39616375</v>
      </c>
      <c r="D243">
        <v>181.18488675</v>
      </c>
      <c r="E243">
        <v>302.6975405</v>
      </c>
      <c r="F243">
        <v>6.5776029999999999</v>
      </c>
      <c r="G243">
        <v>303.6852265</v>
      </c>
      <c r="H243">
        <v>-4</v>
      </c>
      <c r="I243">
        <v>0</v>
      </c>
      <c r="J243">
        <v>1.18</v>
      </c>
      <c r="K243">
        <v>22.440401749999999</v>
      </c>
      <c r="L243">
        <v>0.16481829948412141</v>
      </c>
      <c r="M243">
        <v>-0.33442164998040158</v>
      </c>
      <c r="N243">
        <v>-5.9116165994525056E-3</v>
      </c>
      <c r="O243">
        <v>0.75017286480105194</v>
      </c>
    </row>
    <row r="244" spans="1:15" x14ac:dyDescent="0.25">
      <c r="A244">
        <v>137.62715125</v>
      </c>
      <c r="B244">
        <v>127.81577475</v>
      </c>
      <c r="C244">
        <v>187.91958625000001</v>
      </c>
      <c r="D244">
        <v>189.81483474999999</v>
      </c>
      <c r="E244">
        <v>316.86901875000001</v>
      </c>
      <c r="F244">
        <v>6.6745692500000002</v>
      </c>
      <c r="G244">
        <v>317.32905575000001</v>
      </c>
      <c r="H244">
        <v>-4</v>
      </c>
      <c r="I244">
        <v>4</v>
      </c>
      <c r="J244">
        <v>1.18</v>
      </c>
      <c r="K244">
        <v>22.946303</v>
      </c>
      <c r="L244">
        <v>-0.27306629916827851</v>
      </c>
      <c r="M244">
        <v>-0.33663892924637551</v>
      </c>
      <c r="N244">
        <v>-2.5158226012036199E-3</v>
      </c>
      <c r="O244">
        <v>0.68455110026915089</v>
      </c>
    </row>
    <row r="245" spans="1:15" x14ac:dyDescent="0.25">
      <c r="A245">
        <v>98.195543499999999</v>
      </c>
      <c r="B245">
        <v>133.20153825</v>
      </c>
      <c r="C245">
        <v>229.21288675</v>
      </c>
      <c r="D245">
        <v>197.91909025000001</v>
      </c>
      <c r="E245">
        <v>327.10645325000002</v>
      </c>
      <c r="F245">
        <v>7.162795</v>
      </c>
      <c r="G245">
        <v>329.69252799999998</v>
      </c>
      <c r="H245">
        <v>-4</v>
      </c>
      <c r="I245">
        <v>8</v>
      </c>
      <c r="J245">
        <v>1.18</v>
      </c>
      <c r="K245">
        <v>23.380769999999998</v>
      </c>
      <c r="L245">
        <v>-0.61973448161990918</v>
      </c>
      <c r="M245">
        <v>-0.30607301829392591</v>
      </c>
      <c r="N245">
        <v>-1.225988108651959E-2</v>
      </c>
      <c r="O245">
        <v>0.51345597562736534</v>
      </c>
    </row>
    <row r="246" spans="1:15" x14ac:dyDescent="0.25">
      <c r="A246">
        <v>54.204129250000001</v>
      </c>
      <c r="B246">
        <v>137.28895575000001</v>
      </c>
      <c r="C246">
        <v>267.97447175000002</v>
      </c>
      <c r="D246">
        <v>202.29977425000001</v>
      </c>
      <c r="E246">
        <v>335.15335099999999</v>
      </c>
      <c r="F246">
        <v>7.162795</v>
      </c>
      <c r="G246">
        <v>342.17601775000003</v>
      </c>
      <c r="H246">
        <v>-4</v>
      </c>
      <c r="I246">
        <v>12</v>
      </c>
      <c r="J246">
        <v>1.18</v>
      </c>
      <c r="K246">
        <v>23.82894975</v>
      </c>
      <c r="L246">
        <v>-0.8929214534209583</v>
      </c>
      <c r="M246">
        <v>-0.27153140631596662</v>
      </c>
      <c r="N246">
        <v>-2.9346567208496679E-2</v>
      </c>
      <c r="O246">
        <v>0.37002831856997642</v>
      </c>
    </row>
    <row r="247" spans="1:15" x14ac:dyDescent="0.25">
      <c r="A247">
        <v>4.2876802499999993</v>
      </c>
      <c r="B247">
        <v>126.56550425</v>
      </c>
      <c r="C247">
        <v>270.11465449999997</v>
      </c>
      <c r="D247">
        <v>181.27250674999999</v>
      </c>
      <c r="E247">
        <v>299.61287725</v>
      </c>
      <c r="F247">
        <v>6.87043625</v>
      </c>
      <c r="G247">
        <v>316.08870725000003</v>
      </c>
      <c r="H247">
        <v>-4</v>
      </c>
      <c r="I247">
        <v>16</v>
      </c>
      <c r="J247">
        <v>1.18</v>
      </c>
      <c r="K247">
        <v>22.893172499999999</v>
      </c>
      <c r="L247">
        <v>-1.135148324379502</v>
      </c>
      <c r="M247">
        <v>-0.2335865114605829</v>
      </c>
      <c r="N247">
        <v>-7.037311301566529E-2</v>
      </c>
      <c r="O247">
        <v>0.25005452837039222</v>
      </c>
    </row>
    <row r="248" spans="1:15" x14ac:dyDescent="0.25">
      <c r="A248">
        <v>-33.242488999999999</v>
      </c>
      <c r="B248">
        <v>112.71639424999999</v>
      </c>
      <c r="C248">
        <v>266.70989974999998</v>
      </c>
      <c r="D248">
        <v>158.668194</v>
      </c>
      <c r="E248">
        <v>265.10063150000002</v>
      </c>
      <c r="F248">
        <v>6.23699125</v>
      </c>
      <c r="G248">
        <v>293.92249275</v>
      </c>
      <c r="H248">
        <v>-4</v>
      </c>
      <c r="I248">
        <v>20</v>
      </c>
      <c r="J248">
        <v>1.18</v>
      </c>
      <c r="K248">
        <v>22.081679999999999</v>
      </c>
      <c r="L248">
        <v>-1.3309802003512119</v>
      </c>
      <c r="M248">
        <v>-0.203861586158471</v>
      </c>
      <c r="N248">
        <v>-0.12789878126688639</v>
      </c>
      <c r="O248">
        <v>0.14868109064824109</v>
      </c>
    </row>
    <row r="249" spans="1:15" x14ac:dyDescent="0.25">
      <c r="A249">
        <v>-65.403921249999996</v>
      </c>
      <c r="B249">
        <v>92.808292499999993</v>
      </c>
      <c r="C249">
        <v>257.22661575000001</v>
      </c>
      <c r="D249">
        <v>132.03366075</v>
      </c>
      <c r="E249">
        <v>225.49200049999999</v>
      </c>
      <c r="F249">
        <v>5.7980475</v>
      </c>
      <c r="G249">
        <v>271.71625525000002</v>
      </c>
      <c r="H249">
        <v>-4</v>
      </c>
      <c r="I249">
        <v>24</v>
      </c>
      <c r="J249">
        <v>1.18</v>
      </c>
      <c r="K249">
        <v>21.229897000000001</v>
      </c>
      <c r="L249">
        <v>-1.5233562363252231</v>
      </c>
      <c r="M249">
        <v>-0.1852053219495762</v>
      </c>
      <c r="N249">
        <v>-0.21826035555361409</v>
      </c>
      <c r="O249">
        <v>3.7325313854087168E-2</v>
      </c>
    </row>
    <row r="250" spans="1:15" x14ac:dyDescent="0.25">
      <c r="A250">
        <v>-98.646411749999999</v>
      </c>
      <c r="B250">
        <v>68.716610000000003</v>
      </c>
      <c r="C250">
        <v>261.52749625000001</v>
      </c>
      <c r="D250">
        <v>113.67861550000001</v>
      </c>
      <c r="E250">
        <v>197.01492300000001</v>
      </c>
      <c r="F250">
        <v>5.7005802499999998</v>
      </c>
      <c r="G250">
        <v>269.31557475</v>
      </c>
      <c r="H250">
        <v>-4</v>
      </c>
      <c r="I250">
        <v>28</v>
      </c>
      <c r="J250">
        <v>1.18</v>
      </c>
      <c r="K250">
        <v>21.137740000000001</v>
      </c>
      <c r="L250">
        <v>-1.6990963617850019</v>
      </c>
      <c r="M250">
        <v>-0.21208081480297281</v>
      </c>
      <c r="N250">
        <v>-0.34107946045733922</v>
      </c>
      <c r="O250">
        <v>-9.7464832041314065E-2</v>
      </c>
    </row>
    <row r="251" spans="1:15" x14ac:dyDescent="0.25">
      <c r="A251">
        <v>-145.94263075000001</v>
      </c>
      <c r="B251">
        <v>45.346228500000002</v>
      </c>
      <c r="C251">
        <v>285.39494324999998</v>
      </c>
      <c r="D251">
        <v>95.674015249999997</v>
      </c>
      <c r="E251">
        <v>174.43890775</v>
      </c>
      <c r="F251">
        <v>6.2852715000000003</v>
      </c>
      <c r="G251">
        <v>288.44094849999999</v>
      </c>
      <c r="H251">
        <v>-4</v>
      </c>
      <c r="I251">
        <v>32</v>
      </c>
      <c r="J251">
        <v>1.18</v>
      </c>
      <c r="K251">
        <v>21.868449999999999</v>
      </c>
      <c r="L251">
        <v>-1.9192882497814829</v>
      </c>
      <c r="M251">
        <v>-0.2239393575555817</v>
      </c>
      <c r="N251">
        <v>-0.50727966952749504</v>
      </c>
      <c r="O251">
        <v>-0.25176565375395937</v>
      </c>
    </row>
    <row r="252" spans="1:15" x14ac:dyDescent="0.25">
      <c r="A252">
        <v>-196.88742825</v>
      </c>
      <c r="B252">
        <v>8.9923062500000004</v>
      </c>
      <c r="C252">
        <v>302.18534825</v>
      </c>
      <c r="D252">
        <v>69.170898250000008</v>
      </c>
      <c r="E252">
        <v>134.785572</v>
      </c>
      <c r="F252">
        <v>6.5288772500000007</v>
      </c>
      <c r="G252">
        <v>302.48488624999999</v>
      </c>
      <c r="H252">
        <v>-4</v>
      </c>
      <c r="I252">
        <v>36</v>
      </c>
      <c r="J252">
        <v>1.18</v>
      </c>
      <c r="K252">
        <v>22.396867499999999</v>
      </c>
      <c r="L252">
        <v>-2.1819104834046601</v>
      </c>
      <c r="M252">
        <v>-0.26306780512504219</v>
      </c>
      <c r="N252">
        <v>-0.73317133148074798</v>
      </c>
      <c r="O252">
        <v>-0.43926652984861903</v>
      </c>
    </row>
    <row r="253" spans="1:15" x14ac:dyDescent="0.25">
      <c r="A253">
        <v>-244.58904250000001</v>
      </c>
      <c r="B253">
        <v>-35.313306750000002</v>
      </c>
      <c r="C253">
        <v>311.53695699999997</v>
      </c>
      <c r="D253">
        <v>34.125457750000002</v>
      </c>
      <c r="E253">
        <v>81.765455250000002</v>
      </c>
      <c r="F253">
        <v>6.5780767500000001</v>
      </c>
      <c r="G253">
        <v>311.56743625000001</v>
      </c>
      <c r="H253">
        <v>-4</v>
      </c>
      <c r="I253">
        <v>40</v>
      </c>
      <c r="J253">
        <v>1.18</v>
      </c>
      <c r="K253">
        <v>22.736113499999998</v>
      </c>
      <c r="L253">
        <v>-2.508327523762421</v>
      </c>
      <c r="M253">
        <v>-0.31317750688080198</v>
      </c>
      <c r="N253">
        <v>-1.0365306318883121</v>
      </c>
      <c r="O253">
        <v>-0.66090407347604485</v>
      </c>
    </row>
    <row r="254" spans="1:15" x14ac:dyDescent="0.25">
      <c r="A254">
        <v>-295.62392425000002</v>
      </c>
      <c r="B254">
        <v>-83.725168499999995</v>
      </c>
      <c r="C254">
        <v>324.08338924999998</v>
      </c>
      <c r="D254">
        <v>-6.6871340000000004</v>
      </c>
      <c r="E254">
        <v>20.787844750000001</v>
      </c>
      <c r="F254">
        <v>6.5780767500000001</v>
      </c>
      <c r="G254">
        <v>323.89089174999998</v>
      </c>
      <c r="H254">
        <v>-4</v>
      </c>
      <c r="I254">
        <v>44</v>
      </c>
      <c r="J254">
        <v>1.18</v>
      </c>
      <c r="K254">
        <v>23.190902000000001</v>
      </c>
      <c r="L254">
        <v>-2.944750611746342</v>
      </c>
      <c r="M254">
        <v>-0.36594986359965909</v>
      </c>
      <c r="N254">
        <v>-1.4404003276869719</v>
      </c>
      <c r="O254">
        <v>-0.93251730305167324</v>
      </c>
    </row>
    <row r="255" spans="1:15" x14ac:dyDescent="0.25">
      <c r="A255">
        <v>339.26063549999998</v>
      </c>
      <c r="B255">
        <v>-88.427213749999993</v>
      </c>
      <c r="C255">
        <v>-358.65901975000003</v>
      </c>
      <c r="D255">
        <v>-108.436474</v>
      </c>
      <c r="E255">
        <v>-52.673563999999999</v>
      </c>
      <c r="F255">
        <v>7.11356725</v>
      </c>
      <c r="G255">
        <v>339.25521075</v>
      </c>
      <c r="H255">
        <v>0</v>
      </c>
      <c r="I255">
        <v>-44</v>
      </c>
      <c r="J255">
        <v>1.18</v>
      </c>
      <c r="K255">
        <v>23.726601250000002</v>
      </c>
      <c r="L255">
        <v>3.8586270772885252</v>
      </c>
      <c r="M255">
        <v>0.11060252940145091</v>
      </c>
      <c r="N255">
        <v>-2.1668943556953768</v>
      </c>
      <c r="O255">
        <v>-1.3305617036954149</v>
      </c>
    </row>
    <row r="256" spans="1:15" x14ac:dyDescent="0.25">
      <c r="A256">
        <v>321.20824425000001</v>
      </c>
      <c r="B256">
        <v>-32.482485750000002</v>
      </c>
      <c r="C256">
        <v>-296.50709525000002</v>
      </c>
      <c r="D256">
        <v>-54.45862125</v>
      </c>
      <c r="E256">
        <v>24.319538999999999</v>
      </c>
      <c r="F256">
        <v>6.7729832500000002</v>
      </c>
      <c r="G256">
        <v>322.01036049999999</v>
      </c>
      <c r="H256">
        <v>0</v>
      </c>
      <c r="I256">
        <v>-40</v>
      </c>
      <c r="J256">
        <v>1.18</v>
      </c>
      <c r="K256">
        <v>23.114922</v>
      </c>
      <c r="L256">
        <v>3.091667443590989</v>
      </c>
      <c r="M256">
        <v>0.1099844886398639</v>
      </c>
      <c r="N256">
        <v>-1.4900063490841879</v>
      </c>
      <c r="O256">
        <v>-0.91220815553473</v>
      </c>
    </row>
    <row r="257" spans="1:15" x14ac:dyDescent="0.25">
      <c r="A257">
        <v>297.10132575</v>
      </c>
      <c r="B257">
        <v>10.627270749999999</v>
      </c>
      <c r="C257">
        <v>-234.35515599999999</v>
      </c>
      <c r="D257">
        <v>-9.6154877499999998</v>
      </c>
      <c r="E257">
        <v>81.273700500000004</v>
      </c>
      <c r="F257">
        <v>6.4797177500000007</v>
      </c>
      <c r="G257">
        <v>297.44347375000001</v>
      </c>
      <c r="H257">
        <v>0</v>
      </c>
      <c r="I257">
        <v>-36</v>
      </c>
      <c r="J257">
        <v>1.18</v>
      </c>
      <c r="K257">
        <v>22.207164500000001</v>
      </c>
      <c r="L257">
        <v>2.61469374822989</v>
      </c>
      <c r="M257">
        <v>9.9549157881055533E-2</v>
      </c>
      <c r="N257">
        <v>-1.063534530252801</v>
      </c>
      <c r="O257">
        <v>-0.63201260501835677</v>
      </c>
    </row>
    <row r="258" spans="1:15" x14ac:dyDescent="0.25">
      <c r="A258">
        <v>279.74974025</v>
      </c>
      <c r="B258">
        <v>47.750587250000002</v>
      </c>
      <c r="C258">
        <v>-179.82565299999999</v>
      </c>
      <c r="D258">
        <v>29.920005750000001</v>
      </c>
      <c r="E258">
        <v>129.73391325</v>
      </c>
      <c r="F258">
        <v>6.3339980000000002</v>
      </c>
      <c r="G258">
        <v>280.67877199999998</v>
      </c>
      <c r="H258">
        <v>0</v>
      </c>
      <c r="I258">
        <v>-32</v>
      </c>
      <c r="J258">
        <v>1.18</v>
      </c>
      <c r="K258">
        <v>21.563640249999999</v>
      </c>
      <c r="L258">
        <v>2.2452761298771722</v>
      </c>
      <c r="M258">
        <v>8.7096968520847542E-2</v>
      </c>
      <c r="N258">
        <v>-0.73745766439808191</v>
      </c>
      <c r="O258">
        <v>-0.39712169690172178</v>
      </c>
    </row>
    <row r="259" spans="1:15" x14ac:dyDescent="0.25">
      <c r="A259">
        <v>260.98432150000002</v>
      </c>
      <c r="B259">
        <v>78.62256825</v>
      </c>
      <c r="C259">
        <v>-129.6711195</v>
      </c>
      <c r="D259">
        <v>58.920111749999997</v>
      </c>
      <c r="E259">
        <v>165.18497099999999</v>
      </c>
      <c r="F259">
        <v>5.6518677500000001</v>
      </c>
      <c r="G259">
        <v>264.79431149999999</v>
      </c>
      <c r="H259">
        <v>0</v>
      </c>
      <c r="I259">
        <v>-28</v>
      </c>
      <c r="J259">
        <v>1.18</v>
      </c>
      <c r="K259">
        <v>20.95764625</v>
      </c>
      <c r="L259">
        <v>1.947819902102979</v>
      </c>
      <c r="M259">
        <v>9.8259015572585859E-2</v>
      </c>
      <c r="N259">
        <v>-0.49666267001781039</v>
      </c>
      <c r="O259">
        <v>-0.2045619949354264</v>
      </c>
    </row>
    <row r="260" spans="1:15" x14ac:dyDescent="0.25">
      <c r="A260">
        <v>269.79255699999999</v>
      </c>
      <c r="B260">
        <v>110.31203425</v>
      </c>
      <c r="C260">
        <v>-97.151853750000001</v>
      </c>
      <c r="D260">
        <v>88.840156499999992</v>
      </c>
      <c r="E260">
        <v>209.04056925</v>
      </c>
      <c r="F260">
        <v>6.0408157500000002</v>
      </c>
      <c r="G260">
        <v>277.83797425</v>
      </c>
      <c r="H260">
        <v>0</v>
      </c>
      <c r="I260">
        <v>-24</v>
      </c>
      <c r="J260">
        <v>1.18</v>
      </c>
      <c r="K260">
        <v>21.463283499999999</v>
      </c>
      <c r="L260">
        <v>1.72117841841838</v>
      </c>
      <c r="M260">
        <v>0.1007120944975753</v>
      </c>
      <c r="N260">
        <v>-0.32271212128806093</v>
      </c>
      <c r="O260">
        <v>-4.7823297164705569E-2</v>
      </c>
    </row>
    <row r="261" spans="1:15" x14ac:dyDescent="0.25">
      <c r="A261">
        <v>280.90473150000003</v>
      </c>
      <c r="B261">
        <v>142.19384024999999</v>
      </c>
      <c r="C261">
        <v>-64.632590999999991</v>
      </c>
      <c r="D261">
        <v>116.48224424999999</v>
      </c>
      <c r="E261">
        <v>252.71734599999999</v>
      </c>
      <c r="F261">
        <v>6.4797172500000002</v>
      </c>
      <c r="G261">
        <v>297.4434665</v>
      </c>
      <c r="H261">
        <v>0</v>
      </c>
      <c r="I261">
        <v>-20</v>
      </c>
      <c r="J261">
        <v>1.18</v>
      </c>
      <c r="K261">
        <v>22.207158249999999</v>
      </c>
      <c r="L261">
        <v>1.523607731813504</v>
      </c>
      <c r="M261">
        <v>0.1133747260358681</v>
      </c>
      <c r="N261">
        <v>-0.1972429055526157</v>
      </c>
      <c r="O261">
        <v>8.5741806435495838E-2</v>
      </c>
    </row>
    <row r="262" spans="1:15" x14ac:dyDescent="0.25">
      <c r="A262">
        <v>280.50711825000002</v>
      </c>
      <c r="B262">
        <v>166.42979424999999</v>
      </c>
      <c r="C262">
        <v>-25.663606000000001</v>
      </c>
      <c r="D262">
        <v>138.64848325</v>
      </c>
      <c r="E262">
        <v>289.28602575000002</v>
      </c>
      <c r="F262">
        <v>6.7242565000000001</v>
      </c>
      <c r="G262">
        <v>313.52799225000001</v>
      </c>
      <c r="H262">
        <v>0</v>
      </c>
      <c r="I262">
        <v>-16</v>
      </c>
      <c r="J262">
        <v>1.18</v>
      </c>
      <c r="K262">
        <v>22.803638750000001</v>
      </c>
      <c r="L262">
        <v>1.3152117032883239</v>
      </c>
      <c r="M262">
        <v>0.1193375064403585</v>
      </c>
      <c r="N262">
        <v>-0.1041418223232697</v>
      </c>
      <c r="O262">
        <v>0.2137851967857643</v>
      </c>
    </row>
    <row r="263" spans="1:15" x14ac:dyDescent="0.25">
      <c r="A263">
        <v>273.89140325</v>
      </c>
      <c r="B263">
        <v>179.74995025000001</v>
      </c>
      <c r="C263">
        <v>17.071272</v>
      </c>
      <c r="D263">
        <v>155.0322305</v>
      </c>
      <c r="E263">
        <v>315.88549849999998</v>
      </c>
      <c r="F263">
        <v>6.9674015000000002</v>
      </c>
      <c r="G263">
        <v>327.13181274999999</v>
      </c>
      <c r="H263">
        <v>0</v>
      </c>
      <c r="I263">
        <v>-12</v>
      </c>
      <c r="J263">
        <v>1.18</v>
      </c>
      <c r="K263">
        <v>23.29487275</v>
      </c>
      <c r="L263">
        <v>1.117440546120076</v>
      </c>
      <c r="M263">
        <v>0.1075520152392061</v>
      </c>
      <c r="N263">
        <v>-4.8965136533283667E-2</v>
      </c>
      <c r="O263">
        <v>0.34409948198307311</v>
      </c>
    </row>
    <row r="264" spans="1:15" x14ac:dyDescent="0.25">
      <c r="A264">
        <v>259.91838849999999</v>
      </c>
      <c r="B264">
        <v>191.48322675</v>
      </c>
      <c r="C264">
        <v>67.020580249999995</v>
      </c>
      <c r="D264">
        <v>166.0277365</v>
      </c>
      <c r="E264">
        <v>337.969765</v>
      </c>
      <c r="F264">
        <v>7.1130659999999999</v>
      </c>
      <c r="G264">
        <v>340.73563374999998</v>
      </c>
      <c r="H264">
        <v>0</v>
      </c>
      <c r="I264">
        <v>-8</v>
      </c>
      <c r="J264">
        <v>1.18</v>
      </c>
      <c r="K264">
        <v>23.779431750000001</v>
      </c>
      <c r="L264">
        <v>0.87107304116368101</v>
      </c>
      <c r="M264">
        <v>0.1149328572995623</v>
      </c>
      <c r="N264">
        <v>-1.2489562677973661E-2</v>
      </c>
      <c r="O264">
        <v>0.49409125823062278</v>
      </c>
    </row>
    <row r="265" spans="1:15" x14ac:dyDescent="0.25">
      <c r="A265">
        <v>216.42469025</v>
      </c>
      <c r="B265">
        <v>176.91280724999999</v>
      </c>
      <c r="C265">
        <v>104.81447224999999</v>
      </c>
      <c r="D265">
        <v>152.31620774999999</v>
      </c>
      <c r="E265">
        <v>316.77959475</v>
      </c>
      <c r="F265">
        <v>6.7237827499999998</v>
      </c>
      <c r="G265">
        <v>318.84947199999999</v>
      </c>
      <c r="H265">
        <v>0</v>
      </c>
      <c r="I265">
        <v>-4</v>
      </c>
      <c r="J265">
        <v>1.18</v>
      </c>
      <c r="K265">
        <v>23.000546</v>
      </c>
      <c r="L265">
        <v>0.59302872948011309</v>
      </c>
      <c r="M265">
        <v>0.13065085950728469</v>
      </c>
      <c r="N265">
        <v>-1.102475460521816E-2</v>
      </c>
      <c r="O265">
        <v>0.64740799451127695</v>
      </c>
    </row>
    <row r="266" spans="1:15" x14ac:dyDescent="0.25">
      <c r="A266">
        <v>169.68706925000001</v>
      </c>
      <c r="B266">
        <v>162.82325374999999</v>
      </c>
      <c r="C266">
        <v>139.52347925000001</v>
      </c>
      <c r="D266">
        <v>140.44457274999999</v>
      </c>
      <c r="E266">
        <v>298.22703575000003</v>
      </c>
      <c r="F266">
        <v>6.6745687499999997</v>
      </c>
      <c r="G266">
        <v>297.60350799999998</v>
      </c>
      <c r="H266">
        <v>0</v>
      </c>
      <c r="I266">
        <v>0</v>
      </c>
      <c r="J266">
        <v>1.18</v>
      </c>
      <c r="K266">
        <v>22.20583225</v>
      </c>
      <c r="L266">
        <v>0.190588711560576</v>
      </c>
      <c r="M266">
        <v>0.14129456632261569</v>
      </c>
      <c r="N266">
        <v>3.9243972437401292E-3</v>
      </c>
      <c r="O266">
        <v>0.84253091087852017</v>
      </c>
    </row>
    <row r="267" spans="1:15" x14ac:dyDescent="0.25">
      <c r="A267">
        <v>124.783331</v>
      </c>
      <c r="B267">
        <v>151.95555100000001</v>
      </c>
      <c r="C267">
        <v>167.02180100000001</v>
      </c>
      <c r="D267">
        <v>133.04122150000001</v>
      </c>
      <c r="E267">
        <v>282.04382299999997</v>
      </c>
      <c r="F267">
        <v>6.23699125</v>
      </c>
      <c r="G267">
        <v>281.31894675000001</v>
      </c>
      <c r="H267">
        <v>0</v>
      </c>
      <c r="I267">
        <v>4</v>
      </c>
      <c r="J267">
        <v>1.18</v>
      </c>
      <c r="K267">
        <v>21.592585</v>
      </c>
      <c r="L267">
        <v>-0.27582896651976913</v>
      </c>
      <c r="M267">
        <v>0.12350533294422759</v>
      </c>
      <c r="N267">
        <v>4.7034218646901027E-3</v>
      </c>
      <c r="O267">
        <v>0.80114446403438655</v>
      </c>
    </row>
    <row r="268" spans="1:15" x14ac:dyDescent="0.25">
      <c r="A268">
        <v>81.108469249999999</v>
      </c>
      <c r="B268">
        <v>141.9534075</v>
      </c>
      <c r="C268">
        <v>183.52686700000001</v>
      </c>
      <c r="D268">
        <v>129.27383800000001</v>
      </c>
      <c r="E268">
        <v>262.73125425000001</v>
      </c>
      <c r="F268">
        <v>5.3595360000000003</v>
      </c>
      <c r="G268">
        <v>263.954071</v>
      </c>
      <c r="H268">
        <v>0</v>
      </c>
      <c r="I268">
        <v>8</v>
      </c>
      <c r="J268">
        <v>1.18</v>
      </c>
      <c r="K268">
        <v>20.935511250000001</v>
      </c>
      <c r="L268">
        <v>-0.65009659334268299</v>
      </c>
      <c r="M268">
        <v>8.048656081331601E-2</v>
      </c>
      <c r="N268">
        <v>-7.771406969546586E-3</v>
      </c>
      <c r="O268">
        <v>0.63370913376911875</v>
      </c>
    </row>
    <row r="269" spans="1:15" x14ac:dyDescent="0.25">
      <c r="A269">
        <v>46.21576975</v>
      </c>
      <c r="B269">
        <v>150.36866774999999</v>
      </c>
      <c r="C269">
        <v>223.40235125000001</v>
      </c>
      <c r="D269">
        <v>138.64848699999999</v>
      </c>
      <c r="E269">
        <v>278.82505774999998</v>
      </c>
      <c r="F269">
        <v>6.0416664999999998</v>
      </c>
      <c r="G269">
        <v>283.83965325000003</v>
      </c>
      <c r="H269">
        <v>0</v>
      </c>
      <c r="I269">
        <v>12</v>
      </c>
      <c r="J269">
        <v>1.18</v>
      </c>
      <c r="K269">
        <v>21.698912750000002</v>
      </c>
      <c r="L269">
        <v>-0.95060401997996846</v>
      </c>
      <c r="M269">
        <v>6.2872977893416587E-2</v>
      </c>
      <c r="N269">
        <v>-2.691707647893957E-2</v>
      </c>
      <c r="O269">
        <v>0.46350115743929821</v>
      </c>
    </row>
    <row r="270" spans="1:15" x14ac:dyDescent="0.25">
      <c r="A270">
        <v>5.0100144999999996</v>
      </c>
      <c r="B270">
        <v>152.00363150000001</v>
      </c>
      <c r="C270">
        <v>256.84845725000002</v>
      </c>
      <c r="D270">
        <v>142.7225225</v>
      </c>
      <c r="E270">
        <v>284.81553624999998</v>
      </c>
      <c r="F270">
        <v>6.3335377499999996</v>
      </c>
      <c r="G270">
        <v>299.16395599999998</v>
      </c>
      <c r="H270">
        <v>0</v>
      </c>
      <c r="I270">
        <v>16</v>
      </c>
      <c r="J270">
        <v>1.18</v>
      </c>
      <c r="K270">
        <v>22.278295750000002</v>
      </c>
      <c r="L270">
        <v>-1.1938455009630931</v>
      </c>
      <c r="M270">
        <v>4.3999007826639971E-2</v>
      </c>
      <c r="N270">
        <v>-6.8033787786943509E-2</v>
      </c>
      <c r="O270">
        <v>0.32013919295943061</v>
      </c>
    </row>
    <row r="271" spans="1:15" x14ac:dyDescent="0.25">
      <c r="A271">
        <v>-36.035219249999997</v>
      </c>
      <c r="B271">
        <v>150.36866749999999</v>
      </c>
      <c r="C271">
        <v>279.94168875000003</v>
      </c>
      <c r="D271">
        <v>140.09411249999999</v>
      </c>
      <c r="E271">
        <v>276.58982049999997</v>
      </c>
      <c r="F271">
        <v>6.5776035000000004</v>
      </c>
      <c r="G271">
        <v>307.04617300000001</v>
      </c>
      <c r="H271">
        <v>0</v>
      </c>
      <c r="I271">
        <v>20</v>
      </c>
      <c r="J271">
        <v>1.18</v>
      </c>
      <c r="K271">
        <v>22.566973749999999</v>
      </c>
      <c r="L271">
        <v>-1.407089542142079</v>
      </c>
      <c r="M271">
        <v>4.5753469123860871E-2</v>
      </c>
      <c r="N271">
        <v>-0.13563785633597791</v>
      </c>
      <c r="O271">
        <v>0.20240365884901301</v>
      </c>
    </row>
    <row r="272" spans="1:15" x14ac:dyDescent="0.25">
      <c r="A272">
        <v>-79.682873000000001</v>
      </c>
      <c r="B272">
        <v>142.43428025</v>
      </c>
      <c r="C272">
        <v>307.08238225000002</v>
      </c>
      <c r="D272">
        <v>129.23002625000001</v>
      </c>
      <c r="E272">
        <v>268.63233150000002</v>
      </c>
      <c r="F272">
        <v>6.9674015000000002</v>
      </c>
      <c r="G272">
        <v>323.53078475000001</v>
      </c>
      <c r="H272">
        <v>0</v>
      </c>
      <c r="I272">
        <v>24</v>
      </c>
      <c r="J272">
        <v>1.18</v>
      </c>
      <c r="K272">
        <v>23.163499000000002</v>
      </c>
      <c r="L272">
        <v>-1.586028696060364</v>
      </c>
      <c r="M272">
        <v>5.4144307984693073E-2</v>
      </c>
      <c r="N272">
        <v>-0.22513075642508901</v>
      </c>
      <c r="O272">
        <v>7.3016422405931786E-2</v>
      </c>
    </row>
    <row r="273" spans="1:15" x14ac:dyDescent="0.25">
      <c r="A273">
        <v>-127.74485224999999</v>
      </c>
      <c r="B273">
        <v>124.930542</v>
      </c>
      <c r="C273">
        <v>328.80592324999998</v>
      </c>
      <c r="D273">
        <v>106.84474950000001</v>
      </c>
      <c r="E273">
        <v>247.2186355</v>
      </c>
      <c r="F273">
        <v>7.1617787499999999</v>
      </c>
      <c r="G273">
        <v>337.53471374999998</v>
      </c>
      <c r="H273">
        <v>0</v>
      </c>
      <c r="I273">
        <v>28</v>
      </c>
      <c r="J273">
        <v>1.18</v>
      </c>
      <c r="K273">
        <v>23.663342</v>
      </c>
      <c r="L273">
        <v>-1.7718754165330739</v>
      </c>
      <c r="M273">
        <v>7.0156859684865597E-2</v>
      </c>
      <c r="N273">
        <v>-0.35053454179655857</v>
      </c>
      <c r="O273">
        <v>-6.8336728731837007E-2</v>
      </c>
    </row>
    <row r="274" spans="1:15" x14ac:dyDescent="0.25">
      <c r="A274">
        <v>-169.54570774999999</v>
      </c>
      <c r="B274">
        <v>90.259674000000004</v>
      </c>
      <c r="C274">
        <v>326.99964899999998</v>
      </c>
      <c r="D274">
        <v>72.982091749999995</v>
      </c>
      <c r="E274">
        <v>199.9207495</v>
      </c>
      <c r="F274">
        <v>7.0643397500000003</v>
      </c>
      <c r="G274">
        <v>329.49246225000002</v>
      </c>
      <c r="H274">
        <v>0</v>
      </c>
      <c r="I274">
        <v>32</v>
      </c>
      <c r="J274">
        <v>1.18</v>
      </c>
      <c r="K274">
        <v>23.377057749999999</v>
      </c>
      <c r="L274">
        <v>-2.000543976289292</v>
      </c>
      <c r="M274">
        <v>6.9645755675901991E-2</v>
      </c>
      <c r="N274">
        <v>-0.52204446453831976</v>
      </c>
      <c r="O274">
        <v>-0.2229722666151627</v>
      </c>
    </row>
    <row r="275" spans="1:15" x14ac:dyDescent="0.25">
      <c r="A275">
        <v>-197.60812749999999</v>
      </c>
      <c r="B275">
        <v>49.337465250000001</v>
      </c>
      <c r="C275">
        <v>305.93314375</v>
      </c>
      <c r="D275">
        <v>32.154151499999998</v>
      </c>
      <c r="E275">
        <v>136.93141175</v>
      </c>
      <c r="F275">
        <v>6.7237827499999998</v>
      </c>
      <c r="G275">
        <v>306.16591625000001</v>
      </c>
      <c r="H275">
        <v>0</v>
      </c>
      <c r="I275">
        <v>36</v>
      </c>
      <c r="J275">
        <v>1.18</v>
      </c>
      <c r="K275">
        <v>22.528386250000001</v>
      </c>
      <c r="L275">
        <v>-2.2924129967607398</v>
      </c>
      <c r="M275">
        <v>7.824270607581027E-2</v>
      </c>
      <c r="N275">
        <v>-0.77050308373609322</v>
      </c>
      <c r="O275">
        <v>-0.40721341304226449</v>
      </c>
    </row>
    <row r="276" spans="1:15" x14ac:dyDescent="0.25">
      <c r="A276">
        <v>-223.41835424999999</v>
      </c>
      <c r="B276">
        <v>9.2808287499999995</v>
      </c>
      <c r="C276">
        <v>286.74177550000002</v>
      </c>
      <c r="D276">
        <v>-6.5123072500000001</v>
      </c>
      <c r="E276">
        <v>75.104410250000001</v>
      </c>
      <c r="F276">
        <v>6.1395379999999999</v>
      </c>
      <c r="G276">
        <v>286.24033374999999</v>
      </c>
      <c r="H276">
        <v>0</v>
      </c>
      <c r="I276">
        <v>40</v>
      </c>
      <c r="J276">
        <v>0.88500000000000001</v>
      </c>
      <c r="L276">
        <v>-2.684115228308638</v>
      </c>
      <c r="M276">
        <v>8.3070314000054352E-2</v>
      </c>
      <c r="N276">
        <v>-1.1108564888429699</v>
      </c>
      <c r="O276">
        <v>-0.63715437909914518</v>
      </c>
    </row>
    <row r="277" spans="1:15" x14ac:dyDescent="0.25">
      <c r="A277">
        <v>-240.80535125</v>
      </c>
      <c r="B277">
        <v>-27.58673125</v>
      </c>
      <c r="C277">
        <v>265.80683125000002</v>
      </c>
      <c r="D277">
        <v>-43.706756499999997</v>
      </c>
      <c r="E277">
        <v>17.300854749999999</v>
      </c>
      <c r="F277">
        <v>5.84676025</v>
      </c>
      <c r="G277">
        <v>265.87461875000002</v>
      </c>
      <c r="H277">
        <v>0</v>
      </c>
      <c r="I277">
        <v>44</v>
      </c>
      <c r="J277">
        <v>1.18</v>
      </c>
      <c r="K277">
        <v>20.993431749999999</v>
      </c>
      <c r="L277">
        <v>-3.175208550976182</v>
      </c>
      <c r="M277">
        <v>0.1009387708776079</v>
      </c>
      <c r="N277">
        <v>-1.5579630251445631</v>
      </c>
      <c r="O277">
        <v>-0.92822967010648627</v>
      </c>
    </row>
    <row r="278" spans="1:15" x14ac:dyDescent="0.25">
      <c r="A278">
        <v>280.40843174999998</v>
      </c>
      <c r="B278">
        <v>-24.084242499999998</v>
      </c>
      <c r="C278">
        <v>-289.69654075</v>
      </c>
      <c r="D278">
        <v>-129.63425075000001</v>
      </c>
      <c r="E278">
        <v>-37.551426749999997</v>
      </c>
      <c r="F278">
        <v>5.9441997499999992</v>
      </c>
      <c r="G278">
        <v>283.11945374999999</v>
      </c>
      <c r="H278">
        <v>4</v>
      </c>
      <c r="I278">
        <v>-44</v>
      </c>
      <c r="J278">
        <v>1.18</v>
      </c>
      <c r="K278">
        <v>21.674593250000001</v>
      </c>
      <c r="L278">
        <v>3.3124359353906749</v>
      </c>
      <c r="M278">
        <v>0.61328512566884275</v>
      </c>
      <c r="N278">
        <v>-1.8632263533942599</v>
      </c>
      <c r="O278">
        <v>-1.252737412105809</v>
      </c>
    </row>
    <row r="279" spans="1:15" x14ac:dyDescent="0.25">
      <c r="A279">
        <v>297.04278575000001</v>
      </c>
      <c r="B279">
        <v>13.27206625</v>
      </c>
      <c r="C279">
        <v>-273.54965974999999</v>
      </c>
      <c r="D279">
        <v>-93.794708249999999</v>
      </c>
      <c r="E279">
        <v>21.950173750000001</v>
      </c>
      <c r="F279">
        <v>6.3822780000000003</v>
      </c>
      <c r="G279">
        <v>297.4434665</v>
      </c>
      <c r="H279">
        <v>4</v>
      </c>
      <c r="I279">
        <v>-40</v>
      </c>
      <c r="J279">
        <v>1.18</v>
      </c>
      <c r="K279">
        <v>22.210892000000001</v>
      </c>
      <c r="L279">
        <v>2.7751120713627508</v>
      </c>
      <c r="M279">
        <v>0.52072571366279763</v>
      </c>
      <c r="N279">
        <v>-1.3400161807750779</v>
      </c>
      <c r="O279">
        <v>-0.92436240883173837</v>
      </c>
    </row>
    <row r="280" spans="1:15" x14ac:dyDescent="0.25">
      <c r="A280">
        <v>309.29329675000002</v>
      </c>
      <c r="B280">
        <v>55.444539250000012</v>
      </c>
      <c r="C280">
        <v>-244.81906499999999</v>
      </c>
      <c r="D280">
        <v>-49.301224750000003</v>
      </c>
      <c r="E280">
        <v>86.951233000000002</v>
      </c>
      <c r="F280">
        <v>6.7237827499999998</v>
      </c>
      <c r="G280">
        <v>310.68718749999999</v>
      </c>
      <c r="H280">
        <v>4</v>
      </c>
      <c r="I280">
        <v>-36</v>
      </c>
      <c r="J280">
        <v>1.18</v>
      </c>
      <c r="K280">
        <v>22.697838000000001</v>
      </c>
      <c r="L280">
        <v>2.3678843481705321</v>
      </c>
      <c r="M280">
        <v>0.44758741893187609</v>
      </c>
      <c r="N280">
        <v>-0.95609199929401445</v>
      </c>
      <c r="O280">
        <v>-0.65715120473674116</v>
      </c>
    </row>
    <row r="281" spans="1:15" x14ac:dyDescent="0.25">
      <c r="A281">
        <v>319.98972325</v>
      </c>
      <c r="B281">
        <v>95.885873750000002</v>
      </c>
      <c r="C281">
        <v>-210.49569299999999</v>
      </c>
      <c r="D281">
        <v>-8.1731642499999992</v>
      </c>
      <c r="E281">
        <v>145.29125225000001</v>
      </c>
      <c r="F281">
        <v>6.87043625</v>
      </c>
      <c r="G281">
        <v>322.25044250000002</v>
      </c>
      <c r="H281">
        <v>4</v>
      </c>
      <c r="I281">
        <v>-32</v>
      </c>
      <c r="J281">
        <v>1.18</v>
      </c>
      <c r="K281">
        <v>23.120167500000001</v>
      </c>
      <c r="L281">
        <v>2.083430438784907</v>
      </c>
      <c r="M281">
        <v>0.40866549805099661</v>
      </c>
      <c r="N281">
        <v>-0.69500210582960187</v>
      </c>
      <c r="O281">
        <v>-0.45638332869992487</v>
      </c>
    </row>
    <row r="282" spans="1:15" x14ac:dyDescent="0.25">
      <c r="A282">
        <v>330.18967425</v>
      </c>
      <c r="B282">
        <v>134.5479775</v>
      </c>
      <c r="C282">
        <v>-172.879795</v>
      </c>
      <c r="D282">
        <v>34.913980500000001</v>
      </c>
      <c r="E282">
        <v>204.60146349999999</v>
      </c>
      <c r="F282">
        <v>7.2110205000000001</v>
      </c>
      <c r="G282">
        <v>336.49443050000002</v>
      </c>
      <c r="H282">
        <v>4</v>
      </c>
      <c r="I282">
        <v>-28</v>
      </c>
      <c r="J282">
        <v>1.18</v>
      </c>
      <c r="K282">
        <v>23.624289999999998</v>
      </c>
      <c r="L282">
        <v>1.838814745968028</v>
      </c>
      <c r="M282">
        <v>0.3641860747373985</v>
      </c>
      <c r="N282">
        <v>-0.48209684825059052</v>
      </c>
      <c r="O282">
        <v>-0.27850513635613328</v>
      </c>
    </row>
    <row r="283" spans="1:15" x14ac:dyDescent="0.25">
      <c r="A283">
        <v>319.30942525</v>
      </c>
      <c r="B283">
        <v>162.7270815</v>
      </c>
      <c r="C283">
        <v>-123.1311895</v>
      </c>
      <c r="D283">
        <v>69.039480499999996</v>
      </c>
      <c r="E283">
        <v>242.47989250000001</v>
      </c>
      <c r="F283">
        <v>7.1613055000000001</v>
      </c>
      <c r="G283">
        <v>330.33270275000001</v>
      </c>
      <c r="H283">
        <v>4</v>
      </c>
      <c r="I283">
        <v>-24</v>
      </c>
      <c r="J283">
        <v>1.18</v>
      </c>
      <c r="K283">
        <v>23.404001000000001</v>
      </c>
      <c r="L283">
        <v>1.641540064259644</v>
      </c>
      <c r="M283">
        <v>0.34759489883993122</v>
      </c>
      <c r="N283">
        <v>-0.32595402947010782</v>
      </c>
      <c r="O283">
        <v>-0.1269073646534136</v>
      </c>
    </row>
    <row r="284" spans="1:15" x14ac:dyDescent="0.25">
      <c r="A284">
        <v>282.989082</v>
      </c>
      <c r="B284">
        <v>173.21008699999999</v>
      </c>
      <c r="C284">
        <v>-69.142894499999997</v>
      </c>
      <c r="D284">
        <v>89.059187000000009</v>
      </c>
      <c r="E284">
        <v>254.90789025000001</v>
      </c>
      <c r="F284">
        <v>6.4318974999999998</v>
      </c>
      <c r="G284">
        <v>303.88527675</v>
      </c>
      <c r="H284">
        <v>4</v>
      </c>
      <c r="I284">
        <v>-20</v>
      </c>
      <c r="J284">
        <v>1.18</v>
      </c>
      <c r="K284">
        <v>22.453453750000001</v>
      </c>
      <c r="L284">
        <v>1.4375607126658501</v>
      </c>
      <c r="M284">
        <v>0.34353095159457009</v>
      </c>
      <c r="N284">
        <v>-0.19994794459922061</v>
      </c>
      <c r="O284">
        <v>1.440900530227297E-2</v>
      </c>
    </row>
    <row r="285" spans="1:15" x14ac:dyDescent="0.25">
      <c r="A285">
        <v>253.9156265</v>
      </c>
      <c r="B285">
        <v>176.23958200000001</v>
      </c>
      <c r="C285">
        <v>-24.357142499999998</v>
      </c>
      <c r="D285">
        <v>100.010887</v>
      </c>
      <c r="E285">
        <v>260.56863399999997</v>
      </c>
      <c r="F285">
        <v>6.3335514999999996</v>
      </c>
      <c r="G285">
        <v>286.04026025000002</v>
      </c>
      <c r="H285">
        <v>4</v>
      </c>
      <c r="I285">
        <v>-16</v>
      </c>
      <c r="J285">
        <v>1.18</v>
      </c>
      <c r="K285">
        <v>21.773346750000002</v>
      </c>
      <c r="L285">
        <v>1.2493118134657011</v>
      </c>
      <c r="M285">
        <v>0.34224582531028791</v>
      </c>
      <c r="N285">
        <v>-0.1143719081259386</v>
      </c>
      <c r="O285">
        <v>0.14140358399532371</v>
      </c>
    </row>
    <row r="286" spans="1:15" x14ac:dyDescent="0.25">
      <c r="A286">
        <v>224.80515675000001</v>
      </c>
      <c r="B286">
        <v>173.54669575</v>
      </c>
      <c r="C286">
        <v>15.489581250000001</v>
      </c>
      <c r="D286">
        <v>103.07736425</v>
      </c>
      <c r="E286">
        <v>258.1994095</v>
      </c>
      <c r="F286">
        <v>5.8467739999999999</v>
      </c>
      <c r="G286">
        <v>270.07579049999998</v>
      </c>
      <c r="H286">
        <v>4</v>
      </c>
      <c r="I286">
        <v>-12</v>
      </c>
      <c r="J286">
        <v>1.18</v>
      </c>
      <c r="K286">
        <v>21.162332750000001</v>
      </c>
      <c r="L286">
        <v>1.052295960558824</v>
      </c>
      <c r="M286">
        <v>0.35427199801308712</v>
      </c>
      <c r="N286">
        <v>-5.9708105975790862E-2</v>
      </c>
      <c r="O286">
        <v>0.26863798163085661</v>
      </c>
    </row>
    <row r="287" spans="1:15" x14ac:dyDescent="0.25">
      <c r="A287">
        <v>210.0331765</v>
      </c>
      <c r="B287">
        <v>181.48109049999999</v>
      </c>
      <c r="C287">
        <v>56.313513999999998</v>
      </c>
      <c r="D287">
        <v>103.03355775</v>
      </c>
      <c r="E287">
        <v>269.83935524999998</v>
      </c>
      <c r="F287">
        <v>5.9929397499999997</v>
      </c>
      <c r="G287">
        <v>276.15750100000002</v>
      </c>
      <c r="H287">
        <v>4</v>
      </c>
      <c r="I287">
        <v>-8</v>
      </c>
      <c r="J287">
        <v>1.18</v>
      </c>
      <c r="K287">
        <v>21.398713499999999</v>
      </c>
      <c r="L287">
        <v>0.80832709957004589</v>
      </c>
      <c r="M287">
        <v>0.41249653969691819</v>
      </c>
      <c r="N287">
        <v>-3.3232584154614227E-2</v>
      </c>
      <c r="O287">
        <v>0.38748716095999108</v>
      </c>
    </row>
    <row r="288" spans="1:15" x14ac:dyDescent="0.25">
      <c r="A288">
        <v>199.30524825000001</v>
      </c>
      <c r="B288">
        <v>198.02308650000001</v>
      </c>
      <c r="C288">
        <v>100.691677</v>
      </c>
      <c r="D288">
        <v>101.54412474999999</v>
      </c>
      <c r="E288">
        <v>293.37976850000001</v>
      </c>
      <c r="F288">
        <v>6.3344445</v>
      </c>
      <c r="G288">
        <v>295.80300899999997</v>
      </c>
      <c r="H288">
        <v>4</v>
      </c>
      <c r="I288">
        <v>-4</v>
      </c>
      <c r="J288">
        <v>1.18</v>
      </c>
      <c r="K288">
        <v>22.150036</v>
      </c>
      <c r="L288">
        <v>0.51293199938707235</v>
      </c>
      <c r="M288">
        <v>0.50181178405589577</v>
      </c>
      <c r="N288">
        <v>-1.262756874613489E-2</v>
      </c>
      <c r="O288">
        <v>0.49300140186622471</v>
      </c>
    </row>
    <row r="289" spans="1:15" x14ac:dyDescent="0.25">
      <c r="A289">
        <v>179.86490275</v>
      </c>
      <c r="B289">
        <v>209.515919</v>
      </c>
      <c r="C289">
        <v>147.08347325</v>
      </c>
      <c r="D289">
        <v>102.94594375</v>
      </c>
      <c r="E289">
        <v>312.08558699999998</v>
      </c>
      <c r="F289">
        <v>6.5776167499999998</v>
      </c>
      <c r="G289">
        <v>312.12759425000002</v>
      </c>
      <c r="H289">
        <v>4</v>
      </c>
      <c r="I289">
        <v>0</v>
      </c>
      <c r="J289">
        <v>1.18</v>
      </c>
      <c r="K289">
        <v>22.756995750000002</v>
      </c>
      <c r="L289">
        <v>0.17524487945836029</v>
      </c>
      <c r="M289">
        <v>0.56967164717314711</v>
      </c>
      <c r="N289">
        <v>-2.5489908415618463E-4</v>
      </c>
      <c r="O289">
        <v>0.63318689722238253</v>
      </c>
    </row>
    <row r="290" spans="1:15" x14ac:dyDescent="0.25">
      <c r="A290">
        <v>149.80471775000001</v>
      </c>
      <c r="B290">
        <v>215.14213175</v>
      </c>
      <c r="C290">
        <v>193.49430075000001</v>
      </c>
      <c r="D290">
        <v>109.86742</v>
      </c>
      <c r="E290">
        <v>325.00531799999999</v>
      </c>
      <c r="F290">
        <v>6.9669007500000006</v>
      </c>
      <c r="G290">
        <v>325.57136524999999</v>
      </c>
      <c r="H290">
        <v>4</v>
      </c>
      <c r="I290">
        <v>4</v>
      </c>
      <c r="J290">
        <v>1.18</v>
      </c>
      <c r="K290">
        <v>23.238050000000001</v>
      </c>
      <c r="L290">
        <v>-0.2238623791374747</v>
      </c>
      <c r="M290">
        <v>0.53934709038903783</v>
      </c>
      <c r="N290">
        <v>-2.921871002038555E-3</v>
      </c>
      <c r="O290">
        <v>0.62959966734780082</v>
      </c>
    </row>
    <row r="291" spans="1:15" x14ac:dyDescent="0.25">
      <c r="A291">
        <v>109.94290725</v>
      </c>
      <c r="B291">
        <v>221.48963549999999</v>
      </c>
      <c r="C291">
        <v>236.36296849999999</v>
      </c>
      <c r="D291">
        <v>119.9867955</v>
      </c>
      <c r="E291">
        <v>337.41147649999999</v>
      </c>
      <c r="F291">
        <v>7.3566574999999998</v>
      </c>
      <c r="G291">
        <v>339.29521149999999</v>
      </c>
      <c r="H291">
        <v>4</v>
      </c>
      <c r="I291">
        <v>8</v>
      </c>
      <c r="J291">
        <v>1.18</v>
      </c>
      <c r="K291">
        <v>23.719337750000001</v>
      </c>
      <c r="L291">
        <v>-0.56829921293637509</v>
      </c>
      <c r="M291">
        <v>0.45632056226853079</v>
      </c>
      <c r="N291">
        <v>-8.4736217746365448E-3</v>
      </c>
      <c r="O291">
        <v>0.48375265743053381</v>
      </c>
    </row>
    <row r="292" spans="1:15" x14ac:dyDescent="0.25">
      <c r="A292">
        <v>60.198921249999998</v>
      </c>
      <c r="B292">
        <v>205.76512525000001</v>
      </c>
      <c r="C292">
        <v>251.32292949999999</v>
      </c>
      <c r="D292">
        <v>120.55627825000001</v>
      </c>
      <c r="E292">
        <v>313.16660324999998</v>
      </c>
      <c r="F292">
        <v>6.9186752499999997</v>
      </c>
      <c r="G292">
        <v>320.81002799999999</v>
      </c>
      <c r="H292">
        <v>4</v>
      </c>
      <c r="I292">
        <v>12</v>
      </c>
      <c r="J292">
        <v>1.18</v>
      </c>
      <c r="K292">
        <v>23.065504000000001</v>
      </c>
      <c r="L292">
        <v>-0.85786839174102791</v>
      </c>
      <c r="M292">
        <v>0.38247202361218963</v>
      </c>
      <c r="N292">
        <v>-3.4314699192157357E-2</v>
      </c>
      <c r="O292">
        <v>0.37461468108921109</v>
      </c>
    </row>
    <row r="293" spans="1:15" x14ac:dyDescent="0.25">
      <c r="A293">
        <v>11.463641750000001</v>
      </c>
      <c r="B293">
        <v>184.7510145</v>
      </c>
      <c r="C293">
        <v>255.65768025</v>
      </c>
      <c r="D293">
        <v>111.1378155</v>
      </c>
      <c r="E293">
        <v>281.59676324999998</v>
      </c>
      <c r="F293">
        <v>6.3331192500000002</v>
      </c>
      <c r="G293">
        <v>298.80385575000003</v>
      </c>
      <c r="H293">
        <v>4</v>
      </c>
      <c r="I293">
        <v>16</v>
      </c>
      <c r="J293">
        <v>1.18</v>
      </c>
      <c r="K293">
        <v>22.264595499999999</v>
      </c>
      <c r="L293">
        <v>-1.108486217265056</v>
      </c>
      <c r="M293">
        <v>0.33418797203260192</v>
      </c>
      <c r="N293">
        <v>-7.8124681025773926E-2</v>
      </c>
      <c r="O293">
        <v>0.24951316533887741</v>
      </c>
    </row>
    <row r="294" spans="1:15" x14ac:dyDescent="0.25">
      <c r="A294">
        <v>-25.810224999999999</v>
      </c>
      <c r="B294">
        <v>168.49754350000001</v>
      </c>
      <c r="C294">
        <v>256.2161825</v>
      </c>
      <c r="D294">
        <v>101.76315700000001</v>
      </c>
      <c r="E294">
        <v>252.16457750000001</v>
      </c>
      <c r="F294">
        <v>6.1391057499999997</v>
      </c>
      <c r="G294">
        <v>282.51927949999998</v>
      </c>
      <c r="H294">
        <v>4</v>
      </c>
      <c r="I294">
        <v>20</v>
      </c>
      <c r="J294">
        <v>1.18</v>
      </c>
      <c r="K294">
        <v>21.643475500000001</v>
      </c>
      <c r="L294">
        <v>-1.3167217131773019</v>
      </c>
      <c r="M294">
        <v>0.31158623179795059</v>
      </c>
      <c r="N294">
        <v>-0.14173711522605781</v>
      </c>
      <c r="O294">
        <v>0.1486499820985063</v>
      </c>
    </row>
    <row r="295" spans="1:15" x14ac:dyDescent="0.25">
      <c r="A295">
        <v>-60.043682250000003</v>
      </c>
      <c r="B295">
        <v>144.79055399999999</v>
      </c>
      <c r="C295">
        <v>250.78116249999999</v>
      </c>
      <c r="D295">
        <v>81.3053855</v>
      </c>
      <c r="E295">
        <v>218.02626050000001</v>
      </c>
      <c r="F295">
        <v>5.8946775000000002</v>
      </c>
      <c r="G295">
        <v>264.47421274999999</v>
      </c>
      <c r="H295">
        <v>4</v>
      </c>
      <c r="I295">
        <v>24</v>
      </c>
      <c r="J295">
        <v>1.18</v>
      </c>
      <c r="K295">
        <v>20.934899250000001</v>
      </c>
      <c r="L295">
        <v>-1.498705258236019</v>
      </c>
      <c r="M295">
        <v>0.30612032864778299</v>
      </c>
      <c r="N295">
        <v>-0.2239688184763472</v>
      </c>
      <c r="O295">
        <v>2.2836633095084151E-2</v>
      </c>
    </row>
    <row r="296" spans="1:15" x14ac:dyDescent="0.25">
      <c r="A296">
        <v>-101.30400675</v>
      </c>
      <c r="B296">
        <v>136.47147000000001</v>
      </c>
      <c r="C296">
        <v>274.956299</v>
      </c>
      <c r="D296">
        <v>60.365730249999999</v>
      </c>
      <c r="E296">
        <v>205.85320275000001</v>
      </c>
      <c r="F296">
        <v>6.0903652499999996</v>
      </c>
      <c r="G296">
        <v>283.19948599999998</v>
      </c>
      <c r="H296">
        <v>4</v>
      </c>
      <c r="I296">
        <v>28</v>
      </c>
      <c r="J296">
        <v>1.18</v>
      </c>
      <c r="K296">
        <v>21.67199725</v>
      </c>
      <c r="L296">
        <v>-1.662541844882218</v>
      </c>
      <c r="M296">
        <v>0.33630452388709181</v>
      </c>
      <c r="N296">
        <v>-0.34183527558249249</v>
      </c>
      <c r="O296">
        <v>-0.1173432106258864</v>
      </c>
    </row>
    <row r="297" spans="1:15" x14ac:dyDescent="0.25">
      <c r="A297">
        <v>-151.30287175000001</v>
      </c>
      <c r="B297">
        <v>117.573204</v>
      </c>
      <c r="C297">
        <v>298.23719025000003</v>
      </c>
      <c r="D297">
        <v>31.847505000000002</v>
      </c>
      <c r="E297">
        <v>182.17287049999999</v>
      </c>
      <c r="F297">
        <v>6.7228357499999998</v>
      </c>
      <c r="G297">
        <v>302.40486924999999</v>
      </c>
      <c r="H297">
        <v>4</v>
      </c>
      <c r="I297">
        <v>32</v>
      </c>
      <c r="J297">
        <v>1.18</v>
      </c>
      <c r="K297">
        <v>22.386498499999998</v>
      </c>
      <c r="L297">
        <v>-1.8583601821141651</v>
      </c>
      <c r="M297">
        <v>0.3543980992593378</v>
      </c>
      <c r="N297">
        <v>-0.49702980326753732</v>
      </c>
      <c r="O297">
        <v>-0.27470084701111103</v>
      </c>
    </row>
    <row r="298" spans="1:15" x14ac:dyDescent="0.25">
      <c r="A298">
        <v>-202.29270550000001</v>
      </c>
      <c r="B298">
        <v>90.740543500000001</v>
      </c>
      <c r="C298">
        <v>314.8780825</v>
      </c>
      <c r="D298">
        <v>-8.7850592499999998</v>
      </c>
      <c r="E298">
        <v>142.11719149999999</v>
      </c>
      <c r="F298">
        <v>6.8212222499999999</v>
      </c>
      <c r="G298">
        <v>316.56884024999999</v>
      </c>
      <c r="H298">
        <v>4</v>
      </c>
      <c r="I298">
        <v>36</v>
      </c>
      <c r="J298">
        <v>1.18</v>
      </c>
      <c r="K298">
        <v>22.912777999999999</v>
      </c>
      <c r="L298">
        <v>-2.0883093533494499</v>
      </c>
      <c r="M298">
        <v>0.40184758730875009</v>
      </c>
      <c r="N298">
        <v>-0.70446708059218088</v>
      </c>
      <c r="O298">
        <v>-0.45370046614133008</v>
      </c>
    </row>
    <row r="299" spans="1:15" x14ac:dyDescent="0.25">
      <c r="A299">
        <v>-257.11129399999999</v>
      </c>
      <c r="B299">
        <v>54.050009750000001</v>
      </c>
      <c r="C299">
        <v>330.16053749999998</v>
      </c>
      <c r="D299">
        <v>-56.556547999999999</v>
      </c>
      <c r="E299">
        <v>87.53239825</v>
      </c>
      <c r="F299">
        <v>7.2100042499999999</v>
      </c>
      <c r="G299">
        <v>331.09292599999998</v>
      </c>
      <c r="H299">
        <v>4</v>
      </c>
      <c r="I299">
        <v>40</v>
      </c>
      <c r="J299">
        <v>1.18</v>
      </c>
      <c r="K299">
        <v>23.429752499999999</v>
      </c>
      <c r="L299">
        <v>-2.403242683131019</v>
      </c>
      <c r="M299">
        <v>0.45262941863180239</v>
      </c>
      <c r="N299">
        <v>-0.99670274564855121</v>
      </c>
      <c r="O299">
        <v>-0.67130357419717801</v>
      </c>
    </row>
    <row r="300" spans="1:15" x14ac:dyDescent="0.25">
      <c r="A300">
        <v>-308.59661875</v>
      </c>
      <c r="B300">
        <v>10.002137250000001</v>
      </c>
      <c r="C300">
        <v>341.87764725</v>
      </c>
      <c r="D300">
        <v>-108.611296</v>
      </c>
      <c r="E300">
        <v>24.632474250000001</v>
      </c>
      <c r="F300">
        <v>7.5022807499999997</v>
      </c>
      <c r="G300">
        <v>342.09600074999997</v>
      </c>
      <c r="H300">
        <v>4</v>
      </c>
      <c r="I300">
        <v>44</v>
      </c>
      <c r="J300">
        <v>1.18</v>
      </c>
      <c r="K300">
        <v>23.814003249999999</v>
      </c>
      <c r="L300">
        <v>-2.7890420870105599</v>
      </c>
      <c r="M300">
        <v>0.50853065011653975</v>
      </c>
      <c r="N300">
        <v>-1.3612593016749821</v>
      </c>
      <c r="O300">
        <v>-0.9266082630214002</v>
      </c>
    </row>
    <row r="301" spans="1:15" x14ac:dyDescent="0.25">
      <c r="A301">
        <v>297.71360774999999</v>
      </c>
      <c r="B301">
        <v>18.03269925</v>
      </c>
      <c r="C301">
        <v>-307.42201999999997</v>
      </c>
      <c r="D301">
        <v>-185.27294925000001</v>
      </c>
      <c r="E301">
        <v>-39.107318999999997</v>
      </c>
      <c r="F301">
        <v>6.5284167499999999</v>
      </c>
      <c r="G301">
        <v>305.08561700000001</v>
      </c>
      <c r="H301">
        <v>8</v>
      </c>
      <c r="I301">
        <v>-44</v>
      </c>
      <c r="J301">
        <v>1.18</v>
      </c>
      <c r="K301">
        <v>22.495068249999999</v>
      </c>
      <c r="L301">
        <v>2.919969904758374</v>
      </c>
      <c r="M301">
        <v>0.98101723930774476</v>
      </c>
      <c r="N301">
        <v>-1.6608415956608911</v>
      </c>
      <c r="O301">
        <v>-1.220201908908239</v>
      </c>
    </row>
    <row r="302" spans="1:15" x14ac:dyDescent="0.25">
      <c r="A302">
        <v>282.92784124999997</v>
      </c>
      <c r="B302">
        <v>53.472963499999999</v>
      </c>
      <c r="C302">
        <v>-258.24846650000001</v>
      </c>
      <c r="D302">
        <v>-130.33355499999999</v>
      </c>
      <c r="E302">
        <v>23.112503499999999</v>
      </c>
      <c r="F302">
        <v>6.4305585000000001</v>
      </c>
      <c r="G302">
        <v>287.40065774999999</v>
      </c>
      <c r="H302">
        <v>8</v>
      </c>
      <c r="I302">
        <v>-40</v>
      </c>
      <c r="J302">
        <v>1.18</v>
      </c>
      <c r="K302">
        <v>21.822456750000001</v>
      </c>
      <c r="L302">
        <v>2.4892760765645372</v>
      </c>
      <c r="M302">
        <v>0.84546982502934998</v>
      </c>
      <c r="N302">
        <v>-1.215661895738908</v>
      </c>
      <c r="O302">
        <v>-0.92327187568543956</v>
      </c>
    </row>
    <row r="303" spans="1:15" x14ac:dyDescent="0.25">
      <c r="A303">
        <v>265.75779749999998</v>
      </c>
      <c r="B303">
        <v>83.960251</v>
      </c>
      <c r="C303">
        <v>-211.0820315</v>
      </c>
      <c r="D303">
        <v>-80.114488500000007</v>
      </c>
      <c r="E303">
        <v>71.970247499999999</v>
      </c>
      <c r="F303">
        <v>5.9437949999999997</v>
      </c>
      <c r="G303">
        <v>268.99548349999998</v>
      </c>
      <c r="H303">
        <v>8</v>
      </c>
      <c r="I303">
        <v>-36</v>
      </c>
      <c r="J303">
        <v>1.18</v>
      </c>
      <c r="K303">
        <v>21.115150750000002</v>
      </c>
      <c r="L303">
        <v>2.1917041377690349</v>
      </c>
      <c r="M303">
        <v>0.7541391384313002</v>
      </c>
      <c r="N303">
        <v>-0.9056044117444334</v>
      </c>
      <c r="O303">
        <v>-0.69653851054127036</v>
      </c>
    </row>
    <row r="304" spans="1:15" x14ac:dyDescent="0.25">
      <c r="A304">
        <v>256.08202375000002</v>
      </c>
      <c r="B304">
        <v>109.97542525</v>
      </c>
      <c r="C304">
        <v>-171.94390100000001</v>
      </c>
      <c r="D304">
        <v>-38.767896749999998</v>
      </c>
      <c r="E304">
        <v>112.6118985</v>
      </c>
      <c r="F304">
        <v>5.3591727499999999</v>
      </c>
      <c r="G304">
        <v>260.23303199999998</v>
      </c>
      <c r="H304">
        <v>8</v>
      </c>
      <c r="I304">
        <v>-32</v>
      </c>
      <c r="J304">
        <v>1.18</v>
      </c>
      <c r="K304">
        <v>20.784323749999999</v>
      </c>
      <c r="L304">
        <v>1.9637209755734939</v>
      </c>
      <c r="M304">
        <v>0.68242591264904451</v>
      </c>
      <c r="N304">
        <v>-0.67727256924883605</v>
      </c>
      <c r="O304">
        <v>-0.50795256541742162</v>
      </c>
    </row>
    <row r="305" spans="1:15" x14ac:dyDescent="0.25">
      <c r="A305">
        <v>272.63627600000001</v>
      </c>
      <c r="B305">
        <v>144.11733225</v>
      </c>
      <c r="C305">
        <v>-144.25819000000001</v>
      </c>
      <c r="D305">
        <v>-3.5402475</v>
      </c>
      <c r="E305">
        <v>164.46969225000001</v>
      </c>
      <c r="F305">
        <v>6.2843927500000003</v>
      </c>
      <c r="G305">
        <v>280.83880625</v>
      </c>
      <c r="H305">
        <v>8</v>
      </c>
      <c r="I305">
        <v>-28</v>
      </c>
      <c r="J305">
        <v>1.18</v>
      </c>
      <c r="K305">
        <v>21.571870499999999</v>
      </c>
      <c r="L305">
        <v>1.7489395362354201</v>
      </c>
      <c r="M305">
        <v>0.61941227027283519</v>
      </c>
      <c r="N305">
        <v>-0.4881829158989065</v>
      </c>
      <c r="O305">
        <v>-0.33637224775153701</v>
      </c>
    </row>
    <row r="306" spans="1:15" x14ac:dyDescent="0.25">
      <c r="A306">
        <v>284.44383225000001</v>
      </c>
      <c r="B306">
        <v>174.84505475</v>
      </c>
      <c r="C306">
        <v>-110.42651574999999</v>
      </c>
      <c r="D306">
        <v>28.21153975</v>
      </c>
      <c r="E306">
        <v>210.1445085</v>
      </c>
      <c r="F306">
        <v>6.2360985000000007</v>
      </c>
      <c r="G306">
        <v>297.44346624999997</v>
      </c>
      <c r="H306">
        <v>8</v>
      </c>
      <c r="I306">
        <v>-24</v>
      </c>
      <c r="J306">
        <v>1.18</v>
      </c>
      <c r="K306">
        <v>22.2164635</v>
      </c>
      <c r="L306">
        <v>1.5716172865949061</v>
      </c>
      <c r="M306">
        <v>0.58361752481941398</v>
      </c>
      <c r="N306">
        <v>-0.34746249023395748</v>
      </c>
      <c r="O306">
        <v>-0.18843242634922799</v>
      </c>
    </row>
    <row r="307" spans="1:15" x14ac:dyDescent="0.25">
      <c r="A307">
        <v>288.41578675</v>
      </c>
      <c r="B307">
        <v>204.94764325</v>
      </c>
      <c r="C307">
        <v>-68.84078224999999</v>
      </c>
      <c r="D307">
        <v>59.62101775</v>
      </c>
      <c r="E307">
        <v>253.6561505</v>
      </c>
      <c r="F307">
        <v>7.0146660000000001</v>
      </c>
      <c r="G307">
        <v>313.567993</v>
      </c>
      <c r="H307">
        <v>8</v>
      </c>
      <c r="I307">
        <v>-20</v>
      </c>
      <c r="J307">
        <v>1.18</v>
      </c>
      <c r="K307">
        <v>22.794329250000001</v>
      </c>
      <c r="L307">
        <v>1.383299834164496</v>
      </c>
      <c r="M307">
        <v>0.56270410862814568</v>
      </c>
      <c r="N307">
        <v>-0.2319823763578634</v>
      </c>
      <c r="O307">
        <v>-4.5012278820858113E-2</v>
      </c>
    </row>
    <row r="308" spans="1:15" x14ac:dyDescent="0.25">
      <c r="A308">
        <v>285.77154524999997</v>
      </c>
      <c r="B308">
        <v>229.56828300000001</v>
      </c>
      <c r="C308">
        <v>-23.002529750000001</v>
      </c>
      <c r="D308">
        <v>76.09237675</v>
      </c>
      <c r="E308">
        <v>287.94487750000002</v>
      </c>
      <c r="F308">
        <v>7.0643672500000001</v>
      </c>
      <c r="G308">
        <v>327.53192150000001</v>
      </c>
      <c r="H308">
        <v>8</v>
      </c>
      <c r="I308">
        <v>-16</v>
      </c>
      <c r="J308">
        <v>1.18</v>
      </c>
      <c r="K308">
        <v>23.30590325</v>
      </c>
      <c r="L308">
        <v>1.1812343029115959</v>
      </c>
      <c r="M308">
        <v>0.58712313231849711</v>
      </c>
      <c r="N308">
        <v>-0.15144903472070601</v>
      </c>
      <c r="O308">
        <v>7.4527391850891189E-2</v>
      </c>
    </row>
    <row r="309" spans="1:15" x14ac:dyDescent="0.25">
      <c r="A309">
        <v>276.42790200000002</v>
      </c>
      <c r="B309">
        <v>247.84141925</v>
      </c>
      <c r="C309">
        <v>25.874469749999999</v>
      </c>
      <c r="D309">
        <v>87.96401625</v>
      </c>
      <c r="E309">
        <v>314.94670124999999</v>
      </c>
      <c r="F309">
        <v>7.3561702499999999</v>
      </c>
      <c r="G309">
        <v>339.85536949999999</v>
      </c>
      <c r="H309">
        <v>8</v>
      </c>
      <c r="I309">
        <v>-12</v>
      </c>
      <c r="J309">
        <v>1.18</v>
      </c>
      <c r="K309">
        <v>23.739362750000002</v>
      </c>
      <c r="L309">
        <v>0.9710512150513726</v>
      </c>
      <c r="M309">
        <v>0.61959593611455599</v>
      </c>
      <c r="N309">
        <v>-9.6546138666805531E-2</v>
      </c>
      <c r="O309">
        <v>0.19208777725781279</v>
      </c>
    </row>
    <row r="310" spans="1:15" x14ac:dyDescent="0.25">
      <c r="A310">
        <v>239.3536225</v>
      </c>
      <c r="B310">
        <v>243.12887950000001</v>
      </c>
      <c r="C310">
        <v>72.074003500000003</v>
      </c>
      <c r="D310">
        <v>73.989648750000001</v>
      </c>
      <c r="E310">
        <v>309.83025400000002</v>
      </c>
      <c r="F310">
        <v>7.0151397500000003</v>
      </c>
      <c r="G310">
        <v>323.29072574999998</v>
      </c>
      <c r="H310">
        <v>8</v>
      </c>
      <c r="I310">
        <v>-8</v>
      </c>
      <c r="J310">
        <v>1.18</v>
      </c>
      <c r="K310">
        <v>23.15295175</v>
      </c>
      <c r="L310">
        <v>0.70644675856634964</v>
      </c>
      <c r="M310">
        <v>0.71426494423840281</v>
      </c>
      <c r="N310">
        <v>-5.6864578160354742E-2</v>
      </c>
      <c r="O310">
        <v>0.27881416005741477</v>
      </c>
    </row>
    <row r="311" spans="1:15" x14ac:dyDescent="0.25">
      <c r="A311">
        <v>198.04154975</v>
      </c>
      <c r="B311">
        <v>229.4721145</v>
      </c>
      <c r="C311">
        <v>108.284605</v>
      </c>
      <c r="D311">
        <v>60.146698999999998</v>
      </c>
      <c r="E311">
        <v>291.99412525000002</v>
      </c>
      <c r="F311">
        <v>6.5279702500000001</v>
      </c>
      <c r="G311">
        <v>298.88388075</v>
      </c>
      <c r="H311">
        <v>8</v>
      </c>
      <c r="I311">
        <v>-4</v>
      </c>
      <c r="J311">
        <v>1.18</v>
      </c>
      <c r="K311">
        <v>22.260214250000001</v>
      </c>
      <c r="L311">
        <v>0.43199967269878992</v>
      </c>
      <c r="M311">
        <v>0.81493797861731665</v>
      </c>
      <c r="N311">
        <v>-3.3170551283262933E-2</v>
      </c>
      <c r="O311">
        <v>0.37390182208785361</v>
      </c>
    </row>
    <row r="312" spans="1:15" x14ac:dyDescent="0.25">
      <c r="A312">
        <v>163.08524324999999</v>
      </c>
      <c r="B312">
        <v>217.93119425</v>
      </c>
      <c r="C312">
        <v>134.2406805</v>
      </c>
      <c r="D312">
        <v>54.67084775</v>
      </c>
      <c r="E312">
        <v>279.67446124999998</v>
      </c>
      <c r="F312">
        <v>6.08954225</v>
      </c>
      <c r="G312">
        <v>282.03914674999999</v>
      </c>
      <c r="H312">
        <v>8</v>
      </c>
      <c r="I312">
        <v>0</v>
      </c>
      <c r="J312">
        <v>1.18</v>
      </c>
      <c r="K312">
        <v>21.626617</v>
      </c>
      <c r="L312">
        <v>0.15576206173806301</v>
      </c>
      <c r="M312">
        <v>0.88144647660057895</v>
      </c>
      <c r="N312">
        <v>-1.278078574985452E-2</v>
      </c>
      <c r="O312">
        <v>0.47709413138545848</v>
      </c>
    </row>
    <row r="313" spans="1:15" x14ac:dyDescent="0.25">
      <c r="A313">
        <v>128.13115675</v>
      </c>
      <c r="B313">
        <v>204.94764325</v>
      </c>
      <c r="C313">
        <v>156.73718274999999</v>
      </c>
      <c r="D313">
        <v>52.787156000000003</v>
      </c>
      <c r="E313">
        <v>265.37903599999999</v>
      </c>
      <c r="F313">
        <v>5.8463554999999996</v>
      </c>
      <c r="G313">
        <v>267.35502650000001</v>
      </c>
      <c r="H313">
        <v>8</v>
      </c>
      <c r="I313">
        <v>4</v>
      </c>
      <c r="J313">
        <v>1.18</v>
      </c>
      <c r="K313">
        <v>21.053124</v>
      </c>
      <c r="L313">
        <v>-0.1635605821652289</v>
      </c>
      <c r="M313">
        <v>0.869856380024843</v>
      </c>
      <c r="N313">
        <v>-1.131779694603488E-2</v>
      </c>
      <c r="O313">
        <v>0.48375940178219728</v>
      </c>
    </row>
    <row r="314" spans="1:15" x14ac:dyDescent="0.25">
      <c r="A314">
        <v>102.915678</v>
      </c>
      <c r="B314">
        <v>211.92028450000001</v>
      </c>
      <c r="C314">
        <v>192.06183999999999</v>
      </c>
      <c r="D314">
        <v>61.898971750000001</v>
      </c>
      <c r="E314">
        <v>275.11455525000002</v>
      </c>
      <c r="F314">
        <v>6.1382547499999998</v>
      </c>
      <c r="G314">
        <v>279.87854775</v>
      </c>
      <c r="H314">
        <v>8</v>
      </c>
      <c r="I314">
        <v>8</v>
      </c>
      <c r="J314">
        <v>1.18</v>
      </c>
      <c r="K314">
        <v>21.539864000000001</v>
      </c>
      <c r="L314">
        <v>-0.46262502706646852</v>
      </c>
      <c r="M314">
        <v>0.77847120614707221</v>
      </c>
      <c r="N314">
        <v>-2.4741548042399499E-2</v>
      </c>
      <c r="O314">
        <v>0.39579266015699072</v>
      </c>
    </row>
    <row r="315" spans="1:15" x14ac:dyDescent="0.25">
      <c r="A315">
        <v>69.102507000000003</v>
      </c>
      <c r="B315">
        <v>221.87432849999999</v>
      </c>
      <c r="C315">
        <v>229.40859225</v>
      </c>
      <c r="D315">
        <v>76.004761000000002</v>
      </c>
      <c r="E315">
        <v>285.37809025000001</v>
      </c>
      <c r="F315">
        <v>6.57669675</v>
      </c>
      <c r="G315">
        <v>297.64353199999999</v>
      </c>
      <c r="H315">
        <v>8</v>
      </c>
      <c r="I315">
        <v>12</v>
      </c>
      <c r="J315">
        <v>1.18</v>
      </c>
      <c r="K315">
        <v>22.211099000000001</v>
      </c>
      <c r="L315">
        <v>-0.75323349507278825</v>
      </c>
      <c r="M315">
        <v>0.68542152729285721</v>
      </c>
      <c r="N315">
        <v>-5.7646738374716303E-2</v>
      </c>
      <c r="O315">
        <v>0.31001174021374772</v>
      </c>
    </row>
    <row r="316" spans="1:15" x14ac:dyDescent="0.25">
      <c r="A316">
        <v>27.485640249999999</v>
      </c>
      <c r="B316">
        <v>226.73114774999999</v>
      </c>
      <c r="C316">
        <v>263.33368675000003</v>
      </c>
      <c r="D316">
        <v>80.560666749999996</v>
      </c>
      <c r="E316">
        <v>289.740227</v>
      </c>
      <c r="F316">
        <v>6.6750425</v>
      </c>
      <c r="G316">
        <v>313.08785999999998</v>
      </c>
      <c r="H316">
        <v>8</v>
      </c>
      <c r="I316">
        <v>16</v>
      </c>
      <c r="J316">
        <v>1.18</v>
      </c>
      <c r="K316">
        <v>22.789102750000001</v>
      </c>
      <c r="L316">
        <v>-1.000557678405307</v>
      </c>
      <c r="M316">
        <v>0.62015297424640237</v>
      </c>
      <c r="N316">
        <v>-9.9112572546784197E-2</v>
      </c>
      <c r="O316">
        <v>0.20089050302395109</v>
      </c>
    </row>
    <row r="317" spans="1:15" x14ac:dyDescent="0.25">
      <c r="A317">
        <v>-19.549106250000001</v>
      </c>
      <c r="B317">
        <v>223.84591275</v>
      </c>
      <c r="C317">
        <v>290.51608275000001</v>
      </c>
      <c r="D317">
        <v>78.01987475</v>
      </c>
      <c r="E317">
        <v>284.60752100000002</v>
      </c>
      <c r="F317">
        <v>7.0156135000000006</v>
      </c>
      <c r="G317">
        <v>325.69139100000001</v>
      </c>
      <c r="H317">
        <v>8</v>
      </c>
      <c r="I317">
        <v>20</v>
      </c>
      <c r="J317">
        <v>1.18</v>
      </c>
      <c r="K317">
        <v>23.240649250000001</v>
      </c>
      <c r="L317">
        <v>-1.214145230606364</v>
      </c>
      <c r="M317">
        <v>0.57102614792497719</v>
      </c>
      <c r="N317">
        <v>-0.1608907927302396</v>
      </c>
      <c r="O317">
        <v>8.7038745377166687E-2</v>
      </c>
    </row>
    <row r="318" spans="1:15" x14ac:dyDescent="0.25">
      <c r="A318">
        <v>-73.106448999999998</v>
      </c>
      <c r="B318">
        <v>212.30498499999999</v>
      </c>
      <c r="C318">
        <v>315.350212</v>
      </c>
      <c r="D318">
        <v>65.009256499999992</v>
      </c>
      <c r="E318">
        <v>271.50282275000001</v>
      </c>
      <c r="F318">
        <v>7.4535957499999999</v>
      </c>
      <c r="G318">
        <v>339.29521149999999</v>
      </c>
      <c r="H318">
        <v>8</v>
      </c>
      <c r="I318">
        <v>24</v>
      </c>
      <c r="J318">
        <v>1.18</v>
      </c>
      <c r="K318">
        <v>23.715884500000001</v>
      </c>
      <c r="L318">
        <v>-1.409747468246467</v>
      </c>
      <c r="M318">
        <v>0.53454736848850692</v>
      </c>
      <c r="N318">
        <v>-0.24602911097879379</v>
      </c>
      <c r="O318">
        <v>-4.1741021988075618E-2</v>
      </c>
    </row>
    <row r="319" spans="1:15" x14ac:dyDescent="0.25">
      <c r="A319">
        <v>-112.51996800000001</v>
      </c>
      <c r="B319">
        <v>179.07673249999999</v>
      </c>
      <c r="C319">
        <v>305.10029600000001</v>
      </c>
      <c r="D319">
        <v>29.832391000000001</v>
      </c>
      <c r="E319">
        <v>224.77672974999999</v>
      </c>
      <c r="F319">
        <v>6.8689739999999997</v>
      </c>
      <c r="G319">
        <v>317.8491975</v>
      </c>
      <c r="H319">
        <v>8</v>
      </c>
      <c r="I319">
        <v>28</v>
      </c>
      <c r="J319">
        <v>1.18</v>
      </c>
      <c r="K319">
        <v>22.958294500000001</v>
      </c>
      <c r="L319">
        <v>-1.569302512665405</v>
      </c>
      <c r="M319">
        <v>0.56085627958503992</v>
      </c>
      <c r="N319">
        <v>-0.34979196439583771</v>
      </c>
      <c r="O319">
        <v>-0.18117167383218211</v>
      </c>
    </row>
    <row r="320" spans="1:15" x14ac:dyDescent="0.25">
      <c r="A320">
        <v>-141.12292475000001</v>
      </c>
      <c r="B320">
        <v>147.82004925000001</v>
      </c>
      <c r="C320">
        <v>289.27787024999998</v>
      </c>
      <c r="D320">
        <v>-8.1731649999999991</v>
      </c>
      <c r="E320">
        <v>175.4556235</v>
      </c>
      <c r="F320">
        <v>6.7233227500000003</v>
      </c>
      <c r="G320">
        <v>296.08309174999999</v>
      </c>
      <c r="H320">
        <v>8</v>
      </c>
      <c r="I320">
        <v>32</v>
      </c>
      <c r="J320">
        <v>1.18</v>
      </c>
      <c r="K320">
        <v>22.145868</v>
      </c>
      <c r="L320">
        <v>-1.7208891331667531</v>
      </c>
      <c r="M320">
        <v>0.62371065061222186</v>
      </c>
      <c r="N320">
        <v>-0.48230832820052161</v>
      </c>
      <c r="O320">
        <v>-0.32534899933606681</v>
      </c>
    </row>
    <row r="321" spans="1:15" x14ac:dyDescent="0.25">
      <c r="A321">
        <v>-172.33843200000001</v>
      </c>
      <c r="B321">
        <v>112.37977775</v>
      </c>
      <c r="C321">
        <v>275.57018299999999</v>
      </c>
      <c r="D321">
        <v>-46.503992250000003</v>
      </c>
      <c r="E321">
        <v>123.86949525</v>
      </c>
      <c r="F321">
        <v>6.0895419999999998</v>
      </c>
      <c r="G321">
        <v>279.83853149999999</v>
      </c>
      <c r="H321">
        <v>8</v>
      </c>
      <c r="I321">
        <v>36</v>
      </c>
      <c r="J321">
        <v>1.18</v>
      </c>
      <c r="K321">
        <v>21.540202749999999</v>
      </c>
      <c r="L321">
        <v>-1.9199685016482551</v>
      </c>
      <c r="M321">
        <v>0.68105574873000951</v>
      </c>
      <c r="N321">
        <v>-0.66857860763817067</v>
      </c>
      <c r="O321">
        <v>-0.49512935737809571</v>
      </c>
    </row>
    <row r="322" spans="1:15" x14ac:dyDescent="0.25">
      <c r="A322">
        <v>-199.68015299999999</v>
      </c>
      <c r="B322">
        <v>78.141696999999994</v>
      </c>
      <c r="C322">
        <v>262.77465799999999</v>
      </c>
      <c r="D322">
        <v>-81.993877249999997</v>
      </c>
      <c r="E322">
        <v>70.499796000000003</v>
      </c>
      <c r="F322">
        <v>5.7485252500000001</v>
      </c>
      <c r="G322">
        <v>265.55452724999998</v>
      </c>
      <c r="H322">
        <v>8</v>
      </c>
      <c r="I322">
        <v>40</v>
      </c>
      <c r="J322">
        <v>1.18</v>
      </c>
      <c r="K322">
        <v>20.984470250000001</v>
      </c>
      <c r="L322">
        <v>-2.1882579784610701</v>
      </c>
      <c r="M322">
        <v>0.75773384697735202</v>
      </c>
      <c r="N322">
        <v>-0.92298344130215848</v>
      </c>
      <c r="O322">
        <v>-0.69362640261482145</v>
      </c>
    </row>
    <row r="323" spans="1:15" x14ac:dyDescent="0.25">
      <c r="A323">
        <v>-252.11139675000001</v>
      </c>
      <c r="B323">
        <v>49.04894075</v>
      </c>
      <c r="C323">
        <v>282.93024450000001</v>
      </c>
      <c r="D323">
        <v>-133.83009724999999</v>
      </c>
      <c r="E323">
        <v>20.206679749999999</v>
      </c>
      <c r="F323">
        <v>6.2356939999999996</v>
      </c>
      <c r="G323">
        <v>286.04027574999998</v>
      </c>
      <c r="H323">
        <v>8</v>
      </c>
      <c r="I323">
        <v>44</v>
      </c>
      <c r="J323">
        <v>1.18</v>
      </c>
      <c r="K323">
        <v>21.777139999999999</v>
      </c>
      <c r="L323">
        <v>-2.5098660142625389</v>
      </c>
      <c r="M323">
        <v>0.8578496704798122</v>
      </c>
      <c r="N323">
        <v>-1.247013140657687</v>
      </c>
      <c r="O323">
        <v>-0.93446475954131436</v>
      </c>
    </row>
    <row r="324" spans="1:15" x14ac:dyDescent="0.25">
      <c r="A324">
        <v>295.41194150000001</v>
      </c>
      <c r="B324">
        <v>59.531948249999999</v>
      </c>
      <c r="C324">
        <v>-313.3511125</v>
      </c>
      <c r="D324">
        <v>-233.70004650000001</v>
      </c>
      <c r="E324">
        <v>-38.658897500000002</v>
      </c>
      <c r="F324">
        <v>6.5771435</v>
      </c>
      <c r="G324">
        <v>309.64689600000003</v>
      </c>
      <c r="H324">
        <v>12</v>
      </c>
      <c r="I324">
        <v>-44</v>
      </c>
      <c r="J324">
        <v>1.18</v>
      </c>
      <c r="K324">
        <v>22.664441499999999</v>
      </c>
      <c r="L324">
        <v>2.59195708685411</v>
      </c>
      <c r="M324">
        <v>1.24849578955633</v>
      </c>
      <c r="N324">
        <v>-1.482995888903152</v>
      </c>
      <c r="O324">
        <v>-1.192599181273315</v>
      </c>
    </row>
    <row r="325" spans="1:15" x14ac:dyDescent="0.25">
      <c r="A325">
        <v>311.22965225000002</v>
      </c>
      <c r="B325">
        <v>99.540500499999993</v>
      </c>
      <c r="C325">
        <v>-293.98132349999997</v>
      </c>
      <c r="D325">
        <v>-198.34127050000001</v>
      </c>
      <c r="E325">
        <v>23.067799000000001</v>
      </c>
      <c r="F325">
        <v>7.2105195000000002</v>
      </c>
      <c r="G325">
        <v>323.41075875000001</v>
      </c>
      <c r="H325">
        <v>12</v>
      </c>
      <c r="I325">
        <v>-40</v>
      </c>
      <c r="J325">
        <v>1.18</v>
      </c>
      <c r="K325">
        <v>23.15021475</v>
      </c>
      <c r="L325">
        <v>2.2479683093575971</v>
      </c>
      <c r="M325">
        <v>1.106432882834731</v>
      </c>
      <c r="N325">
        <v>-1.115597956517463</v>
      </c>
      <c r="O325">
        <v>-0.94111605498997986</v>
      </c>
    </row>
    <row r="326" spans="1:15" x14ac:dyDescent="0.25">
      <c r="A326">
        <v>324.165909</v>
      </c>
      <c r="B326">
        <v>141.13592925</v>
      </c>
      <c r="C326">
        <v>-266.60381324999997</v>
      </c>
      <c r="D326">
        <v>-154.98416900000001</v>
      </c>
      <c r="E326">
        <v>85.464966000000004</v>
      </c>
      <c r="F326">
        <v>7.3079587500000001</v>
      </c>
      <c r="G326">
        <v>337.65474675000002</v>
      </c>
      <c r="H326">
        <v>12</v>
      </c>
      <c r="I326">
        <v>-36</v>
      </c>
      <c r="J326">
        <v>1.18</v>
      </c>
      <c r="K326">
        <v>23.662401249999998</v>
      </c>
      <c r="L326">
        <v>1.994119115790554</v>
      </c>
      <c r="M326">
        <v>0.99953138147796761</v>
      </c>
      <c r="N326">
        <v>-0.85126569915533512</v>
      </c>
      <c r="O326">
        <v>-0.73619642549039033</v>
      </c>
    </row>
    <row r="327" spans="1:15" x14ac:dyDescent="0.25">
      <c r="A327">
        <v>306.7609405</v>
      </c>
      <c r="B327">
        <v>169.218853</v>
      </c>
      <c r="C327">
        <v>-206.17919900000001</v>
      </c>
      <c r="D327">
        <v>-92.483507000000003</v>
      </c>
      <c r="E327">
        <v>136.88671124999999</v>
      </c>
      <c r="F327">
        <v>7.06337875</v>
      </c>
      <c r="G327">
        <v>320.04980449999999</v>
      </c>
      <c r="H327">
        <v>12</v>
      </c>
      <c r="I327">
        <v>-32</v>
      </c>
      <c r="J327">
        <v>1.18</v>
      </c>
      <c r="K327">
        <v>23.032240999999999</v>
      </c>
      <c r="L327">
        <v>1.7921325699489881</v>
      </c>
      <c r="M327">
        <v>0.91434156764203056</v>
      </c>
      <c r="N327">
        <v>-0.63995324801194076</v>
      </c>
      <c r="O327">
        <v>-0.546411790898928</v>
      </c>
    </row>
    <row r="328" spans="1:15" x14ac:dyDescent="0.25">
      <c r="A328">
        <v>282.999504</v>
      </c>
      <c r="B328">
        <v>182.73135400000001</v>
      </c>
      <c r="C328">
        <v>-150.26760100000001</v>
      </c>
      <c r="D328">
        <v>-45.935804249999997</v>
      </c>
      <c r="E328">
        <v>166.69414925000001</v>
      </c>
      <c r="F328">
        <v>6.6254229999999996</v>
      </c>
      <c r="G328">
        <v>298.48375725</v>
      </c>
      <c r="H328">
        <v>12</v>
      </c>
      <c r="I328">
        <v>-28</v>
      </c>
      <c r="J328">
        <v>1.18</v>
      </c>
      <c r="K328">
        <v>22.241276750000001</v>
      </c>
      <c r="L328">
        <v>1.636222473946952</v>
      </c>
      <c r="M328">
        <v>0.86358073916349598</v>
      </c>
      <c r="N328">
        <v>-0.49771840644418042</v>
      </c>
      <c r="O328">
        <v>-0.39550245410485929</v>
      </c>
    </row>
    <row r="329" spans="1:15" x14ac:dyDescent="0.25">
      <c r="A329">
        <v>263.32041175000001</v>
      </c>
      <c r="B329">
        <v>190.04060749999999</v>
      </c>
      <c r="C329">
        <v>-97.531673499999997</v>
      </c>
      <c r="D329">
        <v>-11.3637575</v>
      </c>
      <c r="E329">
        <v>192.129536</v>
      </c>
      <c r="F329">
        <v>6.0891237499999997</v>
      </c>
      <c r="G329">
        <v>282.27922825000002</v>
      </c>
      <c r="H329">
        <v>12</v>
      </c>
      <c r="I329">
        <v>-24</v>
      </c>
      <c r="J329">
        <v>1.18</v>
      </c>
      <c r="K329">
        <v>21.63603925</v>
      </c>
      <c r="L329">
        <v>1.4634452701011511</v>
      </c>
      <c r="M329">
        <v>0.81679845308229893</v>
      </c>
      <c r="N329">
        <v>-0.36560493448887021</v>
      </c>
      <c r="O329">
        <v>-0.24550259231904781</v>
      </c>
    </row>
    <row r="330" spans="1:15" x14ac:dyDescent="0.25">
      <c r="A330">
        <v>238.76683424999999</v>
      </c>
      <c r="B330">
        <v>193.214359</v>
      </c>
      <c r="C330">
        <v>-48.086125250000002</v>
      </c>
      <c r="D330">
        <v>16.29608975</v>
      </c>
      <c r="E330">
        <v>206.3181385</v>
      </c>
      <c r="F330">
        <v>5.6998125000000002</v>
      </c>
      <c r="G330">
        <v>264.47422</v>
      </c>
      <c r="H330">
        <v>12</v>
      </c>
      <c r="I330">
        <v>-20</v>
      </c>
      <c r="J330">
        <v>1.18</v>
      </c>
      <c r="K330">
        <v>20.942786250000001</v>
      </c>
      <c r="L330">
        <v>1.2908968499315561</v>
      </c>
      <c r="M330">
        <v>0.7961640315242694</v>
      </c>
      <c r="N330">
        <v>-0.26172038104554812</v>
      </c>
      <c r="O330">
        <v>-9.7182384934009894E-2</v>
      </c>
    </row>
    <row r="331" spans="1:15" x14ac:dyDescent="0.25">
      <c r="A331">
        <v>241.53586575</v>
      </c>
      <c r="B331">
        <v>218.98909374999999</v>
      </c>
      <c r="C331">
        <v>-7.3522609999999986</v>
      </c>
      <c r="D331">
        <v>30.489493750000001</v>
      </c>
      <c r="E331">
        <v>240.58668125</v>
      </c>
      <c r="F331">
        <v>6.2356802499999997</v>
      </c>
      <c r="G331">
        <v>282.63932775000001</v>
      </c>
      <c r="H331">
        <v>12</v>
      </c>
      <c r="I331">
        <v>-16</v>
      </c>
      <c r="J331">
        <v>1.18</v>
      </c>
      <c r="K331">
        <v>21.644399</v>
      </c>
      <c r="L331">
        <v>1.086765884550698</v>
      </c>
      <c r="M331">
        <v>0.82308548072151888</v>
      </c>
      <c r="N331">
        <v>-0.18362828033838041</v>
      </c>
      <c r="O331">
        <v>2.3284867430974899E-2</v>
      </c>
    </row>
    <row r="332" spans="1:15" x14ac:dyDescent="0.25">
      <c r="A332">
        <v>238.72163025</v>
      </c>
      <c r="B332">
        <v>242.21522150000001</v>
      </c>
      <c r="C332">
        <v>35.176611999999999</v>
      </c>
      <c r="D332">
        <v>35.045399500000002</v>
      </c>
      <c r="E332">
        <v>270.1793515</v>
      </c>
      <c r="F332">
        <v>6.5284440000000004</v>
      </c>
      <c r="G332">
        <v>301.20452899999998</v>
      </c>
      <c r="H332">
        <v>12</v>
      </c>
      <c r="I332">
        <v>-12</v>
      </c>
      <c r="J332">
        <v>1.18</v>
      </c>
      <c r="K332">
        <v>22.3483895</v>
      </c>
      <c r="L332">
        <v>0.86591235309305992</v>
      </c>
      <c r="M332">
        <v>0.8813086164468944</v>
      </c>
      <c r="N332">
        <v>-0.1320006553003506</v>
      </c>
      <c r="O332">
        <v>0.1216057411917074</v>
      </c>
    </row>
    <row r="333" spans="1:15" x14ac:dyDescent="0.25">
      <c r="A333">
        <v>226.80583200000001</v>
      </c>
      <c r="B333">
        <v>261.06540675000002</v>
      </c>
      <c r="C333">
        <v>80.508208999999994</v>
      </c>
      <c r="D333">
        <v>24.093700250000001</v>
      </c>
      <c r="E333">
        <v>295.08491550000002</v>
      </c>
      <c r="F333">
        <v>6.9186752499999997</v>
      </c>
      <c r="G333">
        <v>316.00868250000002</v>
      </c>
      <c r="H333">
        <v>12</v>
      </c>
      <c r="I333">
        <v>-8</v>
      </c>
      <c r="J333">
        <v>1.18</v>
      </c>
      <c r="K333">
        <v>22.888445749999999</v>
      </c>
      <c r="L333">
        <v>0.60257777399303647</v>
      </c>
      <c r="M333">
        <v>0.97605444192231183</v>
      </c>
      <c r="N333">
        <v>-8.6185481679712073E-2</v>
      </c>
      <c r="O333">
        <v>0.18692929474646061</v>
      </c>
    </row>
    <row r="334" spans="1:15" x14ac:dyDescent="0.25">
      <c r="A334">
        <v>210.42163099999999</v>
      </c>
      <c r="B334">
        <v>279.05001824999999</v>
      </c>
      <c r="C334">
        <v>126.52760325</v>
      </c>
      <c r="D334">
        <v>17.960748250000002</v>
      </c>
      <c r="E334">
        <v>317.16145325000002</v>
      </c>
      <c r="F334">
        <v>7.2587169999999999</v>
      </c>
      <c r="G334">
        <v>329.89257800000001</v>
      </c>
      <c r="H334">
        <v>12</v>
      </c>
      <c r="I334">
        <v>-4</v>
      </c>
      <c r="J334">
        <v>1.18</v>
      </c>
      <c r="K334">
        <v>23.38453775</v>
      </c>
      <c r="L334">
        <v>0.342554380946197</v>
      </c>
      <c r="M334">
        <v>1.0660404167614581</v>
      </c>
      <c r="N334">
        <v>-5.1998471846587527E-2</v>
      </c>
      <c r="O334">
        <v>0.26533416920109698</v>
      </c>
    </row>
    <row r="335" spans="1:15" x14ac:dyDescent="0.25">
      <c r="A335">
        <v>189.2982825</v>
      </c>
      <c r="B335">
        <v>288.44709024999997</v>
      </c>
      <c r="C335">
        <v>162.92346975000001</v>
      </c>
      <c r="D335">
        <v>18.3112025</v>
      </c>
      <c r="E335">
        <v>330.72920249999999</v>
      </c>
      <c r="F335">
        <v>7.4541244999999998</v>
      </c>
      <c r="G335">
        <v>339.97541799999999</v>
      </c>
      <c r="H335">
        <v>12</v>
      </c>
      <c r="I335">
        <v>0</v>
      </c>
      <c r="J335">
        <v>1.18</v>
      </c>
      <c r="K335">
        <v>23.740135250000002</v>
      </c>
      <c r="L335">
        <v>0.1098724738277671</v>
      </c>
      <c r="M335">
        <v>1.1250658851458091</v>
      </c>
      <c r="N335">
        <v>-3.8552089278775771E-2</v>
      </c>
      <c r="O335">
        <v>0.34636935889350717</v>
      </c>
    </row>
    <row r="336" spans="1:15" x14ac:dyDescent="0.25">
      <c r="A336">
        <v>146.60011700000001</v>
      </c>
      <c r="B336">
        <v>264.28724675000001</v>
      </c>
      <c r="C336">
        <v>178.298473</v>
      </c>
      <c r="D336">
        <v>17.1722255</v>
      </c>
      <c r="E336">
        <v>304.26730375</v>
      </c>
      <c r="F336">
        <v>6.8198150000000002</v>
      </c>
      <c r="G336">
        <v>311.44739550000003</v>
      </c>
      <c r="H336">
        <v>12</v>
      </c>
      <c r="I336">
        <v>4</v>
      </c>
      <c r="J336">
        <v>1.18</v>
      </c>
      <c r="K336">
        <v>22.722603249999999</v>
      </c>
      <c r="L336">
        <v>-0.14254513803323149</v>
      </c>
      <c r="M336">
        <v>1.111223439992659</v>
      </c>
      <c r="N336">
        <v>-3.2319412905286247E-2</v>
      </c>
      <c r="O336">
        <v>0.33757994747894621</v>
      </c>
    </row>
    <row r="337" spans="1:15" x14ac:dyDescent="0.25">
      <c r="A337">
        <v>111.97389975</v>
      </c>
      <c r="B337">
        <v>245.58132549999999</v>
      </c>
      <c r="C337">
        <v>195.33289325000001</v>
      </c>
      <c r="D337">
        <v>20.589155999999999</v>
      </c>
      <c r="E337">
        <v>281.69431300000002</v>
      </c>
      <c r="F337">
        <v>6.3339980000000002</v>
      </c>
      <c r="G337">
        <v>292.96221924999998</v>
      </c>
      <c r="H337">
        <v>12</v>
      </c>
      <c r="I337">
        <v>8</v>
      </c>
      <c r="J337">
        <v>1.18</v>
      </c>
      <c r="K337">
        <v>22.041096750000001</v>
      </c>
      <c r="L337">
        <v>-0.38699260814067898</v>
      </c>
      <c r="M337">
        <v>1.044461628354159</v>
      </c>
      <c r="N337">
        <v>-5.2324339817971917E-2</v>
      </c>
      <c r="O337">
        <v>0.27830318241351848</v>
      </c>
    </row>
    <row r="338" spans="1:15" x14ac:dyDescent="0.25">
      <c r="A338">
        <v>75.381221750000009</v>
      </c>
      <c r="B338">
        <v>225.96174224999999</v>
      </c>
      <c r="C338">
        <v>204.04745124999999</v>
      </c>
      <c r="D338">
        <v>29.000062</v>
      </c>
      <c r="E338">
        <v>256.83020399999998</v>
      </c>
      <c r="F338">
        <v>6.1869674999999997</v>
      </c>
      <c r="G338">
        <v>273.99688724999999</v>
      </c>
      <c r="H338">
        <v>12</v>
      </c>
      <c r="I338">
        <v>12</v>
      </c>
      <c r="J338">
        <v>1.18</v>
      </c>
      <c r="K338">
        <v>21.305266</v>
      </c>
      <c r="L338">
        <v>-0.62874477765341208</v>
      </c>
      <c r="M338">
        <v>0.9624909080139854</v>
      </c>
      <c r="N338">
        <v>-8.3898364330142833E-2</v>
      </c>
      <c r="O338">
        <v>0.2248073810939161</v>
      </c>
    </row>
    <row r="339" spans="1:15" x14ac:dyDescent="0.25">
      <c r="A339">
        <v>35.9683475</v>
      </c>
      <c r="B339">
        <v>207.73670225000001</v>
      </c>
      <c r="C339">
        <v>211.45264424999999</v>
      </c>
      <c r="D339">
        <v>35.089206750000002</v>
      </c>
      <c r="E339">
        <v>234.76025774999999</v>
      </c>
      <c r="F339">
        <v>5.6023595000000004</v>
      </c>
      <c r="G339">
        <v>260.35305775</v>
      </c>
      <c r="H339">
        <v>12</v>
      </c>
      <c r="I339">
        <v>16</v>
      </c>
      <c r="J339">
        <v>1.18</v>
      </c>
      <c r="K339">
        <v>20.779312749999999</v>
      </c>
      <c r="L339">
        <v>-0.88081254637829254</v>
      </c>
      <c r="M339">
        <v>0.86657532675049764</v>
      </c>
      <c r="N339">
        <v>-0.12846456834238451</v>
      </c>
      <c r="O339">
        <v>0.150207823788958</v>
      </c>
    </row>
    <row r="340" spans="1:15" x14ac:dyDescent="0.25">
      <c r="A340">
        <v>-2.3873329999999999</v>
      </c>
      <c r="B340">
        <v>209.323578</v>
      </c>
      <c r="C340">
        <v>238.454239</v>
      </c>
      <c r="D340">
        <v>29.96381225</v>
      </c>
      <c r="E340">
        <v>234.89435175</v>
      </c>
      <c r="F340">
        <v>6.18696775</v>
      </c>
      <c r="G340">
        <v>275.75737750000002</v>
      </c>
      <c r="H340">
        <v>12</v>
      </c>
      <c r="I340">
        <v>20</v>
      </c>
      <c r="J340">
        <v>1.18</v>
      </c>
      <c r="K340">
        <v>21.375168500000001</v>
      </c>
      <c r="L340">
        <v>-1.0892830520839261</v>
      </c>
      <c r="M340">
        <v>0.81117067548275612</v>
      </c>
      <c r="N340">
        <v>-0.18481485356636601</v>
      </c>
      <c r="O340">
        <v>3.438463986569984E-2</v>
      </c>
    </row>
    <row r="341" spans="1:15" x14ac:dyDescent="0.25">
      <c r="A341">
        <v>-49.27816</v>
      </c>
      <c r="B341">
        <v>207.30391700000001</v>
      </c>
      <c r="C341">
        <v>265.18494425</v>
      </c>
      <c r="D341">
        <v>19.274952500000001</v>
      </c>
      <c r="E341">
        <v>228.174305</v>
      </c>
      <c r="F341">
        <v>6.4788252499999999</v>
      </c>
      <c r="G341">
        <v>293.12226099999998</v>
      </c>
      <c r="H341">
        <v>12</v>
      </c>
      <c r="I341">
        <v>24</v>
      </c>
      <c r="J341">
        <v>1.18</v>
      </c>
      <c r="K341">
        <v>22.041681000000001</v>
      </c>
      <c r="L341">
        <v>-1.293155958628823</v>
      </c>
      <c r="M341">
        <v>0.7732275663108672</v>
      </c>
      <c r="N341">
        <v>-0.26711053483270419</v>
      </c>
      <c r="O341">
        <v>-8.8324033859239037E-2</v>
      </c>
    </row>
    <row r="342" spans="1:15" x14ac:dyDescent="0.25">
      <c r="A342">
        <v>-98.736497999999997</v>
      </c>
      <c r="B342">
        <v>201.38919075000001</v>
      </c>
      <c r="C342">
        <v>289.14242574999997</v>
      </c>
      <c r="D342">
        <v>-8.4791117499999995</v>
      </c>
      <c r="E342">
        <v>211.94638825000001</v>
      </c>
      <c r="F342">
        <v>6.8690015000000004</v>
      </c>
      <c r="G342">
        <v>309.84695425000001</v>
      </c>
      <c r="H342">
        <v>12</v>
      </c>
      <c r="I342">
        <v>28</v>
      </c>
      <c r="J342">
        <v>1.18</v>
      </c>
      <c r="K342">
        <v>22.661005500000002</v>
      </c>
      <c r="L342">
        <v>-1.4606301040984031</v>
      </c>
      <c r="M342">
        <v>0.79030784109149232</v>
      </c>
      <c r="N342">
        <v>-0.36867082234460258</v>
      </c>
      <c r="O342">
        <v>-0.22773500119038301</v>
      </c>
    </row>
    <row r="343" spans="1:15" x14ac:dyDescent="0.25">
      <c r="A343">
        <v>-151.8884505</v>
      </c>
      <c r="B343">
        <v>187.540077</v>
      </c>
      <c r="C343">
        <v>309.11904900000002</v>
      </c>
      <c r="D343">
        <v>-55.726118249999999</v>
      </c>
      <c r="E343">
        <v>183.60342800000001</v>
      </c>
      <c r="F343">
        <v>7.209517</v>
      </c>
      <c r="G343">
        <v>325.53135650000002</v>
      </c>
      <c r="H343">
        <v>12</v>
      </c>
      <c r="I343">
        <v>32</v>
      </c>
      <c r="J343">
        <v>1.18</v>
      </c>
      <c r="K343">
        <v>23.227748500000001</v>
      </c>
      <c r="L343">
        <v>-1.6039999633397211</v>
      </c>
      <c r="M343">
        <v>0.84641322603269864</v>
      </c>
      <c r="N343">
        <v>-0.49381660095943802</v>
      </c>
      <c r="O343">
        <v>-0.3862652903130197</v>
      </c>
    </row>
    <row r="344" spans="1:15" x14ac:dyDescent="0.25">
      <c r="A344">
        <v>-208.23851775</v>
      </c>
      <c r="B344">
        <v>169.07459274999999</v>
      </c>
      <c r="C344">
        <v>325.71414950000002</v>
      </c>
      <c r="D344">
        <v>-110.09732624999999</v>
      </c>
      <c r="E344">
        <v>144.03950925000001</v>
      </c>
      <c r="F344">
        <v>7.3556552499999999</v>
      </c>
      <c r="G344">
        <v>337.77478024999999</v>
      </c>
      <c r="H344">
        <v>12</v>
      </c>
      <c r="I344">
        <v>36</v>
      </c>
      <c r="J344">
        <v>1.18</v>
      </c>
      <c r="K344">
        <v>23.66499825</v>
      </c>
      <c r="L344">
        <v>-1.761021264138229</v>
      </c>
      <c r="M344">
        <v>0.92072693058588007</v>
      </c>
      <c r="N344">
        <v>-0.63895449575497565</v>
      </c>
      <c r="O344">
        <v>-0.54920372254735506</v>
      </c>
    </row>
    <row r="345" spans="1:15" x14ac:dyDescent="0.25">
      <c r="A345">
        <v>-241.03057100000001</v>
      </c>
      <c r="B345">
        <v>128.969864</v>
      </c>
      <c r="C345">
        <v>307.87979875000002</v>
      </c>
      <c r="D345">
        <v>-150.56978975000001</v>
      </c>
      <c r="E345">
        <v>82.564739500000002</v>
      </c>
      <c r="F345">
        <v>7.1120915</v>
      </c>
      <c r="G345">
        <v>319.56969450000003</v>
      </c>
      <c r="H345">
        <v>12</v>
      </c>
      <c r="I345">
        <v>40</v>
      </c>
      <c r="J345">
        <v>1.18</v>
      </c>
      <c r="K345">
        <v>23.012739</v>
      </c>
      <c r="L345">
        <v>-1.971962753885149</v>
      </c>
      <c r="M345">
        <v>1.004231409817951</v>
      </c>
      <c r="N345">
        <v>-0.85147748821604108</v>
      </c>
      <c r="O345">
        <v>-0.72896387965351006</v>
      </c>
    </row>
    <row r="346" spans="1:15" x14ac:dyDescent="0.25">
      <c r="A346">
        <v>-259.67880224999999</v>
      </c>
      <c r="B346">
        <v>84.825818999999996</v>
      </c>
      <c r="C346">
        <v>283.95013449999999</v>
      </c>
      <c r="D346">
        <v>-182.30088799999999</v>
      </c>
      <c r="E346">
        <v>20.251383749999999</v>
      </c>
      <c r="F346">
        <v>6.4305587500000003</v>
      </c>
      <c r="G346">
        <v>295.56293475000001</v>
      </c>
      <c r="H346">
        <v>12</v>
      </c>
      <c r="I346">
        <v>44</v>
      </c>
      <c r="J346">
        <v>1.18</v>
      </c>
      <c r="K346">
        <v>22.13715625</v>
      </c>
      <c r="L346">
        <v>-2.2536089312645782</v>
      </c>
      <c r="M346">
        <v>1.1072452440049341</v>
      </c>
      <c r="N346">
        <v>-1.141347870831722</v>
      </c>
      <c r="O346">
        <v>-0.94270994072877756</v>
      </c>
    </row>
    <row r="347" spans="1:15" x14ac:dyDescent="0.25">
      <c r="A347">
        <v>249.29969025</v>
      </c>
      <c r="B347">
        <v>83.671724249999997</v>
      </c>
      <c r="C347">
        <v>-278.87181824999999</v>
      </c>
      <c r="D347">
        <v>-246.85577749999999</v>
      </c>
      <c r="E347">
        <v>-36.206489750000003</v>
      </c>
      <c r="F347">
        <v>5.9925214999999996</v>
      </c>
      <c r="G347">
        <v>273.79684450000002</v>
      </c>
      <c r="H347">
        <v>16</v>
      </c>
      <c r="I347">
        <v>-44</v>
      </c>
      <c r="J347">
        <v>1.18</v>
      </c>
      <c r="K347">
        <v>21.305041500000002</v>
      </c>
      <c r="L347">
        <v>2.330286637524019</v>
      </c>
      <c r="M347">
        <v>1.458267719457468</v>
      </c>
      <c r="N347">
        <v>-1.3677334586489021</v>
      </c>
      <c r="O347">
        <v>-1.1861884105956311</v>
      </c>
    </row>
    <row r="348" spans="1:15" x14ac:dyDescent="0.25">
      <c r="A348">
        <v>247.20709600000001</v>
      </c>
      <c r="B348">
        <v>111.70656</v>
      </c>
      <c r="C348">
        <v>-244.69977574999999</v>
      </c>
      <c r="D348">
        <v>-200.61402924999999</v>
      </c>
      <c r="E348">
        <v>16.6302795</v>
      </c>
      <c r="F348">
        <v>5.8459647500000003</v>
      </c>
      <c r="G348">
        <v>266.87490050000002</v>
      </c>
      <c r="H348">
        <v>16</v>
      </c>
      <c r="I348">
        <v>-40</v>
      </c>
      <c r="J348">
        <v>1.18</v>
      </c>
      <c r="K348">
        <v>21.033803249999998</v>
      </c>
      <c r="L348">
        <v>2.0557204415060979</v>
      </c>
      <c r="M348">
        <v>1.3052090916842809</v>
      </c>
      <c r="N348">
        <v>-1.045788977198729</v>
      </c>
      <c r="O348">
        <v>-0.95492932514743012</v>
      </c>
    </row>
    <row r="349" spans="1:15" x14ac:dyDescent="0.25">
      <c r="A349">
        <v>264.69190250000003</v>
      </c>
      <c r="B349">
        <v>149.5511855</v>
      </c>
      <c r="C349">
        <v>-228.37135325</v>
      </c>
      <c r="D349">
        <v>-175.3515165</v>
      </c>
      <c r="E349">
        <v>66.699872749999997</v>
      </c>
      <c r="F349">
        <v>6.2352619999999996</v>
      </c>
      <c r="G349">
        <v>285.36008475</v>
      </c>
      <c r="H349">
        <v>16</v>
      </c>
      <c r="I349">
        <v>-36</v>
      </c>
      <c r="J349">
        <v>1.18</v>
      </c>
      <c r="K349">
        <v>21.750675749999999</v>
      </c>
      <c r="L349">
        <v>1.835946843727871</v>
      </c>
      <c r="M349">
        <v>1.209755066168944</v>
      </c>
      <c r="N349">
        <v>-0.81418982969030285</v>
      </c>
      <c r="O349">
        <v>-0.77483936723332625</v>
      </c>
    </row>
    <row r="350" spans="1:15" x14ac:dyDescent="0.25">
      <c r="A350">
        <v>280.5170895</v>
      </c>
      <c r="B350">
        <v>186.193634</v>
      </c>
      <c r="C350">
        <v>-201.57830425</v>
      </c>
      <c r="D350">
        <v>-142.17809299999999</v>
      </c>
      <c r="E350">
        <v>116.8512515</v>
      </c>
      <c r="F350">
        <v>6.5279842500000003</v>
      </c>
      <c r="G350">
        <v>303.60519399999998</v>
      </c>
      <c r="H350">
        <v>16</v>
      </c>
      <c r="I350">
        <v>-32</v>
      </c>
      <c r="J350">
        <v>1.18</v>
      </c>
      <c r="K350">
        <v>22.439243749999999</v>
      </c>
      <c r="L350">
        <v>1.6697121503466701</v>
      </c>
      <c r="M350">
        <v>1.137285395976199</v>
      </c>
      <c r="N350">
        <v>-0.64680797686037672</v>
      </c>
      <c r="O350">
        <v>-0.61788247168011912</v>
      </c>
    </row>
    <row r="351" spans="1:15" x14ac:dyDescent="0.25">
      <c r="A351">
        <v>292.72288500000002</v>
      </c>
      <c r="B351">
        <v>220.52789300000001</v>
      </c>
      <c r="C351">
        <v>-163.86977775</v>
      </c>
      <c r="D351">
        <v>-103.10424999999999</v>
      </c>
      <c r="E351">
        <v>167.01787575</v>
      </c>
      <c r="F351">
        <v>6.9664270000000004</v>
      </c>
      <c r="G351">
        <v>319.56967924999998</v>
      </c>
      <c r="H351">
        <v>16</v>
      </c>
      <c r="I351">
        <v>-28</v>
      </c>
      <c r="J351">
        <v>1.18</v>
      </c>
      <c r="K351">
        <v>23.0181565</v>
      </c>
      <c r="L351">
        <v>1.519415565336685</v>
      </c>
      <c r="M351">
        <v>1.076947087845036</v>
      </c>
      <c r="N351">
        <v>-0.50765264975312308</v>
      </c>
      <c r="O351">
        <v>-0.46738249570963131</v>
      </c>
    </row>
    <row r="352" spans="1:15" x14ac:dyDescent="0.25">
      <c r="A352">
        <v>297.37214649999999</v>
      </c>
      <c r="B352">
        <v>248.08185950000001</v>
      </c>
      <c r="C352">
        <v>-113.584316</v>
      </c>
      <c r="D352">
        <v>-65.953496999999999</v>
      </c>
      <c r="E352">
        <v>213.12579324999999</v>
      </c>
      <c r="F352">
        <v>7.3571865000000001</v>
      </c>
      <c r="G352">
        <v>332.49330149999997</v>
      </c>
      <c r="H352">
        <v>16</v>
      </c>
      <c r="I352">
        <v>-24</v>
      </c>
      <c r="J352">
        <v>1.18</v>
      </c>
      <c r="K352">
        <v>23.475046500000001</v>
      </c>
      <c r="L352">
        <v>1.3567640359737581</v>
      </c>
      <c r="M352">
        <v>1.036789956661071</v>
      </c>
      <c r="N352">
        <v>-0.39409548381075388</v>
      </c>
      <c r="O352">
        <v>-0.32066002710123298</v>
      </c>
    </row>
    <row r="353" spans="1:15" x14ac:dyDescent="0.25">
      <c r="A353">
        <v>290.02185824999998</v>
      </c>
      <c r="B353">
        <v>263.90254199999998</v>
      </c>
      <c r="C353">
        <v>-60.085022000000002</v>
      </c>
      <c r="D353">
        <v>-35.402473499999999</v>
      </c>
      <c r="E353">
        <v>243.87885675000001</v>
      </c>
      <c r="F353">
        <v>7.2105192499999999</v>
      </c>
      <c r="G353">
        <v>334.37384049999997</v>
      </c>
      <c r="H353">
        <v>16</v>
      </c>
      <c r="I353">
        <v>-20</v>
      </c>
      <c r="J353">
        <v>1.18</v>
      </c>
      <c r="K353">
        <v>23.548073500000001</v>
      </c>
      <c r="L353">
        <v>1.2005622503376889</v>
      </c>
      <c r="M353">
        <v>1.0263628674511101</v>
      </c>
      <c r="N353">
        <v>-0.31033126434765229</v>
      </c>
      <c r="O353">
        <v>-0.18842946333603519</v>
      </c>
    </row>
    <row r="354" spans="1:15" x14ac:dyDescent="0.25">
      <c r="A354">
        <v>252.065338</v>
      </c>
      <c r="B354">
        <v>253.46762475</v>
      </c>
      <c r="C354">
        <v>-4.1954882499999986</v>
      </c>
      <c r="D354">
        <v>-13.155735249999999</v>
      </c>
      <c r="E354">
        <v>246.39788799999999</v>
      </c>
      <c r="F354">
        <v>6.6736762499999998</v>
      </c>
      <c r="G354">
        <v>305.20565025000002</v>
      </c>
      <c r="H354">
        <v>16</v>
      </c>
      <c r="I354">
        <v>-16</v>
      </c>
      <c r="J354">
        <v>1.18</v>
      </c>
      <c r="K354">
        <v>22.49411375</v>
      </c>
      <c r="L354">
        <v>1.004646211877041</v>
      </c>
      <c r="M354">
        <v>1.045278383856584</v>
      </c>
      <c r="N354">
        <v>-0.2305556095246401</v>
      </c>
      <c r="O354">
        <v>-6.0174969374326412E-2</v>
      </c>
    </row>
    <row r="355" spans="1:15" x14ac:dyDescent="0.25">
      <c r="A355">
        <v>220.63677575</v>
      </c>
      <c r="B355">
        <v>246.83158875000001</v>
      </c>
      <c r="C355">
        <v>40.778690500000003</v>
      </c>
      <c r="D355">
        <v>-9.8777280000000012</v>
      </c>
      <c r="E355">
        <v>246.57673249999999</v>
      </c>
      <c r="F355">
        <v>6.3331192500000002</v>
      </c>
      <c r="G355">
        <v>286.68045050000001</v>
      </c>
      <c r="H355">
        <v>16</v>
      </c>
      <c r="I355">
        <v>-12</v>
      </c>
      <c r="J355">
        <v>1.18</v>
      </c>
      <c r="K355">
        <v>21.798271</v>
      </c>
      <c r="L355">
        <v>0.77818392720406204</v>
      </c>
      <c r="M355">
        <v>1.110683086604064</v>
      </c>
      <c r="N355">
        <v>-0.17351437944402229</v>
      </c>
      <c r="O355">
        <v>3.9452088217067541E-2</v>
      </c>
    </row>
    <row r="356" spans="1:15" x14ac:dyDescent="0.25">
      <c r="A356">
        <v>188.39556525</v>
      </c>
      <c r="B356">
        <v>239.66659924999999</v>
      </c>
      <c r="C356">
        <v>72.917709500000001</v>
      </c>
      <c r="D356">
        <v>-15.603313</v>
      </c>
      <c r="E356">
        <v>244.2521745</v>
      </c>
      <c r="F356">
        <v>5.9433902500000002</v>
      </c>
      <c r="G356">
        <v>271.87629700000002</v>
      </c>
      <c r="H356">
        <v>16</v>
      </c>
      <c r="I356">
        <v>-8</v>
      </c>
      <c r="J356">
        <v>1.18</v>
      </c>
      <c r="K356">
        <v>21.230479750000001</v>
      </c>
      <c r="L356">
        <v>0.53565368766202148</v>
      </c>
      <c r="M356">
        <v>1.184029372140325</v>
      </c>
      <c r="N356">
        <v>-0.12814694193973339</v>
      </c>
      <c r="O356">
        <v>0.1053555345035424</v>
      </c>
    </row>
    <row r="357" spans="1:15" x14ac:dyDescent="0.25">
      <c r="A357">
        <v>167.54300699999999</v>
      </c>
      <c r="B357">
        <v>245.725582</v>
      </c>
      <c r="C357">
        <v>103.098339</v>
      </c>
      <c r="D357">
        <v>-21.285191999999999</v>
      </c>
      <c r="E357">
        <v>252.95271299999999</v>
      </c>
      <c r="F357">
        <v>6.0899467500000002</v>
      </c>
      <c r="G357">
        <v>273.03662874999998</v>
      </c>
      <c r="H357">
        <v>16</v>
      </c>
      <c r="I357">
        <v>-4</v>
      </c>
      <c r="J357">
        <v>1.18</v>
      </c>
      <c r="K357">
        <v>21.270896499999999</v>
      </c>
      <c r="L357">
        <v>0.30391606120621312</v>
      </c>
      <c r="M357">
        <v>1.259206773191305</v>
      </c>
      <c r="N357">
        <v>-9.4717049788617169E-2</v>
      </c>
      <c r="O357">
        <v>0.16420048215539421</v>
      </c>
    </row>
    <row r="358" spans="1:15" x14ac:dyDescent="0.25">
      <c r="A358">
        <v>154.54400625</v>
      </c>
      <c r="B358">
        <v>265.10472099999998</v>
      </c>
      <c r="C358">
        <v>138.26818449999999</v>
      </c>
      <c r="D358">
        <v>-22.683808249999998</v>
      </c>
      <c r="E358">
        <v>275.32902524999997</v>
      </c>
      <c r="F358">
        <v>6.43053075</v>
      </c>
      <c r="G358">
        <v>293.0422365</v>
      </c>
      <c r="H358">
        <v>16</v>
      </c>
      <c r="I358">
        <v>0</v>
      </c>
      <c r="J358">
        <v>1.18</v>
      </c>
      <c r="K358">
        <v>22.040457750000002</v>
      </c>
      <c r="L358">
        <v>7.4875346442424384E-2</v>
      </c>
      <c r="M358">
        <v>1.3229877261397029</v>
      </c>
      <c r="N358">
        <v>-8.1484319836724967E-2</v>
      </c>
      <c r="O358">
        <v>0.23611740777078219</v>
      </c>
    </row>
    <row r="359" spans="1:15" x14ac:dyDescent="0.25">
      <c r="A359">
        <v>136.70656975</v>
      </c>
      <c r="B359">
        <v>280.78114299999999</v>
      </c>
      <c r="C359">
        <v>171.43562274999999</v>
      </c>
      <c r="D359">
        <v>-25.568455749999998</v>
      </c>
      <c r="E359">
        <v>291.662262</v>
      </c>
      <c r="F359">
        <v>6.8202745</v>
      </c>
      <c r="G359">
        <v>311.08729575000001</v>
      </c>
      <c r="H359">
        <v>16</v>
      </c>
      <c r="I359">
        <v>4</v>
      </c>
      <c r="J359">
        <v>1.18</v>
      </c>
      <c r="K359">
        <v>22.709159249999999</v>
      </c>
      <c r="L359">
        <v>-0.1470755295211906</v>
      </c>
      <c r="M359">
        <v>1.2976146384395391</v>
      </c>
      <c r="N359">
        <v>-8.2315720344539337E-2</v>
      </c>
      <c r="O359">
        <v>0.20652085978267079</v>
      </c>
    </row>
    <row r="360" spans="1:15" x14ac:dyDescent="0.25">
      <c r="A360">
        <v>113.34265925</v>
      </c>
      <c r="B360">
        <v>291.79312900000002</v>
      </c>
      <c r="C360">
        <v>206.07934975000001</v>
      </c>
      <c r="D360">
        <v>-28.933874500000002</v>
      </c>
      <c r="E360">
        <v>300.19405375000002</v>
      </c>
      <c r="F360">
        <v>7.2597440000000004</v>
      </c>
      <c r="G360">
        <v>324.81115725000001</v>
      </c>
      <c r="H360">
        <v>16</v>
      </c>
      <c r="I360">
        <v>8</v>
      </c>
      <c r="J360">
        <v>1.18</v>
      </c>
      <c r="K360">
        <v>23.199619999999999</v>
      </c>
      <c r="L360">
        <v>-0.35945549757760581</v>
      </c>
      <c r="M360">
        <v>1.2432268100727319</v>
      </c>
      <c r="N360">
        <v>-9.5467936473211695E-2</v>
      </c>
      <c r="O360">
        <v>0.13547871365170111</v>
      </c>
    </row>
    <row r="361" spans="1:15" x14ac:dyDescent="0.25">
      <c r="A361">
        <v>84.268056999999999</v>
      </c>
      <c r="B361">
        <v>298.09254449999997</v>
      </c>
      <c r="C361">
        <v>240.12496974999999</v>
      </c>
      <c r="D361">
        <v>-22.771222250000001</v>
      </c>
      <c r="E361">
        <v>304.73409275</v>
      </c>
      <c r="F361">
        <v>7.3556552499999999</v>
      </c>
      <c r="G361">
        <v>338.85508725</v>
      </c>
      <c r="H361">
        <v>16</v>
      </c>
      <c r="I361">
        <v>12</v>
      </c>
      <c r="J361">
        <v>1.18</v>
      </c>
      <c r="K361">
        <v>23.703650249999999</v>
      </c>
      <c r="L361">
        <v>-0.56883122356260241</v>
      </c>
      <c r="M361">
        <v>1.171117838039119</v>
      </c>
      <c r="N361">
        <v>-0.1245513642440008</v>
      </c>
      <c r="O361">
        <v>8.5398775721612946E-2</v>
      </c>
    </row>
    <row r="362" spans="1:15" x14ac:dyDescent="0.25">
      <c r="A362">
        <v>45.045258750000002</v>
      </c>
      <c r="B362">
        <v>271.50032775</v>
      </c>
      <c r="C362">
        <v>245.04673775000001</v>
      </c>
      <c r="D362">
        <v>-4.5455032500000003</v>
      </c>
      <c r="E362">
        <v>273.99692499999998</v>
      </c>
      <c r="F362">
        <v>6.9664405</v>
      </c>
      <c r="G362">
        <v>317.36906449999998</v>
      </c>
      <c r="H362">
        <v>16</v>
      </c>
      <c r="I362">
        <v>16</v>
      </c>
      <c r="J362">
        <v>1.18</v>
      </c>
      <c r="K362">
        <v>22.936960249999998</v>
      </c>
      <c r="L362">
        <v>-0.78822732301478282</v>
      </c>
      <c r="M362">
        <v>1.0878806723207439</v>
      </c>
      <c r="N362">
        <v>-0.17096656913840269</v>
      </c>
      <c r="O362">
        <v>5.2373649546388498E-2</v>
      </c>
    </row>
    <row r="363" spans="1:15" x14ac:dyDescent="0.25">
      <c r="A363">
        <v>2.0759539999999999</v>
      </c>
      <c r="B363">
        <v>243.70592099999999</v>
      </c>
      <c r="C363">
        <v>244.09846874999999</v>
      </c>
      <c r="D363">
        <v>-8.5665250000000004</v>
      </c>
      <c r="E363">
        <v>240.8683475</v>
      </c>
      <c r="F363">
        <v>6.6258697499999997</v>
      </c>
      <c r="G363">
        <v>295.76300049999998</v>
      </c>
      <c r="H363">
        <v>16</v>
      </c>
      <c r="I363">
        <v>20</v>
      </c>
      <c r="J363">
        <v>1.18</v>
      </c>
      <c r="K363">
        <v>22.137346999999998</v>
      </c>
      <c r="L363">
        <v>-0.99145726143757296</v>
      </c>
      <c r="M363">
        <v>1.033385303552923</v>
      </c>
      <c r="N363">
        <v>-0.2249417949606223</v>
      </c>
      <c r="O363">
        <v>-4.0384508688594077E-2</v>
      </c>
    </row>
    <row r="364" spans="1:15" x14ac:dyDescent="0.25">
      <c r="A364">
        <v>-42.791819750000002</v>
      </c>
      <c r="B364">
        <v>217.25796149999999</v>
      </c>
      <c r="C364">
        <v>242.00552775</v>
      </c>
      <c r="D364">
        <v>-22.683807999999999</v>
      </c>
      <c r="E364">
        <v>206.52372</v>
      </c>
      <c r="F364">
        <v>6.4788247500000002</v>
      </c>
      <c r="G364">
        <v>279.998581</v>
      </c>
      <c r="H364">
        <v>16</v>
      </c>
      <c r="I364">
        <v>24</v>
      </c>
      <c r="J364">
        <v>1.18</v>
      </c>
      <c r="K364">
        <v>21.53119375</v>
      </c>
      <c r="L364">
        <v>-1.190317088800422</v>
      </c>
      <c r="M364">
        <v>1.0028553214361371</v>
      </c>
      <c r="N364">
        <v>-0.30709153207072959</v>
      </c>
      <c r="O364">
        <v>-0.16390579775197209</v>
      </c>
    </row>
    <row r="365" spans="1:15" x14ac:dyDescent="0.25">
      <c r="A365">
        <v>-81.214374500000005</v>
      </c>
      <c r="B365">
        <v>190.23296350000001</v>
      </c>
      <c r="C365">
        <v>236.55782325000001</v>
      </c>
      <c r="D365">
        <v>-44.712013499999998</v>
      </c>
      <c r="E365">
        <v>171.28740725</v>
      </c>
      <c r="F365">
        <v>5.9921030000000002</v>
      </c>
      <c r="G365">
        <v>264.11412050000001</v>
      </c>
      <c r="H365">
        <v>16</v>
      </c>
      <c r="I365">
        <v>28</v>
      </c>
      <c r="J365">
        <v>1.18</v>
      </c>
      <c r="K365">
        <v>20.91637575</v>
      </c>
      <c r="L365">
        <v>-1.3565750695985439</v>
      </c>
      <c r="M365">
        <v>1.0029538241720379</v>
      </c>
      <c r="N365">
        <v>-0.39628942076345769</v>
      </c>
      <c r="O365">
        <v>-0.29437076078441521</v>
      </c>
    </row>
    <row r="366" spans="1:15" x14ac:dyDescent="0.25">
      <c r="A366">
        <v>-131.2582855</v>
      </c>
      <c r="B366">
        <v>186.96303175</v>
      </c>
      <c r="C366">
        <v>260.75991825</v>
      </c>
      <c r="D366">
        <v>-90.910055249999999</v>
      </c>
      <c r="E366">
        <v>152.38945799999999</v>
      </c>
      <c r="F366">
        <v>6.2361124999999999</v>
      </c>
      <c r="G366">
        <v>284.99997724999997</v>
      </c>
      <c r="H366">
        <v>16</v>
      </c>
      <c r="I366">
        <v>32</v>
      </c>
      <c r="J366">
        <v>1.18</v>
      </c>
      <c r="K366">
        <v>21.736608</v>
      </c>
      <c r="L366">
        <v>-1.487943603921583</v>
      </c>
      <c r="M366">
        <v>1.054622963259598</v>
      </c>
      <c r="N366">
        <v>-0.50334134906775529</v>
      </c>
      <c r="O366">
        <v>-0.44527540315494002</v>
      </c>
    </row>
    <row r="367" spans="1:15" x14ac:dyDescent="0.25">
      <c r="A367">
        <v>-188.86959074999999</v>
      </c>
      <c r="B367">
        <v>178.35541925000001</v>
      </c>
      <c r="C367">
        <v>282.008667</v>
      </c>
      <c r="D367">
        <v>-145.0627365</v>
      </c>
      <c r="E367">
        <v>121.8052065</v>
      </c>
      <c r="F367">
        <v>6.7715757500000002</v>
      </c>
      <c r="G367">
        <v>304.08534250000002</v>
      </c>
      <c r="H367">
        <v>16</v>
      </c>
      <c r="I367">
        <v>36</v>
      </c>
      <c r="J367">
        <v>1.18</v>
      </c>
      <c r="K367">
        <v>22.448181000000002</v>
      </c>
      <c r="L367">
        <v>-1.630649721746364</v>
      </c>
      <c r="M367">
        <v>1.1199666965991311</v>
      </c>
      <c r="N367">
        <v>-0.63124209037798984</v>
      </c>
      <c r="O367">
        <v>-0.60163795593060654</v>
      </c>
    </row>
    <row r="368" spans="1:15" x14ac:dyDescent="0.25">
      <c r="A368">
        <v>-247.65204249999999</v>
      </c>
      <c r="B368">
        <v>155.2735595</v>
      </c>
      <c r="C368">
        <v>296.56662725000001</v>
      </c>
      <c r="D368">
        <v>-199.95842375000001</v>
      </c>
      <c r="E368">
        <v>75.323057250000005</v>
      </c>
      <c r="F368">
        <v>7.0146660000000001</v>
      </c>
      <c r="G368">
        <v>318.88948825</v>
      </c>
      <c r="H368">
        <v>16</v>
      </c>
      <c r="I368">
        <v>40</v>
      </c>
      <c r="J368">
        <v>1.18</v>
      </c>
      <c r="K368">
        <v>22.991320250000001</v>
      </c>
      <c r="L368">
        <v>-1.819349028023739</v>
      </c>
      <c r="M368">
        <v>1.1875688781396549</v>
      </c>
      <c r="N368">
        <v>-0.81427729149576944</v>
      </c>
      <c r="O368">
        <v>-0.77164140621269184</v>
      </c>
    </row>
    <row r="369" spans="1:15" x14ac:dyDescent="0.25">
      <c r="A369">
        <v>-304.497589</v>
      </c>
      <c r="B369">
        <v>125.988457</v>
      </c>
      <c r="C369">
        <v>306.79619574999998</v>
      </c>
      <c r="D369">
        <v>-256.55867749999999</v>
      </c>
      <c r="E369">
        <v>18.910235</v>
      </c>
      <c r="F369">
        <v>7.1130659999999999</v>
      </c>
      <c r="G369">
        <v>332.97344225000001</v>
      </c>
      <c r="H369">
        <v>16</v>
      </c>
      <c r="I369">
        <v>44</v>
      </c>
      <c r="J369">
        <v>1.18</v>
      </c>
      <c r="K369">
        <v>23.501173000000001</v>
      </c>
      <c r="L369">
        <v>-2.0415311704863619</v>
      </c>
      <c r="M369">
        <v>1.2775886570516131</v>
      </c>
      <c r="N369">
        <v>-1.048912257723255</v>
      </c>
      <c r="O369">
        <v>-0.96063634072283621</v>
      </c>
    </row>
    <row r="370" spans="1:15" x14ac:dyDescent="0.25">
      <c r="A370">
        <v>271.62550325000001</v>
      </c>
      <c r="B370">
        <v>126.66168225</v>
      </c>
      <c r="C370">
        <v>-344.49668874999998</v>
      </c>
      <c r="D370">
        <v>-336.14869700000003</v>
      </c>
      <c r="E370">
        <v>-48.557717250000003</v>
      </c>
      <c r="F370">
        <v>6.9182015000000003</v>
      </c>
      <c r="G370">
        <v>317.04898050000003</v>
      </c>
      <c r="H370">
        <v>20</v>
      </c>
      <c r="I370">
        <v>-44</v>
      </c>
      <c r="J370">
        <v>1.18</v>
      </c>
      <c r="K370">
        <v>22.9269195</v>
      </c>
      <c r="L370">
        <v>2.1117070927238908</v>
      </c>
      <c r="M370">
        <v>1.5862526175202449</v>
      </c>
      <c r="N370">
        <v>-1.253101326541707</v>
      </c>
      <c r="O370">
        <v>-1.1901450493316921</v>
      </c>
    </row>
    <row r="371" spans="1:15" x14ac:dyDescent="0.25">
      <c r="A371">
        <v>258.400757</v>
      </c>
      <c r="B371">
        <v>149.9839705</v>
      </c>
      <c r="C371">
        <v>-285.43054174999997</v>
      </c>
      <c r="D371">
        <v>-270.19518275000001</v>
      </c>
      <c r="E371">
        <v>9.7904154999999999</v>
      </c>
      <c r="F371">
        <v>6.5766970000000002</v>
      </c>
      <c r="G371">
        <v>296.04308300000002</v>
      </c>
      <c r="H371">
        <v>20</v>
      </c>
      <c r="I371">
        <v>-40</v>
      </c>
      <c r="J371">
        <v>1.18</v>
      </c>
      <c r="K371">
        <v>22.149947749999999</v>
      </c>
      <c r="L371">
        <v>1.890905067061345</v>
      </c>
      <c r="M371">
        <v>1.460980663609674</v>
      </c>
      <c r="N371">
        <v>-0.99532064109848117</v>
      </c>
      <c r="O371">
        <v>-0.98883255124445002</v>
      </c>
    </row>
    <row r="372" spans="1:15" x14ac:dyDescent="0.25">
      <c r="A372">
        <v>246.75580600000001</v>
      </c>
      <c r="B372">
        <v>168.01667025</v>
      </c>
      <c r="C372">
        <v>-236.53556825000001</v>
      </c>
      <c r="D372">
        <v>-213.59493624999999</v>
      </c>
      <c r="E372">
        <v>55.072955999999998</v>
      </c>
      <c r="F372">
        <v>6.4301120000000003</v>
      </c>
      <c r="G372">
        <v>280.35867324999998</v>
      </c>
      <c r="H372">
        <v>20</v>
      </c>
      <c r="I372">
        <v>-36</v>
      </c>
      <c r="J372">
        <v>1.18</v>
      </c>
      <c r="K372">
        <v>21.547277000000001</v>
      </c>
      <c r="L372">
        <v>1.7251916560971059</v>
      </c>
      <c r="M372">
        <v>1.3622181870615799</v>
      </c>
      <c r="N372">
        <v>-0.80419529638911058</v>
      </c>
      <c r="O372">
        <v>-0.8263579663476518</v>
      </c>
    </row>
    <row r="373" spans="1:15" x14ac:dyDescent="0.25">
      <c r="A373">
        <v>231.40961799999999</v>
      </c>
      <c r="B373">
        <v>179.60568624999999</v>
      </c>
      <c r="C373">
        <v>-187.67357250000001</v>
      </c>
      <c r="D373">
        <v>-168.48955925000001</v>
      </c>
      <c r="E373">
        <v>88.778467250000006</v>
      </c>
      <c r="F373">
        <v>5.8946635000000001</v>
      </c>
      <c r="G373">
        <v>264.79431925</v>
      </c>
      <c r="H373">
        <v>20</v>
      </c>
      <c r="I373">
        <v>-32</v>
      </c>
      <c r="J373">
        <v>1.18</v>
      </c>
      <c r="K373">
        <v>20.947850750000001</v>
      </c>
      <c r="L373">
        <v>1.570429469280034</v>
      </c>
      <c r="M373">
        <v>1.304404526671761</v>
      </c>
      <c r="N373">
        <v>-0.65959065467336586</v>
      </c>
      <c r="O373">
        <v>-0.68941162866760686</v>
      </c>
    </row>
    <row r="374" spans="1:15" x14ac:dyDescent="0.25">
      <c r="A374">
        <v>246.30442825</v>
      </c>
      <c r="B374">
        <v>213.555252</v>
      </c>
      <c r="C374">
        <v>-156.23678975000001</v>
      </c>
      <c r="D374">
        <v>-140.91059100000001</v>
      </c>
      <c r="E374">
        <v>134.025589</v>
      </c>
      <c r="F374">
        <v>6.1386595000000002</v>
      </c>
      <c r="G374">
        <v>285.76019300000002</v>
      </c>
      <c r="H374">
        <v>20</v>
      </c>
      <c r="I374">
        <v>-28</v>
      </c>
      <c r="J374">
        <v>1.18</v>
      </c>
      <c r="K374">
        <v>21.770019749999999</v>
      </c>
      <c r="L374">
        <v>1.424453673284493</v>
      </c>
      <c r="M374">
        <v>1.2543192949494111</v>
      </c>
      <c r="N374">
        <v>-0.5369463259841738</v>
      </c>
      <c r="O374">
        <v>-0.54747310719894027</v>
      </c>
    </row>
    <row r="375" spans="1:15" x14ac:dyDescent="0.25">
      <c r="A375">
        <v>257.33432025000002</v>
      </c>
      <c r="B375">
        <v>243.56166425000001</v>
      </c>
      <c r="C375">
        <v>-117.85413925</v>
      </c>
      <c r="D375">
        <v>-114.162058</v>
      </c>
      <c r="E375">
        <v>176.12628574999999</v>
      </c>
      <c r="F375">
        <v>6.8202887499999996</v>
      </c>
      <c r="G375">
        <v>304.72551725</v>
      </c>
      <c r="H375">
        <v>20</v>
      </c>
      <c r="I375">
        <v>-24</v>
      </c>
      <c r="J375">
        <v>1.18</v>
      </c>
      <c r="K375">
        <v>22.470501500000001</v>
      </c>
      <c r="L375">
        <v>1.284337093235401</v>
      </c>
      <c r="M375">
        <v>1.2245134625092611</v>
      </c>
      <c r="N375">
        <v>-0.44023155956544052</v>
      </c>
      <c r="O375">
        <v>-0.42044506096752188</v>
      </c>
    </row>
    <row r="376" spans="1:15" x14ac:dyDescent="0.25">
      <c r="A376">
        <v>260.62943274999998</v>
      </c>
      <c r="B376">
        <v>269.09596249999998</v>
      </c>
      <c r="C376">
        <v>-68.935430749999995</v>
      </c>
      <c r="D376">
        <v>-86.408266249999997</v>
      </c>
      <c r="E376">
        <v>214.92768874999999</v>
      </c>
      <c r="F376">
        <v>7.06337875</v>
      </c>
      <c r="G376">
        <v>319.20957950000002</v>
      </c>
      <c r="H376">
        <v>20</v>
      </c>
      <c r="I376">
        <v>-20</v>
      </c>
      <c r="J376">
        <v>1.18</v>
      </c>
      <c r="K376">
        <v>23.001320249999999</v>
      </c>
      <c r="L376">
        <v>1.1263410967623031</v>
      </c>
      <c r="M376">
        <v>1.214979473417082</v>
      </c>
      <c r="N376">
        <v>-0.35640612489103007</v>
      </c>
      <c r="O376">
        <v>-0.28958011378921539</v>
      </c>
    </row>
    <row r="377" spans="1:15" x14ac:dyDescent="0.25">
      <c r="A377">
        <v>257.90419025</v>
      </c>
      <c r="B377">
        <v>292.8234635</v>
      </c>
      <c r="C377">
        <v>-15.022156750000001</v>
      </c>
      <c r="D377">
        <v>-68.969265000000007</v>
      </c>
      <c r="E377">
        <v>248.70621499999999</v>
      </c>
      <c r="F377">
        <v>7.3074542500000002</v>
      </c>
      <c r="G377">
        <v>333.65362549999998</v>
      </c>
      <c r="H377">
        <v>20</v>
      </c>
      <c r="I377">
        <v>-16</v>
      </c>
      <c r="J377">
        <v>1.18</v>
      </c>
      <c r="K377">
        <v>23.518688000000001</v>
      </c>
      <c r="L377">
        <v>0.93883903474275676</v>
      </c>
      <c r="M377">
        <v>1.2445391390180061</v>
      </c>
      <c r="N377">
        <v>-0.29221098203825902</v>
      </c>
      <c r="O377">
        <v>-0.16958466856375021</v>
      </c>
    </row>
    <row r="378" spans="1:15" x14ac:dyDescent="0.25">
      <c r="A378">
        <v>235.87816975000001</v>
      </c>
      <c r="B378">
        <v>295.35157774999999</v>
      </c>
      <c r="C378">
        <v>31.428699000000002</v>
      </c>
      <c r="D378">
        <v>-67.658063749999997</v>
      </c>
      <c r="E378">
        <v>260.16643525000001</v>
      </c>
      <c r="F378">
        <v>7.1125787499999999</v>
      </c>
      <c r="G378">
        <v>326.17153200000001</v>
      </c>
      <c r="H378">
        <v>20</v>
      </c>
      <c r="I378">
        <v>-12</v>
      </c>
      <c r="J378">
        <v>1.18</v>
      </c>
      <c r="K378">
        <v>23.254576499999999</v>
      </c>
      <c r="L378">
        <v>0.73473280254721773</v>
      </c>
      <c r="M378">
        <v>1.3044886167882379</v>
      </c>
      <c r="N378">
        <v>-0.23724963946502101</v>
      </c>
      <c r="O378">
        <v>-9.0637109471576202E-2</v>
      </c>
    </row>
    <row r="379" spans="1:15" x14ac:dyDescent="0.25">
      <c r="A379">
        <v>198.92517100000001</v>
      </c>
      <c r="B379">
        <v>278.56914499999999</v>
      </c>
      <c r="C379">
        <v>70.262976000000009</v>
      </c>
      <c r="D379">
        <v>-62.019890750000002</v>
      </c>
      <c r="E379">
        <v>253.47732925</v>
      </c>
      <c r="F379">
        <v>6.6736760000000004</v>
      </c>
      <c r="G379">
        <v>301.684662</v>
      </c>
      <c r="H379">
        <v>20</v>
      </c>
      <c r="I379">
        <v>-8</v>
      </c>
      <c r="J379">
        <v>1.18</v>
      </c>
      <c r="K379">
        <v>22.361076499999999</v>
      </c>
      <c r="L379">
        <v>0.51597461046536841</v>
      </c>
      <c r="M379">
        <v>1.365875761693256</v>
      </c>
      <c r="N379">
        <v>-0.19333289609011439</v>
      </c>
      <c r="O379">
        <v>-1.0213072799360829E-2</v>
      </c>
    </row>
    <row r="380" spans="1:15" x14ac:dyDescent="0.25">
      <c r="A380">
        <v>165.04976300000001</v>
      </c>
      <c r="B380">
        <v>266.547348</v>
      </c>
      <c r="C380">
        <v>96.034652750000006</v>
      </c>
      <c r="D380">
        <v>-59.659726249999999</v>
      </c>
      <c r="E380">
        <v>246.82888800000001</v>
      </c>
      <c r="F380">
        <v>6.18739975</v>
      </c>
      <c r="G380">
        <v>285.03999349999998</v>
      </c>
      <c r="H380">
        <v>20</v>
      </c>
      <c r="I380">
        <v>-4</v>
      </c>
      <c r="J380">
        <v>1.18</v>
      </c>
      <c r="K380">
        <v>21.740071499999999</v>
      </c>
      <c r="L380">
        <v>0.3018587536282003</v>
      </c>
      <c r="M380">
        <v>1.4267575826498891</v>
      </c>
      <c r="N380">
        <v>-0.16714616361552251</v>
      </c>
      <c r="O380">
        <v>5.2493776189547932E-2</v>
      </c>
    </row>
    <row r="381" spans="1:15" x14ac:dyDescent="0.25">
      <c r="A381">
        <v>132.48136925</v>
      </c>
      <c r="B381">
        <v>251.97691725000001</v>
      </c>
      <c r="C381">
        <v>114.33548175</v>
      </c>
      <c r="D381">
        <v>-53.278540749999998</v>
      </c>
      <c r="E381">
        <v>235.05886050000001</v>
      </c>
      <c r="F381">
        <v>5.9916982499999998</v>
      </c>
      <c r="G381">
        <v>267.19497699999999</v>
      </c>
      <c r="H381">
        <v>20</v>
      </c>
      <c r="I381">
        <v>0</v>
      </c>
      <c r="J381">
        <v>1.18</v>
      </c>
      <c r="K381">
        <v>21.040835000000001</v>
      </c>
      <c r="L381">
        <v>8.8723131803088051E-2</v>
      </c>
      <c r="M381">
        <v>1.4924781228699311</v>
      </c>
      <c r="N381">
        <v>-0.15713678747664511</v>
      </c>
      <c r="O381">
        <v>0.1199815681027077</v>
      </c>
    </row>
    <row r="382" spans="1:15" x14ac:dyDescent="0.25">
      <c r="A382">
        <v>104.6172085</v>
      </c>
      <c r="B382">
        <v>239.23381825000001</v>
      </c>
      <c r="C382">
        <v>130.36586750000001</v>
      </c>
      <c r="D382">
        <v>-47.247006499999998</v>
      </c>
      <c r="E382">
        <v>224.43453625000001</v>
      </c>
      <c r="F382">
        <v>5.1646437499999998</v>
      </c>
      <c r="G382">
        <v>253.91126249999999</v>
      </c>
      <c r="H382">
        <v>20</v>
      </c>
      <c r="I382">
        <v>4</v>
      </c>
      <c r="J382">
        <v>1.18</v>
      </c>
      <c r="K382">
        <v>20.533003999999998</v>
      </c>
      <c r="L382">
        <v>-0.13152702444091791</v>
      </c>
      <c r="M382">
        <v>1.463518819505321</v>
      </c>
      <c r="N382">
        <v>-0.1506060814953</v>
      </c>
      <c r="O382">
        <v>0.120154531226683</v>
      </c>
    </row>
    <row r="383" spans="1:15" x14ac:dyDescent="0.25">
      <c r="A383">
        <v>82.417424999999994</v>
      </c>
      <c r="B383">
        <v>248.41847200000001</v>
      </c>
      <c r="C383">
        <v>155.8690225</v>
      </c>
      <c r="D383">
        <v>-55.070517500000001</v>
      </c>
      <c r="E383">
        <v>230.09663</v>
      </c>
      <c r="F383">
        <v>6.0404109999999998</v>
      </c>
      <c r="G383">
        <v>264.75430275000002</v>
      </c>
      <c r="H383">
        <v>20</v>
      </c>
      <c r="I383">
        <v>8</v>
      </c>
      <c r="J383">
        <v>1.18</v>
      </c>
      <c r="K383">
        <v>20.940309750000001</v>
      </c>
      <c r="L383">
        <v>-0.33940295542261151</v>
      </c>
      <c r="M383">
        <v>1.4022807957844301</v>
      </c>
      <c r="N383">
        <v>-0.16014341786643571</v>
      </c>
      <c r="O383">
        <v>3.5286331131824417E-2</v>
      </c>
    </row>
    <row r="384" spans="1:15" x14ac:dyDescent="0.25">
      <c r="A384">
        <v>59.533741999999997</v>
      </c>
      <c r="B384">
        <v>261.40201574999998</v>
      </c>
      <c r="C384">
        <v>185.03792575</v>
      </c>
      <c r="D384">
        <v>-59.397486499999999</v>
      </c>
      <c r="E384">
        <v>237.32341775</v>
      </c>
      <c r="F384">
        <v>6.0404109999999998</v>
      </c>
      <c r="G384">
        <v>282.87938700000001</v>
      </c>
      <c r="H384">
        <v>20</v>
      </c>
      <c r="I384">
        <v>12</v>
      </c>
      <c r="J384">
        <v>1.18</v>
      </c>
      <c r="K384">
        <v>21.661445749999999</v>
      </c>
      <c r="L384">
        <v>-0.52896680686034103</v>
      </c>
      <c r="M384">
        <v>1.352151509632638</v>
      </c>
      <c r="N384">
        <v>-0.19202358210801521</v>
      </c>
      <c r="O384">
        <v>-2.516977330680668E-2</v>
      </c>
    </row>
    <row r="385" spans="1:15" x14ac:dyDescent="0.25">
      <c r="A385">
        <v>28.025397250000001</v>
      </c>
      <c r="B385">
        <v>271.59650425000001</v>
      </c>
      <c r="C385">
        <v>215.30475250000001</v>
      </c>
      <c r="D385">
        <v>-56.250600499999997</v>
      </c>
      <c r="E385">
        <v>241.46505350000001</v>
      </c>
      <c r="F385">
        <v>6.4314652499999996</v>
      </c>
      <c r="G385">
        <v>300.08420575000002</v>
      </c>
      <c r="H385">
        <v>20</v>
      </c>
      <c r="I385">
        <v>16</v>
      </c>
      <c r="J385">
        <v>1.18</v>
      </c>
      <c r="K385">
        <v>22.309550999999999</v>
      </c>
      <c r="L385">
        <v>-0.73276943953021045</v>
      </c>
      <c r="M385">
        <v>1.2827734250726039</v>
      </c>
      <c r="N385">
        <v>-0.22936182034769531</v>
      </c>
      <c r="O385">
        <v>-8.0382569404327309E-2</v>
      </c>
    </row>
    <row r="386" spans="1:15" x14ac:dyDescent="0.25">
      <c r="A386">
        <v>-16.080717</v>
      </c>
      <c r="B386">
        <v>276.80921949999998</v>
      </c>
      <c r="C386">
        <v>243.13428124999999</v>
      </c>
      <c r="D386">
        <v>-60.708692499999998</v>
      </c>
      <c r="E386">
        <v>237.60706325000001</v>
      </c>
      <c r="F386">
        <v>6.6745827499999999</v>
      </c>
      <c r="G386">
        <v>316.24875674999998</v>
      </c>
      <c r="H386">
        <v>20</v>
      </c>
      <c r="I386">
        <v>20</v>
      </c>
      <c r="J386">
        <v>1.18</v>
      </c>
      <c r="K386">
        <v>22.906358999999998</v>
      </c>
      <c r="L386">
        <v>-0.93916385366419042</v>
      </c>
      <c r="M386">
        <v>1.2229107420347669</v>
      </c>
      <c r="N386">
        <v>-0.28496159964057938</v>
      </c>
      <c r="O386">
        <v>-0.16328535099791619</v>
      </c>
    </row>
    <row r="387" spans="1:15" x14ac:dyDescent="0.25">
      <c r="A387">
        <v>-71.800172750000002</v>
      </c>
      <c r="B387">
        <v>271.78884125000002</v>
      </c>
      <c r="C387">
        <v>267.71369175000001</v>
      </c>
      <c r="D387">
        <v>-81.381986749999996</v>
      </c>
      <c r="E387">
        <v>222.30345925</v>
      </c>
      <c r="F387">
        <v>6.9669142500000003</v>
      </c>
      <c r="G387">
        <v>328.81227899999999</v>
      </c>
      <c r="H387">
        <v>20</v>
      </c>
      <c r="I387">
        <v>24</v>
      </c>
      <c r="J387">
        <v>1.18</v>
      </c>
      <c r="K387">
        <v>23.355947</v>
      </c>
      <c r="L387">
        <v>-1.1358844516015381</v>
      </c>
      <c r="M387">
        <v>1.181602973869825</v>
      </c>
      <c r="N387">
        <v>-0.35634979663311811</v>
      </c>
      <c r="O387">
        <v>-0.27955599976357481</v>
      </c>
    </row>
    <row r="388" spans="1:15" x14ac:dyDescent="0.25">
      <c r="A388">
        <v>-127.56467625000001</v>
      </c>
      <c r="B388">
        <v>262.65227499999997</v>
      </c>
      <c r="C388">
        <v>286.993988</v>
      </c>
      <c r="D388">
        <v>-117.78972625</v>
      </c>
      <c r="E388">
        <v>198.07487900000001</v>
      </c>
      <c r="F388">
        <v>7.3069424999999999</v>
      </c>
      <c r="G388">
        <v>339.49526200000003</v>
      </c>
      <c r="H388">
        <v>20</v>
      </c>
      <c r="I388">
        <v>28</v>
      </c>
      <c r="J388">
        <v>1.18</v>
      </c>
      <c r="K388">
        <v>23.728236249999998</v>
      </c>
      <c r="L388">
        <v>-1.2924751088981301</v>
      </c>
      <c r="M388">
        <v>1.1860873015183311</v>
      </c>
      <c r="N388">
        <v>-0.4409083702636124</v>
      </c>
      <c r="O388">
        <v>-0.40524991350353112</v>
      </c>
    </row>
    <row r="389" spans="1:15" x14ac:dyDescent="0.25">
      <c r="A389">
        <v>-162.51884075000001</v>
      </c>
      <c r="B389">
        <v>223.9420815</v>
      </c>
      <c r="C389">
        <v>270.69378675000002</v>
      </c>
      <c r="D389">
        <v>-151.48763274999999</v>
      </c>
      <c r="E389">
        <v>150.55672100000001</v>
      </c>
      <c r="F389">
        <v>6.8694747500000002</v>
      </c>
      <c r="G389">
        <v>311.16732000000002</v>
      </c>
      <c r="H389">
        <v>20</v>
      </c>
      <c r="I389">
        <v>32</v>
      </c>
      <c r="J389">
        <v>1.18</v>
      </c>
      <c r="K389">
        <v>22.710289750000001</v>
      </c>
      <c r="L389">
        <v>-1.408546030137485</v>
      </c>
      <c r="M389">
        <v>1.220653405601323</v>
      </c>
      <c r="N389">
        <v>-0.52220598473759405</v>
      </c>
      <c r="O389">
        <v>-0.53280075176984087</v>
      </c>
    </row>
    <row r="390" spans="1:15" x14ac:dyDescent="0.25">
      <c r="A390">
        <v>-192.02267449999999</v>
      </c>
      <c r="B390">
        <v>187.5051115</v>
      </c>
      <c r="C390">
        <v>255.73121225</v>
      </c>
      <c r="D390">
        <v>-181.03340175</v>
      </c>
      <c r="E390">
        <v>104.73709475</v>
      </c>
      <c r="F390">
        <v>6.5766830000000001</v>
      </c>
      <c r="G390">
        <v>290.24145499999997</v>
      </c>
      <c r="H390">
        <v>20</v>
      </c>
      <c r="I390">
        <v>36</v>
      </c>
      <c r="J390">
        <v>1.18</v>
      </c>
      <c r="K390">
        <v>21.926850999999999</v>
      </c>
      <c r="L390">
        <v>-1.5372738751662891</v>
      </c>
      <c r="M390">
        <v>1.2652950872137181</v>
      </c>
      <c r="N390">
        <v>-0.63688949402294714</v>
      </c>
      <c r="O390">
        <v>-0.66298201583621619</v>
      </c>
    </row>
    <row r="391" spans="1:15" x14ac:dyDescent="0.25">
      <c r="A391">
        <v>-220.98598075000001</v>
      </c>
      <c r="B391">
        <v>154.16755674999999</v>
      </c>
      <c r="C391">
        <v>241.87007174999999</v>
      </c>
      <c r="D391">
        <v>-206.55815125000001</v>
      </c>
      <c r="E391">
        <v>59.2749825</v>
      </c>
      <c r="F391">
        <v>5.992089</v>
      </c>
      <c r="G391">
        <v>275.43729400000001</v>
      </c>
      <c r="H391">
        <v>20</v>
      </c>
      <c r="I391">
        <v>40</v>
      </c>
      <c r="J391">
        <v>1.18</v>
      </c>
      <c r="K391">
        <v>21.370220249999999</v>
      </c>
      <c r="L391">
        <v>-1.695168552422339</v>
      </c>
      <c r="M391">
        <v>1.3211203273776879</v>
      </c>
      <c r="N391">
        <v>-0.79169979594700179</v>
      </c>
      <c r="O391">
        <v>-0.80487028320783016</v>
      </c>
    </row>
    <row r="392" spans="1:15" x14ac:dyDescent="0.25">
      <c r="A392">
        <v>-249.09345250000001</v>
      </c>
      <c r="B392">
        <v>121.17974100000001</v>
      </c>
      <c r="C392">
        <v>231.68129350000001</v>
      </c>
      <c r="D392">
        <v>-233.04444100000001</v>
      </c>
      <c r="E392">
        <v>12.5621255</v>
      </c>
      <c r="F392">
        <v>5.8942727499999998</v>
      </c>
      <c r="G392">
        <v>267.19498475</v>
      </c>
      <c r="H392">
        <v>20</v>
      </c>
      <c r="I392">
        <v>44</v>
      </c>
      <c r="J392">
        <v>1.18</v>
      </c>
      <c r="K392">
        <v>21.04476</v>
      </c>
      <c r="L392">
        <v>-1.8955683125411751</v>
      </c>
      <c r="M392">
        <v>1.396651544066045</v>
      </c>
      <c r="N392">
        <v>-1.0039731064575541</v>
      </c>
      <c r="O392">
        <v>-0.97370980307285704</v>
      </c>
    </row>
    <row r="393" spans="1:15" x14ac:dyDescent="0.25">
      <c r="A393">
        <v>230.56723</v>
      </c>
      <c r="B393">
        <v>133.97093575</v>
      </c>
      <c r="C393">
        <v>-339.60279100000002</v>
      </c>
      <c r="D393">
        <v>-345.93900324999998</v>
      </c>
      <c r="E393">
        <v>-55.69576275</v>
      </c>
      <c r="F393">
        <v>6.4301122500000014</v>
      </c>
      <c r="G393">
        <v>292.48208599999998</v>
      </c>
      <c r="H393">
        <v>24</v>
      </c>
      <c r="I393">
        <v>-44</v>
      </c>
      <c r="J393">
        <v>1.18</v>
      </c>
      <c r="K393">
        <v>22.018922499999999</v>
      </c>
      <c r="L393">
        <v>1.986136656115369</v>
      </c>
      <c r="M393">
        <v>1.6717086490355899</v>
      </c>
      <c r="N393">
        <v>-1.2128501154486211</v>
      </c>
      <c r="O393">
        <v>-1.2164016391501891</v>
      </c>
    </row>
    <row r="394" spans="1:15" x14ac:dyDescent="0.25">
      <c r="A394">
        <v>249.46395100000001</v>
      </c>
      <c r="B394">
        <v>172.72921375000001</v>
      </c>
      <c r="C394">
        <v>-325.25889599999999</v>
      </c>
      <c r="D394">
        <v>-327.88811500000003</v>
      </c>
      <c r="E394">
        <v>-6.37662525</v>
      </c>
      <c r="F394">
        <v>6.7711017499999997</v>
      </c>
      <c r="G394">
        <v>309.04672975</v>
      </c>
      <c r="H394">
        <v>24</v>
      </c>
      <c r="I394">
        <v>-40</v>
      </c>
      <c r="J394">
        <v>1.18</v>
      </c>
      <c r="K394">
        <v>22.634736499999999</v>
      </c>
      <c r="L394">
        <v>1.794906360394005</v>
      </c>
      <c r="M394">
        <v>1.563466913952321</v>
      </c>
      <c r="N394">
        <v>-0.98509232681317871</v>
      </c>
      <c r="O394">
        <v>-1.04106174325361</v>
      </c>
    </row>
    <row r="395" spans="1:15" x14ac:dyDescent="0.25">
      <c r="A395">
        <v>264.13295775</v>
      </c>
      <c r="B395">
        <v>209.482506</v>
      </c>
      <c r="C395">
        <v>-297.40914924999998</v>
      </c>
      <c r="D395">
        <v>-295.15174875000002</v>
      </c>
      <c r="E395">
        <v>43.319159749999997</v>
      </c>
      <c r="F395">
        <v>7.0643812500000003</v>
      </c>
      <c r="G395">
        <v>322.2104185</v>
      </c>
      <c r="H395">
        <v>24</v>
      </c>
      <c r="I395">
        <v>-36</v>
      </c>
      <c r="J395">
        <v>1.18</v>
      </c>
      <c r="K395">
        <v>23.111585000000002</v>
      </c>
      <c r="L395">
        <v>1.653548030460404</v>
      </c>
      <c r="M395">
        <v>1.485959434075053</v>
      </c>
      <c r="N395">
        <v>-0.8212453625883569</v>
      </c>
      <c r="O395">
        <v>-0.89323510840854126</v>
      </c>
    </row>
    <row r="396" spans="1:15" x14ac:dyDescent="0.25">
      <c r="A396">
        <v>272.88925925000001</v>
      </c>
      <c r="B396">
        <v>243.85018550000001</v>
      </c>
      <c r="C396">
        <v>-266.66620625000002</v>
      </c>
      <c r="D396">
        <v>-262.24056250000001</v>
      </c>
      <c r="E396">
        <v>90.784197000000006</v>
      </c>
      <c r="F396">
        <v>7.40538425</v>
      </c>
      <c r="G396">
        <v>335.81423949999999</v>
      </c>
      <c r="H396">
        <v>24</v>
      </c>
      <c r="I396">
        <v>-32</v>
      </c>
      <c r="J396">
        <v>1.18</v>
      </c>
      <c r="K396">
        <v>23.592896</v>
      </c>
      <c r="L396">
        <v>1.518858527059707</v>
      </c>
      <c r="M396">
        <v>1.424657889145331</v>
      </c>
      <c r="N396">
        <v>-0.68976856176749901</v>
      </c>
      <c r="O396">
        <v>-0.76528906814054887</v>
      </c>
    </row>
    <row r="397" spans="1:15" x14ac:dyDescent="0.25">
      <c r="A397">
        <v>256.93953299999998</v>
      </c>
      <c r="B397">
        <v>253.46762075000001</v>
      </c>
      <c r="C397">
        <v>-207.30692675</v>
      </c>
      <c r="D397">
        <v>-211.32217800000001</v>
      </c>
      <c r="E397">
        <v>126.819828</v>
      </c>
      <c r="F397">
        <v>7.0146660000000001</v>
      </c>
      <c r="G397">
        <v>321.29016100000001</v>
      </c>
      <c r="H397">
        <v>24</v>
      </c>
      <c r="I397">
        <v>-28</v>
      </c>
      <c r="J397">
        <v>1.18</v>
      </c>
      <c r="K397">
        <v>23.079617249999998</v>
      </c>
      <c r="L397">
        <v>1.3811435839388031</v>
      </c>
      <c r="M397">
        <v>1.3827583756200219</v>
      </c>
      <c r="N397">
        <v>-0.57855556001254604</v>
      </c>
      <c r="O397">
        <v>-0.6435714316467086</v>
      </c>
    </row>
    <row r="398" spans="1:15" x14ac:dyDescent="0.25">
      <c r="A398">
        <v>233.41095350000001</v>
      </c>
      <c r="B398">
        <v>250.58239</v>
      </c>
      <c r="C398">
        <v>-145.58548375000001</v>
      </c>
      <c r="D398">
        <v>-159.61708849999999</v>
      </c>
      <c r="E398">
        <v>149.84140049999999</v>
      </c>
      <c r="F398">
        <v>6.4301120000000003</v>
      </c>
      <c r="G398">
        <v>298.04364025000001</v>
      </c>
      <c r="H398">
        <v>24</v>
      </c>
      <c r="I398">
        <v>-24</v>
      </c>
      <c r="J398">
        <v>1.18</v>
      </c>
      <c r="K398">
        <v>22.2319405</v>
      </c>
      <c r="L398">
        <v>1.253111940584889</v>
      </c>
      <c r="M398">
        <v>1.356283596468786</v>
      </c>
      <c r="N398">
        <v>-0.49001640625180781</v>
      </c>
      <c r="O398">
        <v>-0.52582021635518028</v>
      </c>
    </row>
    <row r="399" spans="1:15" x14ac:dyDescent="0.25">
      <c r="A399">
        <v>211.563942</v>
      </c>
      <c r="B399">
        <v>248.85125350000001</v>
      </c>
      <c r="C399">
        <v>-88.762698749999998</v>
      </c>
      <c r="D399">
        <v>-113.113096</v>
      </c>
      <c r="E399">
        <v>168.09079374999999</v>
      </c>
      <c r="F399">
        <v>6.332687</v>
      </c>
      <c r="G399">
        <v>281.39896399999998</v>
      </c>
      <c r="H399">
        <v>24</v>
      </c>
      <c r="I399">
        <v>-20</v>
      </c>
      <c r="J399">
        <v>1.18</v>
      </c>
      <c r="K399">
        <v>21.591978000000001</v>
      </c>
      <c r="L399">
        <v>1.1163434520167459</v>
      </c>
      <c r="M399">
        <v>1.345452292781812</v>
      </c>
      <c r="N399">
        <v>-0.42117796984819622</v>
      </c>
      <c r="O399">
        <v>-0.39873287090857912</v>
      </c>
    </row>
    <row r="400" spans="1:15" x14ac:dyDescent="0.25">
      <c r="A400">
        <v>188.531002</v>
      </c>
      <c r="B400">
        <v>241.1092185</v>
      </c>
      <c r="C400">
        <v>-33.382654000000002</v>
      </c>
      <c r="D400">
        <v>-88.11282525</v>
      </c>
      <c r="E400">
        <v>177.17597599999999</v>
      </c>
      <c r="F400">
        <v>5.8455599999999999</v>
      </c>
      <c r="G400">
        <v>264.27416225000002</v>
      </c>
      <c r="H400">
        <v>24</v>
      </c>
      <c r="I400">
        <v>-16</v>
      </c>
      <c r="J400">
        <v>1.18</v>
      </c>
      <c r="K400">
        <v>20.928792000000001</v>
      </c>
      <c r="L400">
        <v>0.93269339640817961</v>
      </c>
      <c r="M400">
        <v>1.383727499964444</v>
      </c>
      <c r="N400">
        <v>-0.36606771006254812</v>
      </c>
      <c r="O400">
        <v>-0.27987274137802731</v>
      </c>
    </row>
    <row r="401" spans="1:15" x14ac:dyDescent="0.25">
      <c r="A401">
        <v>189.17527000000001</v>
      </c>
      <c r="B401">
        <v>266.1626435</v>
      </c>
      <c r="C401">
        <v>5.8255024999999998</v>
      </c>
      <c r="D401">
        <v>-92.13385375</v>
      </c>
      <c r="E401">
        <v>205.06182874999999</v>
      </c>
      <c r="F401">
        <v>6.3818317499999999</v>
      </c>
      <c r="G401">
        <v>284.35980224999997</v>
      </c>
      <c r="H401">
        <v>24</v>
      </c>
      <c r="I401">
        <v>-12</v>
      </c>
      <c r="J401">
        <v>1.18</v>
      </c>
      <c r="K401">
        <v>21.705951750000001</v>
      </c>
      <c r="L401">
        <v>0.73869259748924376</v>
      </c>
      <c r="M401">
        <v>1.443484899435387</v>
      </c>
      <c r="N401">
        <v>-0.3194801425850205</v>
      </c>
      <c r="O401">
        <v>-0.1995571673863287</v>
      </c>
    </row>
    <row r="402" spans="1:15" x14ac:dyDescent="0.25">
      <c r="A402">
        <v>181.76059325</v>
      </c>
      <c r="B402">
        <v>289.43685149999999</v>
      </c>
      <c r="C402">
        <v>43.485553750000001</v>
      </c>
      <c r="D402">
        <v>-103.75984925</v>
      </c>
      <c r="E402">
        <v>229.09820925</v>
      </c>
      <c r="F402">
        <v>6.6736760000000004</v>
      </c>
      <c r="G402">
        <v>303.56518549999998</v>
      </c>
      <c r="H402">
        <v>24</v>
      </c>
      <c r="I402">
        <v>-8</v>
      </c>
      <c r="J402">
        <v>1.18</v>
      </c>
      <c r="K402">
        <v>22.432234749999999</v>
      </c>
      <c r="L402">
        <v>0.53339001537474051</v>
      </c>
      <c r="M402">
        <v>1.516775205578246</v>
      </c>
      <c r="N402">
        <v>-0.28727364202682398</v>
      </c>
      <c r="O402">
        <v>-0.14198281176064501</v>
      </c>
    </row>
    <row r="403" spans="1:15" x14ac:dyDescent="0.25">
      <c r="A403">
        <v>165.105717</v>
      </c>
      <c r="B403">
        <v>306.86586749999998</v>
      </c>
      <c r="C403">
        <v>81.145730999999998</v>
      </c>
      <c r="D403">
        <v>-110.70922475</v>
      </c>
      <c r="E403">
        <v>248.05185299999999</v>
      </c>
      <c r="F403">
        <v>6.9177142500000004</v>
      </c>
      <c r="G403">
        <v>318.28932200000003</v>
      </c>
      <c r="H403">
        <v>24</v>
      </c>
      <c r="I403">
        <v>-4</v>
      </c>
      <c r="J403">
        <v>1.18</v>
      </c>
      <c r="K403">
        <v>22.972769</v>
      </c>
      <c r="L403">
        <v>0.31945865377924032</v>
      </c>
      <c r="M403">
        <v>1.588744023299393</v>
      </c>
      <c r="N403">
        <v>-0.26724123859234289</v>
      </c>
      <c r="O403">
        <v>-8.2563681067621464E-2</v>
      </c>
    </row>
    <row r="404" spans="1:15" x14ac:dyDescent="0.25">
      <c r="A404">
        <v>144.02740474999999</v>
      </c>
      <c r="B404">
        <v>322.61702000000002</v>
      </c>
      <c r="C404">
        <v>115.2385635</v>
      </c>
      <c r="D404">
        <v>-115.1673165</v>
      </c>
      <c r="E404">
        <v>263.87644949999998</v>
      </c>
      <c r="F404">
        <v>7.1612780000000003</v>
      </c>
      <c r="G404">
        <v>332.69336724999999</v>
      </c>
      <c r="H404">
        <v>24</v>
      </c>
      <c r="I404">
        <v>0</v>
      </c>
      <c r="J404">
        <v>1.18</v>
      </c>
      <c r="K404">
        <v>23.48933925</v>
      </c>
      <c r="L404">
        <v>0.10911191134492949</v>
      </c>
      <c r="M404">
        <v>1.6592784795823861</v>
      </c>
      <c r="N404">
        <v>-0.26082974833920108</v>
      </c>
      <c r="O404">
        <v>-2.7004946356606111E-2</v>
      </c>
    </row>
    <row r="405" spans="1:15" x14ac:dyDescent="0.25">
      <c r="A405">
        <v>111.89822975</v>
      </c>
      <c r="B405">
        <v>316.7022935</v>
      </c>
      <c r="C405">
        <v>142.18768675000001</v>
      </c>
      <c r="D405">
        <v>-111.05887425</v>
      </c>
      <c r="E405">
        <v>259.76383175000001</v>
      </c>
      <c r="F405">
        <v>7.06337875</v>
      </c>
      <c r="G405">
        <v>325.81143924999998</v>
      </c>
      <c r="H405">
        <v>24</v>
      </c>
      <c r="I405">
        <v>4</v>
      </c>
      <c r="J405">
        <v>1.18</v>
      </c>
      <c r="K405">
        <v>23.24327375</v>
      </c>
      <c r="L405">
        <v>-0.1167891111860562</v>
      </c>
      <c r="M405">
        <v>1.6493913813414309</v>
      </c>
      <c r="N405">
        <v>-0.25466830217228242</v>
      </c>
      <c r="O405">
        <v>-2.5615629420123839E-2</v>
      </c>
    </row>
    <row r="406" spans="1:15" x14ac:dyDescent="0.25">
      <c r="A406">
        <v>72.708541749999995</v>
      </c>
      <c r="B406">
        <v>288.28276825</v>
      </c>
      <c r="C406">
        <v>156.952652</v>
      </c>
      <c r="D406">
        <v>-101.09373475</v>
      </c>
      <c r="E406">
        <v>233.77670275</v>
      </c>
      <c r="F406">
        <v>6.4792572499999999</v>
      </c>
      <c r="G406">
        <v>299.24397299999998</v>
      </c>
      <c r="H406">
        <v>24</v>
      </c>
      <c r="I406">
        <v>8</v>
      </c>
      <c r="J406">
        <v>1.18</v>
      </c>
      <c r="K406">
        <v>22.2757775</v>
      </c>
      <c r="L406">
        <v>-0.33973423781224688</v>
      </c>
      <c r="M406">
        <v>1.5702563094938939</v>
      </c>
      <c r="N406">
        <v>-0.26401737443025208</v>
      </c>
      <c r="O406">
        <v>-8.335778816245025E-2</v>
      </c>
    </row>
    <row r="407" spans="1:15" x14ac:dyDescent="0.25">
      <c r="A407">
        <v>38.00413425</v>
      </c>
      <c r="B407">
        <v>268.32656874999998</v>
      </c>
      <c r="C407">
        <v>166.46910124999999</v>
      </c>
      <c r="D407">
        <v>-95.193323000000007</v>
      </c>
      <c r="E407">
        <v>212.24551425000001</v>
      </c>
      <c r="F407">
        <v>6.1865489999999994</v>
      </c>
      <c r="G407">
        <v>281.27893825000001</v>
      </c>
      <c r="H407">
        <v>24</v>
      </c>
      <c r="I407">
        <v>12</v>
      </c>
      <c r="J407">
        <v>1.18</v>
      </c>
      <c r="K407">
        <v>21.592994999999998</v>
      </c>
      <c r="L407">
        <v>-0.53340338611200999</v>
      </c>
      <c r="M407">
        <v>1.5093796902266401</v>
      </c>
      <c r="N407">
        <v>-0.28663653002950779</v>
      </c>
      <c r="O407">
        <v>-0.14440740873300559</v>
      </c>
    </row>
    <row r="408" spans="1:15" x14ac:dyDescent="0.25">
      <c r="A408">
        <v>6.2282907500000002</v>
      </c>
      <c r="B408">
        <v>246.54306800000001</v>
      </c>
      <c r="C408">
        <v>173.83995825</v>
      </c>
      <c r="D408">
        <v>-82.911724249999992</v>
      </c>
      <c r="E408">
        <v>191.22314075</v>
      </c>
      <c r="F408">
        <v>5.4075084999999996</v>
      </c>
      <c r="G408">
        <v>263.79402924999999</v>
      </c>
      <c r="H408">
        <v>24</v>
      </c>
      <c r="I408">
        <v>16</v>
      </c>
      <c r="J408">
        <v>1.18</v>
      </c>
      <c r="K408">
        <v>20.927090499999998</v>
      </c>
      <c r="L408">
        <v>-0.73013199976561816</v>
      </c>
      <c r="M408">
        <v>1.4351245082309101</v>
      </c>
      <c r="N408">
        <v>-0.31612486627969733</v>
      </c>
      <c r="O408">
        <v>-0.19057378454391871</v>
      </c>
    </row>
    <row r="409" spans="1:15" x14ac:dyDescent="0.25">
      <c r="A409">
        <v>-34.909118250000013</v>
      </c>
      <c r="B409">
        <v>257.1222535</v>
      </c>
      <c r="C409">
        <v>200.33181400000001</v>
      </c>
      <c r="D409">
        <v>-93.751001250000002</v>
      </c>
      <c r="E409">
        <v>189.31341950000001</v>
      </c>
      <c r="F409">
        <v>5.9916982499999998</v>
      </c>
      <c r="G409">
        <v>282.51928724999999</v>
      </c>
      <c r="H409">
        <v>24</v>
      </c>
      <c r="I409">
        <v>20</v>
      </c>
      <c r="J409">
        <v>1.18</v>
      </c>
      <c r="K409">
        <v>21.649250250000001</v>
      </c>
      <c r="L409">
        <v>-0.92743019231711465</v>
      </c>
      <c r="M409">
        <v>1.3833419054207601</v>
      </c>
      <c r="N409">
        <v>-0.36747429446071739</v>
      </c>
      <c r="O409">
        <v>-0.27723211433985301</v>
      </c>
    </row>
    <row r="410" spans="1:15" x14ac:dyDescent="0.25">
      <c r="A410">
        <v>-87.925932000000003</v>
      </c>
      <c r="B410">
        <v>261.45009599999997</v>
      </c>
      <c r="C410">
        <v>226.83502949999999</v>
      </c>
      <c r="D410">
        <v>-119.40686975</v>
      </c>
      <c r="E410">
        <v>180.58464774999999</v>
      </c>
      <c r="F410">
        <v>6.5284440000000004</v>
      </c>
      <c r="G410">
        <v>300.76440424999998</v>
      </c>
      <c r="H410">
        <v>24</v>
      </c>
      <c r="I410">
        <v>24</v>
      </c>
      <c r="J410">
        <v>1.18</v>
      </c>
      <c r="K410">
        <v>22.331680500000001</v>
      </c>
      <c r="L410">
        <v>-1.107329130139328</v>
      </c>
      <c r="M410">
        <v>1.339874757994433</v>
      </c>
      <c r="N410">
        <v>-0.42282764070995887</v>
      </c>
      <c r="O410">
        <v>-0.38765604170897527</v>
      </c>
    </row>
    <row r="411" spans="1:15" x14ac:dyDescent="0.25">
      <c r="A411">
        <v>-146.70838549999999</v>
      </c>
      <c r="B411">
        <v>259.57469175</v>
      </c>
      <c r="C411">
        <v>247.875069</v>
      </c>
      <c r="D411">
        <v>-159.83562474999999</v>
      </c>
      <c r="E411">
        <v>160.25703824999999</v>
      </c>
      <c r="F411">
        <v>6.5762502500000002</v>
      </c>
      <c r="G411">
        <v>316.28876500000001</v>
      </c>
      <c r="H411">
        <v>24</v>
      </c>
      <c r="I411">
        <v>28</v>
      </c>
      <c r="J411">
        <v>1.18</v>
      </c>
      <c r="K411">
        <v>22.911480749999999</v>
      </c>
      <c r="L411">
        <v>-1.2585177638850249</v>
      </c>
      <c r="M411">
        <v>1.337722814153264</v>
      </c>
      <c r="N411">
        <v>-0.49767133237622252</v>
      </c>
      <c r="O411">
        <v>-0.50983992803678202</v>
      </c>
    </row>
    <row r="412" spans="1:15" x14ac:dyDescent="0.25">
      <c r="A412">
        <v>-204.27465075000001</v>
      </c>
      <c r="B412">
        <v>252.5539665</v>
      </c>
      <c r="C412">
        <v>265.74432350000001</v>
      </c>
      <c r="D412">
        <v>-210.66659175000001</v>
      </c>
      <c r="E412">
        <v>134.60675825000001</v>
      </c>
      <c r="F412">
        <v>7.209517</v>
      </c>
      <c r="G412">
        <v>330.61278549999997</v>
      </c>
      <c r="H412">
        <v>24</v>
      </c>
      <c r="I412">
        <v>32</v>
      </c>
      <c r="J412">
        <v>1.18</v>
      </c>
      <c r="K412">
        <v>23.412407999999999</v>
      </c>
      <c r="L412">
        <v>-1.3740196596296059</v>
      </c>
      <c r="M412">
        <v>1.354133625770968</v>
      </c>
      <c r="N412">
        <v>-0.57299531284477101</v>
      </c>
      <c r="O412">
        <v>-0.62757005747369965</v>
      </c>
    </row>
    <row r="413" spans="1:15" x14ac:dyDescent="0.25">
      <c r="A413">
        <v>-252.20149225</v>
      </c>
      <c r="B413">
        <v>231.5398635</v>
      </c>
      <c r="C413">
        <v>272.49971775</v>
      </c>
      <c r="D413">
        <v>-259.04996499999999</v>
      </c>
      <c r="E413">
        <v>98.127483499999997</v>
      </c>
      <c r="F413">
        <v>7.2105055</v>
      </c>
      <c r="G413">
        <v>334.61389924999997</v>
      </c>
      <c r="H413">
        <v>24</v>
      </c>
      <c r="I413">
        <v>36</v>
      </c>
      <c r="J413">
        <v>1.18</v>
      </c>
      <c r="K413">
        <v>23.55670825</v>
      </c>
      <c r="L413">
        <v>-1.483241052227527</v>
      </c>
      <c r="M413">
        <v>1.386827777904414</v>
      </c>
      <c r="N413">
        <v>-0.66851671985437955</v>
      </c>
      <c r="O413">
        <v>-0.74300094627865265</v>
      </c>
    </row>
    <row r="414" spans="1:15" x14ac:dyDescent="0.25">
      <c r="A414">
        <v>-265.71469100000002</v>
      </c>
      <c r="B414">
        <v>186.77068324999999</v>
      </c>
      <c r="C414">
        <v>248.86836249999999</v>
      </c>
      <c r="D414">
        <v>-268.88398749999999</v>
      </c>
      <c r="E414">
        <v>50.692156750000002</v>
      </c>
      <c r="F414">
        <v>6.6736760000000004</v>
      </c>
      <c r="G414">
        <v>306.64605699999998</v>
      </c>
      <c r="H414">
        <v>24</v>
      </c>
      <c r="I414">
        <v>40</v>
      </c>
      <c r="J414">
        <v>1.18</v>
      </c>
      <c r="K414">
        <v>22.54832025</v>
      </c>
      <c r="L414">
        <v>-1.61824433072923</v>
      </c>
      <c r="M414">
        <v>1.4329555629363211</v>
      </c>
      <c r="N414">
        <v>-0.80499151265851432</v>
      </c>
      <c r="O414">
        <v>-0.86158532272687716</v>
      </c>
    </row>
    <row r="415" spans="1:15" x14ac:dyDescent="0.25">
      <c r="A415">
        <v>-282.87646475000003</v>
      </c>
      <c r="B415">
        <v>147.48344025</v>
      </c>
      <c r="C415">
        <v>228.4604415</v>
      </c>
      <c r="D415">
        <v>-281.95230850000002</v>
      </c>
      <c r="E415">
        <v>3.889357</v>
      </c>
      <c r="F415">
        <v>5.9916982499999998</v>
      </c>
      <c r="G415">
        <v>288.00082400000002</v>
      </c>
      <c r="H415">
        <v>24</v>
      </c>
      <c r="I415">
        <v>44</v>
      </c>
      <c r="J415">
        <v>1.18</v>
      </c>
      <c r="K415">
        <v>21.862761249999998</v>
      </c>
      <c r="L415">
        <v>-1.786024930705689</v>
      </c>
      <c r="M415">
        <v>1.499966803199543</v>
      </c>
      <c r="N415">
        <v>-0.99240723291997313</v>
      </c>
      <c r="O415">
        <v>-1.0073571713940199</v>
      </c>
    </row>
    <row r="416" spans="1:15" x14ac:dyDescent="0.25">
      <c r="A416">
        <v>187.71855174999999</v>
      </c>
      <c r="B416">
        <v>130.36439525</v>
      </c>
      <c r="C416">
        <v>-325.41812125000001</v>
      </c>
      <c r="D416">
        <v>-335.40567025000001</v>
      </c>
      <c r="E416">
        <v>-63.681848500000001</v>
      </c>
      <c r="F416">
        <v>5.4562212499999996</v>
      </c>
      <c r="G416">
        <v>263.03382099999999</v>
      </c>
      <c r="H416">
        <v>28</v>
      </c>
      <c r="I416">
        <v>-44</v>
      </c>
      <c r="J416">
        <v>1.18</v>
      </c>
      <c r="K416">
        <v>20.894286999999998</v>
      </c>
      <c r="L416">
        <v>1.923800049085195</v>
      </c>
      <c r="M416">
        <v>1.7462186552946151</v>
      </c>
      <c r="N416">
        <v>-1.2248870367860389</v>
      </c>
      <c r="O416">
        <v>-1.2591991320695879</v>
      </c>
    </row>
    <row r="417" spans="1:15" x14ac:dyDescent="0.25">
      <c r="A417">
        <v>192.36747725000001</v>
      </c>
      <c r="B417">
        <v>155.85061275000001</v>
      </c>
      <c r="C417">
        <v>-292.60222625</v>
      </c>
      <c r="D417">
        <v>-302.40706625000001</v>
      </c>
      <c r="E417">
        <v>-21.714974999999999</v>
      </c>
      <c r="F417">
        <v>5.6514767499999996</v>
      </c>
      <c r="G417">
        <v>263.59396375</v>
      </c>
      <c r="H417">
        <v>28</v>
      </c>
      <c r="I417">
        <v>-40</v>
      </c>
      <c r="J417">
        <v>1.18</v>
      </c>
      <c r="K417">
        <v>20.909068749999999</v>
      </c>
      <c r="L417">
        <v>1.7584785977528441</v>
      </c>
      <c r="M417">
        <v>1.661615386387568</v>
      </c>
      <c r="N417">
        <v>-1.034512352488038</v>
      </c>
      <c r="O417">
        <v>-1.099227450453385</v>
      </c>
    </row>
    <row r="418" spans="1:15" x14ac:dyDescent="0.25">
      <c r="A418">
        <v>209.7897035</v>
      </c>
      <c r="B418">
        <v>191.91600800000001</v>
      </c>
      <c r="C418">
        <v>-280.01774599999999</v>
      </c>
      <c r="D418">
        <v>-286.27927399999999</v>
      </c>
      <c r="E418">
        <v>18.463183999999998</v>
      </c>
      <c r="F418">
        <v>6.2352619999999996</v>
      </c>
      <c r="G418">
        <v>283.15946975000003</v>
      </c>
      <c r="H418">
        <v>28</v>
      </c>
      <c r="I418">
        <v>-36</v>
      </c>
      <c r="J418">
        <v>1.18</v>
      </c>
      <c r="K418">
        <v>21.664761250000002</v>
      </c>
      <c r="L418">
        <v>1.6239647903030889</v>
      </c>
      <c r="M418">
        <v>1.585462213228898</v>
      </c>
      <c r="N418">
        <v>-0.87761009711431015</v>
      </c>
      <c r="O418">
        <v>-0.95945723188602128</v>
      </c>
    </row>
    <row r="419" spans="1:15" x14ac:dyDescent="0.25">
      <c r="A419">
        <v>221.10425950000001</v>
      </c>
      <c r="B419">
        <v>224.13442975000001</v>
      </c>
      <c r="C419">
        <v>-260.37960049999998</v>
      </c>
      <c r="D419">
        <v>-262.06573500000002</v>
      </c>
      <c r="E419">
        <v>57.617222499999997</v>
      </c>
      <c r="F419">
        <v>6.6736760000000004</v>
      </c>
      <c r="G419">
        <v>298.24369799999999</v>
      </c>
      <c r="H419">
        <v>28</v>
      </c>
      <c r="I419">
        <v>-32</v>
      </c>
      <c r="J419">
        <v>1.18</v>
      </c>
      <c r="K419">
        <v>22.230292500000001</v>
      </c>
      <c r="L419">
        <v>1.51012347425001</v>
      </c>
      <c r="M419">
        <v>1.5249098839702331</v>
      </c>
      <c r="N419">
        <v>-0.75470554554993763</v>
      </c>
      <c r="O419">
        <v>-0.84022958652794122</v>
      </c>
    </row>
    <row r="420" spans="1:15" x14ac:dyDescent="0.25">
      <c r="A420">
        <v>227.45267075000001</v>
      </c>
      <c r="B420">
        <v>253.6599655</v>
      </c>
      <c r="C420">
        <v>-230.491333</v>
      </c>
      <c r="D420">
        <v>-233.9185755</v>
      </c>
      <c r="E420">
        <v>95.892229</v>
      </c>
      <c r="F420">
        <v>6.77156175</v>
      </c>
      <c r="G420">
        <v>312.08758549999999</v>
      </c>
      <c r="H420">
        <v>28</v>
      </c>
      <c r="I420">
        <v>-28</v>
      </c>
      <c r="J420">
        <v>1.18</v>
      </c>
      <c r="K420">
        <v>22.748279749999998</v>
      </c>
      <c r="L420">
        <v>1.395759527219</v>
      </c>
      <c r="M420">
        <v>1.486083937638482</v>
      </c>
      <c r="N420">
        <v>-0.65894448173753661</v>
      </c>
      <c r="O420">
        <v>-0.72836922541096516</v>
      </c>
    </row>
    <row r="421" spans="1:15" x14ac:dyDescent="0.25">
      <c r="A421">
        <v>230.44676974999999</v>
      </c>
      <c r="B421">
        <v>281.61824024999999</v>
      </c>
      <c r="C421">
        <v>-191.20398349999999</v>
      </c>
      <c r="D421">
        <v>-208.65606324999999</v>
      </c>
      <c r="E421">
        <v>132.256283</v>
      </c>
      <c r="F421">
        <v>7.0156404999999999</v>
      </c>
      <c r="G421">
        <v>325.57136500000001</v>
      </c>
      <c r="H421">
        <v>28</v>
      </c>
      <c r="I421">
        <v>-24</v>
      </c>
      <c r="J421">
        <v>1.18</v>
      </c>
      <c r="K421">
        <v>23.23627875</v>
      </c>
      <c r="L421">
        <v>1.269316882739415</v>
      </c>
      <c r="M421">
        <v>1.475897181447688</v>
      </c>
      <c r="N421">
        <v>-0.58194976974289669</v>
      </c>
      <c r="O421">
        <v>-0.62297450367342422</v>
      </c>
    </row>
    <row r="422" spans="1:15" x14ac:dyDescent="0.25">
      <c r="A422">
        <v>228.61134325</v>
      </c>
      <c r="B422">
        <v>304.99028750000002</v>
      </c>
      <c r="C422">
        <v>-143.66217825000001</v>
      </c>
      <c r="D422">
        <v>-183.91804099999999</v>
      </c>
      <c r="E422">
        <v>164.94010925000001</v>
      </c>
      <c r="F422">
        <v>7.2592047500000003</v>
      </c>
      <c r="G422">
        <v>337.134613</v>
      </c>
      <c r="H422">
        <v>28</v>
      </c>
      <c r="I422">
        <v>-20</v>
      </c>
      <c r="J422">
        <v>1.18</v>
      </c>
      <c r="K422">
        <v>23.645519499999999</v>
      </c>
      <c r="L422">
        <v>1.132446589739746</v>
      </c>
      <c r="M422">
        <v>1.487256891650417</v>
      </c>
      <c r="N422">
        <v>-0.52381331732210457</v>
      </c>
      <c r="O422">
        <v>-0.52031586933760532</v>
      </c>
    </row>
    <row r="423" spans="1:15" x14ac:dyDescent="0.25">
      <c r="A423">
        <v>204.025814</v>
      </c>
      <c r="B423">
        <v>301.45864875000001</v>
      </c>
      <c r="C423">
        <v>-82.419547999999992</v>
      </c>
      <c r="D423">
        <v>-157.125801</v>
      </c>
      <c r="E423">
        <v>179.65780275</v>
      </c>
      <c r="F423">
        <v>7.06337875</v>
      </c>
      <c r="G423">
        <v>322.1304015</v>
      </c>
      <c r="H423">
        <v>28</v>
      </c>
      <c r="I423">
        <v>-16</v>
      </c>
      <c r="J423">
        <v>1.18</v>
      </c>
      <c r="K423">
        <v>23.10865875</v>
      </c>
      <c r="L423">
        <v>0.95664971826669865</v>
      </c>
      <c r="M423">
        <v>1.5315047357570131</v>
      </c>
      <c r="N423">
        <v>-0.47581542946570349</v>
      </c>
      <c r="O423">
        <v>-0.42357306615039791</v>
      </c>
    </row>
    <row r="424" spans="1:15" x14ac:dyDescent="0.25">
      <c r="A424">
        <v>174.41498949999999</v>
      </c>
      <c r="B424">
        <v>286.64779650000003</v>
      </c>
      <c r="C424">
        <v>-31.172264500000001</v>
      </c>
      <c r="D424">
        <v>-139.03120425</v>
      </c>
      <c r="E424">
        <v>182.48580175000001</v>
      </c>
      <c r="F424">
        <v>6.6254202500000003</v>
      </c>
      <c r="G424">
        <v>298.84387225</v>
      </c>
      <c r="H424">
        <v>28</v>
      </c>
      <c r="I424">
        <v>-12</v>
      </c>
      <c r="J424">
        <v>1.18</v>
      </c>
      <c r="K424">
        <v>22.254984749999998</v>
      </c>
      <c r="L424">
        <v>0.76831120796413777</v>
      </c>
      <c r="M424">
        <v>1.590828744368624</v>
      </c>
      <c r="N424">
        <v>-0.43487114307828989</v>
      </c>
      <c r="O424">
        <v>-0.34279538801298137</v>
      </c>
    </row>
    <row r="425" spans="1:15" x14ac:dyDescent="0.25">
      <c r="A425">
        <v>146.29373924999999</v>
      </c>
      <c r="B425">
        <v>274.00087000000002</v>
      </c>
      <c r="C425">
        <v>8.2640447500000001</v>
      </c>
      <c r="D425">
        <v>-129.45942274999999</v>
      </c>
      <c r="E425">
        <v>180.56348800000001</v>
      </c>
      <c r="F425">
        <v>6.0899467500000002</v>
      </c>
      <c r="G425">
        <v>281.23892975000001</v>
      </c>
      <c r="H425">
        <v>28</v>
      </c>
      <c r="I425">
        <v>-8</v>
      </c>
      <c r="J425">
        <v>1.18</v>
      </c>
      <c r="K425">
        <v>21.595224250000001</v>
      </c>
      <c r="L425">
        <v>0.57236880928248923</v>
      </c>
      <c r="M425">
        <v>1.6730015597343519</v>
      </c>
      <c r="N425">
        <v>-0.41747844961784719</v>
      </c>
      <c r="O425">
        <v>-0.27653571165594187</v>
      </c>
    </row>
    <row r="426" spans="1:15" x14ac:dyDescent="0.25">
      <c r="A426">
        <v>118.84955425</v>
      </c>
      <c r="B426">
        <v>263.08506</v>
      </c>
      <c r="C426">
        <v>41.631376000000003</v>
      </c>
      <c r="D426">
        <v>-122.1603965</v>
      </c>
      <c r="E426">
        <v>179.0765265</v>
      </c>
      <c r="F426">
        <v>5.8455599999999999</v>
      </c>
      <c r="G426">
        <v>267.27500950000001</v>
      </c>
      <c r="H426">
        <v>28</v>
      </c>
      <c r="I426">
        <v>-4</v>
      </c>
      <c r="J426">
        <v>1.18</v>
      </c>
      <c r="K426">
        <v>21.04994825</v>
      </c>
      <c r="L426">
        <v>0.3520570074199505</v>
      </c>
      <c r="M426">
        <v>1.7563825534288779</v>
      </c>
      <c r="N426">
        <v>-0.40212180794842672</v>
      </c>
      <c r="O426">
        <v>-0.210218714816756</v>
      </c>
    </row>
    <row r="427" spans="1:15" x14ac:dyDescent="0.25">
      <c r="A427">
        <v>98.169660749999991</v>
      </c>
      <c r="B427">
        <v>272.65441874999999</v>
      </c>
      <c r="C427">
        <v>72.565946749999995</v>
      </c>
      <c r="D427">
        <v>-125.04503975</v>
      </c>
      <c r="E427">
        <v>187.44805925</v>
      </c>
      <c r="F427">
        <v>6.1869537499999998</v>
      </c>
      <c r="G427">
        <v>276.95772525000001</v>
      </c>
      <c r="H427">
        <v>28</v>
      </c>
      <c r="I427">
        <v>0</v>
      </c>
      <c r="J427">
        <v>1.18</v>
      </c>
      <c r="K427">
        <v>21.422702999999998</v>
      </c>
      <c r="L427">
        <v>0.1198194195701774</v>
      </c>
      <c r="M427">
        <v>1.861122451044233</v>
      </c>
      <c r="N427">
        <v>-0.4188791899723735</v>
      </c>
      <c r="O427">
        <v>-0.1517435627943908</v>
      </c>
    </row>
    <row r="428" spans="1:15" x14ac:dyDescent="0.25">
      <c r="A428">
        <v>74.919998000000007</v>
      </c>
      <c r="B428">
        <v>291.95772549999998</v>
      </c>
      <c r="C428">
        <v>103.99474725</v>
      </c>
      <c r="D428">
        <v>-138.33189775</v>
      </c>
      <c r="E428">
        <v>199.62662125</v>
      </c>
      <c r="F428">
        <v>6.4792572499999999</v>
      </c>
      <c r="G428">
        <v>295.88304125000002</v>
      </c>
      <c r="H428">
        <v>28</v>
      </c>
      <c r="I428">
        <v>4</v>
      </c>
      <c r="J428">
        <v>1.18</v>
      </c>
      <c r="K428">
        <v>22.147544249999999</v>
      </c>
      <c r="L428">
        <v>-0.12564939137666439</v>
      </c>
      <c r="M428">
        <v>1.8601417139096741</v>
      </c>
      <c r="N428">
        <v>-0.41616115954779198</v>
      </c>
      <c r="O428">
        <v>-0.16506314312419129</v>
      </c>
    </row>
    <row r="429" spans="1:15" x14ac:dyDescent="0.25">
      <c r="A429">
        <v>42.427450999999998</v>
      </c>
      <c r="B429">
        <v>307.66189574999999</v>
      </c>
      <c r="C429">
        <v>138.521072</v>
      </c>
      <c r="D429">
        <v>-150.35125725</v>
      </c>
      <c r="E429">
        <v>207.596451</v>
      </c>
      <c r="F429">
        <v>6.8198147499999999</v>
      </c>
      <c r="G429">
        <v>313.16787725</v>
      </c>
      <c r="H429">
        <v>28</v>
      </c>
      <c r="I429">
        <v>8</v>
      </c>
      <c r="J429">
        <v>1.18</v>
      </c>
      <c r="K429">
        <v>22.7866915</v>
      </c>
      <c r="L429">
        <v>-0.36737925464194821</v>
      </c>
      <c r="M429">
        <v>1.7511431601612111</v>
      </c>
      <c r="N429">
        <v>-0.40366430222849309</v>
      </c>
      <c r="O429">
        <v>-0.2323724756649268</v>
      </c>
    </row>
    <row r="430" spans="1:15" x14ac:dyDescent="0.25">
      <c r="A430">
        <v>4.1067590000000003</v>
      </c>
      <c r="B430">
        <v>317.32742300000001</v>
      </c>
      <c r="C430">
        <v>167.83457949999999</v>
      </c>
      <c r="D430">
        <v>-160.27268599999999</v>
      </c>
      <c r="E430">
        <v>207.909344</v>
      </c>
      <c r="F430">
        <v>7.2100042499999999</v>
      </c>
      <c r="G430">
        <v>326.49162250000001</v>
      </c>
      <c r="H430">
        <v>28</v>
      </c>
      <c r="I430">
        <v>12</v>
      </c>
      <c r="J430">
        <v>1.18</v>
      </c>
      <c r="K430">
        <v>23.262741999999999</v>
      </c>
      <c r="L430">
        <v>-0.5724821361162441</v>
      </c>
      <c r="M430">
        <v>1.669987101697801</v>
      </c>
      <c r="N430">
        <v>-0.4146706336739987</v>
      </c>
      <c r="O430">
        <v>-0.29821197302963531</v>
      </c>
    </row>
    <row r="431" spans="1:15" x14ac:dyDescent="0.25">
      <c r="A431">
        <v>-42.296338249999998</v>
      </c>
      <c r="B431">
        <v>323.96346275000002</v>
      </c>
      <c r="C431">
        <v>196.10046399999999</v>
      </c>
      <c r="D431">
        <v>-168.27103049999999</v>
      </c>
      <c r="E431">
        <v>204.16772474999999</v>
      </c>
      <c r="F431">
        <v>7.16080425</v>
      </c>
      <c r="G431">
        <v>338.17490375</v>
      </c>
      <c r="H431">
        <v>28</v>
      </c>
      <c r="I431">
        <v>16</v>
      </c>
      <c r="J431">
        <v>1.18</v>
      </c>
      <c r="K431">
        <v>23.686294749999998</v>
      </c>
      <c r="L431">
        <v>-0.77038743691768541</v>
      </c>
      <c r="M431">
        <v>1.590680672422885</v>
      </c>
      <c r="N431">
        <v>-0.43306551400539128</v>
      </c>
      <c r="O431">
        <v>-0.36335734827846861</v>
      </c>
    </row>
    <row r="432" spans="1:15" x14ac:dyDescent="0.25">
      <c r="A432">
        <v>-85.223289499999993</v>
      </c>
      <c r="B432">
        <v>297.56358349999999</v>
      </c>
      <c r="C432">
        <v>203.89868575</v>
      </c>
      <c r="D432">
        <v>-158.13105425000001</v>
      </c>
      <c r="E432">
        <v>179.2223395</v>
      </c>
      <c r="F432">
        <v>7.1612914999999999</v>
      </c>
      <c r="G432">
        <v>319.64970399999999</v>
      </c>
      <c r="H432">
        <v>28</v>
      </c>
      <c r="I432">
        <v>20</v>
      </c>
      <c r="J432">
        <v>1.18</v>
      </c>
      <c r="K432">
        <v>23.013884999999998</v>
      </c>
      <c r="L432">
        <v>-0.96081910303731566</v>
      </c>
      <c r="M432">
        <v>1.514508203936026</v>
      </c>
      <c r="N432">
        <v>-0.46677536903236638</v>
      </c>
      <c r="O432">
        <v>-0.42815858328037359</v>
      </c>
    </row>
    <row r="433" spans="1:15" x14ac:dyDescent="0.25">
      <c r="A433">
        <v>-124.726902</v>
      </c>
      <c r="B433">
        <v>263.90254974999999</v>
      </c>
      <c r="C433">
        <v>201.59601624999999</v>
      </c>
      <c r="D433">
        <v>-158.48070899999999</v>
      </c>
      <c r="E433">
        <v>147.660618</v>
      </c>
      <c r="F433">
        <v>6.6736762499999998</v>
      </c>
      <c r="G433">
        <v>295.5229415</v>
      </c>
      <c r="H433">
        <v>28</v>
      </c>
      <c r="I433">
        <v>24</v>
      </c>
      <c r="J433">
        <v>1.18</v>
      </c>
      <c r="K433">
        <v>22.12632675</v>
      </c>
      <c r="L433">
        <v>-1.128105057518328</v>
      </c>
      <c r="M433">
        <v>1.4601905542014051</v>
      </c>
      <c r="N433">
        <v>-0.51116572104778057</v>
      </c>
      <c r="O433">
        <v>-0.51258835221507226</v>
      </c>
    </row>
    <row r="434" spans="1:15" x14ac:dyDescent="0.25">
      <c r="A434">
        <v>-159.72610474999999</v>
      </c>
      <c r="B434">
        <v>236.39667125</v>
      </c>
      <c r="C434">
        <v>198.70640574999999</v>
      </c>
      <c r="D434">
        <v>-176.13824074999999</v>
      </c>
      <c r="E434">
        <v>115.38360575</v>
      </c>
      <c r="F434">
        <v>6.1865489999999994</v>
      </c>
      <c r="G434">
        <v>279.358406</v>
      </c>
      <c r="H434">
        <v>28</v>
      </c>
      <c r="I434">
        <v>28</v>
      </c>
      <c r="J434">
        <v>1.18</v>
      </c>
      <c r="K434">
        <v>21.517491750000001</v>
      </c>
      <c r="L434">
        <v>-1.2651373676475319</v>
      </c>
      <c r="M434">
        <v>1.4560979559634291</v>
      </c>
      <c r="N434">
        <v>-0.57877714502435129</v>
      </c>
      <c r="O434">
        <v>-0.61457595719579894</v>
      </c>
    </row>
    <row r="435" spans="1:15" x14ac:dyDescent="0.25">
      <c r="A435">
        <v>-185.26606749999999</v>
      </c>
      <c r="B435">
        <v>207.35200524999999</v>
      </c>
      <c r="C435">
        <v>192.24990475000001</v>
      </c>
      <c r="D435">
        <v>-195.41291774999999</v>
      </c>
      <c r="E435">
        <v>84.129308749999993</v>
      </c>
      <c r="F435">
        <v>5.69942175</v>
      </c>
      <c r="G435">
        <v>262.99381225000002</v>
      </c>
      <c r="H435">
        <v>28</v>
      </c>
      <c r="I435">
        <v>32</v>
      </c>
      <c r="J435">
        <v>1.18</v>
      </c>
      <c r="K435">
        <v>20.882818</v>
      </c>
      <c r="L435">
        <v>-1.375445820054636</v>
      </c>
      <c r="M435">
        <v>1.4674339063000119</v>
      </c>
      <c r="N435">
        <v>-0.65167746450580788</v>
      </c>
      <c r="O435">
        <v>-0.71425015581251461</v>
      </c>
    </row>
    <row r="436" spans="1:15" x14ac:dyDescent="0.25">
      <c r="A436">
        <v>-234.45414324999999</v>
      </c>
      <c r="B436">
        <v>205.909378</v>
      </c>
      <c r="C436">
        <v>208.29183950000001</v>
      </c>
      <c r="D436">
        <v>-245.5008775</v>
      </c>
      <c r="E436">
        <v>59.900875999999997</v>
      </c>
      <c r="F436">
        <v>6.1865492499999997</v>
      </c>
      <c r="G436">
        <v>283.91967775000001</v>
      </c>
      <c r="H436">
        <v>28</v>
      </c>
      <c r="I436">
        <v>36</v>
      </c>
      <c r="J436">
        <v>1.18</v>
      </c>
      <c r="K436">
        <v>21.696387999999999</v>
      </c>
      <c r="L436">
        <v>-1.476416739276867</v>
      </c>
      <c r="M436">
        <v>1.505321888195984</v>
      </c>
      <c r="N436">
        <v>-0.74703664718474583</v>
      </c>
      <c r="O436">
        <v>-0.82088184904069506</v>
      </c>
    </row>
    <row r="437" spans="1:15" x14ac:dyDescent="0.25">
      <c r="A437">
        <v>-284.72326650000002</v>
      </c>
      <c r="B437">
        <v>195.44020075</v>
      </c>
      <c r="C437">
        <v>221.19124575000001</v>
      </c>
      <c r="D437">
        <v>-294.40872224999998</v>
      </c>
      <c r="E437">
        <v>27.715158750000001</v>
      </c>
      <c r="F437">
        <v>6.5275375000000002</v>
      </c>
      <c r="G437">
        <v>302.84499375000001</v>
      </c>
      <c r="H437">
        <v>28</v>
      </c>
      <c r="I437">
        <v>40</v>
      </c>
      <c r="J437">
        <v>1.18</v>
      </c>
      <c r="K437">
        <v>22.410537250000001</v>
      </c>
      <c r="L437">
        <v>-1.594594144864099</v>
      </c>
      <c r="M437">
        <v>1.543939485331127</v>
      </c>
      <c r="N437">
        <v>-0.86724527176852995</v>
      </c>
      <c r="O437">
        <v>-0.93324843095979282</v>
      </c>
    </row>
    <row r="438" spans="1:15" x14ac:dyDescent="0.25">
      <c r="A438">
        <v>-334.81222524999998</v>
      </c>
      <c r="B438">
        <v>178.30733499999999</v>
      </c>
      <c r="C438">
        <v>227.57236850000001</v>
      </c>
      <c r="D438">
        <v>-340.65048224999998</v>
      </c>
      <c r="E438">
        <v>-12.66335525</v>
      </c>
      <c r="F438">
        <v>6.8689739999999997</v>
      </c>
      <c r="G438">
        <v>318.28932200000003</v>
      </c>
      <c r="H438">
        <v>28</v>
      </c>
      <c r="I438">
        <v>44</v>
      </c>
      <c r="J438">
        <v>1.18</v>
      </c>
      <c r="K438">
        <v>22.974552249999999</v>
      </c>
      <c r="L438">
        <v>-1.730061531870887</v>
      </c>
      <c r="M438">
        <v>1.5964645634622789</v>
      </c>
      <c r="N438">
        <v>-1.018112838390842</v>
      </c>
      <c r="O438">
        <v>-1.0600943125074871</v>
      </c>
    </row>
    <row r="439" spans="1:15" x14ac:dyDescent="0.25">
      <c r="A439">
        <v>208.97722225000001</v>
      </c>
      <c r="B439">
        <v>176.431927</v>
      </c>
      <c r="C439">
        <v>-451.78096799999997</v>
      </c>
      <c r="D439">
        <v>-458.0905075</v>
      </c>
      <c r="E439">
        <v>-107.0279845</v>
      </c>
      <c r="F439">
        <v>7.2105195000000002</v>
      </c>
      <c r="G439">
        <v>337.41469575000002</v>
      </c>
      <c r="H439">
        <v>32</v>
      </c>
      <c r="I439">
        <v>-44</v>
      </c>
      <c r="J439">
        <v>1.18</v>
      </c>
      <c r="K439">
        <v>23.65729825</v>
      </c>
      <c r="L439">
        <v>1.8992289037607319</v>
      </c>
      <c r="M439">
        <v>1.8238236948615201</v>
      </c>
      <c r="N439">
        <v>-1.277487414637017</v>
      </c>
      <c r="O439">
        <v>-1.3283594560235621</v>
      </c>
    </row>
    <row r="440" spans="1:15" x14ac:dyDescent="0.25">
      <c r="A440">
        <v>206.58506399999999</v>
      </c>
      <c r="B440">
        <v>197.20560449999999</v>
      </c>
      <c r="C440">
        <v>-387.29943850000001</v>
      </c>
      <c r="D440">
        <v>-394.67203499999999</v>
      </c>
      <c r="E440">
        <v>-51.593028250000003</v>
      </c>
      <c r="F440">
        <v>6.7228490000000001</v>
      </c>
      <c r="G440">
        <v>320.56996924999999</v>
      </c>
      <c r="H440">
        <v>32</v>
      </c>
      <c r="I440">
        <v>-40</v>
      </c>
      <c r="J440">
        <v>1.18</v>
      </c>
      <c r="K440">
        <v>23.063867250000001</v>
      </c>
      <c r="L440">
        <v>1.7498573469114029</v>
      </c>
      <c r="M440">
        <v>1.7439370803013381</v>
      </c>
      <c r="N440">
        <v>-1.0965702399243531</v>
      </c>
      <c r="O440">
        <v>-1.171817347519408</v>
      </c>
    </row>
    <row r="441" spans="1:15" x14ac:dyDescent="0.25">
      <c r="A441">
        <v>195.26896274999999</v>
      </c>
      <c r="B441">
        <v>208.69844075</v>
      </c>
      <c r="C441">
        <v>-322.77835049999999</v>
      </c>
      <c r="D441">
        <v>-326.008713</v>
      </c>
      <c r="E441">
        <v>-8.5165524999999995</v>
      </c>
      <c r="F441">
        <v>6.5762502500000002</v>
      </c>
      <c r="G441">
        <v>297.68354049999999</v>
      </c>
      <c r="H441">
        <v>32</v>
      </c>
      <c r="I441">
        <v>-36</v>
      </c>
      <c r="J441">
        <v>1.18</v>
      </c>
      <c r="K441">
        <v>22.212637999999998</v>
      </c>
      <c r="L441">
        <v>1.6400268134111391</v>
      </c>
      <c r="M441">
        <v>1.6927645596426959</v>
      </c>
      <c r="N441">
        <v>-0.96936018471294361</v>
      </c>
      <c r="O441">
        <v>-1.047776221342442</v>
      </c>
    </row>
    <row r="442" spans="1:15" x14ac:dyDescent="0.25">
      <c r="A442">
        <v>184.15279000000001</v>
      </c>
      <c r="B442">
        <v>215.47873724999999</v>
      </c>
      <c r="C442">
        <v>-274.22621900000001</v>
      </c>
      <c r="D442">
        <v>-268.27207924999999</v>
      </c>
      <c r="E442">
        <v>26.778313000000001</v>
      </c>
      <c r="F442">
        <v>6.332687</v>
      </c>
      <c r="G442">
        <v>281.51899750000001</v>
      </c>
      <c r="H442">
        <v>32</v>
      </c>
      <c r="I442">
        <v>-32</v>
      </c>
      <c r="J442">
        <v>1.18</v>
      </c>
      <c r="K442">
        <v>21.596691</v>
      </c>
      <c r="L442">
        <v>1.538037765920989</v>
      </c>
      <c r="M442">
        <v>1.6231756308192691</v>
      </c>
      <c r="N442">
        <v>-0.85477284225176975</v>
      </c>
      <c r="O442">
        <v>-0.93139879475774467</v>
      </c>
    </row>
    <row r="443" spans="1:15" x14ac:dyDescent="0.25">
      <c r="A443">
        <v>170.56699</v>
      </c>
      <c r="B443">
        <v>218.98910549999999</v>
      </c>
      <c r="C443">
        <v>-221.80041125</v>
      </c>
      <c r="D443">
        <v>-220.893959</v>
      </c>
      <c r="E443">
        <v>53.198964250000003</v>
      </c>
      <c r="F443">
        <v>5.8455599999999999</v>
      </c>
      <c r="G443">
        <v>264.35419450000001</v>
      </c>
      <c r="H443">
        <v>32</v>
      </c>
      <c r="I443">
        <v>-28</v>
      </c>
      <c r="J443">
        <v>1.18</v>
      </c>
      <c r="K443">
        <v>20.932036750000002</v>
      </c>
      <c r="L443">
        <v>1.42913875304828</v>
      </c>
      <c r="M443">
        <v>1.602218704328652</v>
      </c>
      <c r="N443">
        <v>-0.76910495656155331</v>
      </c>
      <c r="O443">
        <v>-0.82751597226716422</v>
      </c>
    </row>
    <row r="444" spans="1:15" x14ac:dyDescent="0.25">
      <c r="A444">
        <v>175.99483499999999</v>
      </c>
      <c r="B444">
        <v>249.09168625000001</v>
      </c>
      <c r="C444">
        <v>-196.597622</v>
      </c>
      <c r="D444">
        <v>-210.62287524999999</v>
      </c>
      <c r="E444">
        <v>82.391323</v>
      </c>
      <c r="F444">
        <v>6.0404109999999998</v>
      </c>
      <c r="G444">
        <v>283.55957799999999</v>
      </c>
      <c r="H444">
        <v>32</v>
      </c>
      <c r="I444">
        <v>-24</v>
      </c>
      <c r="J444">
        <v>1.18</v>
      </c>
      <c r="K444">
        <v>21.688016749999999</v>
      </c>
      <c r="L444">
        <v>1.302782493527326</v>
      </c>
      <c r="M444">
        <v>1.6073986593061751</v>
      </c>
      <c r="N444">
        <v>-0.70341375380335791</v>
      </c>
      <c r="O444">
        <v>-0.73303376890069116</v>
      </c>
    </row>
    <row r="445" spans="1:15" x14ac:dyDescent="0.25">
      <c r="A445">
        <v>179.41357049999999</v>
      </c>
      <c r="B445">
        <v>278.61723325000003</v>
      </c>
      <c r="C445">
        <v>-161.86117924999999</v>
      </c>
      <c r="D445">
        <v>-201.75039674999999</v>
      </c>
      <c r="E445">
        <v>111.263548</v>
      </c>
      <c r="F445">
        <v>6.6736760000000004</v>
      </c>
      <c r="G445">
        <v>302.88500225000001</v>
      </c>
      <c r="H445">
        <v>32</v>
      </c>
      <c r="I445">
        <v>-20</v>
      </c>
      <c r="J445">
        <v>1.18</v>
      </c>
      <c r="K445">
        <v>22.406517749999999</v>
      </c>
      <c r="L445">
        <v>1.164458541302154</v>
      </c>
      <c r="M445">
        <v>1.639100265746906</v>
      </c>
      <c r="N445">
        <v>-0.65384670312778304</v>
      </c>
      <c r="O445">
        <v>-0.64311359626287201</v>
      </c>
    </row>
    <row r="446" spans="1:15" x14ac:dyDescent="0.25">
      <c r="A446">
        <v>172.970562</v>
      </c>
      <c r="B446">
        <v>302.56465150000002</v>
      </c>
      <c r="C446">
        <v>-122.1548615</v>
      </c>
      <c r="D446">
        <v>-197.81678775</v>
      </c>
      <c r="E446">
        <v>135.45614624999999</v>
      </c>
      <c r="F446">
        <v>6.9659532500000001</v>
      </c>
      <c r="G446">
        <v>318.12928025000002</v>
      </c>
      <c r="H446">
        <v>32</v>
      </c>
      <c r="I446">
        <v>-16</v>
      </c>
      <c r="J446">
        <v>1.18</v>
      </c>
      <c r="K446">
        <v>22.96508</v>
      </c>
      <c r="L446">
        <v>0.99893012319541452</v>
      </c>
      <c r="M446">
        <v>1.6936733234360439</v>
      </c>
      <c r="N446">
        <v>-0.61830802950641672</v>
      </c>
      <c r="O446">
        <v>-0.56509303296162261</v>
      </c>
    </row>
    <row r="447" spans="1:15" x14ac:dyDescent="0.25">
      <c r="A447">
        <v>163.22065375</v>
      </c>
      <c r="B447">
        <v>322.71319599999998</v>
      </c>
      <c r="C447">
        <v>-80.874988500000001</v>
      </c>
      <c r="D447">
        <v>-199.56505974999999</v>
      </c>
      <c r="E447">
        <v>157.35136075</v>
      </c>
      <c r="F447">
        <v>7.0146660000000001</v>
      </c>
      <c r="G447">
        <v>332.33325975000002</v>
      </c>
      <c r="H447">
        <v>32</v>
      </c>
      <c r="I447">
        <v>-12</v>
      </c>
      <c r="J447">
        <v>1.18</v>
      </c>
      <c r="K447">
        <v>23.481635749999999</v>
      </c>
      <c r="L447">
        <v>0.82029204110571408</v>
      </c>
      <c r="M447">
        <v>1.755138820627798</v>
      </c>
      <c r="N447">
        <v>-0.58803471563465348</v>
      </c>
      <c r="O447">
        <v>-0.49478597771353561</v>
      </c>
    </row>
    <row r="448" spans="1:15" x14ac:dyDescent="0.25">
      <c r="A448">
        <v>137.26604474999999</v>
      </c>
      <c r="B448">
        <v>325.42901599999999</v>
      </c>
      <c r="C448">
        <v>-35.500663250000002</v>
      </c>
      <c r="D448">
        <v>-203.01789475000001</v>
      </c>
      <c r="E448">
        <v>165.48704549999999</v>
      </c>
      <c r="F448">
        <v>6.8694612500000014</v>
      </c>
      <c r="G448">
        <v>329.65252674999999</v>
      </c>
      <c r="H448">
        <v>32</v>
      </c>
      <c r="I448">
        <v>-8</v>
      </c>
      <c r="J448">
        <v>1.18</v>
      </c>
      <c r="K448">
        <v>23.389906249999999</v>
      </c>
      <c r="L448">
        <v>0.60667438508209692</v>
      </c>
      <c r="M448">
        <v>1.8558627182110701</v>
      </c>
      <c r="N448">
        <v>-0.57653193080670961</v>
      </c>
      <c r="O448">
        <v>-0.44291710052302319</v>
      </c>
    </row>
    <row r="449" spans="1:15" x14ac:dyDescent="0.25">
      <c r="A449">
        <v>100.88444724999999</v>
      </c>
      <c r="B449">
        <v>300.88160699999997</v>
      </c>
      <c r="C449">
        <v>13.0493635</v>
      </c>
      <c r="D449">
        <v>-180.29038625000001</v>
      </c>
      <c r="E449">
        <v>158.12158199999999</v>
      </c>
      <c r="F449">
        <v>6.3813995000000006</v>
      </c>
      <c r="G449">
        <v>303.24510199999997</v>
      </c>
      <c r="H449">
        <v>32</v>
      </c>
      <c r="I449">
        <v>-4</v>
      </c>
      <c r="J449">
        <v>1.18</v>
      </c>
      <c r="K449">
        <v>22.431176000000001</v>
      </c>
      <c r="L449">
        <v>0.36333951179497131</v>
      </c>
      <c r="M449">
        <v>1.9904477305497981</v>
      </c>
      <c r="N449">
        <v>-0.60033956040469783</v>
      </c>
      <c r="O449">
        <v>-0.37230329830193981</v>
      </c>
    </row>
    <row r="450" spans="1:15" x14ac:dyDescent="0.25">
      <c r="A450">
        <v>70.73196200000001</v>
      </c>
      <c r="B450">
        <v>284.72431175000003</v>
      </c>
      <c r="C450">
        <v>44.295242250000001</v>
      </c>
      <c r="D450">
        <v>-167.090946</v>
      </c>
      <c r="E450">
        <v>152.26522850000001</v>
      </c>
      <c r="F450">
        <v>6.2361089999999999</v>
      </c>
      <c r="G450">
        <v>286.08027650000002</v>
      </c>
      <c r="H450">
        <v>32</v>
      </c>
      <c r="I450">
        <v>0</v>
      </c>
      <c r="J450">
        <v>1.18</v>
      </c>
      <c r="K450">
        <v>21.778701999999999</v>
      </c>
      <c r="L450">
        <v>0.12372265837744149</v>
      </c>
      <c r="M450">
        <v>2.114645822719373</v>
      </c>
      <c r="N450">
        <v>-0.62631492210514772</v>
      </c>
      <c r="O450">
        <v>-0.31654409741326378</v>
      </c>
    </row>
    <row r="451" spans="1:15" x14ac:dyDescent="0.25">
      <c r="A451">
        <v>39.987361999999997</v>
      </c>
      <c r="B451">
        <v>268.56700124999998</v>
      </c>
      <c r="C451">
        <v>69.125084000000001</v>
      </c>
      <c r="D451">
        <v>-158.043644</v>
      </c>
      <c r="E451">
        <v>144.33369475000001</v>
      </c>
      <c r="F451">
        <v>6.0408295000000001</v>
      </c>
      <c r="G451">
        <v>269.07551599999999</v>
      </c>
      <c r="H451">
        <v>32</v>
      </c>
      <c r="I451">
        <v>4</v>
      </c>
      <c r="J451">
        <v>1.18</v>
      </c>
      <c r="K451">
        <v>21.114455499999998</v>
      </c>
      <c r="L451">
        <v>-0.14328408492165079</v>
      </c>
      <c r="M451">
        <v>2.0977836021678442</v>
      </c>
      <c r="N451">
        <v>-0.61339540511634882</v>
      </c>
      <c r="O451">
        <v>-0.31996643190997692</v>
      </c>
    </row>
    <row r="452" spans="1:15" x14ac:dyDescent="0.25">
      <c r="A452">
        <v>10.02007525</v>
      </c>
      <c r="B452">
        <v>253.43727475</v>
      </c>
      <c r="C452">
        <v>88.099801999999997</v>
      </c>
      <c r="D452">
        <v>-152.23064400000001</v>
      </c>
      <c r="E452">
        <v>133.39971525000001</v>
      </c>
      <c r="F452">
        <v>5.5536849999999998</v>
      </c>
      <c r="G452">
        <v>255.03156275000001</v>
      </c>
      <c r="H452">
        <v>32</v>
      </c>
      <c r="I452">
        <v>8</v>
      </c>
      <c r="J452">
        <v>1.18</v>
      </c>
      <c r="K452">
        <v>20.563164499999999</v>
      </c>
      <c r="L452">
        <v>-0.38179325209997128</v>
      </c>
      <c r="M452">
        <v>1.983698687196674</v>
      </c>
      <c r="N452">
        <v>-0.59480974865229852</v>
      </c>
      <c r="O452">
        <v>-0.37486098906189907</v>
      </c>
    </row>
    <row r="453" spans="1:15" x14ac:dyDescent="0.25">
      <c r="A453">
        <v>-24.368814499999999</v>
      </c>
      <c r="B453">
        <v>270.65356450000002</v>
      </c>
      <c r="C453">
        <v>117.082365</v>
      </c>
      <c r="D453">
        <v>-165.08043275</v>
      </c>
      <c r="E453">
        <v>137.60198975</v>
      </c>
      <c r="F453">
        <v>6.1865492499999997</v>
      </c>
      <c r="G453">
        <v>275.23725124999999</v>
      </c>
      <c r="H453">
        <v>32</v>
      </c>
      <c r="I453">
        <v>12</v>
      </c>
      <c r="J453">
        <v>1.18</v>
      </c>
      <c r="K453">
        <v>21.354554499999999</v>
      </c>
      <c r="L453">
        <v>-0.60884707110996439</v>
      </c>
      <c r="M453">
        <v>1.8755478885141521</v>
      </c>
      <c r="N453">
        <v>-0.59244598107106361</v>
      </c>
      <c r="O453">
        <v>-0.43435432505389399</v>
      </c>
    </row>
    <row r="454" spans="1:15" x14ac:dyDescent="0.25">
      <c r="A454">
        <v>-69.818237249999996</v>
      </c>
      <c r="B454">
        <v>282.82059475</v>
      </c>
      <c r="C454">
        <v>142.81034825</v>
      </c>
      <c r="D454">
        <v>-183.96175375000001</v>
      </c>
      <c r="E454">
        <v>135.60865799999999</v>
      </c>
      <c r="F454">
        <v>6.6254369999999998</v>
      </c>
      <c r="G454">
        <v>292.20200325000002</v>
      </c>
      <c r="H454">
        <v>32</v>
      </c>
      <c r="I454">
        <v>16</v>
      </c>
      <c r="J454">
        <v>1.18</v>
      </c>
      <c r="K454">
        <v>22.000625500000002</v>
      </c>
      <c r="L454">
        <v>-0.8099990231123142</v>
      </c>
      <c r="M454">
        <v>1.77825821741234</v>
      </c>
      <c r="N454">
        <v>-0.59657157634929325</v>
      </c>
      <c r="O454">
        <v>-0.50863457290169956</v>
      </c>
    </row>
    <row r="455" spans="1:15" x14ac:dyDescent="0.25">
      <c r="A455">
        <v>-119.41169925</v>
      </c>
      <c r="B455">
        <v>289.19641875000002</v>
      </c>
      <c r="C455">
        <v>166.92059724999999</v>
      </c>
      <c r="D455">
        <v>-198.73463824999999</v>
      </c>
      <c r="E455">
        <v>128.92084125</v>
      </c>
      <c r="F455">
        <v>7.06337875</v>
      </c>
      <c r="G455">
        <v>306.48600750000003</v>
      </c>
      <c r="H455">
        <v>32</v>
      </c>
      <c r="I455">
        <v>20</v>
      </c>
      <c r="J455">
        <v>1.18</v>
      </c>
      <c r="K455">
        <v>22.527657999999999</v>
      </c>
      <c r="L455">
        <v>-0.9942301028728836</v>
      </c>
      <c r="M455">
        <v>1.694233607253576</v>
      </c>
      <c r="N455">
        <v>-0.6165560948890193</v>
      </c>
      <c r="O455">
        <v>-0.57686510711350159</v>
      </c>
    </row>
    <row r="456" spans="1:15" x14ac:dyDescent="0.25">
      <c r="A456">
        <v>-172.74382775000001</v>
      </c>
      <c r="B456">
        <v>291.21607225000002</v>
      </c>
      <c r="C456">
        <v>188.59273525</v>
      </c>
      <c r="D456">
        <v>-221.28732650000001</v>
      </c>
      <c r="E456">
        <v>117.998209</v>
      </c>
      <c r="F456">
        <v>6.9172405000000001</v>
      </c>
      <c r="G456">
        <v>320.32990274999997</v>
      </c>
      <c r="H456">
        <v>32</v>
      </c>
      <c r="I456">
        <v>24</v>
      </c>
      <c r="J456">
        <v>1.18</v>
      </c>
      <c r="K456">
        <v>23.047940000000001</v>
      </c>
      <c r="L456">
        <v>-1.1470603723542181</v>
      </c>
      <c r="M456">
        <v>1.6269254715672901</v>
      </c>
      <c r="N456">
        <v>-0.64231435158700612</v>
      </c>
      <c r="O456">
        <v>-0.64737979475808161</v>
      </c>
    </row>
    <row r="457" spans="1:15" x14ac:dyDescent="0.25">
      <c r="A457">
        <v>-225.71560274999999</v>
      </c>
      <c r="B457">
        <v>286.18679025</v>
      </c>
      <c r="C457">
        <v>204.37691525</v>
      </c>
      <c r="D457">
        <v>-254.89782725000001</v>
      </c>
      <c r="E457">
        <v>96.24987225000001</v>
      </c>
      <c r="F457">
        <v>7.1126032500000003</v>
      </c>
      <c r="G457">
        <v>331.85312675</v>
      </c>
      <c r="H457">
        <v>32</v>
      </c>
      <c r="I457">
        <v>28</v>
      </c>
      <c r="J457">
        <v>1.18</v>
      </c>
      <c r="K457">
        <v>23.460761250000001</v>
      </c>
      <c r="L457">
        <v>-1.277929613038892</v>
      </c>
      <c r="M457">
        <v>1.607711401954645</v>
      </c>
      <c r="N457">
        <v>-0.70006389553633508</v>
      </c>
      <c r="O457">
        <v>-0.73514728150123387</v>
      </c>
    </row>
    <row r="458" spans="1:15" x14ac:dyDescent="0.25">
      <c r="A458">
        <v>-268.957855</v>
      </c>
      <c r="B458">
        <v>271.54841649999997</v>
      </c>
      <c r="C458">
        <v>212.05352400000001</v>
      </c>
      <c r="D458">
        <v>-288.33349600000003</v>
      </c>
      <c r="E458">
        <v>69.069237000000001</v>
      </c>
      <c r="F458">
        <v>7.16080425</v>
      </c>
      <c r="G458">
        <v>335.57416525000002</v>
      </c>
      <c r="H458">
        <v>32</v>
      </c>
      <c r="I458">
        <v>32</v>
      </c>
      <c r="J458">
        <v>1.18</v>
      </c>
      <c r="K458">
        <v>23.5930055</v>
      </c>
      <c r="L458">
        <v>-1.383353686359198</v>
      </c>
      <c r="M458">
        <v>1.6102079191079219</v>
      </c>
      <c r="N458">
        <v>-0.76647463939725835</v>
      </c>
      <c r="O458">
        <v>-0.82196868686916325</v>
      </c>
    </row>
    <row r="459" spans="1:15" x14ac:dyDescent="0.25">
      <c r="A459">
        <v>-283.55213175</v>
      </c>
      <c r="B459">
        <v>230.97906499999999</v>
      </c>
      <c r="C459">
        <v>199.13869875</v>
      </c>
      <c r="D459">
        <v>-294.58356474999999</v>
      </c>
      <c r="E459">
        <v>35.048736499999997</v>
      </c>
      <c r="F459">
        <v>6.6741359999999998</v>
      </c>
      <c r="G459">
        <v>308.76664699999998</v>
      </c>
      <c r="H459">
        <v>32</v>
      </c>
      <c r="I459">
        <v>36</v>
      </c>
      <c r="J459">
        <v>1.18</v>
      </c>
      <c r="K459">
        <v>22.62784525</v>
      </c>
      <c r="L459">
        <v>-1.489259538215749</v>
      </c>
      <c r="M459">
        <v>1.6215334015480229</v>
      </c>
      <c r="N459">
        <v>-0.84454203837771602</v>
      </c>
      <c r="O459">
        <v>-0.91246237637609739</v>
      </c>
    </row>
    <row r="460" spans="1:15" x14ac:dyDescent="0.25">
      <c r="A460">
        <v>-289.67812350000003</v>
      </c>
      <c r="B460">
        <v>193.118179</v>
      </c>
      <c r="C460">
        <v>183.051277</v>
      </c>
      <c r="D460">
        <v>-297.24967199999998</v>
      </c>
      <c r="E460">
        <v>2.0563607500000001</v>
      </c>
      <c r="F460">
        <v>6.2352617499999994</v>
      </c>
      <c r="G460">
        <v>286.72046675000001</v>
      </c>
      <c r="H460">
        <v>32</v>
      </c>
      <c r="I460">
        <v>40</v>
      </c>
      <c r="J460">
        <v>1.18</v>
      </c>
      <c r="K460">
        <v>21.803618499999999</v>
      </c>
      <c r="L460">
        <v>-1.5996497304411621</v>
      </c>
      <c r="M460">
        <v>1.659349338972711</v>
      </c>
      <c r="N460">
        <v>-0.963269381814713</v>
      </c>
      <c r="O460">
        <v>-1.014142866255221</v>
      </c>
    </row>
    <row r="461" spans="1:15" x14ac:dyDescent="0.25">
      <c r="A461">
        <v>-299.407623</v>
      </c>
      <c r="B461">
        <v>160.62257025</v>
      </c>
      <c r="C461">
        <v>168.38744374999999</v>
      </c>
      <c r="D461">
        <v>-305.42283624999999</v>
      </c>
      <c r="E461">
        <v>-30.811187</v>
      </c>
      <c r="F461">
        <v>5.9921135000000003</v>
      </c>
      <c r="G461">
        <v>270.31587250000001</v>
      </c>
      <c r="H461">
        <v>32</v>
      </c>
      <c r="I461">
        <v>44</v>
      </c>
      <c r="J461">
        <v>1.18</v>
      </c>
      <c r="K461">
        <v>21.16614525</v>
      </c>
      <c r="L461">
        <v>-1.722346923921942</v>
      </c>
      <c r="M461">
        <v>1.7159212875244281</v>
      </c>
      <c r="N461">
        <v>-1.1087186829993341</v>
      </c>
      <c r="O461">
        <v>-1.1355141507634241</v>
      </c>
    </row>
    <row r="462" spans="1:15" x14ac:dyDescent="0.25">
      <c r="A462">
        <v>146.69997774999999</v>
      </c>
      <c r="B462">
        <v>152.53259650000001</v>
      </c>
      <c r="C462">
        <v>-377.35642250000001</v>
      </c>
      <c r="D462">
        <v>-380.46733849999998</v>
      </c>
      <c r="E462">
        <v>-107.377922</v>
      </c>
      <c r="F462">
        <v>6.2352619999999996</v>
      </c>
      <c r="G462">
        <v>278.67819974999998</v>
      </c>
      <c r="H462">
        <v>36</v>
      </c>
      <c r="I462">
        <v>-44</v>
      </c>
      <c r="J462">
        <v>1.18</v>
      </c>
      <c r="K462">
        <v>21.488764750000001</v>
      </c>
      <c r="L462">
        <v>1.930008700060432</v>
      </c>
      <c r="M462">
        <v>1.9629552897580971</v>
      </c>
      <c r="N462">
        <v>-1.421822404202872</v>
      </c>
      <c r="O462">
        <v>-1.418434022906111</v>
      </c>
    </row>
    <row r="463" spans="1:15" x14ac:dyDescent="0.25">
      <c r="A463">
        <v>159.47416325</v>
      </c>
      <c r="B463">
        <v>187.79354475</v>
      </c>
      <c r="C463">
        <v>-379.74718474999997</v>
      </c>
      <c r="D463">
        <v>-383.30827325000001</v>
      </c>
      <c r="E463">
        <v>-78.5662935</v>
      </c>
      <c r="F463">
        <v>6.5280082500000001</v>
      </c>
      <c r="G463">
        <v>295.64295974999999</v>
      </c>
      <c r="H463">
        <v>36</v>
      </c>
      <c r="I463">
        <v>-40</v>
      </c>
      <c r="J463">
        <v>1.18</v>
      </c>
      <c r="K463">
        <v>22.13650075</v>
      </c>
      <c r="L463">
        <v>1.779834038600782</v>
      </c>
      <c r="M463">
        <v>1.8850581687760579</v>
      </c>
      <c r="N463">
        <v>-1.2351699189297649</v>
      </c>
      <c r="O463">
        <v>-1.2808728863203049</v>
      </c>
    </row>
    <row r="464" spans="1:15" x14ac:dyDescent="0.25">
      <c r="A464">
        <v>172.32735074999999</v>
      </c>
      <c r="B464">
        <v>221.68198025000001</v>
      </c>
      <c r="C464">
        <v>-366.32653049999999</v>
      </c>
      <c r="D464">
        <v>-364.77661875000001</v>
      </c>
      <c r="E464">
        <v>-44.324759499999999</v>
      </c>
      <c r="F464">
        <v>6.8198150000000002</v>
      </c>
      <c r="G464">
        <v>311.52742024999998</v>
      </c>
      <c r="H464">
        <v>36</v>
      </c>
      <c r="I464">
        <v>-36</v>
      </c>
      <c r="J464">
        <v>1.18</v>
      </c>
      <c r="K464">
        <v>22.7256055</v>
      </c>
      <c r="L464">
        <v>1.6768698866667311</v>
      </c>
      <c r="M464">
        <v>1.825686819734655</v>
      </c>
      <c r="N464">
        <v>-1.107793666094868</v>
      </c>
      <c r="O464">
        <v>-1.1592177821461891</v>
      </c>
    </row>
    <row r="465" spans="1:15" x14ac:dyDescent="0.25">
      <c r="A465">
        <v>177.75523774999999</v>
      </c>
      <c r="B465">
        <v>251.73648474999999</v>
      </c>
      <c r="C465">
        <v>-351.12773149999998</v>
      </c>
      <c r="D465">
        <v>-344.45297249999999</v>
      </c>
      <c r="E465">
        <v>-11.906086</v>
      </c>
      <c r="F465">
        <v>6.9659532500000001</v>
      </c>
      <c r="G465">
        <v>323.53079200000002</v>
      </c>
      <c r="H465">
        <v>36</v>
      </c>
      <c r="I465">
        <v>-32</v>
      </c>
      <c r="J465">
        <v>1.18</v>
      </c>
      <c r="K465">
        <v>23.163554749999999</v>
      </c>
      <c r="L465">
        <v>1.574601185644126</v>
      </c>
      <c r="M465">
        <v>1.7749805505247029</v>
      </c>
      <c r="N465">
        <v>-0.99867136787313948</v>
      </c>
      <c r="O465">
        <v>-1.056184819763742</v>
      </c>
    </row>
    <row r="466" spans="1:15" x14ac:dyDescent="0.25">
      <c r="A466">
        <v>183.00050350000001</v>
      </c>
      <c r="B466">
        <v>282.77255250000002</v>
      </c>
      <c r="C466">
        <v>-322.57662975</v>
      </c>
      <c r="D466">
        <v>-324.12933349999997</v>
      </c>
      <c r="E466">
        <v>21.010082499999999</v>
      </c>
      <c r="F466">
        <v>7.2587169999999999</v>
      </c>
      <c r="G466">
        <v>337.33466349999998</v>
      </c>
      <c r="H466">
        <v>36</v>
      </c>
      <c r="I466">
        <v>-28</v>
      </c>
      <c r="J466">
        <v>1.18</v>
      </c>
      <c r="K466">
        <v>23.652691999999998</v>
      </c>
      <c r="L466">
        <v>1.468151814996999</v>
      </c>
      <c r="M466">
        <v>1.762396163381976</v>
      </c>
      <c r="N466">
        <v>-0.9185829178435837</v>
      </c>
      <c r="O466">
        <v>-0.96006749726456442</v>
      </c>
    </row>
    <row r="467" spans="1:15" x14ac:dyDescent="0.25">
      <c r="A467">
        <v>167.8138505</v>
      </c>
      <c r="B467">
        <v>284.14725475</v>
      </c>
      <c r="C467">
        <v>-260.72950724999998</v>
      </c>
      <c r="D467">
        <v>-278.71800975000002</v>
      </c>
      <c r="E467">
        <v>46.403804749999999</v>
      </c>
      <c r="F467">
        <v>6.8685274999999999</v>
      </c>
      <c r="G467">
        <v>320.20986175000002</v>
      </c>
      <c r="H467">
        <v>36</v>
      </c>
      <c r="I467">
        <v>-24</v>
      </c>
      <c r="J467">
        <v>1.18</v>
      </c>
      <c r="K467">
        <v>23.045272000000001</v>
      </c>
      <c r="L467">
        <v>1.355593651476936</v>
      </c>
      <c r="M467">
        <v>1.7805208649830959</v>
      </c>
      <c r="N467">
        <v>-0.8661287257192245</v>
      </c>
      <c r="O467">
        <v>-0.8749417780731753</v>
      </c>
    </row>
    <row r="468" spans="1:15" x14ac:dyDescent="0.25">
      <c r="A468">
        <v>145.24602525</v>
      </c>
      <c r="B468">
        <v>275.77060725000001</v>
      </c>
      <c r="C468">
        <v>-198.81401825</v>
      </c>
      <c r="D468">
        <v>-236.23503149999999</v>
      </c>
      <c r="E468">
        <v>63.253528500000002</v>
      </c>
      <c r="F468">
        <v>6.5762505000000004</v>
      </c>
      <c r="G468">
        <v>297.20340750000003</v>
      </c>
      <c r="H468">
        <v>36</v>
      </c>
      <c r="I468">
        <v>-20</v>
      </c>
      <c r="J468">
        <v>1.18</v>
      </c>
      <c r="K468">
        <v>22.194325500000001</v>
      </c>
      <c r="L468">
        <v>1.2253908517474941</v>
      </c>
      <c r="M468">
        <v>1.8235283711463841</v>
      </c>
      <c r="N468">
        <v>-0.83325180151148337</v>
      </c>
      <c r="O468">
        <v>-0.79814053567515297</v>
      </c>
    </row>
    <row r="469" spans="1:15" x14ac:dyDescent="0.25">
      <c r="A469">
        <v>125.11559099999999</v>
      </c>
      <c r="B469">
        <v>269.59580249999999</v>
      </c>
      <c r="C469">
        <v>-144.71859724999999</v>
      </c>
      <c r="D469">
        <v>-209.3990785</v>
      </c>
      <c r="E469">
        <v>75.452344999999994</v>
      </c>
      <c r="F469">
        <v>6.2848882499999998</v>
      </c>
      <c r="G469">
        <v>281.43898050000001</v>
      </c>
      <c r="H469">
        <v>36</v>
      </c>
      <c r="I469">
        <v>-16</v>
      </c>
      <c r="J469">
        <v>1.18</v>
      </c>
      <c r="K469">
        <v>21.595422500000002</v>
      </c>
      <c r="L469">
        <v>1.068591047456191</v>
      </c>
      <c r="M469">
        <v>1.896909459442647</v>
      </c>
      <c r="N469">
        <v>-0.81575361310285177</v>
      </c>
      <c r="O469">
        <v>-0.72605993930934909</v>
      </c>
    </row>
    <row r="470" spans="1:15" x14ac:dyDescent="0.25">
      <c r="A470">
        <v>100.87786275000001</v>
      </c>
      <c r="B470">
        <v>258.0839995</v>
      </c>
      <c r="C470">
        <v>-96.127103500000004</v>
      </c>
      <c r="D470">
        <v>-189.73104475</v>
      </c>
      <c r="E470">
        <v>82.207195249999998</v>
      </c>
      <c r="F470">
        <v>5.9433870000000004</v>
      </c>
      <c r="G470">
        <v>263.63398725000002</v>
      </c>
      <c r="H470">
        <v>36</v>
      </c>
      <c r="I470">
        <v>-12</v>
      </c>
      <c r="J470">
        <v>1.18</v>
      </c>
      <c r="K470">
        <v>20.898887250000001</v>
      </c>
      <c r="L470">
        <v>0.87506080643868556</v>
      </c>
      <c r="M470">
        <v>1.9890946275686321</v>
      </c>
      <c r="N470">
        <v>-0.80587027425405133</v>
      </c>
      <c r="O470">
        <v>-0.66126220102369615</v>
      </c>
    </row>
    <row r="471" spans="1:15" x14ac:dyDescent="0.25">
      <c r="A471">
        <v>87.111589750000007</v>
      </c>
      <c r="B471">
        <v>279.69471725</v>
      </c>
      <c r="C471">
        <v>-64.419763500000002</v>
      </c>
      <c r="D471">
        <v>-203.0178985</v>
      </c>
      <c r="E471">
        <v>94.851516750000002</v>
      </c>
      <c r="F471">
        <v>6.2844172499999997</v>
      </c>
      <c r="G471">
        <v>281.55900600000001</v>
      </c>
      <c r="H471">
        <v>36</v>
      </c>
      <c r="I471">
        <v>-8</v>
      </c>
      <c r="J471">
        <v>1.18</v>
      </c>
      <c r="K471">
        <v>21.600147</v>
      </c>
      <c r="L471">
        <v>0.66298491952756988</v>
      </c>
      <c r="M471">
        <v>2.1118883916755609</v>
      </c>
      <c r="N471">
        <v>-0.81689233303864128</v>
      </c>
      <c r="O471">
        <v>-0.61251611999970235</v>
      </c>
    </row>
    <row r="472" spans="1:15" x14ac:dyDescent="0.25">
      <c r="A472">
        <v>65.988119499999996</v>
      </c>
      <c r="B472">
        <v>298.09254475</v>
      </c>
      <c r="C472">
        <v>-27.971181000000001</v>
      </c>
      <c r="D472">
        <v>-216.6981165</v>
      </c>
      <c r="E472">
        <v>105.40068825</v>
      </c>
      <c r="F472">
        <v>6.6736760000000004</v>
      </c>
      <c r="G472">
        <v>298.36373149999997</v>
      </c>
      <c r="H472">
        <v>36</v>
      </c>
      <c r="I472">
        <v>-4</v>
      </c>
      <c r="J472">
        <v>1.18</v>
      </c>
      <c r="K472">
        <v>22.234864000000002</v>
      </c>
      <c r="L472">
        <v>0.4125761069695687</v>
      </c>
      <c r="M472">
        <v>2.2604950960325829</v>
      </c>
      <c r="N472">
        <v>-0.84732244569833326</v>
      </c>
      <c r="O472">
        <v>-0.566476503893524</v>
      </c>
    </row>
    <row r="473" spans="1:15" x14ac:dyDescent="0.25">
      <c r="A473">
        <v>38.187133000000003</v>
      </c>
      <c r="B473">
        <v>311.70122524999999</v>
      </c>
      <c r="C473">
        <v>9.1203547500000006</v>
      </c>
      <c r="D473">
        <v>-226.05135725</v>
      </c>
      <c r="E473">
        <v>111.89661599999999</v>
      </c>
      <c r="F473">
        <v>6.9177387499999998</v>
      </c>
      <c r="G473">
        <v>311.92753625</v>
      </c>
      <c r="H473">
        <v>36</v>
      </c>
      <c r="I473">
        <v>0</v>
      </c>
      <c r="J473">
        <v>1.18</v>
      </c>
      <c r="K473">
        <v>22.736872250000001</v>
      </c>
      <c r="L473">
        <v>0.1318779935026333</v>
      </c>
      <c r="M473">
        <v>2.4404386754942138</v>
      </c>
      <c r="N473">
        <v>-0.90784427317214988</v>
      </c>
      <c r="O473">
        <v>-0.52362006021816598</v>
      </c>
    </row>
    <row r="474" spans="1:15" x14ac:dyDescent="0.25">
      <c r="A474">
        <v>1.5344007500000001</v>
      </c>
      <c r="B474">
        <v>323.52778649999999</v>
      </c>
      <c r="C474">
        <v>44.06667625</v>
      </c>
      <c r="D474">
        <v>-239.16339099999999</v>
      </c>
      <c r="E474">
        <v>114.60872825</v>
      </c>
      <c r="F474">
        <v>7.1120915</v>
      </c>
      <c r="G474">
        <v>324.29100799999998</v>
      </c>
      <c r="H474">
        <v>36</v>
      </c>
      <c r="I474">
        <v>4</v>
      </c>
      <c r="J474">
        <v>1.18</v>
      </c>
      <c r="K474">
        <v>23.186011499999999</v>
      </c>
      <c r="L474">
        <v>-0.18220904889313089</v>
      </c>
      <c r="M474">
        <v>2.410605700866487</v>
      </c>
      <c r="N474">
        <v>-0.89829402693418492</v>
      </c>
      <c r="O474">
        <v>-0.53947757339569868</v>
      </c>
    </row>
    <row r="475" spans="1:15" x14ac:dyDescent="0.25">
      <c r="A475">
        <v>-35.584775999999998</v>
      </c>
      <c r="B475">
        <v>335.83988199999999</v>
      </c>
      <c r="C475">
        <v>77.97967525</v>
      </c>
      <c r="D475">
        <v>-251.969471</v>
      </c>
      <c r="E475">
        <v>117.82730475</v>
      </c>
      <c r="F475">
        <v>7.2100182500000001</v>
      </c>
      <c r="G475">
        <v>337.25465400000002</v>
      </c>
      <c r="H475">
        <v>36</v>
      </c>
      <c r="I475">
        <v>8</v>
      </c>
      <c r="J475">
        <v>1.18</v>
      </c>
      <c r="K475">
        <v>23.651576500000001</v>
      </c>
      <c r="L475">
        <v>-0.43410087207611819</v>
      </c>
      <c r="M475">
        <v>2.2470269094427708</v>
      </c>
      <c r="N475">
        <v>-0.83884829811253503</v>
      </c>
      <c r="O475">
        <v>-0.57718058564975649</v>
      </c>
    </row>
    <row r="476" spans="1:15" x14ac:dyDescent="0.25">
      <c r="A476">
        <v>-73.376712999999995</v>
      </c>
      <c r="B476">
        <v>315.92878725000003</v>
      </c>
      <c r="C476">
        <v>99.962726500000002</v>
      </c>
      <c r="D476">
        <v>-239.86268999999999</v>
      </c>
      <c r="E476">
        <v>106.69002525000001</v>
      </c>
      <c r="F476">
        <v>6.9659532500000001</v>
      </c>
      <c r="G476">
        <v>319.80974574999999</v>
      </c>
      <c r="H476">
        <v>36</v>
      </c>
      <c r="I476">
        <v>12</v>
      </c>
      <c r="J476">
        <v>1.18</v>
      </c>
      <c r="K476">
        <v>23.02699325</v>
      </c>
      <c r="L476">
        <v>-0.65831004948064464</v>
      </c>
      <c r="M476">
        <v>2.110817643956445</v>
      </c>
      <c r="N476">
        <v>-0.8094101790934991</v>
      </c>
      <c r="O476">
        <v>-0.62125761853251604</v>
      </c>
    </row>
    <row r="477" spans="1:15" x14ac:dyDescent="0.25">
      <c r="A477">
        <v>-108.28583325</v>
      </c>
      <c r="B477">
        <v>291.30492375</v>
      </c>
      <c r="C477">
        <v>111.3857555</v>
      </c>
      <c r="D477">
        <v>-229.94126499999999</v>
      </c>
      <c r="E477">
        <v>88.012605750000006</v>
      </c>
      <c r="F477">
        <v>6.8685277500000002</v>
      </c>
      <c r="G477">
        <v>298.56378174999998</v>
      </c>
      <c r="H477">
        <v>36</v>
      </c>
      <c r="I477">
        <v>16</v>
      </c>
      <c r="J477">
        <v>1.18</v>
      </c>
      <c r="K477">
        <v>22.235062249999999</v>
      </c>
      <c r="L477">
        <v>-0.85434719486628774</v>
      </c>
      <c r="M477">
        <v>2.027234069741322</v>
      </c>
      <c r="N477">
        <v>-0.8189183172477712</v>
      </c>
      <c r="O477">
        <v>-0.68441622145570802</v>
      </c>
    </row>
    <row r="478" spans="1:15" x14ac:dyDescent="0.25">
      <c r="A478">
        <v>-141.57336050000001</v>
      </c>
      <c r="B478">
        <v>266.98012525000001</v>
      </c>
      <c r="C478">
        <v>122.00402649999999</v>
      </c>
      <c r="D478">
        <v>-222.33627724999999</v>
      </c>
      <c r="E478">
        <v>71.438598499999998</v>
      </c>
      <c r="F478">
        <v>6.48019575</v>
      </c>
      <c r="G478">
        <v>280.39869700000003</v>
      </c>
      <c r="H478">
        <v>36</v>
      </c>
      <c r="I478">
        <v>20</v>
      </c>
      <c r="J478">
        <v>1.18</v>
      </c>
      <c r="K478">
        <v>21.546855499999999</v>
      </c>
      <c r="L478">
        <v>-1.0401890162241141</v>
      </c>
      <c r="M478">
        <v>1.9310545876806999</v>
      </c>
      <c r="N478">
        <v>-0.82465195127203827</v>
      </c>
      <c r="O478">
        <v>-0.74364365926127873</v>
      </c>
    </row>
    <row r="479" spans="1:15" x14ac:dyDescent="0.25">
      <c r="A479">
        <v>-169.45561574999999</v>
      </c>
      <c r="B479">
        <v>242.7130545</v>
      </c>
      <c r="C479">
        <v>126.745161</v>
      </c>
      <c r="D479">
        <v>-219.36422725</v>
      </c>
      <c r="E479">
        <v>53.646015249999998</v>
      </c>
      <c r="F479">
        <v>5.7485497499999996</v>
      </c>
      <c r="G479">
        <v>264.59426100000002</v>
      </c>
      <c r="H479">
        <v>36</v>
      </c>
      <c r="I479">
        <v>24</v>
      </c>
      <c r="J479">
        <v>1.18</v>
      </c>
      <c r="K479">
        <v>20.945672250000001</v>
      </c>
      <c r="L479">
        <v>-1.194083221852839</v>
      </c>
      <c r="M479">
        <v>1.8628118694128699</v>
      </c>
      <c r="N479">
        <v>-0.85043010314893452</v>
      </c>
      <c r="O479">
        <v>-0.80688921941852065</v>
      </c>
    </row>
    <row r="480" spans="1:15" x14ac:dyDescent="0.25">
      <c r="A480">
        <v>-220.31032175000001</v>
      </c>
      <c r="B480">
        <v>247.47401425000001</v>
      </c>
      <c r="C480">
        <v>143.35215725</v>
      </c>
      <c r="D480">
        <v>-253.63032125000001</v>
      </c>
      <c r="E480">
        <v>39.563941749999998</v>
      </c>
      <c r="F480">
        <v>6.3818564999999996</v>
      </c>
      <c r="G480">
        <v>282.71934499999998</v>
      </c>
      <c r="H480">
        <v>36</v>
      </c>
      <c r="I480">
        <v>28</v>
      </c>
      <c r="J480">
        <v>1.18</v>
      </c>
      <c r="K480">
        <v>21.641803249999999</v>
      </c>
      <c r="L480">
        <v>-1.315073881074718</v>
      </c>
      <c r="M480">
        <v>1.812103726060375</v>
      </c>
      <c r="N480">
        <v>-0.87931281810875583</v>
      </c>
      <c r="O480">
        <v>-0.88001665838844922</v>
      </c>
    </row>
    <row r="481" spans="1:15" x14ac:dyDescent="0.25">
      <c r="A481">
        <v>-268.28220375000001</v>
      </c>
      <c r="B481">
        <v>248.62820049999999</v>
      </c>
      <c r="C481">
        <v>157.82109474999999</v>
      </c>
      <c r="D481">
        <v>-295.58880625</v>
      </c>
      <c r="E481">
        <v>20.2054045</v>
      </c>
      <c r="F481">
        <v>6.5280082500000001</v>
      </c>
      <c r="G481">
        <v>301.00447100000002</v>
      </c>
      <c r="H481">
        <v>36</v>
      </c>
      <c r="I481">
        <v>32</v>
      </c>
      <c r="J481">
        <v>1.18</v>
      </c>
      <c r="K481">
        <v>22.340818500000001</v>
      </c>
      <c r="L481">
        <v>-1.4102834845030809</v>
      </c>
      <c r="M481">
        <v>1.80119817872224</v>
      </c>
      <c r="N481">
        <v>-0.92936254988285394</v>
      </c>
      <c r="O481">
        <v>-0.9547279665949947</v>
      </c>
    </row>
    <row r="482" spans="1:15" x14ac:dyDescent="0.25">
      <c r="A482">
        <v>-314.99285125</v>
      </c>
      <c r="B482">
        <v>241.623684</v>
      </c>
      <c r="C482">
        <v>168.63631075000001</v>
      </c>
      <c r="D482">
        <v>-334.88118724999998</v>
      </c>
      <c r="E482">
        <v>-4.1025367500000014</v>
      </c>
      <c r="F482">
        <v>6.7711017499999997</v>
      </c>
      <c r="G482">
        <v>316.24875650000001</v>
      </c>
      <c r="H482">
        <v>36</v>
      </c>
      <c r="I482">
        <v>36</v>
      </c>
      <c r="J482">
        <v>1.18</v>
      </c>
      <c r="K482">
        <v>22.902788749999999</v>
      </c>
      <c r="L482">
        <v>-1.5074130468985869</v>
      </c>
      <c r="M482">
        <v>1.7968946166363771</v>
      </c>
      <c r="N482">
        <v>-0.99850454237528541</v>
      </c>
      <c r="O482">
        <v>-1.033882738838048</v>
      </c>
    </row>
    <row r="483" spans="1:15" x14ac:dyDescent="0.25">
      <c r="A483">
        <v>-363.86561549999999</v>
      </c>
      <c r="B483">
        <v>228.92719274999999</v>
      </c>
      <c r="C483">
        <v>175.23966949999999</v>
      </c>
      <c r="D483">
        <v>-379.19985200000002</v>
      </c>
      <c r="E483">
        <v>-38.3493225</v>
      </c>
      <c r="F483">
        <v>7.2100287500000002</v>
      </c>
      <c r="G483">
        <v>331.33297750000003</v>
      </c>
      <c r="H483">
        <v>36</v>
      </c>
      <c r="I483">
        <v>40</v>
      </c>
      <c r="J483">
        <v>1.18</v>
      </c>
      <c r="K483">
        <v>23.4384415</v>
      </c>
      <c r="L483">
        <v>-1.6180611090356309</v>
      </c>
      <c r="M483">
        <v>1.825216466038436</v>
      </c>
      <c r="N483">
        <v>-1.109588292300653</v>
      </c>
      <c r="O483">
        <v>-1.136758987258353</v>
      </c>
    </row>
    <row r="484" spans="1:15" x14ac:dyDescent="0.25">
      <c r="A484">
        <v>-397.82881149999997</v>
      </c>
      <c r="B484">
        <v>203.95200349999999</v>
      </c>
      <c r="C484">
        <v>171.77425725000001</v>
      </c>
      <c r="D484">
        <v>-403.98158274999997</v>
      </c>
      <c r="E484">
        <v>-75.137929749999998</v>
      </c>
      <c r="F484">
        <v>6.9664650000000004</v>
      </c>
      <c r="G484">
        <v>333.17351550000001</v>
      </c>
      <c r="H484">
        <v>36</v>
      </c>
      <c r="I484">
        <v>44</v>
      </c>
      <c r="J484">
        <v>1.18</v>
      </c>
      <c r="K484">
        <v>23.513633500000001</v>
      </c>
      <c r="L484">
        <v>-1.7485051639352349</v>
      </c>
      <c r="M484">
        <v>1.866209339832916</v>
      </c>
      <c r="N484">
        <v>-1.253425649419188</v>
      </c>
      <c r="O484">
        <v>-1.2520594279218129</v>
      </c>
    </row>
    <row r="485" spans="1:15" x14ac:dyDescent="0.25">
      <c r="A485">
        <v>122.912018</v>
      </c>
      <c r="B485">
        <v>168.49754350000001</v>
      </c>
      <c r="C485">
        <v>-413.28775024999999</v>
      </c>
      <c r="D485">
        <v>-414.73343649999998</v>
      </c>
      <c r="E485">
        <v>-146.52981199999999</v>
      </c>
      <c r="F485">
        <v>6.4792817500000002</v>
      </c>
      <c r="G485">
        <v>300.28427149999999</v>
      </c>
      <c r="H485">
        <v>40</v>
      </c>
      <c r="I485">
        <v>-44</v>
      </c>
      <c r="J485">
        <v>1.18</v>
      </c>
      <c r="K485">
        <v>22.315325250000001</v>
      </c>
      <c r="L485">
        <v>2.004660347618632</v>
      </c>
      <c r="M485">
        <v>2.1804677476774641</v>
      </c>
      <c r="N485">
        <v>-1.6705098586090521</v>
      </c>
      <c r="O485">
        <v>-1.5720521038095641</v>
      </c>
    </row>
    <row r="486" spans="1:15" x14ac:dyDescent="0.25">
      <c r="A486">
        <v>120.15856925</v>
      </c>
      <c r="B486">
        <v>181.09639000000001</v>
      </c>
      <c r="C486">
        <v>-371.04502124999999</v>
      </c>
      <c r="D486">
        <v>-368.71022025000002</v>
      </c>
      <c r="E486">
        <v>-106.30081749999999</v>
      </c>
      <c r="F486">
        <v>6.1387084999999999</v>
      </c>
      <c r="G486">
        <v>280.83881400000001</v>
      </c>
      <c r="H486">
        <v>40</v>
      </c>
      <c r="I486">
        <v>-40</v>
      </c>
      <c r="J486">
        <v>1.18</v>
      </c>
      <c r="K486">
        <v>21.577585500000001</v>
      </c>
      <c r="L486">
        <v>1.8636035013382319</v>
      </c>
      <c r="M486">
        <v>2.0859426297593808</v>
      </c>
      <c r="N486">
        <v>-1.4687958923362749</v>
      </c>
      <c r="O486">
        <v>-1.4265901913196339</v>
      </c>
    </row>
    <row r="487" spans="1:15" x14ac:dyDescent="0.25">
      <c r="A487">
        <v>116.44951625</v>
      </c>
      <c r="B487">
        <v>190.77516925</v>
      </c>
      <c r="C487">
        <v>-333.10742950000002</v>
      </c>
      <c r="D487">
        <v>-327.27621425000001</v>
      </c>
      <c r="E487">
        <v>-72.997331500000001</v>
      </c>
      <c r="F487">
        <v>5.8942727499999998</v>
      </c>
      <c r="G487">
        <v>265.91462725000002</v>
      </c>
      <c r="H487">
        <v>40</v>
      </c>
      <c r="I487">
        <v>-36</v>
      </c>
      <c r="J487">
        <v>1.18</v>
      </c>
      <c r="K487">
        <v>20.99314</v>
      </c>
      <c r="L487">
        <v>1.7479326548202709</v>
      </c>
      <c r="M487">
        <v>2.014269084872768</v>
      </c>
      <c r="N487">
        <v>-1.3177569559599689</v>
      </c>
      <c r="O487">
        <v>-1.3067580981999869</v>
      </c>
    </row>
    <row r="488" spans="1:15" x14ac:dyDescent="0.25">
      <c r="A488">
        <v>111.1308765</v>
      </c>
      <c r="B488">
        <v>198.20886225000001</v>
      </c>
      <c r="C488">
        <v>-293.414177</v>
      </c>
      <c r="D488">
        <v>-289.77581025000001</v>
      </c>
      <c r="E488">
        <v>-44.731674249999998</v>
      </c>
      <c r="F488">
        <v>5.3097192500000006</v>
      </c>
      <c r="G488">
        <v>254.03129575</v>
      </c>
      <c r="H488">
        <v>40</v>
      </c>
      <c r="I488">
        <v>-32</v>
      </c>
      <c r="J488">
        <v>1.18</v>
      </c>
      <c r="K488">
        <v>20.531965</v>
      </c>
      <c r="L488">
        <v>1.638751118245974</v>
      </c>
      <c r="M488">
        <v>1.9767493428331071</v>
      </c>
      <c r="N488">
        <v>-1.210256332720274</v>
      </c>
      <c r="O488">
        <v>-1.202716764668859</v>
      </c>
    </row>
    <row r="489" spans="1:15" x14ac:dyDescent="0.25">
      <c r="A489">
        <v>115.50179875000001</v>
      </c>
      <c r="B489">
        <v>228.51036825</v>
      </c>
      <c r="C489">
        <v>-282.68939225000003</v>
      </c>
      <c r="D489">
        <v>-290.78107449999999</v>
      </c>
      <c r="E489">
        <v>-25.7297175</v>
      </c>
      <c r="F489">
        <v>6.0408402499999996</v>
      </c>
      <c r="G489">
        <v>272.79655474999998</v>
      </c>
      <c r="H489">
        <v>40</v>
      </c>
      <c r="I489">
        <v>-28</v>
      </c>
      <c r="J489">
        <v>1.18</v>
      </c>
      <c r="K489">
        <v>21.263290999999999</v>
      </c>
      <c r="L489">
        <v>1.525607683792495</v>
      </c>
      <c r="M489">
        <v>1.9895879350459129</v>
      </c>
      <c r="N489">
        <v>-1.143767856710572</v>
      </c>
      <c r="O489">
        <v>-1.1217229913777469</v>
      </c>
    </row>
    <row r="490" spans="1:15" x14ac:dyDescent="0.25">
      <c r="A490">
        <v>116.58498</v>
      </c>
      <c r="B490">
        <v>258.90148149999999</v>
      </c>
      <c r="C490">
        <v>-266.52078999999998</v>
      </c>
      <c r="D490">
        <v>-288.8142545</v>
      </c>
      <c r="E490">
        <v>-7.1793230000000001</v>
      </c>
      <c r="F490">
        <v>6.3813995000000006</v>
      </c>
      <c r="G490">
        <v>291.28174575000003</v>
      </c>
      <c r="H490">
        <v>40</v>
      </c>
      <c r="I490">
        <v>-24</v>
      </c>
      <c r="J490">
        <v>1.18</v>
      </c>
      <c r="K490">
        <v>21.974550000000001</v>
      </c>
      <c r="L490">
        <v>1.416361573762259</v>
      </c>
      <c r="M490">
        <v>2.024926881965643</v>
      </c>
      <c r="N490">
        <v>-1.1034415740607191</v>
      </c>
      <c r="O490">
        <v>-1.05014552086739</v>
      </c>
    </row>
    <row r="491" spans="1:15" x14ac:dyDescent="0.25">
      <c r="A491">
        <v>112.567959</v>
      </c>
      <c r="B491">
        <v>285.89836874999997</v>
      </c>
      <c r="C491">
        <v>-243.72336575</v>
      </c>
      <c r="D491">
        <v>-284.48728949999997</v>
      </c>
      <c r="E491">
        <v>10.728538</v>
      </c>
      <c r="F491">
        <v>6.4788250000000014</v>
      </c>
      <c r="G491">
        <v>308.28651400000001</v>
      </c>
      <c r="H491">
        <v>40</v>
      </c>
      <c r="I491">
        <v>-20</v>
      </c>
      <c r="J491">
        <v>1.18</v>
      </c>
      <c r="K491">
        <v>22.617202249999998</v>
      </c>
      <c r="L491">
        <v>1.2963940069011199</v>
      </c>
      <c r="M491">
        <v>2.0754133673509241</v>
      </c>
      <c r="N491">
        <v>-1.082726927866327</v>
      </c>
      <c r="O491">
        <v>-0.98455626442821265</v>
      </c>
    </row>
    <row r="492" spans="1:15" x14ac:dyDescent="0.25">
      <c r="A492">
        <v>102.91567999999999</v>
      </c>
      <c r="B492">
        <v>308.09468850000002</v>
      </c>
      <c r="C492">
        <v>-210.11699300000001</v>
      </c>
      <c r="D492">
        <v>-282.43309025000002</v>
      </c>
      <c r="E492">
        <v>27.625784500000002</v>
      </c>
      <c r="F492">
        <v>6.8202990000000003</v>
      </c>
      <c r="G492">
        <v>322.2104185</v>
      </c>
      <c r="H492">
        <v>40</v>
      </c>
      <c r="I492">
        <v>-16</v>
      </c>
      <c r="J492">
        <v>1.18</v>
      </c>
      <c r="K492">
        <v>23.120531249999999</v>
      </c>
      <c r="L492">
        <v>1.1428562594176279</v>
      </c>
      <c r="M492">
        <v>2.1559782607784039</v>
      </c>
      <c r="N492">
        <v>-1.075511018775781</v>
      </c>
      <c r="O492">
        <v>-0.92402485182225214</v>
      </c>
    </row>
    <row r="493" spans="1:15" x14ac:dyDescent="0.25">
      <c r="A493">
        <v>85.44153575</v>
      </c>
      <c r="B493">
        <v>327.95240024999998</v>
      </c>
      <c r="C493">
        <v>-170.33094800000001</v>
      </c>
      <c r="D493">
        <v>-285.79849224999998</v>
      </c>
      <c r="E493">
        <v>40.768460249999997</v>
      </c>
      <c r="F493">
        <v>7.0156892500000003</v>
      </c>
      <c r="G493">
        <v>334.73393249999998</v>
      </c>
      <c r="H493">
        <v>40</v>
      </c>
      <c r="I493">
        <v>-12</v>
      </c>
      <c r="J493">
        <v>1.18</v>
      </c>
      <c r="K493">
        <v>23.568072999999998</v>
      </c>
      <c r="L493">
        <v>0.95140636461600192</v>
      </c>
      <c r="M493">
        <v>2.2830445647109929</v>
      </c>
      <c r="N493">
        <v>-1.093502475768849</v>
      </c>
      <c r="O493">
        <v>-0.87445369585937793</v>
      </c>
    </row>
    <row r="494" spans="1:15" x14ac:dyDescent="0.25">
      <c r="A494">
        <v>58.717481499999998</v>
      </c>
      <c r="B494">
        <v>322.78375249999999</v>
      </c>
      <c r="C494">
        <v>-119.77212350000001</v>
      </c>
      <c r="D494">
        <v>-278.49946575000001</v>
      </c>
      <c r="E494">
        <v>46.400744500000002</v>
      </c>
      <c r="F494">
        <v>7.1125897499999997</v>
      </c>
      <c r="G494">
        <v>325.97148125000001</v>
      </c>
      <c r="H494">
        <v>40</v>
      </c>
      <c r="I494">
        <v>-8</v>
      </c>
      <c r="J494">
        <v>1.18</v>
      </c>
      <c r="K494">
        <v>23.247278000000001</v>
      </c>
      <c r="L494">
        <v>0.72692819963765631</v>
      </c>
      <c r="M494">
        <v>2.4488691810147301</v>
      </c>
      <c r="N494">
        <v>-1.138632851792166</v>
      </c>
      <c r="O494">
        <v>-0.83998860575209422</v>
      </c>
    </row>
    <row r="495" spans="1:15" x14ac:dyDescent="0.25">
      <c r="A495">
        <v>26.404364999999999</v>
      </c>
      <c r="B495">
        <v>298.42286675000003</v>
      </c>
      <c r="C495">
        <v>-70.379102750000001</v>
      </c>
      <c r="D495">
        <v>-257.82617199999999</v>
      </c>
      <c r="E495">
        <v>46.487024499999997</v>
      </c>
      <c r="F495">
        <v>6.2361614999999997</v>
      </c>
      <c r="G495">
        <v>299.16394824999998</v>
      </c>
      <c r="H495">
        <v>40</v>
      </c>
      <c r="I495">
        <v>-4</v>
      </c>
      <c r="J495">
        <v>1.18</v>
      </c>
      <c r="K495">
        <v>22.281982750000001</v>
      </c>
      <c r="L495">
        <v>0.45958027788376132</v>
      </c>
      <c r="M495">
        <v>2.6415385012905461</v>
      </c>
      <c r="N495">
        <v>-1.2000189987372269</v>
      </c>
      <c r="O495">
        <v>-0.80891479295587254</v>
      </c>
    </row>
    <row r="496" spans="1:15" x14ac:dyDescent="0.25">
      <c r="A496">
        <v>-3.6485650000000001</v>
      </c>
      <c r="B496">
        <v>281.18536375000002</v>
      </c>
      <c r="C496">
        <v>-29.638598500000001</v>
      </c>
      <c r="D496">
        <v>-241.61096574999999</v>
      </c>
      <c r="E496">
        <v>45.461983750000002</v>
      </c>
      <c r="F496">
        <v>6.1382792500000001</v>
      </c>
      <c r="G496">
        <v>280.87882250000001</v>
      </c>
      <c r="H496">
        <v>40</v>
      </c>
      <c r="I496">
        <v>0</v>
      </c>
      <c r="J496">
        <v>1.18</v>
      </c>
      <c r="K496">
        <v>21.579184999999999</v>
      </c>
      <c r="L496">
        <v>0.14356824016215591</v>
      </c>
      <c r="M496">
        <v>2.8870649395526158</v>
      </c>
      <c r="N496">
        <v>-1.3001114547627</v>
      </c>
      <c r="O496">
        <v>-0.78288057944317413</v>
      </c>
    </row>
    <row r="497" spans="1:15" x14ac:dyDescent="0.25">
      <c r="A497">
        <v>-31.260552499999999</v>
      </c>
      <c r="B497">
        <v>264.046806</v>
      </c>
      <c r="C497">
        <v>1.7617532499999999</v>
      </c>
      <c r="D497">
        <v>-225.52687825000001</v>
      </c>
      <c r="E497">
        <v>42.154212000000001</v>
      </c>
      <c r="F497">
        <v>5.7489652499999986</v>
      </c>
      <c r="G497">
        <v>263.79402924999999</v>
      </c>
      <c r="H497">
        <v>40</v>
      </c>
      <c r="I497">
        <v>4</v>
      </c>
      <c r="J497">
        <v>1.18</v>
      </c>
      <c r="K497">
        <v>20.913261250000001</v>
      </c>
      <c r="L497">
        <v>-0.19347627866936401</v>
      </c>
      <c r="M497">
        <v>2.87104793518056</v>
      </c>
      <c r="N497">
        <v>-1.299897536112848</v>
      </c>
      <c r="O497">
        <v>-0.78666485512737916</v>
      </c>
    </row>
    <row r="498" spans="1:15" x14ac:dyDescent="0.25">
      <c r="A498">
        <v>-66.124624249999997</v>
      </c>
      <c r="B498">
        <v>281.73418425</v>
      </c>
      <c r="C498">
        <v>27.948025000000001</v>
      </c>
      <c r="D498">
        <v>-244.80156324999999</v>
      </c>
      <c r="E498">
        <v>41.659708250000001</v>
      </c>
      <c r="F498">
        <v>6.1865492499999997</v>
      </c>
      <c r="G498">
        <v>282.19919599999997</v>
      </c>
      <c r="H498">
        <v>40</v>
      </c>
      <c r="I498">
        <v>8</v>
      </c>
      <c r="J498">
        <v>1.18</v>
      </c>
      <c r="K498">
        <v>21.629086000000001</v>
      </c>
      <c r="L498">
        <v>-0.47722807712966192</v>
      </c>
      <c r="M498">
        <v>2.6711129016198272</v>
      </c>
      <c r="N498">
        <v>-1.220257081114581</v>
      </c>
      <c r="O498">
        <v>-0.82004789853675097</v>
      </c>
    </row>
    <row r="499" spans="1:15" x14ac:dyDescent="0.25">
      <c r="A499">
        <v>-107.83539399999999</v>
      </c>
      <c r="B499">
        <v>296.26523574999999</v>
      </c>
      <c r="C499">
        <v>54.676993500000002</v>
      </c>
      <c r="D499">
        <v>-261.10417925000002</v>
      </c>
      <c r="E499">
        <v>39.472085999999997</v>
      </c>
      <c r="F499">
        <v>6.5284657499999996</v>
      </c>
      <c r="G499">
        <v>299.80413075000001</v>
      </c>
      <c r="H499">
        <v>40</v>
      </c>
      <c r="I499">
        <v>12</v>
      </c>
      <c r="J499">
        <v>1.18</v>
      </c>
      <c r="K499">
        <v>22.295221999999999</v>
      </c>
      <c r="L499">
        <v>-0.72566292151784062</v>
      </c>
      <c r="M499">
        <v>2.4889312926514231</v>
      </c>
      <c r="N499">
        <v>-1.162516977543808</v>
      </c>
      <c r="O499">
        <v>-0.85288763835672332</v>
      </c>
    </row>
    <row r="500" spans="1:15" x14ac:dyDescent="0.25">
      <c r="A500">
        <v>-154.59108375</v>
      </c>
      <c r="B500">
        <v>306.18723299999999</v>
      </c>
      <c r="C500">
        <v>78.516345749999999</v>
      </c>
      <c r="D500">
        <v>-282.43307499999997</v>
      </c>
      <c r="E500">
        <v>32.183479749999996</v>
      </c>
      <c r="F500">
        <v>6.771102</v>
      </c>
      <c r="G500">
        <v>313.76805875000002</v>
      </c>
      <c r="H500">
        <v>40</v>
      </c>
      <c r="I500">
        <v>16</v>
      </c>
      <c r="J500">
        <v>1.18</v>
      </c>
      <c r="K500">
        <v>22.81082125</v>
      </c>
      <c r="L500">
        <v>-0.92986131717188925</v>
      </c>
      <c r="M500">
        <v>2.347963175345595</v>
      </c>
      <c r="N500">
        <v>-1.123249709269631</v>
      </c>
      <c r="O500">
        <v>-0.8986320133841923</v>
      </c>
    </row>
    <row r="501" spans="1:15" x14ac:dyDescent="0.25">
      <c r="A501">
        <v>-205.58092525000001</v>
      </c>
      <c r="B501">
        <v>311.26381674999999</v>
      </c>
      <c r="C501">
        <v>100.60140625</v>
      </c>
      <c r="D501">
        <v>-306.12214649999999</v>
      </c>
      <c r="E501">
        <v>19.53467925</v>
      </c>
      <c r="F501">
        <v>7.0638905000000003</v>
      </c>
      <c r="G501">
        <v>327.85200500000002</v>
      </c>
      <c r="H501">
        <v>40</v>
      </c>
      <c r="I501">
        <v>20</v>
      </c>
      <c r="J501">
        <v>1.18</v>
      </c>
      <c r="K501">
        <v>23.317553</v>
      </c>
      <c r="L501">
        <v>-1.1118519064591641</v>
      </c>
      <c r="M501">
        <v>2.2419444346778872</v>
      </c>
      <c r="N501">
        <v>-1.1196349750641541</v>
      </c>
      <c r="O501">
        <v>-0.95474367871326471</v>
      </c>
    </row>
    <row r="502" spans="1:15" x14ac:dyDescent="0.25">
      <c r="A502">
        <v>-259.00313199999999</v>
      </c>
      <c r="B502">
        <v>311.26397700000001</v>
      </c>
      <c r="C502">
        <v>118.12092199999999</v>
      </c>
      <c r="D502">
        <v>-340.869011</v>
      </c>
      <c r="E502">
        <v>1.65563075</v>
      </c>
      <c r="F502">
        <v>7.3556552499999999</v>
      </c>
      <c r="G502">
        <v>339.45525325</v>
      </c>
      <c r="H502">
        <v>40</v>
      </c>
      <c r="I502">
        <v>24</v>
      </c>
      <c r="J502">
        <v>1.18</v>
      </c>
      <c r="K502">
        <v>23.725067249999999</v>
      </c>
      <c r="L502">
        <v>-1.250556481890966</v>
      </c>
      <c r="M502">
        <v>2.1625974024341521</v>
      </c>
      <c r="N502">
        <v>-1.120392014715178</v>
      </c>
      <c r="O502">
        <v>-1.0190385507927</v>
      </c>
    </row>
    <row r="503" spans="1:15" x14ac:dyDescent="0.25">
      <c r="A503">
        <v>-273.64244074999999</v>
      </c>
      <c r="B503">
        <v>271.15358700000002</v>
      </c>
      <c r="C503">
        <v>117.16498175</v>
      </c>
      <c r="D503">
        <v>-323.73596199999997</v>
      </c>
      <c r="E503">
        <v>-15.740013749999999</v>
      </c>
      <c r="F503">
        <v>6.6249632500000004</v>
      </c>
      <c r="G503">
        <v>309.88696299999998</v>
      </c>
      <c r="H503">
        <v>40</v>
      </c>
      <c r="I503">
        <v>28</v>
      </c>
      <c r="J503">
        <v>1.18</v>
      </c>
      <c r="K503">
        <v>22.671619499999998</v>
      </c>
      <c r="L503">
        <v>-1.3811982704857899</v>
      </c>
      <c r="M503">
        <v>2.102454838736691</v>
      </c>
      <c r="N503">
        <v>-1.1508323968319549</v>
      </c>
      <c r="O503">
        <v>-1.0790378731483401</v>
      </c>
    </row>
    <row r="504" spans="1:15" x14ac:dyDescent="0.25">
      <c r="A504">
        <v>-287.11060325</v>
      </c>
      <c r="B504">
        <v>240.35669300000001</v>
      </c>
      <c r="C504">
        <v>117.127506</v>
      </c>
      <c r="D504">
        <v>-319.93346400000001</v>
      </c>
      <c r="E504">
        <v>-30.545613249999999</v>
      </c>
      <c r="F504">
        <v>6.3818702500000004</v>
      </c>
      <c r="G504">
        <v>291.24172950000002</v>
      </c>
      <c r="H504">
        <v>40</v>
      </c>
      <c r="I504">
        <v>32</v>
      </c>
      <c r="J504">
        <v>1.18</v>
      </c>
      <c r="K504">
        <v>21.972996500000001</v>
      </c>
      <c r="L504">
        <v>-1.4808511117138501</v>
      </c>
      <c r="M504">
        <v>2.052527889002679</v>
      </c>
      <c r="N504">
        <v>-1.178820183542219</v>
      </c>
      <c r="O504">
        <v>-1.135271014484005</v>
      </c>
    </row>
    <row r="505" spans="1:15" x14ac:dyDescent="0.25">
      <c r="A505">
        <v>-297.78604150000001</v>
      </c>
      <c r="B505">
        <v>209.73754124999999</v>
      </c>
      <c r="C505">
        <v>112.25105675</v>
      </c>
      <c r="D505">
        <v>-318.22891225000001</v>
      </c>
      <c r="E505">
        <v>-49.494090249999999</v>
      </c>
      <c r="F505">
        <v>6.1387084999999999</v>
      </c>
      <c r="G505">
        <v>274.75710299999997</v>
      </c>
      <c r="H505">
        <v>40</v>
      </c>
      <c r="I505">
        <v>36</v>
      </c>
      <c r="J505">
        <v>1.18</v>
      </c>
      <c r="K505">
        <v>21.337385749999999</v>
      </c>
      <c r="L505">
        <v>-1.586135754695591</v>
      </c>
      <c r="M505">
        <v>2.0423339243999559</v>
      </c>
      <c r="N505">
        <v>-1.254306587551516</v>
      </c>
      <c r="O505">
        <v>-1.215209282750576</v>
      </c>
    </row>
    <row r="506" spans="1:15" x14ac:dyDescent="0.25">
      <c r="A506">
        <v>-318.19098650000001</v>
      </c>
      <c r="B506">
        <v>189.33247374999999</v>
      </c>
      <c r="C506">
        <v>110.76820175</v>
      </c>
      <c r="D506">
        <v>-332.34619900000001</v>
      </c>
      <c r="E506">
        <v>-68.756654749999996</v>
      </c>
      <c r="F506">
        <v>6.1874212499999999</v>
      </c>
      <c r="G506">
        <v>270.91602325000002</v>
      </c>
      <c r="H506">
        <v>40</v>
      </c>
      <c r="I506">
        <v>40</v>
      </c>
      <c r="J506">
        <v>1.18</v>
      </c>
      <c r="K506">
        <v>21.182327749999999</v>
      </c>
      <c r="L506">
        <v>-1.672270092120647</v>
      </c>
      <c r="M506">
        <v>2.03376084141349</v>
      </c>
      <c r="N506">
        <v>-1.3242127761797571</v>
      </c>
      <c r="O506">
        <v>-1.292168983286845</v>
      </c>
    </row>
    <row r="507" spans="1:15" x14ac:dyDescent="0.25">
      <c r="A507">
        <v>-367.37905875000001</v>
      </c>
      <c r="B507">
        <v>181.69870374999999</v>
      </c>
      <c r="C507">
        <v>114.82471875</v>
      </c>
      <c r="D507">
        <v>-380.46734624999999</v>
      </c>
      <c r="E507">
        <v>-102.96992324999999</v>
      </c>
      <c r="F507">
        <v>6.5762505000000004</v>
      </c>
      <c r="G507">
        <v>291.80188724999999</v>
      </c>
      <c r="H507">
        <v>40</v>
      </c>
      <c r="I507">
        <v>44</v>
      </c>
      <c r="J507">
        <v>1.18</v>
      </c>
      <c r="K507">
        <v>21.9870895</v>
      </c>
      <c r="L507">
        <v>-1.779649664772929</v>
      </c>
      <c r="M507">
        <v>2.074763424741584</v>
      </c>
      <c r="N507">
        <v>-1.4569756302525829</v>
      </c>
      <c r="O507">
        <v>-1.404285929889068</v>
      </c>
    </row>
    <row r="508" spans="1:15" x14ac:dyDescent="0.25">
      <c r="A508">
        <v>90.13558574999999</v>
      </c>
      <c r="B508">
        <v>179.04116049999999</v>
      </c>
      <c r="C508">
        <v>-453.57013699999999</v>
      </c>
      <c r="D508">
        <v>-449.52399450000001</v>
      </c>
      <c r="E508">
        <v>-192.32601174999999</v>
      </c>
      <c r="F508">
        <v>7.0648727500000001</v>
      </c>
      <c r="G508">
        <v>314.16816725000001</v>
      </c>
      <c r="H508">
        <v>44</v>
      </c>
      <c r="I508">
        <v>-44</v>
      </c>
      <c r="J508">
        <v>1.18</v>
      </c>
      <c r="K508">
        <v>22.814761749999999</v>
      </c>
      <c r="L508">
        <v>2.0974667074912281</v>
      </c>
      <c r="M508">
        <v>2.424826523693246</v>
      </c>
      <c r="N508">
        <v>-1.953923478594989</v>
      </c>
      <c r="O508">
        <v>-1.769197091937071</v>
      </c>
    </row>
    <row r="509" spans="1:15" x14ac:dyDescent="0.25">
      <c r="A509">
        <v>97.492595749999992</v>
      </c>
      <c r="B509">
        <v>210.76619350000001</v>
      </c>
      <c r="C509">
        <v>-464.57665250000002</v>
      </c>
      <c r="D509">
        <v>-454.33173375000001</v>
      </c>
      <c r="E509">
        <v>-170.73231125000001</v>
      </c>
      <c r="F509">
        <v>7.1135997499999997</v>
      </c>
      <c r="G509">
        <v>327.69197050000002</v>
      </c>
      <c r="H509">
        <v>44</v>
      </c>
      <c r="I509">
        <v>-40</v>
      </c>
      <c r="J509">
        <v>1.18</v>
      </c>
      <c r="K509">
        <v>23.309929</v>
      </c>
      <c r="L509">
        <v>1.9467647522210021</v>
      </c>
      <c r="M509">
        <v>2.303629239613</v>
      </c>
      <c r="N509">
        <v>-1.7263475309273759</v>
      </c>
      <c r="O509">
        <v>-1.6159993400353949</v>
      </c>
    </row>
    <row r="510" spans="1:15" x14ac:dyDescent="0.25">
      <c r="A510">
        <v>104.578991</v>
      </c>
      <c r="B510">
        <v>243.59566475</v>
      </c>
      <c r="C510">
        <v>-457.524788</v>
      </c>
      <c r="D510">
        <v>-450.04845425000002</v>
      </c>
      <c r="E510">
        <v>-146.57447425000001</v>
      </c>
      <c r="F510">
        <v>7.1613160000000002</v>
      </c>
      <c r="G510">
        <v>339.73533624999999</v>
      </c>
      <c r="H510">
        <v>44</v>
      </c>
      <c r="I510">
        <v>-36</v>
      </c>
      <c r="J510">
        <v>1.18</v>
      </c>
      <c r="K510">
        <v>23.74202575</v>
      </c>
      <c r="L510">
        <v>1.829702795545187</v>
      </c>
      <c r="M510">
        <v>2.257898200305978</v>
      </c>
      <c r="N510">
        <v>-1.5830100321300971</v>
      </c>
      <c r="O510">
        <v>-1.5004259265221329</v>
      </c>
    </row>
    <row r="511" spans="1:15" x14ac:dyDescent="0.25">
      <c r="A511">
        <v>94.378269249999988</v>
      </c>
      <c r="B511">
        <v>240.75812550000001</v>
      </c>
      <c r="C511">
        <v>-387.30510724999999</v>
      </c>
      <c r="D511">
        <v>-390.51988975</v>
      </c>
      <c r="E511">
        <v>-109.96442424999999</v>
      </c>
      <c r="F511">
        <v>6.9182370000000004</v>
      </c>
      <c r="G511">
        <v>309.40682950000001</v>
      </c>
      <c r="H511">
        <v>44</v>
      </c>
      <c r="I511">
        <v>-32</v>
      </c>
      <c r="J511">
        <v>1.18</v>
      </c>
      <c r="K511">
        <v>22.64268225</v>
      </c>
      <c r="L511">
        <v>1.72678984946065</v>
      </c>
      <c r="M511">
        <v>2.2630885489964521</v>
      </c>
      <c r="N511">
        <v>-1.503424011605285</v>
      </c>
      <c r="O511">
        <v>-1.419020881617638</v>
      </c>
    </row>
    <row r="512" spans="1:15" x14ac:dyDescent="0.25">
      <c r="A512">
        <v>83.461004250000002</v>
      </c>
      <c r="B512">
        <v>241.2702065</v>
      </c>
      <c r="C512">
        <v>-326.79023000000001</v>
      </c>
      <c r="D512">
        <v>-347.77467350000001</v>
      </c>
      <c r="E512">
        <v>-81.826541750000004</v>
      </c>
      <c r="F512">
        <v>6.4797387500000001</v>
      </c>
      <c r="G512">
        <v>290.16143025000002</v>
      </c>
      <c r="H512">
        <v>44</v>
      </c>
      <c r="I512">
        <v>-28</v>
      </c>
      <c r="J512">
        <v>1.18</v>
      </c>
      <c r="K512">
        <v>21.927511750000001</v>
      </c>
      <c r="L512">
        <v>1.6060163804340759</v>
      </c>
      <c r="M512">
        <v>2.3059490874355228</v>
      </c>
      <c r="N512">
        <v>-1.4563007089943301</v>
      </c>
      <c r="O512">
        <v>-1.345750293829427</v>
      </c>
    </row>
    <row r="513" spans="1:15" x14ac:dyDescent="0.25">
      <c r="A513">
        <v>73.209798750000004</v>
      </c>
      <c r="B513">
        <v>239.74814225</v>
      </c>
      <c r="C513">
        <v>-275.04718025</v>
      </c>
      <c r="D513">
        <v>-302.75671399999999</v>
      </c>
      <c r="E513">
        <v>-58.463955249999998</v>
      </c>
      <c r="F513">
        <v>6.0899957499999999</v>
      </c>
      <c r="G513">
        <v>272.43644699999999</v>
      </c>
      <c r="H513">
        <v>44</v>
      </c>
      <c r="I513">
        <v>-24</v>
      </c>
      <c r="J513">
        <v>1.18</v>
      </c>
      <c r="K513">
        <v>21.24696775</v>
      </c>
      <c r="L513">
        <v>1.5112819611693651</v>
      </c>
      <c r="M513">
        <v>2.3542241342580081</v>
      </c>
      <c r="N513">
        <v>-1.435960470278145</v>
      </c>
      <c r="O513">
        <v>-1.2801290834329651</v>
      </c>
    </row>
    <row r="514" spans="1:15" x14ac:dyDescent="0.25">
      <c r="A514">
        <v>64.051466000000005</v>
      </c>
      <c r="B514">
        <v>251.12881100000001</v>
      </c>
      <c r="C514">
        <v>-240.53648774999999</v>
      </c>
      <c r="D514">
        <v>-278.28093725000002</v>
      </c>
      <c r="E514">
        <v>-41.25045325</v>
      </c>
      <c r="F514">
        <v>6.0904249999999998</v>
      </c>
      <c r="G514">
        <v>273.03662874999998</v>
      </c>
      <c r="H514">
        <v>44</v>
      </c>
      <c r="I514">
        <v>-20</v>
      </c>
      <c r="J514">
        <v>1.18</v>
      </c>
      <c r="K514">
        <v>21.270871499999998</v>
      </c>
      <c r="L514">
        <v>1.3962007383426711</v>
      </c>
      <c r="M514">
        <v>2.4267821775894158</v>
      </c>
      <c r="N514">
        <v>-1.44069008144568</v>
      </c>
      <c r="O514">
        <v>-1.2170399332948789</v>
      </c>
    </row>
    <row r="515" spans="1:15" x14ac:dyDescent="0.25">
      <c r="A515">
        <v>53.173101250000002</v>
      </c>
      <c r="B515">
        <v>279.57002275000002</v>
      </c>
      <c r="C515">
        <v>-221.15280525</v>
      </c>
      <c r="D515">
        <v>-285.36141974999998</v>
      </c>
      <c r="E515">
        <v>-32.108244749999997</v>
      </c>
      <c r="F515">
        <v>6.332687</v>
      </c>
      <c r="G515">
        <v>293.40232850000001</v>
      </c>
      <c r="H515">
        <v>44</v>
      </c>
      <c r="I515">
        <v>-16</v>
      </c>
      <c r="J515">
        <v>1.18</v>
      </c>
      <c r="K515">
        <v>22.058056499999999</v>
      </c>
      <c r="L515">
        <v>1.240493057565289</v>
      </c>
      <c r="M515">
        <v>2.5546035317464231</v>
      </c>
      <c r="N515">
        <v>-1.471981364086258</v>
      </c>
      <c r="O515">
        <v>-1.1738686329474799</v>
      </c>
    </row>
    <row r="516" spans="1:15" x14ac:dyDescent="0.25">
      <c r="A516">
        <v>36.020488749999998</v>
      </c>
      <c r="B516">
        <v>302.07791125</v>
      </c>
      <c r="C516">
        <v>-194.16125875</v>
      </c>
      <c r="D516">
        <v>-297.46820075000011</v>
      </c>
      <c r="E516">
        <v>-25.5530005</v>
      </c>
      <c r="F516">
        <v>6.6259044999999999</v>
      </c>
      <c r="G516">
        <v>310.24706275</v>
      </c>
      <c r="H516">
        <v>44</v>
      </c>
      <c r="I516">
        <v>-12</v>
      </c>
      <c r="J516">
        <v>1.18</v>
      </c>
      <c r="K516">
        <v>22.685051250000001</v>
      </c>
      <c r="L516">
        <v>1.0450093633477819</v>
      </c>
      <c r="M516">
        <v>2.7219836533755668</v>
      </c>
      <c r="N516">
        <v>-1.524564932195795</v>
      </c>
      <c r="O516">
        <v>-1.1460927436659889</v>
      </c>
    </row>
    <row r="517" spans="1:15" x14ac:dyDescent="0.25">
      <c r="A517">
        <v>11.91573925</v>
      </c>
      <c r="B517">
        <v>320.37579325000002</v>
      </c>
      <c r="C517">
        <v>-162.32307825000001</v>
      </c>
      <c r="D517">
        <v>-313.46487400000001</v>
      </c>
      <c r="E517">
        <v>-21.540923500000002</v>
      </c>
      <c r="F517">
        <v>7.0638769999999997</v>
      </c>
      <c r="G517">
        <v>324.57108299999999</v>
      </c>
      <c r="H517">
        <v>44</v>
      </c>
      <c r="I517">
        <v>-8</v>
      </c>
      <c r="J517">
        <v>1.18</v>
      </c>
      <c r="K517">
        <v>23.198004749999999</v>
      </c>
      <c r="L517">
        <v>0.80534262399052947</v>
      </c>
      <c r="M517">
        <v>2.9297138896068859</v>
      </c>
      <c r="N517">
        <v>-1.599805354421421</v>
      </c>
      <c r="O517">
        <v>-1.1322350252796329</v>
      </c>
    </row>
    <row r="518" spans="1:15" x14ac:dyDescent="0.25">
      <c r="A518">
        <v>-19.54910525</v>
      </c>
      <c r="B518">
        <v>336.99407200000002</v>
      </c>
      <c r="C518">
        <v>-126.501919</v>
      </c>
      <c r="D518">
        <v>-330.5105135</v>
      </c>
      <c r="E518">
        <v>-18.638316249999999</v>
      </c>
      <c r="F518">
        <v>7.4054054999999996</v>
      </c>
      <c r="G518">
        <v>338.93511975000001</v>
      </c>
      <c r="H518">
        <v>44</v>
      </c>
      <c r="I518">
        <v>-4</v>
      </c>
      <c r="J518">
        <v>1.18</v>
      </c>
      <c r="K518">
        <v>23.704732499999999</v>
      </c>
      <c r="L518">
        <v>0.5096164018749012</v>
      </c>
      <c r="M518">
        <v>3.1806407613026688</v>
      </c>
      <c r="N518">
        <v>-1.703834774612712</v>
      </c>
      <c r="O518">
        <v>-1.124108943082381</v>
      </c>
    </row>
    <row r="519" spans="1:15" x14ac:dyDescent="0.25">
      <c r="A519">
        <v>-50.088954000000001</v>
      </c>
      <c r="B519">
        <v>314.51232125000001</v>
      </c>
      <c r="C519">
        <v>-77.687703999999997</v>
      </c>
      <c r="D519">
        <v>-305.64137249999999</v>
      </c>
      <c r="E519">
        <v>-14.49427225</v>
      </c>
      <c r="F519">
        <v>7.0156619999999998</v>
      </c>
      <c r="G519">
        <v>314.40823399999999</v>
      </c>
      <c r="H519">
        <v>44</v>
      </c>
      <c r="I519">
        <v>0</v>
      </c>
      <c r="J519">
        <v>1.18</v>
      </c>
      <c r="K519">
        <v>22.825483250000001</v>
      </c>
      <c r="L519">
        <v>0.1557702365672799</v>
      </c>
      <c r="M519">
        <v>3.5003738716120281</v>
      </c>
      <c r="N519">
        <v>-1.856457702086981</v>
      </c>
      <c r="O519">
        <v>-1.1214231472929941</v>
      </c>
    </row>
    <row r="520" spans="1:15" x14ac:dyDescent="0.25">
      <c r="A520">
        <v>-75.448737999999992</v>
      </c>
      <c r="B520">
        <v>292.77531425000001</v>
      </c>
      <c r="C520">
        <v>-39.340113000000002</v>
      </c>
      <c r="D520">
        <v>-281.60264575000002</v>
      </c>
      <c r="E520">
        <v>-15.02753225</v>
      </c>
      <c r="F520">
        <v>6.52846525</v>
      </c>
      <c r="G520">
        <v>294.40261850000002</v>
      </c>
      <c r="H520">
        <v>44</v>
      </c>
      <c r="I520">
        <v>4</v>
      </c>
      <c r="J520">
        <v>1.18</v>
      </c>
      <c r="K520">
        <v>22.088943749999999</v>
      </c>
      <c r="L520">
        <v>-0.2208463925109472</v>
      </c>
      <c r="M520">
        <v>3.5132828764916639</v>
      </c>
      <c r="N520">
        <v>-1.892779905443033</v>
      </c>
      <c r="O520">
        <v>-1.1318971851066679</v>
      </c>
    </row>
    <row r="521" spans="1:15" x14ac:dyDescent="0.25">
      <c r="A521">
        <v>-103.15081425</v>
      </c>
      <c r="B521">
        <v>276.36698124999998</v>
      </c>
      <c r="C521">
        <v>-9.6094542500000006</v>
      </c>
      <c r="D521">
        <v>-265.25631725</v>
      </c>
      <c r="E521">
        <v>-17.5269315</v>
      </c>
      <c r="F521">
        <v>6.2844170000000004</v>
      </c>
      <c r="G521">
        <v>278.39812449999999</v>
      </c>
      <c r="H521">
        <v>44</v>
      </c>
      <c r="I521">
        <v>8</v>
      </c>
      <c r="J521">
        <v>1.18</v>
      </c>
      <c r="K521">
        <v>21.47577175</v>
      </c>
      <c r="L521">
        <v>-0.56119286341504293</v>
      </c>
      <c r="M521">
        <v>3.2496799606945599</v>
      </c>
      <c r="N521">
        <v>-1.7755508129478039</v>
      </c>
      <c r="O521">
        <v>-1.142901500514494</v>
      </c>
    </row>
    <row r="522" spans="1:15" x14ac:dyDescent="0.25">
      <c r="A522">
        <v>-127.114237</v>
      </c>
      <c r="B522">
        <v>257.27224749999999</v>
      </c>
      <c r="C522">
        <v>13.184618</v>
      </c>
      <c r="D522">
        <v>-248.07957049999999</v>
      </c>
      <c r="E522">
        <v>-19.489123750000001</v>
      </c>
      <c r="F522">
        <v>5.6511104999999997</v>
      </c>
      <c r="G522">
        <v>261.31333899999998</v>
      </c>
      <c r="H522">
        <v>44</v>
      </c>
      <c r="I522">
        <v>12</v>
      </c>
      <c r="J522">
        <v>1.18</v>
      </c>
      <c r="K522">
        <v>20.816468499999999</v>
      </c>
      <c r="L522">
        <v>-0.83458381650469315</v>
      </c>
      <c r="M522">
        <v>3.0061597470788022</v>
      </c>
      <c r="N522">
        <v>-1.670406624765522</v>
      </c>
      <c r="O522">
        <v>-1.1495741230250911</v>
      </c>
    </row>
    <row r="523" spans="1:15" x14ac:dyDescent="0.25">
      <c r="A523">
        <v>-166.21244824999999</v>
      </c>
      <c r="B523">
        <v>263.77659599999998</v>
      </c>
      <c r="C523">
        <v>31.972706250000002</v>
      </c>
      <c r="D523">
        <v>-264.16365050000002</v>
      </c>
      <c r="E523">
        <v>-27.914674999999999</v>
      </c>
      <c r="F523">
        <v>6.0421279999999999</v>
      </c>
      <c r="G523">
        <v>272.79656225000002</v>
      </c>
      <c r="H523">
        <v>44</v>
      </c>
      <c r="I523">
        <v>16</v>
      </c>
      <c r="J523">
        <v>1.18</v>
      </c>
      <c r="K523">
        <v>21.263228999999999</v>
      </c>
      <c r="L523">
        <v>-1.0582804542909541</v>
      </c>
      <c r="M523">
        <v>2.819110207099349</v>
      </c>
      <c r="N523">
        <v>-1.605762092313054</v>
      </c>
      <c r="O523">
        <v>-1.1813337122150309</v>
      </c>
    </row>
    <row r="524" spans="1:15" x14ac:dyDescent="0.25">
      <c r="A524">
        <v>-215.3104285</v>
      </c>
      <c r="B524">
        <v>275.53009025</v>
      </c>
      <c r="C524">
        <v>49.31056675</v>
      </c>
      <c r="D524">
        <v>-297.68673699999999</v>
      </c>
      <c r="E524">
        <v>-42.811170500000003</v>
      </c>
      <c r="F524">
        <v>6.4797387500000001</v>
      </c>
      <c r="G524">
        <v>292.24200450000001</v>
      </c>
      <c r="H524">
        <v>44</v>
      </c>
      <c r="I524">
        <v>20</v>
      </c>
      <c r="J524">
        <v>1.18</v>
      </c>
      <c r="K524">
        <v>22.007778500000001</v>
      </c>
      <c r="L524">
        <v>-1.238363069739131</v>
      </c>
      <c r="M524">
        <v>2.6826289610839482</v>
      </c>
      <c r="N524">
        <v>-1.568076258376907</v>
      </c>
      <c r="O524">
        <v>-1.230704327295195</v>
      </c>
    </row>
    <row r="525" spans="1:15" x14ac:dyDescent="0.25">
      <c r="A525">
        <v>-265.03903200000002</v>
      </c>
      <c r="B525">
        <v>279.88706224999999</v>
      </c>
      <c r="C525">
        <v>66.424844750000005</v>
      </c>
      <c r="D525">
        <v>-329.72378550000002</v>
      </c>
      <c r="E525">
        <v>-57.613169499999998</v>
      </c>
      <c r="F525">
        <v>6.5289222499999999</v>
      </c>
      <c r="G525">
        <v>307.96642274999999</v>
      </c>
      <c r="H525">
        <v>44</v>
      </c>
      <c r="I525">
        <v>24</v>
      </c>
      <c r="J525">
        <v>1.18</v>
      </c>
      <c r="K525">
        <v>22.603327499999999</v>
      </c>
      <c r="L525">
        <v>-1.382426746868282</v>
      </c>
      <c r="M525">
        <v>2.5425525149455108</v>
      </c>
      <c r="N525">
        <v>-1.5247647042000321</v>
      </c>
      <c r="O525">
        <v>-1.26752595919657</v>
      </c>
    </row>
    <row r="526" spans="1:15" x14ac:dyDescent="0.25">
      <c r="A526">
        <v>-317.69549575000002</v>
      </c>
      <c r="B526">
        <v>280.16667925000002</v>
      </c>
      <c r="C526">
        <v>81.59190375</v>
      </c>
      <c r="D526">
        <v>-365.38850374999998</v>
      </c>
      <c r="E526">
        <v>-76.614339749999999</v>
      </c>
      <c r="F526">
        <v>6.8690257499999996</v>
      </c>
      <c r="G526">
        <v>323.33073424999998</v>
      </c>
      <c r="H526">
        <v>44</v>
      </c>
      <c r="I526">
        <v>28</v>
      </c>
      <c r="J526">
        <v>1.18</v>
      </c>
      <c r="K526">
        <v>23.159775499999999</v>
      </c>
      <c r="L526">
        <v>-1.5071690283464041</v>
      </c>
      <c r="M526">
        <v>2.436779748973704</v>
      </c>
      <c r="N526">
        <v>-1.5096955266737431</v>
      </c>
      <c r="O526">
        <v>-1.315137080560508</v>
      </c>
    </row>
    <row r="527" spans="1:15" x14ac:dyDescent="0.25">
      <c r="A527">
        <v>-376.11759949999998</v>
      </c>
      <c r="B527">
        <v>275.21259325</v>
      </c>
      <c r="C527">
        <v>91.751428500000003</v>
      </c>
      <c r="D527">
        <v>-402.32070950000002</v>
      </c>
      <c r="E527">
        <v>-98.905387750000003</v>
      </c>
      <c r="F527">
        <v>7.3561670000000001</v>
      </c>
      <c r="G527">
        <v>336.77451324999998</v>
      </c>
      <c r="H527">
        <v>44</v>
      </c>
      <c r="I527">
        <v>32</v>
      </c>
      <c r="J527">
        <v>1.18</v>
      </c>
      <c r="K527">
        <v>23.629135250000001</v>
      </c>
      <c r="L527">
        <v>-1.6116077127347579</v>
      </c>
      <c r="M527">
        <v>2.333845991134655</v>
      </c>
      <c r="N527">
        <v>-1.5007874316107761</v>
      </c>
      <c r="O527">
        <v>-1.36604076535807</v>
      </c>
    </row>
    <row r="528" spans="1:15" x14ac:dyDescent="0.25">
      <c r="A528">
        <v>-398.909874</v>
      </c>
      <c r="B528">
        <v>242.82611449999999</v>
      </c>
      <c r="C528">
        <v>91.254658000000006</v>
      </c>
      <c r="D528">
        <v>-403.2385635</v>
      </c>
      <c r="E528">
        <v>-113.80649925</v>
      </c>
      <c r="F528">
        <v>6.9664650000000004</v>
      </c>
      <c r="G528">
        <v>321.09011075000001</v>
      </c>
      <c r="H528">
        <v>44</v>
      </c>
      <c r="I528">
        <v>36</v>
      </c>
      <c r="J528">
        <v>1.18</v>
      </c>
      <c r="K528">
        <v>23.074040249999999</v>
      </c>
      <c r="L528">
        <v>-1.7062918687562201</v>
      </c>
      <c r="M528">
        <v>2.2490042558296008</v>
      </c>
      <c r="N528">
        <v>-1.5139128648603111</v>
      </c>
      <c r="O528">
        <v>-1.4204149316444621</v>
      </c>
    </row>
    <row r="529" spans="1:15" x14ac:dyDescent="0.25">
      <c r="A529">
        <v>-405.93673699999999</v>
      </c>
      <c r="B529">
        <v>207.52513875</v>
      </c>
      <c r="C529">
        <v>84.391397499999997</v>
      </c>
      <c r="D529">
        <v>-396.63883974999999</v>
      </c>
      <c r="E529">
        <v>-128.33611124999999</v>
      </c>
      <c r="F529">
        <v>6.7233575000000014</v>
      </c>
      <c r="G529">
        <v>300.08420575000002</v>
      </c>
      <c r="H529">
        <v>44</v>
      </c>
      <c r="I529">
        <v>40</v>
      </c>
      <c r="J529">
        <v>1.18</v>
      </c>
      <c r="K529">
        <v>22.298457500000001</v>
      </c>
      <c r="L529">
        <v>-1.796398774682916</v>
      </c>
      <c r="M529">
        <v>2.2134792027989878</v>
      </c>
      <c r="N529">
        <v>-1.56961612375634</v>
      </c>
      <c r="O529">
        <v>-1.494824455657068</v>
      </c>
    </row>
    <row r="530" spans="1:15" x14ac:dyDescent="0.25">
      <c r="A530">
        <v>-405.89170074999998</v>
      </c>
      <c r="B530">
        <v>172.5369565</v>
      </c>
      <c r="C530">
        <v>75.220371</v>
      </c>
      <c r="D530">
        <v>-390.95696249999997</v>
      </c>
      <c r="E530">
        <v>-142.25805650000001</v>
      </c>
      <c r="F530">
        <v>6.4301122500000014</v>
      </c>
      <c r="G530">
        <v>279.95857224999997</v>
      </c>
      <c r="H530">
        <v>44</v>
      </c>
      <c r="I530">
        <v>44</v>
      </c>
      <c r="J530">
        <v>1.18</v>
      </c>
      <c r="K530">
        <v>21.531535000000002</v>
      </c>
      <c r="L530">
        <v>-1.8781604175883231</v>
      </c>
      <c r="M530">
        <v>2.19985018561687</v>
      </c>
      <c r="N530">
        <v>-1.648330054903357</v>
      </c>
      <c r="O530">
        <v>-1.5805022777261311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6E45-750B-4733-843B-62B73D3CA822}">
  <dimension ref="A1:O530"/>
  <sheetViews>
    <sheetView workbookViewId="0">
      <selection activeCell="A2" sqref="A2:O530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68.96704274999999</v>
      </c>
      <c r="B2">
        <v>-440.52211</v>
      </c>
      <c r="C2">
        <v>-444.15830225000002</v>
      </c>
      <c r="D2">
        <v>176.37726574999999</v>
      </c>
      <c r="E2">
        <v>-191.42173025</v>
      </c>
      <c r="F2">
        <v>6.4305692499999996</v>
      </c>
      <c r="G2">
        <v>300.40430474999999</v>
      </c>
      <c r="H2">
        <v>-44</v>
      </c>
      <c r="I2">
        <v>-44</v>
      </c>
      <c r="J2">
        <v>1.18</v>
      </c>
      <c r="K2">
        <v>22.32173525</v>
      </c>
      <c r="L2">
        <v>2.0451199540847949</v>
      </c>
      <c r="M2">
        <v>-2.458653291638484</v>
      </c>
      <c r="N2">
        <v>-1.9602539723813659</v>
      </c>
      <c r="O2">
        <v>-1.7885946276121589</v>
      </c>
    </row>
    <row r="3" spans="1:15" x14ac:dyDescent="0.25">
      <c r="A3">
        <v>77.452495499999998</v>
      </c>
      <c r="B3">
        <v>-443.68903375000002</v>
      </c>
      <c r="C3">
        <v>-452.84855675</v>
      </c>
      <c r="D3">
        <v>209.26505649999999</v>
      </c>
      <c r="E3">
        <v>-170.68772150000001</v>
      </c>
      <c r="F3">
        <v>6.9674337499999996</v>
      </c>
      <c r="G3">
        <v>317.56912249999999</v>
      </c>
      <c r="H3">
        <v>-44</v>
      </c>
      <c r="I3">
        <v>-40</v>
      </c>
      <c r="J3">
        <v>1.18</v>
      </c>
      <c r="K3">
        <v>22.944341000000001</v>
      </c>
      <c r="L3">
        <v>1.9104512204312449</v>
      </c>
      <c r="M3">
        <v>-2.3523271857226749</v>
      </c>
      <c r="N3">
        <v>-1.7590287758353531</v>
      </c>
      <c r="O3">
        <v>-1.639997053727009</v>
      </c>
    </row>
    <row r="4" spans="1:15" x14ac:dyDescent="0.25">
      <c r="A4">
        <v>82.016572749999995</v>
      </c>
      <c r="B4">
        <v>-422.40546399999999</v>
      </c>
      <c r="C4">
        <v>-434.17301200000003</v>
      </c>
      <c r="D4">
        <v>237.97370524999999</v>
      </c>
      <c r="E4">
        <v>-140.554363</v>
      </c>
      <c r="F4">
        <v>6.9177247499999996</v>
      </c>
      <c r="G4">
        <v>327.49190525</v>
      </c>
      <c r="H4">
        <v>-44</v>
      </c>
      <c r="I4">
        <v>-36</v>
      </c>
      <c r="J4">
        <v>1.18</v>
      </c>
      <c r="K4">
        <v>23.309781999999998</v>
      </c>
      <c r="L4">
        <v>1.7939717417408789</v>
      </c>
      <c r="M4">
        <v>-2.295125546621716</v>
      </c>
      <c r="N4">
        <v>-1.626682236832226</v>
      </c>
      <c r="O4">
        <v>-1.512536351443651</v>
      </c>
    </row>
    <row r="5" spans="1:15" x14ac:dyDescent="0.25">
      <c r="A5">
        <v>83.500619749999998</v>
      </c>
      <c r="B5">
        <v>-408.41706099999999</v>
      </c>
      <c r="C5">
        <v>-408.84064499999999</v>
      </c>
      <c r="D5">
        <v>266.03867350000002</v>
      </c>
      <c r="E5">
        <v>-114.02937875000001</v>
      </c>
      <c r="F5">
        <v>7.3074682499999994</v>
      </c>
      <c r="G5">
        <v>337.1746215</v>
      </c>
      <c r="H5">
        <v>-44</v>
      </c>
      <c r="I5">
        <v>-32</v>
      </c>
      <c r="J5">
        <v>1.18</v>
      </c>
      <c r="K5">
        <v>23.645189500000001</v>
      </c>
      <c r="L5">
        <v>1.6712564623157451</v>
      </c>
      <c r="M5">
        <v>-2.289535451767629</v>
      </c>
      <c r="N5">
        <v>-1.5317027753286909</v>
      </c>
      <c r="O5">
        <v>-1.4119158208106131</v>
      </c>
    </row>
    <row r="6" spans="1:15" x14ac:dyDescent="0.25">
      <c r="A6">
        <v>72.523262000000003</v>
      </c>
      <c r="B6">
        <v>-351.47722625</v>
      </c>
      <c r="C6">
        <v>-335.69930275000002</v>
      </c>
      <c r="D6">
        <v>262.94515224999998</v>
      </c>
      <c r="E6">
        <v>-78.838886250000002</v>
      </c>
      <c r="F6">
        <v>6.7730255000000001</v>
      </c>
      <c r="G6">
        <v>311.88752725000001</v>
      </c>
      <c r="H6">
        <v>-44</v>
      </c>
      <c r="I6">
        <v>-28</v>
      </c>
      <c r="J6">
        <v>1.18</v>
      </c>
      <c r="K6">
        <v>22.74074925</v>
      </c>
      <c r="L6">
        <v>1.5419188005375519</v>
      </c>
      <c r="M6">
        <v>-2.3208110469010448</v>
      </c>
      <c r="N6">
        <v>-1.475866006068288</v>
      </c>
      <c r="O6">
        <v>-1.3233846669065461</v>
      </c>
    </row>
    <row r="7" spans="1:15" x14ac:dyDescent="0.25">
      <c r="A7">
        <v>59.537623250000003</v>
      </c>
      <c r="B7">
        <v>-311.70920575000002</v>
      </c>
      <c r="C7">
        <v>-276.878288</v>
      </c>
      <c r="D7">
        <v>257.84679425000002</v>
      </c>
      <c r="E7">
        <v>-54.76614</v>
      </c>
      <c r="F7">
        <v>6.0895530000000004</v>
      </c>
      <c r="G7">
        <v>290.16143025000002</v>
      </c>
      <c r="H7">
        <v>-44</v>
      </c>
      <c r="I7">
        <v>-24</v>
      </c>
      <c r="J7">
        <v>1.18</v>
      </c>
      <c r="K7">
        <v>21.942580750000001</v>
      </c>
      <c r="L7">
        <v>1.404558612677917</v>
      </c>
      <c r="M7">
        <v>-2.3779169388269512</v>
      </c>
      <c r="N7">
        <v>-1.440116267234953</v>
      </c>
      <c r="O7">
        <v>-1.254106864320977</v>
      </c>
    </row>
    <row r="8" spans="1:15" x14ac:dyDescent="0.25">
      <c r="A8">
        <v>44.909760499999997</v>
      </c>
      <c r="B8">
        <v>-284.70217124999999</v>
      </c>
      <c r="C8">
        <v>-226.91273874999999</v>
      </c>
      <c r="D8">
        <v>255.40983199999999</v>
      </c>
      <c r="E8">
        <v>-38.168415250000002</v>
      </c>
      <c r="F8">
        <v>6.0417122499999998</v>
      </c>
      <c r="G8">
        <v>274.75711050000001</v>
      </c>
      <c r="H8">
        <v>-44</v>
      </c>
      <c r="I8">
        <v>-20</v>
      </c>
      <c r="J8">
        <v>1.18</v>
      </c>
      <c r="K8">
        <v>21.341260500000001</v>
      </c>
      <c r="L8">
        <v>1.2489493268280409</v>
      </c>
      <c r="M8">
        <v>-2.481706760325507</v>
      </c>
      <c r="N8">
        <v>-1.437823926432833</v>
      </c>
      <c r="O8">
        <v>-1.203127873111268</v>
      </c>
    </row>
    <row r="9" spans="1:15" x14ac:dyDescent="0.25">
      <c r="A9">
        <v>32.271868750000003</v>
      </c>
      <c r="B9">
        <v>-265.84984574999999</v>
      </c>
      <c r="C9">
        <v>-185.89378375000001</v>
      </c>
      <c r="D9">
        <v>253.67362199999999</v>
      </c>
      <c r="E9">
        <v>-23.858458500000001</v>
      </c>
      <c r="F9">
        <v>5.6024115000000014</v>
      </c>
      <c r="G9">
        <v>265.03437050000002</v>
      </c>
      <c r="H9">
        <v>-44</v>
      </c>
      <c r="I9">
        <v>-16</v>
      </c>
      <c r="J9">
        <v>1.18</v>
      </c>
      <c r="K9">
        <v>20.96936475</v>
      </c>
      <c r="L9">
        <v>1.079979007550592</v>
      </c>
      <c r="M9">
        <v>-2.5718167557060378</v>
      </c>
      <c r="N9">
        <v>-1.43015314050181</v>
      </c>
      <c r="O9">
        <v>-1.1458776270659989</v>
      </c>
    </row>
    <row r="10" spans="1:15" x14ac:dyDescent="0.25">
      <c r="A10">
        <v>19.228984000000001</v>
      </c>
      <c r="B10">
        <v>-280.00093075000001</v>
      </c>
      <c r="C10">
        <v>-163.48532499999999</v>
      </c>
      <c r="D10">
        <v>279.53116625000001</v>
      </c>
      <c r="E10">
        <v>-13.868937000000001</v>
      </c>
      <c r="F10">
        <v>5.9921274999999996</v>
      </c>
      <c r="G10">
        <v>285.03998575000003</v>
      </c>
      <c r="H10">
        <v>-44</v>
      </c>
      <c r="I10">
        <v>-12</v>
      </c>
      <c r="J10">
        <v>1.18</v>
      </c>
      <c r="K10">
        <v>21.747681750000002</v>
      </c>
      <c r="L10">
        <v>0.87899692561889875</v>
      </c>
      <c r="M10">
        <v>-2.6917581192623259</v>
      </c>
      <c r="N10">
        <v>-1.4380043584717319</v>
      </c>
      <c r="O10">
        <v>-1.095579388263378</v>
      </c>
    </row>
    <row r="11" spans="1:15" x14ac:dyDescent="0.25">
      <c r="A11">
        <v>-0.90087950000000006</v>
      </c>
      <c r="B11">
        <v>-296.187477</v>
      </c>
      <c r="C11">
        <v>-139.449871</v>
      </c>
      <c r="D11">
        <v>301.47837075000001</v>
      </c>
      <c r="E11">
        <v>-9.3202670000000012</v>
      </c>
      <c r="F11">
        <v>6.4310399999999994</v>
      </c>
      <c r="G11">
        <v>303.72524275000001</v>
      </c>
      <c r="H11">
        <v>-44</v>
      </c>
      <c r="I11">
        <v>-8</v>
      </c>
      <c r="J11">
        <v>1.18</v>
      </c>
      <c r="K11">
        <v>22.447438500000001</v>
      </c>
      <c r="L11">
        <v>0.66454389475916487</v>
      </c>
      <c r="M11">
        <v>-2.866596198822537</v>
      </c>
      <c r="N11">
        <v>-1.5014866272359</v>
      </c>
      <c r="O11">
        <v>-1.075580443869669</v>
      </c>
    </row>
    <row r="12" spans="1:15" x14ac:dyDescent="0.25">
      <c r="A12">
        <v>-26.1255335</v>
      </c>
      <c r="B12">
        <v>-309.64181500000001</v>
      </c>
      <c r="C12">
        <v>-108.862032</v>
      </c>
      <c r="D12">
        <v>317.81501750000001</v>
      </c>
      <c r="E12">
        <v>-9.0974474999999995</v>
      </c>
      <c r="F12">
        <v>6.7228597499999996</v>
      </c>
      <c r="G12">
        <v>317.28904749999998</v>
      </c>
      <c r="H12">
        <v>-44</v>
      </c>
      <c r="I12">
        <v>-4</v>
      </c>
      <c r="J12">
        <v>1.18</v>
      </c>
      <c r="K12">
        <v>22.943011250000001</v>
      </c>
      <c r="L12">
        <v>0.41334039014903612</v>
      </c>
      <c r="M12">
        <v>-3.1349775323587159</v>
      </c>
      <c r="N12">
        <v>-1.63079577014116</v>
      </c>
      <c r="O12">
        <v>-1.0790531546497131</v>
      </c>
    </row>
    <row r="13" spans="1:15" x14ac:dyDescent="0.25">
      <c r="A13">
        <v>-55.18272975</v>
      </c>
      <c r="B13">
        <v>-327.68316675</v>
      </c>
      <c r="C13">
        <v>-77.417012999999997</v>
      </c>
      <c r="D13">
        <v>332.82131924999999</v>
      </c>
      <c r="E13">
        <v>-10.61300975</v>
      </c>
      <c r="F13">
        <v>7.3561670000000001</v>
      </c>
      <c r="G13">
        <v>332.25325049999998</v>
      </c>
      <c r="H13">
        <v>-44</v>
      </c>
      <c r="I13">
        <v>0</v>
      </c>
      <c r="J13">
        <v>1.18</v>
      </c>
      <c r="K13">
        <v>23.466413249999999</v>
      </c>
      <c r="L13">
        <v>0.11577782690266709</v>
      </c>
      <c r="M13">
        <v>-3.4412881520797169</v>
      </c>
      <c r="N13">
        <v>-1.7863628036402179</v>
      </c>
      <c r="O13">
        <v>-1.0936144392270779</v>
      </c>
    </row>
    <row r="14" spans="1:15" x14ac:dyDescent="0.25">
      <c r="A14">
        <v>-87.430450250000007</v>
      </c>
      <c r="B14">
        <v>-328.59467325000003</v>
      </c>
      <c r="C14">
        <v>-40.513095999999997</v>
      </c>
      <c r="D14">
        <v>331.79267900000002</v>
      </c>
      <c r="E14">
        <v>-13.646915</v>
      </c>
      <c r="F14">
        <v>7.16080425</v>
      </c>
      <c r="G14">
        <v>329.93259425000002</v>
      </c>
      <c r="H14">
        <v>-44</v>
      </c>
      <c r="I14">
        <v>4</v>
      </c>
      <c r="J14">
        <v>1.18</v>
      </c>
      <c r="K14">
        <v>23.38951475</v>
      </c>
      <c r="L14">
        <v>-0.2413400430335752</v>
      </c>
      <c r="M14">
        <v>-3.3976962615014812</v>
      </c>
      <c r="N14">
        <v>-1.767722035087981</v>
      </c>
      <c r="O14">
        <v>-1.107065571144173</v>
      </c>
    </row>
    <row r="15" spans="1:15" x14ac:dyDescent="0.25">
      <c r="A15">
        <v>-108.51831075</v>
      </c>
      <c r="B15">
        <v>-302.66383374999998</v>
      </c>
      <c r="C15">
        <v>-7.0379100000000001</v>
      </c>
      <c r="D15">
        <v>302.57353975000001</v>
      </c>
      <c r="E15">
        <v>-11.37229625</v>
      </c>
      <c r="F15">
        <v>6.576721</v>
      </c>
      <c r="G15">
        <v>303.6852265</v>
      </c>
      <c r="H15">
        <v>-44</v>
      </c>
      <c r="I15">
        <v>8</v>
      </c>
      <c r="J15">
        <v>1.18</v>
      </c>
      <c r="K15">
        <v>22.440418999999999</v>
      </c>
      <c r="L15">
        <v>-0.52253166797729733</v>
      </c>
      <c r="M15">
        <v>-3.116309603984305</v>
      </c>
      <c r="N15">
        <v>-1.62222863293306</v>
      </c>
      <c r="O15">
        <v>-1.092447721657549</v>
      </c>
    </row>
    <row r="16" spans="1:15" x14ac:dyDescent="0.25">
      <c r="A16">
        <v>-134.771717</v>
      </c>
      <c r="B16">
        <v>-284.41414624999999</v>
      </c>
      <c r="C16">
        <v>18.467638999999998</v>
      </c>
      <c r="D16">
        <v>284.043274</v>
      </c>
      <c r="E16">
        <v>-14.9848695</v>
      </c>
      <c r="F16">
        <v>6.3331439999999999</v>
      </c>
      <c r="G16">
        <v>286.24033374999999</v>
      </c>
      <c r="H16">
        <v>-44</v>
      </c>
      <c r="I16">
        <v>12</v>
      </c>
      <c r="J16">
        <v>1.18</v>
      </c>
      <c r="K16">
        <v>21.78114575</v>
      </c>
      <c r="L16">
        <v>-0.78742430869683311</v>
      </c>
      <c r="M16">
        <v>-2.921112911771174</v>
      </c>
      <c r="N16">
        <v>-1.5479080627264059</v>
      </c>
      <c r="O16">
        <v>-1.10955913183216</v>
      </c>
    </row>
    <row r="17" spans="1:15" x14ac:dyDescent="0.25">
      <c r="A17">
        <v>-158.87026975000001</v>
      </c>
      <c r="B17">
        <v>-269.687477</v>
      </c>
      <c r="C17">
        <v>37.567535249999999</v>
      </c>
      <c r="D17">
        <v>265.6005935</v>
      </c>
      <c r="E17">
        <v>-21.49605725</v>
      </c>
      <c r="F17">
        <v>5.9434147499999996</v>
      </c>
      <c r="G17">
        <v>271.03606424999998</v>
      </c>
      <c r="H17">
        <v>-44</v>
      </c>
      <c r="I17">
        <v>16</v>
      </c>
      <c r="J17">
        <v>1.18</v>
      </c>
      <c r="K17">
        <v>21.196885999999999</v>
      </c>
      <c r="L17">
        <v>-1.0189870441623929</v>
      </c>
      <c r="M17">
        <v>-2.776691169568235</v>
      </c>
      <c r="N17">
        <v>-1.517473924977115</v>
      </c>
      <c r="O17">
        <v>-1.14237647760144</v>
      </c>
    </row>
    <row r="18" spans="1:15" x14ac:dyDescent="0.25">
      <c r="A18">
        <v>-197.74326325000001</v>
      </c>
      <c r="B18">
        <v>-280.18388375000001</v>
      </c>
      <c r="C18">
        <v>54.861244249999999</v>
      </c>
      <c r="D18">
        <v>263.58549499999998</v>
      </c>
      <c r="E18">
        <v>-32.641389250000003</v>
      </c>
      <c r="F18">
        <v>5.944674</v>
      </c>
      <c r="G18">
        <v>276.3575515</v>
      </c>
      <c r="H18">
        <v>-44</v>
      </c>
      <c r="I18">
        <v>20</v>
      </c>
      <c r="J18">
        <v>1.18</v>
      </c>
      <c r="K18">
        <v>21.408549499999999</v>
      </c>
      <c r="L18">
        <v>-1.22439259840097</v>
      </c>
      <c r="M18">
        <v>-2.6356045206534979</v>
      </c>
      <c r="N18">
        <v>-1.497755792140735</v>
      </c>
      <c r="O18">
        <v>-1.1870775306150729</v>
      </c>
    </row>
    <row r="19" spans="1:15" x14ac:dyDescent="0.25">
      <c r="A19">
        <v>-253.59785475000001</v>
      </c>
      <c r="B19">
        <v>-308.30330650000002</v>
      </c>
      <c r="C19">
        <v>74.598053000000007</v>
      </c>
      <c r="D19">
        <v>273.70485724999998</v>
      </c>
      <c r="E19">
        <v>-47.407686249999998</v>
      </c>
      <c r="F19">
        <v>6.4305692499999996</v>
      </c>
      <c r="G19">
        <v>296.60323349999999</v>
      </c>
      <c r="H19">
        <v>-44</v>
      </c>
      <c r="I19">
        <v>24</v>
      </c>
      <c r="J19">
        <v>1.18</v>
      </c>
      <c r="K19">
        <v>22.176946749999999</v>
      </c>
      <c r="L19">
        <v>-1.405290585718145</v>
      </c>
      <c r="M19">
        <v>-2.4921003732554192</v>
      </c>
      <c r="N19">
        <v>-1.473024081602714</v>
      </c>
      <c r="O19">
        <v>-1.230536934065773</v>
      </c>
    </row>
    <row r="20" spans="1:15" x14ac:dyDescent="0.25">
      <c r="A20">
        <v>-309.31730649999997</v>
      </c>
      <c r="B20">
        <v>-335.38183600000002</v>
      </c>
      <c r="C20">
        <v>91.435236000000003</v>
      </c>
      <c r="D20">
        <v>275.67616299999997</v>
      </c>
      <c r="E20">
        <v>-66.580186749999996</v>
      </c>
      <c r="F20">
        <v>6.8207832499999999</v>
      </c>
      <c r="G20">
        <v>313.72803525</v>
      </c>
      <c r="H20">
        <v>-44</v>
      </c>
      <c r="I20">
        <v>28</v>
      </c>
      <c r="J20">
        <v>1.18</v>
      </c>
      <c r="K20">
        <v>22.807487500000001</v>
      </c>
      <c r="L20">
        <v>-1.5668635818016701</v>
      </c>
      <c r="M20">
        <v>-2.38916241752933</v>
      </c>
      <c r="N20">
        <v>-1.4869762673563329</v>
      </c>
      <c r="O20">
        <v>-1.287010186278182</v>
      </c>
    </row>
    <row r="21" spans="1:15" x14ac:dyDescent="0.25">
      <c r="A21">
        <v>-366.83851625</v>
      </c>
      <c r="B21">
        <v>-367.09526049999999</v>
      </c>
      <c r="C21">
        <v>102.46596150000001</v>
      </c>
      <c r="D21">
        <v>271.73355824999999</v>
      </c>
      <c r="E21">
        <v>-90.528089499999993</v>
      </c>
      <c r="F21">
        <v>7.0166589999999998</v>
      </c>
      <c r="G21">
        <v>327.53192124999998</v>
      </c>
      <c r="H21">
        <v>-44</v>
      </c>
      <c r="I21">
        <v>32</v>
      </c>
      <c r="J21">
        <v>1.18</v>
      </c>
      <c r="K21">
        <v>23.307638749999999</v>
      </c>
      <c r="L21">
        <v>-1.6977665937549899</v>
      </c>
      <c r="M21">
        <v>-2.311140218910769</v>
      </c>
      <c r="N21">
        <v>-1.512541997096297</v>
      </c>
      <c r="O21">
        <v>-1.352958750078765</v>
      </c>
    </row>
    <row r="22" spans="1:15" x14ac:dyDescent="0.25">
      <c r="A22">
        <v>-419.99047825000002</v>
      </c>
      <c r="B22">
        <v>-407.80195600000002</v>
      </c>
      <c r="C22">
        <v>109.72232649999999</v>
      </c>
      <c r="D22">
        <v>264.02355175000002</v>
      </c>
      <c r="E22">
        <v>-120.53246300000001</v>
      </c>
      <c r="F22">
        <v>7.2597794999999996</v>
      </c>
      <c r="G22">
        <v>340.49554425000002</v>
      </c>
      <c r="H22">
        <v>-44</v>
      </c>
      <c r="I22">
        <v>36</v>
      </c>
      <c r="J22">
        <v>1.18</v>
      </c>
      <c r="K22">
        <v>23.7656545</v>
      </c>
      <c r="L22">
        <v>-1.8056589800407421</v>
      </c>
      <c r="M22">
        <v>-2.290135509372444</v>
      </c>
      <c r="N22">
        <v>-1.571579702178177</v>
      </c>
      <c r="O22">
        <v>-1.4356386834675849</v>
      </c>
    </row>
    <row r="23" spans="1:15" x14ac:dyDescent="0.25">
      <c r="A23">
        <v>-417.06261425000002</v>
      </c>
      <c r="B23">
        <v>-399.42626174999998</v>
      </c>
      <c r="C23">
        <v>100.685131</v>
      </c>
      <c r="D23">
        <v>221.44334799999999</v>
      </c>
      <c r="E23">
        <v>-135.03365324999999</v>
      </c>
      <c r="F23">
        <v>6.8690119999999997</v>
      </c>
      <c r="G23">
        <v>312.08758525000002</v>
      </c>
      <c r="H23">
        <v>-44</v>
      </c>
      <c r="I23">
        <v>40</v>
      </c>
      <c r="J23">
        <v>1.18</v>
      </c>
      <c r="K23">
        <v>22.744623749999999</v>
      </c>
      <c r="L23">
        <v>-1.895267711272937</v>
      </c>
      <c r="M23">
        <v>-2.2727718531741341</v>
      </c>
      <c r="N23">
        <v>-1.636866292090009</v>
      </c>
      <c r="O23">
        <v>-1.519543758786007</v>
      </c>
    </row>
    <row r="24" spans="1:15" x14ac:dyDescent="0.25">
      <c r="A24">
        <v>-409.45017224999998</v>
      </c>
      <c r="B24">
        <v>-391.174553</v>
      </c>
      <c r="C24">
        <v>93.331749000000002</v>
      </c>
      <c r="D24">
        <v>189.28915025000001</v>
      </c>
      <c r="E24">
        <v>-149.1608085</v>
      </c>
      <c r="F24">
        <v>6.0899679999999998</v>
      </c>
      <c r="G24">
        <v>292.72215249999999</v>
      </c>
      <c r="H24">
        <v>-44</v>
      </c>
      <c r="I24">
        <v>44</v>
      </c>
      <c r="J24">
        <v>1.18</v>
      </c>
      <c r="K24">
        <v>22.041244750000001</v>
      </c>
      <c r="L24">
        <v>-2.001921747816235</v>
      </c>
      <c r="M24">
        <v>-2.311235266534414</v>
      </c>
      <c r="N24">
        <v>-1.7594677941796799</v>
      </c>
      <c r="O24">
        <v>-1.6181567111526189</v>
      </c>
    </row>
    <row r="25" spans="1:15" x14ac:dyDescent="0.25">
      <c r="A25">
        <v>98.576047750000001</v>
      </c>
      <c r="B25">
        <v>-385.30109399999998</v>
      </c>
      <c r="C25">
        <v>-367.27701574999998</v>
      </c>
      <c r="D25">
        <v>154.28751750000001</v>
      </c>
      <c r="E25">
        <v>-138.8955765</v>
      </c>
      <c r="F25">
        <v>5.8955184999999997</v>
      </c>
      <c r="G25">
        <v>269.95575724999998</v>
      </c>
      <c r="H25">
        <v>-40</v>
      </c>
      <c r="I25">
        <v>-44</v>
      </c>
      <c r="J25">
        <v>1.18</v>
      </c>
      <c r="K25">
        <v>21.155571500000001</v>
      </c>
      <c r="L25">
        <v>1.962351896534595</v>
      </c>
      <c r="M25">
        <v>-2.2729911001186851</v>
      </c>
      <c r="N25">
        <v>-1.7222613695781801</v>
      </c>
      <c r="O25">
        <v>-1.609914898811059</v>
      </c>
    </row>
    <row r="26" spans="1:15" x14ac:dyDescent="0.25">
      <c r="A26">
        <v>96.325464249999996</v>
      </c>
      <c r="B26">
        <v>-338.59579450000001</v>
      </c>
      <c r="C26">
        <v>-325.55093399999998</v>
      </c>
      <c r="D26">
        <v>164.4945065</v>
      </c>
      <c r="E26">
        <v>-98.809823999999992</v>
      </c>
      <c r="F26">
        <v>5.3104814999999999</v>
      </c>
      <c r="G26">
        <v>254.35137925000001</v>
      </c>
      <c r="H26">
        <v>-40</v>
      </c>
      <c r="I26">
        <v>-40</v>
      </c>
      <c r="J26">
        <v>1.18</v>
      </c>
      <c r="K26">
        <v>20.54513725</v>
      </c>
      <c r="L26">
        <v>1.808590963109544</v>
      </c>
      <c r="M26">
        <v>-2.1567566451036879</v>
      </c>
      <c r="N26">
        <v>-1.514010480848839</v>
      </c>
      <c r="O26">
        <v>-1.4463646140327839</v>
      </c>
    </row>
    <row r="27" spans="1:15" x14ac:dyDescent="0.25">
      <c r="A27">
        <v>103.41220300000001</v>
      </c>
      <c r="B27">
        <v>-304.32204424999998</v>
      </c>
      <c r="C27">
        <v>-318.1775055</v>
      </c>
      <c r="D27">
        <v>186.44171125</v>
      </c>
      <c r="E27">
        <v>-68.448915499999998</v>
      </c>
      <c r="F27">
        <v>5.6023977499999997</v>
      </c>
      <c r="G27">
        <v>260.79318975000001</v>
      </c>
      <c r="H27">
        <v>-40</v>
      </c>
      <c r="I27">
        <v>-36</v>
      </c>
      <c r="J27">
        <v>1.18</v>
      </c>
      <c r="K27">
        <v>20.797250500000001</v>
      </c>
      <c r="L27">
        <v>1.7363438200352119</v>
      </c>
      <c r="M27">
        <v>-2.0212737207515361</v>
      </c>
      <c r="N27">
        <v>-1.3560366254072129</v>
      </c>
      <c r="O27">
        <v>-1.304978707822062</v>
      </c>
    </row>
    <row r="28" spans="1:15" x14ac:dyDescent="0.25">
      <c r="A28">
        <v>108.783682</v>
      </c>
      <c r="B28">
        <v>-301.56056949999999</v>
      </c>
      <c r="C28">
        <v>-308.61016074999998</v>
      </c>
      <c r="D28">
        <v>218.33306875</v>
      </c>
      <c r="E28">
        <v>-43.750550250000003</v>
      </c>
      <c r="F28">
        <v>6.2848604999999997</v>
      </c>
      <c r="G28">
        <v>279.99858825000001</v>
      </c>
      <c r="H28">
        <v>-40</v>
      </c>
      <c r="I28">
        <v>-32</v>
      </c>
      <c r="J28">
        <v>1.18</v>
      </c>
      <c r="K28">
        <v>21.538824999999999</v>
      </c>
      <c r="L28">
        <v>1.5971587159881011</v>
      </c>
      <c r="M28">
        <v>-1.98937756299021</v>
      </c>
      <c r="N28">
        <v>-1.238826803789369</v>
      </c>
      <c r="O28">
        <v>-1.1914585952841279</v>
      </c>
    </row>
    <row r="29" spans="1:15" x14ac:dyDescent="0.25">
      <c r="A29">
        <v>110.8979835</v>
      </c>
      <c r="B29">
        <v>-303.62345125000002</v>
      </c>
      <c r="C29">
        <v>-289.01281725000001</v>
      </c>
      <c r="D29">
        <v>248.34071725000001</v>
      </c>
      <c r="E29">
        <v>-21.181335499999999</v>
      </c>
      <c r="F29">
        <v>6.3331297500000003</v>
      </c>
      <c r="G29">
        <v>296.44319174999998</v>
      </c>
      <c r="H29">
        <v>-40</v>
      </c>
      <c r="I29">
        <v>-28</v>
      </c>
      <c r="J29">
        <v>1.18</v>
      </c>
      <c r="K29">
        <v>22.17455975</v>
      </c>
      <c r="L29">
        <v>1.453505292640763</v>
      </c>
      <c r="M29">
        <v>-2.0061528847063448</v>
      </c>
      <c r="N29">
        <v>-1.1544405341331501</v>
      </c>
      <c r="O29">
        <v>-1.1000110994892369</v>
      </c>
    </row>
    <row r="30" spans="1:15" x14ac:dyDescent="0.25">
      <c r="A30">
        <v>106.34620074999999</v>
      </c>
      <c r="B30">
        <v>-305.63836650000002</v>
      </c>
      <c r="C30">
        <v>-261.77778625000002</v>
      </c>
      <c r="D30">
        <v>276.85036474999998</v>
      </c>
      <c r="E30">
        <v>1.5744999999999509E-3</v>
      </c>
      <c r="F30">
        <v>6.6736762499999998</v>
      </c>
      <c r="G30">
        <v>312.12758650000001</v>
      </c>
      <c r="H30">
        <v>-40</v>
      </c>
      <c r="I30">
        <v>-24</v>
      </c>
      <c r="J30">
        <v>1.18</v>
      </c>
      <c r="K30">
        <v>22.75341525</v>
      </c>
      <c r="L30">
        <v>1.297554775754661</v>
      </c>
      <c r="M30">
        <v>-2.053135207914508</v>
      </c>
      <c r="N30">
        <v>-1.1001833170250359</v>
      </c>
      <c r="O30">
        <v>-1.0235251744217639</v>
      </c>
    </row>
    <row r="31" spans="1:15" x14ac:dyDescent="0.25">
      <c r="A31">
        <v>98.131004500000003</v>
      </c>
      <c r="B31">
        <v>-303.26651750000002</v>
      </c>
      <c r="C31">
        <v>-231.243225</v>
      </c>
      <c r="D31">
        <v>302.28613274999998</v>
      </c>
      <c r="E31">
        <v>19.308708750000001</v>
      </c>
      <c r="F31">
        <v>6.9659532500000001</v>
      </c>
      <c r="G31">
        <v>325.65138224999998</v>
      </c>
      <c r="H31">
        <v>-40</v>
      </c>
      <c r="I31">
        <v>-20</v>
      </c>
      <c r="J31">
        <v>1.18</v>
      </c>
      <c r="K31">
        <v>23.241005250000001</v>
      </c>
      <c r="L31">
        <v>1.1494141240769631</v>
      </c>
      <c r="M31">
        <v>-2.1131749563930828</v>
      </c>
      <c r="N31">
        <v>-1.0690437604711791</v>
      </c>
      <c r="O31">
        <v>-0.95694316685667014</v>
      </c>
    </row>
    <row r="32" spans="1:15" x14ac:dyDescent="0.25">
      <c r="A32">
        <v>86.750364500000003</v>
      </c>
      <c r="B32">
        <v>-302.99967199999998</v>
      </c>
      <c r="C32">
        <v>-199.04653175000001</v>
      </c>
      <c r="D32">
        <v>323.81722274999998</v>
      </c>
      <c r="E32">
        <v>36.653283000000002</v>
      </c>
      <c r="F32">
        <v>7.1120915</v>
      </c>
      <c r="G32">
        <v>338.33493800000002</v>
      </c>
      <c r="H32">
        <v>-40</v>
      </c>
      <c r="I32">
        <v>-16</v>
      </c>
      <c r="J32">
        <v>1.18</v>
      </c>
      <c r="K32">
        <v>23.693754999999999</v>
      </c>
      <c r="L32">
        <v>0.99347030065726605</v>
      </c>
      <c r="M32">
        <v>-2.1788957721630822</v>
      </c>
      <c r="N32">
        <v>-1.048685709809634</v>
      </c>
      <c r="O32">
        <v>-0.89731293761978737</v>
      </c>
    </row>
    <row r="33" spans="1:15" x14ac:dyDescent="0.25">
      <c r="A33">
        <v>64.457714249999995</v>
      </c>
      <c r="B33">
        <v>-276.20178199999998</v>
      </c>
      <c r="C33">
        <v>-145.22455975</v>
      </c>
      <c r="D33">
        <v>312.62527449999999</v>
      </c>
      <c r="E33">
        <v>47.604557999999997</v>
      </c>
      <c r="F33">
        <v>7.0156624999999986</v>
      </c>
      <c r="G33">
        <v>319.16957875000003</v>
      </c>
      <c r="H33">
        <v>-40</v>
      </c>
      <c r="I33">
        <v>-12</v>
      </c>
      <c r="J33">
        <v>1.18</v>
      </c>
      <c r="K33">
        <v>23.00159275</v>
      </c>
      <c r="L33">
        <v>0.81172477804011611</v>
      </c>
      <c r="M33">
        <v>-2.2794513761014161</v>
      </c>
      <c r="N33">
        <v>-1.051276434127127</v>
      </c>
      <c r="O33">
        <v>-0.84285521769903582</v>
      </c>
    </row>
    <row r="34" spans="1:15" x14ac:dyDescent="0.25">
      <c r="A34">
        <v>40.714887750000003</v>
      </c>
      <c r="B34">
        <v>-248.85113150000001</v>
      </c>
      <c r="C34">
        <v>-95.598281749999998</v>
      </c>
      <c r="D34">
        <v>292.82337925000002</v>
      </c>
      <c r="E34">
        <v>52.071123999999998</v>
      </c>
      <c r="F34">
        <v>6.4301122500000014</v>
      </c>
      <c r="G34">
        <v>294.4426345</v>
      </c>
      <c r="H34">
        <v>-40</v>
      </c>
      <c r="I34">
        <v>-8</v>
      </c>
      <c r="J34">
        <v>1.18</v>
      </c>
      <c r="K34">
        <v>22.094251750000002</v>
      </c>
      <c r="L34">
        <v>0.60773826690829813</v>
      </c>
      <c r="M34">
        <v>-2.4150003376487721</v>
      </c>
      <c r="N34">
        <v>-1.080588333471644</v>
      </c>
      <c r="O34">
        <v>-0.79651612877585543</v>
      </c>
    </row>
    <row r="35" spans="1:15" x14ac:dyDescent="0.25">
      <c r="A35">
        <v>17.151396999999999</v>
      </c>
      <c r="B35">
        <v>-235.11740125</v>
      </c>
      <c r="C35">
        <v>-57.882301499999997</v>
      </c>
      <c r="D35">
        <v>277.69127674999999</v>
      </c>
      <c r="E35">
        <v>51.678995</v>
      </c>
      <c r="F35">
        <v>6.0895530000000004</v>
      </c>
      <c r="G35">
        <v>278.23808250000002</v>
      </c>
      <c r="H35">
        <v>-40</v>
      </c>
      <c r="I35">
        <v>-4</v>
      </c>
      <c r="J35">
        <v>1.18</v>
      </c>
      <c r="K35">
        <v>21.477153749999999</v>
      </c>
      <c r="L35">
        <v>0.37860369907841779</v>
      </c>
      <c r="M35">
        <v>-2.5877332851709229</v>
      </c>
      <c r="N35">
        <v>-1.1433167406887601</v>
      </c>
      <c r="O35">
        <v>-0.77001115611911031</v>
      </c>
    </row>
    <row r="36" spans="1:15" x14ac:dyDescent="0.25">
      <c r="A36">
        <v>-7.3426115000000003</v>
      </c>
      <c r="B36">
        <v>-224.62677375000001</v>
      </c>
      <c r="C36">
        <v>-23.59504475</v>
      </c>
      <c r="D36">
        <v>263.86510449999997</v>
      </c>
      <c r="E36">
        <v>48.680756500000001</v>
      </c>
      <c r="F36">
        <v>5.8955324999999998</v>
      </c>
      <c r="G36">
        <v>263.47394524999999</v>
      </c>
      <c r="H36">
        <v>-40</v>
      </c>
      <c r="I36">
        <v>0</v>
      </c>
      <c r="J36">
        <v>1.18</v>
      </c>
      <c r="K36">
        <v>20.894341749999999</v>
      </c>
      <c r="L36">
        <v>9.4068728881341629E-2</v>
      </c>
      <c r="M36">
        <v>-2.827129476805907</v>
      </c>
      <c r="N36">
        <v>-1.243137623793424</v>
      </c>
      <c r="O36">
        <v>-0.75241906994562846</v>
      </c>
    </row>
    <row r="37" spans="1:15" x14ac:dyDescent="0.25">
      <c r="A37">
        <v>-34.50598325</v>
      </c>
      <c r="B37">
        <v>-244.34518800000001</v>
      </c>
      <c r="C37">
        <v>3.7928492500000002</v>
      </c>
      <c r="D37">
        <v>283.03571325000001</v>
      </c>
      <c r="E37">
        <v>51.359530499999998</v>
      </c>
      <c r="F37">
        <v>6.3827702500000001</v>
      </c>
      <c r="G37">
        <v>282.67934424999999</v>
      </c>
      <c r="H37">
        <v>-40</v>
      </c>
      <c r="I37">
        <v>4</v>
      </c>
      <c r="J37">
        <v>1.18</v>
      </c>
      <c r="K37">
        <v>21.640194999999999</v>
      </c>
      <c r="L37">
        <v>-0.2007556102770631</v>
      </c>
      <c r="M37">
        <v>-2.7642886441219359</v>
      </c>
      <c r="N37">
        <v>-1.2124814886856949</v>
      </c>
      <c r="O37">
        <v>-0.76426802339054944</v>
      </c>
    </row>
    <row r="38" spans="1:15" x14ac:dyDescent="0.25">
      <c r="A38">
        <v>-67.570449749999995</v>
      </c>
      <c r="B38">
        <v>-262.70216349999998</v>
      </c>
      <c r="C38">
        <v>34.409019749999999</v>
      </c>
      <c r="D38">
        <v>301.43456275</v>
      </c>
      <c r="E38">
        <v>54.536635500000003</v>
      </c>
      <c r="F38">
        <v>6.285317</v>
      </c>
      <c r="G38">
        <v>301.52462025</v>
      </c>
      <c r="H38">
        <v>-40</v>
      </c>
      <c r="I38">
        <v>8</v>
      </c>
      <c r="J38">
        <v>1.18</v>
      </c>
      <c r="K38">
        <v>22.36972175</v>
      </c>
      <c r="L38">
        <v>-0.46421225640529967</v>
      </c>
      <c r="M38">
        <v>-2.5680942570052649</v>
      </c>
      <c r="N38">
        <v>-1.1243804370452091</v>
      </c>
      <c r="O38">
        <v>-0.78035842744689798</v>
      </c>
    </row>
    <row r="39" spans="1:15" x14ac:dyDescent="0.25">
      <c r="A39">
        <v>-109.36688624999999</v>
      </c>
      <c r="B39">
        <v>-278.02478024999999</v>
      </c>
      <c r="C39">
        <v>64.117693000000003</v>
      </c>
      <c r="D39">
        <v>314.5527495</v>
      </c>
      <c r="E39">
        <v>50.6030005</v>
      </c>
      <c r="F39">
        <v>6.7716000000000003</v>
      </c>
      <c r="G39">
        <v>317.36907200000002</v>
      </c>
      <c r="H39">
        <v>-40</v>
      </c>
      <c r="I39">
        <v>12</v>
      </c>
      <c r="J39">
        <v>1.18</v>
      </c>
      <c r="K39">
        <v>22.944195499999999</v>
      </c>
      <c r="L39">
        <v>-0.71015366010084591</v>
      </c>
      <c r="M39">
        <v>-2.4257021401510022</v>
      </c>
      <c r="N39">
        <v>-1.092031373113066</v>
      </c>
      <c r="O39">
        <v>-0.8206176330691346</v>
      </c>
    </row>
    <row r="40" spans="1:15" x14ac:dyDescent="0.25">
      <c r="A40">
        <v>-155.89736174999999</v>
      </c>
      <c r="B40">
        <v>-297.81835949999999</v>
      </c>
      <c r="C40">
        <v>90.402795999999995</v>
      </c>
      <c r="D40">
        <v>323.64460750000001</v>
      </c>
      <c r="E40">
        <v>44.743830750000001</v>
      </c>
      <c r="F40">
        <v>7.1613160000000002</v>
      </c>
      <c r="G40">
        <v>331.09292625</v>
      </c>
      <c r="H40">
        <v>-40</v>
      </c>
      <c r="I40">
        <v>16</v>
      </c>
      <c r="J40">
        <v>1.18</v>
      </c>
      <c r="K40">
        <v>23.431512999999999</v>
      </c>
      <c r="L40">
        <v>-0.90683950247775513</v>
      </c>
      <c r="M40">
        <v>-2.288230410397162</v>
      </c>
      <c r="N40">
        <v>-1.0543816541651401</v>
      </c>
      <c r="O40">
        <v>-0.8616444765397907</v>
      </c>
    </row>
    <row r="41" spans="1:15" x14ac:dyDescent="0.25">
      <c r="A41">
        <v>-203.55394375</v>
      </c>
      <c r="B41">
        <v>-311.49120325000001</v>
      </c>
      <c r="C41">
        <v>109.68451324999999</v>
      </c>
      <c r="D41">
        <v>317.20502449999998</v>
      </c>
      <c r="E41">
        <v>28.115811999999998</v>
      </c>
      <c r="F41">
        <v>7.21055475</v>
      </c>
      <c r="G41">
        <v>332.97344974999999</v>
      </c>
      <c r="H41">
        <v>-40</v>
      </c>
      <c r="I41">
        <v>20</v>
      </c>
      <c r="J41">
        <v>1.18</v>
      </c>
      <c r="K41">
        <v>23.497619749999998</v>
      </c>
      <c r="L41">
        <v>-1.0966047008742339</v>
      </c>
      <c r="M41">
        <v>-2.201024690284052</v>
      </c>
      <c r="N41">
        <v>-1.0672767794547759</v>
      </c>
      <c r="O41">
        <v>-0.92680222335976503</v>
      </c>
    </row>
    <row r="42" spans="1:15" x14ac:dyDescent="0.25">
      <c r="A42">
        <v>-231.34610774999999</v>
      </c>
      <c r="B42">
        <v>-296.52326175000002</v>
      </c>
      <c r="C42">
        <v>117.98538775</v>
      </c>
      <c r="D42">
        <v>281.283432</v>
      </c>
      <c r="E42">
        <v>10.5049435</v>
      </c>
      <c r="F42">
        <v>6.6259182499999998</v>
      </c>
      <c r="G42">
        <v>305.40570824999998</v>
      </c>
      <c r="H42">
        <v>-40</v>
      </c>
      <c r="I42">
        <v>24</v>
      </c>
      <c r="J42">
        <v>1.18</v>
      </c>
      <c r="K42">
        <v>22.503457999999998</v>
      </c>
      <c r="L42">
        <v>-1.272948283018319</v>
      </c>
      <c r="M42">
        <v>-2.1054731028177649</v>
      </c>
      <c r="N42">
        <v>-1.0746357521029759</v>
      </c>
      <c r="O42">
        <v>-0.98590682876115876</v>
      </c>
    </row>
    <row r="43" spans="1:15" x14ac:dyDescent="0.25">
      <c r="A43">
        <v>-254.63386525000001</v>
      </c>
      <c r="B43">
        <v>-287.14069375000003</v>
      </c>
      <c r="C43">
        <v>120.7397345</v>
      </c>
      <c r="D43">
        <v>251.46694174999999</v>
      </c>
      <c r="E43">
        <v>-7.1788737500000002</v>
      </c>
      <c r="F43">
        <v>6.2848462500000002</v>
      </c>
      <c r="G43">
        <v>286.96052550000002</v>
      </c>
      <c r="H43">
        <v>-40</v>
      </c>
      <c r="I43">
        <v>28</v>
      </c>
      <c r="J43">
        <v>1.18</v>
      </c>
      <c r="K43">
        <v>21.811025749999999</v>
      </c>
      <c r="L43">
        <v>-1.4234564181281111</v>
      </c>
      <c r="M43">
        <v>-2.0425057001808011</v>
      </c>
      <c r="N43">
        <v>-1.1154496607045079</v>
      </c>
      <c r="O43">
        <v>-1.051067203441006</v>
      </c>
    </row>
    <row r="44" spans="1:15" x14ac:dyDescent="0.25">
      <c r="A44">
        <v>-277.65136725000002</v>
      </c>
      <c r="B44">
        <v>-280.74009699999999</v>
      </c>
      <c r="C44">
        <v>120.197998</v>
      </c>
      <c r="D44">
        <v>224.61180125000001</v>
      </c>
      <c r="E44">
        <v>-25.062449000000001</v>
      </c>
      <c r="F44">
        <v>5.9434147499999996</v>
      </c>
      <c r="G44">
        <v>271.75626375000002</v>
      </c>
      <c r="H44">
        <v>-40</v>
      </c>
      <c r="I44">
        <v>32</v>
      </c>
      <c r="J44">
        <v>1.18</v>
      </c>
      <c r="K44">
        <v>21.225669</v>
      </c>
      <c r="L44">
        <v>-1.5655350827587009</v>
      </c>
      <c r="M44">
        <v>-1.988572009910015</v>
      </c>
      <c r="N44">
        <v>-1.168024485055307</v>
      </c>
      <c r="O44">
        <v>-1.12203327963154</v>
      </c>
    </row>
    <row r="45" spans="1:15" x14ac:dyDescent="0.25">
      <c r="A45">
        <v>-317.06488024999999</v>
      </c>
      <c r="B45">
        <v>-296.69451874999999</v>
      </c>
      <c r="C45">
        <v>126.38399525</v>
      </c>
      <c r="D45">
        <v>211.14874674999999</v>
      </c>
      <c r="E45">
        <v>-46.515761249999997</v>
      </c>
      <c r="F45">
        <v>5.7481344999999999</v>
      </c>
      <c r="G45">
        <v>275.71739200000002</v>
      </c>
      <c r="H45">
        <v>-40</v>
      </c>
      <c r="I45">
        <v>36</v>
      </c>
      <c r="J45">
        <v>1.18</v>
      </c>
      <c r="K45">
        <v>21.3909795</v>
      </c>
      <c r="L45">
        <v>-1.7032384097528861</v>
      </c>
      <c r="M45">
        <v>-1.9506421051556939</v>
      </c>
      <c r="N45">
        <v>-1.237768182898249</v>
      </c>
      <c r="O45">
        <v>-1.200768977224755</v>
      </c>
    </row>
    <row r="46" spans="1:15" x14ac:dyDescent="0.25">
      <c r="A46">
        <v>-373.32485974999997</v>
      </c>
      <c r="B46">
        <v>-344.35260025000002</v>
      </c>
      <c r="C46">
        <v>134.33967175000001</v>
      </c>
      <c r="D46">
        <v>207.42516674999999</v>
      </c>
      <c r="E46">
        <v>-79.423831750000005</v>
      </c>
      <c r="F46">
        <v>6.38229925</v>
      </c>
      <c r="G46">
        <v>295.36289199999999</v>
      </c>
      <c r="H46">
        <v>-40</v>
      </c>
      <c r="I46">
        <v>40</v>
      </c>
      <c r="J46">
        <v>1.18</v>
      </c>
      <c r="K46">
        <v>22.13135325</v>
      </c>
      <c r="L46">
        <v>-1.8168884306732129</v>
      </c>
      <c r="M46">
        <v>-1.974763925397764</v>
      </c>
      <c r="N46">
        <v>-1.3413326758541979</v>
      </c>
      <c r="O46">
        <v>-1.3070966804566539</v>
      </c>
    </row>
    <row r="47" spans="1:15" x14ac:dyDescent="0.25">
      <c r="A47">
        <v>-420.89135725</v>
      </c>
      <c r="B47">
        <v>-395.69136800000001</v>
      </c>
      <c r="C47">
        <v>139.96587725000001</v>
      </c>
      <c r="D47">
        <v>195.64112875000001</v>
      </c>
      <c r="E47">
        <v>-119.45465475</v>
      </c>
      <c r="F47">
        <v>6.6746175000000001</v>
      </c>
      <c r="G47">
        <v>312.52770249999998</v>
      </c>
      <c r="H47">
        <v>-40</v>
      </c>
      <c r="I47">
        <v>44</v>
      </c>
      <c r="J47">
        <v>1.18</v>
      </c>
      <c r="K47">
        <v>22.768278250000002</v>
      </c>
      <c r="L47">
        <v>-1.9418044922535831</v>
      </c>
      <c r="M47">
        <v>-2.0473615959366551</v>
      </c>
      <c r="N47">
        <v>-1.4956816379436899</v>
      </c>
      <c r="O47">
        <v>-1.436709944801724</v>
      </c>
    </row>
    <row r="48" spans="1:15" x14ac:dyDescent="0.25">
      <c r="A48">
        <v>163.61617275</v>
      </c>
      <c r="B48">
        <v>-455.25093075000001</v>
      </c>
      <c r="C48">
        <v>-427.09117149999997</v>
      </c>
      <c r="D48">
        <v>181.57915499999999</v>
      </c>
      <c r="E48">
        <v>-132.215767</v>
      </c>
      <c r="F48">
        <v>7.0156485000000002</v>
      </c>
      <c r="G48">
        <v>331.49303450000002</v>
      </c>
      <c r="H48">
        <v>-36</v>
      </c>
      <c r="I48">
        <v>-44</v>
      </c>
      <c r="J48">
        <v>1.18</v>
      </c>
      <c r="K48">
        <v>23.451254250000002</v>
      </c>
      <c r="L48">
        <v>1.9119690125397171</v>
      </c>
      <c r="M48">
        <v>-2.061263909265135</v>
      </c>
      <c r="N48">
        <v>-1.500926519552364</v>
      </c>
      <c r="O48">
        <v>-1.4506694794395489</v>
      </c>
    </row>
    <row r="49" spans="1:15" x14ac:dyDescent="0.25">
      <c r="A49">
        <v>168.62615600000001</v>
      </c>
      <c r="B49">
        <v>-423.65297700000002</v>
      </c>
      <c r="C49">
        <v>-386.31296524999999</v>
      </c>
      <c r="D49">
        <v>209.39646925</v>
      </c>
      <c r="E49">
        <v>-88.61017975</v>
      </c>
      <c r="F49">
        <v>6.82079725</v>
      </c>
      <c r="G49">
        <v>332.133217</v>
      </c>
      <c r="H49">
        <v>-36</v>
      </c>
      <c r="I49">
        <v>-40</v>
      </c>
      <c r="J49">
        <v>1.18</v>
      </c>
      <c r="K49">
        <v>23.481386749999999</v>
      </c>
      <c r="L49">
        <v>1.7540657884109061</v>
      </c>
      <c r="M49">
        <v>-2.0009741972111188</v>
      </c>
      <c r="N49">
        <v>-1.329910784886172</v>
      </c>
      <c r="O49">
        <v>-1.301641185553263</v>
      </c>
    </row>
    <row r="50" spans="1:15" x14ac:dyDescent="0.25">
      <c r="A50">
        <v>158.78671249999999</v>
      </c>
      <c r="B50">
        <v>-345.33610525</v>
      </c>
      <c r="C50">
        <v>-331.00735500000002</v>
      </c>
      <c r="D50">
        <v>215.26659000000001</v>
      </c>
      <c r="E50">
        <v>-40.403155499999997</v>
      </c>
      <c r="F50">
        <v>6.3336007499999996</v>
      </c>
      <c r="G50">
        <v>305.16564175000002</v>
      </c>
      <c r="H50">
        <v>-36</v>
      </c>
      <c r="I50">
        <v>-36</v>
      </c>
      <c r="J50">
        <v>1.18</v>
      </c>
      <c r="K50">
        <v>22.505425750000001</v>
      </c>
      <c r="L50">
        <v>1.6448874786271259</v>
      </c>
      <c r="M50">
        <v>-1.8826858264093791</v>
      </c>
      <c r="N50">
        <v>-1.1605397409936391</v>
      </c>
      <c r="O50">
        <v>-1.156958282566068</v>
      </c>
    </row>
    <row r="51" spans="1:15" x14ac:dyDescent="0.25">
      <c r="A51">
        <v>147.1417845</v>
      </c>
      <c r="B51">
        <v>-290.40289300000001</v>
      </c>
      <c r="C51">
        <v>-286.21608724999999</v>
      </c>
      <c r="D51">
        <v>220.4058915</v>
      </c>
      <c r="E51">
        <v>-3.92434175</v>
      </c>
      <c r="F51">
        <v>6.3822995000000002</v>
      </c>
      <c r="G51">
        <v>287.4806825</v>
      </c>
      <c r="H51">
        <v>-36</v>
      </c>
      <c r="I51">
        <v>-32</v>
      </c>
      <c r="J51">
        <v>1.18</v>
      </c>
      <c r="K51">
        <v>21.827446999999999</v>
      </c>
      <c r="L51">
        <v>1.5238322708601999</v>
      </c>
      <c r="M51">
        <v>-1.796186019938393</v>
      </c>
      <c r="N51">
        <v>-1.024689734502318</v>
      </c>
      <c r="O51">
        <v>-1.0362313174374671</v>
      </c>
    </row>
    <row r="52" spans="1:15" x14ac:dyDescent="0.25">
      <c r="A52">
        <v>134.45860325000001</v>
      </c>
      <c r="B52">
        <v>-250.34265149999999</v>
      </c>
      <c r="C52">
        <v>-233.66427999999999</v>
      </c>
      <c r="D52">
        <v>224.49456025000001</v>
      </c>
      <c r="E52">
        <v>23.066315249999999</v>
      </c>
      <c r="F52">
        <v>5.9921274999999996</v>
      </c>
      <c r="G52">
        <v>271.316147</v>
      </c>
      <c r="H52">
        <v>-36</v>
      </c>
      <c r="I52">
        <v>-28</v>
      </c>
      <c r="J52">
        <v>1.18</v>
      </c>
      <c r="K52">
        <v>21.20613475</v>
      </c>
      <c r="L52">
        <v>1.3887830932862699</v>
      </c>
      <c r="M52">
        <v>-1.791362102671366</v>
      </c>
      <c r="N52">
        <v>-0.9365516587820546</v>
      </c>
      <c r="O52">
        <v>-0.93557441800790664</v>
      </c>
    </row>
    <row r="53" spans="1:15" x14ac:dyDescent="0.25">
      <c r="A53">
        <v>129.23139950000001</v>
      </c>
      <c r="B53">
        <v>-236.39615624999999</v>
      </c>
      <c r="C53">
        <v>-201.41120900000001</v>
      </c>
      <c r="D53">
        <v>242.07635099999999</v>
      </c>
      <c r="E53">
        <v>46.400825500000003</v>
      </c>
      <c r="F53">
        <v>6.0408262500000003</v>
      </c>
      <c r="G53">
        <v>276.03746775000002</v>
      </c>
      <c r="H53">
        <v>-36</v>
      </c>
      <c r="I53">
        <v>-24</v>
      </c>
      <c r="J53">
        <v>1.18</v>
      </c>
      <c r="K53">
        <v>21.392054250000001</v>
      </c>
      <c r="L53">
        <v>1.246281418883906</v>
      </c>
      <c r="M53">
        <v>-1.8034908964476639</v>
      </c>
      <c r="N53">
        <v>-0.86556611290844176</v>
      </c>
      <c r="O53">
        <v>-0.84788159005531716</v>
      </c>
    </row>
    <row r="54" spans="1:15" x14ac:dyDescent="0.25">
      <c r="A54">
        <v>127.87724325000001</v>
      </c>
      <c r="B54">
        <v>-237.16386775000001</v>
      </c>
      <c r="C54">
        <v>-176.74830625000001</v>
      </c>
      <c r="D54">
        <v>271.26894375000001</v>
      </c>
      <c r="E54">
        <v>70.704929750000005</v>
      </c>
      <c r="F54">
        <v>6.5280082500000001</v>
      </c>
      <c r="G54">
        <v>296.28314949999998</v>
      </c>
      <c r="H54">
        <v>-36</v>
      </c>
      <c r="I54">
        <v>-20</v>
      </c>
      <c r="J54">
        <v>1.18</v>
      </c>
      <c r="K54">
        <v>22.160993250000001</v>
      </c>
      <c r="L54">
        <v>1.0971123359650581</v>
      </c>
      <c r="M54">
        <v>-1.831153465699092</v>
      </c>
      <c r="N54">
        <v>-0.81245502150151427</v>
      </c>
      <c r="O54">
        <v>-0.76887512698434646</v>
      </c>
    </row>
    <row r="55" spans="1:15" x14ac:dyDescent="0.25">
      <c r="A55">
        <v>119.616907</v>
      </c>
      <c r="B55">
        <v>-236.907421</v>
      </c>
      <c r="C55">
        <v>-144.95386875</v>
      </c>
      <c r="D55">
        <v>297.66717525000001</v>
      </c>
      <c r="E55">
        <v>91.850902750000003</v>
      </c>
      <c r="F55">
        <v>6.8690119999999997</v>
      </c>
      <c r="G55">
        <v>313.16788500000001</v>
      </c>
      <c r="H55">
        <v>-36</v>
      </c>
      <c r="I55">
        <v>-16</v>
      </c>
      <c r="J55">
        <v>1.18</v>
      </c>
      <c r="K55">
        <v>22.78486625</v>
      </c>
      <c r="L55">
        <v>0.93560941787676455</v>
      </c>
      <c r="M55">
        <v>-1.8904233788994611</v>
      </c>
      <c r="N55">
        <v>-0.78265486030951448</v>
      </c>
      <c r="O55">
        <v>-0.69948541423158472</v>
      </c>
    </row>
    <row r="56" spans="1:15" x14ac:dyDescent="0.25">
      <c r="A56">
        <v>105.759405</v>
      </c>
      <c r="B56">
        <v>-239.97728724999999</v>
      </c>
      <c r="C56">
        <v>-106.42583449999999</v>
      </c>
      <c r="D56">
        <v>318.38780224999999</v>
      </c>
      <c r="E56">
        <v>109.1412545</v>
      </c>
      <c r="F56">
        <v>7.0638769999999997</v>
      </c>
      <c r="G56">
        <v>327.33186325000003</v>
      </c>
      <c r="H56">
        <v>-36</v>
      </c>
      <c r="I56">
        <v>-12</v>
      </c>
      <c r="J56">
        <v>1.18</v>
      </c>
      <c r="K56">
        <v>23.298641499999999</v>
      </c>
      <c r="L56">
        <v>0.75152185320955212</v>
      </c>
      <c r="M56">
        <v>-1.977629031599127</v>
      </c>
      <c r="N56">
        <v>-0.77279833623504524</v>
      </c>
      <c r="O56">
        <v>-0.63847401897211586</v>
      </c>
    </row>
    <row r="57" spans="1:15" x14ac:dyDescent="0.25">
      <c r="A57">
        <v>87.388050000000007</v>
      </c>
      <c r="B57">
        <v>-251.95622650000001</v>
      </c>
      <c r="C57">
        <v>-66.769916749999993</v>
      </c>
      <c r="D57">
        <v>336.65522800000002</v>
      </c>
      <c r="E57">
        <v>122.42302524999999</v>
      </c>
      <c r="F57">
        <v>7.4546714999999999</v>
      </c>
      <c r="G57">
        <v>340.09544349999999</v>
      </c>
      <c r="H57">
        <v>-36</v>
      </c>
      <c r="I57">
        <v>-8</v>
      </c>
      <c r="J57">
        <v>1.18</v>
      </c>
      <c r="K57">
        <v>23.744406999999999</v>
      </c>
      <c r="L57">
        <v>0.54707737663774469</v>
      </c>
      <c r="M57">
        <v>-2.0888773817355868</v>
      </c>
      <c r="N57">
        <v>-0.7724951779058471</v>
      </c>
      <c r="O57">
        <v>-0.59201204582524936</v>
      </c>
    </row>
    <row r="58" spans="1:15" x14ac:dyDescent="0.25">
      <c r="A58">
        <v>58.409163749999998</v>
      </c>
      <c r="B58">
        <v>-220.24561700000001</v>
      </c>
      <c r="C58">
        <v>-20.752810749999998</v>
      </c>
      <c r="D58">
        <v>309.71404250000001</v>
      </c>
      <c r="E58">
        <v>119.7782725</v>
      </c>
      <c r="F58">
        <v>6.7720570000000002</v>
      </c>
      <c r="G58">
        <v>311.00727849999998</v>
      </c>
      <c r="H58">
        <v>-36</v>
      </c>
      <c r="I58">
        <v>-4</v>
      </c>
      <c r="J58">
        <v>1.18</v>
      </c>
      <c r="K58">
        <v>22.707961749999999</v>
      </c>
      <c r="L58">
        <v>0.32943826355278488</v>
      </c>
      <c r="M58">
        <v>-2.2056435750400549</v>
      </c>
      <c r="N58">
        <v>-0.79587688728850159</v>
      </c>
      <c r="O58">
        <v>-0.52968526129556737</v>
      </c>
    </row>
    <row r="59" spans="1:15" x14ac:dyDescent="0.25">
      <c r="A59">
        <v>31.098233499999999</v>
      </c>
      <c r="B59">
        <v>-208.12741475000001</v>
      </c>
      <c r="C59">
        <v>13.094447000000001</v>
      </c>
      <c r="D59">
        <v>292.47275550000001</v>
      </c>
      <c r="E59">
        <v>114.467314</v>
      </c>
      <c r="F59">
        <v>6.3823135000000004</v>
      </c>
      <c r="G59">
        <v>291.76187874999999</v>
      </c>
      <c r="H59">
        <v>-36</v>
      </c>
      <c r="I59">
        <v>0</v>
      </c>
      <c r="J59">
        <v>1.18</v>
      </c>
      <c r="K59">
        <v>21.993029750000002</v>
      </c>
      <c r="L59">
        <v>8.4930045788520744E-2</v>
      </c>
      <c r="M59">
        <v>-2.361503585953316</v>
      </c>
      <c r="N59">
        <v>-0.83636062199134154</v>
      </c>
      <c r="O59">
        <v>-0.49012658548391808</v>
      </c>
    </row>
    <row r="60" spans="1:15" x14ac:dyDescent="0.25">
      <c r="A60">
        <v>2.16674225</v>
      </c>
      <c r="B60">
        <v>-200.93241499999999</v>
      </c>
      <c r="C60">
        <v>39.69490725</v>
      </c>
      <c r="D60">
        <v>276.0441745</v>
      </c>
      <c r="E60">
        <v>106.46651300000001</v>
      </c>
      <c r="F60">
        <v>6.2365902499999999</v>
      </c>
      <c r="G60">
        <v>276.63764175</v>
      </c>
      <c r="H60">
        <v>-36</v>
      </c>
      <c r="I60">
        <v>4</v>
      </c>
      <c r="J60">
        <v>1.18</v>
      </c>
      <c r="K60">
        <v>21.408087500000001</v>
      </c>
      <c r="L60">
        <v>-0.18228615252919231</v>
      </c>
      <c r="M60">
        <v>-2.3171227695024439</v>
      </c>
      <c r="N60">
        <v>-0.82667810811506814</v>
      </c>
      <c r="O60">
        <v>-0.51307491978483888</v>
      </c>
    </row>
    <row r="61" spans="1:15" x14ac:dyDescent="0.25">
      <c r="A61">
        <v>-25.902009</v>
      </c>
      <c r="B61">
        <v>-197.82835399999999</v>
      </c>
      <c r="C61">
        <v>64.487269499999996</v>
      </c>
      <c r="D61">
        <v>268.15855399999998</v>
      </c>
      <c r="E61">
        <v>101.37121225</v>
      </c>
      <c r="F61">
        <v>5.9925567500000003</v>
      </c>
      <c r="G61">
        <v>269.59565750000002</v>
      </c>
      <c r="H61">
        <v>-36</v>
      </c>
      <c r="I61">
        <v>8</v>
      </c>
      <c r="J61">
        <v>1.18</v>
      </c>
      <c r="K61">
        <v>21.137261500000001</v>
      </c>
      <c r="L61">
        <v>-0.42388074543182591</v>
      </c>
      <c r="M61">
        <v>-2.1853040581610181</v>
      </c>
      <c r="N61">
        <v>-0.78890912873436925</v>
      </c>
      <c r="O61">
        <v>-0.55270617851416359</v>
      </c>
    </row>
    <row r="62" spans="1:15" x14ac:dyDescent="0.25">
      <c r="A62">
        <v>-61.845441000000001</v>
      </c>
      <c r="B62">
        <v>-216.281746</v>
      </c>
      <c r="C62">
        <v>94.28618075</v>
      </c>
      <c r="D62">
        <v>286.38327774999999</v>
      </c>
      <c r="E62">
        <v>102.79478875</v>
      </c>
      <c r="F62">
        <v>6.1865492499999997</v>
      </c>
      <c r="G62">
        <v>289.68130500000001</v>
      </c>
      <c r="H62">
        <v>-36</v>
      </c>
      <c r="I62">
        <v>12</v>
      </c>
      <c r="J62">
        <v>1.18</v>
      </c>
      <c r="K62">
        <v>21.920283000000001</v>
      </c>
      <c r="L62">
        <v>-0.64551648175008491</v>
      </c>
      <c r="M62">
        <v>-2.078351443046436</v>
      </c>
      <c r="N62">
        <v>-0.77271609785846218</v>
      </c>
      <c r="O62">
        <v>-0.60055001643275618</v>
      </c>
    </row>
    <row r="63" spans="1:15" x14ac:dyDescent="0.25">
      <c r="A63">
        <v>-103.698303</v>
      </c>
      <c r="B63">
        <v>-237.7080765</v>
      </c>
      <c r="C63">
        <v>122.55404274999999</v>
      </c>
      <c r="D63">
        <v>299.08804325</v>
      </c>
      <c r="E63">
        <v>99.940755999999993</v>
      </c>
      <c r="F63">
        <v>6.4797525</v>
      </c>
      <c r="G63">
        <v>307.48628200000002</v>
      </c>
      <c r="H63">
        <v>-36</v>
      </c>
      <c r="I63">
        <v>16</v>
      </c>
      <c r="J63">
        <v>1.18</v>
      </c>
      <c r="K63">
        <v>22.5871675</v>
      </c>
      <c r="L63">
        <v>-0.83597004462026492</v>
      </c>
      <c r="M63">
        <v>-1.9834139469454</v>
      </c>
      <c r="N63">
        <v>-0.76687563392318348</v>
      </c>
      <c r="O63">
        <v>-0.65467865390763769</v>
      </c>
    </row>
    <row r="64" spans="1:15" x14ac:dyDescent="0.25">
      <c r="A64">
        <v>-158.87027</v>
      </c>
      <c r="B64">
        <v>-266.31098175</v>
      </c>
      <c r="C64">
        <v>146.89324550000001</v>
      </c>
      <c r="D64">
        <v>303.687973</v>
      </c>
      <c r="E64">
        <v>87.643726749999999</v>
      </c>
      <c r="F64">
        <v>7.1130879999999994</v>
      </c>
      <c r="G64">
        <v>321.33016950000001</v>
      </c>
      <c r="H64">
        <v>-36</v>
      </c>
      <c r="I64">
        <v>20</v>
      </c>
      <c r="J64">
        <v>1.18</v>
      </c>
      <c r="K64">
        <v>23.077499</v>
      </c>
      <c r="L64">
        <v>-1.018420238292377</v>
      </c>
      <c r="M64">
        <v>-1.8985401034513381</v>
      </c>
      <c r="N64">
        <v>-0.77837512668674347</v>
      </c>
      <c r="O64">
        <v>-0.73178663709343383</v>
      </c>
    </row>
    <row r="65" spans="1:15" x14ac:dyDescent="0.25">
      <c r="A65">
        <v>-214.094246</v>
      </c>
      <c r="B65">
        <v>-291.08225974999999</v>
      </c>
      <c r="C65">
        <v>169.06481925</v>
      </c>
      <c r="D65">
        <v>304.67627725</v>
      </c>
      <c r="E65">
        <v>72.363294749999994</v>
      </c>
      <c r="F65">
        <v>7.1618277499999996</v>
      </c>
      <c r="G65">
        <v>335.05403925000002</v>
      </c>
      <c r="H65">
        <v>-36</v>
      </c>
      <c r="I65">
        <v>24</v>
      </c>
      <c r="J65">
        <v>1.18</v>
      </c>
      <c r="K65">
        <v>23.57432725</v>
      </c>
      <c r="L65">
        <v>-1.1791520216705389</v>
      </c>
      <c r="M65">
        <v>-1.833392038935538</v>
      </c>
      <c r="N65">
        <v>-0.80842840387093673</v>
      </c>
      <c r="O65">
        <v>-0.79936198624312671</v>
      </c>
    </row>
    <row r="66" spans="1:15" x14ac:dyDescent="0.25">
      <c r="A66">
        <v>-253.68793875</v>
      </c>
      <c r="B66">
        <v>-297.24282075000002</v>
      </c>
      <c r="C66">
        <v>173.91934950000001</v>
      </c>
      <c r="D66">
        <v>279.53115074999999</v>
      </c>
      <c r="E66">
        <v>47.959216249999997</v>
      </c>
      <c r="F66">
        <v>6.9669357500000002</v>
      </c>
      <c r="G66">
        <v>322.53050224999998</v>
      </c>
      <c r="H66">
        <v>-36</v>
      </c>
      <c r="I66">
        <v>28</v>
      </c>
      <c r="J66">
        <v>1.18</v>
      </c>
      <c r="K66">
        <v>23.126847000000001</v>
      </c>
      <c r="L66">
        <v>-1.322127458976238</v>
      </c>
      <c r="M66">
        <v>-1.7833354188393189</v>
      </c>
      <c r="N66">
        <v>-0.84896012121338804</v>
      </c>
      <c r="O66">
        <v>-0.87326249800986488</v>
      </c>
    </row>
    <row r="67" spans="1:15" x14ac:dyDescent="0.25">
      <c r="A67">
        <v>-282.96655275000001</v>
      </c>
      <c r="B67">
        <v>-295.85847475000003</v>
      </c>
      <c r="C67">
        <v>167.80050650000001</v>
      </c>
      <c r="D67">
        <v>243.46541575000001</v>
      </c>
      <c r="E67">
        <v>20.1133405</v>
      </c>
      <c r="F67">
        <v>6.3331297500000003</v>
      </c>
      <c r="G67">
        <v>298.92388175000002</v>
      </c>
      <c r="H67">
        <v>-36</v>
      </c>
      <c r="I67">
        <v>32</v>
      </c>
      <c r="J67">
        <v>1.18</v>
      </c>
      <c r="K67">
        <v>22.269160249999999</v>
      </c>
      <c r="L67">
        <v>-1.4563310452478451</v>
      </c>
      <c r="M67">
        <v>-1.742433548594299</v>
      </c>
      <c r="N67">
        <v>-0.90078868092553011</v>
      </c>
      <c r="O67">
        <v>-0.95547384588478079</v>
      </c>
    </row>
    <row r="68" spans="1:15" x14ac:dyDescent="0.25">
      <c r="A68">
        <v>-304.76786800000002</v>
      </c>
      <c r="B68">
        <v>-295.52269725000002</v>
      </c>
      <c r="C68">
        <v>161.04814150000001</v>
      </c>
      <c r="D68">
        <v>210.92971424999999</v>
      </c>
      <c r="E68">
        <v>-7.9829797500000002</v>
      </c>
      <c r="F68">
        <v>6.2365765</v>
      </c>
      <c r="G68">
        <v>282.07915524999999</v>
      </c>
      <c r="H68">
        <v>-36</v>
      </c>
      <c r="I68">
        <v>36</v>
      </c>
      <c r="J68">
        <v>1.18</v>
      </c>
      <c r="K68">
        <v>21.622424250000002</v>
      </c>
      <c r="L68">
        <v>-1.5943763780122631</v>
      </c>
      <c r="M68">
        <v>-1.7334612439837409</v>
      </c>
      <c r="N68">
        <v>-0.99281878880040941</v>
      </c>
      <c r="O68">
        <v>-1.04867074647053</v>
      </c>
    </row>
    <row r="69" spans="1:15" x14ac:dyDescent="0.25">
      <c r="A69">
        <v>-310.48845675000001</v>
      </c>
      <c r="B69">
        <v>-283.45478075</v>
      </c>
      <c r="C69">
        <v>150.47034450000001</v>
      </c>
      <c r="D69">
        <v>179.345009</v>
      </c>
      <c r="E69">
        <v>-35.413046000000001</v>
      </c>
      <c r="F69">
        <v>5.6515120000000003</v>
      </c>
      <c r="G69">
        <v>264.47422024999997</v>
      </c>
      <c r="H69">
        <v>-36</v>
      </c>
      <c r="I69">
        <v>40</v>
      </c>
      <c r="J69">
        <v>1.18</v>
      </c>
      <c r="K69">
        <v>20.944745999999999</v>
      </c>
      <c r="L69">
        <v>-1.7623689458023859</v>
      </c>
      <c r="M69">
        <v>-1.7694013062011531</v>
      </c>
      <c r="N69">
        <v>-1.1465524099677979</v>
      </c>
      <c r="O69">
        <v>-1.1570041283544821</v>
      </c>
    </row>
    <row r="70" spans="1:15" x14ac:dyDescent="0.25">
      <c r="A70">
        <v>-359.99183649999998</v>
      </c>
      <c r="B70">
        <v>-332.48022474999999</v>
      </c>
      <c r="C70">
        <v>159.16517275000001</v>
      </c>
      <c r="D70">
        <v>170.05797200000001</v>
      </c>
      <c r="E70">
        <v>-73.76495525</v>
      </c>
      <c r="F70">
        <v>6.0895530000000004</v>
      </c>
      <c r="G70">
        <v>283.23949449999998</v>
      </c>
      <c r="H70">
        <v>-36</v>
      </c>
      <c r="I70">
        <v>44</v>
      </c>
      <c r="J70">
        <v>1.18</v>
      </c>
      <c r="K70">
        <v>21.673596499999999</v>
      </c>
      <c r="L70">
        <v>-1.9055739028757319</v>
      </c>
      <c r="M70">
        <v>-1.8445059466767191</v>
      </c>
      <c r="N70">
        <v>-1.310509387144827</v>
      </c>
      <c r="O70">
        <v>-1.29311807884431</v>
      </c>
    </row>
    <row r="71" spans="1:15" x14ac:dyDescent="0.25">
      <c r="A71">
        <v>186.647514</v>
      </c>
      <c r="B71">
        <v>-405.75013725000002</v>
      </c>
      <c r="C71">
        <v>-373.90782899999999</v>
      </c>
      <c r="D71">
        <v>157.70444850000001</v>
      </c>
      <c r="E71">
        <v>-94.286123500000002</v>
      </c>
      <c r="F71">
        <v>6.6741467500000002</v>
      </c>
      <c r="G71">
        <v>308.44655575000002</v>
      </c>
      <c r="H71">
        <v>-32</v>
      </c>
      <c r="I71">
        <v>-44</v>
      </c>
      <c r="J71">
        <v>1.18</v>
      </c>
      <c r="K71">
        <v>22.615885500000001</v>
      </c>
      <c r="L71">
        <v>1.8966991540613101</v>
      </c>
      <c r="M71">
        <v>-1.906517972870668</v>
      </c>
      <c r="N71">
        <v>-1.362694161185364</v>
      </c>
      <c r="O71">
        <v>-1.341602225379992</v>
      </c>
    </row>
    <row r="72" spans="1:15" x14ac:dyDescent="0.25">
      <c r="A72">
        <v>200.98841874999999</v>
      </c>
      <c r="B72">
        <v>-385.03393549999998</v>
      </c>
      <c r="C72">
        <v>-351.669937</v>
      </c>
      <c r="D72">
        <v>193.10034175000001</v>
      </c>
      <c r="E72">
        <v>-49.500611249999999</v>
      </c>
      <c r="F72">
        <v>6.9669357500000002</v>
      </c>
      <c r="G72">
        <v>322.57052599999997</v>
      </c>
      <c r="H72">
        <v>-32</v>
      </c>
      <c r="I72">
        <v>-40</v>
      </c>
      <c r="J72">
        <v>1.18</v>
      </c>
      <c r="K72">
        <v>23.128354000000002</v>
      </c>
      <c r="L72">
        <v>1.733283101554862</v>
      </c>
      <c r="M72">
        <v>-1.813179911076618</v>
      </c>
      <c r="N72">
        <v>-1.1669142259361549</v>
      </c>
      <c r="O72">
        <v>-1.1770977530093001</v>
      </c>
    </row>
    <row r="73" spans="1:15" x14ac:dyDescent="0.25">
      <c r="A73">
        <v>212.40765775</v>
      </c>
      <c r="B73">
        <v>-357.71243275</v>
      </c>
      <c r="C73">
        <v>-337.79766050000001</v>
      </c>
      <c r="D73">
        <v>227.95583350000001</v>
      </c>
      <c r="E73">
        <v>-5.5299010000000006</v>
      </c>
      <c r="F73">
        <v>7.1131015</v>
      </c>
      <c r="G73">
        <v>336.97456375000002</v>
      </c>
      <c r="H73">
        <v>-32</v>
      </c>
      <c r="I73">
        <v>-36</v>
      </c>
      <c r="J73">
        <v>1.18</v>
      </c>
      <c r="K73">
        <v>23.64501125</v>
      </c>
      <c r="L73">
        <v>1.6077276060280661</v>
      </c>
      <c r="M73">
        <v>-1.7113499500509031</v>
      </c>
      <c r="N73">
        <v>-1.000815877852308</v>
      </c>
      <c r="O73">
        <v>-1.0369417752324011</v>
      </c>
    </row>
    <row r="74" spans="1:15" x14ac:dyDescent="0.25">
      <c r="A74">
        <v>199.98222724999999</v>
      </c>
      <c r="B74">
        <v>-295.83106974999998</v>
      </c>
      <c r="C74">
        <v>-286.88507099999998</v>
      </c>
      <c r="D74">
        <v>236.84978475</v>
      </c>
      <c r="E74">
        <v>34.816134499999997</v>
      </c>
      <c r="F74">
        <v>7.0151502499999996</v>
      </c>
      <c r="G74">
        <v>318.64942174999999</v>
      </c>
      <c r="H74">
        <v>-32</v>
      </c>
      <c r="I74">
        <v>-32</v>
      </c>
      <c r="J74">
        <v>1.18</v>
      </c>
      <c r="K74">
        <v>22.9824305</v>
      </c>
      <c r="L74">
        <v>1.4926720324930549</v>
      </c>
      <c r="M74">
        <v>-1.6331168529836979</v>
      </c>
      <c r="N74">
        <v>-0.87021550767425881</v>
      </c>
      <c r="O74">
        <v>-0.91476595412879047</v>
      </c>
    </row>
    <row r="75" spans="1:15" x14ac:dyDescent="0.25">
      <c r="A75">
        <v>182.93421524999999</v>
      </c>
      <c r="B75">
        <v>-243.86259075000001</v>
      </c>
      <c r="C75">
        <v>-232.1608085</v>
      </c>
      <c r="D75">
        <v>237.24397275000001</v>
      </c>
      <c r="E75">
        <v>64.273243000000008</v>
      </c>
      <c r="F75">
        <v>6.38229925</v>
      </c>
      <c r="G75">
        <v>297.24342350000001</v>
      </c>
      <c r="H75">
        <v>-32</v>
      </c>
      <c r="I75">
        <v>-28</v>
      </c>
      <c r="J75">
        <v>1.18</v>
      </c>
      <c r="K75">
        <v>22.203246</v>
      </c>
      <c r="L75">
        <v>1.373181658170648</v>
      </c>
      <c r="M75">
        <v>-1.5915780667627519</v>
      </c>
      <c r="N75">
        <v>-0.77070597961959497</v>
      </c>
      <c r="O75">
        <v>-0.80848371433105648</v>
      </c>
    </row>
    <row r="76" spans="1:15" x14ac:dyDescent="0.25">
      <c r="A76">
        <v>164.25883875</v>
      </c>
      <c r="B76">
        <v>-203.82459675000001</v>
      </c>
      <c r="C76">
        <v>-179.64715974999999</v>
      </c>
      <c r="D76">
        <v>241.0687945</v>
      </c>
      <c r="E76">
        <v>88.224740999999995</v>
      </c>
      <c r="F76">
        <v>6.2361337499999996</v>
      </c>
      <c r="G76">
        <v>281.23892975000001</v>
      </c>
      <c r="H76">
        <v>-32</v>
      </c>
      <c r="I76">
        <v>-24</v>
      </c>
      <c r="J76">
        <v>1.18</v>
      </c>
      <c r="K76">
        <v>21.589489499999999</v>
      </c>
      <c r="L76">
        <v>1.2284036926138311</v>
      </c>
      <c r="M76">
        <v>-1.5891295887520489</v>
      </c>
      <c r="N76">
        <v>-0.68943974656429319</v>
      </c>
      <c r="O76">
        <v>-0.70714112975398835</v>
      </c>
    </row>
    <row r="77" spans="1:15" x14ac:dyDescent="0.25">
      <c r="A77">
        <v>144.65915699999999</v>
      </c>
      <c r="B77">
        <v>-172.26044450000001</v>
      </c>
      <c r="C77">
        <v>-129.208809</v>
      </c>
      <c r="D77">
        <v>237.82708375000001</v>
      </c>
      <c r="E77">
        <v>102.7500955</v>
      </c>
      <c r="F77">
        <v>5.6032145</v>
      </c>
      <c r="G77">
        <v>264.47422799999998</v>
      </c>
      <c r="H77">
        <v>-32</v>
      </c>
      <c r="I77">
        <v>-20</v>
      </c>
      <c r="J77">
        <v>1.18</v>
      </c>
      <c r="K77">
        <v>20.946703500000002</v>
      </c>
      <c r="L77">
        <v>1.080403270877353</v>
      </c>
      <c r="M77">
        <v>-1.6178230646848291</v>
      </c>
      <c r="N77">
        <v>-0.63801912453335585</v>
      </c>
      <c r="O77">
        <v>-0.61675854676829944</v>
      </c>
    </row>
    <row r="78" spans="1:15" x14ac:dyDescent="0.25">
      <c r="A78">
        <v>140.94895174999999</v>
      </c>
      <c r="B78">
        <v>-174.50277700000001</v>
      </c>
      <c r="C78">
        <v>-98.079591999999991</v>
      </c>
      <c r="D78">
        <v>268.00032049999999</v>
      </c>
      <c r="E78">
        <v>128.180634</v>
      </c>
      <c r="F78">
        <v>6.2361614999999997</v>
      </c>
      <c r="G78">
        <v>284.79991925000002</v>
      </c>
      <c r="H78">
        <v>-32</v>
      </c>
      <c r="I78">
        <v>-16</v>
      </c>
      <c r="J78">
        <v>1.18</v>
      </c>
      <c r="K78">
        <v>21.728810500000002</v>
      </c>
      <c r="L78">
        <v>0.90381374184360053</v>
      </c>
      <c r="M78">
        <v>-1.673170722461117</v>
      </c>
      <c r="N78">
        <v>-0.59221238808676735</v>
      </c>
      <c r="O78">
        <v>-0.53892295393621714</v>
      </c>
    </row>
    <row r="79" spans="1:15" x14ac:dyDescent="0.25">
      <c r="A79">
        <v>132.34595125000001</v>
      </c>
      <c r="B79">
        <v>-182.70507050000001</v>
      </c>
      <c r="C79">
        <v>-60.1380415</v>
      </c>
      <c r="D79">
        <v>293.61184724999998</v>
      </c>
      <c r="E79">
        <v>150.984005</v>
      </c>
      <c r="F79">
        <v>6.4301122500000014</v>
      </c>
      <c r="G79">
        <v>304.20536800000002</v>
      </c>
      <c r="H79">
        <v>-32</v>
      </c>
      <c r="I79">
        <v>-12</v>
      </c>
      <c r="J79">
        <v>1.18</v>
      </c>
      <c r="K79">
        <v>22.46560075</v>
      </c>
      <c r="L79">
        <v>0.70662106488471221</v>
      </c>
      <c r="M79">
        <v>-1.748556562867106</v>
      </c>
      <c r="N79">
        <v>-0.56247814721517764</v>
      </c>
      <c r="O79">
        <v>-0.46934546406483529</v>
      </c>
    </row>
    <row r="80" spans="1:15" x14ac:dyDescent="0.25">
      <c r="A80">
        <v>119.83471274999999</v>
      </c>
      <c r="B80">
        <v>-190.58486199999999</v>
      </c>
      <c r="C80">
        <v>-20.572351999999999</v>
      </c>
      <c r="D80">
        <v>312.16316999999998</v>
      </c>
      <c r="E80">
        <v>168.27061875000001</v>
      </c>
      <c r="F80">
        <v>6.8695102500000003</v>
      </c>
      <c r="G80">
        <v>318.52939600000002</v>
      </c>
      <c r="H80">
        <v>-32</v>
      </c>
      <c r="I80">
        <v>-8</v>
      </c>
      <c r="J80">
        <v>1.18</v>
      </c>
      <c r="K80">
        <v>22.98339575</v>
      </c>
      <c r="L80">
        <v>0.51270541927779545</v>
      </c>
      <c r="M80">
        <v>-1.8358580548592021</v>
      </c>
      <c r="N80">
        <v>-0.548702937428166</v>
      </c>
      <c r="O80">
        <v>-0.41061760178078172</v>
      </c>
    </row>
    <row r="81" spans="1:15" x14ac:dyDescent="0.25">
      <c r="A81">
        <v>100.117092</v>
      </c>
      <c r="B81">
        <v>-196.71134549999999</v>
      </c>
      <c r="C81">
        <v>17.474167000000001</v>
      </c>
      <c r="D81">
        <v>328.52600074999998</v>
      </c>
      <c r="E81">
        <v>183.82391375</v>
      </c>
      <c r="F81">
        <v>7.1131150000000014</v>
      </c>
      <c r="G81">
        <v>332.29325899999998</v>
      </c>
      <c r="H81">
        <v>-32</v>
      </c>
      <c r="I81">
        <v>-4</v>
      </c>
      <c r="J81">
        <v>1.18</v>
      </c>
      <c r="K81">
        <v>23.476637499999999</v>
      </c>
      <c r="L81">
        <v>0.30222497549563382</v>
      </c>
      <c r="M81">
        <v>-1.920836628048004</v>
      </c>
      <c r="N81">
        <v>-0.54297516732615181</v>
      </c>
      <c r="O81">
        <v>-0.35374927606273232</v>
      </c>
    </row>
    <row r="82" spans="1:15" x14ac:dyDescent="0.25">
      <c r="A82">
        <v>69.237934249999995</v>
      </c>
      <c r="B82">
        <v>-193.06587974999999</v>
      </c>
      <c r="C82">
        <v>54.097170749999997</v>
      </c>
      <c r="D82">
        <v>325.13404075</v>
      </c>
      <c r="E82">
        <v>183.83600625</v>
      </c>
      <c r="F82">
        <v>7.1131150000000014</v>
      </c>
      <c r="G82">
        <v>327.371872</v>
      </c>
      <c r="H82">
        <v>-32</v>
      </c>
      <c r="I82">
        <v>0</v>
      </c>
      <c r="J82">
        <v>1.18</v>
      </c>
      <c r="K82">
        <v>23.298273999999999</v>
      </c>
      <c r="L82">
        <v>5.9761336484473168E-2</v>
      </c>
      <c r="M82">
        <v>-2.0456730882824248</v>
      </c>
      <c r="N82">
        <v>-0.56665739100747947</v>
      </c>
      <c r="O82">
        <v>-0.3023844262934306</v>
      </c>
    </row>
    <row r="83" spans="1:15" x14ac:dyDescent="0.25">
      <c r="A83">
        <v>36.105975999999998</v>
      </c>
      <c r="B83">
        <v>-179.87503425</v>
      </c>
      <c r="C83">
        <v>77.979642750000011</v>
      </c>
      <c r="D83">
        <v>299.15094775</v>
      </c>
      <c r="E83">
        <v>167.9795575</v>
      </c>
      <c r="F83">
        <v>6.4310262500000004</v>
      </c>
      <c r="G83">
        <v>302.72496050000001</v>
      </c>
      <c r="H83">
        <v>-32</v>
      </c>
      <c r="I83">
        <v>4</v>
      </c>
      <c r="J83">
        <v>1.18</v>
      </c>
      <c r="K83">
        <v>22.409647</v>
      </c>
      <c r="L83">
        <v>-0.1745736953972736</v>
      </c>
      <c r="M83">
        <v>-1.997096171232561</v>
      </c>
      <c r="N83">
        <v>-0.56177765148228265</v>
      </c>
      <c r="O83">
        <v>-0.3265066841453208</v>
      </c>
    </row>
    <row r="84" spans="1:15" x14ac:dyDescent="0.25">
      <c r="A84">
        <v>7.1770162499999994</v>
      </c>
      <c r="B84">
        <v>-168.938637</v>
      </c>
      <c r="C84">
        <v>100.47262375</v>
      </c>
      <c r="D84">
        <v>282.17752825000002</v>
      </c>
      <c r="E84">
        <v>157.42025000000001</v>
      </c>
      <c r="F84">
        <v>6.3818564999999996</v>
      </c>
      <c r="G84">
        <v>285.60015125000001</v>
      </c>
      <c r="H84">
        <v>-32</v>
      </c>
      <c r="I84">
        <v>8</v>
      </c>
      <c r="J84">
        <v>1.18</v>
      </c>
      <c r="K84">
        <v>21.754327</v>
      </c>
      <c r="L84">
        <v>-0.39144404893039669</v>
      </c>
      <c r="M84">
        <v>-1.8930918132414909</v>
      </c>
      <c r="N84">
        <v>-0.53793370709688648</v>
      </c>
      <c r="O84">
        <v>-0.36615532314131177</v>
      </c>
    </row>
    <row r="85" spans="1:15" x14ac:dyDescent="0.25">
      <c r="A85">
        <v>-24.0100315</v>
      </c>
      <c r="B85">
        <v>-162.7029685</v>
      </c>
      <c r="C85">
        <v>115.37414724999999</v>
      </c>
      <c r="D85">
        <v>261.80603024999999</v>
      </c>
      <c r="E85">
        <v>140.15846275000001</v>
      </c>
      <c r="F85">
        <v>5.8955187499999999</v>
      </c>
      <c r="G85">
        <v>267.75513475000002</v>
      </c>
      <c r="H85">
        <v>-32</v>
      </c>
      <c r="I85">
        <v>12</v>
      </c>
      <c r="J85">
        <v>1.18</v>
      </c>
      <c r="K85">
        <v>21.067253000000001</v>
      </c>
      <c r="L85">
        <v>-0.5968816832238022</v>
      </c>
      <c r="M85">
        <v>-1.817935286952326</v>
      </c>
      <c r="N85">
        <v>-0.54643759924936963</v>
      </c>
      <c r="O85">
        <v>-0.42502791060174849</v>
      </c>
    </row>
    <row r="86" spans="1:15" x14ac:dyDescent="0.25">
      <c r="A86">
        <v>-61.440046250000002</v>
      </c>
      <c r="B86">
        <v>-181.69776899999999</v>
      </c>
      <c r="C86">
        <v>138.53022350000001</v>
      </c>
      <c r="D86">
        <v>267.40379324999998</v>
      </c>
      <c r="E86">
        <v>133.3650705</v>
      </c>
      <c r="F86">
        <v>6.2361337499999996</v>
      </c>
      <c r="G86">
        <v>278.95828275000002</v>
      </c>
      <c r="H86">
        <v>-32</v>
      </c>
      <c r="I86">
        <v>16</v>
      </c>
      <c r="J86">
        <v>1.18</v>
      </c>
      <c r="K86">
        <v>21.499763000000002</v>
      </c>
      <c r="L86">
        <v>-0.78440266562304761</v>
      </c>
      <c r="M86">
        <v>-1.7616509828467579</v>
      </c>
      <c r="N86">
        <v>-0.57113143719546167</v>
      </c>
      <c r="O86">
        <v>-0.5013368235708936</v>
      </c>
    </row>
    <row r="87" spans="1:15" x14ac:dyDescent="0.25">
      <c r="A87">
        <v>-109.23175449999999</v>
      </c>
      <c r="B87">
        <v>-206.2087405</v>
      </c>
      <c r="C87">
        <v>167.21353174999999</v>
      </c>
      <c r="D87">
        <v>277.20941175000002</v>
      </c>
      <c r="E87">
        <v>131.13880549999999</v>
      </c>
      <c r="F87">
        <v>6.4797247499999999</v>
      </c>
      <c r="G87">
        <v>299.00391400000001</v>
      </c>
      <c r="H87">
        <v>-32</v>
      </c>
      <c r="I87">
        <v>20</v>
      </c>
      <c r="J87">
        <v>1.18</v>
      </c>
      <c r="K87">
        <v>22.26662275</v>
      </c>
      <c r="L87">
        <v>-0.95701727537272852</v>
      </c>
      <c r="M87">
        <v>-1.673529549325748</v>
      </c>
      <c r="N87">
        <v>-0.58111974581625092</v>
      </c>
      <c r="O87">
        <v>-0.56843199970544467</v>
      </c>
    </row>
    <row r="88" spans="1:15" x14ac:dyDescent="0.25">
      <c r="A88">
        <v>-163.385311</v>
      </c>
      <c r="B88">
        <v>-233.2781105</v>
      </c>
      <c r="C88">
        <v>190.58417499999999</v>
      </c>
      <c r="D88">
        <v>280.7756195</v>
      </c>
      <c r="E88">
        <v>116.73912824999999</v>
      </c>
      <c r="F88">
        <v>6.7730257500000004</v>
      </c>
      <c r="G88">
        <v>314.52826700000003</v>
      </c>
      <c r="H88">
        <v>-32</v>
      </c>
      <c r="I88">
        <v>24</v>
      </c>
      <c r="J88">
        <v>1.18</v>
      </c>
      <c r="K88">
        <v>22.838976250000002</v>
      </c>
      <c r="L88">
        <v>-1.1234578003160109</v>
      </c>
      <c r="M88">
        <v>-1.6315652510837939</v>
      </c>
      <c r="N88">
        <v>-0.6277750423665085</v>
      </c>
      <c r="O88">
        <v>-0.65097426564608818</v>
      </c>
    </row>
    <row r="89" spans="1:15" x14ac:dyDescent="0.25">
      <c r="A89">
        <v>-219.54457475000001</v>
      </c>
      <c r="B89">
        <v>-265.20774825000001</v>
      </c>
      <c r="C89">
        <v>211.79658900000001</v>
      </c>
      <c r="D89">
        <v>277.27082074999998</v>
      </c>
      <c r="E89">
        <v>97.974302249999994</v>
      </c>
      <c r="F89">
        <v>7.1131289999999998</v>
      </c>
      <c r="G89">
        <v>329.05235299999998</v>
      </c>
      <c r="H89">
        <v>-32</v>
      </c>
      <c r="I89">
        <v>28</v>
      </c>
      <c r="J89">
        <v>1.18</v>
      </c>
      <c r="K89">
        <v>23.359354</v>
      </c>
      <c r="L89">
        <v>-1.2673624045438909</v>
      </c>
      <c r="M89">
        <v>-1.5938921860362569</v>
      </c>
      <c r="N89">
        <v>-0.67898134982412872</v>
      </c>
      <c r="O89">
        <v>-0.7330438318180369</v>
      </c>
    </row>
    <row r="90" spans="1:15" x14ac:dyDescent="0.25">
      <c r="A90">
        <v>-274.27306375000001</v>
      </c>
      <c r="B90">
        <v>-298.51723475</v>
      </c>
      <c r="C90">
        <v>221.23483250000001</v>
      </c>
      <c r="D90">
        <v>263.38328524999997</v>
      </c>
      <c r="E90">
        <v>69.408824750000008</v>
      </c>
      <c r="F90">
        <v>6.9182230000000002</v>
      </c>
      <c r="G90">
        <v>335.37411500000002</v>
      </c>
      <c r="H90">
        <v>-32</v>
      </c>
      <c r="I90">
        <v>32</v>
      </c>
      <c r="J90">
        <v>1.18</v>
      </c>
      <c r="K90">
        <v>23.594530249999998</v>
      </c>
      <c r="L90">
        <v>-1.392646260637266</v>
      </c>
      <c r="M90">
        <v>-1.579242914320875</v>
      </c>
      <c r="N90">
        <v>-0.74750128015613282</v>
      </c>
      <c r="O90">
        <v>-0.82436035058935586</v>
      </c>
    </row>
    <row r="91" spans="1:15" x14ac:dyDescent="0.25">
      <c r="A91">
        <v>-297.0202865</v>
      </c>
      <c r="B91">
        <v>-307.51437349999998</v>
      </c>
      <c r="C91">
        <v>206.10645299999999</v>
      </c>
      <c r="D91">
        <v>221.15078349999999</v>
      </c>
      <c r="E91">
        <v>30.391488500000001</v>
      </c>
      <c r="F91">
        <v>6.6741467500000002</v>
      </c>
      <c r="G91">
        <v>307.16619850000001</v>
      </c>
      <c r="H91">
        <v>-32</v>
      </c>
      <c r="I91">
        <v>36</v>
      </c>
      <c r="J91">
        <v>1.18</v>
      </c>
      <c r="K91">
        <v>22.56784425</v>
      </c>
      <c r="L91">
        <v>-1.512445492710508</v>
      </c>
      <c r="M91">
        <v>-1.5892071098281191</v>
      </c>
      <c r="N91">
        <v>-0.83201844947349102</v>
      </c>
      <c r="O91">
        <v>-0.92869597013843475</v>
      </c>
    </row>
    <row r="92" spans="1:15" x14ac:dyDescent="0.25">
      <c r="A92">
        <v>-317.60540750000001</v>
      </c>
      <c r="B92">
        <v>-328.21099850000002</v>
      </c>
      <c r="C92">
        <v>192.16484825000001</v>
      </c>
      <c r="D92">
        <v>186.80408075</v>
      </c>
      <c r="E92">
        <v>-9.4987957499999993</v>
      </c>
      <c r="F92">
        <v>6.3832129999999996</v>
      </c>
      <c r="G92">
        <v>289.24117274999998</v>
      </c>
      <c r="H92">
        <v>-32</v>
      </c>
      <c r="I92">
        <v>40</v>
      </c>
      <c r="J92">
        <v>1.18</v>
      </c>
      <c r="K92">
        <v>21.895647499999999</v>
      </c>
      <c r="L92">
        <v>-1.626545197608795</v>
      </c>
      <c r="M92">
        <v>-1.643284440288014</v>
      </c>
      <c r="N92">
        <v>-0.95321945171978373</v>
      </c>
      <c r="O92">
        <v>-1.050683335763529</v>
      </c>
    </row>
    <row r="93" spans="1:15" x14ac:dyDescent="0.25">
      <c r="A93">
        <v>-326.99581899999998</v>
      </c>
      <c r="B93">
        <v>-337.06050099999999</v>
      </c>
      <c r="C93">
        <v>176.57239150000001</v>
      </c>
      <c r="D93">
        <v>153.59642024999999</v>
      </c>
      <c r="E93">
        <v>-45.799011499999999</v>
      </c>
      <c r="F93">
        <v>5.8959479999999997</v>
      </c>
      <c r="G93">
        <v>271.3561555</v>
      </c>
      <c r="H93">
        <v>-32</v>
      </c>
      <c r="I93">
        <v>44</v>
      </c>
      <c r="J93">
        <v>1.18</v>
      </c>
      <c r="K93">
        <v>21.211596249999999</v>
      </c>
      <c r="L93">
        <v>-1.759402162377492</v>
      </c>
      <c r="M93">
        <v>-1.7142887672905149</v>
      </c>
      <c r="N93">
        <v>-1.1081654990900329</v>
      </c>
      <c r="O93">
        <v>-1.1806387932710001</v>
      </c>
    </row>
    <row r="94" spans="1:15" x14ac:dyDescent="0.25">
      <c r="A94">
        <v>188.16990275000001</v>
      </c>
      <c r="B94">
        <v>-329.43514249999998</v>
      </c>
      <c r="C94">
        <v>-304.20915975000003</v>
      </c>
      <c r="D94">
        <v>123.45542725</v>
      </c>
      <c r="E94">
        <v>-63.142492249999997</v>
      </c>
      <c r="F94">
        <v>5.8463767500000001</v>
      </c>
      <c r="G94">
        <v>266.11467775</v>
      </c>
      <c r="H94">
        <v>-28</v>
      </c>
      <c r="I94">
        <v>-44</v>
      </c>
      <c r="J94">
        <v>1.18</v>
      </c>
      <c r="K94">
        <v>21.003122250000001</v>
      </c>
      <c r="L94">
        <v>1.940964826615049</v>
      </c>
      <c r="M94">
        <v>-1.785288369201931</v>
      </c>
      <c r="N94">
        <v>-1.2979359576948479</v>
      </c>
      <c r="O94">
        <v>-1.271958514546635</v>
      </c>
    </row>
    <row r="95" spans="1:15" x14ac:dyDescent="0.25">
      <c r="A95">
        <v>205.44329074999999</v>
      </c>
      <c r="B95">
        <v>-315.42886349999998</v>
      </c>
      <c r="C95">
        <v>-289.93393700000001</v>
      </c>
      <c r="D95">
        <v>159.15007025</v>
      </c>
      <c r="E95">
        <v>-19.89076425</v>
      </c>
      <c r="F95">
        <v>6.2848742499999997</v>
      </c>
      <c r="G95">
        <v>285.12001049999998</v>
      </c>
      <c r="H95">
        <v>-28</v>
      </c>
      <c r="I95">
        <v>-40</v>
      </c>
      <c r="J95">
        <v>1.18</v>
      </c>
      <c r="K95">
        <v>21.739396249999999</v>
      </c>
      <c r="L95">
        <v>1.751752259839511</v>
      </c>
      <c r="M95">
        <v>-1.678202067083119</v>
      </c>
      <c r="N95">
        <v>-1.078584609252345</v>
      </c>
      <c r="O95">
        <v>-1.092563936502271</v>
      </c>
    </row>
    <row r="96" spans="1:15" x14ac:dyDescent="0.25">
      <c r="A96">
        <v>220.50135399999999</v>
      </c>
      <c r="B96">
        <v>-291.10976425000001</v>
      </c>
      <c r="C96">
        <v>-278.58395374999998</v>
      </c>
      <c r="D96">
        <v>192.41170099999999</v>
      </c>
      <c r="E96">
        <v>22.525451499999999</v>
      </c>
      <c r="F96">
        <v>6.576721</v>
      </c>
      <c r="G96">
        <v>301.80469525000001</v>
      </c>
      <c r="H96">
        <v>-28</v>
      </c>
      <c r="I96">
        <v>-36</v>
      </c>
      <c r="J96">
        <v>1.18</v>
      </c>
      <c r="K96">
        <v>22.36930675</v>
      </c>
      <c r="L96">
        <v>1.623691300891821</v>
      </c>
      <c r="M96">
        <v>-1.573077746769308</v>
      </c>
      <c r="N96">
        <v>-0.90860683076019</v>
      </c>
      <c r="O96">
        <v>-0.94808775086413832</v>
      </c>
    </row>
    <row r="97" spans="1:15" x14ac:dyDescent="0.25">
      <c r="A97">
        <v>230.95826675000001</v>
      </c>
      <c r="B97">
        <v>-261.22653200000002</v>
      </c>
      <c r="C97">
        <v>-257.33487674999998</v>
      </c>
      <c r="D97">
        <v>224.23173525000001</v>
      </c>
      <c r="E97">
        <v>66.324979999999996</v>
      </c>
      <c r="F97">
        <v>6.9669357500000002</v>
      </c>
      <c r="G97">
        <v>317.08898175000002</v>
      </c>
      <c r="H97">
        <v>-28</v>
      </c>
      <c r="I97">
        <v>-32</v>
      </c>
      <c r="J97">
        <v>1.18</v>
      </c>
      <c r="K97">
        <v>22.926625749999999</v>
      </c>
      <c r="L97">
        <v>1.499643364228314</v>
      </c>
      <c r="M97">
        <v>-1.4909383942822081</v>
      </c>
      <c r="N97">
        <v>-0.77014849646153938</v>
      </c>
      <c r="O97">
        <v>-0.81769733656553611</v>
      </c>
    </row>
    <row r="98" spans="1:15" x14ac:dyDescent="0.25">
      <c r="A98">
        <v>238.02891124999999</v>
      </c>
      <c r="B98">
        <v>-229.04087824999999</v>
      </c>
      <c r="C98">
        <v>-227.107956</v>
      </c>
      <c r="D98">
        <v>256.60907750000001</v>
      </c>
      <c r="E98">
        <v>109.81165325000001</v>
      </c>
      <c r="F98">
        <v>6.9674339999999999</v>
      </c>
      <c r="G98">
        <v>331.53304300000002</v>
      </c>
      <c r="H98">
        <v>-28</v>
      </c>
      <c r="I98">
        <v>-28</v>
      </c>
      <c r="J98">
        <v>1.18</v>
      </c>
      <c r="K98">
        <v>23.454441750000001</v>
      </c>
      <c r="L98">
        <v>1.3766089434008719</v>
      </c>
      <c r="M98">
        <v>-1.4373181539774851</v>
      </c>
      <c r="N98">
        <v>-0.65620197567670457</v>
      </c>
      <c r="O98">
        <v>-0.69562239946581306</v>
      </c>
    </row>
    <row r="99" spans="1:15" x14ac:dyDescent="0.25">
      <c r="A99">
        <v>231.74045175000001</v>
      </c>
      <c r="B99">
        <v>-194.984543</v>
      </c>
      <c r="C99">
        <v>-180.09831224999999</v>
      </c>
      <c r="D99">
        <v>278.97118375000002</v>
      </c>
      <c r="E99">
        <v>145.34290350000001</v>
      </c>
      <c r="F99">
        <v>7.2110667499999996</v>
      </c>
      <c r="G99">
        <v>334.89398975</v>
      </c>
      <c r="H99">
        <v>-28</v>
      </c>
      <c r="I99">
        <v>-24</v>
      </c>
      <c r="J99">
        <v>1.18</v>
      </c>
      <c r="K99">
        <v>23.566721250000001</v>
      </c>
      <c r="L99">
        <v>1.2371817348387479</v>
      </c>
      <c r="M99">
        <v>-1.4237746351267051</v>
      </c>
      <c r="N99">
        <v>-0.56940615471148792</v>
      </c>
      <c r="O99">
        <v>-0.58503119755340183</v>
      </c>
    </row>
    <row r="100" spans="1:15" x14ac:dyDescent="0.25">
      <c r="A100">
        <v>199.408615</v>
      </c>
      <c r="B100">
        <v>-153.9250605</v>
      </c>
      <c r="C100">
        <v>-117.38872725</v>
      </c>
      <c r="D100">
        <v>270.58528899999999</v>
      </c>
      <c r="E100">
        <v>158.67184800000001</v>
      </c>
      <c r="F100">
        <v>6.8690259999999999</v>
      </c>
      <c r="G100">
        <v>309.00671399999999</v>
      </c>
      <c r="H100">
        <v>-28</v>
      </c>
      <c r="I100">
        <v>-20</v>
      </c>
      <c r="J100">
        <v>1.18</v>
      </c>
      <c r="K100">
        <v>22.62955775</v>
      </c>
      <c r="L100">
        <v>1.0763491296904431</v>
      </c>
      <c r="M100">
        <v>-1.4422822377700419</v>
      </c>
      <c r="N100">
        <v>-0.51076973322287456</v>
      </c>
      <c r="O100">
        <v>-0.48423352205197467</v>
      </c>
    </row>
    <row r="101" spans="1:15" x14ac:dyDescent="0.25">
      <c r="A101">
        <v>172.91414275</v>
      </c>
      <c r="B101">
        <v>-129.07832925</v>
      </c>
      <c r="C101">
        <v>-65.596931249999997</v>
      </c>
      <c r="D101">
        <v>264.144699</v>
      </c>
      <c r="E101">
        <v>168.67285200000001</v>
      </c>
      <c r="F101">
        <v>6.2365907500000004</v>
      </c>
      <c r="G101">
        <v>287.60071575000001</v>
      </c>
      <c r="H101">
        <v>-28</v>
      </c>
      <c r="I101">
        <v>-16</v>
      </c>
      <c r="J101">
        <v>1.18</v>
      </c>
      <c r="K101">
        <v>21.837755999999999</v>
      </c>
      <c r="L101">
        <v>0.89662664176590123</v>
      </c>
      <c r="M101">
        <v>-1.478216875644585</v>
      </c>
      <c r="N101">
        <v>-0.44708603047946133</v>
      </c>
      <c r="O101">
        <v>-0.38935655822372062</v>
      </c>
    </row>
    <row r="102" spans="1:15" x14ac:dyDescent="0.25">
      <c r="A102">
        <v>147.918724</v>
      </c>
      <c r="B102">
        <v>-118.81345949999999</v>
      </c>
      <c r="C102">
        <v>-22.737863000000001</v>
      </c>
      <c r="D102">
        <v>257.24995424999997</v>
      </c>
      <c r="E102">
        <v>172.12548475</v>
      </c>
      <c r="F102">
        <v>5.7976777500000001</v>
      </c>
      <c r="G102">
        <v>272.15637974999999</v>
      </c>
      <c r="H102">
        <v>-28</v>
      </c>
      <c r="I102">
        <v>-12</v>
      </c>
      <c r="J102">
        <v>1.18</v>
      </c>
      <c r="K102">
        <v>21.247466750000001</v>
      </c>
      <c r="L102">
        <v>0.70258655700191719</v>
      </c>
      <c r="M102">
        <v>-1.5482129294755811</v>
      </c>
      <c r="N102">
        <v>-0.41182207343886879</v>
      </c>
      <c r="O102">
        <v>-0.31525015540740231</v>
      </c>
    </row>
    <row r="103" spans="1:15" x14ac:dyDescent="0.25">
      <c r="A103">
        <v>130.90152</v>
      </c>
      <c r="B103">
        <v>-118.42972575</v>
      </c>
      <c r="C103">
        <v>13.32108925</v>
      </c>
      <c r="D103">
        <v>260.95706925000002</v>
      </c>
      <c r="E103">
        <v>181.22229024999999</v>
      </c>
      <c r="F103">
        <v>6.1386950000000002</v>
      </c>
      <c r="G103">
        <v>271.27613074999999</v>
      </c>
      <c r="H103">
        <v>-28</v>
      </c>
      <c r="I103">
        <v>-8</v>
      </c>
      <c r="J103">
        <v>1.18</v>
      </c>
      <c r="K103">
        <v>21.198664000000001</v>
      </c>
      <c r="L103">
        <v>0.50298439113260607</v>
      </c>
      <c r="M103">
        <v>-1.622837845290934</v>
      </c>
      <c r="N103">
        <v>-0.38520675315687508</v>
      </c>
      <c r="O103">
        <v>-0.2510553959904071</v>
      </c>
    </row>
    <row r="104" spans="1:15" x14ac:dyDescent="0.25">
      <c r="A104">
        <v>118.25504875</v>
      </c>
      <c r="B104">
        <v>-129.845787</v>
      </c>
      <c r="C104">
        <v>47.326787250000002</v>
      </c>
      <c r="D104">
        <v>282.57180025000002</v>
      </c>
      <c r="E104">
        <v>201.45909125</v>
      </c>
      <c r="F104">
        <v>6.4310260000000001</v>
      </c>
      <c r="G104">
        <v>290.92164624999998</v>
      </c>
      <c r="H104">
        <v>-28</v>
      </c>
      <c r="I104">
        <v>-4</v>
      </c>
      <c r="J104">
        <v>1.18</v>
      </c>
      <c r="K104">
        <v>21.958751249999999</v>
      </c>
      <c r="L104">
        <v>0.292267310537908</v>
      </c>
      <c r="M104">
        <v>-1.6991747418064129</v>
      </c>
      <c r="N104">
        <v>-0.36862715233775939</v>
      </c>
      <c r="O104">
        <v>-0.1965069574641036</v>
      </c>
    </row>
    <row r="105" spans="1:15" x14ac:dyDescent="0.25">
      <c r="A105">
        <v>99.833198500000009</v>
      </c>
      <c r="B105">
        <v>-135.69772725000001</v>
      </c>
      <c r="C105">
        <v>82.489568750000004</v>
      </c>
      <c r="D105">
        <v>299.43277749999999</v>
      </c>
      <c r="E105">
        <v>217.65680674999999</v>
      </c>
      <c r="F105">
        <v>6.8695102500000003</v>
      </c>
      <c r="G105">
        <v>306.80609874999999</v>
      </c>
      <c r="H105">
        <v>-28</v>
      </c>
      <c r="I105">
        <v>0</v>
      </c>
      <c r="J105">
        <v>1.18</v>
      </c>
      <c r="K105">
        <v>22.546987999999999</v>
      </c>
      <c r="L105">
        <v>7.1002601273100499E-2</v>
      </c>
      <c r="M105">
        <v>-1.7814201521235999</v>
      </c>
      <c r="N105">
        <v>-0.36497556648757867</v>
      </c>
      <c r="O105">
        <v>-0.1370378223699136</v>
      </c>
    </row>
    <row r="106" spans="1:15" x14ac:dyDescent="0.25">
      <c r="A106">
        <v>72.527933000000004</v>
      </c>
      <c r="B106">
        <v>-146.25040025000001</v>
      </c>
      <c r="C106">
        <v>116.186924</v>
      </c>
      <c r="D106">
        <v>314.0909575</v>
      </c>
      <c r="E106">
        <v>225.68610774999999</v>
      </c>
      <c r="F106">
        <v>7.1623260000000002</v>
      </c>
      <c r="G106">
        <v>322.17041</v>
      </c>
      <c r="H106">
        <v>-28</v>
      </c>
      <c r="I106">
        <v>4</v>
      </c>
      <c r="J106">
        <v>1.18</v>
      </c>
      <c r="K106">
        <v>23.106520750000001</v>
      </c>
      <c r="L106">
        <v>-0.16629689919310989</v>
      </c>
      <c r="M106">
        <v>-1.753377387620648</v>
      </c>
      <c r="N106">
        <v>-0.36751303859511608</v>
      </c>
      <c r="O106">
        <v>-0.16768743596324581</v>
      </c>
    </row>
    <row r="107" spans="1:15" x14ac:dyDescent="0.25">
      <c r="A107">
        <v>44.1454095</v>
      </c>
      <c r="B107">
        <v>-155.36406675000001</v>
      </c>
      <c r="C107">
        <v>147.61569975</v>
      </c>
      <c r="D107">
        <v>325.26300049999998</v>
      </c>
      <c r="E107">
        <v>230.33489599999999</v>
      </c>
      <c r="F107">
        <v>7.2587415000000002</v>
      </c>
      <c r="G107">
        <v>334.49387374999998</v>
      </c>
      <c r="H107">
        <v>-28</v>
      </c>
      <c r="I107">
        <v>8</v>
      </c>
      <c r="J107">
        <v>1.18</v>
      </c>
      <c r="K107">
        <v>23.550702000000001</v>
      </c>
      <c r="L107">
        <v>-0.36184415772703638</v>
      </c>
      <c r="M107">
        <v>-1.6808336115349709</v>
      </c>
      <c r="N107">
        <v>-0.36425981475623442</v>
      </c>
      <c r="O107">
        <v>-0.21984998830440561</v>
      </c>
    </row>
    <row r="108" spans="1:15" x14ac:dyDescent="0.25">
      <c r="A108">
        <v>5.68703425</v>
      </c>
      <c r="B108">
        <v>-156.94696425000001</v>
      </c>
      <c r="C108">
        <v>170.47591800000001</v>
      </c>
      <c r="D108">
        <v>313.17084499999999</v>
      </c>
      <c r="E108">
        <v>216.09255250000001</v>
      </c>
      <c r="F108">
        <v>7.1141114999999999</v>
      </c>
      <c r="G108">
        <v>326.41160574999998</v>
      </c>
      <c r="H108">
        <v>-28</v>
      </c>
      <c r="I108">
        <v>12</v>
      </c>
      <c r="J108">
        <v>1.18</v>
      </c>
      <c r="K108">
        <v>23.263282</v>
      </c>
      <c r="L108">
        <v>-0.56486779632715844</v>
      </c>
      <c r="M108">
        <v>-1.611544141603741</v>
      </c>
      <c r="N108">
        <v>-0.37817003439369351</v>
      </c>
      <c r="O108">
        <v>-0.28363333771445071</v>
      </c>
    </row>
    <row r="109" spans="1:15" x14ac:dyDescent="0.25">
      <c r="A109">
        <v>-31.082544250000002</v>
      </c>
      <c r="B109">
        <v>-152.15029899999999</v>
      </c>
      <c r="C109">
        <v>178.52588625000001</v>
      </c>
      <c r="D109">
        <v>283.88627624999998</v>
      </c>
      <c r="E109">
        <v>188.20386525000001</v>
      </c>
      <c r="F109">
        <v>6.5781194999999997</v>
      </c>
      <c r="G109">
        <v>302.484894</v>
      </c>
      <c r="H109">
        <v>-28</v>
      </c>
      <c r="I109">
        <v>16</v>
      </c>
      <c r="J109">
        <v>1.18</v>
      </c>
      <c r="K109">
        <v>22.39497875</v>
      </c>
      <c r="L109">
        <v>-0.74906776050938484</v>
      </c>
      <c r="M109">
        <v>-1.558258463102886</v>
      </c>
      <c r="N109">
        <v>-0.40840701025919768</v>
      </c>
      <c r="O109">
        <v>-0.35089976549004798</v>
      </c>
    </row>
    <row r="110" spans="1:15" x14ac:dyDescent="0.25">
      <c r="A110">
        <v>-67.570301000000001</v>
      </c>
      <c r="B110">
        <v>-147.5934675</v>
      </c>
      <c r="C110">
        <v>183.21080774999999</v>
      </c>
      <c r="D110">
        <v>255.9682085</v>
      </c>
      <c r="E110">
        <v>162.69444675</v>
      </c>
      <c r="F110">
        <v>6.3340294999999998</v>
      </c>
      <c r="G110">
        <v>283.03942899999998</v>
      </c>
      <c r="H110">
        <v>-28</v>
      </c>
      <c r="I110">
        <v>20</v>
      </c>
      <c r="J110">
        <v>1.18</v>
      </c>
      <c r="K110">
        <v>21.656210250000001</v>
      </c>
      <c r="L110">
        <v>-0.9278768070320853</v>
      </c>
      <c r="M110">
        <v>-1.493142220162418</v>
      </c>
      <c r="N110">
        <v>-0.44527544134164693</v>
      </c>
      <c r="O110">
        <v>-0.42147116528183781</v>
      </c>
    </row>
    <row r="111" spans="1:15" x14ac:dyDescent="0.25">
      <c r="A111">
        <v>-104.20034800000001</v>
      </c>
      <c r="B111">
        <v>-154.7404975</v>
      </c>
      <c r="C111">
        <v>186.11311749999999</v>
      </c>
      <c r="D111">
        <v>232.03026199999999</v>
      </c>
      <c r="E111">
        <v>136.72591424999999</v>
      </c>
      <c r="F111">
        <v>5.8955187499999999</v>
      </c>
      <c r="G111">
        <v>268.51535799999999</v>
      </c>
      <c r="H111">
        <v>-28</v>
      </c>
      <c r="I111">
        <v>24</v>
      </c>
      <c r="J111">
        <v>1.18</v>
      </c>
      <c r="K111">
        <v>21.097819250000001</v>
      </c>
      <c r="L111">
        <v>-1.0905892804279891</v>
      </c>
      <c r="M111">
        <v>-1.452955504297891</v>
      </c>
      <c r="N111">
        <v>-0.4950864505670261</v>
      </c>
      <c r="O111">
        <v>-0.50851602603285095</v>
      </c>
    </row>
    <row r="112" spans="1:15" x14ac:dyDescent="0.25">
      <c r="A112">
        <v>-150.04163750000001</v>
      </c>
      <c r="B112">
        <v>-184.2400055</v>
      </c>
      <c r="C112">
        <v>198.06811525000001</v>
      </c>
      <c r="D112">
        <v>222.975258</v>
      </c>
      <c r="E112">
        <v>116.16567449999999</v>
      </c>
      <c r="F112">
        <v>6.186992</v>
      </c>
      <c r="G112">
        <v>274.79711125</v>
      </c>
      <c r="H112">
        <v>-28</v>
      </c>
      <c r="I112">
        <v>28</v>
      </c>
      <c r="J112">
        <v>1.18</v>
      </c>
      <c r="K112">
        <v>21.337068500000001</v>
      </c>
      <c r="L112">
        <v>-1.228731118035258</v>
      </c>
      <c r="M112">
        <v>-1.4373591128558141</v>
      </c>
      <c r="N112">
        <v>-0.55991938977261801</v>
      </c>
      <c r="O112">
        <v>-0.61178143594610013</v>
      </c>
    </row>
    <row r="113" spans="1:15" x14ac:dyDescent="0.25">
      <c r="A113">
        <v>-203.46385175</v>
      </c>
      <c r="B113">
        <v>-225.97101225</v>
      </c>
      <c r="C113">
        <v>219.171795</v>
      </c>
      <c r="D113">
        <v>220.71271150000001</v>
      </c>
      <c r="E113">
        <v>95.522172749999996</v>
      </c>
      <c r="F113">
        <v>6.4305830000000004</v>
      </c>
      <c r="G113">
        <v>293.76244324999999</v>
      </c>
      <c r="H113">
        <v>-28</v>
      </c>
      <c r="I113">
        <v>32</v>
      </c>
      <c r="J113">
        <v>1.18</v>
      </c>
      <c r="K113">
        <v>22.06813275</v>
      </c>
      <c r="L113">
        <v>-1.362285182799813</v>
      </c>
      <c r="M113">
        <v>-1.43982279842036</v>
      </c>
      <c r="N113">
        <v>-0.63901232049533796</v>
      </c>
      <c r="O113">
        <v>-0.71283820764467865</v>
      </c>
    </row>
    <row r="114" spans="1:15" x14ac:dyDescent="0.25">
      <c r="A114">
        <v>-263.23727424999998</v>
      </c>
      <c r="B114">
        <v>-279.35792550000002</v>
      </c>
      <c r="C114">
        <v>234.707573</v>
      </c>
      <c r="D114">
        <v>212.345089</v>
      </c>
      <c r="E114">
        <v>63.0664655</v>
      </c>
      <c r="F114">
        <v>7.0156485000000002</v>
      </c>
      <c r="G114">
        <v>311.04728675000001</v>
      </c>
      <c r="H114">
        <v>-28</v>
      </c>
      <c r="I114">
        <v>36</v>
      </c>
      <c r="J114">
        <v>1.18</v>
      </c>
      <c r="K114">
        <v>22.700379000000002</v>
      </c>
      <c r="L114">
        <v>-1.489220734105249</v>
      </c>
      <c r="M114">
        <v>-1.4705973588270731</v>
      </c>
      <c r="N114">
        <v>-0.74167627530729119</v>
      </c>
      <c r="O114">
        <v>-0.83236251620790114</v>
      </c>
    </row>
    <row r="115" spans="1:15" x14ac:dyDescent="0.25">
      <c r="A115">
        <v>-319.58734125000001</v>
      </c>
      <c r="B115">
        <v>-335.57487500000002</v>
      </c>
      <c r="C115">
        <v>244.53696049999999</v>
      </c>
      <c r="D115">
        <v>197.59383775000001</v>
      </c>
      <c r="E115">
        <v>21.0952625</v>
      </c>
      <c r="F115">
        <v>6.9669357500000002</v>
      </c>
      <c r="G115">
        <v>325.29129024999997</v>
      </c>
      <c r="H115">
        <v>-28</v>
      </c>
      <c r="I115">
        <v>40</v>
      </c>
      <c r="J115">
        <v>1.18</v>
      </c>
      <c r="K115">
        <v>23.227836750000002</v>
      </c>
      <c r="L115">
        <v>-1.617928640763125</v>
      </c>
      <c r="M115">
        <v>-1.529161170810982</v>
      </c>
      <c r="N115">
        <v>-0.87248950943614123</v>
      </c>
      <c r="O115">
        <v>-0.95949608174169154</v>
      </c>
    </row>
    <row r="116" spans="1:15" x14ac:dyDescent="0.25">
      <c r="A116">
        <v>-368.03372949999999</v>
      </c>
      <c r="B116">
        <v>-389.20162975</v>
      </c>
      <c r="C116">
        <v>251.95949924999999</v>
      </c>
      <c r="D116">
        <v>178.217266</v>
      </c>
      <c r="E116">
        <v>-25.866729500000002</v>
      </c>
      <c r="F116">
        <v>7.2110387500000002</v>
      </c>
      <c r="G116">
        <v>338.65503675000002</v>
      </c>
      <c r="H116">
        <v>-28</v>
      </c>
      <c r="I116">
        <v>44</v>
      </c>
      <c r="J116">
        <v>1.18</v>
      </c>
      <c r="K116">
        <v>23.701666500000002</v>
      </c>
      <c r="L116">
        <v>-1.7576202839809101</v>
      </c>
      <c r="M116">
        <v>-1.608569547627021</v>
      </c>
      <c r="N116">
        <v>-1.03339858205452</v>
      </c>
      <c r="O116">
        <v>-1.093787604385547</v>
      </c>
    </row>
    <row r="117" spans="1:15" x14ac:dyDescent="0.25">
      <c r="A117">
        <v>243.6414225</v>
      </c>
      <c r="B117">
        <v>-346.5592575</v>
      </c>
      <c r="C117">
        <v>-335.51882925000001</v>
      </c>
      <c r="D117">
        <v>123.63067624999999</v>
      </c>
      <c r="E117">
        <v>-56.282753</v>
      </c>
      <c r="F117">
        <v>6.6268459999999996</v>
      </c>
      <c r="G117">
        <v>307.72635624999998</v>
      </c>
      <c r="H117">
        <v>-24</v>
      </c>
      <c r="I117">
        <v>-44</v>
      </c>
      <c r="J117">
        <v>1.18</v>
      </c>
      <c r="K117">
        <v>22.590625249999999</v>
      </c>
      <c r="L117">
        <v>2.033898748993956</v>
      </c>
      <c r="M117">
        <v>-1.651210995864524</v>
      </c>
      <c r="N117">
        <v>-1.278333031260954</v>
      </c>
      <c r="O117">
        <v>-1.2209392885888839</v>
      </c>
    </row>
    <row r="118" spans="1:15" x14ac:dyDescent="0.25">
      <c r="A118">
        <v>234.01240125000001</v>
      </c>
      <c r="B118">
        <v>-285.20986175000002</v>
      </c>
      <c r="C118">
        <v>-279.21556075000001</v>
      </c>
      <c r="D118">
        <v>144.86905675</v>
      </c>
      <c r="E118">
        <v>-3.8356705</v>
      </c>
      <c r="F118">
        <v>6.3344867499999999</v>
      </c>
      <c r="G118">
        <v>288.32089975000002</v>
      </c>
      <c r="H118">
        <v>-24</v>
      </c>
      <c r="I118">
        <v>-40</v>
      </c>
      <c r="J118">
        <v>1.18</v>
      </c>
      <c r="K118">
        <v>21.86189375</v>
      </c>
      <c r="L118">
        <v>1.843632955523411</v>
      </c>
      <c r="M118">
        <v>-1.5449454483576159</v>
      </c>
      <c r="N118">
        <v>-1.0494981764047719</v>
      </c>
      <c r="O118">
        <v>-1.0365319988195201</v>
      </c>
    </row>
    <row r="119" spans="1:15" x14ac:dyDescent="0.25">
      <c r="A119">
        <v>223.57185749999999</v>
      </c>
      <c r="B119">
        <v>-226.21084225000001</v>
      </c>
      <c r="C119">
        <v>-231.89012500000001</v>
      </c>
      <c r="D119">
        <v>161.1960105</v>
      </c>
      <c r="E119">
        <v>41.028516750000001</v>
      </c>
      <c r="F119">
        <v>6.1395805000000001</v>
      </c>
      <c r="G119">
        <v>273.31670374999999</v>
      </c>
      <c r="H119">
        <v>-24</v>
      </c>
      <c r="I119">
        <v>-36</v>
      </c>
      <c r="J119">
        <v>1.18</v>
      </c>
      <c r="K119">
        <v>21.28008625</v>
      </c>
      <c r="L119">
        <v>1.6863983351628269</v>
      </c>
      <c r="M119">
        <v>-1.4344273414310309</v>
      </c>
      <c r="N119">
        <v>-0.86008324349392284</v>
      </c>
      <c r="O119">
        <v>-0.87082454602182202</v>
      </c>
    </row>
    <row r="120" spans="1:15" x14ac:dyDescent="0.25">
      <c r="A120">
        <v>219.86941175000001</v>
      </c>
      <c r="B120">
        <v>-184.33593775</v>
      </c>
      <c r="C120">
        <v>-194.30947125</v>
      </c>
      <c r="D120">
        <v>179.31255725</v>
      </c>
      <c r="E120">
        <v>78.4023495</v>
      </c>
      <c r="F120">
        <v>5.7489375000000003</v>
      </c>
      <c r="G120">
        <v>269.99577349999998</v>
      </c>
      <c r="H120">
        <v>-24</v>
      </c>
      <c r="I120">
        <v>-32</v>
      </c>
      <c r="J120">
        <v>1.18</v>
      </c>
      <c r="K120">
        <v>21.163052499999999</v>
      </c>
      <c r="L120">
        <v>1.5470365788644149</v>
      </c>
      <c r="M120">
        <v>-1.3582849347473409</v>
      </c>
      <c r="N120">
        <v>-0.71563124367995012</v>
      </c>
      <c r="O120">
        <v>-0.72862117531469195</v>
      </c>
    </row>
    <row r="121" spans="1:15" x14ac:dyDescent="0.25">
      <c r="A121">
        <v>232.70344925000001</v>
      </c>
      <c r="B121">
        <v>-154.54862600000001</v>
      </c>
      <c r="C121">
        <v>-167.01501475000001</v>
      </c>
      <c r="D121">
        <v>213.74695199999999</v>
      </c>
      <c r="E121">
        <v>122.012947</v>
      </c>
      <c r="F121">
        <v>6.3827562499999999</v>
      </c>
      <c r="G121">
        <v>290.20143875000002</v>
      </c>
      <c r="H121">
        <v>-24</v>
      </c>
      <c r="I121">
        <v>-28</v>
      </c>
      <c r="J121">
        <v>1.18</v>
      </c>
      <c r="K121">
        <v>21.932801000000001</v>
      </c>
      <c r="L121">
        <v>1.4134447357685651</v>
      </c>
      <c r="M121">
        <v>-1.3023326646877951</v>
      </c>
      <c r="N121">
        <v>-0.59473661196006511</v>
      </c>
      <c r="O121">
        <v>-0.59110551921968835</v>
      </c>
    </row>
    <row r="122" spans="1:15" x14ac:dyDescent="0.25">
      <c r="A122">
        <v>240.45254499999999</v>
      </c>
      <c r="B122">
        <v>-126.152365</v>
      </c>
      <c r="C122">
        <v>-131.23897550000001</v>
      </c>
      <c r="D122">
        <v>244.48572525</v>
      </c>
      <c r="E122">
        <v>163.441475</v>
      </c>
      <c r="F122">
        <v>6.7720704999999999</v>
      </c>
      <c r="G122">
        <v>308.52658050000002</v>
      </c>
      <c r="H122">
        <v>-24</v>
      </c>
      <c r="I122">
        <v>-24</v>
      </c>
      <c r="J122">
        <v>1.18</v>
      </c>
      <c r="K122">
        <v>22.615205499999998</v>
      </c>
      <c r="L122">
        <v>1.2722991624142701</v>
      </c>
      <c r="M122">
        <v>-1.2686911353582679</v>
      </c>
      <c r="N122">
        <v>-0.4966351487713529</v>
      </c>
      <c r="O122">
        <v>-0.46369252165630542</v>
      </c>
    </row>
    <row r="123" spans="1:15" x14ac:dyDescent="0.25">
      <c r="A123">
        <v>234.20803075000001</v>
      </c>
      <c r="B123">
        <v>-105.91041749999999</v>
      </c>
      <c r="C123">
        <v>-85.447448750000007</v>
      </c>
      <c r="D123">
        <v>270.74317174999999</v>
      </c>
      <c r="E123">
        <v>198.01746</v>
      </c>
      <c r="F123">
        <v>6.7730257500000004</v>
      </c>
      <c r="G123">
        <v>318.88949600000001</v>
      </c>
      <c r="H123">
        <v>-24</v>
      </c>
      <c r="I123">
        <v>-20</v>
      </c>
      <c r="J123">
        <v>1.18</v>
      </c>
      <c r="K123">
        <v>23.00022525</v>
      </c>
      <c r="L123">
        <v>1.088386640379835</v>
      </c>
      <c r="M123">
        <v>-1.2824568860197869</v>
      </c>
      <c r="N123">
        <v>-0.41155341088420688</v>
      </c>
      <c r="O123">
        <v>-0.34882656238785248</v>
      </c>
    </row>
    <row r="124" spans="1:15" x14ac:dyDescent="0.25">
      <c r="A124">
        <v>230.38668425</v>
      </c>
      <c r="B124">
        <v>-94.4943545</v>
      </c>
      <c r="C124">
        <v>-41.054473000000002</v>
      </c>
      <c r="D124">
        <v>297.44814324999999</v>
      </c>
      <c r="E124">
        <v>232.27192700000001</v>
      </c>
      <c r="F124">
        <v>6.7725137499999999</v>
      </c>
      <c r="G124">
        <v>335.01403075000002</v>
      </c>
      <c r="H124">
        <v>-24</v>
      </c>
      <c r="I124">
        <v>-16</v>
      </c>
      <c r="J124">
        <v>1.18</v>
      </c>
      <c r="K124">
        <v>23.586885250000002</v>
      </c>
      <c r="L124">
        <v>0.90465720405216909</v>
      </c>
      <c r="M124">
        <v>-1.306271628936323</v>
      </c>
      <c r="N124">
        <v>-0.34242090914316231</v>
      </c>
      <c r="O124">
        <v>-0.24844833125103749</v>
      </c>
    </row>
    <row r="125" spans="1:15" x14ac:dyDescent="0.25">
      <c r="A125">
        <v>205.93970125000001</v>
      </c>
      <c r="B125">
        <v>-88.306652</v>
      </c>
      <c r="C125">
        <v>4.5157182499999999</v>
      </c>
      <c r="D125">
        <v>296.34075925000002</v>
      </c>
      <c r="E125">
        <v>240.60024275000001</v>
      </c>
      <c r="F125">
        <v>6.5781194999999997</v>
      </c>
      <c r="G125">
        <v>323.37075025000001</v>
      </c>
      <c r="H125">
        <v>-24</v>
      </c>
      <c r="I125">
        <v>-12</v>
      </c>
      <c r="J125">
        <v>1.18</v>
      </c>
      <c r="K125">
        <v>23.171847249999999</v>
      </c>
      <c r="L125">
        <v>0.7130667119017321</v>
      </c>
      <c r="M125">
        <v>-1.3616059668038389</v>
      </c>
      <c r="N125">
        <v>-0.29302750835704139</v>
      </c>
      <c r="O125">
        <v>-0.17159068170278091</v>
      </c>
    </row>
    <row r="126" spans="1:15" x14ac:dyDescent="0.25">
      <c r="A126">
        <v>171.153717</v>
      </c>
      <c r="B126">
        <v>-83.749826499999998</v>
      </c>
      <c r="C126">
        <v>42.404505999999998</v>
      </c>
      <c r="D126">
        <v>278.97105399999998</v>
      </c>
      <c r="E126">
        <v>232.67436599999999</v>
      </c>
      <c r="F126">
        <v>6.3340294999999998</v>
      </c>
      <c r="G126">
        <v>299.08393124999998</v>
      </c>
      <c r="H126">
        <v>-24</v>
      </c>
      <c r="I126">
        <v>-8</v>
      </c>
      <c r="J126">
        <v>1.18</v>
      </c>
      <c r="K126">
        <v>22.275223749999999</v>
      </c>
      <c r="L126">
        <v>0.50821767278168672</v>
      </c>
      <c r="M126">
        <v>-1.43170477430693</v>
      </c>
      <c r="N126">
        <v>-0.2621377655660081</v>
      </c>
      <c r="O126">
        <v>-0.1065968767246905</v>
      </c>
    </row>
    <row r="127" spans="1:15" x14ac:dyDescent="0.25">
      <c r="A127">
        <v>140.15490725000001</v>
      </c>
      <c r="B127">
        <v>-84.085588749999999</v>
      </c>
      <c r="C127">
        <v>71.301645499999992</v>
      </c>
      <c r="D127">
        <v>266.99249250000003</v>
      </c>
      <c r="E127">
        <v>226.26738750000001</v>
      </c>
      <c r="F127">
        <v>6.1883072500000003</v>
      </c>
      <c r="G127">
        <v>282.23921200000001</v>
      </c>
      <c r="H127">
        <v>-24</v>
      </c>
      <c r="I127">
        <v>-4</v>
      </c>
      <c r="J127">
        <v>1.18</v>
      </c>
      <c r="K127">
        <v>21.630569000000001</v>
      </c>
      <c r="L127">
        <v>0.2959344650299256</v>
      </c>
      <c r="M127">
        <v>-1.508974299323425</v>
      </c>
      <c r="N127">
        <v>-0.24058804718953769</v>
      </c>
      <c r="O127">
        <v>-5.4057935121693983E-2</v>
      </c>
    </row>
    <row r="128" spans="1:15" x14ac:dyDescent="0.25">
      <c r="A128">
        <v>109.2208345</v>
      </c>
      <c r="B128">
        <v>-78.233654000000001</v>
      </c>
      <c r="C128">
        <v>93.621089999999995</v>
      </c>
      <c r="D128">
        <v>252.35926825000001</v>
      </c>
      <c r="E128">
        <v>217.71564849999999</v>
      </c>
      <c r="F128">
        <v>5.7984947499999997</v>
      </c>
      <c r="G128">
        <v>265.034378</v>
      </c>
      <c r="H128">
        <v>-24</v>
      </c>
      <c r="I128">
        <v>0</v>
      </c>
      <c r="J128">
        <v>1.18</v>
      </c>
      <c r="K128">
        <v>20.961447750000001</v>
      </c>
      <c r="L128">
        <v>7.4279792934009076E-2</v>
      </c>
      <c r="M128">
        <v>-1.574077852419709</v>
      </c>
      <c r="N128">
        <v>-0.2252986110997256</v>
      </c>
      <c r="O128">
        <v>9.0305406128045329E-3</v>
      </c>
    </row>
    <row r="129" spans="1:15" x14ac:dyDescent="0.25">
      <c r="A129">
        <v>79.528852499999999</v>
      </c>
      <c r="B129">
        <v>-74.540218500000009</v>
      </c>
      <c r="C129">
        <v>110.05289075</v>
      </c>
      <c r="D129">
        <v>236.77705775000001</v>
      </c>
      <c r="E129">
        <v>203.61813724999999</v>
      </c>
      <c r="F129">
        <v>5.0668760000000006</v>
      </c>
      <c r="G129">
        <v>248.54975525</v>
      </c>
      <c r="H129">
        <v>-24</v>
      </c>
      <c r="I129">
        <v>4</v>
      </c>
      <c r="J129">
        <v>1.18</v>
      </c>
      <c r="K129">
        <v>20.314584499999999</v>
      </c>
      <c r="L129">
        <v>-0.15176197054729801</v>
      </c>
      <c r="M129">
        <v>-1.5479014638856361</v>
      </c>
      <c r="N129">
        <v>-0.22340827087284651</v>
      </c>
      <c r="O129">
        <v>-1.279314319296272E-2</v>
      </c>
    </row>
    <row r="130" spans="1:15" x14ac:dyDescent="0.25">
      <c r="A130">
        <v>57.096351499999997</v>
      </c>
      <c r="B130">
        <v>-82.694559499999997</v>
      </c>
      <c r="C130">
        <v>136.07348625</v>
      </c>
      <c r="D130">
        <v>246.10976400000001</v>
      </c>
      <c r="E130">
        <v>207.97187049999999</v>
      </c>
      <c r="F130">
        <v>5.7010417499999999</v>
      </c>
      <c r="G130">
        <v>259.79290774999998</v>
      </c>
      <c r="H130">
        <v>-24</v>
      </c>
      <c r="I130">
        <v>8</v>
      </c>
      <c r="J130">
        <v>1.18</v>
      </c>
      <c r="K130">
        <v>20.752437499999999</v>
      </c>
      <c r="L130">
        <v>-0.35773864005193579</v>
      </c>
      <c r="M130">
        <v>-1.4893483310658051</v>
      </c>
      <c r="N130">
        <v>-0.23474723422639149</v>
      </c>
      <c r="O130">
        <v>-8.3796944748323263E-2</v>
      </c>
    </row>
    <row r="131" spans="1:15" x14ac:dyDescent="0.25">
      <c r="A131">
        <v>31.231711749999999</v>
      </c>
      <c r="B131">
        <v>-91.424486000000002</v>
      </c>
      <c r="C131">
        <v>164.48046124999999</v>
      </c>
      <c r="D131">
        <v>255.74902349999999</v>
      </c>
      <c r="E131">
        <v>211.94972974999999</v>
      </c>
      <c r="F131">
        <v>5.9442455000000001</v>
      </c>
      <c r="G131">
        <v>274.83712750000001</v>
      </c>
      <c r="H131">
        <v>-24</v>
      </c>
      <c r="I131">
        <v>12</v>
      </c>
      <c r="J131">
        <v>1.18</v>
      </c>
      <c r="K131">
        <v>21.34830075</v>
      </c>
      <c r="L131">
        <v>-0.5505123300952447</v>
      </c>
      <c r="M131">
        <v>-1.43433010250907</v>
      </c>
      <c r="N131">
        <v>-0.25981983499589278</v>
      </c>
      <c r="O131">
        <v>-0.14890253875038151</v>
      </c>
    </row>
    <row r="132" spans="1:15" x14ac:dyDescent="0.25">
      <c r="A132">
        <v>-0.17894725</v>
      </c>
      <c r="B132">
        <v>-96.413021000000001</v>
      </c>
      <c r="C132">
        <v>192.30033125</v>
      </c>
      <c r="D132">
        <v>260.36027524999997</v>
      </c>
      <c r="E132">
        <v>211.10064349999999</v>
      </c>
      <c r="F132">
        <v>6.3832132499999998</v>
      </c>
      <c r="G132">
        <v>287.20060749999999</v>
      </c>
      <c r="H132">
        <v>-24</v>
      </c>
      <c r="I132">
        <v>16</v>
      </c>
      <c r="J132">
        <v>1.18</v>
      </c>
      <c r="K132">
        <v>21.816542999999999</v>
      </c>
      <c r="L132">
        <v>-0.74201274831240016</v>
      </c>
      <c r="M132">
        <v>-1.3753800839623971</v>
      </c>
      <c r="N132">
        <v>-0.2933714865203057</v>
      </c>
      <c r="O132">
        <v>-0.21077649505272611</v>
      </c>
    </row>
    <row r="133" spans="1:15" x14ac:dyDescent="0.25">
      <c r="A133">
        <v>-46.08898825</v>
      </c>
      <c r="B133">
        <v>-110.13148700000001</v>
      </c>
      <c r="C133">
        <v>219.26211950000001</v>
      </c>
      <c r="D133">
        <v>262.67175300000002</v>
      </c>
      <c r="E133">
        <v>204.69573224999999</v>
      </c>
      <c r="F133">
        <v>6.6263752499999997</v>
      </c>
      <c r="G133">
        <v>301.28455374999999</v>
      </c>
      <c r="H133">
        <v>-24</v>
      </c>
      <c r="I133">
        <v>20</v>
      </c>
      <c r="J133">
        <v>1.18</v>
      </c>
      <c r="K133">
        <v>22.347689500000001</v>
      </c>
      <c r="L133">
        <v>-0.9382870697111132</v>
      </c>
      <c r="M133">
        <v>-1.318228692605498</v>
      </c>
      <c r="N133">
        <v>-0.34154800974943589</v>
      </c>
      <c r="O133">
        <v>-0.2996313479684759</v>
      </c>
    </row>
    <row r="134" spans="1:15" x14ac:dyDescent="0.25">
      <c r="A134">
        <v>-96.979780250000005</v>
      </c>
      <c r="B134">
        <v>-132.91565700000001</v>
      </c>
      <c r="C134">
        <v>240.804451</v>
      </c>
      <c r="D134">
        <v>258.81053924999998</v>
      </c>
      <c r="E134">
        <v>191.804295</v>
      </c>
      <c r="F134">
        <v>6.96793175</v>
      </c>
      <c r="G134">
        <v>314.16815974999997</v>
      </c>
      <c r="H134">
        <v>-24</v>
      </c>
      <c r="I134">
        <v>24</v>
      </c>
      <c r="J134">
        <v>1.18</v>
      </c>
      <c r="K134">
        <v>22.81835375</v>
      </c>
      <c r="L134">
        <v>-1.1011567982809409</v>
      </c>
      <c r="M134">
        <v>-1.2769830938244959</v>
      </c>
      <c r="N134">
        <v>-0.39890203193387691</v>
      </c>
      <c r="O134">
        <v>-0.39741863146779388</v>
      </c>
    </row>
    <row r="135" spans="1:15" x14ac:dyDescent="0.25">
      <c r="A135">
        <v>-155.08656300000001</v>
      </c>
      <c r="B135">
        <v>-168.26710875000001</v>
      </c>
      <c r="C135">
        <v>263.20487200000002</v>
      </c>
      <c r="D135">
        <v>253.0880085</v>
      </c>
      <c r="E135">
        <v>172.002476</v>
      </c>
      <c r="F135">
        <v>7.1141114999999999</v>
      </c>
      <c r="G135">
        <v>328.53219625000003</v>
      </c>
      <c r="H135">
        <v>-24</v>
      </c>
      <c r="I135">
        <v>28</v>
      </c>
      <c r="J135">
        <v>1.18</v>
      </c>
      <c r="K135">
        <v>23.340440999999998</v>
      </c>
      <c r="L135">
        <v>-1.2535694297639559</v>
      </c>
      <c r="M135">
        <v>-1.262756521461567</v>
      </c>
      <c r="N135">
        <v>-0.46910371739444168</v>
      </c>
      <c r="O135">
        <v>-0.50584730881564388</v>
      </c>
    </row>
    <row r="136" spans="1:15" x14ac:dyDescent="0.25">
      <c r="A136">
        <v>-208.89664475000001</v>
      </c>
      <c r="B136">
        <v>-210.86151899999999</v>
      </c>
      <c r="C136">
        <v>276.70835875</v>
      </c>
      <c r="D136">
        <v>238.51457600000001</v>
      </c>
      <c r="E136">
        <v>141.60715124999999</v>
      </c>
      <c r="F136">
        <v>7.3090175000000004</v>
      </c>
      <c r="G136">
        <v>337.73477150000002</v>
      </c>
      <c r="H136">
        <v>-24</v>
      </c>
      <c r="I136">
        <v>32</v>
      </c>
      <c r="J136">
        <v>1.18</v>
      </c>
      <c r="K136">
        <v>23.665181499999999</v>
      </c>
      <c r="L136">
        <v>-1.3815960304074759</v>
      </c>
      <c r="M136">
        <v>-1.2785348922861819</v>
      </c>
      <c r="N136">
        <v>-0.55803474935440678</v>
      </c>
      <c r="O136">
        <v>-0.61792766006561717</v>
      </c>
    </row>
    <row r="137" spans="1:15" x14ac:dyDescent="0.25">
      <c r="A137">
        <v>-235.65608574999999</v>
      </c>
      <c r="B137">
        <v>-228.7051165</v>
      </c>
      <c r="C137">
        <v>256.74668150000002</v>
      </c>
      <c r="D137">
        <v>197.40599825000001</v>
      </c>
      <c r="E137">
        <v>92.208425500000004</v>
      </c>
      <c r="F137">
        <v>6.8217522499999994</v>
      </c>
      <c r="G137">
        <v>308.48657200000002</v>
      </c>
      <c r="H137">
        <v>-24</v>
      </c>
      <c r="I137">
        <v>36</v>
      </c>
      <c r="J137">
        <v>1.18</v>
      </c>
      <c r="K137">
        <v>22.611840000000001</v>
      </c>
      <c r="L137">
        <v>-1.51795260282214</v>
      </c>
      <c r="M137">
        <v>-1.313575478033894</v>
      </c>
      <c r="N137">
        <v>-0.66674379078831802</v>
      </c>
      <c r="O137">
        <v>-0.73677393789622836</v>
      </c>
    </row>
    <row r="138" spans="1:15" x14ac:dyDescent="0.25">
      <c r="A138">
        <v>-258.05721675000001</v>
      </c>
      <c r="B138">
        <v>-249.37876125</v>
      </c>
      <c r="C138">
        <v>236.15275575000001</v>
      </c>
      <c r="D138">
        <v>158.85348149999999</v>
      </c>
      <c r="E138">
        <v>42.553656750000002</v>
      </c>
      <c r="F138">
        <v>6.2857597500000004</v>
      </c>
      <c r="G138">
        <v>285.40009325</v>
      </c>
      <c r="H138">
        <v>-24</v>
      </c>
      <c r="I138">
        <v>40</v>
      </c>
      <c r="J138">
        <v>1.18</v>
      </c>
      <c r="K138">
        <v>21.750271250000001</v>
      </c>
      <c r="L138">
        <v>-1.668105376337242</v>
      </c>
      <c r="M138">
        <v>-1.377910980962157</v>
      </c>
      <c r="N138">
        <v>-0.81969510027856585</v>
      </c>
      <c r="O138">
        <v>-0.877587363440549</v>
      </c>
    </row>
    <row r="139" spans="1:15" x14ac:dyDescent="0.25">
      <c r="A139">
        <v>-277.74145499999997</v>
      </c>
      <c r="B139">
        <v>-271.92308800000001</v>
      </c>
      <c r="C139">
        <v>219.623413</v>
      </c>
      <c r="D139">
        <v>126.40670575</v>
      </c>
      <c r="E139">
        <v>-3.4788637499999999</v>
      </c>
      <c r="F139">
        <v>5.7497685000000001</v>
      </c>
      <c r="G139">
        <v>268.51536599999997</v>
      </c>
      <c r="H139">
        <v>-24</v>
      </c>
      <c r="I139">
        <v>44</v>
      </c>
      <c r="J139">
        <v>1.18</v>
      </c>
      <c r="K139">
        <v>21.103657999999999</v>
      </c>
      <c r="L139">
        <v>-1.8329520673184161</v>
      </c>
      <c r="M139">
        <v>-1.4679934322296739</v>
      </c>
      <c r="N139">
        <v>-1.0024343714968911</v>
      </c>
      <c r="O139">
        <v>-1.03404875242915</v>
      </c>
    </row>
    <row r="140" spans="1:15" x14ac:dyDescent="0.25">
      <c r="A140">
        <v>242.25809475</v>
      </c>
      <c r="B140">
        <v>-278.110794</v>
      </c>
      <c r="C140">
        <v>-294.64482099999998</v>
      </c>
      <c r="D140">
        <v>89.984745000000004</v>
      </c>
      <c r="E140">
        <v>-42.905983249999998</v>
      </c>
      <c r="F140">
        <v>6.0421270000000007</v>
      </c>
      <c r="G140">
        <v>280.51873000000001</v>
      </c>
      <c r="H140">
        <v>-20</v>
      </c>
      <c r="I140">
        <v>-44</v>
      </c>
      <c r="J140">
        <v>1.18</v>
      </c>
      <c r="K140">
        <v>21.568812999999999</v>
      </c>
      <c r="L140">
        <v>2.205211475136069</v>
      </c>
      <c r="M140">
        <v>-1.5118574406926071</v>
      </c>
      <c r="N140">
        <v>-1.328400863501888</v>
      </c>
      <c r="O140">
        <v>-1.201047111946616</v>
      </c>
    </row>
    <row r="141" spans="1:15" x14ac:dyDescent="0.25">
      <c r="A141">
        <v>264.88294975000002</v>
      </c>
      <c r="B141">
        <v>-250.24216475</v>
      </c>
      <c r="C141">
        <v>-280.74946599999998</v>
      </c>
      <c r="D141">
        <v>128.62489525000001</v>
      </c>
      <c r="E141">
        <v>9.8338117500000006</v>
      </c>
      <c r="F141">
        <v>6.4806662499999996</v>
      </c>
      <c r="G141">
        <v>300.08420575000002</v>
      </c>
      <c r="H141">
        <v>-20</v>
      </c>
      <c r="I141">
        <v>-40</v>
      </c>
      <c r="J141">
        <v>1.18</v>
      </c>
      <c r="K141">
        <v>22.307669749999999</v>
      </c>
      <c r="L141">
        <v>1.9817367804010291</v>
      </c>
      <c r="M141">
        <v>-1.3760598727317499</v>
      </c>
      <c r="N141">
        <v>-1.0542013813956601</v>
      </c>
      <c r="O141">
        <v>-0.98781777313746577</v>
      </c>
    </row>
    <row r="142" spans="1:15" x14ac:dyDescent="0.25">
      <c r="A142">
        <v>275.71465275000003</v>
      </c>
      <c r="B142">
        <v>-210.28591925000001</v>
      </c>
      <c r="C142">
        <v>-251.469944</v>
      </c>
      <c r="D142">
        <v>162.64187625</v>
      </c>
      <c r="E142">
        <v>62.440804499999999</v>
      </c>
      <c r="F142">
        <v>6.8217522499999994</v>
      </c>
      <c r="G142">
        <v>309.96697975000001</v>
      </c>
      <c r="H142">
        <v>-20</v>
      </c>
      <c r="I142">
        <v>-36</v>
      </c>
      <c r="J142">
        <v>1.18</v>
      </c>
      <c r="K142">
        <v>22.667271499999998</v>
      </c>
      <c r="L142">
        <v>1.797301672701072</v>
      </c>
      <c r="M142">
        <v>-1.27139933291941</v>
      </c>
      <c r="N142">
        <v>-0.84387853691192649</v>
      </c>
      <c r="O142">
        <v>-0.8103725647845802</v>
      </c>
    </row>
    <row r="143" spans="1:15" x14ac:dyDescent="0.25">
      <c r="A143">
        <v>283.18012225000001</v>
      </c>
      <c r="B143">
        <v>-173.39954</v>
      </c>
      <c r="C143">
        <v>-214.88183225</v>
      </c>
      <c r="D143">
        <v>195.3031805</v>
      </c>
      <c r="E143">
        <v>112.9995155</v>
      </c>
      <c r="F143">
        <v>7.3090175000000004</v>
      </c>
      <c r="G143">
        <v>319.849762</v>
      </c>
      <c r="H143">
        <v>-20</v>
      </c>
      <c r="I143">
        <v>-32</v>
      </c>
      <c r="J143">
        <v>1.18</v>
      </c>
      <c r="K143">
        <v>23.015857499999999</v>
      </c>
      <c r="L143">
        <v>1.6216035531001729</v>
      </c>
      <c r="M143">
        <v>-1.200438031788948</v>
      </c>
      <c r="N143">
        <v>-0.67346664814645851</v>
      </c>
      <c r="O143">
        <v>-0.65588221426958004</v>
      </c>
    </row>
    <row r="144" spans="1:15" x14ac:dyDescent="0.25">
      <c r="A144">
        <v>292.33030724999998</v>
      </c>
      <c r="B144">
        <v>-129.89376050000001</v>
      </c>
      <c r="C144">
        <v>-173.46643449999999</v>
      </c>
      <c r="D144">
        <v>230.07334925000001</v>
      </c>
      <c r="E144">
        <v>163.98004549999999</v>
      </c>
      <c r="F144">
        <v>7.4551972500000003</v>
      </c>
      <c r="G144">
        <v>335.45413200000002</v>
      </c>
      <c r="H144">
        <v>-20</v>
      </c>
      <c r="I144">
        <v>-28</v>
      </c>
      <c r="J144">
        <v>1.18</v>
      </c>
      <c r="K144">
        <v>23.578170750000002</v>
      </c>
      <c r="L144">
        <v>1.47561758858422</v>
      </c>
      <c r="M144">
        <v>-1.140370139586951</v>
      </c>
      <c r="N144">
        <v>-0.54323592090590833</v>
      </c>
      <c r="O144">
        <v>-0.50413239609037441</v>
      </c>
    </row>
    <row r="145" spans="1:15" x14ac:dyDescent="0.25">
      <c r="A145">
        <v>274.22521949999998</v>
      </c>
      <c r="B145">
        <v>-77.897888249999994</v>
      </c>
      <c r="C145">
        <v>-115.945049</v>
      </c>
      <c r="D145">
        <v>241.15880974999999</v>
      </c>
      <c r="E145">
        <v>195.78231074999999</v>
      </c>
      <c r="F145">
        <v>6.9192052500000001</v>
      </c>
      <c r="G145">
        <v>323.57080074999999</v>
      </c>
      <c r="H145">
        <v>-20</v>
      </c>
      <c r="I145">
        <v>-24</v>
      </c>
      <c r="J145">
        <v>1.18</v>
      </c>
      <c r="K145">
        <v>23.166682999999999</v>
      </c>
      <c r="L145">
        <v>1.3329920398946069</v>
      </c>
      <c r="M145">
        <v>-1.0900234571449781</v>
      </c>
      <c r="N145">
        <v>-0.4365849667566295</v>
      </c>
      <c r="O145">
        <v>-0.35476679915216802</v>
      </c>
    </row>
    <row r="146" spans="1:15" x14ac:dyDescent="0.25">
      <c r="A146">
        <v>244.934292</v>
      </c>
      <c r="B146">
        <v>-49.069909000000003</v>
      </c>
      <c r="C146">
        <v>-59.957583499999998</v>
      </c>
      <c r="D146">
        <v>240.74899275000001</v>
      </c>
      <c r="E146">
        <v>209.77331150000001</v>
      </c>
      <c r="F146">
        <v>6.6268459999999996</v>
      </c>
      <c r="G146">
        <v>301.44458774999998</v>
      </c>
      <c r="H146">
        <v>-20</v>
      </c>
      <c r="I146">
        <v>-20</v>
      </c>
      <c r="J146">
        <v>1.18</v>
      </c>
      <c r="K146">
        <v>22.3537435</v>
      </c>
      <c r="L146">
        <v>1.153638694299844</v>
      </c>
      <c r="M146">
        <v>-1.0966177226307969</v>
      </c>
      <c r="N146">
        <v>-0.34686486006254008</v>
      </c>
      <c r="O146">
        <v>-0.23134180035130061</v>
      </c>
    </row>
    <row r="147" spans="1:15" x14ac:dyDescent="0.25">
      <c r="A147">
        <v>216.03535825</v>
      </c>
      <c r="B147">
        <v>-30.314940249999999</v>
      </c>
      <c r="C147">
        <v>-11.6847355</v>
      </c>
      <c r="D147">
        <v>235.24348850000001</v>
      </c>
      <c r="E147">
        <v>216.18192275000001</v>
      </c>
      <c r="F147">
        <v>6.0421275000000003</v>
      </c>
      <c r="G147">
        <v>280.35867324999998</v>
      </c>
      <c r="H147">
        <v>-20</v>
      </c>
      <c r="I147">
        <v>-16</v>
      </c>
      <c r="J147">
        <v>1.18</v>
      </c>
      <c r="K147">
        <v>21.562530249999998</v>
      </c>
      <c r="L147">
        <v>0.96012300839062203</v>
      </c>
      <c r="M147">
        <v>-1.1196373255833161</v>
      </c>
      <c r="N147">
        <v>-0.27059158881704248</v>
      </c>
      <c r="O147">
        <v>-0.1139994234862972</v>
      </c>
    </row>
    <row r="148" spans="1:15" x14ac:dyDescent="0.25">
      <c r="A148">
        <v>189.97526149999999</v>
      </c>
      <c r="B148">
        <v>-25.711916250000002</v>
      </c>
      <c r="C148">
        <v>27.729553249999999</v>
      </c>
      <c r="D148">
        <v>231.82606125000001</v>
      </c>
      <c r="E148">
        <v>219.39786525</v>
      </c>
      <c r="F148">
        <v>5.6523149999999998</v>
      </c>
      <c r="G148">
        <v>266.07466899999997</v>
      </c>
      <c r="H148">
        <v>-20</v>
      </c>
      <c r="I148">
        <v>-12</v>
      </c>
      <c r="J148">
        <v>1.18</v>
      </c>
      <c r="K148">
        <v>21.009366</v>
      </c>
      <c r="L148">
        <v>0.7429237008542231</v>
      </c>
      <c r="M148">
        <v>-1.17926325001225</v>
      </c>
      <c r="N148">
        <v>-0.21373786363654809</v>
      </c>
      <c r="O148">
        <v>-2.1267057224228812E-2</v>
      </c>
    </row>
    <row r="149" spans="1:15" x14ac:dyDescent="0.25">
      <c r="A149">
        <v>183.11480324999999</v>
      </c>
      <c r="B149">
        <v>-33.192941750000003</v>
      </c>
      <c r="C149">
        <v>62.414066249999998</v>
      </c>
      <c r="D149">
        <v>251.54263700000001</v>
      </c>
      <c r="E149">
        <v>241.37572474999999</v>
      </c>
      <c r="F149">
        <v>6.3344865000000006</v>
      </c>
      <c r="G149">
        <v>281.63903075000002</v>
      </c>
      <c r="H149">
        <v>-20</v>
      </c>
      <c r="I149">
        <v>-8</v>
      </c>
      <c r="J149">
        <v>1.18</v>
      </c>
      <c r="K149">
        <v>21.601312</v>
      </c>
      <c r="L149">
        <v>0.5322873073660469</v>
      </c>
      <c r="M149">
        <v>-1.2556214178414269</v>
      </c>
      <c r="N149">
        <v>-0.17756973276707519</v>
      </c>
      <c r="O149">
        <v>3.6502183601849897E-2</v>
      </c>
    </row>
    <row r="150" spans="1:15" x14ac:dyDescent="0.25">
      <c r="A150">
        <v>168.61522675000001</v>
      </c>
      <c r="B150">
        <v>-44.369177749999999</v>
      </c>
      <c r="C150">
        <v>97.324388499999998</v>
      </c>
      <c r="D150">
        <v>272.81052375000002</v>
      </c>
      <c r="E150">
        <v>265.57514924999998</v>
      </c>
      <c r="F150">
        <v>6.6268459999999996</v>
      </c>
      <c r="G150">
        <v>299.04391500000003</v>
      </c>
      <c r="H150">
        <v>-20</v>
      </c>
      <c r="I150">
        <v>-4</v>
      </c>
      <c r="J150">
        <v>1.18</v>
      </c>
      <c r="K150">
        <v>22.262562249999998</v>
      </c>
      <c r="L150">
        <v>0.29815609773349522</v>
      </c>
      <c r="M150">
        <v>-1.326561317838719</v>
      </c>
      <c r="N150">
        <v>-0.13998142793788779</v>
      </c>
      <c r="O150">
        <v>8.3037888818875222E-2</v>
      </c>
    </row>
    <row r="151" spans="1:15" x14ac:dyDescent="0.25">
      <c r="A151">
        <v>148.22491074999999</v>
      </c>
      <c r="B151">
        <v>-50.94060975</v>
      </c>
      <c r="C151">
        <v>130.83468224999999</v>
      </c>
      <c r="D151">
        <v>288.67261524999998</v>
      </c>
      <c r="E151">
        <v>283.36651575000002</v>
      </c>
      <c r="F151">
        <v>6.9192055000000003</v>
      </c>
      <c r="G151">
        <v>315.00840775</v>
      </c>
      <c r="H151">
        <v>-20</v>
      </c>
      <c r="I151">
        <v>0</v>
      </c>
      <c r="J151">
        <v>1.18</v>
      </c>
      <c r="K151">
        <v>22.851356500000001</v>
      </c>
      <c r="L151">
        <v>7.1461637294397626E-2</v>
      </c>
      <c r="M151">
        <v>-1.39519716262773</v>
      </c>
      <c r="N151">
        <v>-0.1300096196935796</v>
      </c>
      <c r="O151">
        <v>0.13567927467414989</v>
      </c>
    </row>
    <row r="152" spans="1:15" x14ac:dyDescent="0.25">
      <c r="A152">
        <v>125.55866025</v>
      </c>
      <c r="B152">
        <v>-58.567318</v>
      </c>
      <c r="C152">
        <v>164.34497475000001</v>
      </c>
      <c r="D152">
        <v>302.56291199999998</v>
      </c>
      <c r="E152">
        <v>295.70433824999998</v>
      </c>
      <c r="F152">
        <v>7.1628377499999996</v>
      </c>
      <c r="G152">
        <v>330.49273699999998</v>
      </c>
      <c r="H152">
        <v>-20</v>
      </c>
      <c r="I152">
        <v>4</v>
      </c>
      <c r="J152">
        <v>1.18</v>
      </c>
      <c r="K152">
        <v>23.40974975</v>
      </c>
      <c r="L152">
        <v>-0.1478856800712515</v>
      </c>
      <c r="M152">
        <v>-1.3772837674937579</v>
      </c>
      <c r="N152">
        <v>-0.13268226816236961</v>
      </c>
      <c r="O152">
        <v>0.1004500459989332</v>
      </c>
    </row>
    <row r="153" spans="1:15" x14ac:dyDescent="0.25">
      <c r="A153">
        <v>92.121543750000001</v>
      </c>
      <c r="B153">
        <v>-64.323312000000001</v>
      </c>
      <c r="C153">
        <v>197.17784875000001</v>
      </c>
      <c r="D153">
        <v>307.10026549999998</v>
      </c>
      <c r="E153">
        <v>297.44771574999999</v>
      </c>
      <c r="F153">
        <v>7.4551974999999997</v>
      </c>
      <c r="G153">
        <v>338.09488675</v>
      </c>
      <c r="H153">
        <v>-20</v>
      </c>
      <c r="I153">
        <v>8</v>
      </c>
      <c r="J153">
        <v>1.18</v>
      </c>
      <c r="K153">
        <v>23.672857749999999</v>
      </c>
      <c r="L153">
        <v>-0.3705050444904468</v>
      </c>
      <c r="M153">
        <v>-1.3099005174027849</v>
      </c>
      <c r="N153">
        <v>-0.14335094783483829</v>
      </c>
      <c r="O153">
        <v>2.2725555072301531E-2</v>
      </c>
    </row>
    <row r="154" spans="1:15" x14ac:dyDescent="0.25">
      <c r="A154">
        <v>52.041199499999998</v>
      </c>
      <c r="B154">
        <v>-59.574618999999998</v>
      </c>
      <c r="C154">
        <v>206.02962099999999</v>
      </c>
      <c r="D154">
        <v>277.87580850000001</v>
      </c>
      <c r="E154">
        <v>265.88793924999999</v>
      </c>
      <c r="F154">
        <v>6.5781192500000003</v>
      </c>
      <c r="G154">
        <v>311.12731150000002</v>
      </c>
      <c r="H154">
        <v>-20</v>
      </c>
      <c r="I154">
        <v>12</v>
      </c>
      <c r="J154">
        <v>1.18</v>
      </c>
      <c r="K154">
        <v>22.719664999999999</v>
      </c>
      <c r="L154">
        <v>-0.57103158193184278</v>
      </c>
      <c r="M154">
        <v>-1.251449764291614</v>
      </c>
      <c r="N154">
        <v>-0.16778555317830429</v>
      </c>
      <c r="O154">
        <v>-3.8364687792798523E-2</v>
      </c>
    </row>
    <row r="155" spans="1:15" x14ac:dyDescent="0.25">
      <c r="A155">
        <v>11.59984075</v>
      </c>
      <c r="B155">
        <v>-51.756044250000002</v>
      </c>
      <c r="C155">
        <v>212.08134100000001</v>
      </c>
      <c r="D155">
        <v>249.981369</v>
      </c>
      <c r="E155">
        <v>235.49066925</v>
      </c>
      <c r="F155">
        <v>6.4806664999999999</v>
      </c>
      <c r="G155">
        <v>290.04138925000001</v>
      </c>
      <c r="H155">
        <v>-20</v>
      </c>
      <c r="I155">
        <v>16</v>
      </c>
      <c r="J155">
        <v>1.18</v>
      </c>
      <c r="K155">
        <v>21.922828500000001</v>
      </c>
      <c r="L155">
        <v>-0.7844549298405743</v>
      </c>
      <c r="M155">
        <v>-1.1806374072527199</v>
      </c>
      <c r="N155">
        <v>-0.21344674960069651</v>
      </c>
      <c r="O155">
        <v>-0.1039148441303369</v>
      </c>
    </row>
    <row r="156" spans="1:15" x14ac:dyDescent="0.25">
      <c r="A156">
        <v>-26.125534500000001</v>
      </c>
      <c r="B156">
        <v>-53.914546999999999</v>
      </c>
      <c r="C156">
        <v>216.46207050000001</v>
      </c>
      <c r="D156">
        <v>225.86721424999999</v>
      </c>
      <c r="E156">
        <v>209.80055225000001</v>
      </c>
      <c r="F156">
        <v>5.9934010000000004</v>
      </c>
      <c r="G156">
        <v>273.83685300000002</v>
      </c>
      <c r="H156">
        <v>-20</v>
      </c>
      <c r="I156">
        <v>20</v>
      </c>
      <c r="J156">
        <v>1.18</v>
      </c>
      <c r="K156">
        <v>21.3066095</v>
      </c>
      <c r="L156">
        <v>-0.97103470211221488</v>
      </c>
      <c r="M156">
        <v>-1.119941164527267</v>
      </c>
      <c r="N156">
        <v>-0.25633920660939369</v>
      </c>
      <c r="O156">
        <v>-0.18418543564356971</v>
      </c>
    </row>
    <row r="157" spans="1:15" x14ac:dyDescent="0.25">
      <c r="A157">
        <v>-68.966993250000002</v>
      </c>
      <c r="B157">
        <v>-67.201312999999999</v>
      </c>
      <c r="C157">
        <v>223.68800350000001</v>
      </c>
      <c r="D157">
        <v>208.98513025</v>
      </c>
      <c r="E157">
        <v>187.52518474999999</v>
      </c>
      <c r="F157">
        <v>5.9934010000000004</v>
      </c>
      <c r="G157">
        <v>269.51564050000002</v>
      </c>
      <c r="H157">
        <v>-20</v>
      </c>
      <c r="I157">
        <v>24</v>
      </c>
      <c r="J157">
        <v>1.18</v>
      </c>
      <c r="K157">
        <v>21.133994000000001</v>
      </c>
      <c r="L157">
        <v>-1.1449315529889059</v>
      </c>
      <c r="M157">
        <v>-1.0804947429028871</v>
      </c>
      <c r="N157">
        <v>-0.32078676830480579</v>
      </c>
      <c r="O157">
        <v>-0.28980108154775402</v>
      </c>
    </row>
    <row r="158" spans="1:15" x14ac:dyDescent="0.25">
      <c r="A158">
        <v>-119.47235875</v>
      </c>
      <c r="B158">
        <v>-95.26182</v>
      </c>
      <c r="C158">
        <v>249.83688000000001</v>
      </c>
      <c r="D158">
        <v>208.20967874999999</v>
      </c>
      <c r="E158">
        <v>175.6344795</v>
      </c>
      <c r="F158">
        <v>6.2370334999999999</v>
      </c>
      <c r="G158">
        <v>288.64099874999999</v>
      </c>
      <c r="H158">
        <v>-20</v>
      </c>
      <c r="I158">
        <v>28</v>
      </c>
      <c r="J158">
        <v>1.18</v>
      </c>
      <c r="K158">
        <v>21.878076249999999</v>
      </c>
      <c r="L158">
        <v>-1.3049659181406841</v>
      </c>
      <c r="M158">
        <v>-1.072334496841733</v>
      </c>
      <c r="N158">
        <v>-0.39931378267642198</v>
      </c>
      <c r="O158">
        <v>-0.40142436100359741</v>
      </c>
    </row>
    <row r="159" spans="1:15" x14ac:dyDescent="0.25">
      <c r="A159">
        <v>-170.43510850000001</v>
      </c>
      <c r="B159">
        <v>-136.56112675</v>
      </c>
      <c r="C159">
        <v>269.57273075000001</v>
      </c>
      <c r="D159">
        <v>199.30249025000001</v>
      </c>
      <c r="E159">
        <v>150.76067</v>
      </c>
      <c r="F159">
        <v>6.6755724999999986</v>
      </c>
      <c r="G159">
        <v>305.68578324999999</v>
      </c>
      <c r="H159">
        <v>-20</v>
      </c>
      <c r="I159">
        <v>32</v>
      </c>
      <c r="J159">
        <v>1.18</v>
      </c>
      <c r="K159">
        <v>22.512136250000001</v>
      </c>
      <c r="L159">
        <v>-1.446171233277358</v>
      </c>
      <c r="M159">
        <v>-1.1038718104075289</v>
      </c>
      <c r="N159">
        <v>-0.5091913752736521</v>
      </c>
      <c r="O159">
        <v>-0.52644077812829526</v>
      </c>
    </row>
    <row r="160" spans="1:15" x14ac:dyDescent="0.25">
      <c r="A160">
        <v>-229.60441574999999</v>
      </c>
      <c r="B160">
        <v>-183.95220175</v>
      </c>
      <c r="C160">
        <v>286.91499325000001</v>
      </c>
      <c r="D160">
        <v>185.32632075000001</v>
      </c>
      <c r="E160">
        <v>114.9738655</v>
      </c>
      <c r="F160">
        <v>6.96793175</v>
      </c>
      <c r="G160">
        <v>321.81031024999999</v>
      </c>
      <c r="H160">
        <v>-20</v>
      </c>
      <c r="I160">
        <v>36</v>
      </c>
      <c r="J160">
        <v>1.18</v>
      </c>
      <c r="K160">
        <v>23.100447249999998</v>
      </c>
      <c r="L160">
        <v>-1.6053312454381681</v>
      </c>
      <c r="M160">
        <v>-1.147712183454271</v>
      </c>
      <c r="N160">
        <v>-0.64284723541582078</v>
      </c>
      <c r="O160">
        <v>-0.66432033286121595</v>
      </c>
    </row>
    <row r="161" spans="1:15" x14ac:dyDescent="0.25">
      <c r="A161">
        <v>-288.22953775000002</v>
      </c>
      <c r="B161">
        <v>-243.09512325</v>
      </c>
      <c r="C161">
        <v>298.70230075000001</v>
      </c>
      <c r="D161">
        <v>165.75272000000001</v>
      </c>
      <c r="E161">
        <v>65.967432250000002</v>
      </c>
      <c r="F161">
        <v>7.2115644999999997</v>
      </c>
      <c r="G161">
        <v>334.85396574999999</v>
      </c>
      <c r="H161">
        <v>-20</v>
      </c>
      <c r="I161">
        <v>40</v>
      </c>
      <c r="J161">
        <v>1.18</v>
      </c>
      <c r="K161">
        <v>23.565354750000001</v>
      </c>
      <c r="L161">
        <v>-1.769857988912825</v>
      </c>
      <c r="M161">
        <v>-1.232834909301008</v>
      </c>
      <c r="N161">
        <v>-0.81081188962444939</v>
      </c>
      <c r="O161">
        <v>-0.82282076498814716</v>
      </c>
    </row>
    <row r="162" spans="1:15" x14ac:dyDescent="0.25">
      <c r="A162">
        <v>-329.60859699999997</v>
      </c>
      <c r="B162">
        <v>-283.339157</v>
      </c>
      <c r="C162">
        <v>287.45693225000002</v>
      </c>
      <c r="D162">
        <v>129.78874575</v>
      </c>
      <c r="E162">
        <v>6.1689290000000003</v>
      </c>
      <c r="F162">
        <v>6.9679322499999996</v>
      </c>
      <c r="G162">
        <v>324.89115924999999</v>
      </c>
      <c r="H162">
        <v>-20</v>
      </c>
      <c r="I162">
        <v>44</v>
      </c>
      <c r="J162">
        <v>1.18</v>
      </c>
      <c r="K162">
        <v>23.213164500000001</v>
      </c>
      <c r="L162">
        <v>-1.9737062130135801</v>
      </c>
      <c r="M162">
        <v>-1.321410124701381</v>
      </c>
      <c r="N162">
        <v>-1.0194464494475981</v>
      </c>
      <c r="O162">
        <v>-1.0025540616091011</v>
      </c>
    </row>
    <row r="163" spans="1:15" x14ac:dyDescent="0.25">
      <c r="A163">
        <v>271.36413549999997</v>
      </c>
      <c r="B163">
        <v>-248.89909750000001</v>
      </c>
      <c r="C163">
        <v>-306.10398075000001</v>
      </c>
      <c r="D163">
        <v>62.524204500000003</v>
      </c>
      <c r="E163">
        <v>-40.05153275</v>
      </c>
      <c r="F163">
        <v>6.2370330000000003</v>
      </c>
      <c r="G163">
        <v>293.76244350000002</v>
      </c>
      <c r="H163">
        <v>-16</v>
      </c>
      <c r="I163">
        <v>-44</v>
      </c>
      <c r="J163">
        <v>1.18</v>
      </c>
      <c r="K163">
        <v>22.0755585</v>
      </c>
      <c r="L163">
        <v>2.4319671977055748</v>
      </c>
      <c r="M163">
        <v>-1.311533538160722</v>
      </c>
      <c r="N163">
        <v>-1.405837815208731</v>
      </c>
      <c r="O163">
        <v>-1.1949464090470181</v>
      </c>
    </row>
    <row r="164" spans="1:15" x14ac:dyDescent="0.25">
      <c r="A164">
        <v>258.65472425000002</v>
      </c>
      <c r="B164">
        <v>-189.46837600000001</v>
      </c>
      <c r="C164">
        <v>-253.95125949999999</v>
      </c>
      <c r="D164">
        <v>93.545301499999994</v>
      </c>
      <c r="E164">
        <v>18.72776425</v>
      </c>
      <c r="F164">
        <v>6.1883067500000006</v>
      </c>
      <c r="G164">
        <v>277.63791624999999</v>
      </c>
      <c r="H164">
        <v>-16</v>
      </c>
      <c r="I164">
        <v>-40</v>
      </c>
      <c r="J164">
        <v>1.18</v>
      </c>
      <c r="K164">
        <v>21.449551249999999</v>
      </c>
      <c r="L164">
        <v>2.1319823433822491</v>
      </c>
      <c r="M164">
        <v>-1.177070240652097</v>
      </c>
      <c r="N164">
        <v>-1.0768485964440679</v>
      </c>
      <c r="O164">
        <v>-0.947848741603325</v>
      </c>
    </row>
    <row r="165" spans="1:15" x14ac:dyDescent="0.25">
      <c r="A165">
        <v>248.21273024999999</v>
      </c>
      <c r="B165">
        <v>-139.53506100000001</v>
      </c>
      <c r="C165">
        <v>-207.43788125</v>
      </c>
      <c r="D165">
        <v>117.344446</v>
      </c>
      <c r="E165">
        <v>65.037414499999997</v>
      </c>
      <c r="F165">
        <v>5.6035884999999999</v>
      </c>
      <c r="G165">
        <v>264.23414624999998</v>
      </c>
      <c r="H165">
        <v>-16</v>
      </c>
      <c r="I165">
        <v>-36</v>
      </c>
      <c r="J165">
        <v>1.18</v>
      </c>
      <c r="K165">
        <v>20.936970500000001</v>
      </c>
      <c r="L165">
        <v>1.910300893969388</v>
      </c>
      <c r="M165">
        <v>-1.0769615334176179</v>
      </c>
      <c r="N165">
        <v>-0.83513222194628933</v>
      </c>
      <c r="O165">
        <v>-0.75083264562299612</v>
      </c>
    </row>
    <row r="166" spans="1:15" x14ac:dyDescent="0.25">
      <c r="A166">
        <v>263.23033175</v>
      </c>
      <c r="B166">
        <v>-109.93961925000001</v>
      </c>
      <c r="C166">
        <v>-181.27129350000001</v>
      </c>
      <c r="D166">
        <v>149.67260350000001</v>
      </c>
      <c r="E166">
        <v>112.96953975</v>
      </c>
      <c r="F166">
        <v>5.9934007500000002</v>
      </c>
      <c r="G166">
        <v>281.238922</v>
      </c>
      <c r="H166">
        <v>-16</v>
      </c>
      <c r="I166">
        <v>-32</v>
      </c>
      <c r="J166">
        <v>1.18</v>
      </c>
      <c r="K166">
        <v>21.598992249999998</v>
      </c>
      <c r="L166">
        <v>1.7190336232050849</v>
      </c>
      <c r="M166">
        <v>-1.004005895926664</v>
      </c>
      <c r="N166">
        <v>-0.65074921115100082</v>
      </c>
      <c r="O166">
        <v>-0.58627861520756253</v>
      </c>
    </row>
    <row r="167" spans="1:15" x14ac:dyDescent="0.25">
      <c r="A167">
        <v>276.75279975000001</v>
      </c>
      <c r="B167">
        <v>-67.541784500000006</v>
      </c>
      <c r="C167">
        <v>-147.75099175</v>
      </c>
      <c r="D167">
        <v>184.33038725</v>
      </c>
      <c r="E167">
        <v>163.47559375</v>
      </c>
      <c r="F167">
        <v>6.3832132499999998</v>
      </c>
      <c r="G167">
        <v>299.72410600000001</v>
      </c>
      <c r="H167">
        <v>-16</v>
      </c>
      <c r="I167">
        <v>-28</v>
      </c>
      <c r="J167">
        <v>1.18</v>
      </c>
      <c r="K167">
        <v>22.297694750000002</v>
      </c>
      <c r="L167">
        <v>1.565734813767756</v>
      </c>
      <c r="M167">
        <v>-0.92899590981286195</v>
      </c>
      <c r="N167">
        <v>-0.50254259869179918</v>
      </c>
      <c r="O167">
        <v>-0.4205813147310356</v>
      </c>
    </row>
    <row r="168" spans="1:15" x14ac:dyDescent="0.25">
      <c r="A168">
        <v>286.05004100000002</v>
      </c>
      <c r="B168">
        <v>-24.079272249999999</v>
      </c>
      <c r="C168">
        <v>-109.76432425</v>
      </c>
      <c r="D168">
        <v>215.33785649999999</v>
      </c>
      <c r="E168">
        <v>209.56336999999999</v>
      </c>
      <c r="F168">
        <v>6.7730257500000004</v>
      </c>
      <c r="G168">
        <v>316.72888949999998</v>
      </c>
      <c r="H168">
        <v>-16</v>
      </c>
      <c r="I168">
        <v>-24</v>
      </c>
      <c r="J168">
        <v>1.18</v>
      </c>
      <c r="K168">
        <v>22.92047925</v>
      </c>
      <c r="L168">
        <v>1.4315984943176241</v>
      </c>
      <c r="M168">
        <v>-0.86592800764083511</v>
      </c>
      <c r="N168">
        <v>-0.38760192847921471</v>
      </c>
      <c r="O168">
        <v>-0.26654364183852092</v>
      </c>
    </row>
    <row r="169" spans="1:15" x14ac:dyDescent="0.25">
      <c r="A169">
        <v>287.9907225</v>
      </c>
      <c r="B169">
        <v>1.2506392500000001</v>
      </c>
      <c r="C169">
        <v>-61.626829999999998</v>
      </c>
      <c r="D169">
        <v>243.39323024999999</v>
      </c>
      <c r="E169">
        <v>250.21386699999999</v>
      </c>
      <c r="F169">
        <v>7.2602907500000002</v>
      </c>
      <c r="G169">
        <v>330.01261175000002</v>
      </c>
      <c r="H169">
        <v>-16</v>
      </c>
      <c r="I169">
        <v>-20</v>
      </c>
      <c r="J169">
        <v>1.18</v>
      </c>
      <c r="K169">
        <v>23.38883225</v>
      </c>
      <c r="L169">
        <v>1.2468366985568631</v>
      </c>
      <c r="M169">
        <v>-0.8635588511575687</v>
      </c>
      <c r="N169">
        <v>-0.28458568362129349</v>
      </c>
      <c r="O169">
        <v>-0.13354587174598839</v>
      </c>
    </row>
    <row r="170" spans="1:15" x14ac:dyDescent="0.25">
      <c r="A170">
        <v>275.1731565</v>
      </c>
      <c r="B170">
        <v>16.786002499999999</v>
      </c>
      <c r="C170">
        <v>-9.789913499999999</v>
      </c>
      <c r="D170">
        <v>260.70024875000001</v>
      </c>
      <c r="E170">
        <v>277.34979249999998</v>
      </c>
      <c r="F170">
        <v>7.4551974999999997</v>
      </c>
      <c r="G170">
        <v>334.89398199999999</v>
      </c>
      <c r="H170">
        <v>-16</v>
      </c>
      <c r="I170">
        <v>-16</v>
      </c>
      <c r="J170">
        <v>1.18</v>
      </c>
      <c r="K170">
        <v>23.557976</v>
      </c>
      <c r="L170">
        <v>1.040559333169859</v>
      </c>
      <c r="M170">
        <v>-0.89067658708622122</v>
      </c>
      <c r="N170">
        <v>-0.21013026954659841</v>
      </c>
      <c r="O170">
        <v>-1.443769198121353E-2</v>
      </c>
    </row>
    <row r="171" spans="1:15" x14ac:dyDescent="0.25">
      <c r="A171">
        <v>237.30681974999999</v>
      </c>
      <c r="B171">
        <v>17.939077749999999</v>
      </c>
      <c r="C171">
        <v>38.749111249999999</v>
      </c>
      <c r="D171">
        <v>250.94535825</v>
      </c>
      <c r="E171">
        <v>271.13581049999999</v>
      </c>
      <c r="F171">
        <v>6.7730257500000004</v>
      </c>
      <c r="G171">
        <v>308.566597</v>
      </c>
      <c r="H171">
        <v>-16</v>
      </c>
      <c r="I171">
        <v>-12</v>
      </c>
      <c r="J171">
        <v>1.18</v>
      </c>
      <c r="K171">
        <v>22.61665575</v>
      </c>
      <c r="L171">
        <v>0.8178368983358304</v>
      </c>
      <c r="M171">
        <v>-0.95969155881534585</v>
      </c>
      <c r="N171">
        <v>-0.15418221929813919</v>
      </c>
      <c r="O171">
        <v>8.8837912430543814E-2</v>
      </c>
    </row>
    <row r="172" spans="1:15" x14ac:dyDescent="0.25">
      <c r="A172">
        <v>200.07268550000001</v>
      </c>
      <c r="B172">
        <v>9.7636602500000009</v>
      </c>
      <c r="C172">
        <v>75.059457750000007</v>
      </c>
      <c r="D172">
        <v>242.64837249999999</v>
      </c>
      <c r="E172">
        <v>263.51895875000002</v>
      </c>
      <c r="F172">
        <v>5.9934007500000002</v>
      </c>
      <c r="G172">
        <v>288.04084024999997</v>
      </c>
      <c r="H172">
        <v>-16</v>
      </c>
      <c r="I172">
        <v>-8</v>
      </c>
      <c r="J172">
        <v>1.18</v>
      </c>
      <c r="K172">
        <v>21.864255249999999</v>
      </c>
      <c r="L172">
        <v>0.56539362117725633</v>
      </c>
      <c r="M172">
        <v>-1.0532897084452799</v>
      </c>
      <c r="N172">
        <v>-0.1109195621186138</v>
      </c>
      <c r="O172">
        <v>0.16470088220591639</v>
      </c>
    </row>
    <row r="173" spans="1:15" x14ac:dyDescent="0.25">
      <c r="A173">
        <v>166.223175</v>
      </c>
      <c r="B173">
        <v>1.0582367500000001</v>
      </c>
      <c r="C173">
        <v>100.66638175</v>
      </c>
      <c r="D173">
        <v>234.33837124999999</v>
      </c>
      <c r="E173">
        <v>256.23237999999998</v>
      </c>
      <c r="F173">
        <v>6.0421279999999999</v>
      </c>
      <c r="G173">
        <v>273.31670374999999</v>
      </c>
      <c r="H173">
        <v>-16</v>
      </c>
      <c r="I173">
        <v>-4</v>
      </c>
      <c r="J173">
        <v>1.18</v>
      </c>
      <c r="K173">
        <v>21.283966499999998</v>
      </c>
      <c r="L173">
        <v>0.31922113395599261</v>
      </c>
      <c r="M173">
        <v>-1.1358974256801779</v>
      </c>
      <c r="N173">
        <v>-8.3189747185135623E-2</v>
      </c>
      <c r="O173">
        <v>0.2182438471476463</v>
      </c>
    </row>
    <row r="174" spans="1:15" x14ac:dyDescent="0.25">
      <c r="A174">
        <v>137.29320150000001</v>
      </c>
      <c r="B174">
        <v>-5.0365009999999986</v>
      </c>
      <c r="C174">
        <v>123.247446</v>
      </c>
      <c r="D174">
        <v>231.21258925000001</v>
      </c>
      <c r="E174">
        <v>255.14303975000001</v>
      </c>
      <c r="F174">
        <v>5.8959477499999986</v>
      </c>
      <c r="G174">
        <v>267.83516724999998</v>
      </c>
      <c r="H174">
        <v>-16</v>
      </c>
      <c r="I174">
        <v>0</v>
      </c>
      <c r="J174">
        <v>1.18</v>
      </c>
      <c r="K174">
        <v>21.070441750000001</v>
      </c>
      <c r="L174">
        <v>7.1671314494956354E-2</v>
      </c>
      <c r="M174">
        <v>-1.2051273809438849</v>
      </c>
      <c r="N174">
        <v>-6.4768835624341103E-2</v>
      </c>
      <c r="O174">
        <v>0.27142977552351522</v>
      </c>
    </row>
    <row r="175" spans="1:15" x14ac:dyDescent="0.25">
      <c r="A175">
        <v>120.27819599999999</v>
      </c>
      <c r="B175">
        <v>-9.9291024999999991</v>
      </c>
      <c r="C175">
        <v>157.07387524999999</v>
      </c>
      <c r="D175">
        <v>249.10499924999999</v>
      </c>
      <c r="E175">
        <v>273.71096025000003</v>
      </c>
      <c r="F175">
        <v>6.2370330000000003</v>
      </c>
      <c r="G175">
        <v>287.88078300000001</v>
      </c>
      <c r="H175">
        <v>-16</v>
      </c>
      <c r="I175">
        <v>4</v>
      </c>
      <c r="J175">
        <v>1.18</v>
      </c>
      <c r="K175">
        <v>21.8485935</v>
      </c>
      <c r="L175">
        <v>-0.16837404051825111</v>
      </c>
      <c r="M175">
        <v>-1.1853177812327109</v>
      </c>
      <c r="N175">
        <v>-6.4839592162789311E-2</v>
      </c>
      <c r="O175">
        <v>0.22393155763794961</v>
      </c>
    </row>
    <row r="176" spans="1:15" x14ac:dyDescent="0.25">
      <c r="A176">
        <v>94.610206750000003</v>
      </c>
      <c r="B176">
        <v>-11.56077125</v>
      </c>
      <c r="C176">
        <v>193.79068000000001</v>
      </c>
      <c r="D176">
        <v>262.95148449999999</v>
      </c>
      <c r="E176">
        <v>287.22960675000002</v>
      </c>
      <c r="F176">
        <v>6.6755724999999986</v>
      </c>
      <c r="G176">
        <v>306.40599049999997</v>
      </c>
      <c r="H176">
        <v>-16</v>
      </c>
      <c r="I176">
        <v>8</v>
      </c>
      <c r="J176">
        <v>1.18</v>
      </c>
      <c r="K176">
        <v>22.539231749999999</v>
      </c>
      <c r="L176">
        <v>-0.40363006101794691</v>
      </c>
      <c r="M176">
        <v>-1.1172594060650289</v>
      </c>
      <c r="N176">
        <v>-7.8049146760900773E-2</v>
      </c>
      <c r="O176">
        <v>0.1418431664284551</v>
      </c>
    </row>
    <row r="177" spans="1:15" x14ac:dyDescent="0.25">
      <c r="A177">
        <v>60.970111750000001</v>
      </c>
      <c r="B177">
        <v>-10.07300175</v>
      </c>
      <c r="C177">
        <v>227.61711149999999</v>
      </c>
      <c r="D177">
        <v>268.99835200000001</v>
      </c>
      <c r="E177">
        <v>291.02952599999998</v>
      </c>
      <c r="F177">
        <v>6.8704787500000002</v>
      </c>
      <c r="G177">
        <v>321.010086</v>
      </c>
      <c r="H177">
        <v>-16</v>
      </c>
      <c r="I177">
        <v>12</v>
      </c>
      <c r="J177">
        <v>1.18</v>
      </c>
      <c r="K177">
        <v>23.074648</v>
      </c>
      <c r="L177">
        <v>-0.62747534760433243</v>
      </c>
      <c r="M177">
        <v>-1.050807733837003</v>
      </c>
      <c r="N177">
        <v>-0.1128908646137949</v>
      </c>
      <c r="O177">
        <v>6.9952243597051267E-2</v>
      </c>
    </row>
    <row r="178" spans="1:15" x14ac:dyDescent="0.25">
      <c r="A178">
        <v>16.743118750000001</v>
      </c>
      <c r="B178">
        <v>-6.8592347499999997</v>
      </c>
      <c r="C178">
        <v>261.62420674999998</v>
      </c>
      <c r="D178">
        <v>269.78707874999998</v>
      </c>
      <c r="E178">
        <v>291.74480449999999</v>
      </c>
      <c r="F178">
        <v>7.2602907500000002</v>
      </c>
      <c r="G178">
        <v>334.85398125</v>
      </c>
      <c r="H178">
        <v>-16</v>
      </c>
      <c r="I178">
        <v>16</v>
      </c>
      <c r="J178">
        <v>1.18</v>
      </c>
      <c r="K178">
        <v>23.563596</v>
      </c>
      <c r="L178">
        <v>-0.85383093424280321</v>
      </c>
      <c r="M178">
        <v>-0.96458990086373864</v>
      </c>
      <c r="N178">
        <v>-0.15031165442693181</v>
      </c>
      <c r="O178">
        <v>-8.0778628351666285E-3</v>
      </c>
    </row>
    <row r="179" spans="1:15" x14ac:dyDescent="0.25">
      <c r="A179">
        <v>-30.992197000000001</v>
      </c>
      <c r="B179">
        <v>-12.903036500000001</v>
      </c>
      <c r="C179">
        <v>272.28246324999998</v>
      </c>
      <c r="D179">
        <v>247.87810500000001</v>
      </c>
      <c r="E179">
        <v>266.51393100000001</v>
      </c>
      <c r="F179">
        <v>7.1141114999999999</v>
      </c>
      <c r="G179">
        <v>325.17124925000002</v>
      </c>
      <c r="H179">
        <v>-16</v>
      </c>
      <c r="I179">
        <v>20</v>
      </c>
      <c r="J179">
        <v>1.18</v>
      </c>
      <c r="K179">
        <v>23.21806625</v>
      </c>
      <c r="L179">
        <v>-1.051308765046389</v>
      </c>
      <c r="M179">
        <v>-0.90406611996630637</v>
      </c>
      <c r="N179">
        <v>-0.20335658322359501</v>
      </c>
      <c r="O179">
        <v>-0.10073050012608351</v>
      </c>
    </row>
    <row r="180" spans="1:15" x14ac:dyDescent="0.25">
      <c r="A180">
        <v>-74.147300749999999</v>
      </c>
      <c r="B180">
        <v>-24.274506500000001</v>
      </c>
      <c r="C180">
        <v>264.78553775</v>
      </c>
      <c r="D180">
        <v>214.88319799999999</v>
      </c>
      <c r="E180">
        <v>226.95252224999999</v>
      </c>
      <c r="F180">
        <v>6.4806664999999999</v>
      </c>
      <c r="G180">
        <v>299.72411375000001</v>
      </c>
      <c r="H180">
        <v>-16</v>
      </c>
      <c r="I180">
        <v>24</v>
      </c>
      <c r="J180">
        <v>1.18</v>
      </c>
      <c r="K180">
        <v>22.293988250000002</v>
      </c>
      <c r="L180">
        <v>-1.227295898846813</v>
      </c>
      <c r="M180">
        <v>-0.86598164449036152</v>
      </c>
      <c r="N180">
        <v>-0.26350506645219529</v>
      </c>
      <c r="O180">
        <v>-0.20165356539555229</v>
      </c>
    </row>
    <row r="181" spans="1:15" x14ac:dyDescent="0.25">
      <c r="A181">
        <v>-111.7237875</v>
      </c>
      <c r="B181">
        <v>-44.944778499999998</v>
      </c>
      <c r="C181">
        <v>258.50801074999998</v>
      </c>
      <c r="D181">
        <v>186.62062449999999</v>
      </c>
      <c r="E181">
        <v>186.19631575</v>
      </c>
      <c r="F181">
        <v>6.28576025</v>
      </c>
      <c r="G181">
        <v>283.83966075000001</v>
      </c>
      <c r="H181">
        <v>-16</v>
      </c>
      <c r="I181">
        <v>28</v>
      </c>
      <c r="J181">
        <v>1.18</v>
      </c>
      <c r="K181">
        <v>21.68939825</v>
      </c>
      <c r="L181">
        <v>-1.399578810519041</v>
      </c>
      <c r="M181">
        <v>-0.87536709141938041</v>
      </c>
      <c r="N181">
        <v>-0.36912046260407222</v>
      </c>
      <c r="O181">
        <v>-0.31987175444054788</v>
      </c>
    </row>
    <row r="182" spans="1:15" x14ac:dyDescent="0.25">
      <c r="A182">
        <v>-141.80783475000001</v>
      </c>
      <c r="B182">
        <v>-75.931253749999996</v>
      </c>
      <c r="C182">
        <v>248.88847325</v>
      </c>
      <c r="D182">
        <v>159.6725845</v>
      </c>
      <c r="E182">
        <v>145.38065725000001</v>
      </c>
      <c r="F182">
        <v>5.7984947499999997</v>
      </c>
      <c r="G182">
        <v>267.79515075</v>
      </c>
      <c r="H182">
        <v>-16</v>
      </c>
      <c r="I182">
        <v>32</v>
      </c>
      <c r="J182">
        <v>1.18</v>
      </c>
      <c r="K182">
        <v>21.072763500000001</v>
      </c>
      <c r="L182">
        <v>-1.5366502353346561</v>
      </c>
      <c r="M182">
        <v>-0.92665524091083351</v>
      </c>
      <c r="N182">
        <v>-0.48147445524902549</v>
      </c>
      <c r="O182">
        <v>-0.45098989640460307</v>
      </c>
    </row>
    <row r="183" spans="1:15" x14ac:dyDescent="0.25">
      <c r="A183">
        <v>-176.95608525</v>
      </c>
      <c r="B183">
        <v>-108.93231775</v>
      </c>
      <c r="C183">
        <v>249.11428849999999</v>
      </c>
      <c r="D183">
        <v>136.87860900000001</v>
      </c>
      <c r="E183">
        <v>107.27107425</v>
      </c>
      <c r="F183">
        <v>5.7984945000000003</v>
      </c>
      <c r="G183">
        <v>265.59453600000001</v>
      </c>
      <c r="H183">
        <v>-16</v>
      </c>
      <c r="I183">
        <v>36</v>
      </c>
      <c r="J183">
        <v>1.18</v>
      </c>
      <c r="K183">
        <v>20.984070500000001</v>
      </c>
      <c r="L183">
        <v>-1.702823489639236</v>
      </c>
      <c r="M183">
        <v>-0.98239884650862952</v>
      </c>
      <c r="N183">
        <v>-0.63276028934320128</v>
      </c>
      <c r="O183">
        <v>-0.59446155893954256</v>
      </c>
    </row>
    <row r="184" spans="1:15" x14ac:dyDescent="0.25">
      <c r="A184">
        <v>-231.39115175000001</v>
      </c>
      <c r="B184">
        <v>-157.57052949999999</v>
      </c>
      <c r="C184">
        <v>268.66950224999999</v>
      </c>
      <c r="D184">
        <v>121.83450499999999</v>
      </c>
      <c r="E184">
        <v>67.679045000000002</v>
      </c>
      <c r="F184">
        <v>6.1883072500000003</v>
      </c>
      <c r="G184">
        <v>285.40009325</v>
      </c>
      <c r="H184">
        <v>-16</v>
      </c>
      <c r="I184">
        <v>40</v>
      </c>
      <c r="J184">
        <v>1.18</v>
      </c>
      <c r="K184">
        <v>21.75407225</v>
      </c>
      <c r="L184">
        <v>-1.907465219975566</v>
      </c>
      <c r="M184">
        <v>-1.065775519542254</v>
      </c>
      <c r="N184">
        <v>-0.83049002744157163</v>
      </c>
      <c r="O184">
        <v>-0.76543709331756871</v>
      </c>
    </row>
    <row r="185" spans="1:15" x14ac:dyDescent="0.25">
      <c r="A185">
        <v>-286.66017149999999</v>
      </c>
      <c r="B185">
        <v>-215.80207425</v>
      </c>
      <c r="C185">
        <v>282.98588575000002</v>
      </c>
      <c r="D185">
        <v>97.707803499999997</v>
      </c>
      <c r="E185">
        <v>13.85765475</v>
      </c>
      <c r="F185">
        <v>6.5781194999999997</v>
      </c>
      <c r="G185">
        <v>302.12478650000003</v>
      </c>
      <c r="H185">
        <v>-16</v>
      </c>
      <c r="I185">
        <v>44</v>
      </c>
      <c r="J185">
        <v>1.18</v>
      </c>
      <c r="K185">
        <v>22.381372249999998</v>
      </c>
      <c r="L185">
        <v>-2.1488925837700199</v>
      </c>
      <c r="M185">
        <v>-1.1826472427682031</v>
      </c>
      <c r="N185">
        <v>-1.08744036966073</v>
      </c>
      <c r="O185">
        <v>-0.97253481156862254</v>
      </c>
    </row>
    <row r="186" spans="1:15" x14ac:dyDescent="0.25">
      <c r="A186">
        <v>309.07228850000001</v>
      </c>
      <c r="B186">
        <v>-225.49134824999999</v>
      </c>
      <c r="C186">
        <v>-333.75936124999998</v>
      </c>
      <c r="D186">
        <v>30.7163705</v>
      </c>
      <c r="E186">
        <v>-42.459974500000001</v>
      </c>
      <c r="F186">
        <v>7.0166585000000001</v>
      </c>
      <c r="G186">
        <v>321.89032724999998</v>
      </c>
      <c r="H186">
        <v>-12</v>
      </c>
      <c r="I186">
        <v>-44</v>
      </c>
      <c r="J186">
        <v>1.18</v>
      </c>
      <c r="K186">
        <v>23.101593999999999</v>
      </c>
      <c r="L186">
        <v>2.7105066231715869</v>
      </c>
      <c r="M186">
        <v>-1.080298912003562</v>
      </c>
      <c r="N186">
        <v>-1.536306326518071</v>
      </c>
      <c r="O186">
        <v>-1.2086328801076429</v>
      </c>
    </row>
    <row r="187" spans="1:15" x14ac:dyDescent="0.25">
      <c r="A187">
        <v>326.3534775</v>
      </c>
      <c r="B187">
        <v>-182.99287025000001</v>
      </c>
      <c r="C187">
        <v>-308.67552174999997</v>
      </c>
      <c r="D187">
        <v>73.175957000000011</v>
      </c>
      <c r="E187">
        <v>24.53988725</v>
      </c>
      <c r="F187">
        <v>7.4064707500000004</v>
      </c>
      <c r="G187">
        <v>336.25436400000001</v>
      </c>
      <c r="H187">
        <v>-12</v>
      </c>
      <c r="I187">
        <v>-40</v>
      </c>
      <c r="J187">
        <v>1.18</v>
      </c>
      <c r="K187">
        <v>23.6086615</v>
      </c>
      <c r="L187">
        <v>2.3487122091937271</v>
      </c>
      <c r="M187">
        <v>-0.94746408796481951</v>
      </c>
      <c r="N187">
        <v>-1.1529185504775681</v>
      </c>
      <c r="O187">
        <v>-0.93663677072059692</v>
      </c>
    </row>
    <row r="188" spans="1:15" x14ac:dyDescent="0.25">
      <c r="A188">
        <v>312.22671524999998</v>
      </c>
      <c r="B188">
        <v>-124.377596</v>
      </c>
      <c r="C188">
        <v>-246.14640825000001</v>
      </c>
      <c r="D188">
        <v>109.0788955</v>
      </c>
      <c r="E188">
        <v>86.990451750000005</v>
      </c>
      <c r="F188">
        <v>7.0166589999999998</v>
      </c>
      <c r="G188">
        <v>321.010086</v>
      </c>
      <c r="H188">
        <v>-12</v>
      </c>
      <c r="I188">
        <v>-36</v>
      </c>
      <c r="J188">
        <v>1.18</v>
      </c>
      <c r="K188">
        <v>23.069259500000001</v>
      </c>
      <c r="L188">
        <v>2.0509889156341941</v>
      </c>
      <c r="M188">
        <v>-0.85749396138512668</v>
      </c>
      <c r="N188">
        <v>-0.85960190067134623</v>
      </c>
      <c r="O188">
        <v>-0.70626716327755656</v>
      </c>
    </row>
    <row r="189" spans="1:15" x14ac:dyDescent="0.25">
      <c r="A189">
        <v>290.81501774999998</v>
      </c>
      <c r="B189">
        <v>-72.242855249999991</v>
      </c>
      <c r="C189">
        <v>-187.04598999999999</v>
      </c>
      <c r="D189">
        <v>133.381821</v>
      </c>
      <c r="E189">
        <v>129.85113924999999</v>
      </c>
      <c r="F189">
        <v>6.5781194999999997</v>
      </c>
      <c r="G189">
        <v>299.24398050000002</v>
      </c>
      <c r="H189">
        <v>-12</v>
      </c>
      <c r="I189">
        <v>-32</v>
      </c>
      <c r="J189">
        <v>1.18</v>
      </c>
      <c r="K189">
        <v>22.272020749999999</v>
      </c>
      <c r="L189">
        <v>1.841503159014108</v>
      </c>
      <c r="M189">
        <v>-0.79239752090685744</v>
      </c>
      <c r="N189">
        <v>-0.65277911765175334</v>
      </c>
      <c r="O189">
        <v>-0.5249514046902648</v>
      </c>
    </row>
    <row r="190" spans="1:15" x14ac:dyDescent="0.25">
      <c r="A190">
        <v>267.8617175</v>
      </c>
      <c r="B190">
        <v>-22.016705000000002</v>
      </c>
      <c r="C190">
        <v>-132.23149874999999</v>
      </c>
      <c r="D190">
        <v>148.67428200000001</v>
      </c>
      <c r="E190">
        <v>162.68148825</v>
      </c>
      <c r="F190">
        <v>6.1395805000000001</v>
      </c>
      <c r="G190">
        <v>279.39840700000002</v>
      </c>
      <c r="H190">
        <v>-12</v>
      </c>
      <c r="I190">
        <v>-28</v>
      </c>
      <c r="J190">
        <v>1.18</v>
      </c>
      <c r="K190">
        <v>21.520909</v>
      </c>
      <c r="L190">
        <v>1.668427093163376</v>
      </c>
      <c r="M190">
        <v>-0.71179113753262269</v>
      </c>
      <c r="N190">
        <v>-0.48672225411054731</v>
      </c>
      <c r="O190">
        <v>-0.34721832005701581</v>
      </c>
    </row>
    <row r="191" spans="1:15" x14ac:dyDescent="0.25">
      <c r="A191">
        <v>248.30296325</v>
      </c>
      <c r="B191">
        <v>15.968264749999999</v>
      </c>
      <c r="C191">
        <v>-85.898595999999998</v>
      </c>
      <c r="D191">
        <v>160.63658125000001</v>
      </c>
      <c r="E191">
        <v>186.26164600000001</v>
      </c>
      <c r="F191">
        <v>5.8959479999999997</v>
      </c>
      <c r="G191">
        <v>264.67428575000002</v>
      </c>
      <c r="H191">
        <v>-12</v>
      </c>
      <c r="I191">
        <v>-24</v>
      </c>
      <c r="J191">
        <v>1.18</v>
      </c>
      <c r="K191">
        <v>20.94295</v>
      </c>
      <c r="L191">
        <v>1.510681665296957</v>
      </c>
      <c r="M191">
        <v>-0.65393410817251552</v>
      </c>
      <c r="N191">
        <v>-0.35444737421917438</v>
      </c>
      <c r="O191">
        <v>-0.18470263166103471</v>
      </c>
    </row>
    <row r="192" spans="1:15" x14ac:dyDescent="0.25">
      <c r="A192">
        <v>258.02282724999998</v>
      </c>
      <c r="B192">
        <v>43.287567250000002</v>
      </c>
      <c r="C192">
        <v>-53.415934</v>
      </c>
      <c r="D192">
        <v>186.30214325</v>
      </c>
      <c r="E192">
        <v>226.1478615</v>
      </c>
      <c r="F192">
        <v>5.9934012499999998</v>
      </c>
      <c r="G192">
        <v>283.31950399999999</v>
      </c>
      <c r="H192">
        <v>-12</v>
      </c>
      <c r="I192">
        <v>-20</v>
      </c>
      <c r="J192">
        <v>1.18</v>
      </c>
      <c r="K192">
        <v>21.68047125</v>
      </c>
      <c r="L192">
        <v>1.3470266200339951</v>
      </c>
      <c r="M192">
        <v>-0.61852485846800631</v>
      </c>
      <c r="N192">
        <v>-0.24730067462658331</v>
      </c>
      <c r="O192">
        <v>-4.7829436780456598E-2</v>
      </c>
    </row>
    <row r="193" spans="1:15" x14ac:dyDescent="0.25">
      <c r="A193">
        <v>260.17208099999999</v>
      </c>
      <c r="B193">
        <v>64.502962499999995</v>
      </c>
      <c r="C193">
        <v>-14.6171975</v>
      </c>
      <c r="D193">
        <v>211.11485300000001</v>
      </c>
      <c r="E193">
        <v>260.88137799999998</v>
      </c>
      <c r="F193">
        <v>6.3832132499999998</v>
      </c>
      <c r="G193">
        <v>301.08449574999997</v>
      </c>
      <c r="H193">
        <v>-12</v>
      </c>
      <c r="I193">
        <v>-16</v>
      </c>
      <c r="J193">
        <v>1.18</v>
      </c>
      <c r="K193">
        <v>22.349347250000001</v>
      </c>
      <c r="L193">
        <v>1.1646559193780639</v>
      </c>
      <c r="M193">
        <v>-0.62139623311373449</v>
      </c>
      <c r="N193">
        <v>-0.17039936206765369</v>
      </c>
      <c r="O193">
        <v>7.8665978633026892E-2</v>
      </c>
    </row>
    <row r="194" spans="1:15" x14ac:dyDescent="0.25">
      <c r="A194">
        <v>253.88242700000001</v>
      </c>
      <c r="B194">
        <v>66.518545000000003</v>
      </c>
      <c r="C194">
        <v>32.968359999999997</v>
      </c>
      <c r="D194">
        <v>235.87200150000001</v>
      </c>
      <c r="E194">
        <v>290.67188275000001</v>
      </c>
      <c r="F194">
        <v>6.7730255000000001</v>
      </c>
      <c r="G194">
        <v>316.52882399999999</v>
      </c>
      <c r="H194">
        <v>-12</v>
      </c>
      <c r="I194">
        <v>-12</v>
      </c>
      <c r="J194">
        <v>1.18</v>
      </c>
      <c r="K194">
        <v>22.913082500000002</v>
      </c>
      <c r="L194">
        <v>0.91690493877582724</v>
      </c>
      <c r="M194">
        <v>-0.70291019236635488</v>
      </c>
      <c r="N194">
        <v>-0.10733198109429989</v>
      </c>
      <c r="O194">
        <v>0.1783643429727903</v>
      </c>
    </row>
    <row r="195" spans="1:15" x14ac:dyDescent="0.25">
      <c r="A195">
        <v>240.88816075</v>
      </c>
      <c r="B195">
        <v>57.279950249999999</v>
      </c>
      <c r="C195">
        <v>81.2015095</v>
      </c>
      <c r="D195">
        <v>255.76532324999999</v>
      </c>
      <c r="E195">
        <v>312.39851399999998</v>
      </c>
      <c r="F195">
        <v>7.2602907500000002</v>
      </c>
      <c r="G195">
        <v>331.89313525</v>
      </c>
      <c r="H195">
        <v>-12</v>
      </c>
      <c r="I195">
        <v>-8</v>
      </c>
      <c r="J195">
        <v>1.18</v>
      </c>
      <c r="K195">
        <v>23.456868499999999</v>
      </c>
      <c r="L195">
        <v>0.65674128639816021</v>
      </c>
      <c r="M195">
        <v>-0.81628023869693911</v>
      </c>
      <c r="N195">
        <v>-8.0181660866057117E-2</v>
      </c>
      <c r="O195">
        <v>0.25489677564484131</v>
      </c>
    </row>
    <row r="196" spans="1:15" x14ac:dyDescent="0.25">
      <c r="A196">
        <v>211.45991524999999</v>
      </c>
      <c r="B196">
        <v>48.911556249999997</v>
      </c>
      <c r="C196">
        <v>122.97647275</v>
      </c>
      <c r="D196">
        <v>261.11113749999998</v>
      </c>
      <c r="E196">
        <v>321.67614774999998</v>
      </c>
      <c r="F196">
        <v>7.0653852500000003</v>
      </c>
      <c r="G196">
        <v>332.17322524999997</v>
      </c>
      <c r="H196">
        <v>-12</v>
      </c>
      <c r="I196">
        <v>-4</v>
      </c>
      <c r="J196">
        <v>1.18</v>
      </c>
      <c r="K196">
        <v>23.473975500000002</v>
      </c>
      <c r="L196">
        <v>0.37542295754180782</v>
      </c>
      <c r="M196">
        <v>-0.90016607462929932</v>
      </c>
      <c r="N196">
        <v>-4.4563016049762788E-2</v>
      </c>
      <c r="O196">
        <v>0.33461039465872783</v>
      </c>
    </row>
    <row r="197" spans="1:15" x14ac:dyDescent="0.25">
      <c r="A197">
        <v>166.05353550000001</v>
      </c>
      <c r="B197">
        <v>37.369045249999999</v>
      </c>
      <c r="C197">
        <v>146.86723325</v>
      </c>
      <c r="D197">
        <v>243.84685875</v>
      </c>
      <c r="E197">
        <v>300.55168950000001</v>
      </c>
      <c r="F197">
        <v>6.821752</v>
      </c>
      <c r="G197">
        <v>307.00614899999999</v>
      </c>
      <c r="H197">
        <v>-12</v>
      </c>
      <c r="I197">
        <v>0</v>
      </c>
      <c r="J197">
        <v>1.18</v>
      </c>
      <c r="K197">
        <v>22.556286</v>
      </c>
      <c r="L197">
        <v>9.2063966903118952E-2</v>
      </c>
      <c r="M197">
        <v>-0.99058969183228607</v>
      </c>
      <c r="N197">
        <v>-3.0984361580469341E-2</v>
      </c>
      <c r="O197">
        <v>0.40924964024896238</v>
      </c>
    </row>
    <row r="198" spans="1:15" x14ac:dyDescent="0.25">
      <c r="A198">
        <v>124.61915025</v>
      </c>
      <c r="B198">
        <v>35.159057750000002</v>
      </c>
      <c r="C198">
        <v>165.428867</v>
      </c>
      <c r="D198">
        <v>228.11620725</v>
      </c>
      <c r="E198">
        <v>282.22264849999999</v>
      </c>
      <c r="F198">
        <v>6.5293929999999998</v>
      </c>
      <c r="G198">
        <v>287.680725</v>
      </c>
      <c r="H198">
        <v>-12</v>
      </c>
      <c r="I198">
        <v>4</v>
      </c>
      <c r="J198">
        <v>1.18</v>
      </c>
      <c r="K198">
        <v>21.8294845</v>
      </c>
      <c r="L198">
        <v>-0.20166685698353959</v>
      </c>
      <c r="M198">
        <v>-0.95362981236568845</v>
      </c>
      <c r="N198">
        <v>-2.7039627297477949E-2</v>
      </c>
      <c r="O198">
        <v>0.36262596693533528</v>
      </c>
    </row>
    <row r="199" spans="1:15" x14ac:dyDescent="0.25">
      <c r="A199">
        <v>86.92523374999999</v>
      </c>
      <c r="B199">
        <v>31.693843000000001</v>
      </c>
      <c r="C199">
        <v>179.24848175</v>
      </c>
      <c r="D199">
        <v>213.21811299999999</v>
      </c>
      <c r="E199">
        <v>261.55194825000001</v>
      </c>
      <c r="F199">
        <v>5.8959479999999997</v>
      </c>
      <c r="G199">
        <v>270.55592350000001</v>
      </c>
      <c r="H199">
        <v>-12</v>
      </c>
      <c r="I199">
        <v>8</v>
      </c>
      <c r="J199">
        <v>1.18</v>
      </c>
      <c r="K199">
        <v>21.17960575</v>
      </c>
      <c r="L199">
        <v>-0.45649947521086209</v>
      </c>
      <c r="M199">
        <v>-0.89756526927894598</v>
      </c>
      <c r="N199">
        <v>-4.4529399608656157E-2</v>
      </c>
      <c r="O199">
        <v>0.26410400506763942</v>
      </c>
    </row>
    <row r="200" spans="1:15" x14ac:dyDescent="0.25">
      <c r="A200">
        <v>50.45803025</v>
      </c>
      <c r="B200">
        <v>33.331461750000003</v>
      </c>
      <c r="C200">
        <v>199.97789775000001</v>
      </c>
      <c r="D200">
        <v>208.16581725</v>
      </c>
      <c r="E200">
        <v>253.59492875000001</v>
      </c>
      <c r="F200">
        <v>6.0421275000000003</v>
      </c>
      <c r="G200">
        <v>268.03522500000003</v>
      </c>
      <c r="H200">
        <v>-12</v>
      </c>
      <c r="I200">
        <v>12</v>
      </c>
      <c r="J200">
        <v>1.18</v>
      </c>
      <c r="K200">
        <v>21.072632500000001</v>
      </c>
      <c r="L200">
        <v>-0.70628375308151048</v>
      </c>
      <c r="M200">
        <v>-0.82585928325627567</v>
      </c>
      <c r="N200">
        <v>-6.8212107462868973E-2</v>
      </c>
      <c r="O200">
        <v>0.16935449400520131</v>
      </c>
    </row>
    <row r="201" spans="1:15" x14ac:dyDescent="0.25">
      <c r="A201">
        <v>12.095477499999999</v>
      </c>
      <c r="B201">
        <v>39.054993500000002</v>
      </c>
      <c r="C201">
        <v>236.87535449999999</v>
      </c>
      <c r="D201">
        <v>214.95719525000001</v>
      </c>
      <c r="E201">
        <v>264.85990125000001</v>
      </c>
      <c r="F201">
        <v>6.2370334999999999</v>
      </c>
      <c r="G201">
        <v>289.841339</v>
      </c>
      <c r="H201">
        <v>-12</v>
      </c>
      <c r="I201">
        <v>16</v>
      </c>
      <c r="J201">
        <v>1.18</v>
      </c>
      <c r="K201">
        <v>21.9245175</v>
      </c>
      <c r="L201">
        <v>-0.93937951387805596</v>
      </c>
      <c r="M201">
        <v>-0.73511382248718793</v>
      </c>
      <c r="N201">
        <v>-0.1044108906636214</v>
      </c>
      <c r="O201">
        <v>8.0829372916831774E-2</v>
      </c>
    </row>
    <row r="202" spans="1:15" x14ac:dyDescent="0.25">
      <c r="A202">
        <v>-31.534999750000001</v>
      </c>
      <c r="B202">
        <v>36.121017500000001</v>
      </c>
      <c r="C202">
        <v>266.36622599999998</v>
      </c>
      <c r="D202">
        <v>212.82374924999999</v>
      </c>
      <c r="E202">
        <v>263.58065775</v>
      </c>
      <c r="F202">
        <v>6.6755724999999986</v>
      </c>
      <c r="G202">
        <v>306.68607324999999</v>
      </c>
      <c r="H202">
        <v>-12</v>
      </c>
      <c r="I202">
        <v>20</v>
      </c>
      <c r="J202">
        <v>1.18</v>
      </c>
      <c r="K202">
        <v>22.549760249999999</v>
      </c>
      <c r="L202">
        <v>-1.1401298584027519</v>
      </c>
      <c r="M202">
        <v>-0.67627283603258925</v>
      </c>
      <c r="N202">
        <v>-0.1649746762573992</v>
      </c>
      <c r="O202">
        <v>-1.6769970435281681E-2</v>
      </c>
    </row>
    <row r="203" spans="1:15" x14ac:dyDescent="0.25">
      <c r="A203">
        <v>-82.075641500000003</v>
      </c>
      <c r="B203">
        <v>28.04268725</v>
      </c>
      <c r="C203">
        <v>295.22481525000001</v>
      </c>
      <c r="D203">
        <v>207.90301149999999</v>
      </c>
      <c r="E203">
        <v>253.77375774999999</v>
      </c>
      <c r="F203">
        <v>7.1628377499999996</v>
      </c>
      <c r="G203">
        <v>322.41047650000002</v>
      </c>
      <c r="H203">
        <v>-12</v>
      </c>
      <c r="I203">
        <v>24</v>
      </c>
      <c r="J203">
        <v>1.18</v>
      </c>
      <c r="K203">
        <v>23.115316750000002</v>
      </c>
      <c r="L203">
        <v>-1.343711524641211</v>
      </c>
      <c r="M203">
        <v>-0.64053957796505989</v>
      </c>
      <c r="N203">
        <v>-0.24444993453182889</v>
      </c>
      <c r="O203">
        <v>-0.1217141473399687</v>
      </c>
    </row>
    <row r="204" spans="1:15" x14ac:dyDescent="0.25">
      <c r="A204">
        <v>-132.12276449999999</v>
      </c>
      <c r="B204">
        <v>-3.5495342499999998</v>
      </c>
      <c r="C204">
        <v>318.39299025000003</v>
      </c>
      <c r="D204">
        <v>197.81269424999999</v>
      </c>
      <c r="E204">
        <v>232.13807675000001</v>
      </c>
      <c r="F204">
        <v>7.2115644999999997</v>
      </c>
      <c r="G204">
        <v>336.0142975</v>
      </c>
      <c r="H204">
        <v>-12</v>
      </c>
      <c r="I204">
        <v>28</v>
      </c>
      <c r="J204">
        <v>1.18</v>
      </c>
      <c r="K204">
        <v>23.60703925</v>
      </c>
      <c r="L204">
        <v>-1.5018697126456571</v>
      </c>
      <c r="M204">
        <v>-0.67124924961308752</v>
      </c>
      <c r="N204">
        <v>-0.3463226493221474</v>
      </c>
      <c r="O204">
        <v>-0.2501715566316608</v>
      </c>
    </row>
    <row r="205" spans="1:15" x14ac:dyDescent="0.25">
      <c r="A205">
        <v>-167.49533074999999</v>
      </c>
      <c r="B205">
        <v>-41.877954500000001</v>
      </c>
      <c r="C205">
        <v>310.2186355</v>
      </c>
      <c r="D205">
        <v>168.129448</v>
      </c>
      <c r="E205">
        <v>185.42423249999999</v>
      </c>
      <c r="F205">
        <v>7.0166585000000001</v>
      </c>
      <c r="G205">
        <v>322.17041024999997</v>
      </c>
      <c r="H205">
        <v>-12</v>
      </c>
      <c r="I205">
        <v>32</v>
      </c>
      <c r="J205">
        <v>1.18</v>
      </c>
      <c r="K205">
        <v>23.11184025</v>
      </c>
      <c r="L205">
        <v>-1.6466482265913529</v>
      </c>
      <c r="M205">
        <v>-0.72387165498721018</v>
      </c>
      <c r="N205">
        <v>-0.47136934371569927</v>
      </c>
      <c r="O205">
        <v>-0.38502188732675119</v>
      </c>
    </row>
    <row r="206" spans="1:15" x14ac:dyDescent="0.25">
      <c r="A206">
        <v>-194.78301225000001</v>
      </c>
      <c r="B206">
        <v>-79.150551000000007</v>
      </c>
      <c r="C206">
        <v>292.96669774999998</v>
      </c>
      <c r="D206">
        <v>132.48857125000001</v>
      </c>
      <c r="E206">
        <v>129.591295</v>
      </c>
      <c r="F206">
        <v>6.6755724999999986</v>
      </c>
      <c r="G206">
        <v>301.52461249999999</v>
      </c>
      <c r="H206">
        <v>-12</v>
      </c>
      <c r="I206">
        <v>36</v>
      </c>
      <c r="J206">
        <v>1.18</v>
      </c>
      <c r="K206">
        <v>22.354944</v>
      </c>
      <c r="L206">
        <v>-1.8298617150857781</v>
      </c>
      <c r="M206">
        <v>-0.79399806078075041</v>
      </c>
      <c r="N206">
        <v>-0.64507543515566357</v>
      </c>
      <c r="O206">
        <v>-0.53888768487425542</v>
      </c>
    </row>
    <row r="207" spans="1:15" x14ac:dyDescent="0.25">
      <c r="A207">
        <v>-220.038273</v>
      </c>
      <c r="B207">
        <v>-114.44848825</v>
      </c>
      <c r="C207">
        <v>274.54055775</v>
      </c>
      <c r="D207">
        <v>95.96129024999999</v>
      </c>
      <c r="E207">
        <v>71.697553749999997</v>
      </c>
      <c r="F207">
        <v>6.0421275000000003</v>
      </c>
      <c r="G207">
        <v>281.11889624999998</v>
      </c>
      <c r="H207">
        <v>-12</v>
      </c>
      <c r="I207">
        <v>40</v>
      </c>
      <c r="J207">
        <v>1.18</v>
      </c>
      <c r="K207">
        <v>21.59238225</v>
      </c>
      <c r="L207">
        <v>-2.0699592074330022</v>
      </c>
      <c r="M207">
        <v>-0.88062556083925891</v>
      </c>
      <c r="N207">
        <v>-0.87655186958842968</v>
      </c>
      <c r="O207">
        <v>-0.72523686578527835</v>
      </c>
    </row>
    <row r="208" spans="1:15" x14ac:dyDescent="0.25">
      <c r="A208">
        <v>-242.74224475</v>
      </c>
      <c r="B208">
        <v>-148.55280300000001</v>
      </c>
      <c r="C208">
        <v>258.95963275000003</v>
      </c>
      <c r="D208">
        <v>62.779135750000002</v>
      </c>
      <c r="E208">
        <v>16.314193</v>
      </c>
      <c r="F208">
        <v>5.7984945000000003</v>
      </c>
      <c r="G208">
        <v>266.67483499999997</v>
      </c>
      <c r="H208">
        <v>-12</v>
      </c>
      <c r="I208">
        <v>44</v>
      </c>
      <c r="J208">
        <v>1.18</v>
      </c>
      <c r="K208">
        <v>21.027671999999999</v>
      </c>
      <c r="L208">
        <v>-2.3669640654207469</v>
      </c>
      <c r="M208">
        <v>-0.99702012067951717</v>
      </c>
      <c r="N208">
        <v>-1.1811713748193331</v>
      </c>
      <c r="O208">
        <v>-0.95038386139729658</v>
      </c>
    </row>
    <row r="209" spans="1:15" x14ac:dyDescent="0.25">
      <c r="A209">
        <v>280.65253424999997</v>
      </c>
      <c r="B209">
        <v>-156.41933075</v>
      </c>
      <c r="C209">
        <v>-294.05832674999999</v>
      </c>
      <c r="D209">
        <v>-8.7850584999999999</v>
      </c>
      <c r="E209">
        <v>-38.847309000000003</v>
      </c>
      <c r="F209">
        <v>6.1395805000000001</v>
      </c>
      <c r="G209">
        <v>284.99997724999997</v>
      </c>
      <c r="H209">
        <v>-8</v>
      </c>
      <c r="I209">
        <v>-44</v>
      </c>
      <c r="J209">
        <v>1.18</v>
      </c>
      <c r="K209">
        <v>21.740377500000001</v>
      </c>
      <c r="L209">
        <v>3.0833857292898088</v>
      </c>
      <c r="M209">
        <v>-0.79207226238440342</v>
      </c>
      <c r="N209">
        <v>-1.737481459118398</v>
      </c>
      <c r="O209">
        <v>-1.2413689299075961</v>
      </c>
    </row>
    <row r="210" spans="1:15" x14ac:dyDescent="0.25">
      <c r="A210">
        <v>298.5321045</v>
      </c>
      <c r="B210">
        <v>-119.96466074999999</v>
      </c>
      <c r="C210">
        <v>-273.12506074999999</v>
      </c>
      <c r="D210">
        <v>30.320050500000001</v>
      </c>
      <c r="E210">
        <v>24.9406575</v>
      </c>
      <c r="F210">
        <v>6.5781194999999997</v>
      </c>
      <c r="G210">
        <v>302.60491949999999</v>
      </c>
      <c r="H210">
        <v>-8</v>
      </c>
      <c r="I210">
        <v>-40</v>
      </c>
      <c r="J210">
        <v>1.18</v>
      </c>
      <c r="K210">
        <v>22.39954775</v>
      </c>
      <c r="L210">
        <v>2.581016665713677</v>
      </c>
      <c r="M210">
        <v>-0.67851449320335011</v>
      </c>
      <c r="N210">
        <v>-1.253651534383476</v>
      </c>
      <c r="O210">
        <v>-0.91708327906099174</v>
      </c>
    </row>
    <row r="211" spans="1:15" x14ac:dyDescent="0.25">
      <c r="A211">
        <v>317.00737750000002</v>
      </c>
      <c r="B211">
        <v>-77.471597750000001</v>
      </c>
      <c r="C211">
        <v>-244.11624499999999</v>
      </c>
      <c r="D211">
        <v>71.895998250000005</v>
      </c>
      <c r="E211">
        <v>89.097072499999996</v>
      </c>
      <c r="F211">
        <v>6.9192049999999998</v>
      </c>
      <c r="G211">
        <v>318.96951300000001</v>
      </c>
      <c r="H211">
        <v>-8</v>
      </c>
      <c r="I211">
        <v>-36</v>
      </c>
      <c r="J211">
        <v>1.18</v>
      </c>
      <c r="K211">
        <v>22.997781499999999</v>
      </c>
      <c r="L211">
        <v>2.2455184953644531</v>
      </c>
      <c r="M211">
        <v>-0.59773453181867287</v>
      </c>
      <c r="N211">
        <v>-0.91993523050903137</v>
      </c>
      <c r="O211">
        <v>-0.67116426369761872</v>
      </c>
    </row>
    <row r="212" spans="1:15" x14ac:dyDescent="0.25">
      <c r="A212">
        <v>329.33413675000003</v>
      </c>
      <c r="B212">
        <v>-29.883239750000001</v>
      </c>
      <c r="C212">
        <v>-209.19735725000001</v>
      </c>
      <c r="D212">
        <v>113.17466349999999</v>
      </c>
      <c r="E212">
        <v>150.44757475</v>
      </c>
      <c r="F212">
        <v>7.3090172500000001</v>
      </c>
      <c r="G212">
        <v>332.45329299999997</v>
      </c>
      <c r="H212">
        <v>-8</v>
      </c>
      <c r="I212">
        <v>-32</v>
      </c>
      <c r="J212">
        <v>1.18</v>
      </c>
      <c r="K212">
        <v>23.475335000000001</v>
      </c>
      <c r="L212">
        <v>1.994680516649932</v>
      </c>
      <c r="M212">
        <v>-0.5298620424317958</v>
      </c>
      <c r="N212">
        <v>-0.67414697489717901</v>
      </c>
      <c r="O212">
        <v>-0.46984492868460159</v>
      </c>
    </row>
    <row r="213" spans="1:15" x14ac:dyDescent="0.25">
      <c r="A213">
        <v>321.25341800000001</v>
      </c>
      <c r="B213">
        <v>15.15064825</v>
      </c>
      <c r="C213">
        <v>-162.86445624999999</v>
      </c>
      <c r="D213">
        <v>143.45994575</v>
      </c>
      <c r="E213">
        <v>198.47726075</v>
      </c>
      <c r="F213">
        <v>7.0166585000000001</v>
      </c>
      <c r="G213">
        <v>329.69253500000002</v>
      </c>
      <c r="H213">
        <v>-8</v>
      </c>
      <c r="I213">
        <v>-28</v>
      </c>
      <c r="J213">
        <v>1.18</v>
      </c>
      <c r="K213">
        <v>23.386016000000001</v>
      </c>
      <c r="L213">
        <v>1.777657946341588</v>
      </c>
      <c r="M213">
        <v>-0.47114015868153669</v>
      </c>
      <c r="N213">
        <v>-0.48180646379642039</v>
      </c>
      <c r="O213">
        <v>-0.29695858575478251</v>
      </c>
    </row>
    <row r="214" spans="1:15" x14ac:dyDescent="0.25">
      <c r="A214">
        <v>294.60594175</v>
      </c>
      <c r="B214">
        <v>53.147483000000001</v>
      </c>
      <c r="C214">
        <v>-107.95973574999999</v>
      </c>
      <c r="D214">
        <v>156.72677974999999</v>
      </c>
      <c r="E214">
        <v>223.03323750000001</v>
      </c>
      <c r="F214">
        <v>6.6755724999999986</v>
      </c>
      <c r="G214">
        <v>306.36596674999998</v>
      </c>
      <c r="H214">
        <v>-8</v>
      </c>
      <c r="I214">
        <v>-24</v>
      </c>
      <c r="J214">
        <v>1.18</v>
      </c>
      <c r="K214">
        <v>22.537692499999999</v>
      </c>
      <c r="L214">
        <v>1.6074614508207401</v>
      </c>
      <c r="M214">
        <v>-0.4135684444269826</v>
      </c>
      <c r="N214">
        <v>-0.33275515125660537</v>
      </c>
      <c r="O214">
        <v>-0.1360805476746888</v>
      </c>
    </row>
    <row r="215" spans="1:15" x14ac:dyDescent="0.25">
      <c r="A215">
        <v>266.21947475000002</v>
      </c>
      <c r="B215">
        <v>77.826835500000001</v>
      </c>
      <c r="C215">
        <v>-59.371091</v>
      </c>
      <c r="D215">
        <v>164.99737150000001</v>
      </c>
      <c r="E215">
        <v>236.17649449999999</v>
      </c>
      <c r="F215">
        <v>6.3344865000000006</v>
      </c>
      <c r="G215">
        <v>285.72018450000002</v>
      </c>
      <c r="H215">
        <v>-8</v>
      </c>
      <c r="I215">
        <v>-20</v>
      </c>
      <c r="J215">
        <v>1.18</v>
      </c>
      <c r="K215">
        <v>21.760847250000001</v>
      </c>
      <c r="L215">
        <v>1.434657714014558</v>
      </c>
      <c r="M215">
        <v>-0.38410816500823902</v>
      </c>
      <c r="N215">
        <v>-0.21831999729920101</v>
      </c>
      <c r="O215">
        <v>1.2765043442995949E-2</v>
      </c>
    </row>
    <row r="216" spans="1:15" x14ac:dyDescent="0.25">
      <c r="A216">
        <v>239.50276199999999</v>
      </c>
      <c r="B216">
        <v>91.336734500000006</v>
      </c>
      <c r="C216">
        <v>-17.955694000000001</v>
      </c>
      <c r="D216">
        <v>168.51309599999999</v>
      </c>
      <c r="E216">
        <v>243.73163600000001</v>
      </c>
      <c r="F216">
        <v>5.8959479999999997</v>
      </c>
      <c r="G216">
        <v>271.03606424999998</v>
      </c>
      <c r="H216">
        <v>-8</v>
      </c>
      <c r="I216">
        <v>-16</v>
      </c>
      <c r="J216">
        <v>1.18</v>
      </c>
      <c r="K216">
        <v>21.19881075</v>
      </c>
      <c r="L216">
        <v>1.243554283625415</v>
      </c>
      <c r="M216">
        <v>-0.37276688742108988</v>
      </c>
      <c r="N216">
        <v>-0.13190731837884589</v>
      </c>
      <c r="O216">
        <v>0.14873292799853971</v>
      </c>
    </row>
    <row r="217" spans="1:15" x14ac:dyDescent="0.25">
      <c r="A217">
        <v>224.60996650000001</v>
      </c>
      <c r="B217">
        <v>95.617355500000002</v>
      </c>
      <c r="C217">
        <v>20.232640750000002</v>
      </c>
      <c r="D217">
        <v>179.20400624999999</v>
      </c>
      <c r="E217">
        <v>257.09843050000001</v>
      </c>
      <c r="F217">
        <v>5.9934010000000004</v>
      </c>
      <c r="G217">
        <v>271.79627225000002</v>
      </c>
      <c r="H217">
        <v>-8</v>
      </c>
      <c r="I217">
        <v>-12</v>
      </c>
      <c r="J217">
        <v>1.18</v>
      </c>
      <c r="K217">
        <v>21.225273999999999</v>
      </c>
      <c r="L217">
        <v>1.0261310355544691</v>
      </c>
      <c r="M217">
        <v>-0.41967526239555658</v>
      </c>
      <c r="N217">
        <v>-7.3798467083457303E-2</v>
      </c>
      <c r="O217">
        <v>0.2607301194515666</v>
      </c>
    </row>
    <row r="218" spans="1:15" x14ac:dyDescent="0.25">
      <c r="A218">
        <v>217.5531235</v>
      </c>
      <c r="B218">
        <v>94.943906499999997</v>
      </c>
      <c r="C218">
        <v>62.910848999999999</v>
      </c>
      <c r="D218">
        <v>198.68917450000001</v>
      </c>
      <c r="E218">
        <v>280.90798949999999</v>
      </c>
      <c r="F218">
        <v>6.28576025</v>
      </c>
      <c r="G218">
        <v>290.52152999999998</v>
      </c>
      <c r="H218">
        <v>-8</v>
      </c>
      <c r="I218">
        <v>-8</v>
      </c>
      <c r="J218">
        <v>1.18</v>
      </c>
      <c r="K218">
        <v>21.948911249999998</v>
      </c>
      <c r="L218">
        <v>0.76562894474989296</v>
      </c>
      <c r="M218">
        <v>-0.51363771292391214</v>
      </c>
      <c r="N218">
        <v>-4.7597949466741701E-2</v>
      </c>
      <c r="O218">
        <v>0.35964578656947871</v>
      </c>
    </row>
    <row r="219" spans="1:15" x14ac:dyDescent="0.25">
      <c r="A219">
        <v>201.69736474999999</v>
      </c>
      <c r="B219">
        <v>90.573498000000001</v>
      </c>
      <c r="C219">
        <v>111.05366875</v>
      </c>
      <c r="D219">
        <v>216.57833500000001</v>
      </c>
      <c r="E219">
        <v>304.70925149999999</v>
      </c>
      <c r="F219">
        <v>6.8217522499999994</v>
      </c>
      <c r="G219">
        <v>308.32652250000001</v>
      </c>
      <c r="H219">
        <v>-8</v>
      </c>
      <c r="I219">
        <v>-4</v>
      </c>
      <c r="J219">
        <v>1.18</v>
      </c>
      <c r="K219">
        <v>22.605840749999999</v>
      </c>
      <c r="L219">
        <v>0.44456538808005958</v>
      </c>
      <c r="M219">
        <v>-0.6179872197119326</v>
      </c>
      <c r="N219">
        <v>-1.7743162460620431E-2</v>
      </c>
      <c r="O219">
        <v>0.46098135193591527</v>
      </c>
    </row>
    <row r="220" spans="1:15" x14ac:dyDescent="0.25">
      <c r="A220">
        <v>178.87203224999999</v>
      </c>
      <c r="B220">
        <v>86.899654249999998</v>
      </c>
      <c r="C220">
        <v>154.72544099999999</v>
      </c>
      <c r="D220">
        <v>228.33529675</v>
      </c>
      <c r="E220">
        <v>321.42892449999999</v>
      </c>
      <c r="F220">
        <v>6.8704787500000002</v>
      </c>
      <c r="G220">
        <v>322.69055150000003</v>
      </c>
      <c r="H220">
        <v>-8</v>
      </c>
      <c r="I220">
        <v>0</v>
      </c>
      <c r="J220">
        <v>1.18</v>
      </c>
      <c r="K220">
        <v>23.136291249999999</v>
      </c>
      <c r="L220">
        <v>0.1203845993986366</v>
      </c>
      <c r="M220">
        <v>-0.70500640664558378</v>
      </c>
      <c r="N220">
        <v>-6.2989016477138868E-3</v>
      </c>
      <c r="O220">
        <v>0.5679603096557615</v>
      </c>
    </row>
    <row r="221" spans="1:15" x14ac:dyDescent="0.25">
      <c r="A221">
        <v>144.33380124999999</v>
      </c>
      <c r="B221">
        <v>87.879863749999998</v>
      </c>
      <c r="C221">
        <v>198.26173399999999</v>
      </c>
      <c r="D221">
        <v>235.55018250000001</v>
      </c>
      <c r="E221">
        <v>333.49927524999998</v>
      </c>
      <c r="F221">
        <v>7.3090177499999998</v>
      </c>
      <c r="G221">
        <v>334.73394024999999</v>
      </c>
      <c r="H221">
        <v>-8</v>
      </c>
      <c r="I221">
        <v>4</v>
      </c>
      <c r="J221">
        <v>1.18</v>
      </c>
      <c r="K221">
        <v>23.557534</v>
      </c>
      <c r="L221">
        <v>-0.24804310353828901</v>
      </c>
      <c r="M221">
        <v>-0.67932493626244927</v>
      </c>
      <c r="N221">
        <v>-5.699762654578687E-3</v>
      </c>
      <c r="O221">
        <v>0.50046990894094079</v>
      </c>
    </row>
    <row r="222" spans="1:15" x14ac:dyDescent="0.25">
      <c r="A222">
        <v>97.170299749999998</v>
      </c>
      <c r="B222">
        <v>85.943651250000002</v>
      </c>
      <c r="C222">
        <v>223.5976905</v>
      </c>
      <c r="D222">
        <v>226.90422425</v>
      </c>
      <c r="E222">
        <v>320.40070374999999</v>
      </c>
      <c r="F222">
        <v>7.0653847499999998</v>
      </c>
      <c r="G222">
        <v>324.25099925000001</v>
      </c>
      <c r="H222">
        <v>-8</v>
      </c>
      <c r="I222">
        <v>8</v>
      </c>
      <c r="J222">
        <v>1.18</v>
      </c>
      <c r="K222">
        <v>23.186240250000001</v>
      </c>
      <c r="L222">
        <v>-0.55246181994151522</v>
      </c>
      <c r="M222">
        <v>-0.61601216770059442</v>
      </c>
      <c r="N222">
        <v>-1.6849328897306021E-2</v>
      </c>
      <c r="O222">
        <v>0.36920061133689158</v>
      </c>
    </row>
    <row r="223" spans="1:15" x14ac:dyDescent="0.25">
      <c r="A223">
        <v>49.152623249999998</v>
      </c>
      <c r="B223">
        <v>80.659187250000002</v>
      </c>
      <c r="C223">
        <v>230.236515</v>
      </c>
      <c r="D223">
        <v>206.28179175</v>
      </c>
      <c r="E223">
        <v>288.749573</v>
      </c>
      <c r="F223">
        <v>6.6268459999999996</v>
      </c>
      <c r="G223">
        <v>298.92388925</v>
      </c>
      <c r="H223">
        <v>-8</v>
      </c>
      <c r="I223">
        <v>12</v>
      </c>
      <c r="J223">
        <v>1.18</v>
      </c>
      <c r="K223">
        <v>22.257983249999999</v>
      </c>
      <c r="L223">
        <v>-0.80897382859065348</v>
      </c>
      <c r="M223">
        <v>-0.56120818990138477</v>
      </c>
      <c r="N223">
        <v>-4.5455001687911563E-2</v>
      </c>
      <c r="O223">
        <v>0.26035677962870951</v>
      </c>
    </row>
    <row r="224" spans="1:15" x14ac:dyDescent="0.25">
      <c r="A224">
        <v>5.7769697500000001</v>
      </c>
      <c r="B224">
        <v>78.259738999999996</v>
      </c>
      <c r="C224">
        <v>237.01083775000001</v>
      </c>
      <c r="D224">
        <v>186.91548125</v>
      </c>
      <c r="E224">
        <v>264.25122825</v>
      </c>
      <c r="F224">
        <v>6.0908542499999996</v>
      </c>
      <c r="G224">
        <v>281.67905424999998</v>
      </c>
      <c r="H224">
        <v>-8</v>
      </c>
      <c r="I224">
        <v>16</v>
      </c>
      <c r="J224">
        <v>1.18</v>
      </c>
      <c r="K224">
        <v>21.612452999999999</v>
      </c>
      <c r="L224">
        <v>-1.0405078901685201</v>
      </c>
      <c r="M224">
        <v>-0.48892312144903988</v>
      </c>
      <c r="N224">
        <v>-7.8436294755334285E-2</v>
      </c>
      <c r="O224">
        <v>0.16166913796308571</v>
      </c>
    </row>
    <row r="225" spans="1:15" x14ac:dyDescent="0.25">
      <c r="A225">
        <v>-30.863226749999999</v>
      </c>
      <c r="B225">
        <v>69.938331750000003</v>
      </c>
      <c r="C225">
        <v>238.68182775</v>
      </c>
      <c r="D225">
        <v>166.4205475</v>
      </c>
      <c r="E225">
        <v>236.876419</v>
      </c>
      <c r="F225">
        <v>5.6523149999999998</v>
      </c>
      <c r="G225">
        <v>266.63482675</v>
      </c>
      <c r="H225">
        <v>-8</v>
      </c>
      <c r="I225">
        <v>20</v>
      </c>
      <c r="J225">
        <v>1.18</v>
      </c>
      <c r="K225">
        <v>21.0319225</v>
      </c>
      <c r="L225">
        <v>-1.2402040450024301</v>
      </c>
      <c r="M225">
        <v>-0.44393151187296559</v>
      </c>
      <c r="N225">
        <v>-0.1369223674983123</v>
      </c>
      <c r="O225">
        <v>6.3893287832701429E-2</v>
      </c>
    </row>
    <row r="226" spans="1:15" x14ac:dyDescent="0.25">
      <c r="A226">
        <v>-69.912918250000004</v>
      </c>
      <c r="B226">
        <v>64.109070750000001</v>
      </c>
      <c r="C226">
        <v>261.75968175000003</v>
      </c>
      <c r="D226">
        <v>159.57476449999999</v>
      </c>
      <c r="E226">
        <v>228.39782725000001</v>
      </c>
      <c r="F226">
        <v>6.1395805000000001</v>
      </c>
      <c r="G226">
        <v>279.23836525000002</v>
      </c>
      <c r="H226">
        <v>-8</v>
      </c>
      <c r="I226">
        <v>24</v>
      </c>
      <c r="J226">
        <v>1.18</v>
      </c>
      <c r="K226">
        <v>21.514609750000002</v>
      </c>
      <c r="L226">
        <v>-1.433970010540796</v>
      </c>
      <c r="M226">
        <v>-0.41274271782712779</v>
      </c>
      <c r="N226">
        <v>-0.2198382611206757</v>
      </c>
      <c r="O226">
        <v>-3.9087191678498133E-2</v>
      </c>
    </row>
    <row r="227" spans="1:15" x14ac:dyDescent="0.25">
      <c r="A227">
        <v>-115.29026775</v>
      </c>
      <c r="B227">
        <v>38.766295499999998</v>
      </c>
      <c r="C227">
        <v>287.86338799999999</v>
      </c>
      <c r="D227">
        <v>150.95281600000001</v>
      </c>
      <c r="E227">
        <v>213.66212075000001</v>
      </c>
      <c r="F227">
        <v>6.5781194999999997</v>
      </c>
      <c r="G227">
        <v>298.68382274999999</v>
      </c>
      <c r="H227">
        <v>-8</v>
      </c>
      <c r="I227">
        <v>28</v>
      </c>
      <c r="J227">
        <v>1.18</v>
      </c>
      <c r="K227">
        <v>22.250699000000001</v>
      </c>
      <c r="L227">
        <v>-1.6003078333205949</v>
      </c>
      <c r="M227">
        <v>-0.44530188446048818</v>
      </c>
      <c r="N227">
        <v>-0.33749091066207021</v>
      </c>
      <c r="O227">
        <v>-0.17798247570158129</v>
      </c>
    </row>
    <row r="228" spans="1:15" x14ac:dyDescent="0.25">
      <c r="A228">
        <v>-165.5582885</v>
      </c>
      <c r="B228">
        <v>4.1366765000000001</v>
      </c>
      <c r="C228">
        <v>308.95409425000003</v>
      </c>
      <c r="D228">
        <v>135.38878650000001</v>
      </c>
      <c r="E228">
        <v>186.03803675</v>
      </c>
      <c r="F228">
        <v>6.8704787500000002</v>
      </c>
      <c r="G228">
        <v>315.12843350000003</v>
      </c>
      <c r="H228">
        <v>-8</v>
      </c>
      <c r="I228">
        <v>32</v>
      </c>
      <c r="J228">
        <v>1.18</v>
      </c>
      <c r="K228">
        <v>22.857619750000001</v>
      </c>
      <c r="L228">
        <v>-1.77887290836324</v>
      </c>
      <c r="M228">
        <v>-0.49204687911168521</v>
      </c>
      <c r="N228">
        <v>-0.48394314490372847</v>
      </c>
      <c r="O228">
        <v>-0.32832293625770409</v>
      </c>
    </row>
    <row r="229" spans="1:15" x14ac:dyDescent="0.25">
      <c r="A229">
        <v>-214.6487425</v>
      </c>
      <c r="B229">
        <v>-38.4213095</v>
      </c>
      <c r="C229">
        <v>325.43827850000002</v>
      </c>
      <c r="D229">
        <v>112.87501899999999</v>
      </c>
      <c r="E229">
        <v>145.01351174999999</v>
      </c>
      <c r="F229">
        <v>7.2115644999999997</v>
      </c>
      <c r="G229">
        <v>328.85228749999999</v>
      </c>
      <c r="H229">
        <v>-8</v>
      </c>
      <c r="I229">
        <v>36</v>
      </c>
      <c r="J229">
        <v>1.18</v>
      </c>
      <c r="K229">
        <v>23.348519</v>
      </c>
      <c r="L229">
        <v>-1.988982209922622</v>
      </c>
      <c r="M229">
        <v>-0.55714951995387041</v>
      </c>
      <c r="N229">
        <v>-0.67710152717431527</v>
      </c>
      <c r="O229">
        <v>-0.49254081966268909</v>
      </c>
    </row>
    <row r="230" spans="1:15" x14ac:dyDescent="0.25">
      <c r="A230">
        <v>-260.43373124999999</v>
      </c>
      <c r="B230">
        <v>-87.491214999999997</v>
      </c>
      <c r="C230">
        <v>333.115837</v>
      </c>
      <c r="D230">
        <v>79.256519249999997</v>
      </c>
      <c r="E230">
        <v>87.833936750000007</v>
      </c>
      <c r="F230">
        <v>7.3090175000000004</v>
      </c>
      <c r="G230">
        <v>336.17433175000002</v>
      </c>
      <c r="H230">
        <v>-8</v>
      </c>
      <c r="I230">
        <v>40</v>
      </c>
      <c r="J230">
        <v>1.18</v>
      </c>
      <c r="K230">
        <v>23.609250249999999</v>
      </c>
      <c r="L230">
        <v>-2.2672684367933038</v>
      </c>
      <c r="M230">
        <v>-0.63695027254491887</v>
      </c>
      <c r="N230">
        <v>-0.94865814410723515</v>
      </c>
      <c r="O230">
        <v>-0.69243893615438268</v>
      </c>
    </row>
    <row r="231" spans="1:15" x14ac:dyDescent="0.25">
      <c r="A231">
        <v>-277.59756475</v>
      </c>
      <c r="B231">
        <v>-125.145067</v>
      </c>
      <c r="C231">
        <v>305.02500924999998</v>
      </c>
      <c r="D231">
        <v>35.315096750000002</v>
      </c>
      <c r="E231">
        <v>19.264188999999998</v>
      </c>
      <c r="F231">
        <v>6.5781194999999997</v>
      </c>
      <c r="G231">
        <v>307.84639725</v>
      </c>
      <c r="H231">
        <v>-8</v>
      </c>
      <c r="I231">
        <v>44</v>
      </c>
      <c r="J231">
        <v>1.18</v>
      </c>
      <c r="K231">
        <v>22.596961</v>
      </c>
      <c r="L231">
        <v>-2.640756518066151</v>
      </c>
      <c r="M231">
        <v>-0.72728152654643008</v>
      </c>
      <c r="N231">
        <v>-1.3081020609362071</v>
      </c>
      <c r="O231">
        <v>-0.94253867470402475</v>
      </c>
    </row>
    <row r="232" spans="1:15" x14ac:dyDescent="0.25">
      <c r="A232">
        <v>281.53684225000001</v>
      </c>
      <c r="B232">
        <v>-113.20135500000001</v>
      </c>
      <c r="C232">
        <v>-293.29138175000003</v>
      </c>
      <c r="D232">
        <v>-46.635109999999997</v>
      </c>
      <c r="E232">
        <v>-39.025711000000001</v>
      </c>
      <c r="F232">
        <v>6.1883067500000006</v>
      </c>
      <c r="G232">
        <v>283.47956099999999</v>
      </c>
      <c r="H232">
        <v>-4</v>
      </c>
      <c r="I232">
        <v>-44</v>
      </c>
      <c r="J232">
        <v>1.18</v>
      </c>
      <c r="K232">
        <v>21.6791275</v>
      </c>
      <c r="L232">
        <v>3.5004110716593129</v>
      </c>
      <c r="M232">
        <v>-0.40530203742057891</v>
      </c>
      <c r="N232">
        <v>-1.96391767037732</v>
      </c>
      <c r="O232">
        <v>-1.275341272733947</v>
      </c>
    </row>
    <row r="233" spans="1:15" x14ac:dyDescent="0.25">
      <c r="A233">
        <v>267.0142745</v>
      </c>
      <c r="B233">
        <v>-66.913513249999994</v>
      </c>
      <c r="C233">
        <v>-244.56738325000001</v>
      </c>
      <c r="D233">
        <v>-8.08575175</v>
      </c>
      <c r="E233">
        <v>20.961182749999999</v>
      </c>
      <c r="F233">
        <v>5.8472212499999996</v>
      </c>
      <c r="G233">
        <v>267.07495875000001</v>
      </c>
      <c r="H233">
        <v>-4</v>
      </c>
      <c r="I233">
        <v>-40</v>
      </c>
      <c r="J233">
        <v>1.18</v>
      </c>
      <c r="K233">
        <v>21.041798750000002</v>
      </c>
      <c r="L233">
        <v>2.8952226581116469</v>
      </c>
      <c r="M233">
        <v>-0.33294067987291742</v>
      </c>
      <c r="N233">
        <v>-1.3928689539381061</v>
      </c>
      <c r="O233">
        <v>-0.91449505200097747</v>
      </c>
    </row>
    <row r="234" spans="1:15" x14ac:dyDescent="0.25">
      <c r="A234">
        <v>251.50715625000001</v>
      </c>
      <c r="B234">
        <v>-24.608589500000001</v>
      </c>
      <c r="C234">
        <v>-196.11406324999999</v>
      </c>
      <c r="D234">
        <v>25.763252250000001</v>
      </c>
      <c r="E234">
        <v>70.043630750000005</v>
      </c>
      <c r="F234">
        <v>5.554862</v>
      </c>
      <c r="G234">
        <v>252.63089350000001</v>
      </c>
      <c r="H234">
        <v>-4</v>
      </c>
      <c r="I234">
        <v>-36</v>
      </c>
      <c r="J234">
        <v>1.18</v>
      </c>
      <c r="K234">
        <v>20.463924250000002</v>
      </c>
      <c r="L234">
        <v>2.4812995351415328</v>
      </c>
      <c r="M234">
        <v>-0.27914336032311438</v>
      </c>
      <c r="N234">
        <v>-1.012162321809271</v>
      </c>
      <c r="O234">
        <v>-0.64255712219435124</v>
      </c>
    </row>
    <row r="235" spans="1:15" x14ac:dyDescent="0.25">
      <c r="A235">
        <v>264.29616575</v>
      </c>
      <c r="B235">
        <v>12.745792</v>
      </c>
      <c r="C235">
        <v>-169.49632650000001</v>
      </c>
      <c r="D235">
        <v>61.516375500000002</v>
      </c>
      <c r="E235">
        <v>122.17877025</v>
      </c>
      <c r="F235">
        <v>5.7984945000000003</v>
      </c>
      <c r="G235">
        <v>265.23443600000002</v>
      </c>
      <c r="H235">
        <v>-4</v>
      </c>
      <c r="I235">
        <v>-32</v>
      </c>
      <c r="J235">
        <v>1.18</v>
      </c>
      <c r="K235">
        <v>20.969516250000002</v>
      </c>
      <c r="L235">
        <v>2.1630099087016448</v>
      </c>
      <c r="M235">
        <v>-0.24315333066106001</v>
      </c>
      <c r="N235">
        <v>-0.71332287521172921</v>
      </c>
      <c r="O235">
        <v>-0.4197063487018895</v>
      </c>
    </row>
    <row r="236" spans="1:15" x14ac:dyDescent="0.25">
      <c r="A236">
        <v>280.88653549999998</v>
      </c>
      <c r="B236">
        <v>52.518471750000003</v>
      </c>
      <c r="C236">
        <v>-141.70560449999999</v>
      </c>
      <c r="D236">
        <v>94.077121500000004</v>
      </c>
      <c r="E236">
        <v>176.13768775</v>
      </c>
      <c r="F236">
        <v>6.1883067500000006</v>
      </c>
      <c r="G236">
        <v>284.19976050000002</v>
      </c>
      <c r="H236">
        <v>-4</v>
      </c>
      <c r="I236">
        <v>-28</v>
      </c>
      <c r="J236">
        <v>1.18</v>
      </c>
      <c r="K236">
        <v>21.70726075</v>
      </c>
      <c r="L236">
        <v>1.9145105705355769</v>
      </c>
      <c r="M236">
        <v>-0.1882787460894019</v>
      </c>
      <c r="N236">
        <v>-0.48956475884695122</v>
      </c>
      <c r="O236">
        <v>-0.23006404635677319</v>
      </c>
    </row>
    <row r="237" spans="1:15" x14ac:dyDescent="0.25">
      <c r="A237">
        <v>292.82669850000002</v>
      </c>
      <c r="B237">
        <v>87.976064500000007</v>
      </c>
      <c r="C237">
        <v>-109.4485225</v>
      </c>
      <c r="D237">
        <v>124.180048</v>
      </c>
      <c r="E237">
        <v>223.733925</v>
      </c>
      <c r="F237">
        <v>6.5781194999999997</v>
      </c>
      <c r="G237">
        <v>300.68437975000001</v>
      </c>
      <c r="H237">
        <v>-4</v>
      </c>
      <c r="I237">
        <v>-24</v>
      </c>
      <c r="J237">
        <v>1.18</v>
      </c>
      <c r="K237">
        <v>22.32676575</v>
      </c>
      <c r="L237">
        <v>1.7156707944590031</v>
      </c>
      <c r="M237">
        <v>-0.15440801310133939</v>
      </c>
      <c r="N237">
        <v>-0.32818707779045853</v>
      </c>
      <c r="O237">
        <v>-7.3844478072218195E-2</v>
      </c>
    </row>
    <row r="238" spans="1:15" x14ac:dyDescent="0.25">
      <c r="A238">
        <v>296.99780275000001</v>
      </c>
      <c r="B238">
        <v>119.32929774999999</v>
      </c>
      <c r="C238">
        <v>-70.830251750000002</v>
      </c>
      <c r="D238">
        <v>152.35498799999999</v>
      </c>
      <c r="E238">
        <v>267.24645974999999</v>
      </c>
      <c r="F238">
        <v>7.1141120000000004</v>
      </c>
      <c r="G238">
        <v>316.28876524999998</v>
      </c>
      <c r="H238">
        <v>-4</v>
      </c>
      <c r="I238">
        <v>-20</v>
      </c>
      <c r="J238">
        <v>1.18</v>
      </c>
      <c r="K238">
        <v>22.891578500000001</v>
      </c>
      <c r="L238">
        <v>1.513745032220124</v>
      </c>
      <c r="M238">
        <v>-0.13590789105784681</v>
      </c>
      <c r="N238">
        <v>-0.20184748772937369</v>
      </c>
      <c r="O238">
        <v>7.0509320936079922E-2</v>
      </c>
    </row>
    <row r="239" spans="1:15" x14ac:dyDescent="0.25">
      <c r="A239">
        <v>295.77938825000001</v>
      </c>
      <c r="B239">
        <v>144.24370225000001</v>
      </c>
      <c r="C239">
        <v>-29.956232499999999</v>
      </c>
      <c r="D239">
        <v>176.54249949999999</v>
      </c>
      <c r="E239">
        <v>302.49897025000001</v>
      </c>
      <c r="F239">
        <v>7.1628382500000001</v>
      </c>
      <c r="G239">
        <v>329.65250424999999</v>
      </c>
      <c r="H239">
        <v>-4</v>
      </c>
      <c r="I239">
        <v>-16</v>
      </c>
      <c r="J239">
        <v>1.18</v>
      </c>
      <c r="K239">
        <v>23.379317</v>
      </c>
      <c r="L239">
        <v>1.3276375482720379</v>
      </c>
      <c r="M239">
        <v>-0.1316127200105664</v>
      </c>
      <c r="N239">
        <v>-0.11069960834561809</v>
      </c>
      <c r="O239">
        <v>0.20372563467398491</v>
      </c>
    </row>
    <row r="240" spans="1:15" x14ac:dyDescent="0.25">
      <c r="A240">
        <v>282.81889324999997</v>
      </c>
      <c r="B240">
        <v>154.75539025</v>
      </c>
      <c r="C240">
        <v>15.400291749999999</v>
      </c>
      <c r="D240">
        <v>192.44840625000001</v>
      </c>
      <c r="E240">
        <v>324.11121374999999</v>
      </c>
      <c r="F240">
        <v>7.1141114999999999</v>
      </c>
      <c r="G240">
        <v>337.25463875000003</v>
      </c>
      <c r="H240">
        <v>-4</v>
      </c>
      <c r="I240">
        <v>-12</v>
      </c>
      <c r="J240">
        <v>1.18</v>
      </c>
      <c r="K240">
        <v>23.654970500000001</v>
      </c>
      <c r="L240">
        <v>1.118783690464926</v>
      </c>
      <c r="M240">
        <v>-0.15767030222695899</v>
      </c>
      <c r="N240">
        <v>-5.4998901185235913E-2</v>
      </c>
      <c r="O240">
        <v>0.32618092330215948</v>
      </c>
    </row>
    <row r="241" spans="1:15" x14ac:dyDescent="0.25">
      <c r="A241">
        <v>238.19403075</v>
      </c>
      <c r="B241">
        <v>140.59814449999999</v>
      </c>
      <c r="C241">
        <v>59.749498250000002</v>
      </c>
      <c r="D241">
        <v>184.82408525</v>
      </c>
      <c r="E241">
        <v>306.98921224999998</v>
      </c>
      <c r="F241">
        <v>6.8704789999999996</v>
      </c>
      <c r="G241">
        <v>311.24733750000001</v>
      </c>
      <c r="H241">
        <v>-4</v>
      </c>
      <c r="I241">
        <v>-8</v>
      </c>
      <c r="J241">
        <v>1.18</v>
      </c>
      <c r="K241">
        <v>22.713248</v>
      </c>
      <c r="L241">
        <v>0.86290991990360311</v>
      </c>
      <c r="M241">
        <v>-0.21379898993914359</v>
      </c>
      <c r="N241">
        <v>-2.0620797203235178E-2</v>
      </c>
      <c r="O241">
        <v>0.4511429535040527</v>
      </c>
    </row>
    <row r="242" spans="1:15" x14ac:dyDescent="0.25">
      <c r="A242">
        <v>194.218086</v>
      </c>
      <c r="B242">
        <v>124.89121249999999</v>
      </c>
      <c r="C242">
        <v>97.369550500000003</v>
      </c>
      <c r="D242">
        <v>174.26396149999999</v>
      </c>
      <c r="E242">
        <v>287.58723424999999</v>
      </c>
      <c r="F242">
        <v>6.2370330000000003</v>
      </c>
      <c r="G242">
        <v>288.84105675000001</v>
      </c>
      <c r="H242">
        <v>-4</v>
      </c>
      <c r="I242">
        <v>-4</v>
      </c>
      <c r="J242">
        <v>1.18</v>
      </c>
      <c r="K242">
        <v>21.885816999999999</v>
      </c>
      <c r="L242">
        <v>0.54887571887634312</v>
      </c>
      <c r="M242">
        <v>-0.27978387599937038</v>
      </c>
      <c r="N242">
        <v>-7.1181261403884984E-3</v>
      </c>
      <c r="O242">
        <v>0.59445084234662193</v>
      </c>
    </row>
    <row r="243" spans="1:15" x14ac:dyDescent="0.25">
      <c r="A243">
        <v>154.67940125000001</v>
      </c>
      <c r="B243">
        <v>113.1247635</v>
      </c>
      <c r="C243">
        <v>128.21527850000001</v>
      </c>
      <c r="D243">
        <v>164.13166799999999</v>
      </c>
      <c r="E243">
        <v>273.37104775</v>
      </c>
      <c r="F243">
        <v>5.7497680000000004</v>
      </c>
      <c r="G243">
        <v>273.39672074999999</v>
      </c>
      <c r="H243">
        <v>-4</v>
      </c>
      <c r="I243">
        <v>0</v>
      </c>
      <c r="J243">
        <v>1.18</v>
      </c>
      <c r="K243">
        <v>21.298784250000001</v>
      </c>
      <c r="L243">
        <v>0.17329866909355959</v>
      </c>
      <c r="M243">
        <v>-0.33401073866603448</v>
      </c>
      <c r="N243">
        <v>-1.88689339992409E-4</v>
      </c>
      <c r="O243">
        <v>0.75260917700171559</v>
      </c>
    </row>
    <row r="244" spans="1:15" x14ac:dyDescent="0.25">
      <c r="A244">
        <v>116.5399055</v>
      </c>
      <c r="B244">
        <v>109.0769805</v>
      </c>
      <c r="C244">
        <v>157.84163275</v>
      </c>
      <c r="D244">
        <v>159.44337874999999</v>
      </c>
      <c r="E244">
        <v>267.55940225000001</v>
      </c>
      <c r="F244">
        <v>5.6035884999999999</v>
      </c>
      <c r="G244">
        <v>266.55480225000002</v>
      </c>
      <c r="H244">
        <v>-4</v>
      </c>
      <c r="I244">
        <v>4</v>
      </c>
      <c r="J244">
        <v>1.18</v>
      </c>
      <c r="K244">
        <v>21.030681250000001</v>
      </c>
      <c r="L244">
        <v>-0.2668182091043334</v>
      </c>
      <c r="M244">
        <v>-0.32551122936950988</v>
      </c>
      <c r="N244">
        <v>6.4449215965986023E-3</v>
      </c>
      <c r="O244">
        <v>0.69281616271799118</v>
      </c>
    </row>
    <row r="245" spans="1:15" x14ac:dyDescent="0.25">
      <c r="A245">
        <v>85.384980999999996</v>
      </c>
      <c r="B245">
        <v>116.97248625</v>
      </c>
      <c r="C245">
        <v>198.93917074999999</v>
      </c>
      <c r="D245">
        <v>172.33596800000001</v>
      </c>
      <c r="E245">
        <v>283.96614075000002</v>
      </c>
      <c r="F245">
        <v>6.2370334999999999</v>
      </c>
      <c r="G245">
        <v>285.52011874999999</v>
      </c>
      <c r="H245">
        <v>-4</v>
      </c>
      <c r="I245">
        <v>8</v>
      </c>
      <c r="J245">
        <v>1.18</v>
      </c>
      <c r="K245">
        <v>21.75684025</v>
      </c>
      <c r="L245">
        <v>-0.62118455374787829</v>
      </c>
      <c r="M245">
        <v>-0.30293237284928848</v>
      </c>
      <c r="N245">
        <v>-8.5563003187401725E-3</v>
      </c>
      <c r="O245">
        <v>0.51947538852426567</v>
      </c>
    </row>
    <row r="246" spans="1:15" x14ac:dyDescent="0.25">
      <c r="A246">
        <v>49.242769249999988</v>
      </c>
      <c r="B246">
        <v>124.21797725</v>
      </c>
      <c r="C246">
        <v>238.45602400000001</v>
      </c>
      <c r="D246">
        <v>180.16790750000001</v>
      </c>
      <c r="E246">
        <v>298.18231974999998</v>
      </c>
      <c r="F246">
        <v>6.6755724999999986</v>
      </c>
      <c r="G246">
        <v>303.32513449999999</v>
      </c>
      <c r="H246">
        <v>-4</v>
      </c>
      <c r="I246">
        <v>12</v>
      </c>
      <c r="J246">
        <v>1.18</v>
      </c>
      <c r="K246">
        <v>22.423096000000001</v>
      </c>
      <c r="L246">
        <v>-0.89482738056855671</v>
      </c>
      <c r="M246">
        <v>-0.26458447789038292</v>
      </c>
      <c r="N246">
        <v>-2.4366599793955199E-2</v>
      </c>
      <c r="O246">
        <v>0.37863615304029069</v>
      </c>
    </row>
    <row r="247" spans="1:15" x14ac:dyDescent="0.25">
      <c r="A247">
        <v>4.7844302499999998</v>
      </c>
      <c r="B247">
        <v>127.06402575</v>
      </c>
      <c r="C247">
        <v>271.92116549999997</v>
      </c>
      <c r="D247">
        <v>183.32258974999999</v>
      </c>
      <c r="E247">
        <v>302.60812399999998</v>
      </c>
      <c r="F247">
        <v>7.1141114999999999</v>
      </c>
      <c r="G247">
        <v>318.04925550000002</v>
      </c>
      <c r="H247">
        <v>-4</v>
      </c>
      <c r="I247">
        <v>16</v>
      </c>
      <c r="J247">
        <v>1.18</v>
      </c>
      <c r="K247">
        <v>22.956661749999999</v>
      </c>
      <c r="L247">
        <v>-1.128657924818022</v>
      </c>
      <c r="M247">
        <v>-0.23765428828950241</v>
      </c>
      <c r="N247">
        <v>-6.5255827243111103E-2</v>
      </c>
      <c r="O247">
        <v>0.24850798105927741</v>
      </c>
    </row>
    <row r="248" spans="1:15" x14ac:dyDescent="0.25">
      <c r="A248">
        <v>-38.965729750000001</v>
      </c>
      <c r="B248">
        <v>126.33373425000001</v>
      </c>
      <c r="C248">
        <v>300.05715175</v>
      </c>
      <c r="D248">
        <v>179.94890975000001</v>
      </c>
      <c r="E248">
        <v>298.76348150000001</v>
      </c>
      <c r="F248">
        <v>7.2602907500000002</v>
      </c>
      <c r="G248">
        <v>331.37298600000003</v>
      </c>
      <c r="H248">
        <v>-4</v>
      </c>
      <c r="I248">
        <v>20</v>
      </c>
      <c r="J248">
        <v>1.18</v>
      </c>
      <c r="K248">
        <v>23.43807</v>
      </c>
      <c r="L248">
        <v>-1.3290762425382481</v>
      </c>
      <c r="M248">
        <v>-0.21018444965030081</v>
      </c>
      <c r="N248">
        <v>-0.12785300946623041</v>
      </c>
      <c r="O248">
        <v>0.1428090046085336</v>
      </c>
    </row>
    <row r="249" spans="1:15" x14ac:dyDescent="0.25">
      <c r="A249">
        <v>-82.486419499999997</v>
      </c>
      <c r="B249">
        <v>112.01063550000001</v>
      </c>
      <c r="C249">
        <v>313.92192825000001</v>
      </c>
      <c r="D249">
        <v>160.94330600000001</v>
      </c>
      <c r="E249">
        <v>275.74041725000001</v>
      </c>
      <c r="F249">
        <v>7.309018</v>
      </c>
      <c r="G249">
        <v>331.53303549999998</v>
      </c>
      <c r="H249">
        <v>-4</v>
      </c>
      <c r="I249">
        <v>24</v>
      </c>
      <c r="J249">
        <v>1.18</v>
      </c>
      <c r="K249">
        <v>23.442072249999999</v>
      </c>
      <c r="L249">
        <v>-1.5189313630208141</v>
      </c>
      <c r="M249">
        <v>-0.187486348759275</v>
      </c>
      <c r="N249">
        <v>-0.21378106820621781</v>
      </c>
      <c r="O249">
        <v>2.8563353058795218E-2</v>
      </c>
    </row>
    <row r="250" spans="1:15" x14ac:dyDescent="0.25">
      <c r="A250">
        <v>-113.26295475000001</v>
      </c>
      <c r="B250">
        <v>78.494874750000008</v>
      </c>
      <c r="C250">
        <v>295.992569</v>
      </c>
      <c r="D250">
        <v>127.15159224999999</v>
      </c>
      <c r="E250">
        <v>222.98853675000001</v>
      </c>
      <c r="F250">
        <v>6.7730255000000001</v>
      </c>
      <c r="G250">
        <v>304.64549249999999</v>
      </c>
      <c r="H250">
        <v>-4</v>
      </c>
      <c r="I250">
        <v>28</v>
      </c>
      <c r="J250">
        <v>1.18</v>
      </c>
      <c r="K250">
        <v>22.469258499999999</v>
      </c>
      <c r="L250">
        <v>-1.702588246609088</v>
      </c>
      <c r="M250">
        <v>-0.2023960319678324</v>
      </c>
      <c r="N250">
        <v>-0.33970499708958601</v>
      </c>
      <c r="O250">
        <v>-0.10047494719881669</v>
      </c>
    </row>
    <row r="251" spans="1:15" x14ac:dyDescent="0.25">
      <c r="A251">
        <v>-146.18668374999999</v>
      </c>
      <c r="B251">
        <v>43.867793249999998</v>
      </c>
      <c r="C251">
        <v>283.88911424999998</v>
      </c>
      <c r="D251">
        <v>95.911281250000002</v>
      </c>
      <c r="E251">
        <v>172.91893400000001</v>
      </c>
      <c r="F251">
        <v>6.3832132499999998</v>
      </c>
      <c r="G251">
        <v>286.80049150000002</v>
      </c>
      <c r="H251">
        <v>-4</v>
      </c>
      <c r="I251">
        <v>32</v>
      </c>
      <c r="J251">
        <v>1.18</v>
      </c>
      <c r="K251">
        <v>21.80097825</v>
      </c>
      <c r="L251">
        <v>-1.919295459132881</v>
      </c>
      <c r="M251">
        <v>-0.23220395863573301</v>
      </c>
      <c r="N251">
        <v>-0.50822409023295767</v>
      </c>
      <c r="O251">
        <v>-0.25675455143971532</v>
      </c>
    </row>
    <row r="252" spans="1:15" x14ac:dyDescent="0.25">
      <c r="A252">
        <v>-175.28936775</v>
      </c>
      <c r="B252">
        <v>9.5712847500000002</v>
      </c>
      <c r="C252">
        <v>271.46952825</v>
      </c>
      <c r="D252">
        <v>63.137629750000002</v>
      </c>
      <c r="E252">
        <v>122.17079</v>
      </c>
      <c r="F252">
        <v>5.9446744999999996</v>
      </c>
      <c r="G252">
        <v>271.83629624999998</v>
      </c>
      <c r="H252">
        <v>-4</v>
      </c>
      <c r="I252">
        <v>36</v>
      </c>
      <c r="J252">
        <v>1.18</v>
      </c>
      <c r="K252">
        <v>21.228811499999999</v>
      </c>
      <c r="L252">
        <v>-2.1790465717009568</v>
      </c>
      <c r="M252">
        <v>-0.26122849316497432</v>
      </c>
      <c r="N252">
        <v>-0.73003716275425801</v>
      </c>
      <c r="O252">
        <v>-0.43311659576420891</v>
      </c>
    </row>
    <row r="253" spans="1:15" x14ac:dyDescent="0.25">
      <c r="A253">
        <v>-213.685688</v>
      </c>
      <c r="B253">
        <v>-27.055049749999998</v>
      </c>
      <c r="C253">
        <v>274.54055775</v>
      </c>
      <c r="D253">
        <v>30.584917000000001</v>
      </c>
      <c r="E253">
        <v>74.156015499999995</v>
      </c>
      <c r="F253">
        <v>6.0421279999999999</v>
      </c>
      <c r="G253">
        <v>274.63707725</v>
      </c>
      <c r="H253">
        <v>-4</v>
      </c>
      <c r="I253">
        <v>40</v>
      </c>
      <c r="J253">
        <v>1.18</v>
      </c>
      <c r="K253">
        <v>21.336457750000001</v>
      </c>
      <c r="L253">
        <v>-2.5098429131241669</v>
      </c>
      <c r="M253">
        <v>-0.29628248254090639</v>
      </c>
      <c r="N253">
        <v>-1.0306513034733309</v>
      </c>
      <c r="O253">
        <v>-0.64983939790971734</v>
      </c>
    </row>
    <row r="254" spans="1:15" x14ac:dyDescent="0.25">
      <c r="A254">
        <v>-268.63272074999998</v>
      </c>
      <c r="B254">
        <v>-73.782864000000004</v>
      </c>
      <c r="C254">
        <v>294.72803475000001</v>
      </c>
      <c r="D254">
        <v>-6.4686005</v>
      </c>
      <c r="E254">
        <v>20.025367249999999</v>
      </c>
      <c r="F254">
        <v>6.4806662499999996</v>
      </c>
      <c r="G254">
        <v>295.002792</v>
      </c>
      <c r="H254">
        <v>-4</v>
      </c>
      <c r="I254">
        <v>44</v>
      </c>
      <c r="J254">
        <v>1.18</v>
      </c>
      <c r="K254">
        <v>22.113791500000001</v>
      </c>
      <c r="L254">
        <v>-2.9459363121264919</v>
      </c>
      <c r="M254">
        <v>-0.35199926800249459</v>
      </c>
      <c r="N254">
        <v>-1.4379161493288479</v>
      </c>
      <c r="O254">
        <v>-0.92917234756838429</v>
      </c>
    </row>
    <row r="255" spans="1:15" x14ac:dyDescent="0.25">
      <c r="A255">
        <v>316.35826874999998</v>
      </c>
      <c r="B255">
        <v>-78.905187749999996</v>
      </c>
      <c r="C255">
        <v>-332.36080175000001</v>
      </c>
      <c r="D255">
        <v>-101.399681</v>
      </c>
      <c r="E255">
        <v>-47.321464499999998</v>
      </c>
      <c r="F255">
        <v>6.7242990000000002</v>
      </c>
      <c r="G255">
        <v>317.20901500000002</v>
      </c>
      <c r="H255">
        <v>0</v>
      </c>
      <c r="I255">
        <v>-44</v>
      </c>
      <c r="J255">
        <v>1.18</v>
      </c>
      <c r="K255">
        <v>22.940028999999999</v>
      </c>
      <c r="L255">
        <v>3.8259263171532401</v>
      </c>
      <c r="M255">
        <v>0.1326626877181761</v>
      </c>
      <c r="N255">
        <v>-2.1498778433689609</v>
      </c>
      <c r="O255">
        <v>-1.318741781490721</v>
      </c>
    </row>
    <row r="256" spans="1:15" x14ac:dyDescent="0.25">
      <c r="A256">
        <v>331.40996575000003</v>
      </c>
      <c r="B256">
        <v>-35.737700500000003</v>
      </c>
      <c r="C256">
        <v>-307.50254799999999</v>
      </c>
      <c r="D256">
        <v>-58.392228000000003</v>
      </c>
      <c r="E256">
        <v>22.572983749999999</v>
      </c>
      <c r="F256">
        <v>7.2602907500000002</v>
      </c>
      <c r="G256">
        <v>331.21295175</v>
      </c>
      <c r="H256">
        <v>0</v>
      </c>
      <c r="I256">
        <v>-40</v>
      </c>
      <c r="J256">
        <v>1.18</v>
      </c>
      <c r="K256">
        <v>23.432279000000001</v>
      </c>
      <c r="L256">
        <v>3.1088866816180309</v>
      </c>
      <c r="M256">
        <v>0.1102005359783913</v>
      </c>
      <c r="N256">
        <v>-1.5018348427351369</v>
      </c>
      <c r="O256">
        <v>-0.92554029928792836</v>
      </c>
    </row>
    <row r="257" spans="1:15" x14ac:dyDescent="0.25">
      <c r="A257">
        <v>330.59590150000002</v>
      </c>
      <c r="B257">
        <v>14.188742749999999</v>
      </c>
      <c r="C257">
        <v>-261.12451924999999</v>
      </c>
      <c r="D257">
        <v>-11.975651750000001</v>
      </c>
      <c r="E257">
        <v>91.50516125</v>
      </c>
      <c r="F257">
        <v>7.2602912499999999</v>
      </c>
      <c r="G257">
        <v>330.69281749999999</v>
      </c>
      <c r="H257">
        <v>0</v>
      </c>
      <c r="I257">
        <v>-36</v>
      </c>
      <c r="J257">
        <v>1.18</v>
      </c>
      <c r="K257">
        <v>23.413448249999998</v>
      </c>
      <c r="L257">
        <v>2.594625077103236</v>
      </c>
      <c r="M257">
        <v>0.1147193073843276</v>
      </c>
      <c r="N257">
        <v>-1.0488047393004041</v>
      </c>
      <c r="O257">
        <v>-0.63058388910285668</v>
      </c>
    </row>
    <row r="258" spans="1:15" x14ac:dyDescent="0.25">
      <c r="A258">
        <v>301.77584074999999</v>
      </c>
      <c r="B258">
        <v>51.985904750000003</v>
      </c>
      <c r="C258">
        <v>-195.12154025000001</v>
      </c>
      <c r="D258">
        <v>31.10488075</v>
      </c>
      <c r="E258">
        <v>139.52430325</v>
      </c>
      <c r="F258">
        <v>6.6268459999999996</v>
      </c>
      <c r="G258">
        <v>303.12506875000003</v>
      </c>
      <c r="H258">
        <v>0</v>
      </c>
      <c r="I258">
        <v>-32</v>
      </c>
      <c r="J258">
        <v>1.18</v>
      </c>
      <c r="K258">
        <v>22.417371500000002</v>
      </c>
      <c r="L258">
        <v>2.243060061439202</v>
      </c>
      <c r="M258">
        <v>9.4278729148147056E-2</v>
      </c>
      <c r="N258">
        <v>-0.7385314055904223</v>
      </c>
      <c r="O258">
        <v>-0.40012448808175172</v>
      </c>
    </row>
    <row r="259" spans="1:15" x14ac:dyDescent="0.25">
      <c r="A259">
        <v>282.195358</v>
      </c>
      <c r="B259">
        <v>84.651246999999998</v>
      </c>
      <c r="C259">
        <v>-141.48003374999999</v>
      </c>
      <c r="D259">
        <v>62.958543749999997</v>
      </c>
      <c r="E259">
        <v>178.23882674999999</v>
      </c>
      <c r="F259">
        <v>6.4806662499999996</v>
      </c>
      <c r="G259">
        <v>285.76020075000002</v>
      </c>
      <c r="H259">
        <v>0</v>
      </c>
      <c r="I259">
        <v>-28</v>
      </c>
      <c r="J259">
        <v>1.18</v>
      </c>
      <c r="K259">
        <v>21.7567135</v>
      </c>
      <c r="L259">
        <v>1.9479973967716231</v>
      </c>
      <c r="M259">
        <v>9.9759721275475666E-2</v>
      </c>
      <c r="N259">
        <v>-0.4943871149297312</v>
      </c>
      <c r="O259">
        <v>-0.21033086848453311</v>
      </c>
    </row>
    <row r="260" spans="1:15" x14ac:dyDescent="0.25">
      <c r="A260">
        <v>260.74771149999998</v>
      </c>
      <c r="B260">
        <v>107.34556000000001</v>
      </c>
      <c r="C260">
        <v>-94.199724000000003</v>
      </c>
      <c r="D260">
        <v>86.359647499999994</v>
      </c>
      <c r="E260">
        <v>202.78186400000001</v>
      </c>
      <c r="F260">
        <v>5.9446744999999996</v>
      </c>
      <c r="G260">
        <v>268.63539924999998</v>
      </c>
      <c r="H260">
        <v>0</v>
      </c>
      <c r="I260">
        <v>-24</v>
      </c>
      <c r="J260">
        <v>1.18</v>
      </c>
      <c r="K260">
        <v>21.10064775</v>
      </c>
      <c r="L260">
        <v>1.717184058606841</v>
      </c>
      <c r="M260">
        <v>0.10152949668946661</v>
      </c>
      <c r="N260">
        <v>-0.31859103833091401</v>
      </c>
      <c r="O260">
        <v>-4.771819533594248E-2</v>
      </c>
    </row>
    <row r="261" spans="1:15" x14ac:dyDescent="0.25">
      <c r="A261">
        <v>262.35530875000001</v>
      </c>
      <c r="B261">
        <v>133.74909224999999</v>
      </c>
      <c r="C261">
        <v>-60.363615000000003</v>
      </c>
      <c r="D261">
        <v>108.71231849999999</v>
      </c>
      <c r="E261">
        <v>236.26591074999999</v>
      </c>
      <c r="F261">
        <v>5.9934012499999998</v>
      </c>
      <c r="G261">
        <v>277.99801600000001</v>
      </c>
      <c r="H261">
        <v>0</v>
      </c>
      <c r="I261">
        <v>-20</v>
      </c>
      <c r="J261">
        <v>1.18</v>
      </c>
      <c r="K261">
        <v>21.471454250000001</v>
      </c>
      <c r="L261">
        <v>1.5216082573260949</v>
      </c>
      <c r="M261">
        <v>0.1180285513258562</v>
      </c>
      <c r="N261">
        <v>-0.19676968892074759</v>
      </c>
      <c r="O261">
        <v>8.5736275662817801E-2</v>
      </c>
    </row>
    <row r="262" spans="1:15" x14ac:dyDescent="0.25">
      <c r="A262">
        <v>266.56301124999999</v>
      </c>
      <c r="B262">
        <v>157.91437124999999</v>
      </c>
      <c r="C262">
        <v>-23.775504250000001</v>
      </c>
      <c r="D262">
        <v>133.25036650000001</v>
      </c>
      <c r="E262">
        <v>274.80162024999998</v>
      </c>
      <c r="F262">
        <v>6.5781194999999997</v>
      </c>
      <c r="G262">
        <v>297.3234405</v>
      </c>
      <c r="H262">
        <v>0</v>
      </c>
      <c r="I262">
        <v>-16</v>
      </c>
      <c r="J262">
        <v>1.18</v>
      </c>
      <c r="K262">
        <v>22.198826</v>
      </c>
      <c r="L262">
        <v>1.319340180976539</v>
      </c>
      <c r="M262">
        <v>0.1120785677551801</v>
      </c>
      <c r="N262">
        <v>-0.10234363883959099</v>
      </c>
      <c r="O262">
        <v>0.21884070455949939</v>
      </c>
    </row>
    <row r="263" spans="1:15" x14ac:dyDescent="0.25">
      <c r="A263">
        <v>263.85539225000002</v>
      </c>
      <c r="B263">
        <v>173.84729375000001</v>
      </c>
      <c r="C263">
        <v>15.4454555</v>
      </c>
      <c r="D263">
        <v>148.279911</v>
      </c>
      <c r="E263">
        <v>302.60811649999999</v>
      </c>
      <c r="F263">
        <v>7.0166585000000001</v>
      </c>
      <c r="G263">
        <v>313.68803424999999</v>
      </c>
      <c r="H263">
        <v>0</v>
      </c>
      <c r="I263">
        <v>-12</v>
      </c>
      <c r="J263">
        <v>1.18</v>
      </c>
      <c r="K263">
        <v>22.7987185</v>
      </c>
      <c r="L263">
        <v>1.125340939023632</v>
      </c>
      <c r="M263">
        <v>0.1158047914327</v>
      </c>
      <c r="N263">
        <v>-5.0205906977785118E-2</v>
      </c>
      <c r="O263">
        <v>0.33907125539770128</v>
      </c>
    </row>
    <row r="264" spans="1:15" x14ac:dyDescent="0.25">
      <c r="A264">
        <v>251.03944025000001</v>
      </c>
      <c r="B264">
        <v>183.31150400000001</v>
      </c>
      <c r="C264">
        <v>63.543118749999998</v>
      </c>
      <c r="D264">
        <v>159.84785475000001</v>
      </c>
      <c r="E264">
        <v>322.99359924999999</v>
      </c>
      <c r="F264">
        <v>7.1628377499999996</v>
      </c>
      <c r="G264">
        <v>327.37187175000003</v>
      </c>
      <c r="H264">
        <v>0</v>
      </c>
      <c r="I264">
        <v>-8</v>
      </c>
      <c r="J264">
        <v>1.18</v>
      </c>
      <c r="K264">
        <v>23.296489999999999</v>
      </c>
      <c r="L264">
        <v>0.8874014675902373</v>
      </c>
      <c r="M264">
        <v>0.1110197582664898</v>
      </c>
      <c r="N264">
        <v>-2.074679158233882E-2</v>
      </c>
      <c r="O264">
        <v>0.49474253233028981</v>
      </c>
    </row>
    <row r="265" spans="1:15" x14ac:dyDescent="0.25">
      <c r="A265">
        <v>229.49887849999999</v>
      </c>
      <c r="B265">
        <v>189.009197</v>
      </c>
      <c r="C265">
        <v>112.22789</v>
      </c>
      <c r="D265">
        <v>162.08257275</v>
      </c>
      <c r="E265">
        <v>338.81916050000001</v>
      </c>
      <c r="F265">
        <v>6.8704787500000002</v>
      </c>
      <c r="G265">
        <v>339.29520400000001</v>
      </c>
      <c r="H265">
        <v>0</v>
      </c>
      <c r="I265">
        <v>-4</v>
      </c>
      <c r="J265">
        <v>1.18</v>
      </c>
      <c r="K265">
        <v>23.736700750000001</v>
      </c>
      <c r="L265">
        <v>0.58151286475737307</v>
      </c>
      <c r="M265">
        <v>0.1334868158140097</v>
      </c>
      <c r="N265">
        <v>-2.357769443433065E-3</v>
      </c>
      <c r="O265">
        <v>0.64606303190376635</v>
      </c>
    </row>
    <row r="266" spans="1:15" x14ac:dyDescent="0.25">
      <c r="A266">
        <v>176.60361499999999</v>
      </c>
      <c r="B266">
        <v>169.44669725</v>
      </c>
      <c r="C266">
        <v>144.74462149999999</v>
      </c>
      <c r="D266">
        <v>145.95756925000001</v>
      </c>
      <c r="E266">
        <v>309.80561849999998</v>
      </c>
      <c r="F266">
        <v>6.7242992499999996</v>
      </c>
      <c r="G266">
        <v>310.00699600000002</v>
      </c>
      <c r="H266">
        <v>0</v>
      </c>
      <c r="I266">
        <v>0</v>
      </c>
      <c r="J266">
        <v>1.18</v>
      </c>
      <c r="K266">
        <v>22.672403750000001</v>
      </c>
      <c r="L266">
        <v>0.19375349251282631</v>
      </c>
      <c r="M266">
        <v>0.14277356402720259</v>
      </c>
      <c r="N266">
        <v>-1.2516155180130959E-3</v>
      </c>
      <c r="O266">
        <v>0.84299058409640515</v>
      </c>
    </row>
    <row r="267" spans="1:15" x14ac:dyDescent="0.25">
      <c r="A267">
        <v>130.37946700000001</v>
      </c>
      <c r="B267">
        <v>156.65285125</v>
      </c>
      <c r="C267">
        <v>172.29350675000001</v>
      </c>
      <c r="D267">
        <v>139.12196750000001</v>
      </c>
      <c r="E267">
        <v>290.67187474999997</v>
      </c>
      <c r="F267">
        <v>6.4806662499999996</v>
      </c>
      <c r="G267">
        <v>290.96165474999998</v>
      </c>
      <c r="H267">
        <v>0</v>
      </c>
      <c r="I267">
        <v>4</v>
      </c>
      <c r="J267">
        <v>1.18</v>
      </c>
      <c r="K267">
        <v>21.958385249999999</v>
      </c>
      <c r="L267">
        <v>-0.26879629898964019</v>
      </c>
      <c r="M267">
        <v>0.1124374362801365</v>
      </c>
      <c r="N267">
        <v>-1.875879958242115E-3</v>
      </c>
      <c r="O267">
        <v>0.8226907169654305</v>
      </c>
    </row>
    <row r="268" spans="1:15" x14ac:dyDescent="0.25">
      <c r="A268">
        <v>84.16116550000001</v>
      </c>
      <c r="B268">
        <v>149.64106749999999</v>
      </c>
      <c r="C268">
        <v>192.255169</v>
      </c>
      <c r="D268">
        <v>134.47726449999999</v>
      </c>
      <c r="E268">
        <v>275.15924050000001</v>
      </c>
      <c r="F268">
        <v>6.1395799999999996</v>
      </c>
      <c r="G268">
        <v>275.67736024999999</v>
      </c>
      <c r="H268">
        <v>0</v>
      </c>
      <c r="I268">
        <v>8</v>
      </c>
      <c r="J268">
        <v>1.18</v>
      </c>
      <c r="K268">
        <v>21.373892250000001</v>
      </c>
      <c r="L268">
        <v>-0.65178960275385833</v>
      </c>
      <c r="M268">
        <v>9.1406443173508642E-2</v>
      </c>
      <c r="N268">
        <v>-3.1346103107171642E-3</v>
      </c>
      <c r="O268">
        <v>0.62218725850778589</v>
      </c>
    </row>
    <row r="269" spans="1:15" x14ac:dyDescent="0.25">
      <c r="A269">
        <v>42.6050635</v>
      </c>
      <c r="B269">
        <v>138.47201175000001</v>
      </c>
      <c r="C269">
        <v>203.86183174999999</v>
      </c>
      <c r="D269">
        <v>126.195673</v>
      </c>
      <c r="E269">
        <v>254.59495150000001</v>
      </c>
      <c r="F269">
        <v>5.5061355000000001</v>
      </c>
      <c r="G269">
        <v>258.55255875</v>
      </c>
      <c r="H269">
        <v>0</v>
      </c>
      <c r="I269">
        <v>12</v>
      </c>
      <c r="J269">
        <v>1.18</v>
      </c>
      <c r="K269">
        <v>20.709699499999999</v>
      </c>
      <c r="L269">
        <v>-0.94748663903401109</v>
      </c>
      <c r="M269">
        <v>7.2096046673676487E-2</v>
      </c>
      <c r="N269">
        <v>-2.3290510351020768E-2</v>
      </c>
      <c r="O269">
        <v>0.46360530743063688</v>
      </c>
    </row>
    <row r="270" spans="1:15" x14ac:dyDescent="0.25">
      <c r="A270">
        <v>5.05453025</v>
      </c>
      <c r="B270">
        <v>141.58846274999999</v>
      </c>
      <c r="C270">
        <v>237.5979385</v>
      </c>
      <c r="D270">
        <v>132.28636925000001</v>
      </c>
      <c r="E270">
        <v>263.40183999999999</v>
      </c>
      <c r="F270">
        <v>5.9446744999999996</v>
      </c>
      <c r="G270">
        <v>275.83741750000002</v>
      </c>
      <c r="H270">
        <v>0</v>
      </c>
      <c r="I270">
        <v>16</v>
      </c>
      <c r="J270">
        <v>1.18</v>
      </c>
      <c r="K270">
        <v>21.387944749999999</v>
      </c>
      <c r="L270">
        <v>-1.194240876585086</v>
      </c>
      <c r="M270">
        <v>4.7707919314913243E-2</v>
      </c>
      <c r="N270">
        <v>-6.3889148133410387E-2</v>
      </c>
      <c r="O270">
        <v>0.32215271596282891</v>
      </c>
    </row>
    <row r="271" spans="1:15" x14ac:dyDescent="0.25">
      <c r="A271">
        <v>-33.476462249999997</v>
      </c>
      <c r="B271">
        <v>145.40820725</v>
      </c>
      <c r="C271">
        <v>269.57273850000001</v>
      </c>
      <c r="D271">
        <v>135.44125750000001</v>
      </c>
      <c r="E271">
        <v>266.48648050000003</v>
      </c>
      <c r="F271">
        <v>6.3832129999999996</v>
      </c>
      <c r="G271">
        <v>295.32288349999999</v>
      </c>
      <c r="H271">
        <v>0</v>
      </c>
      <c r="I271">
        <v>20</v>
      </c>
      <c r="J271">
        <v>1.18</v>
      </c>
      <c r="K271">
        <v>22.129790249999999</v>
      </c>
      <c r="L271">
        <v>-1.406253089932225</v>
      </c>
      <c r="M271">
        <v>4.624057737728493E-2</v>
      </c>
      <c r="N271">
        <v>-0.13382749098381891</v>
      </c>
      <c r="O271">
        <v>0.20695344377086619</v>
      </c>
    </row>
    <row r="272" spans="1:15" x14ac:dyDescent="0.25">
      <c r="A272">
        <v>-75.87397</v>
      </c>
      <c r="B272">
        <v>137.51971424999999</v>
      </c>
      <c r="C272">
        <v>295.22482300000001</v>
      </c>
      <c r="D272">
        <v>124.618229</v>
      </c>
      <c r="E272">
        <v>259.15486874999999</v>
      </c>
      <c r="F272">
        <v>6.7730257500000004</v>
      </c>
      <c r="G272">
        <v>310.367096</v>
      </c>
      <c r="H272">
        <v>0</v>
      </c>
      <c r="I272">
        <v>24</v>
      </c>
      <c r="J272">
        <v>1.18</v>
      </c>
      <c r="K272">
        <v>22.6840315</v>
      </c>
      <c r="L272">
        <v>-1.5806428483021679</v>
      </c>
      <c r="M272">
        <v>5.4951816452289498E-2</v>
      </c>
      <c r="N272">
        <v>-0.21815870848663729</v>
      </c>
      <c r="O272">
        <v>7.4966784670639039E-2</v>
      </c>
    </row>
    <row r="273" spans="1:15" x14ac:dyDescent="0.25">
      <c r="A273">
        <v>-122.798006</v>
      </c>
      <c r="B273">
        <v>121.1004355</v>
      </c>
      <c r="C273">
        <v>317.62522124999998</v>
      </c>
      <c r="D273">
        <v>102.3522165</v>
      </c>
      <c r="E273">
        <v>239.35056274999999</v>
      </c>
      <c r="F273">
        <v>7.1628377499999996</v>
      </c>
      <c r="G273">
        <v>325.33130649999998</v>
      </c>
      <c r="H273">
        <v>0</v>
      </c>
      <c r="I273">
        <v>28</v>
      </c>
      <c r="J273">
        <v>1.18</v>
      </c>
      <c r="K273">
        <v>23.222144249999999</v>
      </c>
      <c r="L273">
        <v>-1.7647225418513739</v>
      </c>
      <c r="M273">
        <v>7.5103357340875601E-2</v>
      </c>
      <c r="N273">
        <v>-0.34451567015625673</v>
      </c>
      <c r="O273">
        <v>-6.9653863724997614E-2</v>
      </c>
    </row>
    <row r="274" spans="1:15" x14ac:dyDescent="0.25">
      <c r="A274">
        <v>-174.33176399999999</v>
      </c>
      <c r="B274">
        <v>93.350383749999992</v>
      </c>
      <c r="C274">
        <v>335.19328300000001</v>
      </c>
      <c r="D274">
        <v>74.490497750000003</v>
      </c>
      <c r="E274">
        <v>204.79359425000001</v>
      </c>
      <c r="F274">
        <v>7.5039239999999996</v>
      </c>
      <c r="G274">
        <v>338.89510324999998</v>
      </c>
      <c r="H274">
        <v>0</v>
      </c>
      <c r="I274">
        <v>32</v>
      </c>
      <c r="J274">
        <v>1.18</v>
      </c>
      <c r="K274">
        <v>23.69978575</v>
      </c>
      <c r="L274">
        <v>-2.000389303694615</v>
      </c>
      <c r="M274">
        <v>7.4013218230214992E-2</v>
      </c>
      <c r="N274">
        <v>-0.52648738613617763</v>
      </c>
      <c r="O274">
        <v>-0.22543293658571251</v>
      </c>
    </row>
    <row r="275" spans="1:15" x14ac:dyDescent="0.25">
      <c r="A275">
        <v>-202.859623</v>
      </c>
      <c r="B275">
        <v>51.464095749999998</v>
      </c>
      <c r="C275">
        <v>313.51548000000003</v>
      </c>
      <c r="D275">
        <v>33.211890250000003</v>
      </c>
      <c r="E275">
        <v>142.06326300000001</v>
      </c>
      <c r="F275">
        <v>7.0166589999999998</v>
      </c>
      <c r="G275">
        <v>315.16844950000001</v>
      </c>
      <c r="H275">
        <v>0</v>
      </c>
      <c r="I275">
        <v>36</v>
      </c>
      <c r="J275">
        <v>1.18</v>
      </c>
      <c r="K275">
        <v>22.853663000000001</v>
      </c>
      <c r="L275">
        <v>-2.275906619651479</v>
      </c>
      <c r="M275">
        <v>8.0449770107220764E-2</v>
      </c>
      <c r="N275">
        <v>-0.76295755698026135</v>
      </c>
      <c r="O275">
        <v>-0.40477956381583452</v>
      </c>
    </row>
    <row r="276" spans="1:15" x14ac:dyDescent="0.25">
      <c r="A276">
        <v>-230.06995774999999</v>
      </c>
      <c r="B276">
        <v>10.388313249999999</v>
      </c>
      <c r="C276">
        <v>294.90868375000002</v>
      </c>
      <c r="D276">
        <v>-7.6486830000000001</v>
      </c>
      <c r="E276">
        <v>78.402383749999998</v>
      </c>
      <c r="F276">
        <v>6.6755724999999986</v>
      </c>
      <c r="G276">
        <v>295.48292524999999</v>
      </c>
      <c r="H276">
        <v>0</v>
      </c>
      <c r="I276">
        <v>40</v>
      </c>
      <c r="J276">
        <v>1.18</v>
      </c>
      <c r="K276">
        <v>22.124720750000002</v>
      </c>
      <c r="L276">
        <v>-2.6614591837607531</v>
      </c>
      <c r="M276">
        <v>9.1241757067049734E-2</v>
      </c>
      <c r="N276">
        <v>-1.1005471288577351</v>
      </c>
      <c r="O276">
        <v>-0.6363685906753257</v>
      </c>
    </row>
    <row r="277" spans="1:15" x14ac:dyDescent="0.25">
      <c r="A277">
        <v>-250.10064324999999</v>
      </c>
      <c r="B277">
        <v>-27.7765135</v>
      </c>
      <c r="C277">
        <v>276.25672125</v>
      </c>
      <c r="D277">
        <v>-45.848388499999999</v>
      </c>
      <c r="E277">
        <v>18.640833000000001</v>
      </c>
      <c r="F277">
        <v>6.1883067500000006</v>
      </c>
      <c r="G277">
        <v>276.03747550000003</v>
      </c>
      <c r="H277">
        <v>0</v>
      </c>
      <c r="I277">
        <v>44</v>
      </c>
      <c r="J277">
        <v>1.18</v>
      </c>
      <c r="K277">
        <v>21.38622775</v>
      </c>
      <c r="L277">
        <v>-3.1591523122409142</v>
      </c>
      <c r="M277">
        <v>0.1084889056311903</v>
      </c>
      <c r="N277">
        <v>-1.5448991605539679</v>
      </c>
      <c r="O277">
        <v>-0.92527367351123602</v>
      </c>
    </row>
    <row r="278" spans="1:15" x14ac:dyDescent="0.25">
      <c r="A278">
        <v>271.68005399999998</v>
      </c>
      <c r="B278">
        <v>-25.761753500000001</v>
      </c>
      <c r="C278">
        <v>-280.83968375000001</v>
      </c>
      <c r="D278">
        <v>-124.95763024999999</v>
      </c>
      <c r="E278">
        <v>-37.955292749999998</v>
      </c>
      <c r="F278">
        <v>5.9934007500000002</v>
      </c>
      <c r="G278">
        <v>273.79683675000001</v>
      </c>
      <c r="H278">
        <v>4</v>
      </c>
      <c r="I278">
        <v>-44</v>
      </c>
      <c r="J278">
        <v>1.18</v>
      </c>
      <c r="K278">
        <v>21.304997749999998</v>
      </c>
      <c r="L278">
        <v>3.3497840770041889</v>
      </c>
      <c r="M278">
        <v>0.60137161333811351</v>
      </c>
      <c r="N278">
        <v>-1.8900729893616459</v>
      </c>
      <c r="O278">
        <v>-1.266456185897787</v>
      </c>
    </row>
    <row r="279" spans="1:15" x14ac:dyDescent="0.25">
      <c r="A279">
        <v>292.48493200000001</v>
      </c>
      <c r="B279">
        <v>14.14062925</v>
      </c>
      <c r="C279">
        <v>-269.33541100000002</v>
      </c>
      <c r="D279">
        <v>-92.133856000000009</v>
      </c>
      <c r="E279">
        <v>21.097951250000001</v>
      </c>
      <c r="F279">
        <v>6.4319397499999997</v>
      </c>
      <c r="G279">
        <v>293.56238524999998</v>
      </c>
      <c r="H279">
        <v>4</v>
      </c>
      <c r="I279">
        <v>-40</v>
      </c>
      <c r="J279">
        <v>1.18</v>
      </c>
      <c r="K279">
        <v>22.060398500000002</v>
      </c>
      <c r="L279">
        <v>2.7836020946856941</v>
      </c>
      <c r="M279">
        <v>0.52656004720065874</v>
      </c>
      <c r="N279">
        <v>-1.349975529576126</v>
      </c>
      <c r="O279">
        <v>-0.92734703244374017</v>
      </c>
    </row>
    <row r="280" spans="1:15" x14ac:dyDescent="0.25">
      <c r="A280">
        <v>308.28019699999999</v>
      </c>
      <c r="B280">
        <v>55.315740499999997</v>
      </c>
      <c r="C280">
        <v>-244.83807775</v>
      </c>
      <c r="D280">
        <v>-50.437601000000001</v>
      </c>
      <c r="E280">
        <v>84.352825249999995</v>
      </c>
      <c r="F280">
        <v>6.9679322499999996</v>
      </c>
      <c r="G280">
        <v>309.44683800000001</v>
      </c>
      <c r="H280">
        <v>4</v>
      </c>
      <c r="I280">
        <v>-36</v>
      </c>
      <c r="J280">
        <v>1.18</v>
      </c>
      <c r="K280">
        <v>22.642336499999999</v>
      </c>
      <c r="L280">
        <v>2.3842382655854508</v>
      </c>
      <c r="M280">
        <v>0.45586438229726578</v>
      </c>
      <c r="N280">
        <v>-0.97028658205085172</v>
      </c>
      <c r="O280">
        <v>-0.66644031269492432</v>
      </c>
    </row>
    <row r="281" spans="1:15" x14ac:dyDescent="0.25">
      <c r="A281">
        <v>322.67654425000001</v>
      </c>
      <c r="B281">
        <v>96.964197249999998</v>
      </c>
      <c r="C281">
        <v>-212.22005475</v>
      </c>
      <c r="D281">
        <v>-6.38118725</v>
      </c>
      <c r="E281">
        <v>147.48179625</v>
      </c>
      <c r="F281">
        <v>7.2115644999999997</v>
      </c>
      <c r="G281">
        <v>325.05121600000001</v>
      </c>
      <c r="H281">
        <v>4</v>
      </c>
      <c r="I281">
        <v>-32</v>
      </c>
      <c r="J281">
        <v>1.18</v>
      </c>
      <c r="K281">
        <v>23.210141499999999</v>
      </c>
      <c r="L281">
        <v>2.0830967257001771</v>
      </c>
      <c r="M281">
        <v>0.40245260342731681</v>
      </c>
      <c r="N281">
        <v>-0.69152940408988517</v>
      </c>
      <c r="O281">
        <v>-0.45374236181967059</v>
      </c>
    </row>
    <row r="282" spans="1:15" x14ac:dyDescent="0.25">
      <c r="A282">
        <v>332.71862800000002</v>
      </c>
      <c r="B282">
        <v>136.54809975000001</v>
      </c>
      <c r="C282">
        <v>-174.36872875</v>
      </c>
      <c r="D282">
        <v>35.492527000000003</v>
      </c>
      <c r="E282">
        <v>206.35826850000001</v>
      </c>
      <c r="F282">
        <v>7.5526505000000004</v>
      </c>
      <c r="G282">
        <v>338.37496950000002</v>
      </c>
      <c r="H282">
        <v>4</v>
      </c>
      <c r="I282">
        <v>-28</v>
      </c>
      <c r="J282">
        <v>1.18</v>
      </c>
      <c r="K282">
        <v>23.6794315</v>
      </c>
      <c r="L282">
        <v>1.8386470790921901</v>
      </c>
      <c r="M282">
        <v>0.36641338597216849</v>
      </c>
      <c r="N282">
        <v>-0.47868048685177023</v>
      </c>
      <c r="O282">
        <v>-0.279157594746823</v>
      </c>
    </row>
    <row r="283" spans="1:15" x14ac:dyDescent="0.25">
      <c r="A283">
        <v>305.50727074999998</v>
      </c>
      <c r="B283">
        <v>155.53578949999999</v>
      </c>
      <c r="C283">
        <v>-118.78728475</v>
      </c>
      <c r="D283">
        <v>65.858362499999998</v>
      </c>
      <c r="E283">
        <v>232.10834500000001</v>
      </c>
      <c r="F283">
        <v>6.9192055000000003</v>
      </c>
      <c r="G283">
        <v>316.64887249999998</v>
      </c>
      <c r="H283">
        <v>4</v>
      </c>
      <c r="I283">
        <v>-24</v>
      </c>
      <c r="J283">
        <v>1.18</v>
      </c>
      <c r="K283">
        <v>22.912100500000001</v>
      </c>
      <c r="L283">
        <v>1.640900161414661</v>
      </c>
      <c r="M283">
        <v>0.34680523246200179</v>
      </c>
      <c r="N283">
        <v>-0.3269445662403524</v>
      </c>
      <c r="O283">
        <v>-0.12910152679240111</v>
      </c>
    </row>
    <row r="284" spans="1:15" x14ac:dyDescent="0.25">
      <c r="A284">
        <v>278.11541749999998</v>
      </c>
      <c r="B284">
        <v>169.45852675</v>
      </c>
      <c r="C284">
        <v>-68.754970499999999</v>
      </c>
      <c r="D284">
        <v>87.586618250000001</v>
      </c>
      <c r="E284">
        <v>248.73859400000001</v>
      </c>
      <c r="F284">
        <v>6.5781194999999997</v>
      </c>
      <c r="G284">
        <v>296.8833085</v>
      </c>
      <c r="H284">
        <v>4</v>
      </c>
      <c r="I284">
        <v>-20</v>
      </c>
      <c r="J284">
        <v>1.18</v>
      </c>
      <c r="K284">
        <v>22.182018750000001</v>
      </c>
      <c r="L284">
        <v>1.449392653376272</v>
      </c>
      <c r="M284">
        <v>0.34209712517248958</v>
      </c>
      <c r="N284">
        <v>-0.20117674861404189</v>
      </c>
      <c r="O284">
        <v>1.185567806325079E-2</v>
      </c>
    </row>
    <row r="285" spans="1:15" x14ac:dyDescent="0.25">
      <c r="A285">
        <v>246.85881025</v>
      </c>
      <c r="B285">
        <v>171.23824675</v>
      </c>
      <c r="C285">
        <v>-24.993604000000001</v>
      </c>
      <c r="D285">
        <v>96.881467499999999</v>
      </c>
      <c r="E285">
        <v>251.82324600000001</v>
      </c>
      <c r="F285">
        <v>6.1883067500000006</v>
      </c>
      <c r="G285">
        <v>277.31782525</v>
      </c>
      <c r="H285">
        <v>4</v>
      </c>
      <c r="I285">
        <v>-16</v>
      </c>
      <c r="J285">
        <v>1.18</v>
      </c>
      <c r="K285">
        <v>21.436908500000001</v>
      </c>
      <c r="L285">
        <v>1.25929396914225</v>
      </c>
      <c r="M285">
        <v>0.34444187963341111</v>
      </c>
      <c r="N285">
        <v>-0.118103758024105</v>
      </c>
      <c r="O285">
        <v>0.1378303234119804</v>
      </c>
    </row>
    <row r="286" spans="1:15" x14ac:dyDescent="0.25">
      <c r="A286">
        <v>219.5103225</v>
      </c>
      <c r="B286">
        <v>169.72340775000001</v>
      </c>
      <c r="C286">
        <v>15.219645</v>
      </c>
      <c r="D286">
        <v>100.430723</v>
      </c>
      <c r="E286">
        <v>252.13618475000001</v>
      </c>
      <c r="F286">
        <v>5.7010415000000014</v>
      </c>
      <c r="G286">
        <v>264.43420424999999</v>
      </c>
      <c r="H286">
        <v>4</v>
      </c>
      <c r="I286">
        <v>-12</v>
      </c>
      <c r="J286">
        <v>1.18</v>
      </c>
      <c r="K286">
        <v>20.941120000000002</v>
      </c>
      <c r="L286">
        <v>1.0513610681788601</v>
      </c>
      <c r="M286">
        <v>0.35660868170197763</v>
      </c>
      <c r="N286">
        <v>-6.3293177402901662E-2</v>
      </c>
      <c r="O286">
        <v>0.26825128896770373</v>
      </c>
    </row>
    <row r="287" spans="1:15" x14ac:dyDescent="0.25">
      <c r="A287">
        <v>216.36532224999999</v>
      </c>
      <c r="B287">
        <v>187.95105749999999</v>
      </c>
      <c r="C287">
        <v>58.123663000000001</v>
      </c>
      <c r="D287">
        <v>106.2585065</v>
      </c>
      <c r="E287">
        <v>278.86976600000003</v>
      </c>
      <c r="F287">
        <v>6.3832127500000002</v>
      </c>
      <c r="G287">
        <v>285.12001824999999</v>
      </c>
      <c r="H287">
        <v>4</v>
      </c>
      <c r="I287">
        <v>-8</v>
      </c>
      <c r="J287">
        <v>1.18</v>
      </c>
      <c r="K287">
        <v>21.735553249999999</v>
      </c>
      <c r="L287">
        <v>0.80457638901632911</v>
      </c>
      <c r="M287">
        <v>0.41536429032996192</v>
      </c>
      <c r="N287">
        <v>-3.1788088997944643E-2</v>
      </c>
      <c r="O287">
        <v>0.38544406897636407</v>
      </c>
    </row>
    <row r="288" spans="1:15" x14ac:dyDescent="0.25">
      <c r="A288">
        <v>204.45034425</v>
      </c>
      <c r="B288">
        <v>202.34518800000001</v>
      </c>
      <c r="C288">
        <v>100.937353</v>
      </c>
      <c r="D288">
        <v>102.965557</v>
      </c>
      <c r="E288">
        <v>298.45055400000001</v>
      </c>
      <c r="F288">
        <v>6.6268459999999996</v>
      </c>
      <c r="G288">
        <v>301.76468675000001</v>
      </c>
      <c r="H288">
        <v>4</v>
      </c>
      <c r="I288">
        <v>-4</v>
      </c>
      <c r="J288">
        <v>1.18</v>
      </c>
      <c r="K288">
        <v>22.3658745</v>
      </c>
      <c r="L288">
        <v>0.52678372233989912</v>
      </c>
      <c r="M288">
        <v>0.50573552945903377</v>
      </c>
      <c r="N288">
        <v>-1.6899121747794711E-2</v>
      </c>
      <c r="O288">
        <v>0.48515735546661409</v>
      </c>
    </row>
    <row r="289" spans="1:15" x14ac:dyDescent="0.25">
      <c r="A289">
        <v>184.77264</v>
      </c>
      <c r="B289">
        <v>213.71443550000001</v>
      </c>
      <c r="C289">
        <v>148.31242374999999</v>
      </c>
      <c r="D289">
        <v>105.820324</v>
      </c>
      <c r="E289">
        <v>317.45017250000001</v>
      </c>
      <c r="F289">
        <v>7.0653852500000003</v>
      </c>
      <c r="G289">
        <v>317.76918799999999</v>
      </c>
      <c r="H289">
        <v>4</v>
      </c>
      <c r="I289">
        <v>0</v>
      </c>
      <c r="J289">
        <v>1.18</v>
      </c>
      <c r="K289">
        <v>22.948111999999998</v>
      </c>
      <c r="L289">
        <v>0.1915240587723277</v>
      </c>
      <c r="M289">
        <v>0.56672463684121066</v>
      </c>
      <c r="N289">
        <v>-1.707798190617572E-3</v>
      </c>
      <c r="O289">
        <v>0.63032986207093389</v>
      </c>
    </row>
    <row r="290" spans="1:15" x14ac:dyDescent="0.25">
      <c r="A290">
        <v>153.45057675000001</v>
      </c>
      <c r="B290">
        <v>219.40441899999999</v>
      </c>
      <c r="C290">
        <v>196.952034</v>
      </c>
      <c r="D290">
        <v>112.6121065</v>
      </c>
      <c r="E290">
        <v>332.2922365</v>
      </c>
      <c r="F290">
        <v>7.3090175000000004</v>
      </c>
      <c r="G290">
        <v>332.73337574999999</v>
      </c>
      <c r="H290">
        <v>4</v>
      </c>
      <c r="I290">
        <v>4</v>
      </c>
      <c r="J290">
        <v>1.18</v>
      </c>
      <c r="K290">
        <v>23.485446499999998</v>
      </c>
      <c r="L290">
        <v>-0.21828623680134249</v>
      </c>
      <c r="M290">
        <v>0.53597986332303127</v>
      </c>
      <c r="N290">
        <v>-2.283483091721732E-3</v>
      </c>
      <c r="O290">
        <v>0.63100848828075384</v>
      </c>
    </row>
    <row r="291" spans="1:15" x14ac:dyDescent="0.25">
      <c r="A291">
        <v>107.49848925000001</v>
      </c>
      <c r="B291">
        <v>215.57188425000001</v>
      </c>
      <c r="C291">
        <v>229.37844100000001</v>
      </c>
      <c r="D291">
        <v>116.94264800000001</v>
      </c>
      <c r="E291">
        <v>327.1958545</v>
      </c>
      <c r="F291">
        <v>7.3577442499999997</v>
      </c>
      <c r="G291">
        <v>329.17237875000001</v>
      </c>
      <c r="H291">
        <v>4</v>
      </c>
      <c r="I291">
        <v>8</v>
      </c>
      <c r="J291">
        <v>1.18</v>
      </c>
      <c r="K291">
        <v>23.354790999999999</v>
      </c>
      <c r="L291">
        <v>-0.56695582103003028</v>
      </c>
      <c r="M291">
        <v>0.45878065570076082</v>
      </c>
      <c r="N291">
        <v>-9.1952339735771188E-3</v>
      </c>
      <c r="O291">
        <v>0.48779470759792398</v>
      </c>
    </row>
    <row r="292" spans="1:15" x14ac:dyDescent="0.25">
      <c r="A292">
        <v>57.32202075</v>
      </c>
      <c r="B292">
        <v>196.35369075</v>
      </c>
      <c r="C292">
        <v>239.22377</v>
      </c>
      <c r="D292">
        <v>115.71578574999999</v>
      </c>
      <c r="E292">
        <v>297.69057475</v>
      </c>
      <c r="F292">
        <v>6.7730257500000004</v>
      </c>
      <c r="G292">
        <v>305.80582425</v>
      </c>
      <c r="H292">
        <v>4</v>
      </c>
      <c r="I292">
        <v>12</v>
      </c>
      <c r="J292">
        <v>1.18</v>
      </c>
      <c r="K292">
        <v>22.512986999999999</v>
      </c>
      <c r="L292">
        <v>-0.86141428191344593</v>
      </c>
      <c r="M292">
        <v>0.3818458313945739</v>
      </c>
      <c r="N292">
        <v>-3.8436217118661707E-2</v>
      </c>
      <c r="O292">
        <v>0.37763436496916042</v>
      </c>
    </row>
    <row r="293" spans="1:15" x14ac:dyDescent="0.25">
      <c r="A293">
        <v>13.22294675</v>
      </c>
      <c r="B293">
        <v>177.51467875</v>
      </c>
      <c r="C293">
        <v>243.28837200000001</v>
      </c>
      <c r="D293">
        <v>105.82032775</v>
      </c>
      <c r="E293">
        <v>269.79466224999999</v>
      </c>
      <c r="F293">
        <v>6.2370334999999999</v>
      </c>
      <c r="G293">
        <v>284.71990225000002</v>
      </c>
      <c r="H293">
        <v>4</v>
      </c>
      <c r="I293">
        <v>16</v>
      </c>
      <c r="J293">
        <v>1.18</v>
      </c>
      <c r="K293">
        <v>21.725660999999999</v>
      </c>
      <c r="L293">
        <v>-1.0941332104718831</v>
      </c>
      <c r="M293">
        <v>0.34096032917322822</v>
      </c>
      <c r="N293">
        <v>-7.0997052077578823E-2</v>
      </c>
      <c r="O293">
        <v>0.25341630302646068</v>
      </c>
    </row>
    <row r="294" spans="1:15" x14ac:dyDescent="0.25">
      <c r="A294">
        <v>-25.31636675</v>
      </c>
      <c r="B294">
        <v>161.10339375000001</v>
      </c>
      <c r="C294">
        <v>245.68195725000001</v>
      </c>
      <c r="D294">
        <v>98.458913499999994</v>
      </c>
      <c r="E294">
        <v>241.22815700000001</v>
      </c>
      <c r="F294">
        <v>6.0421275000000003</v>
      </c>
      <c r="G294">
        <v>269.99577349999998</v>
      </c>
      <c r="H294">
        <v>4</v>
      </c>
      <c r="I294">
        <v>20</v>
      </c>
      <c r="J294">
        <v>1.18</v>
      </c>
      <c r="K294">
        <v>21.151329499999999</v>
      </c>
      <c r="L294">
        <v>-1.324156519739959</v>
      </c>
      <c r="M294">
        <v>0.30609762987919281</v>
      </c>
      <c r="N294">
        <v>-0.1405698746918474</v>
      </c>
      <c r="O294">
        <v>0.14917407238940261</v>
      </c>
    </row>
    <row r="295" spans="1:15" x14ac:dyDescent="0.25">
      <c r="A295">
        <v>-61.591282749999998</v>
      </c>
      <c r="B295">
        <v>150.31448</v>
      </c>
      <c r="C295">
        <v>259.00479875000002</v>
      </c>
      <c r="D295">
        <v>84.042811999999998</v>
      </c>
      <c r="E295">
        <v>225.31318275000001</v>
      </c>
      <c r="F295">
        <v>6.2370334999999999</v>
      </c>
      <c r="G295">
        <v>274.23695375</v>
      </c>
      <c r="H295">
        <v>4</v>
      </c>
      <c r="I295">
        <v>24</v>
      </c>
      <c r="J295">
        <v>1.18</v>
      </c>
      <c r="K295">
        <v>21.312812749999999</v>
      </c>
      <c r="L295">
        <v>-1.4975010449630759</v>
      </c>
      <c r="M295">
        <v>0.30956886177674381</v>
      </c>
      <c r="N295">
        <v>-0.22852626107162671</v>
      </c>
      <c r="O295">
        <v>2.330257063802136E-2</v>
      </c>
    </row>
    <row r="296" spans="1:15" x14ac:dyDescent="0.25">
      <c r="A296">
        <v>-107.090683</v>
      </c>
      <c r="B296">
        <v>139.49183675</v>
      </c>
      <c r="C296">
        <v>284.06977849999998</v>
      </c>
      <c r="D296">
        <v>62.484383000000001</v>
      </c>
      <c r="E296">
        <v>211.5440485</v>
      </c>
      <c r="F296">
        <v>6.1883072500000003</v>
      </c>
      <c r="G296">
        <v>291.80188750000002</v>
      </c>
      <c r="H296">
        <v>4</v>
      </c>
      <c r="I296">
        <v>28</v>
      </c>
      <c r="J296">
        <v>1.18</v>
      </c>
      <c r="K296">
        <v>22.002048250000001</v>
      </c>
      <c r="L296">
        <v>-1.6727174096370929</v>
      </c>
      <c r="M296">
        <v>0.32930870062808859</v>
      </c>
      <c r="N296">
        <v>-0.34320790997697592</v>
      </c>
      <c r="O296">
        <v>-0.1218380409603603</v>
      </c>
    </row>
    <row r="297" spans="1:15" x14ac:dyDescent="0.25">
      <c r="A297">
        <v>-151.95330425</v>
      </c>
      <c r="B297">
        <v>119.90660099999999</v>
      </c>
      <c r="C297">
        <v>301.32170100000002</v>
      </c>
      <c r="D297">
        <v>29.796192000000001</v>
      </c>
      <c r="E297">
        <v>184.408119</v>
      </c>
      <c r="F297">
        <v>6.4806664999999999</v>
      </c>
      <c r="G297">
        <v>303.88528450000001</v>
      </c>
      <c r="H297">
        <v>4</v>
      </c>
      <c r="I297">
        <v>32</v>
      </c>
      <c r="J297">
        <v>1.18</v>
      </c>
      <c r="K297">
        <v>22.451603250000002</v>
      </c>
      <c r="L297">
        <v>-1.8464633454716299</v>
      </c>
      <c r="M297">
        <v>0.36705397734605272</v>
      </c>
      <c r="N297">
        <v>-0.48672189109688591</v>
      </c>
      <c r="O297">
        <v>-0.27520932445765051</v>
      </c>
    </row>
    <row r="298" spans="1:15" x14ac:dyDescent="0.25">
      <c r="A298">
        <v>-207.12604150000001</v>
      </c>
      <c r="B298">
        <v>93.12283124999999</v>
      </c>
      <c r="C298">
        <v>320.60593399999999</v>
      </c>
      <c r="D298">
        <v>-10.271088750000001</v>
      </c>
      <c r="E298">
        <v>144.48656075</v>
      </c>
      <c r="F298">
        <v>7.1628377499999996</v>
      </c>
      <c r="G298">
        <v>321.65026074999997</v>
      </c>
      <c r="H298">
        <v>4</v>
      </c>
      <c r="I298">
        <v>36</v>
      </c>
      <c r="J298">
        <v>1.18</v>
      </c>
      <c r="K298">
        <v>23.087420999999999</v>
      </c>
      <c r="L298">
        <v>-2.0844119110889712</v>
      </c>
      <c r="M298">
        <v>0.40834570174972451</v>
      </c>
      <c r="N298">
        <v>-0.6997654719552876</v>
      </c>
      <c r="O298">
        <v>-0.45762250242644648</v>
      </c>
    </row>
    <row r="299" spans="1:15" x14ac:dyDescent="0.25">
      <c r="A299">
        <v>-260.72093975000001</v>
      </c>
      <c r="B299">
        <v>55.889031500000002</v>
      </c>
      <c r="C299">
        <v>333.34164425</v>
      </c>
      <c r="D299">
        <v>-57.649211999999999</v>
      </c>
      <c r="E299">
        <v>89.091262749999999</v>
      </c>
      <c r="F299">
        <v>7.3577440000000003</v>
      </c>
      <c r="G299">
        <v>333.81367499999999</v>
      </c>
      <c r="H299">
        <v>4</v>
      </c>
      <c r="I299">
        <v>40</v>
      </c>
      <c r="J299">
        <v>1.18</v>
      </c>
      <c r="K299">
        <v>23.522640249999998</v>
      </c>
      <c r="L299">
        <v>-2.3927739404928499</v>
      </c>
      <c r="M299">
        <v>0.45733099610283517</v>
      </c>
      <c r="N299">
        <v>-0.98572905094017682</v>
      </c>
      <c r="O299">
        <v>-0.67080858564188606</v>
      </c>
    </row>
    <row r="300" spans="1:15" x14ac:dyDescent="0.25">
      <c r="A300">
        <v>-293.97645549999999</v>
      </c>
      <c r="B300">
        <v>11.01416925</v>
      </c>
      <c r="C300">
        <v>325.30278774999999</v>
      </c>
      <c r="D300">
        <v>-103.14795700000001</v>
      </c>
      <c r="E300">
        <v>23.648962000000001</v>
      </c>
      <c r="F300">
        <v>7.1628384999999994</v>
      </c>
      <c r="G300">
        <v>325.73141475</v>
      </c>
      <c r="H300">
        <v>4</v>
      </c>
      <c r="I300">
        <v>44</v>
      </c>
      <c r="J300">
        <v>1.18</v>
      </c>
      <c r="K300">
        <v>23.2367195</v>
      </c>
      <c r="L300">
        <v>-2.7869196327005681</v>
      </c>
      <c r="M300">
        <v>0.51376157092406127</v>
      </c>
      <c r="N300">
        <v>-1.359464554471449</v>
      </c>
      <c r="O300">
        <v>-0.92581464929290558</v>
      </c>
    </row>
    <row r="301" spans="1:15" x14ac:dyDescent="0.25">
      <c r="A301">
        <v>287.54688275000001</v>
      </c>
      <c r="B301">
        <v>18.374461499999999</v>
      </c>
      <c r="C301">
        <v>-296.35918450000003</v>
      </c>
      <c r="D301">
        <v>-178.89176549999999</v>
      </c>
      <c r="E301">
        <v>-37.866091750000002</v>
      </c>
      <c r="F301">
        <v>6.4806664999999999</v>
      </c>
      <c r="G301">
        <v>293.40234349999997</v>
      </c>
      <c r="H301">
        <v>8</v>
      </c>
      <c r="I301">
        <v>-44</v>
      </c>
      <c r="J301">
        <v>1.18</v>
      </c>
      <c r="K301">
        <v>22.052370750000001</v>
      </c>
      <c r="L301">
        <v>2.9230628207900922</v>
      </c>
      <c r="M301">
        <v>0.98754209184355268</v>
      </c>
      <c r="N301">
        <v>-1.6583772666179459</v>
      </c>
      <c r="O301">
        <v>-1.2220173983643901</v>
      </c>
    </row>
    <row r="302" spans="1:15" x14ac:dyDescent="0.25">
      <c r="A302">
        <v>273.304779</v>
      </c>
      <c r="B302">
        <v>52.759096</v>
      </c>
      <c r="C302">
        <v>-249.48489749999999</v>
      </c>
      <c r="D302">
        <v>-125.61322800000001</v>
      </c>
      <c r="E302">
        <v>22.976858249999999</v>
      </c>
      <c r="F302">
        <v>6.3344865000000006</v>
      </c>
      <c r="G302">
        <v>277.27781675</v>
      </c>
      <c r="H302">
        <v>8</v>
      </c>
      <c r="I302">
        <v>-40</v>
      </c>
      <c r="J302">
        <v>1.18</v>
      </c>
      <c r="K302">
        <v>21.42954825</v>
      </c>
      <c r="L302">
        <v>2.4832524355856709</v>
      </c>
      <c r="M302">
        <v>0.84727077085596358</v>
      </c>
      <c r="N302">
        <v>-1.207930877007263</v>
      </c>
      <c r="O302">
        <v>-0.92094702154142793</v>
      </c>
    </row>
    <row r="303" spans="1:15" x14ac:dyDescent="0.25">
      <c r="A303">
        <v>260.98438275000001</v>
      </c>
      <c r="B303">
        <v>81.476815999999999</v>
      </c>
      <c r="C303">
        <v>-207.84391775</v>
      </c>
      <c r="D303">
        <v>-78.541046249999994</v>
      </c>
      <c r="E303">
        <v>70.048198749999997</v>
      </c>
      <c r="F303">
        <v>5.554862</v>
      </c>
      <c r="G303">
        <v>264.31417099999999</v>
      </c>
      <c r="H303">
        <v>8</v>
      </c>
      <c r="I303">
        <v>-36</v>
      </c>
      <c r="J303">
        <v>1.18</v>
      </c>
      <c r="K303">
        <v>20.942183249999999</v>
      </c>
      <c r="L303">
        <v>2.1985999665312081</v>
      </c>
      <c r="M303">
        <v>0.75040449465782633</v>
      </c>
      <c r="N303">
        <v>-0.91102812879765682</v>
      </c>
      <c r="O303">
        <v>-0.69755617922792279</v>
      </c>
    </row>
    <row r="304" spans="1:15" x14ac:dyDescent="0.25">
      <c r="A304">
        <v>276.91520700000001</v>
      </c>
      <c r="B304">
        <v>118.616163</v>
      </c>
      <c r="C304">
        <v>-186.0985795</v>
      </c>
      <c r="D304">
        <v>-40.996940500000001</v>
      </c>
      <c r="E304">
        <v>122.178772</v>
      </c>
      <c r="F304">
        <v>6.1395805000000001</v>
      </c>
      <c r="G304">
        <v>281.59902225000002</v>
      </c>
      <c r="H304">
        <v>8</v>
      </c>
      <c r="I304">
        <v>-32</v>
      </c>
      <c r="J304">
        <v>1.18</v>
      </c>
      <c r="K304">
        <v>21.607391249999999</v>
      </c>
      <c r="L304">
        <v>1.9642233149159589</v>
      </c>
      <c r="M304">
        <v>0.67711318607904247</v>
      </c>
      <c r="N304">
        <v>-0.67631171251182853</v>
      </c>
      <c r="O304">
        <v>-0.50773819389526875</v>
      </c>
    </row>
    <row r="305" spans="1:15" x14ac:dyDescent="0.25">
      <c r="A305">
        <v>291.64640025</v>
      </c>
      <c r="B305">
        <v>155.09212149999999</v>
      </c>
      <c r="C305">
        <v>-155.0595855</v>
      </c>
      <c r="D305">
        <v>-3.8024879999999999</v>
      </c>
      <c r="E305">
        <v>176.22710824999999</v>
      </c>
      <c r="F305">
        <v>6.6755724999999986</v>
      </c>
      <c r="G305">
        <v>300.20423899999997</v>
      </c>
      <c r="H305">
        <v>8</v>
      </c>
      <c r="I305">
        <v>-28</v>
      </c>
      <c r="J305">
        <v>1.18</v>
      </c>
      <c r="K305">
        <v>22.304827</v>
      </c>
      <c r="L305">
        <v>1.7472798849326729</v>
      </c>
      <c r="M305">
        <v>0.62150957620436631</v>
      </c>
      <c r="N305">
        <v>-0.48493590136722248</v>
      </c>
      <c r="O305">
        <v>-0.33680620466642308</v>
      </c>
    </row>
    <row r="306" spans="1:15" x14ac:dyDescent="0.25">
      <c r="A306">
        <v>301.26538099999999</v>
      </c>
      <c r="B306">
        <v>184.88591400000001</v>
      </c>
      <c r="C306">
        <v>-118.51659574999999</v>
      </c>
      <c r="D306">
        <v>30.365828</v>
      </c>
      <c r="E306">
        <v>224.06145100000001</v>
      </c>
      <c r="F306">
        <v>7.0166589999999998</v>
      </c>
      <c r="G306">
        <v>316.88893150000001</v>
      </c>
      <c r="H306">
        <v>8</v>
      </c>
      <c r="I306">
        <v>-24</v>
      </c>
      <c r="J306">
        <v>1.18</v>
      </c>
      <c r="K306">
        <v>22.917393749999999</v>
      </c>
      <c r="L306">
        <v>1.5655785490634551</v>
      </c>
      <c r="M306">
        <v>0.57627164778693041</v>
      </c>
      <c r="N306">
        <v>-0.34620401359177072</v>
      </c>
      <c r="O306">
        <v>-0.19054967862706471</v>
      </c>
    </row>
    <row r="307" spans="1:15" x14ac:dyDescent="0.25">
      <c r="A307">
        <v>302.86452474999999</v>
      </c>
      <c r="B307">
        <v>215.60505674999999</v>
      </c>
      <c r="C307">
        <v>-74.439434000000006</v>
      </c>
      <c r="D307">
        <v>60.468755999999999</v>
      </c>
      <c r="E307">
        <v>266.48648800000001</v>
      </c>
      <c r="F307">
        <v>7.2602907500000002</v>
      </c>
      <c r="G307">
        <v>330.01261149999999</v>
      </c>
      <c r="H307">
        <v>8</v>
      </c>
      <c r="I307">
        <v>-20</v>
      </c>
      <c r="J307">
        <v>1.18</v>
      </c>
      <c r="K307">
        <v>23.388831499999998</v>
      </c>
      <c r="L307">
        <v>1.37968314671762</v>
      </c>
      <c r="M307">
        <v>0.56728667288368562</v>
      </c>
      <c r="N307">
        <v>-0.23229693967546819</v>
      </c>
      <c r="O307">
        <v>-5.2092185659179391E-2</v>
      </c>
    </row>
    <row r="308" spans="1:15" x14ac:dyDescent="0.25">
      <c r="A308">
        <v>291.22130575</v>
      </c>
      <c r="B308">
        <v>234.5703125</v>
      </c>
      <c r="C308">
        <v>-24.4973405</v>
      </c>
      <c r="D308">
        <v>76.457359499999995</v>
      </c>
      <c r="E308">
        <v>292.59418475000001</v>
      </c>
      <c r="F308">
        <v>7.2602912499999999</v>
      </c>
      <c r="G308">
        <v>333.85369900000001</v>
      </c>
      <c r="H308">
        <v>8</v>
      </c>
      <c r="I308">
        <v>-16</v>
      </c>
      <c r="J308">
        <v>1.18</v>
      </c>
      <c r="K308">
        <v>23.5275435</v>
      </c>
      <c r="L308">
        <v>1.1841613957494099</v>
      </c>
      <c r="M308">
        <v>0.59305493678528753</v>
      </c>
      <c r="N308">
        <v>-0.1547581633231849</v>
      </c>
      <c r="O308">
        <v>7.0211927371016461E-2</v>
      </c>
    </row>
    <row r="309" spans="1:15" x14ac:dyDescent="0.25">
      <c r="A309">
        <v>248.87335974999999</v>
      </c>
      <c r="B309">
        <v>225.01571275000001</v>
      </c>
      <c r="C309">
        <v>25.200474249999999</v>
      </c>
      <c r="D309">
        <v>79.003745999999992</v>
      </c>
      <c r="E309">
        <v>283.16143775</v>
      </c>
      <c r="F309">
        <v>6.4806664999999999</v>
      </c>
      <c r="G309">
        <v>306.56602475</v>
      </c>
      <c r="H309">
        <v>8</v>
      </c>
      <c r="I309">
        <v>-12</v>
      </c>
      <c r="J309">
        <v>1.18</v>
      </c>
      <c r="K309">
        <v>22.55255</v>
      </c>
      <c r="L309">
        <v>0.96805431729913194</v>
      </c>
      <c r="M309">
        <v>0.63193217947303049</v>
      </c>
      <c r="N309">
        <v>-0.1013033614242337</v>
      </c>
      <c r="O309">
        <v>0.1974376524808106</v>
      </c>
    </row>
    <row r="310" spans="1:15" x14ac:dyDescent="0.25">
      <c r="A310">
        <v>213.58433550000001</v>
      </c>
      <c r="B310">
        <v>217.12623975</v>
      </c>
      <c r="C310">
        <v>65.485090249999999</v>
      </c>
      <c r="D310">
        <v>67.435806499999998</v>
      </c>
      <c r="E310">
        <v>275.56159924999997</v>
      </c>
      <c r="F310">
        <v>6.3832129999999996</v>
      </c>
      <c r="G310">
        <v>287.92080700000002</v>
      </c>
      <c r="H310">
        <v>8</v>
      </c>
      <c r="I310">
        <v>-8</v>
      </c>
      <c r="J310">
        <v>1.18</v>
      </c>
      <c r="K310">
        <v>21.84449025</v>
      </c>
      <c r="L310">
        <v>0.70832788687415693</v>
      </c>
      <c r="M310">
        <v>0.71587430068769531</v>
      </c>
      <c r="N310">
        <v>-5.9133722821362339E-2</v>
      </c>
      <c r="O310">
        <v>0.28732274879198338</v>
      </c>
    </row>
    <row r="311" spans="1:15" x14ac:dyDescent="0.25">
      <c r="A311">
        <v>180.86753074999999</v>
      </c>
      <c r="B311">
        <v>210.47360599999999</v>
      </c>
      <c r="C311">
        <v>99.627655000000004</v>
      </c>
      <c r="D311">
        <v>55.517326500000003</v>
      </c>
      <c r="E311">
        <v>267.60411049999999</v>
      </c>
      <c r="F311">
        <v>6.0421275000000003</v>
      </c>
      <c r="G311">
        <v>272.99660499999999</v>
      </c>
      <c r="H311">
        <v>8</v>
      </c>
      <c r="I311">
        <v>-4</v>
      </c>
      <c r="J311">
        <v>1.18</v>
      </c>
      <c r="K311">
        <v>21.271218749999999</v>
      </c>
      <c r="L311">
        <v>0.42750969714131443</v>
      </c>
      <c r="M311">
        <v>0.81542554096976805</v>
      </c>
      <c r="N311">
        <v>-2.8386144108092801E-2</v>
      </c>
      <c r="O311">
        <v>0.37642142863422112</v>
      </c>
    </row>
    <row r="312" spans="1:15" x14ac:dyDescent="0.25">
      <c r="A312">
        <v>147.66395925</v>
      </c>
      <c r="B312">
        <v>197.53554550000001</v>
      </c>
      <c r="C312">
        <v>122.16355725</v>
      </c>
      <c r="D312">
        <v>51.266986000000003</v>
      </c>
      <c r="E312">
        <v>254.01379374999999</v>
      </c>
      <c r="F312">
        <v>5.2137762499999996</v>
      </c>
      <c r="G312">
        <v>255.67174900000001</v>
      </c>
      <c r="H312">
        <v>8</v>
      </c>
      <c r="I312">
        <v>0</v>
      </c>
      <c r="J312">
        <v>1.18</v>
      </c>
      <c r="K312">
        <v>20.603508250000001</v>
      </c>
      <c r="L312">
        <v>0.15242095236030051</v>
      </c>
      <c r="M312">
        <v>0.87429369952877134</v>
      </c>
      <c r="N312">
        <v>-9.9316564665292741E-3</v>
      </c>
      <c r="O312">
        <v>0.48718743098557088</v>
      </c>
    </row>
    <row r="313" spans="1:15" x14ac:dyDescent="0.25">
      <c r="A313">
        <v>129.8464165</v>
      </c>
      <c r="B313">
        <v>208.7274285</v>
      </c>
      <c r="C313">
        <v>159.10617074999999</v>
      </c>
      <c r="D313">
        <v>53.808427000000002</v>
      </c>
      <c r="E313">
        <v>269.07937600000002</v>
      </c>
      <c r="F313">
        <v>6.0421275000000003</v>
      </c>
      <c r="G313">
        <v>271.316147</v>
      </c>
      <c r="H313">
        <v>8</v>
      </c>
      <c r="I313">
        <v>4</v>
      </c>
      <c r="J313">
        <v>1.18</v>
      </c>
      <c r="K313">
        <v>21.20415075</v>
      </c>
      <c r="L313">
        <v>-0.1650689456476637</v>
      </c>
      <c r="M313">
        <v>0.8739918177298609</v>
      </c>
      <c r="N313">
        <v>-1.2639541188296769E-2</v>
      </c>
      <c r="O313">
        <v>0.48399985970866211</v>
      </c>
    </row>
    <row r="314" spans="1:15" x14ac:dyDescent="0.25">
      <c r="A314">
        <v>108.1306305</v>
      </c>
      <c r="B314">
        <v>221.45698200000001</v>
      </c>
      <c r="C314">
        <v>198.08108899999999</v>
      </c>
      <c r="D314">
        <v>62.265291499999996</v>
      </c>
      <c r="E314">
        <v>285.2178725</v>
      </c>
      <c r="F314">
        <v>6.1395805000000001</v>
      </c>
      <c r="G314">
        <v>290.08140550000002</v>
      </c>
      <c r="H314">
        <v>8</v>
      </c>
      <c r="I314">
        <v>8</v>
      </c>
      <c r="J314">
        <v>1.18</v>
      </c>
      <c r="K314">
        <v>21.93755775</v>
      </c>
      <c r="L314">
        <v>-0.44963305326409309</v>
      </c>
      <c r="M314">
        <v>0.79596555799730262</v>
      </c>
      <c r="N314">
        <v>-2.4349688780591919E-2</v>
      </c>
      <c r="O314">
        <v>0.39527646572498898</v>
      </c>
    </row>
    <row r="315" spans="1:15" x14ac:dyDescent="0.25">
      <c r="A315">
        <v>71.449577000000005</v>
      </c>
      <c r="B315">
        <v>229.39199074999999</v>
      </c>
      <c r="C315">
        <v>235.29467425000001</v>
      </c>
      <c r="D315">
        <v>76.900487999999996</v>
      </c>
      <c r="E315">
        <v>293.30948649999999</v>
      </c>
      <c r="F315">
        <v>6.7730255000000001</v>
      </c>
      <c r="G315">
        <v>306.04589075000001</v>
      </c>
      <c r="H315">
        <v>8</v>
      </c>
      <c r="I315">
        <v>12</v>
      </c>
      <c r="J315">
        <v>1.18</v>
      </c>
      <c r="K315">
        <v>22.522024999999999</v>
      </c>
      <c r="L315">
        <v>-0.74766380369018215</v>
      </c>
      <c r="M315">
        <v>0.69589869987452546</v>
      </c>
      <c r="N315">
        <v>-5.8148992920669253E-2</v>
      </c>
      <c r="O315">
        <v>0.30760168820443301</v>
      </c>
    </row>
    <row r="316" spans="1:15" x14ac:dyDescent="0.25">
      <c r="A316">
        <v>26.853990249999999</v>
      </c>
      <c r="B316">
        <v>232.98245249999999</v>
      </c>
      <c r="C316">
        <v>270.65661599999999</v>
      </c>
      <c r="D316">
        <v>82.246274999999997</v>
      </c>
      <c r="E316">
        <v>297.95879400000001</v>
      </c>
      <c r="F316">
        <v>6.8704787500000002</v>
      </c>
      <c r="G316">
        <v>321.0500945</v>
      </c>
      <c r="H316">
        <v>8</v>
      </c>
      <c r="I316">
        <v>16</v>
      </c>
      <c r="J316">
        <v>1.18</v>
      </c>
      <c r="K316">
        <v>23.076118999999998</v>
      </c>
      <c r="L316">
        <v>-1.001617647884008</v>
      </c>
      <c r="M316">
        <v>0.61926178109625096</v>
      </c>
      <c r="N316">
        <v>-9.4891163476785917E-2</v>
      </c>
      <c r="O316">
        <v>0.19588813071666919</v>
      </c>
    </row>
    <row r="317" spans="1:15" x14ac:dyDescent="0.25">
      <c r="A317">
        <v>-20.72428</v>
      </c>
      <c r="B317">
        <v>230.22558574999999</v>
      </c>
      <c r="C317">
        <v>299.74103550000001</v>
      </c>
      <c r="D317">
        <v>81.107008000000008</v>
      </c>
      <c r="E317">
        <v>294.15886675000002</v>
      </c>
      <c r="F317">
        <v>7.3577440000000003</v>
      </c>
      <c r="G317">
        <v>335.33410650000002</v>
      </c>
      <c r="H317">
        <v>8</v>
      </c>
      <c r="I317">
        <v>20</v>
      </c>
      <c r="J317">
        <v>1.18</v>
      </c>
      <c r="K317">
        <v>23.577351499999999</v>
      </c>
      <c r="L317">
        <v>-1.214032014177548</v>
      </c>
      <c r="M317">
        <v>0.56491928253925316</v>
      </c>
      <c r="N317">
        <v>-0.15598507320540761</v>
      </c>
      <c r="O317">
        <v>8.6508622718333497E-2</v>
      </c>
    </row>
    <row r="318" spans="1:15" x14ac:dyDescent="0.25">
      <c r="A318">
        <v>-69.187618499999999</v>
      </c>
      <c r="B318">
        <v>204.00008</v>
      </c>
      <c r="C318">
        <v>302.22493750000001</v>
      </c>
      <c r="D318">
        <v>61.870930999999999</v>
      </c>
      <c r="E318">
        <v>260.40659299999999</v>
      </c>
      <c r="F318">
        <v>6.9679322499999996</v>
      </c>
      <c r="G318">
        <v>323.81085949999999</v>
      </c>
      <c r="H318">
        <v>8</v>
      </c>
      <c r="I318">
        <v>24</v>
      </c>
      <c r="J318">
        <v>1.18</v>
      </c>
      <c r="K318">
        <v>23.17368875</v>
      </c>
      <c r="L318">
        <v>-1.4065124132194551</v>
      </c>
      <c r="M318">
        <v>0.53824770182699422</v>
      </c>
      <c r="N318">
        <v>-0.24014509090197159</v>
      </c>
      <c r="O318">
        <v>-4.0232764494277137E-2</v>
      </c>
    </row>
    <row r="319" spans="1:15" x14ac:dyDescent="0.25">
      <c r="A319">
        <v>-105.19156074999999</v>
      </c>
      <c r="B319">
        <v>170.97377</v>
      </c>
      <c r="C319">
        <v>288.67630774999998</v>
      </c>
      <c r="D319">
        <v>29.575201499999999</v>
      </c>
      <c r="E319">
        <v>213.24283199999999</v>
      </c>
      <c r="F319">
        <v>6.4319397499999997</v>
      </c>
      <c r="G319">
        <v>301.52461249999999</v>
      </c>
      <c r="H319">
        <v>8</v>
      </c>
      <c r="I319">
        <v>28</v>
      </c>
      <c r="J319">
        <v>1.18</v>
      </c>
      <c r="K319">
        <v>22.364168500000002</v>
      </c>
      <c r="L319">
        <v>-1.568858841203705</v>
      </c>
      <c r="M319">
        <v>0.56323503219756932</v>
      </c>
      <c r="N319">
        <v>-0.35167817018050601</v>
      </c>
      <c r="O319">
        <v>-0.17621482823626261</v>
      </c>
    </row>
    <row r="320" spans="1:15" x14ac:dyDescent="0.25">
      <c r="A320">
        <v>-133.293995</v>
      </c>
      <c r="B320">
        <v>140.37623975</v>
      </c>
      <c r="C320">
        <v>273.41150699999997</v>
      </c>
      <c r="D320">
        <v>-7.3864429999999999</v>
      </c>
      <c r="E320">
        <v>165.54260650000001</v>
      </c>
      <c r="F320">
        <v>6.28576025</v>
      </c>
      <c r="G320">
        <v>281.35895549999998</v>
      </c>
      <c r="H320">
        <v>8</v>
      </c>
      <c r="I320">
        <v>32</v>
      </c>
      <c r="J320">
        <v>1.18</v>
      </c>
      <c r="K320">
        <v>21.59224575</v>
      </c>
      <c r="L320">
        <v>-1.724194797876401</v>
      </c>
      <c r="M320">
        <v>0.62640162820142753</v>
      </c>
      <c r="N320">
        <v>-0.49100189877099792</v>
      </c>
      <c r="O320">
        <v>-0.32483492542768988</v>
      </c>
    </row>
    <row r="321" spans="1:15" x14ac:dyDescent="0.25">
      <c r="A321">
        <v>-164.02676775</v>
      </c>
      <c r="B321">
        <v>107.55302025</v>
      </c>
      <c r="C321">
        <v>263.0693895</v>
      </c>
      <c r="D321">
        <v>-43.96899775</v>
      </c>
      <c r="E321">
        <v>119.36234625</v>
      </c>
      <c r="F321">
        <v>5.8472212499999996</v>
      </c>
      <c r="G321">
        <v>266.59481075000002</v>
      </c>
      <c r="H321">
        <v>8</v>
      </c>
      <c r="I321">
        <v>36</v>
      </c>
      <c r="J321">
        <v>1.18</v>
      </c>
      <c r="K321">
        <v>21.022478499999998</v>
      </c>
      <c r="L321">
        <v>-1.912144500547255</v>
      </c>
      <c r="M321">
        <v>0.67838051542103306</v>
      </c>
      <c r="N321">
        <v>-0.65917544728652078</v>
      </c>
      <c r="O321">
        <v>-0.49178097621962308</v>
      </c>
    </row>
    <row r="322" spans="1:15" x14ac:dyDescent="0.25">
      <c r="A322">
        <v>-210.337772</v>
      </c>
      <c r="B322">
        <v>82.571392000000003</v>
      </c>
      <c r="C322">
        <v>275.26315325000002</v>
      </c>
      <c r="D322">
        <v>-87.28239825</v>
      </c>
      <c r="E322">
        <v>73.807966249999993</v>
      </c>
      <c r="F322">
        <v>6.28576025</v>
      </c>
      <c r="G322">
        <v>279.31838974999999</v>
      </c>
      <c r="H322">
        <v>8</v>
      </c>
      <c r="I322">
        <v>40</v>
      </c>
      <c r="J322">
        <v>1.18</v>
      </c>
      <c r="K322">
        <v>21.511986</v>
      </c>
      <c r="L322">
        <v>-2.1813249095479672</v>
      </c>
      <c r="M322">
        <v>0.7629725192805985</v>
      </c>
      <c r="N322">
        <v>-0.92316271895614188</v>
      </c>
      <c r="O322">
        <v>-0.6966872056915655</v>
      </c>
    </row>
    <row r="323" spans="1:15" x14ac:dyDescent="0.25">
      <c r="A323">
        <v>-260.49571974999998</v>
      </c>
      <c r="B323">
        <v>53.003141249999999</v>
      </c>
      <c r="C323">
        <v>294.05059825000001</v>
      </c>
      <c r="D323">
        <v>-139.90533450000001</v>
      </c>
      <c r="E323">
        <v>22.261776000000001</v>
      </c>
      <c r="F323">
        <v>6.4319397499999997</v>
      </c>
      <c r="G323">
        <v>297.00334950000001</v>
      </c>
      <c r="H323">
        <v>8</v>
      </c>
      <c r="I323">
        <v>44</v>
      </c>
      <c r="J323">
        <v>1.18</v>
      </c>
      <c r="K323">
        <v>22.192191999999999</v>
      </c>
      <c r="L323">
        <v>-2.4929383685312789</v>
      </c>
      <c r="M323">
        <v>0.86724034947248629</v>
      </c>
      <c r="N323">
        <v>-1.2352138657646561</v>
      </c>
      <c r="O323">
        <v>-0.9289252900092303</v>
      </c>
    </row>
    <row r="324" spans="1:15" x14ac:dyDescent="0.25">
      <c r="A324">
        <v>302.86462425000002</v>
      </c>
      <c r="B324">
        <v>62.766896250000002</v>
      </c>
      <c r="C324">
        <v>-322.70623000000001</v>
      </c>
      <c r="D324">
        <v>-242.92215725</v>
      </c>
      <c r="E324">
        <v>-40.497537749999999</v>
      </c>
      <c r="F324">
        <v>7.0166585000000001</v>
      </c>
      <c r="G324">
        <v>318.96951300000001</v>
      </c>
      <c r="H324">
        <v>12</v>
      </c>
      <c r="I324">
        <v>-44</v>
      </c>
      <c r="J324">
        <v>1.18</v>
      </c>
      <c r="K324">
        <v>22.994200750000001</v>
      </c>
      <c r="L324">
        <v>2.5816783371154139</v>
      </c>
      <c r="M324">
        <v>1.261545450757191</v>
      </c>
      <c r="N324">
        <v>-1.4835213409457459</v>
      </c>
      <c r="O324">
        <v>-1.1961076220486051</v>
      </c>
    </row>
    <row r="325" spans="1:15" x14ac:dyDescent="0.25">
      <c r="A325">
        <v>320.32973475</v>
      </c>
      <c r="B325">
        <v>102.687704</v>
      </c>
      <c r="C325">
        <v>-303.84824374999999</v>
      </c>
      <c r="D325">
        <v>-204.41651525</v>
      </c>
      <c r="E325">
        <v>23.604257</v>
      </c>
      <c r="F325">
        <v>7.1628382500000001</v>
      </c>
      <c r="G325">
        <v>333.45358299999998</v>
      </c>
      <c r="H325">
        <v>12</v>
      </c>
      <c r="I325">
        <v>-40</v>
      </c>
      <c r="J325">
        <v>1.18</v>
      </c>
      <c r="K325">
        <v>23.5166915</v>
      </c>
      <c r="L325">
        <v>2.2474059593495181</v>
      </c>
      <c r="M325">
        <v>1.105741506521023</v>
      </c>
      <c r="N325">
        <v>-1.115648044690327</v>
      </c>
      <c r="O325">
        <v>-0.94081712985907628</v>
      </c>
    </row>
    <row r="326" spans="1:15" x14ac:dyDescent="0.25">
      <c r="A326">
        <v>316.87918100000002</v>
      </c>
      <c r="B326">
        <v>139.94345849999999</v>
      </c>
      <c r="C326">
        <v>-258.64321124999998</v>
      </c>
      <c r="D326">
        <v>-148.90892775</v>
      </c>
      <c r="E326">
        <v>84.447751749999995</v>
      </c>
      <c r="F326">
        <v>6.9192049999999998</v>
      </c>
      <c r="G326">
        <v>328.01205449999998</v>
      </c>
      <c r="H326">
        <v>12</v>
      </c>
      <c r="I326">
        <v>-36</v>
      </c>
      <c r="J326">
        <v>1.18</v>
      </c>
      <c r="K326">
        <v>23.328584249999999</v>
      </c>
      <c r="L326">
        <v>1.9968078921639989</v>
      </c>
      <c r="M326">
        <v>1.002211957018994</v>
      </c>
      <c r="N326">
        <v>-0.84506972664300217</v>
      </c>
      <c r="O326">
        <v>-0.73102804052837422</v>
      </c>
    </row>
    <row r="327" spans="1:15" x14ac:dyDescent="0.25">
      <c r="A327">
        <v>292.6461865</v>
      </c>
      <c r="B327">
        <v>161.76242450000001</v>
      </c>
      <c r="C327">
        <v>-198.05400449999999</v>
      </c>
      <c r="D327">
        <v>-91.041185249999998</v>
      </c>
      <c r="E327">
        <v>128.12453074999999</v>
      </c>
      <c r="F327">
        <v>6.6268459999999996</v>
      </c>
      <c r="G327">
        <v>305.00560000000002</v>
      </c>
      <c r="H327">
        <v>12</v>
      </c>
      <c r="I327">
        <v>-32</v>
      </c>
      <c r="J327">
        <v>1.18</v>
      </c>
      <c r="K327">
        <v>22.4883475</v>
      </c>
      <c r="L327">
        <v>1.799586826989259</v>
      </c>
      <c r="M327">
        <v>0.92711815076472703</v>
      </c>
      <c r="N327">
        <v>-0.64868346987882797</v>
      </c>
      <c r="O327">
        <v>-0.55440575109066748</v>
      </c>
    </row>
    <row r="328" spans="1:15" x14ac:dyDescent="0.25">
      <c r="A328">
        <v>269.10771175000002</v>
      </c>
      <c r="B328">
        <v>174.18389124999999</v>
      </c>
      <c r="C328">
        <v>-141.52514650000001</v>
      </c>
      <c r="D328">
        <v>-43.400812999999999</v>
      </c>
      <c r="E328">
        <v>158.97098199999999</v>
      </c>
      <c r="F328">
        <v>6.1395805000000001</v>
      </c>
      <c r="G328">
        <v>284.15974425000002</v>
      </c>
      <c r="H328">
        <v>12</v>
      </c>
      <c r="I328">
        <v>-28</v>
      </c>
      <c r="J328">
        <v>1.18</v>
      </c>
      <c r="K328">
        <v>21.707605000000001</v>
      </c>
      <c r="L328">
        <v>1.6331710564871249</v>
      </c>
      <c r="M328">
        <v>0.86537475726749447</v>
      </c>
      <c r="N328">
        <v>-0.49790445594548571</v>
      </c>
      <c r="O328">
        <v>-0.39216514590955331</v>
      </c>
    </row>
    <row r="329" spans="1:15" x14ac:dyDescent="0.25">
      <c r="A329">
        <v>251.05586650000001</v>
      </c>
      <c r="B329">
        <v>182.17978299999999</v>
      </c>
      <c r="C329">
        <v>-92.936506000000008</v>
      </c>
      <c r="D329">
        <v>-11.5822915</v>
      </c>
      <c r="E329">
        <v>183.290493</v>
      </c>
      <c r="F329">
        <v>6.0908542499999996</v>
      </c>
      <c r="G329">
        <v>269.4756165</v>
      </c>
      <c r="H329">
        <v>12</v>
      </c>
      <c r="I329">
        <v>-24</v>
      </c>
      <c r="J329">
        <v>1.18</v>
      </c>
      <c r="K329">
        <v>21.128519749999999</v>
      </c>
      <c r="L329">
        <v>1.460381404146964</v>
      </c>
      <c r="M329">
        <v>0.82259446518596246</v>
      </c>
      <c r="N329">
        <v>-0.36589523672653901</v>
      </c>
      <c r="O329">
        <v>-0.2477174541645818</v>
      </c>
    </row>
    <row r="330" spans="1:15" x14ac:dyDescent="0.25">
      <c r="A330">
        <v>248.52856800000001</v>
      </c>
      <c r="B330">
        <v>201.06665050000001</v>
      </c>
      <c r="C330">
        <v>-51.83691425</v>
      </c>
      <c r="D330">
        <v>15.248635</v>
      </c>
      <c r="E330">
        <v>213.824005</v>
      </c>
      <c r="F330">
        <v>6.0421275000000003</v>
      </c>
      <c r="G330">
        <v>275.75738525000003</v>
      </c>
      <c r="H330">
        <v>12</v>
      </c>
      <c r="I330">
        <v>-20</v>
      </c>
      <c r="J330">
        <v>1.18</v>
      </c>
      <c r="K330">
        <v>21.38091275</v>
      </c>
      <c r="L330">
        <v>1.2940457376542009</v>
      </c>
      <c r="M330">
        <v>0.80051182877117477</v>
      </c>
      <c r="N330">
        <v>-0.26682846980095393</v>
      </c>
      <c r="O330">
        <v>-0.10483748735458211</v>
      </c>
    </row>
    <row r="331" spans="1:15" x14ac:dyDescent="0.25">
      <c r="A331">
        <v>247.38418575</v>
      </c>
      <c r="B331">
        <v>223.39617525</v>
      </c>
      <c r="C331">
        <v>-9.3387652499999998</v>
      </c>
      <c r="D331">
        <v>30.541097499999999</v>
      </c>
      <c r="E331">
        <v>244.58103174999999</v>
      </c>
      <c r="F331">
        <v>6.2370340000000004</v>
      </c>
      <c r="G331">
        <v>288.7210235</v>
      </c>
      <c r="H331">
        <v>12</v>
      </c>
      <c r="I331">
        <v>-16</v>
      </c>
      <c r="J331">
        <v>1.18</v>
      </c>
      <c r="K331">
        <v>21.881164500000001</v>
      </c>
      <c r="L331">
        <v>1.0972137288457811</v>
      </c>
      <c r="M331">
        <v>0.82424876262656288</v>
      </c>
      <c r="N331">
        <v>-0.1886516620137326</v>
      </c>
      <c r="O331">
        <v>1.8650563187474978E-2</v>
      </c>
    </row>
    <row r="332" spans="1:15" x14ac:dyDescent="0.25">
      <c r="A332">
        <v>243.05201349999999</v>
      </c>
      <c r="B332">
        <v>247.5085105</v>
      </c>
      <c r="C332">
        <v>35.9490585</v>
      </c>
      <c r="D332">
        <v>34.616166</v>
      </c>
      <c r="E332">
        <v>276.05335224999999</v>
      </c>
      <c r="F332">
        <v>6.7730255000000001</v>
      </c>
      <c r="G332">
        <v>307.44628125000003</v>
      </c>
      <c r="H332">
        <v>12</v>
      </c>
      <c r="I332">
        <v>-12</v>
      </c>
      <c r="J332">
        <v>1.18</v>
      </c>
      <c r="K332">
        <v>22.574653999999999</v>
      </c>
      <c r="L332">
        <v>0.86019572223227236</v>
      </c>
      <c r="M332">
        <v>0.88421933675116082</v>
      </c>
      <c r="N332">
        <v>-0.13040180516292821</v>
      </c>
      <c r="O332">
        <v>0.1184181898629192</v>
      </c>
    </row>
    <row r="333" spans="1:15" x14ac:dyDescent="0.25">
      <c r="A333">
        <v>231.92091350000001</v>
      </c>
      <c r="B333">
        <v>268.537712</v>
      </c>
      <c r="C333">
        <v>81.833780250000004</v>
      </c>
      <c r="D333">
        <v>22.564743</v>
      </c>
      <c r="E333">
        <v>302.02694724999998</v>
      </c>
      <c r="F333">
        <v>7.0653852500000003</v>
      </c>
      <c r="G333">
        <v>323.25071700000001</v>
      </c>
      <c r="H333">
        <v>12</v>
      </c>
      <c r="I333">
        <v>-8</v>
      </c>
      <c r="J333">
        <v>1.18</v>
      </c>
      <c r="K333">
        <v>23.149662500000002</v>
      </c>
      <c r="L333">
        <v>0.60076374683325107</v>
      </c>
      <c r="M333">
        <v>0.9845762110716193</v>
      </c>
      <c r="N333">
        <v>-8.4955359362388932E-2</v>
      </c>
      <c r="O333">
        <v>0.1806612118157683</v>
      </c>
    </row>
    <row r="334" spans="1:15" x14ac:dyDescent="0.25">
      <c r="A334">
        <v>214.03560250000001</v>
      </c>
      <c r="B334">
        <v>283.61828600000001</v>
      </c>
      <c r="C334">
        <v>127.98946375</v>
      </c>
      <c r="D334">
        <v>18.184438</v>
      </c>
      <c r="E334">
        <v>320.66892250000001</v>
      </c>
      <c r="F334">
        <v>7.1141110000000003</v>
      </c>
      <c r="G334">
        <v>335.65419774999998</v>
      </c>
      <c r="H334">
        <v>12</v>
      </c>
      <c r="I334">
        <v>-4</v>
      </c>
      <c r="J334">
        <v>1.18</v>
      </c>
      <c r="K334">
        <v>23.597609500000001</v>
      </c>
      <c r="L334">
        <v>0.34757327260154541</v>
      </c>
      <c r="M334">
        <v>1.0721276609471231</v>
      </c>
      <c r="N334">
        <v>-6.0568735698869669E-2</v>
      </c>
      <c r="O334">
        <v>0.26647794481125447</v>
      </c>
    </row>
    <row r="335" spans="1:15" x14ac:dyDescent="0.25">
      <c r="A335">
        <v>178.76989</v>
      </c>
      <c r="B335">
        <v>272.7986525</v>
      </c>
      <c r="C335">
        <v>154.22865675</v>
      </c>
      <c r="D335">
        <v>18.841707</v>
      </c>
      <c r="E335">
        <v>312.6667405</v>
      </c>
      <c r="F335">
        <v>7.0166585000000001</v>
      </c>
      <c r="G335">
        <v>321.61025224999997</v>
      </c>
      <c r="H335">
        <v>12</v>
      </c>
      <c r="I335">
        <v>0</v>
      </c>
      <c r="J335">
        <v>1.18</v>
      </c>
      <c r="K335">
        <v>23.091293</v>
      </c>
      <c r="L335">
        <v>0.1085505256206066</v>
      </c>
      <c r="M335">
        <v>1.12304934309323</v>
      </c>
      <c r="N335">
        <v>-3.9550581461117139E-2</v>
      </c>
      <c r="O335">
        <v>0.35164957999995428</v>
      </c>
    </row>
    <row r="336" spans="1:15" x14ac:dyDescent="0.25">
      <c r="A336">
        <v>140.80425249999999</v>
      </c>
      <c r="B336">
        <v>253.19659799999999</v>
      </c>
      <c r="C336">
        <v>170.75800325</v>
      </c>
      <c r="D336">
        <v>17.965348250000002</v>
      </c>
      <c r="E336">
        <v>291.20834350000001</v>
      </c>
      <c r="F336">
        <v>6.5293929999999998</v>
      </c>
      <c r="G336">
        <v>298.28370699999999</v>
      </c>
      <c r="H336">
        <v>12</v>
      </c>
      <c r="I336">
        <v>4</v>
      </c>
      <c r="J336">
        <v>1.18</v>
      </c>
      <c r="K336">
        <v>22.237314749999999</v>
      </c>
      <c r="L336">
        <v>-0.14140861123116641</v>
      </c>
      <c r="M336">
        <v>1.1104613018521929</v>
      </c>
      <c r="N336">
        <v>-3.3415510831510911E-2</v>
      </c>
      <c r="O336">
        <v>0.34399910539403339</v>
      </c>
    </row>
    <row r="337" spans="1:15" x14ac:dyDescent="0.25">
      <c r="A337">
        <v>108.49865325</v>
      </c>
      <c r="B337">
        <v>235.01856975000001</v>
      </c>
      <c r="C337">
        <v>185.93247600000001</v>
      </c>
      <c r="D337">
        <v>19.980973500000001</v>
      </c>
      <c r="E337">
        <v>269.4817195</v>
      </c>
      <c r="F337">
        <v>6.0421275000000003</v>
      </c>
      <c r="G337">
        <v>279.71849824999998</v>
      </c>
      <c r="H337">
        <v>12</v>
      </c>
      <c r="I337">
        <v>8</v>
      </c>
      <c r="J337">
        <v>1.18</v>
      </c>
      <c r="K337">
        <v>21.537351749999999</v>
      </c>
      <c r="L337">
        <v>-0.37726949830974432</v>
      </c>
      <c r="M337">
        <v>1.0477397932156489</v>
      </c>
      <c r="N337">
        <v>-4.9894138633993397E-2</v>
      </c>
      <c r="O337">
        <v>0.28358267518697472</v>
      </c>
    </row>
    <row r="338" spans="1:15" x14ac:dyDescent="0.25">
      <c r="A338">
        <v>72.071949000000004</v>
      </c>
      <c r="B338">
        <v>219.22737900000001</v>
      </c>
      <c r="C338">
        <v>198.35205825</v>
      </c>
      <c r="D338">
        <v>28.78653375</v>
      </c>
      <c r="E338">
        <v>249.00682825000001</v>
      </c>
      <c r="F338">
        <v>5.6523149999999998</v>
      </c>
      <c r="G338">
        <v>265.11440299999998</v>
      </c>
      <c r="H338">
        <v>12</v>
      </c>
      <c r="I338">
        <v>12</v>
      </c>
      <c r="J338">
        <v>1.18</v>
      </c>
      <c r="K338">
        <v>20.970589</v>
      </c>
      <c r="L338">
        <v>-0.63592180348009986</v>
      </c>
      <c r="M338">
        <v>0.95902853782084407</v>
      </c>
      <c r="N338">
        <v>-8.1121010275378352E-2</v>
      </c>
      <c r="O338">
        <v>0.22549571856693831</v>
      </c>
    </row>
    <row r="339" spans="1:15" x14ac:dyDescent="0.25">
      <c r="A339">
        <v>37.09890575</v>
      </c>
      <c r="B339">
        <v>223.02840424999999</v>
      </c>
      <c r="C339">
        <v>227.61711475000001</v>
      </c>
      <c r="D339">
        <v>38.603598499999997</v>
      </c>
      <c r="E339">
        <v>251.8232495</v>
      </c>
      <c r="F339">
        <v>6.0908542499999996</v>
      </c>
      <c r="G339">
        <v>279.71850575000002</v>
      </c>
      <c r="H339">
        <v>12</v>
      </c>
      <c r="I339">
        <v>16</v>
      </c>
      <c r="J339">
        <v>1.18</v>
      </c>
      <c r="K339">
        <v>21.53542775</v>
      </c>
      <c r="L339">
        <v>-0.89041252670944093</v>
      </c>
      <c r="M339">
        <v>0.86190929284588136</v>
      </c>
      <c r="N339">
        <v>-0.13039693963569099</v>
      </c>
      <c r="O339">
        <v>0.1484352987706555</v>
      </c>
    </row>
    <row r="340" spans="1:15" x14ac:dyDescent="0.25">
      <c r="A340">
        <v>-4.95613875</v>
      </c>
      <c r="B340">
        <v>225.96098325</v>
      </c>
      <c r="C340">
        <v>258.05638875</v>
      </c>
      <c r="D340">
        <v>33.170174500000002</v>
      </c>
      <c r="E340">
        <v>253.20910225</v>
      </c>
      <c r="F340">
        <v>6.6268459999999996</v>
      </c>
      <c r="G340">
        <v>297.20341474999998</v>
      </c>
      <c r="H340">
        <v>12</v>
      </c>
      <c r="I340">
        <v>20</v>
      </c>
      <c r="J340">
        <v>1.18</v>
      </c>
      <c r="K340">
        <v>22.192398000000001</v>
      </c>
      <c r="L340">
        <v>-1.100015971497315</v>
      </c>
      <c r="M340">
        <v>0.80630276560286207</v>
      </c>
      <c r="N340">
        <v>-0.18400034130952511</v>
      </c>
      <c r="O340">
        <v>3.1289353220097758E-2</v>
      </c>
    </row>
    <row r="341" spans="1:15" x14ac:dyDescent="0.25">
      <c r="A341">
        <v>-53.744480000000003</v>
      </c>
      <c r="B341">
        <v>222.08225250000001</v>
      </c>
      <c r="C341">
        <v>283.66330725</v>
      </c>
      <c r="D341">
        <v>20.594424499999999</v>
      </c>
      <c r="E341">
        <v>243.46340950000001</v>
      </c>
      <c r="F341">
        <v>6.9192055000000003</v>
      </c>
      <c r="G341">
        <v>314.08814999999998</v>
      </c>
      <c r="H341">
        <v>12</v>
      </c>
      <c r="I341">
        <v>24</v>
      </c>
      <c r="J341">
        <v>1.18</v>
      </c>
      <c r="K341">
        <v>22.817205999999999</v>
      </c>
      <c r="L341">
        <v>-1.297533250872102</v>
      </c>
      <c r="M341">
        <v>0.77485565641088661</v>
      </c>
      <c r="N341">
        <v>-0.27160626042256591</v>
      </c>
      <c r="O341">
        <v>-9.0351509209455325E-2</v>
      </c>
    </row>
    <row r="342" spans="1:15" x14ac:dyDescent="0.25">
      <c r="A342">
        <v>-104.47078925</v>
      </c>
      <c r="B342">
        <v>212.91164774999999</v>
      </c>
      <c r="C342">
        <v>305.29598249999998</v>
      </c>
      <c r="D342">
        <v>-10.096262250000001</v>
      </c>
      <c r="E342">
        <v>224.32967400000001</v>
      </c>
      <c r="F342">
        <v>7.1141120000000004</v>
      </c>
      <c r="G342">
        <v>327.69197050000002</v>
      </c>
      <c r="H342">
        <v>12</v>
      </c>
      <c r="I342">
        <v>28</v>
      </c>
      <c r="J342">
        <v>1.18</v>
      </c>
      <c r="K342">
        <v>23.309905499999999</v>
      </c>
      <c r="L342">
        <v>-1.45509901297764</v>
      </c>
      <c r="M342">
        <v>0.79190383268249553</v>
      </c>
      <c r="N342">
        <v>-0.36708475033397192</v>
      </c>
      <c r="O342">
        <v>-0.2286921429051334</v>
      </c>
    </row>
    <row r="343" spans="1:15" x14ac:dyDescent="0.25">
      <c r="A343">
        <v>-160.54753875</v>
      </c>
      <c r="B343">
        <v>198.50393675000001</v>
      </c>
      <c r="C343">
        <v>323.40598299999999</v>
      </c>
      <c r="D343">
        <v>-58.741883000000001</v>
      </c>
      <c r="E343">
        <v>193.25970475</v>
      </c>
      <c r="F343">
        <v>7.4551974999999997</v>
      </c>
      <c r="G343">
        <v>339.73534375000003</v>
      </c>
      <c r="H343">
        <v>12</v>
      </c>
      <c r="I343">
        <v>32</v>
      </c>
      <c r="J343">
        <v>1.18</v>
      </c>
      <c r="K343">
        <v>23.731548</v>
      </c>
      <c r="L343">
        <v>-1.597738019623971</v>
      </c>
      <c r="M343">
        <v>0.84928104961065509</v>
      </c>
      <c r="N343">
        <v>-0.48363485728658268</v>
      </c>
      <c r="O343">
        <v>-0.38659445554609217</v>
      </c>
    </row>
    <row r="344" spans="1:15" x14ac:dyDescent="0.25">
      <c r="A344">
        <v>-191.94507225000001</v>
      </c>
      <c r="B344">
        <v>157.25619125</v>
      </c>
      <c r="C344">
        <v>300.41845699999999</v>
      </c>
      <c r="D344">
        <v>-100.7003745</v>
      </c>
      <c r="E344">
        <v>133.3103065</v>
      </c>
      <c r="F344">
        <v>6.6268459999999996</v>
      </c>
      <c r="G344">
        <v>312.76777650000002</v>
      </c>
      <c r="H344">
        <v>12</v>
      </c>
      <c r="I344">
        <v>36</v>
      </c>
      <c r="J344">
        <v>1.18</v>
      </c>
      <c r="K344">
        <v>22.778967250000001</v>
      </c>
      <c r="L344">
        <v>-1.7607563288330561</v>
      </c>
      <c r="M344">
        <v>0.92248960411851144</v>
      </c>
      <c r="N344">
        <v>-0.64177382536149929</v>
      </c>
      <c r="O344">
        <v>-0.54697250691493204</v>
      </c>
    </row>
    <row r="345" spans="1:15" x14ac:dyDescent="0.25">
      <c r="A345">
        <v>-218.131733</v>
      </c>
      <c r="B345">
        <v>118.07049175</v>
      </c>
      <c r="C345">
        <v>281.40520475</v>
      </c>
      <c r="D345">
        <v>-137.02069474999999</v>
      </c>
      <c r="E345">
        <v>75.909099749999996</v>
      </c>
      <c r="F345">
        <v>6.4806664999999999</v>
      </c>
      <c r="G345">
        <v>291.20172100000002</v>
      </c>
      <c r="H345">
        <v>12</v>
      </c>
      <c r="I345">
        <v>40</v>
      </c>
      <c r="J345">
        <v>1.18</v>
      </c>
      <c r="K345">
        <v>21.967648000000001</v>
      </c>
      <c r="L345">
        <v>-1.9706749314720129</v>
      </c>
      <c r="M345">
        <v>1.0063355986123339</v>
      </c>
      <c r="N345">
        <v>-0.849330130255191</v>
      </c>
      <c r="O345">
        <v>-0.72610578149844063</v>
      </c>
    </row>
    <row r="346" spans="1:15" x14ac:dyDescent="0.25">
      <c r="A346">
        <v>-241.90219500000001</v>
      </c>
      <c r="B346">
        <v>80.039462999999998</v>
      </c>
      <c r="C346">
        <v>264.87586974999999</v>
      </c>
      <c r="D346">
        <v>-170.58748274999999</v>
      </c>
      <c r="E346">
        <v>19.178463499999999</v>
      </c>
      <c r="F346">
        <v>6.2370330000000003</v>
      </c>
      <c r="G346">
        <v>275.87742600000001</v>
      </c>
      <c r="H346">
        <v>12</v>
      </c>
      <c r="I346">
        <v>44</v>
      </c>
      <c r="J346">
        <v>1.18</v>
      </c>
      <c r="K346">
        <v>21.377954249999998</v>
      </c>
      <c r="L346">
        <v>-2.2481432320908001</v>
      </c>
      <c r="M346">
        <v>1.111786540084982</v>
      </c>
      <c r="N346">
        <v>-1.1387601178586511</v>
      </c>
      <c r="O346">
        <v>-0.94259331584826511</v>
      </c>
    </row>
    <row r="347" spans="1:15" x14ac:dyDescent="0.25">
      <c r="A347">
        <v>250.60442</v>
      </c>
      <c r="B347">
        <v>85.324533250000002</v>
      </c>
      <c r="C347">
        <v>-281.20059950000001</v>
      </c>
      <c r="D347">
        <v>-247.07431025</v>
      </c>
      <c r="E347">
        <v>-35.636049249999999</v>
      </c>
      <c r="F347">
        <v>5.8959479999999997</v>
      </c>
      <c r="G347">
        <v>273.51676950000001</v>
      </c>
      <c r="H347">
        <v>16</v>
      </c>
      <c r="I347">
        <v>-44</v>
      </c>
      <c r="J347">
        <v>1.18</v>
      </c>
      <c r="K347">
        <v>21.297738750000001</v>
      </c>
      <c r="L347">
        <v>2.327342861152736</v>
      </c>
      <c r="M347">
        <v>1.4547027606135039</v>
      </c>
      <c r="N347">
        <v>-1.352961791317177</v>
      </c>
      <c r="O347">
        <v>-1.181757773400036</v>
      </c>
    </row>
    <row r="348" spans="1:15" x14ac:dyDescent="0.25">
      <c r="A348">
        <v>272.11357125000001</v>
      </c>
      <c r="B348">
        <v>123.92937474999999</v>
      </c>
      <c r="C348">
        <v>-271.9971845</v>
      </c>
      <c r="D348">
        <v>-224.87128425</v>
      </c>
      <c r="E348">
        <v>16.943213750000002</v>
      </c>
      <c r="F348">
        <v>6.1395809999999997</v>
      </c>
      <c r="G348">
        <v>293.68241849999998</v>
      </c>
      <c r="H348">
        <v>16</v>
      </c>
      <c r="I348">
        <v>-40</v>
      </c>
      <c r="J348">
        <v>1.18</v>
      </c>
      <c r="K348">
        <v>22.076222999999999</v>
      </c>
      <c r="L348">
        <v>2.0503483347404359</v>
      </c>
      <c r="M348">
        <v>1.314356016002888</v>
      </c>
      <c r="N348">
        <v>-1.042824502999304</v>
      </c>
      <c r="O348">
        <v>-0.9592968702366127</v>
      </c>
    </row>
    <row r="349" spans="1:15" x14ac:dyDescent="0.25">
      <c r="A349">
        <v>290.18317400000001</v>
      </c>
      <c r="B349">
        <v>162.25757999999999</v>
      </c>
      <c r="C349">
        <v>-251.51506025</v>
      </c>
      <c r="D349">
        <v>-191.04224775</v>
      </c>
      <c r="E349">
        <v>71.885650749999996</v>
      </c>
      <c r="F349">
        <v>6.7730259999999998</v>
      </c>
      <c r="G349">
        <v>311.48741150000001</v>
      </c>
      <c r="H349">
        <v>16</v>
      </c>
      <c r="I349">
        <v>-36</v>
      </c>
      <c r="J349">
        <v>1.18</v>
      </c>
      <c r="K349">
        <v>22.725852499999998</v>
      </c>
      <c r="L349">
        <v>1.8477938370852549</v>
      </c>
      <c r="M349">
        <v>1.2051221236174039</v>
      </c>
      <c r="N349">
        <v>-0.81732472039154447</v>
      </c>
      <c r="O349">
        <v>-0.77790337481537952</v>
      </c>
    </row>
    <row r="350" spans="1:15" x14ac:dyDescent="0.25">
      <c r="A350">
        <v>299.3700485</v>
      </c>
      <c r="B350">
        <v>199.6580275</v>
      </c>
      <c r="C350">
        <v>-216.00970874999999</v>
      </c>
      <c r="D350">
        <v>-151.96840649999999</v>
      </c>
      <c r="E350">
        <v>126.3363265</v>
      </c>
      <c r="F350">
        <v>7.0653852500000003</v>
      </c>
      <c r="G350">
        <v>324.37102499999997</v>
      </c>
      <c r="H350">
        <v>16</v>
      </c>
      <c r="I350">
        <v>-32</v>
      </c>
      <c r="J350">
        <v>1.18</v>
      </c>
      <c r="K350">
        <v>23.190647999999999</v>
      </c>
      <c r="L350">
        <v>1.66079625921095</v>
      </c>
      <c r="M350">
        <v>1.1330974293455871</v>
      </c>
      <c r="N350">
        <v>-0.63817668326727106</v>
      </c>
      <c r="O350">
        <v>-0.61566351305220524</v>
      </c>
    </row>
    <row r="351" spans="1:15" x14ac:dyDescent="0.25">
      <c r="A351">
        <v>306.61039749999998</v>
      </c>
      <c r="B351">
        <v>232.30923824999999</v>
      </c>
      <c r="C351">
        <v>-170.30839950000001</v>
      </c>
      <c r="D351">
        <v>-106.73191075</v>
      </c>
      <c r="E351">
        <v>175.780056</v>
      </c>
      <c r="F351">
        <v>7.2602907500000002</v>
      </c>
      <c r="G351">
        <v>334.85396574999999</v>
      </c>
      <c r="H351">
        <v>16</v>
      </c>
      <c r="I351">
        <v>-28</v>
      </c>
      <c r="J351">
        <v>1.18</v>
      </c>
      <c r="K351">
        <v>23.563594999999999</v>
      </c>
      <c r="L351">
        <v>1.5173996846594919</v>
      </c>
      <c r="M351">
        <v>1.07869873010544</v>
      </c>
      <c r="N351">
        <v>-0.50611575474980408</v>
      </c>
      <c r="O351">
        <v>-0.4638133091847646</v>
      </c>
    </row>
    <row r="352" spans="1:15" x14ac:dyDescent="0.25">
      <c r="A352">
        <v>285.73426775000001</v>
      </c>
      <c r="B352">
        <v>237.77613450000001</v>
      </c>
      <c r="C352">
        <v>-109.85455725</v>
      </c>
      <c r="D352">
        <v>-63.025145499999986</v>
      </c>
      <c r="E352">
        <v>204.34654624999999</v>
      </c>
      <c r="F352">
        <v>6.96793175</v>
      </c>
      <c r="G352">
        <v>319.52967074999998</v>
      </c>
      <c r="H352">
        <v>16</v>
      </c>
      <c r="I352">
        <v>-24</v>
      </c>
      <c r="J352">
        <v>1.18</v>
      </c>
      <c r="K352">
        <v>23.016589499999998</v>
      </c>
      <c r="L352">
        <v>1.3604119424130601</v>
      </c>
      <c r="M352">
        <v>1.034445619977528</v>
      </c>
      <c r="N352">
        <v>-0.39610761975227121</v>
      </c>
      <c r="O352">
        <v>-0.32122647611576971</v>
      </c>
    </row>
    <row r="353" spans="1:15" x14ac:dyDescent="0.25">
      <c r="A353">
        <v>258.09627925000001</v>
      </c>
      <c r="B353">
        <v>235.62837225000001</v>
      </c>
      <c r="C353">
        <v>-53.641507500000003</v>
      </c>
      <c r="D353">
        <v>-31.337745999999999</v>
      </c>
      <c r="E353">
        <v>217.26628124999999</v>
      </c>
      <c r="F353">
        <v>6.5293929999999998</v>
      </c>
      <c r="G353">
        <v>297.40345774999997</v>
      </c>
      <c r="H353">
        <v>16</v>
      </c>
      <c r="I353">
        <v>-20</v>
      </c>
      <c r="J353">
        <v>1.18</v>
      </c>
      <c r="K353">
        <v>22.2037385</v>
      </c>
      <c r="L353">
        <v>1.2000849790767589</v>
      </c>
      <c r="M353">
        <v>1.0277390443709711</v>
      </c>
      <c r="N353">
        <v>-0.30850164153690429</v>
      </c>
      <c r="O353">
        <v>-0.18869278237125911</v>
      </c>
    </row>
    <row r="354" spans="1:15" x14ac:dyDescent="0.25">
      <c r="A354">
        <v>231.68012625</v>
      </c>
      <c r="B354">
        <v>234.00859850000001</v>
      </c>
      <c r="C354">
        <v>-2.3910849999999999</v>
      </c>
      <c r="D354">
        <v>-10.882982999999999</v>
      </c>
      <c r="E354">
        <v>226.92255424999999</v>
      </c>
      <c r="F354">
        <v>6.43194</v>
      </c>
      <c r="G354">
        <v>281.27893825000001</v>
      </c>
      <c r="H354">
        <v>16</v>
      </c>
      <c r="I354">
        <v>-16</v>
      </c>
      <c r="J354">
        <v>1.18</v>
      </c>
      <c r="K354">
        <v>21.583371499999998</v>
      </c>
      <c r="L354">
        <v>1.0021837609972679</v>
      </c>
      <c r="M354">
        <v>1.0485139986846661</v>
      </c>
      <c r="N354">
        <v>-0.23272643536627541</v>
      </c>
      <c r="O354">
        <v>-5.5949083937881477E-2</v>
      </c>
    </row>
    <row r="355" spans="1:15" x14ac:dyDescent="0.25">
      <c r="A355">
        <v>203.0247115</v>
      </c>
      <c r="B355">
        <v>227.4683115</v>
      </c>
      <c r="C355">
        <v>38.432976750000002</v>
      </c>
      <c r="D355">
        <v>-7.3864427500000014</v>
      </c>
      <c r="E355">
        <v>228.08488474999999</v>
      </c>
      <c r="F355">
        <v>5.6523149999999998</v>
      </c>
      <c r="G355">
        <v>264.43420400000002</v>
      </c>
      <c r="H355">
        <v>16</v>
      </c>
      <c r="I355">
        <v>-12</v>
      </c>
      <c r="J355">
        <v>1.18</v>
      </c>
      <c r="K355">
        <v>20.943096749999999</v>
      </c>
      <c r="L355">
        <v>0.77434293433095946</v>
      </c>
      <c r="M355">
        <v>1.1048730466763139</v>
      </c>
      <c r="N355">
        <v>-0.1710144452159002</v>
      </c>
      <c r="O355">
        <v>4.6441276056156479E-2</v>
      </c>
    </row>
    <row r="356" spans="1:15" x14ac:dyDescent="0.25">
      <c r="A356">
        <v>197.65464025</v>
      </c>
      <c r="B356">
        <v>251.81964099999999</v>
      </c>
      <c r="C356">
        <v>74.969134999999994</v>
      </c>
      <c r="D356">
        <v>-17.089343</v>
      </c>
      <c r="E356">
        <v>254.59495924999999</v>
      </c>
      <c r="F356">
        <v>5.9934007500000002</v>
      </c>
      <c r="G356">
        <v>283.83965325000003</v>
      </c>
      <c r="H356">
        <v>16</v>
      </c>
      <c r="I356">
        <v>-8</v>
      </c>
      <c r="J356">
        <v>1.18</v>
      </c>
      <c r="K356">
        <v>21.700800999999998</v>
      </c>
      <c r="L356">
        <v>0.54368463241978116</v>
      </c>
      <c r="M356">
        <v>1.191681238709555</v>
      </c>
      <c r="N356">
        <v>-0.12960006996912179</v>
      </c>
      <c r="O356">
        <v>0.1016951521602668</v>
      </c>
    </row>
    <row r="357" spans="1:15" x14ac:dyDescent="0.25">
      <c r="A357">
        <v>185.24481975</v>
      </c>
      <c r="B357">
        <v>271.98118575000001</v>
      </c>
      <c r="C357">
        <v>114.26018500000001</v>
      </c>
      <c r="D357">
        <v>-23.820183750000002</v>
      </c>
      <c r="E357">
        <v>279.98738075</v>
      </c>
      <c r="F357">
        <v>6.7242992499999996</v>
      </c>
      <c r="G357">
        <v>302.84499375000001</v>
      </c>
      <c r="H357">
        <v>16</v>
      </c>
      <c r="I357">
        <v>-4</v>
      </c>
      <c r="J357">
        <v>1.18</v>
      </c>
      <c r="K357">
        <v>22.403095</v>
      </c>
      <c r="L357">
        <v>0.30237022279468051</v>
      </c>
      <c r="M357">
        <v>1.259985011107366</v>
      </c>
      <c r="N357">
        <v>-9.7372669201000725E-2</v>
      </c>
      <c r="O357">
        <v>0.16396770511711509</v>
      </c>
    </row>
    <row r="358" spans="1:15" x14ac:dyDescent="0.25">
      <c r="A358">
        <v>165.95235450000001</v>
      </c>
      <c r="B358">
        <v>287.84994499999999</v>
      </c>
      <c r="C358">
        <v>149.89310075</v>
      </c>
      <c r="D358">
        <v>-27.6226725</v>
      </c>
      <c r="E358">
        <v>298.00350200000003</v>
      </c>
      <c r="F358">
        <v>6.96793175</v>
      </c>
      <c r="G358">
        <v>317.76917275</v>
      </c>
      <c r="H358">
        <v>16</v>
      </c>
      <c r="I358">
        <v>0</v>
      </c>
      <c r="J358">
        <v>1.18</v>
      </c>
      <c r="K358">
        <v>22.951719000000001</v>
      </c>
      <c r="L358">
        <v>6.7801946304066316E-2</v>
      </c>
      <c r="M358">
        <v>1.3318438535035411</v>
      </c>
      <c r="N358">
        <v>-8.3444398181289667E-2</v>
      </c>
      <c r="O358">
        <v>0.22868951979546431</v>
      </c>
    </row>
    <row r="359" spans="1:15" x14ac:dyDescent="0.25">
      <c r="A359">
        <v>146.45502450000001</v>
      </c>
      <c r="B359">
        <v>300.78540800000002</v>
      </c>
      <c r="C359">
        <v>182.45499050000001</v>
      </c>
      <c r="D359">
        <v>-28.6716345</v>
      </c>
      <c r="E359">
        <v>311.81735225</v>
      </c>
      <c r="F359">
        <v>7.3090172500000001</v>
      </c>
      <c r="G359">
        <v>331.77310949999998</v>
      </c>
      <c r="H359">
        <v>16</v>
      </c>
      <c r="I359">
        <v>4</v>
      </c>
      <c r="J359">
        <v>1.18</v>
      </c>
      <c r="K359">
        <v>23.450768</v>
      </c>
      <c r="L359">
        <v>-0.14227143875484469</v>
      </c>
      <c r="M359">
        <v>1.3027331204509249</v>
      </c>
      <c r="N359">
        <v>-7.8996568680678808E-2</v>
      </c>
      <c r="O359">
        <v>0.20399699148106001</v>
      </c>
    </row>
    <row r="360" spans="1:15" x14ac:dyDescent="0.25">
      <c r="A360">
        <v>115.26854350000001</v>
      </c>
      <c r="B360">
        <v>295.24859624999999</v>
      </c>
      <c r="C360">
        <v>207.38449125</v>
      </c>
      <c r="D360">
        <v>-29.502063</v>
      </c>
      <c r="E360">
        <v>303.85984825000003</v>
      </c>
      <c r="F360">
        <v>7.1141114999999999</v>
      </c>
      <c r="G360">
        <v>328.69223775</v>
      </c>
      <c r="H360">
        <v>16</v>
      </c>
      <c r="I360">
        <v>8</v>
      </c>
      <c r="J360">
        <v>1.18</v>
      </c>
      <c r="K360">
        <v>23.346197750000002</v>
      </c>
      <c r="L360">
        <v>-0.35297023214807027</v>
      </c>
      <c r="M360">
        <v>1.244367741843234</v>
      </c>
      <c r="N360">
        <v>-9.5158600583932371E-2</v>
      </c>
      <c r="O360">
        <v>0.13707637946433751</v>
      </c>
    </row>
    <row r="361" spans="1:15" x14ac:dyDescent="0.25">
      <c r="A361">
        <v>76.088573249999996</v>
      </c>
      <c r="B361">
        <v>268.71125799999999</v>
      </c>
      <c r="C361">
        <v>215.01687625</v>
      </c>
      <c r="D361">
        <v>-19.44950725</v>
      </c>
      <c r="E361">
        <v>273.50516475000001</v>
      </c>
      <c r="F361">
        <v>6.5293929999999998</v>
      </c>
      <c r="G361">
        <v>302.92501850000002</v>
      </c>
      <c r="H361">
        <v>16</v>
      </c>
      <c r="I361">
        <v>12</v>
      </c>
      <c r="J361">
        <v>1.18</v>
      </c>
      <c r="K361">
        <v>22.413482250000001</v>
      </c>
      <c r="L361">
        <v>-0.56660623607078997</v>
      </c>
      <c r="M361">
        <v>1.1752829277936201</v>
      </c>
      <c r="N361">
        <v>-0.1199927465563997</v>
      </c>
      <c r="O361">
        <v>8.887848647111482E-2</v>
      </c>
    </row>
    <row r="362" spans="1:15" x14ac:dyDescent="0.25">
      <c r="A362">
        <v>42.151174500000003</v>
      </c>
      <c r="B362">
        <v>246.36792750000001</v>
      </c>
      <c r="C362">
        <v>220.88795875</v>
      </c>
      <c r="D362">
        <v>-4.5892097500000002</v>
      </c>
      <c r="E362">
        <v>247.2186355</v>
      </c>
      <c r="F362">
        <v>6.1883067500000006</v>
      </c>
      <c r="G362">
        <v>285.68017600000002</v>
      </c>
      <c r="H362">
        <v>16</v>
      </c>
      <c r="I362">
        <v>16</v>
      </c>
      <c r="J362">
        <v>1.18</v>
      </c>
      <c r="K362">
        <v>21.7649835</v>
      </c>
      <c r="L362">
        <v>-0.78244026568482961</v>
      </c>
      <c r="M362">
        <v>1.098584010557079</v>
      </c>
      <c r="N362">
        <v>-0.16837471281722741</v>
      </c>
      <c r="O362">
        <v>5.5122827797632383E-2</v>
      </c>
    </row>
    <row r="363" spans="1:15" x14ac:dyDescent="0.25">
      <c r="A363">
        <v>4.1522327499999996</v>
      </c>
      <c r="B363">
        <v>220.68753425</v>
      </c>
      <c r="C363">
        <v>220.02988049999999</v>
      </c>
      <c r="D363">
        <v>-6.2063600000000001</v>
      </c>
      <c r="E363">
        <v>217.48980700000001</v>
      </c>
      <c r="F363">
        <v>5.9446742500000003</v>
      </c>
      <c r="G363">
        <v>268.35530875000001</v>
      </c>
      <c r="H363">
        <v>16</v>
      </c>
      <c r="I363">
        <v>20</v>
      </c>
      <c r="J363">
        <v>1.18</v>
      </c>
      <c r="K363">
        <v>21.089396499999999</v>
      </c>
      <c r="L363">
        <v>-0.98792451110952773</v>
      </c>
      <c r="M363">
        <v>1.0383415937834179</v>
      </c>
      <c r="N363">
        <v>-0.23278978947876761</v>
      </c>
      <c r="O363">
        <v>-3.1900921750390783E-2</v>
      </c>
    </row>
    <row r="364" spans="1:15" x14ac:dyDescent="0.25">
      <c r="A364">
        <v>-41.493814499999999</v>
      </c>
      <c r="B364">
        <v>215.460579</v>
      </c>
      <c r="C364">
        <v>239.17861575000001</v>
      </c>
      <c r="D364">
        <v>-22.290448250000001</v>
      </c>
      <c r="E364">
        <v>204.57006824999999</v>
      </c>
      <c r="F364">
        <v>6.2857597500000004</v>
      </c>
      <c r="G364">
        <v>277.27782424999998</v>
      </c>
      <c r="H364">
        <v>16</v>
      </c>
      <c r="I364">
        <v>24</v>
      </c>
      <c r="J364">
        <v>1.18</v>
      </c>
      <c r="K364">
        <v>21.43145925</v>
      </c>
      <c r="L364">
        <v>-1.1869529464887689</v>
      </c>
      <c r="M364">
        <v>1.005463005694829</v>
      </c>
      <c r="N364">
        <v>-0.30750040261248202</v>
      </c>
      <c r="O364">
        <v>-0.16145040171312869</v>
      </c>
    </row>
    <row r="365" spans="1:15" x14ac:dyDescent="0.25">
      <c r="A365">
        <v>-93.793807999999999</v>
      </c>
      <c r="B365">
        <v>214.43577225000001</v>
      </c>
      <c r="C365">
        <v>265.95976250000001</v>
      </c>
      <c r="D365">
        <v>-53.584487000000003</v>
      </c>
      <c r="E365">
        <v>191.73973849999999</v>
      </c>
      <c r="F365">
        <v>6.2857597500000004</v>
      </c>
      <c r="G365">
        <v>297.24342350000001</v>
      </c>
      <c r="H365">
        <v>16</v>
      </c>
      <c r="I365">
        <v>28</v>
      </c>
      <c r="J365">
        <v>1.18</v>
      </c>
      <c r="K365">
        <v>22.20693275</v>
      </c>
      <c r="L365">
        <v>-1.355352820777332</v>
      </c>
      <c r="M365">
        <v>1.0097536632522279</v>
      </c>
      <c r="N365">
        <v>-0.39749886273406448</v>
      </c>
      <c r="O365">
        <v>-0.3012855648579022</v>
      </c>
    </row>
    <row r="366" spans="1:15" x14ac:dyDescent="0.25">
      <c r="A366">
        <v>-146.18698875000001</v>
      </c>
      <c r="B366">
        <v>206.370968</v>
      </c>
      <c r="C366">
        <v>286.91499325000001</v>
      </c>
      <c r="D366">
        <v>-102.9294165</v>
      </c>
      <c r="E366">
        <v>167.42021575000001</v>
      </c>
      <c r="F366">
        <v>6.96793175</v>
      </c>
      <c r="G366">
        <v>312.92781824999997</v>
      </c>
      <c r="H366">
        <v>16</v>
      </c>
      <c r="I366">
        <v>32</v>
      </c>
      <c r="J366">
        <v>1.18</v>
      </c>
      <c r="K366">
        <v>22.772259500000001</v>
      </c>
      <c r="L366">
        <v>-1.4833406525416151</v>
      </c>
      <c r="M366">
        <v>1.0593323527077909</v>
      </c>
      <c r="N366">
        <v>-0.49836164634835878</v>
      </c>
      <c r="O366">
        <v>-0.45046709211141622</v>
      </c>
    </row>
    <row r="367" spans="1:15" x14ac:dyDescent="0.25">
      <c r="A367">
        <v>-205.00873949999999</v>
      </c>
      <c r="B367">
        <v>192.843109</v>
      </c>
      <c r="C367">
        <v>304.663704</v>
      </c>
      <c r="D367">
        <v>-159.61708475</v>
      </c>
      <c r="E367">
        <v>131.611515</v>
      </c>
      <c r="F367">
        <v>7.1628377499999996</v>
      </c>
      <c r="G367">
        <v>327.49189775000002</v>
      </c>
      <c r="H367">
        <v>16</v>
      </c>
      <c r="I367">
        <v>36</v>
      </c>
      <c r="J367">
        <v>1.18</v>
      </c>
      <c r="K367">
        <v>23.300856750000001</v>
      </c>
      <c r="L367">
        <v>-1.623553770341351</v>
      </c>
      <c r="M367">
        <v>1.122759976101074</v>
      </c>
      <c r="N367">
        <v>-0.62397855362445553</v>
      </c>
      <c r="O367">
        <v>-0.60357334180816691</v>
      </c>
    </row>
    <row r="368" spans="1:15" x14ac:dyDescent="0.25">
      <c r="A368">
        <v>-262.92859650000003</v>
      </c>
      <c r="B368">
        <v>164.19279075</v>
      </c>
      <c r="C368">
        <v>315.09614575000001</v>
      </c>
      <c r="D368">
        <v>-212.80820850000001</v>
      </c>
      <c r="E368">
        <v>80.021957499999999</v>
      </c>
      <c r="F368">
        <v>7.4064707500000004</v>
      </c>
      <c r="G368">
        <v>338.374954</v>
      </c>
      <c r="H368">
        <v>16</v>
      </c>
      <c r="I368">
        <v>40</v>
      </c>
      <c r="J368">
        <v>1.18</v>
      </c>
      <c r="K368">
        <v>23.684628249999999</v>
      </c>
      <c r="L368">
        <v>-1.818349820100523</v>
      </c>
      <c r="M368">
        <v>1.185912554847627</v>
      </c>
      <c r="N368">
        <v>-0.81273287426659124</v>
      </c>
      <c r="O368">
        <v>-0.77157210631795303</v>
      </c>
    </row>
    <row r="369" spans="1:15" x14ac:dyDescent="0.25">
      <c r="A369">
        <v>-280.74269874999999</v>
      </c>
      <c r="B369">
        <v>117.6458435</v>
      </c>
      <c r="C369">
        <v>284.16009500000001</v>
      </c>
      <c r="D369">
        <v>-235.27348699999999</v>
      </c>
      <c r="E369">
        <v>18.954937999999999</v>
      </c>
      <c r="F369">
        <v>6.5293927500000004</v>
      </c>
      <c r="G369">
        <v>308.88668050000001</v>
      </c>
      <c r="H369">
        <v>16</v>
      </c>
      <c r="I369">
        <v>44</v>
      </c>
      <c r="J369">
        <v>1.18</v>
      </c>
      <c r="K369">
        <v>22.637771999999998</v>
      </c>
      <c r="L369">
        <v>-2.0396388465957669</v>
      </c>
      <c r="M369">
        <v>1.274257305989845</v>
      </c>
      <c r="N369">
        <v>-1.0468639624962861</v>
      </c>
      <c r="O369">
        <v>-0.95513322478715212</v>
      </c>
    </row>
    <row r="370" spans="1:15" x14ac:dyDescent="0.25">
      <c r="A370">
        <v>244.10586925000001</v>
      </c>
      <c r="B370">
        <v>115.0326025</v>
      </c>
      <c r="C370">
        <v>-306.69047549999999</v>
      </c>
      <c r="D370">
        <v>-299.47872150000001</v>
      </c>
      <c r="E370">
        <v>-42.236971250000003</v>
      </c>
      <c r="F370">
        <v>6.3832129999999996</v>
      </c>
      <c r="G370">
        <v>284.67989375000002</v>
      </c>
      <c r="H370">
        <v>20</v>
      </c>
      <c r="I370">
        <v>-44</v>
      </c>
      <c r="J370">
        <v>1.18</v>
      </c>
      <c r="K370">
        <v>21.7183995</v>
      </c>
      <c r="L370">
        <v>2.1115639692276709</v>
      </c>
      <c r="M370">
        <v>1.5890887131404141</v>
      </c>
      <c r="N370">
        <v>-1.2532853470501739</v>
      </c>
      <c r="O370">
        <v>-1.1863905499298</v>
      </c>
    </row>
    <row r="371" spans="1:15" x14ac:dyDescent="0.25">
      <c r="A371">
        <v>233.48518749999999</v>
      </c>
      <c r="B371">
        <v>135.90391925</v>
      </c>
      <c r="C371">
        <v>-256.11678325000003</v>
      </c>
      <c r="D371">
        <v>-241.74208425</v>
      </c>
      <c r="E371">
        <v>9.4774799999999999</v>
      </c>
      <c r="F371">
        <v>5.8472212499999996</v>
      </c>
      <c r="G371">
        <v>267.07495125000003</v>
      </c>
      <c r="H371">
        <v>20</v>
      </c>
      <c r="I371">
        <v>-40</v>
      </c>
      <c r="J371">
        <v>1.18</v>
      </c>
      <c r="K371">
        <v>21.041821500000001</v>
      </c>
      <c r="L371">
        <v>1.8946993533459531</v>
      </c>
      <c r="M371">
        <v>1.4614260063323239</v>
      </c>
      <c r="N371">
        <v>-0.99686819526574144</v>
      </c>
      <c r="O371">
        <v>-0.98594852472723848</v>
      </c>
    </row>
    <row r="372" spans="1:15" x14ac:dyDescent="0.25">
      <c r="A372">
        <v>245.39861275000001</v>
      </c>
      <c r="B372">
        <v>167.73987199999999</v>
      </c>
      <c r="C372">
        <v>-234.77747325000001</v>
      </c>
      <c r="D372">
        <v>-212.02149199999999</v>
      </c>
      <c r="E372">
        <v>54.718932250000002</v>
      </c>
      <c r="F372">
        <v>6.1395799999999996</v>
      </c>
      <c r="G372">
        <v>278.83824900000002</v>
      </c>
      <c r="H372">
        <v>20</v>
      </c>
      <c r="I372">
        <v>-36</v>
      </c>
      <c r="J372">
        <v>1.18</v>
      </c>
      <c r="K372">
        <v>21.498844999999999</v>
      </c>
      <c r="L372">
        <v>1.726525227343509</v>
      </c>
      <c r="M372">
        <v>1.365466404618209</v>
      </c>
      <c r="N372">
        <v>-0.80584884288197023</v>
      </c>
      <c r="O372">
        <v>-0.82532903242608235</v>
      </c>
    </row>
    <row r="373" spans="1:15" x14ac:dyDescent="0.25">
      <c r="A373">
        <v>260.75863674999999</v>
      </c>
      <c r="B373">
        <v>203.38918699999999</v>
      </c>
      <c r="C373">
        <v>-212.31028749999999</v>
      </c>
      <c r="D373">
        <v>-189.94957350000001</v>
      </c>
      <c r="E373">
        <v>101.30153475</v>
      </c>
      <c r="F373">
        <v>6.5781194999999997</v>
      </c>
      <c r="G373">
        <v>298.68381525000001</v>
      </c>
      <c r="H373">
        <v>20</v>
      </c>
      <c r="I373">
        <v>-32</v>
      </c>
      <c r="J373">
        <v>1.18</v>
      </c>
      <c r="K373">
        <v>22.250701500000002</v>
      </c>
      <c r="L373">
        <v>1.564233388525623</v>
      </c>
      <c r="M373">
        <v>1.300598647752599</v>
      </c>
      <c r="N373">
        <v>-0.65267252081586835</v>
      </c>
      <c r="O373">
        <v>-0.68679681364189715</v>
      </c>
    </row>
    <row r="374" spans="1:15" x14ac:dyDescent="0.25">
      <c r="A374">
        <v>270.75978099999998</v>
      </c>
      <c r="B374">
        <v>234.76168824999999</v>
      </c>
      <c r="C374">
        <v>-175.49659750000001</v>
      </c>
      <c r="D374">
        <v>-158.48070899999999</v>
      </c>
      <c r="E374">
        <v>146.05123524999999</v>
      </c>
      <c r="F374">
        <v>6.6268459999999996</v>
      </c>
      <c r="G374">
        <v>313.88809199999997</v>
      </c>
      <c r="H374">
        <v>20</v>
      </c>
      <c r="I374">
        <v>-28</v>
      </c>
      <c r="J374">
        <v>1.18</v>
      </c>
      <c r="K374">
        <v>22.820633000000001</v>
      </c>
      <c r="L374">
        <v>1.4255572235419021</v>
      </c>
      <c r="M374">
        <v>1.256203969332685</v>
      </c>
      <c r="N374">
        <v>-0.53615447655631154</v>
      </c>
      <c r="O374">
        <v>-0.55461329770149925</v>
      </c>
    </row>
    <row r="375" spans="1:15" x14ac:dyDescent="0.25">
      <c r="A375">
        <v>276.67136399999998</v>
      </c>
      <c r="B375">
        <v>262.76674650000001</v>
      </c>
      <c r="C375">
        <v>-127.313984</v>
      </c>
      <c r="D375">
        <v>-122.59746174999999</v>
      </c>
      <c r="E375">
        <v>189.28095999999999</v>
      </c>
      <c r="F375">
        <v>7.0653852500000003</v>
      </c>
      <c r="G375">
        <v>326.81171399999999</v>
      </c>
      <c r="H375">
        <v>20</v>
      </c>
      <c r="I375">
        <v>-24</v>
      </c>
      <c r="J375">
        <v>1.18</v>
      </c>
      <c r="K375">
        <v>23.27965575</v>
      </c>
      <c r="L375">
        <v>1.2856211293824751</v>
      </c>
      <c r="M375">
        <v>1.2263494999201821</v>
      </c>
      <c r="N375">
        <v>-0.43767343809940401</v>
      </c>
      <c r="O375">
        <v>-0.42013458535312509</v>
      </c>
    </row>
    <row r="376" spans="1:15" x14ac:dyDescent="0.25">
      <c r="A376">
        <v>276.05772374999998</v>
      </c>
      <c r="B376">
        <v>287.17673474999998</v>
      </c>
      <c r="C376">
        <v>-75.161274000000006</v>
      </c>
      <c r="D376">
        <v>-95.062200500000003</v>
      </c>
      <c r="E376">
        <v>228.66606525</v>
      </c>
      <c r="F376">
        <v>7.4064707500000004</v>
      </c>
      <c r="G376">
        <v>339.85536174999999</v>
      </c>
      <c r="H376">
        <v>20</v>
      </c>
      <c r="I376">
        <v>-20</v>
      </c>
      <c r="J376">
        <v>1.18</v>
      </c>
      <c r="K376">
        <v>23.737576749999999</v>
      </c>
      <c r="L376">
        <v>1.1193259105652</v>
      </c>
      <c r="M376">
        <v>1.218179556383197</v>
      </c>
      <c r="N376">
        <v>-0.35436023411016171</v>
      </c>
      <c r="O376">
        <v>-0.294847800997392</v>
      </c>
    </row>
    <row r="377" spans="1:15" x14ac:dyDescent="0.25">
      <c r="A377">
        <v>239.63801950000001</v>
      </c>
      <c r="B377">
        <v>272.55821974999998</v>
      </c>
      <c r="C377">
        <v>-13.083294</v>
      </c>
      <c r="D377">
        <v>-63.199973249999999</v>
      </c>
      <c r="E377">
        <v>232.42127600000001</v>
      </c>
      <c r="F377">
        <v>6.8704789999999996</v>
      </c>
      <c r="G377">
        <v>309.68691250000001</v>
      </c>
      <c r="H377">
        <v>20</v>
      </c>
      <c r="I377">
        <v>-16</v>
      </c>
      <c r="J377">
        <v>1.18</v>
      </c>
      <c r="K377">
        <v>22.65495825</v>
      </c>
      <c r="L377">
        <v>0.93405829746285829</v>
      </c>
      <c r="M377">
        <v>1.240931994277402</v>
      </c>
      <c r="N377">
        <v>-0.28556987709611581</v>
      </c>
      <c r="O377">
        <v>-0.1663365227149404</v>
      </c>
    </row>
    <row r="378" spans="1:15" x14ac:dyDescent="0.25">
      <c r="A378">
        <v>208.71066300000001</v>
      </c>
      <c r="B378">
        <v>263.03695649999997</v>
      </c>
      <c r="C378">
        <v>33.329657500000003</v>
      </c>
      <c r="D378">
        <v>-55.988357499999999</v>
      </c>
      <c r="E378">
        <v>234.34358599999999</v>
      </c>
      <c r="F378">
        <v>6.43194</v>
      </c>
      <c r="G378">
        <v>289.841339</v>
      </c>
      <c r="H378">
        <v>20</v>
      </c>
      <c r="I378">
        <v>-12</v>
      </c>
      <c r="J378">
        <v>1.18</v>
      </c>
      <c r="K378">
        <v>21.916987750000001</v>
      </c>
      <c r="L378">
        <v>0.71388768268796832</v>
      </c>
      <c r="M378">
        <v>1.2985816647119559</v>
      </c>
      <c r="N378">
        <v>-0.22591423898624169</v>
      </c>
      <c r="O378">
        <v>-7.2288215147585017E-2</v>
      </c>
    </row>
    <row r="379" spans="1:15" x14ac:dyDescent="0.25">
      <c r="A379">
        <v>179.25475299999999</v>
      </c>
      <c r="B379">
        <v>251.65768424999999</v>
      </c>
      <c r="C379">
        <v>64.717334749999992</v>
      </c>
      <c r="D379">
        <v>-54.50232725</v>
      </c>
      <c r="E379">
        <v>229.42604850000001</v>
      </c>
      <c r="F379">
        <v>6.0908542499999996</v>
      </c>
      <c r="G379">
        <v>272.43645475</v>
      </c>
      <c r="H379">
        <v>20</v>
      </c>
      <c r="I379">
        <v>-8</v>
      </c>
      <c r="J379">
        <v>1.18</v>
      </c>
      <c r="K379">
        <v>21.246928499999999</v>
      </c>
      <c r="L379">
        <v>0.51061205551233557</v>
      </c>
      <c r="M379">
        <v>1.364849621557207</v>
      </c>
      <c r="N379">
        <v>-0.19175944113457369</v>
      </c>
      <c r="O379">
        <v>-4.3858819279144132E-3</v>
      </c>
    </row>
    <row r="380" spans="1:15" x14ac:dyDescent="0.25">
      <c r="A380">
        <v>158.18956750000001</v>
      </c>
      <c r="B380">
        <v>255.87197075</v>
      </c>
      <c r="C380">
        <v>91.859768000000003</v>
      </c>
      <c r="D380">
        <v>-57.168441000000001</v>
      </c>
      <c r="E380">
        <v>236.80236825</v>
      </c>
      <c r="F380">
        <v>5.9446744999999996</v>
      </c>
      <c r="G380">
        <v>272.83657849999997</v>
      </c>
      <c r="H380">
        <v>20</v>
      </c>
      <c r="I380">
        <v>-4</v>
      </c>
      <c r="J380">
        <v>1.18</v>
      </c>
      <c r="K380">
        <v>21.268710250000002</v>
      </c>
      <c r="L380">
        <v>0.30227953537581193</v>
      </c>
      <c r="M380">
        <v>1.4264361186781329</v>
      </c>
      <c r="N380">
        <v>-0.16422697333288391</v>
      </c>
      <c r="O380">
        <v>5.1963475121086601E-2</v>
      </c>
    </row>
    <row r="381" spans="1:15" x14ac:dyDescent="0.25">
      <c r="A381">
        <v>144.05367625</v>
      </c>
      <c r="B381">
        <v>276.3957595</v>
      </c>
      <c r="C381">
        <v>125.46038824999999</v>
      </c>
      <c r="D381">
        <v>-60.31532575</v>
      </c>
      <c r="E381">
        <v>257.99252300000001</v>
      </c>
      <c r="F381">
        <v>6.5293927500000004</v>
      </c>
      <c r="G381">
        <v>293.20228550000002</v>
      </c>
      <c r="H381">
        <v>20</v>
      </c>
      <c r="I381">
        <v>0</v>
      </c>
      <c r="J381">
        <v>1.18</v>
      </c>
      <c r="K381">
        <v>22.04281275</v>
      </c>
      <c r="L381">
        <v>8.2525514594880056E-2</v>
      </c>
      <c r="M381">
        <v>1.493777704714464</v>
      </c>
      <c r="N381">
        <v>-0.15627705690016011</v>
      </c>
      <c r="O381">
        <v>0.11558199718668311</v>
      </c>
    </row>
    <row r="382" spans="1:15" x14ac:dyDescent="0.25">
      <c r="A382">
        <v>126.58846275000001</v>
      </c>
      <c r="B382">
        <v>292.89911649999999</v>
      </c>
      <c r="C382">
        <v>156.62225325</v>
      </c>
      <c r="D382">
        <v>-65.297898500000002</v>
      </c>
      <c r="E382">
        <v>272.96871175000001</v>
      </c>
      <c r="F382">
        <v>6.5781194999999997</v>
      </c>
      <c r="G382">
        <v>309.96698750000002</v>
      </c>
      <c r="H382">
        <v>20</v>
      </c>
      <c r="I382">
        <v>4</v>
      </c>
      <c r="J382">
        <v>1.18</v>
      </c>
      <c r="K382">
        <v>22.676370250000002</v>
      </c>
      <c r="L382">
        <v>-0.123915172129963</v>
      </c>
      <c r="M382">
        <v>1.478234828710161</v>
      </c>
      <c r="N382">
        <v>-0.1527264751152084</v>
      </c>
      <c r="O382">
        <v>9.9359646305745508E-2</v>
      </c>
    </row>
    <row r="383" spans="1:15" x14ac:dyDescent="0.25">
      <c r="A383">
        <v>101.45795825</v>
      </c>
      <c r="B383">
        <v>304.87282549999998</v>
      </c>
      <c r="C383">
        <v>189.31963350000001</v>
      </c>
      <c r="D383">
        <v>-71.329429500000003</v>
      </c>
      <c r="E383">
        <v>282.58028374999998</v>
      </c>
      <c r="F383">
        <v>6.9192055000000003</v>
      </c>
      <c r="G383">
        <v>324.41104100000001</v>
      </c>
      <c r="H383">
        <v>20</v>
      </c>
      <c r="I383">
        <v>8</v>
      </c>
      <c r="J383">
        <v>1.18</v>
      </c>
      <c r="K383">
        <v>23.1974245</v>
      </c>
      <c r="L383">
        <v>-0.32840945731726728</v>
      </c>
      <c r="M383">
        <v>1.406322345430324</v>
      </c>
      <c r="N383">
        <v>-0.15640492737271061</v>
      </c>
      <c r="O383">
        <v>3.047407410012307E-2</v>
      </c>
    </row>
    <row r="384" spans="1:15" x14ac:dyDescent="0.25">
      <c r="A384">
        <v>69.449888250000001</v>
      </c>
      <c r="B384">
        <v>312.95146925</v>
      </c>
      <c r="C384">
        <v>222.4234735</v>
      </c>
      <c r="D384">
        <v>-73.208818250000007</v>
      </c>
      <c r="E384">
        <v>284.68141150000002</v>
      </c>
      <c r="F384">
        <v>7.5039239999999996</v>
      </c>
      <c r="G384">
        <v>338.81507875</v>
      </c>
      <c r="H384">
        <v>20</v>
      </c>
      <c r="I384">
        <v>12</v>
      </c>
      <c r="J384">
        <v>1.18</v>
      </c>
      <c r="K384">
        <v>23.696918</v>
      </c>
      <c r="L384">
        <v>-0.53382358454244538</v>
      </c>
      <c r="M384">
        <v>1.3475933717544391</v>
      </c>
      <c r="N384">
        <v>-0.1889265669113904</v>
      </c>
      <c r="O384">
        <v>-3.2751697724067858E-2</v>
      </c>
    </row>
    <row r="385" spans="1:15" x14ac:dyDescent="0.25">
      <c r="A385">
        <v>29.424566250000002</v>
      </c>
      <c r="B385">
        <v>282.98461150000003</v>
      </c>
      <c r="C385">
        <v>225.08803574999999</v>
      </c>
      <c r="D385">
        <v>-57.47439</v>
      </c>
      <c r="E385">
        <v>252.5385205</v>
      </c>
      <c r="F385">
        <v>7.0166585000000001</v>
      </c>
      <c r="G385">
        <v>313.64801799999998</v>
      </c>
      <c r="H385">
        <v>20</v>
      </c>
      <c r="I385">
        <v>16</v>
      </c>
      <c r="J385">
        <v>1.18</v>
      </c>
      <c r="K385">
        <v>22.797215999999999</v>
      </c>
      <c r="L385">
        <v>-0.73400690383224321</v>
      </c>
      <c r="M385">
        <v>1.2772538464654859</v>
      </c>
      <c r="N385">
        <v>-0.22926463892495849</v>
      </c>
      <c r="O385">
        <v>-7.8936758158603793E-2</v>
      </c>
    </row>
    <row r="386" spans="1:15" x14ac:dyDescent="0.25">
      <c r="A386">
        <v>-14.056339250000001</v>
      </c>
      <c r="B386">
        <v>256.86952574999998</v>
      </c>
      <c r="C386">
        <v>225.53965375000001</v>
      </c>
      <c r="D386">
        <v>-53.540776999999999</v>
      </c>
      <c r="E386">
        <v>220.30622099999999</v>
      </c>
      <c r="F386">
        <v>6.3344867499999999</v>
      </c>
      <c r="G386">
        <v>293.5623855</v>
      </c>
      <c r="H386">
        <v>20</v>
      </c>
      <c r="I386">
        <v>20</v>
      </c>
      <c r="J386">
        <v>1.18</v>
      </c>
      <c r="K386">
        <v>22.064135749999998</v>
      </c>
      <c r="L386">
        <v>-0.94288561762334777</v>
      </c>
      <c r="M386">
        <v>1.221582030065858</v>
      </c>
      <c r="N386">
        <v>-0.28830170349737327</v>
      </c>
      <c r="O386">
        <v>-0.15792587737737271</v>
      </c>
    </row>
    <row r="387" spans="1:15" x14ac:dyDescent="0.25">
      <c r="A387">
        <v>-60.186483250000002</v>
      </c>
      <c r="B387">
        <v>230.06519725000001</v>
      </c>
      <c r="C387">
        <v>225.9009475</v>
      </c>
      <c r="D387">
        <v>-65.90979200000001</v>
      </c>
      <c r="E387">
        <v>187.53746824999999</v>
      </c>
      <c r="F387">
        <v>6.1883072500000003</v>
      </c>
      <c r="G387">
        <v>277.15777600000001</v>
      </c>
      <c r="H387">
        <v>20</v>
      </c>
      <c r="I387">
        <v>24</v>
      </c>
      <c r="J387">
        <v>1.18</v>
      </c>
      <c r="K387">
        <v>21.430574499999999</v>
      </c>
      <c r="L387">
        <v>-1.1416581906749219</v>
      </c>
      <c r="M387">
        <v>1.1811363276076441</v>
      </c>
      <c r="N387">
        <v>-0.35765184203638811</v>
      </c>
      <c r="O387">
        <v>-0.27628190256668472</v>
      </c>
    </row>
    <row r="388" spans="1:15" x14ac:dyDescent="0.25">
      <c r="A388">
        <v>-97.301441249999996</v>
      </c>
      <c r="B388">
        <v>208.32828900000001</v>
      </c>
      <c r="C388">
        <v>226.03643400000001</v>
      </c>
      <c r="D388">
        <v>-89.467739249999994</v>
      </c>
      <c r="E388">
        <v>157.71923475</v>
      </c>
      <c r="F388">
        <v>5.9446744999999996</v>
      </c>
      <c r="G388">
        <v>267.31501774999998</v>
      </c>
      <c r="H388">
        <v>20</v>
      </c>
      <c r="I388">
        <v>28</v>
      </c>
      <c r="J388">
        <v>1.18</v>
      </c>
      <c r="K388">
        <v>21.047546499999999</v>
      </c>
      <c r="L388">
        <v>-1.2876692075608449</v>
      </c>
      <c r="M388">
        <v>1.185949424057307</v>
      </c>
      <c r="N388">
        <v>-0.43645525863823681</v>
      </c>
      <c r="O388">
        <v>-0.395571350328625</v>
      </c>
    </row>
    <row r="389" spans="1:15" x14ac:dyDescent="0.25">
      <c r="A389">
        <v>-149.9259605</v>
      </c>
      <c r="B389">
        <v>208.03967274999999</v>
      </c>
      <c r="C389">
        <v>250.64980324999999</v>
      </c>
      <c r="D389">
        <v>-138.9000815</v>
      </c>
      <c r="E389">
        <v>139.70312525</v>
      </c>
      <c r="F389">
        <v>6.2857597500000004</v>
      </c>
      <c r="G389">
        <v>288.40093224999998</v>
      </c>
      <c r="H389">
        <v>20</v>
      </c>
      <c r="I389">
        <v>32</v>
      </c>
      <c r="J389">
        <v>1.18</v>
      </c>
      <c r="K389">
        <v>21.866870500000001</v>
      </c>
      <c r="L389">
        <v>-1.409910682896004</v>
      </c>
      <c r="M389">
        <v>1.221110474334373</v>
      </c>
      <c r="N389">
        <v>-0.52338010904762633</v>
      </c>
      <c r="O389">
        <v>-0.5304052938355569</v>
      </c>
    </row>
    <row r="390" spans="1:15" x14ac:dyDescent="0.25">
      <c r="A390">
        <v>-201.59835849999999</v>
      </c>
      <c r="B390">
        <v>198.72403324999999</v>
      </c>
      <c r="C390">
        <v>268.57914699999998</v>
      </c>
      <c r="D390">
        <v>-190.47405624999999</v>
      </c>
      <c r="E390">
        <v>111.53897474999999</v>
      </c>
      <c r="F390">
        <v>6.7242990000000002</v>
      </c>
      <c r="G390">
        <v>305.16563400000001</v>
      </c>
      <c r="H390">
        <v>20</v>
      </c>
      <c r="I390">
        <v>36</v>
      </c>
      <c r="J390">
        <v>1.18</v>
      </c>
      <c r="K390">
        <v>22.490716750000001</v>
      </c>
      <c r="L390">
        <v>-1.528670802557601</v>
      </c>
      <c r="M390">
        <v>1.2653682325757569</v>
      </c>
      <c r="N390">
        <v>-0.62953543208501661</v>
      </c>
      <c r="O390">
        <v>-0.65922456506788674</v>
      </c>
    </row>
    <row r="391" spans="1:15" x14ac:dyDescent="0.25">
      <c r="A391">
        <v>-256.78450774999999</v>
      </c>
      <c r="B391">
        <v>180.84571450000001</v>
      </c>
      <c r="C391">
        <v>279.64388300000002</v>
      </c>
      <c r="D391">
        <v>-242.834755</v>
      </c>
      <c r="E391">
        <v>68.935119749999998</v>
      </c>
      <c r="F391">
        <v>6.9192055000000003</v>
      </c>
      <c r="G391">
        <v>319.76973724999999</v>
      </c>
      <c r="H391">
        <v>20</v>
      </c>
      <c r="I391">
        <v>40</v>
      </c>
      <c r="J391">
        <v>1.18</v>
      </c>
      <c r="K391">
        <v>23.027258499999999</v>
      </c>
      <c r="L391">
        <v>-1.68294454683601</v>
      </c>
      <c r="M391">
        <v>1.329217729005439</v>
      </c>
      <c r="N391">
        <v>-0.7869510056015554</v>
      </c>
      <c r="O391">
        <v>-0.80543930273293984</v>
      </c>
    </row>
    <row r="392" spans="1:15" x14ac:dyDescent="0.25">
      <c r="A392">
        <v>-315.50503550000002</v>
      </c>
      <c r="B392">
        <v>152.42018125000001</v>
      </c>
      <c r="C392">
        <v>289.17309599999999</v>
      </c>
      <c r="D392">
        <v>-297.20595550000002</v>
      </c>
      <c r="E392">
        <v>13.8585695</v>
      </c>
      <c r="F392">
        <v>7.309018</v>
      </c>
      <c r="G392">
        <v>334.53388999999999</v>
      </c>
      <c r="H392">
        <v>20</v>
      </c>
      <c r="I392">
        <v>44</v>
      </c>
      <c r="J392">
        <v>1.18</v>
      </c>
      <c r="K392">
        <v>23.550332749999999</v>
      </c>
      <c r="L392">
        <v>-1.888359145798334</v>
      </c>
      <c r="M392">
        <v>1.404150563996287</v>
      </c>
      <c r="N392">
        <v>-1.0014552926046869</v>
      </c>
      <c r="O392">
        <v>-0.97954289034138231</v>
      </c>
    </row>
    <row r="393" spans="1:15" x14ac:dyDescent="0.25">
      <c r="A393">
        <v>245.4597435</v>
      </c>
      <c r="B393">
        <v>143.64649199999999</v>
      </c>
      <c r="C393">
        <v>-363.76070399999998</v>
      </c>
      <c r="D393">
        <v>-368.88504799999998</v>
      </c>
      <c r="E393">
        <v>-58.917673999999998</v>
      </c>
      <c r="F393">
        <v>6.6268462499999998</v>
      </c>
      <c r="G393">
        <v>311.64745325000001</v>
      </c>
      <c r="H393">
        <v>24</v>
      </c>
      <c r="I393">
        <v>-44</v>
      </c>
      <c r="J393">
        <v>1.18</v>
      </c>
      <c r="K393">
        <v>22.737252000000002</v>
      </c>
      <c r="L393">
        <v>1.9818300066764281</v>
      </c>
      <c r="M393">
        <v>1.6672869627313029</v>
      </c>
      <c r="N393">
        <v>-1.2054869909560399</v>
      </c>
      <c r="O393">
        <v>-1.2132281486045531</v>
      </c>
    </row>
    <row r="394" spans="1:15" x14ac:dyDescent="0.25">
      <c r="A394">
        <v>234.79385375000001</v>
      </c>
      <c r="B394">
        <v>163.18260925000001</v>
      </c>
      <c r="C394">
        <v>-302.35945900000002</v>
      </c>
      <c r="D394">
        <v>-305.59766424999998</v>
      </c>
      <c r="E394">
        <v>-5.0398927499999999</v>
      </c>
      <c r="F394">
        <v>6.1883067500000006</v>
      </c>
      <c r="G394">
        <v>289.40121449999998</v>
      </c>
      <c r="H394">
        <v>24</v>
      </c>
      <c r="I394">
        <v>-40</v>
      </c>
      <c r="J394">
        <v>1.18</v>
      </c>
      <c r="K394">
        <v>21.90937525</v>
      </c>
      <c r="L394">
        <v>1.796863101048086</v>
      </c>
      <c r="M394">
        <v>1.568149495702341</v>
      </c>
      <c r="N394">
        <v>-0.98495225659451913</v>
      </c>
      <c r="O394">
        <v>-1.0375595065673151</v>
      </c>
    </row>
    <row r="395" spans="1:15" x14ac:dyDescent="0.25">
      <c r="A395">
        <v>223.48162074999999</v>
      </c>
      <c r="B395">
        <v>178.29665</v>
      </c>
      <c r="C395">
        <v>-249.39467625</v>
      </c>
      <c r="D395">
        <v>-250.00266275000001</v>
      </c>
      <c r="E395">
        <v>37.283985999999999</v>
      </c>
      <c r="F395">
        <v>5.8959475000000001</v>
      </c>
      <c r="G395">
        <v>274.15692899999999</v>
      </c>
      <c r="H395">
        <v>24</v>
      </c>
      <c r="I395">
        <v>-36</v>
      </c>
      <c r="J395">
        <v>1.18</v>
      </c>
      <c r="K395">
        <v>21.3231915</v>
      </c>
      <c r="L395">
        <v>1.6477448613954631</v>
      </c>
      <c r="M395">
        <v>1.4924128029151531</v>
      </c>
      <c r="N395">
        <v>-0.82538483701325305</v>
      </c>
      <c r="O395">
        <v>-0.89061383073812506</v>
      </c>
    </row>
    <row r="396" spans="1:15" x14ac:dyDescent="0.25">
      <c r="A396">
        <v>220.89309700000001</v>
      </c>
      <c r="B396">
        <v>197.70038600000001</v>
      </c>
      <c r="C396">
        <v>-210.91172775000001</v>
      </c>
      <c r="D396">
        <v>-208.43753050000001</v>
      </c>
      <c r="E396">
        <v>75.238525749999994</v>
      </c>
      <c r="F396">
        <v>5.9934012499999998</v>
      </c>
      <c r="G396">
        <v>271.67623900000001</v>
      </c>
      <c r="H396">
        <v>24</v>
      </c>
      <c r="I396">
        <v>-32</v>
      </c>
      <c r="J396">
        <v>1.18</v>
      </c>
      <c r="K396">
        <v>21.220478499999999</v>
      </c>
      <c r="L396">
        <v>1.515594875069769</v>
      </c>
      <c r="M396">
        <v>1.425470955692123</v>
      </c>
      <c r="N396">
        <v>-0.68948833081122973</v>
      </c>
      <c r="O396">
        <v>-0.75695610476129949</v>
      </c>
    </row>
    <row r="397" spans="1:15" x14ac:dyDescent="0.25">
      <c r="A397">
        <v>233.92192075</v>
      </c>
      <c r="B397">
        <v>230.83462524999999</v>
      </c>
      <c r="C397">
        <v>-187.27156475000001</v>
      </c>
      <c r="D397">
        <v>-190.78000650000001</v>
      </c>
      <c r="E397">
        <v>115.38360575</v>
      </c>
      <c r="F397">
        <v>6.6755724999999986</v>
      </c>
      <c r="G397">
        <v>292.40205374999999</v>
      </c>
      <c r="H397">
        <v>24</v>
      </c>
      <c r="I397">
        <v>-28</v>
      </c>
      <c r="J397">
        <v>1.18</v>
      </c>
      <c r="K397">
        <v>22.006392000000002</v>
      </c>
      <c r="L397">
        <v>1.383645025014316</v>
      </c>
      <c r="M397">
        <v>1.3850308299565199</v>
      </c>
      <c r="N397">
        <v>-0.58151955297123814</v>
      </c>
      <c r="O397">
        <v>-0.64288953247668323</v>
      </c>
    </row>
    <row r="398" spans="1:15" x14ac:dyDescent="0.25">
      <c r="A398">
        <v>241.57860199999999</v>
      </c>
      <c r="B398">
        <v>259.8332365</v>
      </c>
      <c r="C398">
        <v>-150.59322725000001</v>
      </c>
      <c r="D398">
        <v>-165.60491575</v>
      </c>
      <c r="E398">
        <v>155.43928149999999</v>
      </c>
      <c r="F398">
        <v>6.8704787500000002</v>
      </c>
      <c r="G398">
        <v>309.72691325</v>
      </c>
      <c r="H398">
        <v>24</v>
      </c>
      <c r="I398">
        <v>-24</v>
      </c>
      <c r="J398">
        <v>1.18</v>
      </c>
      <c r="K398">
        <v>22.656467500000002</v>
      </c>
      <c r="L398">
        <v>1.2507912994174211</v>
      </c>
      <c r="M398">
        <v>1.3568951594926699</v>
      </c>
      <c r="N398">
        <v>-0.49208567463677999</v>
      </c>
      <c r="O398">
        <v>-0.52615454570683984</v>
      </c>
    </row>
    <row r="399" spans="1:15" x14ac:dyDescent="0.25">
      <c r="A399">
        <v>243.23252074999999</v>
      </c>
      <c r="B399">
        <v>286.65957624999999</v>
      </c>
      <c r="C399">
        <v>-105.2528475</v>
      </c>
      <c r="D399">
        <v>-133.5678595</v>
      </c>
      <c r="E399">
        <v>191.29268675</v>
      </c>
      <c r="F399">
        <v>6.9679314999999997</v>
      </c>
      <c r="G399">
        <v>324.17097475000003</v>
      </c>
      <c r="H399">
        <v>24</v>
      </c>
      <c r="I399">
        <v>-20</v>
      </c>
      <c r="J399">
        <v>1.18</v>
      </c>
      <c r="K399">
        <v>23.186891249999999</v>
      </c>
      <c r="L399">
        <v>1.121603124625552</v>
      </c>
      <c r="M399">
        <v>1.3524965295369209</v>
      </c>
      <c r="N399">
        <v>-0.42766737660330079</v>
      </c>
      <c r="O399">
        <v>-0.40674318625480488</v>
      </c>
    </row>
    <row r="400" spans="1:15" x14ac:dyDescent="0.25">
      <c r="A400">
        <v>240.17964175</v>
      </c>
      <c r="B400">
        <v>308.93369274999998</v>
      </c>
      <c r="C400">
        <v>-48.678876750000001</v>
      </c>
      <c r="D400">
        <v>-117.17782425</v>
      </c>
      <c r="E400">
        <v>225.0449485</v>
      </c>
      <c r="F400">
        <v>7.3090175000000004</v>
      </c>
      <c r="G400">
        <v>338.45498650000002</v>
      </c>
      <c r="H400">
        <v>24</v>
      </c>
      <c r="I400">
        <v>-16</v>
      </c>
      <c r="J400">
        <v>1.18</v>
      </c>
      <c r="K400">
        <v>23.691012000000001</v>
      </c>
      <c r="L400">
        <v>0.93793895574882147</v>
      </c>
      <c r="M400">
        <v>1.383613843599701</v>
      </c>
      <c r="N400">
        <v>-0.36826384581145982</v>
      </c>
      <c r="O400">
        <v>-0.29300326924175119</v>
      </c>
    </row>
    <row r="401" spans="1:15" x14ac:dyDescent="0.25">
      <c r="A401">
        <v>208.57527924999999</v>
      </c>
      <c r="B401">
        <v>295.37232975000001</v>
      </c>
      <c r="C401">
        <v>2.2581152499999999</v>
      </c>
      <c r="D401">
        <v>-105.55183024999999</v>
      </c>
      <c r="E401">
        <v>225.44730000000001</v>
      </c>
      <c r="F401">
        <v>7.0653852500000003</v>
      </c>
      <c r="G401">
        <v>314.24818425000001</v>
      </c>
      <c r="H401">
        <v>24</v>
      </c>
      <c r="I401">
        <v>-12</v>
      </c>
      <c r="J401">
        <v>1.18</v>
      </c>
      <c r="K401">
        <v>22.817696999999999</v>
      </c>
      <c r="L401">
        <v>0.7445917016565452</v>
      </c>
      <c r="M401">
        <v>1.4468931974868</v>
      </c>
      <c r="N401">
        <v>-0.32049068262296232</v>
      </c>
      <c r="O401">
        <v>-0.21189453364716379</v>
      </c>
    </row>
    <row r="402" spans="1:15" x14ac:dyDescent="0.25">
      <c r="A402">
        <v>176.53537750000001</v>
      </c>
      <c r="B402">
        <v>281.06077549999998</v>
      </c>
      <c r="C402">
        <v>42.904026000000002</v>
      </c>
      <c r="D402">
        <v>-99.170638999999994</v>
      </c>
      <c r="E402">
        <v>222.04972824999999</v>
      </c>
      <c r="F402">
        <v>6.4319397499999997</v>
      </c>
      <c r="G402">
        <v>294.20256775000001</v>
      </c>
      <c r="H402">
        <v>24</v>
      </c>
      <c r="I402">
        <v>-8</v>
      </c>
      <c r="J402">
        <v>1.18</v>
      </c>
      <c r="K402">
        <v>22.084979499999999</v>
      </c>
      <c r="L402">
        <v>0.53414362079462951</v>
      </c>
      <c r="M402">
        <v>1.5198157543541819</v>
      </c>
      <c r="N402">
        <v>-0.28841720348356109</v>
      </c>
      <c r="O402">
        <v>-0.1381618338920578</v>
      </c>
    </row>
    <row r="403" spans="1:15" x14ac:dyDescent="0.25">
      <c r="A403">
        <v>146.07490150000001</v>
      </c>
      <c r="B403">
        <v>269.08533475000002</v>
      </c>
      <c r="C403">
        <v>71.988435750000008</v>
      </c>
      <c r="D403">
        <v>-92.4397965</v>
      </c>
      <c r="E403">
        <v>217.310982</v>
      </c>
      <c r="F403">
        <v>6.1883067500000006</v>
      </c>
      <c r="G403">
        <v>278.75823200000002</v>
      </c>
      <c r="H403">
        <v>24</v>
      </c>
      <c r="I403">
        <v>-4</v>
      </c>
      <c r="J403">
        <v>1.18</v>
      </c>
      <c r="K403">
        <v>21.493769</v>
      </c>
      <c r="L403">
        <v>0.32558115094577988</v>
      </c>
      <c r="M403">
        <v>1.5888722597342939</v>
      </c>
      <c r="N403">
        <v>-0.27006961398775642</v>
      </c>
      <c r="O403">
        <v>-7.2114134482814118E-2</v>
      </c>
    </row>
    <row r="404" spans="1:15" x14ac:dyDescent="0.25">
      <c r="A404">
        <v>118.92425725</v>
      </c>
      <c r="B404">
        <v>259.03382099999999</v>
      </c>
      <c r="C404">
        <v>94.298523000000003</v>
      </c>
      <c r="D404">
        <v>-85.534130000000005</v>
      </c>
      <c r="E404">
        <v>212.25932675000001</v>
      </c>
      <c r="F404">
        <v>5.8959479999999997</v>
      </c>
      <c r="G404">
        <v>266.67484300000001</v>
      </c>
      <c r="H404">
        <v>24</v>
      </c>
      <c r="I404">
        <v>0</v>
      </c>
      <c r="J404">
        <v>1.18</v>
      </c>
      <c r="K404">
        <v>21.023719249999999</v>
      </c>
      <c r="L404">
        <v>0.11846695566226111</v>
      </c>
      <c r="M404">
        <v>1.657558397093845</v>
      </c>
      <c r="N404">
        <v>-0.26177270396137381</v>
      </c>
      <c r="O404">
        <v>-7.282655925943321E-3</v>
      </c>
    </row>
    <row r="405" spans="1:15" x14ac:dyDescent="0.25">
      <c r="A405">
        <v>99.156263499999994</v>
      </c>
      <c r="B405">
        <v>278.89672100000001</v>
      </c>
      <c r="C405">
        <v>126.09265550000001</v>
      </c>
      <c r="D405">
        <v>-94.406600999999995</v>
      </c>
      <c r="E405">
        <v>228.3531265</v>
      </c>
      <c r="F405">
        <v>6.3832132499999998</v>
      </c>
      <c r="G405">
        <v>287.56070725000001</v>
      </c>
      <c r="H405">
        <v>24</v>
      </c>
      <c r="I405">
        <v>4</v>
      </c>
      <c r="J405">
        <v>1.18</v>
      </c>
      <c r="K405">
        <v>21.830504250000001</v>
      </c>
      <c r="L405">
        <v>-0.11913616199282839</v>
      </c>
      <c r="M405">
        <v>1.6520299647592691</v>
      </c>
      <c r="N405">
        <v>-0.2620481042582255</v>
      </c>
      <c r="O405">
        <v>-1.770844692613685E-2</v>
      </c>
    </row>
    <row r="406" spans="1:15" x14ac:dyDescent="0.25">
      <c r="A406">
        <v>74.152786249999991</v>
      </c>
      <c r="B406">
        <v>295.5164565</v>
      </c>
      <c r="C406">
        <v>160.55135725</v>
      </c>
      <c r="D406">
        <v>-104.06579600000001</v>
      </c>
      <c r="E406">
        <v>239.84231174999999</v>
      </c>
      <c r="F406">
        <v>6.7242990000000002</v>
      </c>
      <c r="G406">
        <v>306.56603999999999</v>
      </c>
      <c r="H406">
        <v>24</v>
      </c>
      <c r="I406">
        <v>8</v>
      </c>
      <c r="J406">
        <v>1.18</v>
      </c>
      <c r="K406">
        <v>22.543424000000002</v>
      </c>
      <c r="L406">
        <v>-0.33906232951380078</v>
      </c>
      <c r="M406">
        <v>1.568266199527889</v>
      </c>
      <c r="N406">
        <v>-0.26189292072150783</v>
      </c>
      <c r="O406">
        <v>-8.5081242682742447E-2</v>
      </c>
    </row>
    <row r="407" spans="1:15" x14ac:dyDescent="0.25">
      <c r="A407">
        <v>40.797186000000004</v>
      </c>
      <c r="B407">
        <v>305.87725074999997</v>
      </c>
      <c r="C407">
        <v>190.49385425</v>
      </c>
      <c r="D407">
        <v>-110.578104</v>
      </c>
      <c r="E407">
        <v>241.85403049999999</v>
      </c>
      <c r="F407">
        <v>7.1628377499999996</v>
      </c>
      <c r="G407">
        <v>320.68999474999998</v>
      </c>
      <c r="H407">
        <v>24</v>
      </c>
      <c r="I407">
        <v>12</v>
      </c>
      <c r="J407">
        <v>1.18</v>
      </c>
      <c r="K407">
        <v>23.052146749999999</v>
      </c>
      <c r="L407">
        <v>-0.54091712369856826</v>
      </c>
      <c r="M407">
        <v>1.5048338720151859</v>
      </c>
      <c r="N407">
        <v>-0.28486869181446989</v>
      </c>
      <c r="O407">
        <v>-0.1519543675798273</v>
      </c>
    </row>
    <row r="408" spans="1:15" x14ac:dyDescent="0.25">
      <c r="A408">
        <v>-1.26145675</v>
      </c>
      <c r="B408">
        <v>315.08932475</v>
      </c>
      <c r="C408">
        <v>219.80406550000001</v>
      </c>
      <c r="D408">
        <v>-115.99774175</v>
      </c>
      <c r="E408">
        <v>240.02113349999999</v>
      </c>
      <c r="F408">
        <v>7.3577442499999997</v>
      </c>
      <c r="G408">
        <v>335.17406475000001</v>
      </c>
      <c r="H408">
        <v>24</v>
      </c>
      <c r="I408">
        <v>16</v>
      </c>
      <c r="J408">
        <v>1.18</v>
      </c>
      <c r="K408">
        <v>23.571606249999999</v>
      </c>
      <c r="L408">
        <v>-0.74021749383927393</v>
      </c>
      <c r="M408">
        <v>1.443444290915783</v>
      </c>
      <c r="N408">
        <v>-0.31861073163596232</v>
      </c>
      <c r="O408">
        <v>-0.2209495215482834</v>
      </c>
    </row>
    <row r="409" spans="1:15" x14ac:dyDescent="0.25">
      <c r="A409">
        <v>-41.586505250000002</v>
      </c>
      <c r="B409">
        <v>291.95775600000002</v>
      </c>
      <c r="C409">
        <v>227.30097950000001</v>
      </c>
      <c r="D409">
        <v>-107.82457925</v>
      </c>
      <c r="E409">
        <v>214.4945755</v>
      </c>
      <c r="F409">
        <v>7.2602907500000002</v>
      </c>
      <c r="G409">
        <v>320.32988725000001</v>
      </c>
      <c r="H409">
        <v>24</v>
      </c>
      <c r="I409">
        <v>20</v>
      </c>
      <c r="J409">
        <v>1.18</v>
      </c>
      <c r="K409">
        <v>23.035284999999998</v>
      </c>
      <c r="L409">
        <v>-0.92976978247476605</v>
      </c>
      <c r="M409">
        <v>1.382377587536328</v>
      </c>
      <c r="N409">
        <v>-0.36596202148364332</v>
      </c>
      <c r="O409">
        <v>-0.28342784565365398</v>
      </c>
    </row>
    <row r="410" spans="1:15" x14ac:dyDescent="0.25">
      <c r="A410">
        <v>-87.222214000000008</v>
      </c>
      <c r="B410">
        <v>259.53292075000002</v>
      </c>
      <c r="C410">
        <v>224.13962950000001</v>
      </c>
      <c r="D410">
        <v>-118.095665</v>
      </c>
      <c r="E410">
        <v>178.0153085</v>
      </c>
      <c r="F410">
        <v>6.7730257500000004</v>
      </c>
      <c r="G410">
        <v>298.08364875000001</v>
      </c>
      <c r="H410">
        <v>24</v>
      </c>
      <c r="I410">
        <v>24</v>
      </c>
      <c r="J410">
        <v>1.18</v>
      </c>
      <c r="K410">
        <v>22.22039775</v>
      </c>
      <c r="L410">
        <v>-1.1093430587017721</v>
      </c>
      <c r="M410">
        <v>1.345469608500758</v>
      </c>
      <c r="N410">
        <v>-0.42783153245038757</v>
      </c>
      <c r="O410">
        <v>-0.38988165328486041</v>
      </c>
    </row>
    <row r="411" spans="1:15" x14ac:dyDescent="0.25">
      <c r="A411">
        <v>-128.63432324999999</v>
      </c>
      <c r="B411">
        <v>231.6045345</v>
      </c>
      <c r="C411">
        <v>221.5202295</v>
      </c>
      <c r="D411">
        <v>-140.47352975000001</v>
      </c>
      <c r="E411">
        <v>143.86068750000001</v>
      </c>
      <c r="F411">
        <v>6.1883072500000003</v>
      </c>
      <c r="G411">
        <v>281.87910449999998</v>
      </c>
      <c r="H411">
        <v>24</v>
      </c>
      <c r="I411">
        <v>28</v>
      </c>
      <c r="J411">
        <v>1.18</v>
      </c>
      <c r="K411">
        <v>21.616472000000002</v>
      </c>
      <c r="L411">
        <v>-1.257671548576502</v>
      </c>
      <c r="M411">
        <v>1.336416925018753</v>
      </c>
      <c r="N411">
        <v>-0.49573759603824757</v>
      </c>
      <c r="O411">
        <v>-0.50551057827577361</v>
      </c>
    </row>
    <row r="412" spans="1:15" x14ac:dyDescent="0.25">
      <c r="A412">
        <v>-160.01724625</v>
      </c>
      <c r="B412">
        <v>202.13867949999999</v>
      </c>
      <c r="C412">
        <v>212.08134475</v>
      </c>
      <c r="D412">
        <v>-163.41957475000001</v>
      </c>
      <c r="E412">
        <v>107.962576</v>
      </c>
      <c r="F412">
        <v>6.0421279999999999</v>
      </c>
      <c r="G412">
        <v>264.07411925000002</v>
      </c>
      <c r="H412">
        <v>24</v>
      </c>
      <c r="I412">
        <v>32</v>
      </c>
      <c r="J412">
        <v>1.18</v>
      </c>
      <c r="K412">
        <v>20.912719249999999</v>
      </c>
      <c r="L412">
        <v>-1.3797741850858789</v>
      </c>
      <c r="M412">
        <v>1.355523135136729</v>
      </c>
      <c r="N412">
        <v>-0.57887507603396049</v>
      </c>
      <c r="O412">
        <v>-0.62206942258904863</v>
      </c>
    </row>
    <row r="413" spans="1:15" x14ac:dyDescent="0.25">
      <c r="A413">
        <v>-188.47660450000001</v>
      </c>
      <c r="B413">
        <v>178.12744900000001</v>
      </c>
      <c r="C413">
        <v>207.7457885</v>
      </c>
      <c r="D413">
        <v>-197.20489499999999</v>
      </c>
      <c r="E413">
        <v>75.417344999999997</v>
      </c>
      <c r="F413">
        <v>5.4574090000000002</v>
      </c>
      <c r="G413">
        <v>256.19189825000001</v>
      </c>
      <c r="H413">
        <v>24</v>
      </c>
      <c r="I413">
        <v>36</v>
      </c>
      <c r="J413">
        <v>1.18</v>
      </c>
      <c r="K413">
        <v>20.614853499999999</v>
      </c>
      <c r="L413">
        <v>-1.4770211440547849</v>
      </c>
      <c r="M413">
        <v>1.399143756267943</v>
      </c>
      <c r="N413">
        <v>-0.67387970261590124</v>
      </c>
      <c r="O413">
        <v>-0.73920565619629452</v>
      </c>
    </row>
    <row r="414" spans="1:15" x14ac:dyDescent="0.25">
      <c r="A414">
        <v>-240.44713575</v>
      </c>
      <c r="B414">
        <v>169.9038505</v>
      </c>
      <c r="C414">
        <v>225.58480825000001</v>
      </c>
      <c r="D414">
        <v>-244.49560925</v>
      </c>
      <c r="E414">
        <v>45.819636250000002</v>
      </c>
      <c r="F414">
        <v>6.3832132499999998</v>
      </c>
      <c r="G414">
        <v>278.71821599999998</v>
      </c>
      <c r="H414">
        <v>24</v>
      </c>
      <c r="I414">
        <v>40</v>
      </c>
      <c r="J414">
        <v>1.18</v>
      </c>
      <c r="K414">
        <v>21.484507749999999</v>
      </c>
      <c r="L414">
        <v>-1.616538469598521</v>
      </c>
      <c r="M414">
        <v>1.4374541490479349</v>
      </c>
      <c r="N414">
        <v>-0.8078807610764458</v>
      </c>
      <c r="O414">
        <v>-0.86321318936537461</v>
      </c>
    </row>
    <row r="415" spans="1:15" x14ac:dyDescent="0.25">
      <c r="A415">
        <v>-288.50697300000002</v>
      </c>
      <c r="B415">
        <v>152.49517075</v>
      </c>
      <c r="C415">
        <v>234.30111324999999</v>
      </c>
      <c r="D415">
        <v>-288.33347350000003</v>
      </c>
      <c r="E415">
        <v>5.9457857499999998</v>
      </c>
      <c r="F415">
        <v>6.4806664999999999</v>
      </c>
      <c r="G415">
        <v>294.36260974999999</v>
      </c>
      <c r="H415">
        <v>24</v>
      </c>
      <c r="I415">
        <v>44</v>
      </c>
      <c r="J415">
        <v>1.18</v>
      </c>
      <c r="K415">
        <v>22.08925125</v>
      </c>
      <c r="L415">
        <v>-1.7760533997354491</v>
      </c>
      <c r="M415">
        <v>1.497561206824727</v>
      </c>
      <c r="N415">
        <v>-0.97981008757072363</v>
      </c>
      <c r="O415">
        <v>-1.0018160490295349</v>
      </c>
    </row>
    <row r="416" spans="1:15" x14ac:dyDescent="0.25">
      <c r="A416">
        <v>224.0682985</v>
      </c>
      <c r="B416">
        <v>156.27894599999999</v>
      </c>
      <c r="C416">
        <v>-396.06290424999997</v>
      </c>
      <c r="D416">
        <v>-403.98157500000002</v>
      </c>
      <c r="E416">
        <v>-77.248611499999996</v>
      </c>
      <c r="F416">
        <v>6.9192057499999997</v>
      </c>
      <c r="G416">
        <v>314.80834225000001</v>
      </c>
      <c r="H416">
        <v>28</v>
      </c>
      <c r="I416">
        <v>-44</v>
      </c>
      <c r="J416">
        <v>1.18</v>
      </c>
      <c r="K416">
        <v>22.843934749999999</v>
      </c>
      <c r="L416">
        <v>1.92126941941047</v>
      </c>
      <c r="M416">
        <v>1.7357765292958289</v>
      </c>
      <c r="N416">
        <v>-1.2146620866254101</v>
      </c>
      <c r="O416">
        <v>-1.260772267799146</v>
      </c>
    </row>
    <row r="417" spans="1:15" x14ac:dyDescent="0.25">
      <c r="A417">
        <v>239.59289924999999</v>
      </c>
      <c r="B417">
        <v>194.74588399999999</v>
      </c>
      <c r="C417">
        <v>-370.97908024999998</v>
      </c>
      <c r="D417">
        <v>-379.94285574999998</v>
      </c>
      <c r="E417">
        <v>-27.518702999999999</v>
      </c>
      <c r="F417">
        <v>7.1141114999999999</v>
      </c>
      <c r="G417">
        <v>327.57192974999998</v>
      </c>
      <c r="H417">
        <v>28</v>
      </c>
      <c r="I417">
        <v>-40</v>
      </c>
      <c r="J417">
        <v>1.18</v>
      </c>
      <c r="K417">
        <v>23.305544999999999</v>
      </c>
      <c r="L417">
        <v>1.754802054948589</v>
      </c>
      <c r="M417">
        <v>1.651672740404424</v>
      </c>
      <c r="N417">
        <v>-1.020549248793313</v>
      </c>
      <c r="O417">
        <v>-1.099532242183429</v>
      </c>
    </row>
    <row r="418" spans="1:15" x14ac:dyDescent="0.25">
      <c r="A418">
        <v>250.77283875000001</v>
      </c>
      <c r="B418">
        <v>229.71252824999999</v>
      </c>
      <c r="C418">
        <v>-342.06048600000003</v>
      </c>
      <c r="D418">
        <v>-348.12433625</v>
      </c>
      <c r="E418">
        <v>19.267873999999999</v>
      </c>
      <c r="F418">
        <v>7.2602912499999999</v>
      </c>
      <c r="G418">
        <v>339.73532849999998</v>
      </c>
      <c r="H418">
        <v>28</v>
      </c>
      <c r="I418">
        <v>-36</v>
      </c>
      <c r="J418">
        <v>1.18</v>
      </c>
      <c r="K418">
        <v>23.738502499999999</v>
      </c>
      <c r="L418">
        <v>1.6270784972214971</v>
      </c>
      <c r="M418">
        <v>1.5859000091574289</v>
      </c>
      <c r="N418">
        <v>-0.87955709716823083</v>
      </c>
      <c r="O418">
        <v>-0.96706073723293207</v>
      </c>
    </row>
    <row r="419" spans="1:15" x14ac:dyDescent="0.25">
      <c r="A419">
        <v>233.45526125000001</v>
      </c>
      <c r="B419">
        <v>237.3435135</v>
      </c>
      <c r="C419">
        <v>-274.52361300000001</v>
      </c>
      <c r="D419">
        <v>-276.27043149999997</v>
      </c>
      <c r="E419">
        <v>60.977630499999997</v>
      </c>
      <c r="F419">
        <v>6.9679322499999996</v>
      </c>
      <c r="G419">
        <v>314.44824999999997</v>
      </c>
      <c r="H419">
        <v>28</v>
      </c>
      <c r="I419">
        <v>-32</v>
      </c>
      <c r="J419">
        <v>1.18</v>
      </c>
      <c r="K419">
        <v>22.828754750000002</v>
      </c>
      <c r="L419">
        <v>1.5101626489044919</v>
      </c>
      <c r="M419">
        <v>1.5269097970448731</v>
      </c>
      <c r="N419">
        <v>-0.75353736155871753</v>
      </c>
      <c r="O419">
        <v>-0.83943518585898391</v>
      </c>
    </row>
    <row r="420" spans="1:15" x14ac:dyDescent="0.25">
      <c r="A420">
        <v>211.55005249999999</v>
      </c>
      <c r="B420">
        <v>237.3748855</v>
      </c>
      <c r="C420">
        <v>-214.74649049999999</v>
      </c>
      <c r="D420">
        <v>-217.9656105</v>
      </c>
      <c r="E420">
        <v>89.588825499999999</v>
      </c>
      <c r="F420">
        <v>6.3344865000000006</v>
      </c>
      <c r="G420">
        <v>291.00167075000002</v>
      </c>
      <c r="H420">
        <v>28</v>
      </c>
      <c r="I420">
        <v>-28</v>
      </c>
      <c r="J420">
        <v>1.18</v>
      </c>
      <c r="K420">
        <v>21.965563</v>
      </c>
      <c r="L420">
        <v>1.3933787490117511</v>
      </c>
      <c r="M420">
        <v>1.4883022835451669</v>
      </c>
      <c r="N420">
        <v>-0.65834662799181876</v>
      </c>
      <c r="O420">
        <v>-0.72786581501047065</v>
      </c>
    </row>
    <row r="421" spans="1:15" x14ac:dyDescent="0.25">
      <c r="A421">
        <v>194.856785</v>
      </c>
      <c r="B421">
        <v>238.07970025</v>
      </c>
      <c r="C421">
        <v>-158.894352</v>
      </c>
      <c r="D421">
        <v>-173.20989599999999</v>
      </c>
      <c r="E421">
        <v>112.25425749999999</v>
      </c>
      <c r="F421">
        <v>6.28576025</v>
      </c>
      <c r="G421">
        <v>274.87715150000002</v>
      </c>
      <c r="H421">
        <v>28</v>
      </c>
      <c r="I421">
        <v>-24</v>
      </c>
      <c r="J421">
        <v>1.18</v>
      </c>
      <c r="K421">
        <v>21.336324000000001</v>
      </c>
      <c r="L421">
        <v>1.271085279205223</v>
      </c>
      <c r="M421">
        <v>1.4778299673717921</v>
      </c>
      <c r="N421">
        <v>-0.58432975862523739</v>
      </c>
      <c r="O421">
        <v>-0.61923898077586026</v>
      </c>
    </row>
    <row r="422" spans="1:15" x14ac:dyDescent="0.25">
      <c r="A422">
        <v>179.97674175</v>
      </c>
      <c r="B422">
        <v>240.86876275</v>
      </c>
      <c r="C422">
        <v>-109.899666</v>
      </c>
      <c r="D422">
        <v>-142.48404300000001</v>
      </c>
      <c r="E422">
        <v>130.62800575</v>
      </c>
      <c r="F422">
        <v>5.8959477500000004</v>
      </c>
      <c r="G422">
        <v>265.99464425000002</v>
      </c>
      <c r="H422">
        <v>28</v>
      </c>
      <c r="I422">
        <v>-20</v>
      </c>
      <c r="J422">
        <v>1.18</v>
      </c>
      <c r="K422">
        <v>20.996294750000001</v>
      </c>
      <c r="L422">
        <v>1.1287415442133231</v>
      </c>
      <c r="M422">
        <v>1.492696258245326</v>
      </c>
      <c r="N422">
        <v>-0.52710312499176171</v>
      </c>
      <c r="O422">
        <v>-0.51433216277634553</v>
      </c>
    </row>
    <row r="423" spans="1:15" x14ac:dyDescent="0.25">
      <c r="A423">
        <v>180.3948135</v>
      </c>
      <c r="B423">
        <v>266.78775775000003</v>
      </c>
      <c r="C423">
        <v>-71.281398999999993</v>
      </c>
      <c r="D423">
        <v>-137.10810849999999</v>
      </c>
      <c r="E423">
        <v>159.41802225000001</v>
      </c>
      <c r="F423">
        <v>6.3344867499999999</v>
      </c>
      <c r="G423">
        <v>284.27978524999997</v>
      </c>
      <c r="H423">
        <v>28</v>
      </c>
      <c r="I423">
        <v>-16</v>
      </c>
      <c r="J423">
        <v>1.18</v>
      </c>
      <c r="K423">
        <v>21.704661000000002</v>
      </c>
      <c r="L423">
        <v>0.95471873702130461</v>
      </c>
      <c r="M423">
        <v>1.532151493558898</v>
      </c>
      <c r="N423">
        <v>-0.47365722451526032</v>
      </c>
      <c r="O423">
        <v>-0.41928488895256899</v>
      </c>
    </row>
    <row r="424" spans="1:15" x14ac:dyDescent="0.25">
      <c r="A424">
        <v>176.23104499999999</v>
      </c>
      <c r="B424">
        <v>290.54282375000003</v>
      </c>
      <c r="C424">
        <v>-29.324625000000001</v>
      </c>
      <c r="D424">
        <v>-139.33714674999999</v>
      </c>
      <c r="E424">
        <v>186.06219874999999</v>
      </c>
      <c r="F424">
        <v>6.6268459999999996</v>
      </c>
      <c r="G424">
        <v>302.484894</v>
      </c>
      <c r="H424">
        <v>28</v>
      </c>
      <c r="I424">
        <v>-12</v>
      </c>
      <c r="J424">
        <v>1.18</v>
      </c>
      <c r="K424">
        <v>22.393160000000002</v>
      </c>
      <c r="L424">
        <v>0.76022891530847059</v>
      </c>
      <c r="M424">
        <v>1.589839165957845</v>
      </c>
      <c r="N424">
        <v>-0.43058439311396662</v>
      </c>
      <c r="O424">
        <v>-0.33639441610858323</v>
      </c>
    </row>
    <row r="425" spans="1:15" x14ac:dyDescent="0.25">
      <c r="A425">
        <v>162.47714225000001</v>
      </c>
      <c r="B425">
        <v>310.93180849999999</v>
      </c>
      <c r="C425">
        <v>7.8130562499999998</v>
      </c>
      <c r="D425">
        <v>-156.25166325000001</v>
      </c>
      <c r="E425">
        <v>204.12302025</v>
      </c>
      <c r="F425">
        <v>7.0653847499999998</v>
      </c>
      <c r="G425">
        <v>318.44937125000001</v>
      </c>
      <c r="H425">
        <v>28</v>
      </c>
      <c r="I425">
        <v>-8</v>
      </c>
      <c r="J425">
        <v>1.18</v>
      </c>
      <c r="K425">
        <v>22.973228500000001</v>
      </c>
      <c r="L425">
        <v>0.5556638337268448</v>
      </c>
      <c r="M425">
        <v>1.678472739073481</v>
      </c>
      <c r="N425">
        <v>-0.4107634262625115</v>
      </c>
      <c r="O425">
        <v>-0.29201475328805931</v>
      </c>
    </row>
    <row r="426" spans="1:15" x14ac:dyDescent="0.25">
      <c r="A426">
        <v>145.60714350000001</v>
      </c>
      <c r="B426">
        <v>326.58294675000002</v>
      </c>
      <c r="C426">
        <v>48.458968249999998</v>
      </c>
      <c r="D426">
        <v>-158.3058815</v>
      </c>
      <c r="E426">
        <v>219.90388475</v>
      </c>
      <c r="F426">
        <v>7.2602912499999999</v>
      </c>
      <c r="G426">
        <v>331.45301825000001</v>
      </c>
      <c r="H426">
        <v>28</v>
      </c>
      <c r="I426">
        <v>-4</v>
      </c>
      <c r="J426">
        <v>1.18</v>
      </c>
      <c r="K426">
        <v>23.440962500000001</v>
      </c>
      <c r="L426">
        <v>0.35348452728646762</v>
      </c>
      <c r="M426">
        <v>1.764339494336173</v>
      </c>
      <c r="N426">
        <v>-0.40589152245056981</v>
      </c>
      <c r="O426">
        <v>-0.2262621417722763</v>
      </c>
    </row>
    <row r="427" spans="1:15" x14ac:dyDescent="0.25">
      <c r="A427">
        <v>115.29853824999999</v>
      </c>
      <c r="B427">
        <v>325.64403549999997</v>
      </c>
      <c r="C427">
        <v>82.962829499999998</v>
      </c>
      <c r="D427">
        <v>-155.94572049999999</v>
      </c>
      <c r="E427">
        <v>223.12264250000001</v>
      </c>
      <c r="F427">
        <v>7.0166585000000001</v>
      </c>
      <c r="G427">
        <v>330.01261175000002</v>
      </c>
      <c r="H427">
        <v>28</v>
      </c>
      <c r="I427">
        <v>0</v>
      </c>
      <c r="J427">
        <v>1.18</v>
      </c>
      <c r="K427">
        <v>23.397634249999999</v>
      </c>
      <c r="L427">
        <v>0.12456259632454279</v>
      </c>
      <c r="M427">
        <v>1.8550327789281089</v>
      </c>
      <c r="N427">
        <v>-0.41174571692107681</v>
      </c>
      <c r="O427">
        <v>-0.16759642397509991</v>
      </c>
    </row>
    <row r="428" spans="1:15" x14ac:dyDescent="0.25">
      <c r="A428">
        <v>79.117263750000006</v>
      </c>
      <c r="B428">
        <v>300.42157750000001</v>
      </c>
      <c r="C428">
        <v>105.81486525</v>
      </c>
      <c r="D428">
        <v>-141.5661925</v>
      </c>
      <c r="E428">
        <v>206.49238575000001</v>
      </c>
      <c r="F428">
        <v>6.6755724999999986</v>
      </c>
      <c r="G428">
        <v>303.6852265</v>
      </c>
      <c r="H428">
        <v>28</v>
      </c>
      <c r="I428">
        <v>4</v>
      </c>
      <c r="J428">
        <v>1.18</v>
      </c>
      <c r="K428">
        <v>22.436681750000002</v>
      </c>
      <c r="L428">
        <v>-0.112307626321502</v>
      </c>
      <c r="M428">
        <v>1.859296270562196</v>
      </c>
      <c r="N428">
        <v>-0.40886071917107769</v>
      </c>
      <c r="O428">
        <v>-0.15943448155651391</v>
      </c>
    </row>
    <row r="429" spans="1:15" x14ac:dyDescent="0.25">
      <c r="A429">
        <v>41.973278749999999</v>
      </c>
      <c r="B429">
        <v>280.77224725000002</v>
      </c>
      <c r="C429">
        <v>125.46039225</v>
      </c>
      <c r="D429">
        <v>-133.52414725</v>
      </c>
      <c r="E429">
        <v>189.10213475</v>
      </c>
      <c r="F429">
        <v>6.4319395000000004</v>
      </c>
      <c r="G429">
        <v>285.76019300000002</v>
      </c>
      <c r="H429">
        <v>28</v>
      </c>
      <c r="I429">
        <v>8</v>
      </c>
      <c r="J429">
        <v>1.18</v>
      </c>
      <c r="K429">
        <v>21.758595750000001</v>
      </c>
      <c r="L429">
        <v>-0.35542647822891937</v>
      </c>
      <c r="M429">
        <v>1.7639699928363011</v>
      </c>
      <c r="N429">
        <v>-0.41160543729502558</v>
      </c>
      <c r="O429">
        <v>-0.22227488095716849</v>
      </c>
    </row>
    <row r="430" spans="1:15" x14ac:dyDescent="0.25">
      <c r="A430">
        <v>9.0265950000000004</v>
      </c>
      <c r="B430">
        <v>264.31296524999999</v>
      </c>
      <c r="C430">
        <v>138.82837649999999</v>
      </c>
      <c r="D430">
        <v>-126.00658774999999</v>
      </c>
      <c r="E430">
        <v>173.63420875</v>
      </c>
      <c r="F430">
        <v>6.1883067500000006</v>
      </c>
      <c r="G430">
        <v>271.15608974999998</v>
      </c>
      <c r="H430">
        <v>28</v>
      </c>
      <c r="I430">
        <v>12</v>
      </c>
      <c r="J430">
        <v>1.18</v>
      </c>
      <c r="K430">
        <v>21.19192</v>
      </c>
      <c r="L430">
        <v>-0.55920085887633886</v>
      </c>
      <c r="M430">
        <v>1.6815101247094939</v>
      </c>
      <c r="N430">
        <v>-0.42013057701332651</v>
      </c>
      <c r="O430">
        <v>-0.27863682539970142</v>
      </c>
    </row>
    <row r="431" spans="1:15" x14ac:dyDescent="0.25">
      <c r="A431">
        <v>-28.78313</v>
      </c>
      <c r="B431">
        <v>262.26757025000001</v>
      </c>
      <c r="C431">
        <v>158.60938999999999</v>
      </c>
      <c r="D431">
        <v>-128.41046324999999</v>
      </c>
      <c r="E431">
        <v>166.39200224999999</v>
      </c>
      <c r="F431">
        <v>6.0421275000000003</v>
      </c>
      <c r="G431">
        <v>273.99689475000002</v>
      </c>
      <c r="H431">
        <v>28</v>
      </c>
      <c r="I431">
        <v>16</v>
      </c>
      <c r="J431">
        <v>1.18</v>
      </c>
      <c r="K431">
        <v>21.311015999999999</v>
      </c>
      <c r="L431">
        <v>-0.76490371385587541</v>
      </c>
      <c r="M431">
        <v>1.5946745264035449</v>
      </c>
      <c r="N431">
        <v>-0.439226267681329</v>
      </c>
      <c r="O431">
        <v>-0.34548043757989438</v>
      </c>
    </row>
    <row r="432" spans="1:15" x14ac:dyDescent="0.25">
      <c r="A432">
        <v>-76.805017500000005</v>
      </c>
      <c r="B432">
        <v>274.09701525000003</v>
      </c>
      <c r="C432">
        <v>186.338932</v>
      </c>
      <c r="D432">
        <v>-144.23230724999999</v>
      </c>
      <c r="E432">
        <v>164.20146174999999</v>
      </c>
      <c r="F432">
        <v>6.5293929999999998</v>
      </c>
      <c r="G432">
        <v>293.96250149999997</v>
      </c>
      <c r="H432">
        <v>28</v>
      </c>
      <c r="I432">
        <v>20</v>
      </c>
      <c r="J432">
        <v>1.18</v>
      </c>
      <c r="K432">
        <v>22.072019749999999</v>
      </c>
      <c r="L432">
        <v>-0.9578656530733558</v>
      </c>
      <c r="M432">
        <v>1.522741812476724</v>
      </c>
      <c r="N432">
        <v>-0.47234211632853412</v>
      </c>
      <c r="O432">
        <v>-0.42606042402009647</v>
      </c>
    </row>
    <row r="433" spans="1:15" x14ac:dyDescent="0.25">
      <c r="A433">
        <v>-133.88815725000001</v>
      </c>
      <c r="B433">
        <v>277.64614875000001</v>
      </c>
      <c r="C433">
        <v>211.72004325</v>
      </c>
      <c r="D433">
        <v>-169.14515700000001</v>
      </c>
      <c r="E433">
        <v>154.18754200000001</v>
      </c>
      <c r="F433">
        <v>6.8704787500000002</v>
      </c>
      <c r="G433">
        <v>311.207336</v>
      </c>
      <c r="H433">
        <v>28</v>
      </c>
      <c r="I433">
        <v>24</v>
      </c>
      <c r="J433">
        <v>1.18</v>
      </c>
      <c r="K433">
        <v>22.711769499999999</v>
      </c>
      <c r="L433">
        <v>-1.13051114728392</v>
      </c>
      <c r="M433">
        <v>1.461526568984002</v>
      </c>
      <c r="N433">
        <v>-0.51363682828381152</v>
      </c>
      <c r="O433">
        <v>-0.51809182548626886</v>
      </c>
    </row>
    <row r="434" spans="1:15" x14ac:dyDescent="0.25">
      <c r="A434">
        <v>-190.47105024999999</v>
      </c>
      <c r="B434">
        <v>275.125992</v>
      </c>
      <c r="C434">
        <v>230.86878949999999</v>
      </c>
      <c r="D434">
        <v>-209.74873725</v>
      </c>
      <c r="E434">
        <v>133.84677500000001</v>
      </c>
      <c r="F434">
        <v>6.9679322499999996</v>
      </c>
      <c r="G434">
        <v>324.93118299999998</v>
      </c>
      <c r="H434">
        <v>28</v>
      </c>
      <c r="I434">
        <v>28</v>
      </c>
      <c r="J434">
        <v>1.18</v>
      </c>
      <c r="K434">
        <v>23.214660500000001</v>
      </c>
      <c r="L434">
        <v>-1.261659801359746</v>
      </c>
      <c r="M434">
        <v>1.451931820251533</v>
      </c>
      <c r="N434">
        <v>-0.57220567387854859</v>
      </c>
      <c r="O434">
        <v>-0.62007187114181184</v>
      </c>
    </row>
    <row r="435" spans="1:15" x14ac:dyDescent="0.25">
      <c r="A435">
        <v>-243.29882425</v>
      </c>
      <c r="B435">
        <v>268.51889799999998</v>
      </c>
      <c r="C435">
        <v>246.49488074999999</v>
      </c>
      <c r="D435">
        <v>-256.25273499999997</v>
      </c>
      <c r="E435">
        <v>107.20259875000001</v>
      </c>
      <c r="F435">
        <v>7.6013770000000003</v>
      </c>
      <c r="G435">
        <v>339.0551605</v>
      </c>
      <c r="H435">
        <v>28</v>
      </c>
      <c r="I435">
        <v>32</v>
      </c>
      <c r="J435">
        <v>1.18</v>
      </c>
      <c r="K435">
        <v>23.702021500000001</v>
      </c>
      <c r="L435">
        <v>-1.372077289237674</v>
      </c>
      <c r="M435">
        <v>1.470077432718881</v>
      </c>
      <c r="N435">
        <v>-0.64953934959525994</v>
      </c>
      <c r="O435">
        <v>-0.72100680034270648</v>
      </c>
    </row>
    <row r="436" spans="1:15" x14ac:dyDescent="0.25">
      <c r="A436">
        <v>-263.19223025000002</v>
      </c>
      <c r="B436">
        <v>227.94926425</v>
      </c>
      <c r="C436">
        <v>231.99784074999999</v>
      </c>
      <c r="D436">
        <v>-275.04663849999997</v>
      </c>
      <c r="E436">
        <v>66.029300750000004</v>
      </c>
      <c r="F436">
        <v>6.9192055000000003</v>
      </c>
      <c r="G436">
        <v>314.8883745</v>
      </c>
      <c r="H436">
        <v>28</v>
      </c>
      <c r="I436">
        <v>36</v>
      </c>
      <c r="J436">
        <v>1.18</v>
      </c>
      <c r="K436">
        <v>22.846874750000001</v>
      </c>
      <c r="L436">
        <v>-1.477546521262795</v>
      </c>
      <c r="M436">
        <v>1.500840677934441</v>
      </c>
      <c r="N436">
        <v>-0.74256575898319122</v>
      </c>
      <c r="O436">
        <v>-0.82364687571215167</v>
      </c>
    </row>
    <row r="437" spans="1:15" x14ac:dyDescent="0.25">
      <c r="A437">
        <v>-276.87670900000001</v>
      </c>
      <c r="B437">
        <v>191.42710124999999</v>
      </c>
      <c r="C437">
        <v>215.28785325000001</v>
      </c>
      <c r="D437">
        <v>-284.22505174999998</v>
      </c>
      <c r="E437">
        <v>28.968857</v>
      </c>
      <c r="F437">
        <v>6.3344865000000006</v>
      </c>
      <c r="G437">
        <v>293.92248499999999</v>
      </c>
      <c r="H437">
        <v>28</v>
      </c>
      <c r="I437">
        <v>40</v>
      </c>
      <c r="J437">
        <v>1.18</v>
      </c>
      <c r="K437">
        <v>22.077965750000001</v>
      </c>
      <c r="L437">
        <v>-1.5900768885240211</v>
      </c>
      <c r="M437">
        <v>1.53676683467346</v>
      </c>
      <c r="N437">
        <v>-0.85603739333992879</v>
      </c>
      <c r="O437">
        <v>-0.92687924680315059</v>
      </c>
    </row>
    <row r="438" spans="1:15" x14ac:dyDescent="0.25">
      <c r="A438">
        <v>-292.19366450000001</v>
      </c>
      <c r="B438">
        <v>156.11281224999999</v>
      </c>
      <c r="C438">
        <v>199.61660000000001</v>
      </c>
      <c r="D438">
        <v>-295.28285975</v>
      </c>
      <c r="E438">
        <v>-10.035183249999999</v>
      </c>
      <c r="F438">
        <v>6.0421275000000003</v>
      </c>
      <c r="G438">
        <v>278.23808274999999</v>
      </c>
      <c r="H438">
        <v>28</v>
      </c>
      <c r="I438">
        <v>44</v>
      </c>
      <c r="J438">
        <v>1.18</v>
      </c>
      <c r="K438">
        <v>21.4790235</v>
      </c>
      <c r="L438">
        <v>-1.733550534151908</v>
      </c>
      <c r="M438">
        <v>1.591097123393783</v>
      </c>
      <c r="N438">
        <v>-1.0161237121612769</v>
      </c>
      <c r="O438">
        <v>-1.056679274085863</v>
      </c>
    </row>
    <row r="439" spans="1:15" x14ac:dyDescent="0.25">
      <c r="A439">
        <v>170.68015274999999</v>
      </c>
      <c r="B439">
        <v>143.944988</v>
      </c>
      <c r="C439">
        <v>-356.49722274999999</v>
      </c>
      <c r="D439">
        <v>-361.19266499999998</v>
      </c>
      <c r="E439">
        <v>-83.715730500000006</v>
      </c>
      <c r="F439">
        <v>6.1395805000000001</v>
      </c>
      <c r="G439">
        <v>273.83684525000001</v>
      </c>
      <c r="H439">
        <v>32</v>
      </c>
      <c r="I439">
        <v>-44</v>
      </c>
      <c r="J439">
        <v>1.18</v>
      </c>
      <c r="K439">
        <v>21.300778000000001</v>
      </c>
      <c r="L439">
        <v>1.916113365371888</v>
      </c>
      <c r="M439">
        <v>1.8360063661939221</v>
      </c>
      <c r="N439">
        <v>-1.299587888578662</v>
      </c>
      <c r="O439">
        <v>-1.3265990993955881</v>
      </c>
    </row>
    <row r="440" spans="1:15" x14ac:dyDescent="0.25">
      <c r="A440">
        <v>187.176998</v>
      </c>
      <c r="B440">
        <v>180.4356765</v>
      </c>
      <c r="C440">
        <v>-348.46678924999998</v>
      </c>
      <c r="D440">
        <v>-355.29224399999998</v>
      </c>
      <c r="E440">
        <v>-46.652451749999997</v>
      </c>
      <c r="F440">
        <v>6.4806662499999996</v>
      </c>
      <c r="G440">
        <v>291.12169649999998</v>
      </c>
      <c r="H440">
        <v>32</v>
      </c>
      <c r="I440">
        <v>-40</v>
      </c>
      <c r="J440">
        <v>1.18</v>
      </c>
      <c r="K440">
        <v>21.964561499999999</v>
      </c>
      <c r="L440">
        <v>1.75490673365081</v>
      </c>
      <c r="M440">
        <v>1.7551844801943211</v>
      </c>
      <c r="N440">
        <v>-1.106640910025853</v>
      </c>
      <c r="O440">
        <v>-1.1740843132528069</v>
      </c>
    </row>
    <row r="441" spans="1:15" x14ac:dyDescent="0.25">
      <c r="A441">
        <v>199.24714274999999</v>
      </c>
      <c r="B441">
        <v>213.31141274999999</v>
      </c>
      <c r="C441">
        <v>-329.87948625000001</v>
      </c>
      <c r="D441">
        <v>-333.04550949999998</v>
      </c>
      <c r="E441">
        <v>-8.0281467499999994</v>
      </c>
      <c r="F441">
        <v>6.6268462499999998</v>
      </c>
      <c r="G441">
        <v>304.8455505</v>
      </c>
      <c r="H441">
        <v>32</v>
      </c>
      <c r="I441">
        <v>-36</v>
      </c>
      <c r="J441">
        <v>1.18</v>
      </c>
      <c r="K441">
        <v>22.482331500000001</v>
      </c>
      <c r="L441">
        <v>1.6359644165752041</v>
      </c>
      <c r="M441">
        <v>1.689231542840677</v>
      </c>
      <c r="N441">
        <v>-0.9673495433102709</v>
      </c>
      <c r="O441">
        <v>-1.0453088250666851</v>
      </c>
    </row>
    <row r="442" spans="1:15" x14ac:dyDescent="0.25">
      <c r="A442">
        <v>209.68580249999999</v>
      </c>
      <c r="B442">
        <v>246.43312825000001</v>
      </c>
      <c r="C442">
        <v>-313.41259024999999</v>
      </c>
      <c r="D442">
        <v>-309.79350249999999</v>
      </c>
      <c r="E442">
        <v>29.326496250000002</v>
      </c>
      <c r="F442">
        <v>6.9679322499999996</v>
      </c>
      <c r="G442">
        <v>320.60996999999998</v>
      </c>
      <c r="H442">
        <v>32</v>
      </c>
      <c r="I442">
        <v>-32</v>
      </c>
      <c r="J442">
        <v>1.18</v>
      </c>
      <c r="K442">
        <v>23.05636775</v>
      </c>
      <c r="L442">
        <v>1.5343298830035159</v>
      </c>
      <c r="M442">
        <v>1.6315043881396769</v>
      </c>
      <c r="N442">
        <v>-0.85438856286220233</v>
      </c>
      <c r="O442">
        <v>-0.93441374849221548</v>
      </c>
    </row>
    <row r="443" spans="1:15" x14ac:dyDescent="0.25">
      <c r="A443">
        <v>216.545906</v>
      </c>
      <c r="B443">
        <v>278.63674950000001</v>
      </c>
      <c r="C443">
        <v>-285.80231450000002</v>
      </c>
      <c r="D443">
        <v>-285.79849250000001</v>
      </c>
      <c r="E443">
        <v>66.252824750000002</v>
      </c>
      <c r="F443">
        <v>7.2602907500000002</v>
      </c>
      <c r="G443">
        <v>335.33410650000002</v>
      </c>
      <c r="H443">
        <v>32</v>
      </c>
      <c r="I443">
        <v>-28</v>
      </c>
      <c r="J443">
        <v>1.18</v>
      </c>
      <c r="K443">
        <v>23.580854250000002</v>
      </c>
      <c r="L443">
        <v>1.426917597101814</v>
      </c>
      <c r="M443">
        <v>1.603268780845222</v>
      </c>
      <c r="N443">
        <v>-0.76433059274750537</v>
      </c>
      <c r="O443">
        <v>-0.83243622708925347</v>
      </c>
    </row>
    <row r="444" spans="1:15" x14ac:dyDescent="0.25">
      <c r="A444">
        <v>199.27919800000001</v>
      </c>
      <c r="B444">
        <v>281.12867725000001</v>
      </c>
      <c r="C444">
        <v>-223.634117</v>
      </c>
      <c r="D444">
        <v>-239.29451750000001</v>
      </c>
      <c r="E444">
        <v>92.584060749999992</v>
      </c>
      <c r="F444">
        <v>7.0166585000000001</v>
      </c>
      <c r="G444">
        <v>319.48966224999998</v>
      </c>
      <c r="H444">
        <v>32</v>
      </c>
      <c r="I444">
        <v>-24</v>
      </c>
      <c r="J444">
        <v>1.18</v>
      </c>
      <c r="K444">
        <v>23.013334749999999</v>
      </c>
      <c r="L444">
        <v>1.3051072628997991</v>
      </c>
      <c r="M444">
        <v>1.606007365129436</v>
      </c>
      <c r="N444">
        <v>-0.70024621097875961</v>
      </c>
      <c r="O444">
        <v>-0.73595199547516921</v>
      </c>
    </row>
    <row r="445" spans="1:15" x14ac:dyDescent="0.25">
      <c r="A445">
        <v>176.80613700000001</v>
      </c>
      <c r="B445">
        <v>274.15435024999999</v>
      </c>
      <c r="C445">
        <v>-162.90956875000001</v>
      </c>
      <c r="D445">
        <v>-200.17696000000001</v>
      </c>
      <c r="E445">
        <v>107.5155295</v>
      </c>
      <c r="F445">
        <v>6.6755724999999986</v>
      </c>
      <c r="G445">
        <v>297.52349099999998</v>
      </c>
      <c r="H445">
        <v>32</v>
      </c>
      <c r="I445">
        <v>-20</v>
      </c>
      <c r="J445">
        <v>1.18</v>
      </c>
      <c r="K445">
        <v>22.202738750000002</v>
      </c>
      <c r="L445">
        <v>1.175254389954957</v>
      </c>
      <c r="M445">
        <v>1.640952268890699</v>
      </c>
      <c r="N445">
        <v>-0.65733571531882751</v>
      </c>
      <c r="O445">
        <v>-0.65114653960772784</v>
      </c>
    </row>
    <row r="446" spans="1:15" x14ac:dyDescent="0.25">
      <c r="A446">
        <v>153.46072774999999</v>
      </c>
      <c r="B446">
        <v>267.76834100000002</v>
      </c>
      <c r="C446">
        <v>-107.73416125</v>
      </c>
      <c r="D446">
        <v>-173.60324850000001</v>
      </c>
      <c r="E446">
        <v>120.16704350000001</v>
      </c>
      <c r="F446">
        <v>6.2370330000000003</v>
      </c>
      <c r="G446">
        <v>281.03887175</v>
      </c>
      <c r="H446">
        <v>32</v>
      </c>
      <c r="I446">
        <v>-16</v>
      </c>
      <c r="J446">
        <v>1.18</v>
      </c>
      <c r="K446">
        <v>21.581595499999999</v>
      </c>
      <c r="L446">
        <v>1.0013756162837071</v>
      </c>
      <c r="M446">
        <v>1.692132833744473</v>
      </c>
      <c r="N446">
        <v>-0.61675091196017329</v>
      </c>
      <c r="O446">
        <v>-0.56320171272681774</v>
      </c>
    </row>
    <row r="447" spans="1:15" x14ac:dyDescent="0.25">
      <c r="A447">
        <v>129.358372</v>
      </c>
      <c r="B447">
        <v>256.56305700000001</v>
      </c>
      <c r="C447">
        <v>-59.371088999999998</v>
      </c>
      <c r="D447">
        <v>-154.6782225</v>
      </c>
      <c r="E447">
        <v>126.068102</v>
      </c>
      <c r="F447">
        <v>5.7984945000000003</v>
      </c>
      <c r="G447">
        <v>263.47394550000001</v>
      </c>
      <c r="H447">
        <v>32</v>
      </c>
      <c r="I447">
        <v>-12</v>
      </c>
      <c r="J447">
        <v>1.18</v>
      </c>
      <c r="K447">
        <v>20.898267000000001</v>
      </c>
      <c r="L447">
        <v>0.80967428720316659</v>
      </c>
      <c r="M447">
        <v>1.7642746264373299</v>
      </c>
      <c r="N447">
        <v>-0.58948792890271207</v>
      </c>
      <c r="O447">
        <v>-0.48402188237982169</v>
      </c>
    </row>
    <row r="448" spans="1:15" x14ac:dyDescent="0.25">
      <c r="A448">
        <v>108.53657124999999</v>
      </c>
      <c r="B448">
        <v>250.39443199999999</v>
      </c>
      <c r="C448">
        <v>-22.016026499999999</v>
      </c>
      <c r="D448">
        <v>-147.46660975</v>
      </c>
      <c r="E448">
        <v>129.46568275000001</v>
      </c>
      <c r="F448">
        <v>5.5061355000000001</v>
      </c>
      <c r="G448">
        <v>253.83123375</v>
      </c>
      <c r="H448">
        <v>32</v>
      </c>
      <c r="I448">
        <v>-8</v>
      </c>
      <c r="J448">
        <v>1.18</v>
      </c>
      <c r="K448">
        <v>20.515583249999999</v>
      </c>
      <c r="L448">
        <v>0.60945674791094628</v>
      </c>
      <c r="M448">
        <v>1.8573797898617579</v>
      </c>
      <c r="N448">
        <v>-0.58060880571698814</v>
      </c>
      <c r="O448">
        <v>-0.42128181443412971</v>
      </c>
    </row>
    <row r="449" spans="1:15" x14ac:dyDescent="0.25">
      <c r="A449">
        <v>93.340213750000004</v>
      </c>
      <c r="B449">
        <v>273.51996600000001</v>
      </c>
      <c r="C449">
        <v>12.19378225</v>
      </c>
      <c r="D449">
        <v>-161.49647899999999</v>
      </c>
      <c r="E449">
        <v>145.24654425</v>
      </c>
      <c r="F449">
        <v>5.9934010000000004</v>
      </c>
      <c r="G449">
        <v>275.39729299999999</v>
      </c>
      <c r="H449">
        <v>32</v>
      </c>
      <c r="I449">
        <v>-4</v>
      </c>
      <c r="J449">
        <v>1.18</v>
      </c>
      <c r="K449">
        <v>21.368570999999999</v>
      </c>
      <c r="L449">
        <v>0.36902986244951708</v>
      </c>
      <c r="M449">
        <v>1.978275935323407</v>
      </c>
      <c r="N449">
        <v>-0.591890690634153</v>
      </c>
      <c r="O449">
        <v>-0.3667369170656033</v>
      </c>
    </row>
    <row r="450" spans="1:15" x14ac:dyDescent="0.25">
      <c r="A450">
        <v>72.433032749999995</v>
      </c>
      <c r="B450">
        <v>290.63165300000003</v>
      </c>
      <c r="C450">
        <v>45.116970999999999</v>
      </c>
      <c r="D450">
        <v>-170.98084274999999</v>
      </c>
      <c r="E450">
        <v>155.61809925</v>
      </c>
      <c r="F450">
        <v>6.3344870000000002</v>
      </c>
      <c r="G450">
        <v>292.28202049999999</v>
      </c>
      <c r="H450">
        <v>32</v>
      </c>
      <c r="I450">
        <v>0</v>
      </c>
      <c r="J450">
        <v>1.18</v>
      </c>
      <c r="K450">
        <v>22.014911999999999</v>
      </c>
      <c r="L450">
        <v>0.12501267472688951</v>
      </c>
      <c r="M450">
        <v>2.1122293466792401</v>
      </c>
      <c r="N450">
        <v>-0.62539703023853388</v>
      </c>
      <c r="O450">
        <v>-0.31691799410278387</v>
      </c>
    </row>
    <row r="451" spans="1:15" x14ac:dyDescent="0.25">
      <c r="A451">
        <v>43.507808750000002</v>
      </c>
      <c r="B451">
        <v>307.27718349999998</v>
      </c>
      <c r="C451">
        <v>76.685293250000001</v>
      </c>
      <c r="D451">
        <v>-184.879593</v>
      </c>
      <c r="E451">
        <v>162.681488</v>
      </c>
      <c r="F451">
        <v>6.8704789999999996</v>
      </c>
      <c r="G451">
        <v>308.40654725000002</v>
      </c>
      <c r="H451">
        <v>32</v>
      </c>
      <c r="I451">
        <v>4</v>
      </c>
      <c r="J451">
        <v>1.18</v>
      </c>
      <c r="K451">
        <v>22.607019749999999</v>
      </c>
      <c r="L451">
        <v>-0.14216492805195949</v>
      </c>
      <c r="M451">
        <v>2.1089518471330839</v>
      </c>
      <c r="N451">
        <v>-0.62447214852360933</v>
      </c>
      <c r="O451">
        <v>-0.33233081273826243</v>
      </c>
    </row>
    <row r="452" spans="1:15" x14ac:dyDescent="0.25">
      <c r="A452">
        <v>6.8592534999999986</v>
      </c>
      <c r="B452">
        <v>320.95310975000001</v>
      </c>
      <c r="C452">
        <v>109.96977800000001</v>
      </c>
      <c r="D452">
        <v>-200.57031649999999</v>
      </c>
      <c r="E452">
        <v>166.16847999999999</v>
      </c>
      <c r="F452">
        <v>6.8704784999999999</v>
      </c>
      <c r="G452">
        <v>322.77057624999998</v>
      </c>
      <c r="H452">
        <v>32</v>
      </c>
      <c r="I452">
        <v>8</v>
      </c>
      <c r="J452">
        <v>1.18</v>
      </c>
      <c r="K452">
        <v>23.139223250000001</v>
      </c>
      <c r="L452">
        <v>-0.39198980843598091</v>
      </c>
      <c r="M452">
        <v>1.982838438305363</v>
      </c>
      <c r="N452">
        <v>-0.59541908145511957</v>
      </c>
      <c r="O452">
        <v>-0.3943495335421151</v>
      </c>
    </row>
    <row r="453" spans="1:15" x14ac:dyDescent="0.25">
      <c r="A453">
        <v>-35.228970750000002</v>
      </c>
      <c r="B453">
        <v>328.43324274999998</v>
      </c>
      <c r="C453">
        <v>139.8671075</v>
      </c>
      <c r="D453">
        <v>-212.06519675000001</v>
      </c>
      <c r="E453">
        <v>164.78262325</v>
      </c>
      <c r="F453">
        <v>7.2602907500000002</v>
      </c>
      <c r="G453">
        <v>333.85369900000001</v>
      </c>
      <c r="H453">
        <v>32</v>
      </c>
      <c r="I453">
        <v>12</v>
      </c>
      <c r="J453">
        <v>1.18</v>
      </c>
      <c r="K453">
        <v>23.527594000000001</v>
      </c>
      <c r="L453">
        <v>-0.6070793776957637</v>
      </c>
      <c r="M453">
        <v>1.8739499572822611</v>
      </c>
      <c r="N453">
        <v>-0.58620555783511263</v>
      </c>
      <c r="O453">
        <v>-0.4538662770692023</v>
      </c>
    </row>
    <row r="454" spans="1:15" x14ac:dyDescent="0.25">
      <c r="A454">
        <v>-80.324235999999999</v>
      </c>
      <c r="B454">
        <v>316.55801400000001</v>
      </c>
      <c r="C454">
        <v>158.47390375000001</v>
      </c>
      <c r="D454">
        <v>-210.27322375</v>
      </c>
      <c r="E454">
        <v>150.87937525000001</v>
      </c>
      <c r="F454">
        <v>7.0166585000000001</v>
      </c>
      <c r="G454">
        <v>326.77171325</v>
      </c>
      <c r="H454">
        <v>32</v>
      </c>
      <c r="I454">
        <v>16</v>
      </c>
      <c r="J454">
        <v>1.18</v>
      </c>
      <c r="K454">
        <v>23.279942999999999</v>
      </c>
      <c r="L454">
        <v>-0.80624424780196158</v>
      </c>
      <c r="M454">
        <v>1.778768821661733</v>
      </c>
      <c r="N454">
        <v>-0.59386727034555331</v>
      </c>
      <c r="O454">
        <v>-0.51425655888094646</v>
      </c>
    </row>
    <row r="455" spans="1:15" x14ac:dyDescent="0.25">
      <c r="A455">
        <v>-116.2662565</v>
      </c>
      <c r="B455">
        <v>284.724289</v>
      </c>
      <c r="C455">
        <v>163.08043275</v>
      </c>
      <c r="D455">
        <v>-194.232834</v>
      </c>
      <c r="E455">
        <v>127.0069025</v>
      </c>
      <c r="F455">
        <v>6.6268459999999996</v>
      </c>
      <c r="G455">
        <v>301.12450424999997</v>
      </c>
      <c r="H455">
        <v>32</v>
      </c>
      <c r="I455">
        <v>20</v>
      </c>
      <c r="J455">
        <v>1.18</v>
      </c>
      <c r="K455">
        <v>22.34159125</v>
      </c>
      <c r="L455">
        <v>-0.98970543593280158</v>
      </c>
      <c r="M455">
        <v>1.6969022690281399</v>
      </c>
      <c r="N455">
        <v>-0.61691454197160178</v>
      </c>
      <c r="O455">
        <v>-0.57351272345244619</v>
      </c>
    </row>
    <row r="456" spans="1:15" x14ac:dyDescent="0.25">
      <c r="A456">
        <v>-151.15259925000001</v>
      </c>
      <c r="B456">
        <v>257.27225874999999</v>
      </c>
      <c r="C456">
        <v>165.56435400000001</v>
      </c>
      <c r="D456">
        <v>-194.49507525000001</v>
      </c>
      <c r="E456">
        <v>102.50856949999999</v>
      </c>
      <c r="F456">
        <v>6.3832132499999998</v>
      </c>
      <c r="G456">
        <v>282.679329</v>
      </c>
      <c r="H456">
        <v>32</v>
      </c>
      <c r="I456">
        <v>24</v>
      </c>
      <c r="J456">
        <v>1.18</v>
      </c>
      <c r="K456">
        <v>21.640186499999999</v>
      </c>
      <c r="L456">
        <v>-1.1502778080198239</v>
      </c>
      <c r="M456">
        <v>1.6408235856923561</v>
      </c>
      <c r="N456">
        <v>-0.65438184604216743</v>
      </c>
      <c r="O456">
        <v>-0.65085255224705074</v>
      </c>
    </row>
    <row r="457" spans="1:15" x14ac:dyDescent="0.25">
      <c r="A457">
        <v>-177.16973475</v>
      </c>
      <c r="B457">
        <v>228.18972375000001</v>
      </c>
      <c r="C457">
        <v>163.71270375</v>
      </c>
      <c r="D457">
        <v>-197.59825125</v>
      </c>
      <c r="E457">
        <v>78.636100749999997</v>
      </c>
      <c r="F457">
        <v>5.8472212499999996</v>
      </c>
      <c r="G457">
        <v>264.35417949999999</v>
      </c>
      <c r="H457">
        <v>32</v>
      </c>
      <c r="I457">
        <v>28</v>
      </c>
      <c r="J457">
        <v>1.18</v>
      </c>
      <c r="K457">
        <v>20.9319545</v>
      </c>
      <c r="L457">
        <v>-1.281433145896328</v>
      </c>
      <c r="M457">
        <v>1.600591738838653</v>
      </c>
      <c r="N457">
        <v>-0.69815686691631074</v>
      </c>
      <c r="O457">
        <v>-0.7263868868515293</v>
      </c>
    </row>
    <row r="458" spans="1:15" x14ac:dyDescent="0.25">
      <c r="A458">
        <v>-218.26684950000001</v>
      </c>
      <c r="B458">
        <v>219.93349474999999</v>
      </c>
      <c r="C458">
        <v>172.51932525000001</v>
      </c>
      <c r="D458">
        <v>-228.84860599999999</v>
      </c>
      <c r="E458">
        <v>56.995153250000001</v>
      </c>
      <c r="F458">
        <v>5.9934012499999998</v>
      </c>
      <c r="G458">
        <v>270.71596525000001</v>
      </c>
      <c r="H458">
        <v>32</v>
      </c>
      <c r="I458">
        <v>32</v>
      </c>
      <c r="J458">
        <v>1.18</v>
      </c>
      <c r="K458">
        <v>21.182105750000002</v>
      </c>
      <c r="L458">
        <v>-1.3929198569413881</v>
      </c>
      <c r="M458">
        <v>1.5996629156088991</v>
      </c>
      <c r="N458">
        <v>-0.76181575039614224</v>
      </c>
      <c r="O458">
        <v>-0.81822625475477773</v>
      </c>
    </row>
    <row r="459" spans="1:15" x14ac:dyDescent="0.25">
      <c r="A459">
        <v>-268.50742350000002</v>
      </c>
      <c r="B459">
        <v>219.18143474999999</v>
      </c>
      <c r="C459">
        <v>188.10025400000001</v>
      </c>
      <c r="D459">
        <v>-277.10085299999997</v>
      </c>
      <c r="E459">
        <v>33.79479525</v>
      </c>
      <c r="F459">
        <v>6.2370334999999999</v>
      </c>
      <c r="G459">
        <v>292.48207824999997</v>
      </c>
      <c r="H459">
        <v>32</v>
      </c>
      <c r="I459">
        <v>36</v>
      </c>
      <c r="J459">
        <v>1.18</v>
      </c>
      <c r="K459">
        <v>22.02635725</v>
      </c>
      <c r="L459">
        <v>-1.4892693810109421</v>
      </c>
      <c r="M459">
        <v>1.618699570483497</v>
      </c>
      <c r="N459">
        <v>-0.84376638739747367</v>
      </c>
      <c r="O459">
        <v>-0.91012513249553706</v>
      </c>
    </row>
    <row r="460" spans="1:15" x14ac:dyDescent="0.25">
      <c r="A460">
        <v>-315.68537900000001</v>
      </c>
      <c r="B460">
        <v>210.13698975</v>
      </c>
      <c r="C460">
        <v>197.44882200000001</v>
      </c>
      <c r="D460">
        <v>-322.77441399999998</v>
      </c>
      <c r="E460">
        <v>2.4585669999999999</v>
      </c>
      <c r="F460">
        <v>6.8217522499999994</v>
      </c>
      <c r="G460">
        <v>310.0070035</v>
      </c>
      <c r="H460">
        <v>32</v>
      </c>
      <c r="I460">
        <v>40</v>
      </c>
      <c r="J460">
        <v>1.18</v>
      </c>
      <c r="K460">
        <v>22.6687555</v>
      </c>
      <c r="L460">
        <v>-1.595137124244757</v>
      </c>
      <c r="M460">
        <v>1.656613454438314</v>
      </c>
      <c r="N460">
        <v>-0.95606098028787179</v>
      </c>
      <c r="O460">
        <v>-1.0135703352953269</v>
      </c>
    </row>
    <row r="461" spans="1:15" x14ac:dyDescent="0.25">
      <c r="A461">
        <v>-364.92542300000002</v>
      </c>
      <c r="B461">
        <v>190.7885015</v>
      </c>
      <c r="C461">
        <v>202.14567199999999</v>
      </c>
      <c r="D461">
        <v>-369.05987549999998</v>
      </c>
      <c r="E461">
        <v>-39.47172175</v>
      </c>
      <c r="F461">
        <v>7.2602907500000002</v>
      </c>
      <c r="G461">
        <v>323.53078475000001</v>
      </c>
      <c r="H461">
        <v>32</v>
      </c>
      <c r="I461">
        <v>44</v>
      </c>
      <c r="J461">
        <v>1.18</v>
      </c>
      <c r="K461">
        <v>23.152779500000001</v>
      </c>
      <c r="L461">
        <v>-1.731397934553579</v>
      </c>
      <c r="M461">
        <v>1.709364954943301</v>
      </c>
      <c r="N461">
        <v>-1.108345286863923</v>
      </c>
      <c r="O461">
        <v>-1.1426840464495811</v>
      </c>
    </row>
    <row r="462" spans="1:15" x14ac:dyDescent="0.25">
      <c r="A462">
        <v>176.63716500000001</v>
      </c>
      <c r="B462">
        <v>185.3667945</v>
      </c>
      <c r="C462">
        <v>-469.05863175000002</v>
      </c>
      <c r="D462">
        <v>-472.9071045</v>
      </c>
      <c r="E462">
        <v>-133.445637</v>
      </c>
      <c r="F462">
        <v>7.3577442499999997</v>
      </c>
      <c r="G462">
        <v>337.41468049999997</v>
      </c>
      <c r="H462">
        <v>36</v>
      </c>
      <c r="I462">
        <v>-44</v>
      </c>
      <c r="J462">
        <v>1.18</v>
      </c>
      <c r="K462">
        <v>23.651986999999998</v>
      </c>
      <c r="L462">
        <v>1.9130012112819761</v>
      </c>
      <c r="M462">
        <v>1.9502740421694991</v>
      </c>
      <c r="N462">
        <v>-1.395074591229748</v>
      </c>
      <c r="O462">
        <v>-1.4171835285322001</v>
      </c>
    </row>
    <row r="463" spans="1:15" x14ac:dyDescent="0.25">
      <c r="A463">
        <v>167.10391225000001</v>
      </c>
      <c r="B463">
        <v>195.48096075000001</v>
      </c>
      <c r="C463">
        <v>-398.00283825000002</v>
      </c>
      <c r="D463">
        <v>-401.31546025</v>
      </c>
      <c r="E463">
        <v>-82.333105000000003</v>
      </c>
      <c r="F463">
        <v>6.9192049999999998</v>
      </c>
      <c r="G463">
        <v>308.646614</v>
      </c>
      <c r="H463">
        <v>36</v>
      </c>
      <c r="I463">
        <v>-40</v>
      </c>
      <c r="J463">
        <v>1.18</v>
      </c>
      <c r="K463">
        <v>22.614170250000001</v>
      </c>
      <c r="L463">
        <v>1.780869919280885</v>
      </c>
      <c r="M463">
        <v>1.88074190210251</v>
      </c>
      <c r="N463">
        <v>-1.23214981584575</v>
      </c>
      <c r="O463">
        <v>-1.2812954823820559</v>
      </c>
    </row>
    <row r="464" spans="1:15" x14ac:dyDescent="0.25">
      <c r="A464">
        <v>159.88365150000001</v>
      </c>
      <c r="B464">
        <v>206.03421025</v>
      </c>
      <c r="C464">
        <v>-339.08290075000002</v>
      </c>
      <c r="D464">
        <v>-337.24135575000003</v>
      </c>
      <c r="E464">
        <v>-41.211150000000004</v>
      </c>
      <c r="F464">
        <v>6.4319397499999997</v>
      </c>
      <c r="G464">
        <v>289.72131350000001</v>
      </c>
      <c r="H464">
        <v>36</v>
      </c>
      <c r="I464">
        <v>-36</v>
      </c>
      <c r="J464">
        <v>1.18</v>
      </c>
      <c r="K464">
        <v>21.912338250000001</v>
      </c>
      <c r="L464">
        <v>1.6803087635096809</v>
      </c>
      <c r="M464">
        <v>1.8295175643748931</v>
      </c>
      <c r="N464">
        <v>-1.114451876743261</v>
      </c>
      <c r="O464">
        <v>-1.1604495768728</v>
      </c>
    </row>
    <row r="465" spans="1:15" x14ac:dyDescent="0.25">
      <c r="A465">
        <v>152.05142599999999</v>
      </c>
      <c r="B465">
        <v>213.47388849999999</v>
      </c>
      <c r="C465">
        <v>-296.72010074999997</v>
      </c>
      <c r="D465">
        <v>-288.77056125000001</v>
      </c>
      <c r="E465">
        <v>-9.8567792500000007</v>
      </c>
      <c r="F465">
        <v>5.8959477500000004</v>
      </c>
      <c r="G465">
        <v>274.79712675000002</v>
      </c>
      <c r="H465">
        <v>36</v>
      </c>
      <c r="I465">
        <v>-32</v>
      </c>
      <c r="J465">
        <v>1.18</v>
      </c>
      <c r="K465">
        <v>21.348633249999999</v>
      </c>
      <c r="L465">
        <v>1.5864002879693819</v>
      </c>
      <c r="M465">
        <v>1.775432155151077</v>
      </c>
      <c r="N465">
        <v>-1.0062613354981289</v>
      </c>
      <c r="O465">
        <v>-1.05570097665534</v>
      </c>
    </row>
    <row r="466" spans="1:15" x14ac:dyDescent="0.25">
      <c r="A466">
        <v>148.2700615</v>
      </c>
      <c r="B466">
        <v>228.34991074999999</v>
      </c>
      <c r="C466">
        <v>-257.74090949999999</v>
      </c>
      <c r="D466">
        <v>-256.60238650000002</v>
      </c>
      <c r="E466">
        <v>18.37246425</v>
      </c>
      <c r="F466">
        <v>6.0421279999999999</v>
      </c>
      <c r="G466">
        <v>272.39643849999999</v>
      </c>
      <c r="H466">
        <v>36</v>
      </c>
      <c r="I466">
        <v>-28</v>
      </c>
      <c r="J466">
        <v>1.18</v>
      </c>
      <c r="K466">
        <v>21.247280499999999</v>
      </c>
      <c r="L466">
        <v>1.4734786375653759</v>
      </c>
      <c r="M466">
        <v>1.7599923111856419</v>
      </c>
      <c r="N466">
        <v>-0.92191227207694681</v>
      </c>
      <c r="O466">
        <v>-0.95525476896351824</v>
      </c>
    </row>
    <row r="467" spans="1:15" x14ac:dyDescent="0.25">
      <c r="A467">
        <v>152.23204799999999</v>
      </c>
      <c r="B467">
        <v>260.36222049999998</v>
      </c>
      <c r="C467">
        <v>-237.43924699999999</v>
      </c>
      <c r="D467">
        <v>-252.88730225</v>
      </c>
      <c r="E467">
        <v>42.782698750000002</v>
      </c>
      <c r="F467">
        <v>6.5293929999999998</v>
      </c>
      <c r="G467">
        <v>292.88218699999999</v>
      </c>
      <c r="H467">
        <v>36</v>
      </c>
      <c r="I467">
        <v>-24</v>
      </c>
      <c r="J467">
        <v>1.18</v>
      </c>
      <c r="K467">
        <v>22.03050575</v>
      </c>
      <c r="L467">
        <v>1.353297691489604</v>
      </c>
      <c r="M467">
        <v>1.782445632329682</v>
      </c>
      <c r="N467">
        <v>-0.8685681386127585</v>
      </c>
      <c r="O467">
        <v>-0.87408975015543722</v>
      </c>
    </row>
    <row r="468" spans="1:15" x14ac:dyDescent="0.25">
      <c r="A468">
        <v>150.96837249999999</v>
      </c>
      <c r="B468">
        <v>289.14830024999998</v>
      </c>
      <c r="C468">
        <v>-208.92667374999999</v>
      </c>
      <c r="D468">
        <v>-248.60404600000001</v>
      </c>
      <c r="E468">
        <v>66.43164075</v>
      </c>
      <c r="F468">
        <v>6.8704787500000002</v>
      </c>
      <c r="G468">
        <v>310.76721175</v>
      </c>
      <c r="H468">
        <v>36</v>
      </c>
      <c r="I468">
        <v>-20</v>
      </c>
      <c r="J468">
        <v>1.18</v>
      </c>
      <c r="K468">
        <v>22.695342</v>
      </c>
      <c r="L468">
        <v>1.2191671181184509</v>
      </c>
      <c r="M468">
        <v>1.8216738965885571</v>
      </c>
      <c r="N468">
        <v>-0.82770779693212659</v>
      </c>
      <c r="O468">
        <v>-0.79823218664060724</v>
      </c>
    </row>
    <row r="469" spans="1:15" x14ac:dyDescent="0.25">
      <c r="A469">
        <v>143.39549650000001</v>
      </c>
      <c r="B469">
        <v>311.12416100000002</v>
      </c>
      <c r="C469">
        <v>-169.22564324999999</v>
      </c>
      <c r="D469">
        <v>-244.10225274999999</v>
      </c>
      <c r="E469">
        <v>87.264165750000004</v>
      </c>
      <c r="F469">
        <v>7.0166585000000001</v>
      </c>
      <c r="G469">
        <v>324.45104974999998</v>
      </c>
      <c r="H469">
        <v>36</v>
      </c>
      <c r="I469">
        <v>-16</v>
      </c>
      <c r="J469">
        <v>1.18</v>
      </c>
      <c r="K469">
        <v>23.195346499999999</v>
      </c>
      <c r="L469">
        <v>1.0635995992610401</v>
      </c>
      <c r="M469">
        <v>1.888998376647276</v>
      </c>
      <c r="N469">
        <v>-0.80696300306162905</v>
      </c>
      <c r="O469">
        <v>-0.72698048194489751</v>
      </c>
    </row>
    <row r="470" spans="1:15" x14ac:dyDescent="0.25">
      <c r="A470">
        <v>128.75474174999999</v>
      </c>
      <c r="B470">
        <v>331.34385700000001</v>
      </c>
      <c r="C470">
        <v>-128.5772</v>
      </c>
      <c r="D470">
        <v>-248.42922974999999</v>
      </c>
      <c r="E470">
        <v>103.49208075</v>
      </c>
      <c r="F470">
        <v>7.4551974999999997</v>
      </c>
      <c r="G470">
        <v>338.45498650000002</v>
      </c>
      <c r="H470">
        <v>36</v>
      </c>
      <c r="I470">
        <v>-12</v>
      </c>
      <c r="J470">
        <v>1.18</v>
      </c>
      <c r="K470">
        <v>23.6857845</v>
      </c>
      <c r="L470">
        <v>0.88129345158811079</v>
      </c>
      <c r="M470">
        <v>1.9855939421343081</v>
      </c>
      <c r="N470">
        <v>-0.80472791609189054</v>
      </c>
      <c r="O470">
        <v>-0.67111327389238418</v>
      </c>
    </row>
    <row r="471" spans="1:15" x14ac:dyDescent="0.25">
      <c r="A471">
        <v>96.764184999999998</v>
      </c>
      <c r="B471">
        <v>313.55029300000001</v>
      </c>
      <c r="C471">
        <v>-70.920480999999995</v>
      </c>
      <c r="D471">
        <v>-228.14928424999999</v>
      </c>
      <c r="E471">
        <v>107.82142425000001</v>
      </c>
      <c r="F471">
        <v>6.9192055000000003</v>
      </c>
      <c r="G471">
        <v>315.04841625</v>
      </c>
      <c r="H471">
        <v>36</v>
      </c>
      <c r="I471">
        <v>-8</v>
      </c>
      <c r="J471">
        <v>1.18</v>
      </c>
      <c r="K471">
        <v>22.852814250000002</v>
      </c>
      <c r="L471">
        <v>0.65157665082666549</v>
      </c>
      <c r="M471">
        <v>2.1048720238212431</v>
      </c>
      <c r="N471">
        <v>-0.80525598891837336</v>
      </c>
      <c r="O471">
        <v>-0.60791259526615904</v>
      </c>
    </row>
    <row r="472" spans="1:15" x14ac:dyDescent="0.25">
      <c r="A472">
        <v>64.625557999999998</v>
      </c>
      <c r="B472">
        <v>294.43072525000002</v>
      </c>
      <c r="C472">
        <v>-26.798195499999999</v>
      </c>
      <c r="D472">
        <v>-213.20157225</v>
      </c>
      <c r="E472">
        <v>103.58149125</v>
      </c>
      <c r="F472">
        <v>6.4806664999999999</v>
      </c>
      <c r="G472">
        <v>294.04251850000003</v>
      </c>
      <c r="H472">
        <v>36</v>
      </c>
      <c r="I472">
        <v>-4</v>
      </c>
      <c r="J472">
        <v>1.18</v>
      </c>
      <c r="K472">
        <v>22.0769685</v>
      </c>
      <c r="L472">
        <v>0.4089413093552049</v>
      </c>
      <c r="M472">
        <v>2.2705353901790541</v>
      </c>
      <c r="N472">
        <v>-0.85195536812205142</v>
      </c>
      <c r="O472">
        <v>-0.56572961759105245</v>
      </c>
    </row>
    <row r="473" spans="1:15" x14ac:dyDescent="0.25">
      <c r="A473">
        <v>34.481183999999999</v>
      </c>
      <c r="B473">
        <v>279.06950375000002</v>
      </c>
      <c r="C473">
        <v>8.5356504999999991</v>
      </c>
      <c r="D473">
        <v>-200.614025</v>
      </c>
      <c r="E473">
        <v>100.04979525</v>
      </c>
      <c r="F473">
        <v>6.3344865000000006</v>
      </c>
      <c r="G473">
        <v>278.63818375</v>
      </c>
      <c r="H473">
        <v>36</v>
      </c>
      <c r="I473">
        <v>0</v>
      </c>
      <c r="J473">
        <v>1.18</v>
      </c>
      <c r="K473">
        <v>21.483276499999999</v>
      </c>
      <c r="L473">
        <v>0.13229275601060969</v>
      </c>
      <c r="M473">
        <v>2.446334777053651</v>
      </c>
      <c r="N473">
        <v>-0.91081592532555933</v>
      </c>
      <c r="O473">
        <v>-0.52209179397516103</v>
      </c>
    </row>
    <row r="474" spans="1:15" x14ac:dyDescent="0.25">
      <c r="A474">
        <v>4.5138474999999998</v>
      </c>
      <c r="B474">
        <v>266.83584574999998</v>
      </c>
      <c r="C474">
        <v>37.574894749999999</v>
      </c>
      <c r="D474">
        <v>-192.79051575</v>
      </c>
      <c r="E474">
        <v>95.713411250000007</v>
      </c>
      <c r="F474">
        <v>6.0421275000000003</v>
      </c>
      <c r="G474">
        <v>266.87489325000001</v>
      </c>
      <c r="H474">
        <v>36</v>
      </c>
      <c r="I474">
        <v>4</v>
      </c>
      <c r="J474">
        <v>1.18</v>
      </c>
      <c r="K474">
        <v>21.02589</v>
      </c>
      <c r="L474">
        <v>-0.1741414303156564</v>
      </c>
      <c r="M474">
        <v>2.42097752766783</v>
      </c>
      <c r="N474">
        <v>-0.90155244383937783</v>
      </c>
      <c r="O474">
        <v>-0.52767993281076542</v>
      </c>
    </row>
    <row r="475" spans="1:15" x14ac:dyDescent="0.25">
      <c r="A475">
        <v>-26.444305</v>
      </c>
      <c r="B475">
        <v>284.43576024999999</v>
      </c>
      <c r="C475">
        <v>66.388332249999991</v>
      </c>
      <c r="D475">
        <v>-209.39908600000001</v>
      </c>
      <c r="E475">
        <v>100.0050925</v>
      </c>
      <c r="F475">
        <v>6.43194</v>
      </c>
      <c r="G475">
        <v>285.44010175</v>
      </c>
      <c r="H475">
        <v>36</v>
      </c>
      <c r="I475">
        <v>8</v>
      </c>
      <c r="J475">
        <v>1.18</v>
      </c>
      <c r="K475">
        <v>21.746141999999999</v>
      </c>
      <c r="L475">
        <v>-0.42597883273099102</v>
      </c>
      <c r="M475">
        <v>2.2661333819836069</v>
      </c>
      <c r="N475">
        <v>-0.85098886338680613</v>
      </c>
      <c r="O475">
        <v>-0.57064652275242622</v>
      </c>
    </row>
    <row r="476" spans="1:15" x14ac:dyDescent="0.25">
      <c r="A476">
        <v>-69.012153500000011</v>
      </c>
      <c r="B476">
        <v>302.00879674999999</v>
      </c>
      <c r="C476">
        <v>92.446876750000001</v>
      </c>
      <c r="D476">
        <v>-230.02867875000001</v>
      </c>
      <c r="E476">
        <v>99.334518500000001</v>
      </c>
      <c r="F476">
        <v>6.5781194999999997</v>
      </c>
      <c r="G476">
        <v>304.80553424999999</v>
      </c>
      <c r="H476">
        <v>36</v>
      </c>
      <c r="I476">
        <v>12</v>
      </c>
      <c r="J476">
        <v>1.18</v>
      </c>
      <c r="K476">
        <v>22.482647499999999</v>
      </c>
      <c r="L476">
        <v>-0.6487395088225677</v>
      </c>
      <c r="M476">
        <v>2.1380782733033459</v>
      </c>
      <c r="N476">
        <v>-0.82577983473565553</v>
      </c>
      <c r="O476">
        <v>-0.62726763241275996</v>
      </c>
    </row>
    <row r="477" spans="1:15" x14ac:dyDescent="0.25">
      <c r="A477">
        <v>-116.6793345</v>
      </c>
      <c r="B477">
        <v>311.64845274999999</v>
      </c>
      <c r="C477">
        <v>119.9957715</v>
      </c>
      <c r="D477">
        <v>-245.19491575000001</v>
      </c>
      <c r="E477">
        <v>95.534589749999995</v>
      </c>
      <c r="F477">
        <v>6.8704787500000002</v>
      </c>
      <c r="G477">
        <v>319.28960425000002</v>
      </c>
      <c r="H477">
        <v>36</v>
      </c>
      <c r="I477">
        <v>16</v>
      </c>
      <c r="J477">
        <v>1.18</v>
      </c>
      <c r="K477">
        <v>23.011375999999998</v>
      </c>
      <c r="L477">
        <v>-0.85606487808977461</v>
      </c>
      <c r="M477">
        <v>2.0141099993995981</v>
      </c>
      <c r="N477">
        <v>-0.80932756151822127</v>
      </c>
      <c r="O477">
        <v>-0.67930500055632281</v>
      </c>
    </row>
    <row r="478" spans="1:15" x14ac:dyDescent="0.25">
      <c r="A478">
        <v>-167.82195275000001</v>
      </c>
      <c r="B478">
        <v>317.27553575000002</v>
      </c>
      <c r="C478">
        <v>142.26070000000001</v>
      </c>
      <c r="D478">
        <v>-267.70390325</v>
      </c>
      <c r="E478">
        <v>82.793668749999995</v>
      </c>
      <c r="F478">
        <v>7.4551974999999997</v>
      </c>
      <c r="G478">
        <v>333.57360849999998</v>
      </c>
      <c r="H478">
        <v>36</v>
      </c>
      <c r="I478">
        <v>20</v>
      </c>
      <c r="J478">
        <v>1.18</v>
      </c>
      <c r="K478">
        <v>23.510475499999998</v>
      </c>
      <c r="L478">
        <v>-1.031707738753961</v>
      </c>
      <c r="M478">
        <v>1.946313130235291</v>
      </c>
      <c r="N478">
        <v>-0.83438768791459372</v>
      </c>
      <c r="O478">
        <v>-0.74933766471331309</v>
      </c>
    </row>
    <row r="479" spans="1:15" x14ac:dyDescent="0.25">
      <c r="A479">
        <v>-213.55058249999999</v>
      </c>
      <c r="B479">
        <v>299.26771550000001</v>
      </c>
      <c r="C479">
        <v>153.05444349999999</v>
      </c>
      <c r="D479">
        <v>-281.42781824999997</v>
      </c>
      <c r="E479">
        <v>62.7617245</v>
      </c>
      <c r="F479">
        <v>7.1141114999999999</v>
      </c>
      <c r="G479">
        <v>325.05121600000001</v>
      </c>
      <c r="H479">
        <v>36</v>
      </c>
      <c r="I479">
        <v>24</v>
      </c>
      <c r="J479">
        <v>1.18</v>
      </c>
      <c r="K479">
        <v>23.213658250000002</v>
      </c>
      <c r="L479">
        <v>-1.1816379438491971</v>
      </c>
      <c r="M479">
        <v>1.8716911052716889</v>
      </c>
      <c r="N479">
        <v>-0.84541387020209502</v>
      </c>
      <c r="O479">
        <v>-0.82063843718520624</v>
      </c>
    </row>
    <row r="480" spans="1:15" x14ac:dyDescent="0.25">
      <c r="A480">
        <v>-234.34952175000001</v>
      </c>
      <c r="B480">
        <v>263.74710825</v>
      </c>
      <c r="C480">
        <v>152.64798350000001</v>
      </c>
      <c r="D480">
        <v>-272.07457749999998</v>
      </c>
      <c r="E480">
        <v>42.246239750000001</v>
      </c>
      <c r="F480">
        <v>6.6755724999999986</v>
      </c>
      <c r="G480">
        <v>300.68437975000001</v>
      </c>
      <c r="H480">
        <v>36</v>
      </c>
      <c r="I480">
        <v>28</v>
      </c>
      <c r="J480">
        <v>1.18</v>
      </c>
      <c r="K480">
        <v>22.323060999999999</v>
      </c>
      <c r="L480">
        <v>-1.3098084569099739</v>
      </c>
      <c r="M480">
        <v>1.8136220841754911</v>
      </c>
      <c r="N480">
        <v>-0.87478564438646012</v>
      </c>
      <c r="O480">
        <v>-0.87962996667269611</v>
      </c>
    </row>
    <row r="481" spans="1:15" x14ac:dyDescent="0.25">
      <c r="A481">
        <v>-252.07075125</v>
      </c>
      <c r="B481">
        <v>234.66655349999999</v>
      </c>
      <c r="C481">
        <v>148.22209925000001</v>
      </c>
      <c r="D481">
        <v>-275.35259274999999</v>
      </c>
      <c r="E481">
        <v>19.355973250000002</v>
      </c>
      <c r="F481">
        <v>6.1395809999999997</v>
      </c>
      <c r="G481">
        <v>283.75962850000002</v>
      </c>
      <c r="H481">
        <v>36</v>
      </c>
      <c r="I481">
        <v>32</v>
      </c>
      <c r="J481">
        <v>1.18</v>
      </c>
      <c r="K481">
        <v>21.691965249999999</v>
      </c>
      <c r="L481">
        <v>-1.414124652362202</v>
      </c>
      <c r="M481">
        <v>1.801776591020622</v>
      </c>
      <c r="N481">
        <v>-0.93408742129478772</v>
      </c>
      <c r="O481">
        <v>-0.95331778777548348</v>
      </c>
    </row>
    <row r="482" spans="1:15" x14ac:dyDescent="0.25">
      <c r="A482">
        <v>-262.64101399999998</v>
      </c>
      <c r="B482">
        <v>203.32136149999999</v>
      </c>
      <c r="C482">
        <v>142.621994</v>
      </c>
      <c r="D482">
        <v>-276.0955965</v>
      </c>
      <c r="E482">
        <v>-2.5422462499999998</v>
      </c>
      <c r="F482">
        <v>6.1395805000000001</v>
      </c>
      <c r="G482">
        <v>266.31474300000002</v>
      </c>
      <c r="H482">
        <v>36</v>
      </c>
      <c r="I482">
        <v>36</v>
      </c>
      <c r="J482">
        <v>1.18</v>
      </c>
      <c r="K482">
        <v>20.99938225</v>
      </c>
      <c r="L482">
        <v>-1.518825425468296</v>
      </c>
      <c r="M482">
        <v>1.7967458484014209</v>
      </c>
      <c r="N482">
        <v>-1.0076141687605209</v>
      </c>
      <c r="O482">
        <v>-1.032540377645367</v>
      </c>
    </row>
    <row r="483" spans="1:15" x14ac:dyDescent="0.25">
      <c r="A483">
        <v>-279.39957425</v>
      </c>
      <c r="B483">
        <v>176.93752674999999</v>
      </c>
      <c r="C483">
        <v>135.26056675000001</v>
      </c>
      <c r="D483">
        <v>-285.71109024999998</v>
      </c>
      <c r="E483">
        <v>-28.143112500000001</v>
      </c>
      <c r="F483">
        <v>5.3112292500000002</v>
      </c>
      <c r="G483">
        <v>255.43169025</v>
      </c>
      <c r="H483">
        <v>36</v>
      </c>
      <c r="I483">
        <v>40</v>
      </c>
      <c r="J483">
        <v>1.18</v>
      </c>
      <c r="K483">
        <v>20.589616500000002</v>
      </c>
      <c r="L483">
        <v>-1.629884261906374</v>
      </c>
      <c r="M483">
        <v>1.8185074594245849</v>
      </c>
      <c r="N483">
        <v>-1.114634002499461</v>
      </c>
      <c r="O483">
        <v>-1.1314992337933489</v>
      </c>
    </row>
    <row r="484" spans="1:15" x14ac:dyDescent="0.25">
      <c r="A484">
        <v>-330.26278674999998</v>
      </c>
      <c r="B484">
        <v>170.04815275000001</v>
      </c>
      <c r="C484">
        <v>142.66716374999999</v>
      </c>
      <c r="D484">
        <v>-332.12767050000002</v>
      </c>
      <c r="E484">
        <v>-61.415321249999998</v>
      </c>
      <c r="F484">
        <v>6.1395805000000001</v>
      </c>
      <c r="G484">
        <v>276.91771675000001</v>
      </c>
      <c r="H484">
        <v>36</v>
      </c>
      <c r="I484">
        <v>44</v>
      </c>
      <c r="J484">
        <v>1.18</v>
      </c>
      <c r="K484">
        <v>21.422998499999999</v>
      </c>
      <c r="L484">
        <v>-1.753017283477341</v>
      </c>
      <c r="M484">
        <v>1.861432289171419</v>
      </c>
      <c r="N484">
        <v>-1.2541065171993291</v>
      </c>
      <c r="O484">
        <v>-1.2504072177722509</v>
      </c>
    </row>
    <row r="485" spans="1:15" x14ac:dyDescent="0.25">
      <c r="A485">
        <v>124.15149700000001</v>
      </c>
      <c r="B485">
        <v>170.40857299999999</v>
      </c>
      <c r="C485">
        <v>-414.33441199999999</v>
      </c>
      <c r="D485">
        <v>-415.73870849999997</v>
      </c>
      <c r="E485">
        <v>-145.17564425</v>
      </c>
      <c r="F485">
        <v>6.6755724999999986</v>
      </c>
      <c r="G485">
        <v>300.32427999999999</v>
      </c>
      <c r="H485">
        <v>40</v>
      </c>
      <c r="I485">
        <v>-44</v>
      </c>
      <c r="J485">
        <v>1.18</v>
      </c>
      <c r="K485">
        <v>22.309389500000002</v>
      </c>
      <c r="L485">
        <v>1.995539020968996</v>
      </c>
      <c r="M485">
        <v>2.172177527813576</v>
      </c>
      <c r="N485">
        <v>-1.6510373369708149</v>
      </c>
      <c r="O485">
        <v>-1.562807269560335</v>
      </c>
    </row>
    <row r="486" spans="1:15" x14ac:dyDescent="0.25">
      <c r="A486">
        <v>135.30733875000001</v>
      </c>
      <c r="B486">
        <v>205.26481625</v>
      </c>
      <c r="C486">
        <v>-423.76340475000001</v>
      </c>
      <c r="D486">
        <v>-417.04990375</v>
      </c>
      <c r="E486">
        <v>-119.66398599999999</v>
      </c>
      <c r="F486">
        <v>6.96793175</v>
      </c>
      <c r="G486">
        <v>315.96867400000002</v>
      </c>
      <c r="H486">
        <v>40</v>
      </c>
      <c r="I486">
        <v>-40</v>
      </c>
      <c r="J486">
        <v>1.18</v>
      </c>
      <c r="K486">
        <v>22.885137499999999</v>
      </c>
      <c r="L486">
        <v>1.858976151035701</v>
      </c>
      <c r="M486">
        <v>2.069275193446932</v>
      </c>
      <c r="N486">
        <v>-1.448546875431695</v>
      </c>
      <c r="O486">
        <v>-1.421076905666812</v>
      </c>
    </row>
    <row r="487" spans="1:15" x14ac:dyDescent="0.25">
      <c r="A487">
        <v>143.69258875</v>
      </c>
      <c r="B487">
        <v>236.68675999999999</v>
      </c>
      <c r="C487">
        <v>-418.75565325000002</v>
      </c>
      <c r="D487">
        <v>-409.88198075000003</v>
      </c>
      <c r="E487">
        <v>-91.208667749999989</v>
      </c>
      <c r="F487">
        <v>7.3090175000000004</v>
      </c>
      <c r="G487">
        <v>330.45272825000001</v>
      </c>
      <c r="H487">
        <v>40</v>
      </c>
      <c r="I487">
        <v>-36</v>
      </c>
      <c r="J487">
        <v>1.18</v>
      </c>
      <c r="K487">
        <v>23.403010500000001</v>
      </c>
      <c r="L487">
        <v>1.7407423819582479</v>
      </c>
      <c r="M487">
        <v>2.0010892681211851</v>
      </c>
      <c r="N487">
        <v>-1.305033639415023</v>
      </c>
      <c r="O487">
        <v>-1.304919025197852</v>
      </c>
    </row>
    <row r="488" spans="1:15" x14ac:dyDescent="0.25">
      <c r="A488">
        <v>144.668747</v>
      </c>
      <c r="B488">
        <v>262.78502650000001</v>
      </c>
      <c r="C488">
        <v>-393.71694174999999</v>
      </c>
      <c r="D488">
        <v>-392.66152975</v>
      </c>
      <c r="E488">
        <v>-63.333154499999999</v>
      </c>
      <c r="F488">
        <v>7.2115640000000001</v>
      </c>
      <c r="G488">
        <v>335.37412275000003</v>
      </c>
      <c r="H488">
        <v>40</v>
      </c>
      <c r="I488">
        <v>-32</v>
      </c>
      <c r="J488">
        <v>1.18</v>
      </c>
      <c r="K488">
        <v>23.58399975</v>
      </c>
      <c r="L488">
        <v>1.632169386305429</v>
      </c>
      <c r="M488">
        <v>1.987064581201013</v>
      </c>
      <c r="N488">
        <v>-1.2087267342419601</v>
      </c>
      <c r="O488">
        <v>-1.213858035814706</v>
      </c>
    </row>
    <row r="489" spans="1:15" x14ac:dyDescent="0.25">
      <c r="A489">
        <v>130.88433449999999</v>
      </c>
      <c r="B489">
        <v>259.75505800000002</v>
      </c>
      <c r="C489">
        <v>-322.93180100000001</v>
      </c>
      <c r="D489">
        <v>-333.4825745</v>
      </c>
      <c r="E489">
        <v>-29.882545499999999</v>
      </c>
      <c r="F489">
        <v>6.9192055000000003</v>
      </c>
      <c r="G489">
        <v>309.28678875000003</v>
      </c>
      <c r="H489">
        <v>40</v>
      </c>
      <c r="I489">
        <v>-28</v>
      </c>
      <c r="J489">
        <v>1.18</v>
      </c>
      <c r="K489">
        <v>22.638161749999998</v>
      </c>
      <c r="L489">
        <v>1.521223572881957</v>
      </c>
      <c r="M489">
        <v>1.9885486205379579</v>
      </c>
      <c r="N489">
        <v>-1.136921918807225</v>
      </c>
      <c r="O489">
        <v>-1.12334856194535</v>
      </c>
    </row>
    <row r="490" spans="1:15" x14ac:dyDescent="0.25">
      <c r="A490">
        <v>115.8476505</v>
      </c>
      <c r="B490">
        <v>256.70738974999989</v>
      </c>
      <c r="C490">
        <v>-264.55325325000001</v>
      </c>
      <c r="D490">
        <v>-286.10444649999999</v>
      </c>
      <c r="E490">
        <v>-7.269933</v>
      </c>
      <c r="F490">
        <v>6.7242990000000002</v>
      </c>
      <c r="G490">
        <v>288.761032</v>
      </c>
      <c r="H490">
        <v>40</v>
      </c>
      <c r="I490">
        <v>-24</v>
      </c>
      <c r="J490">
        <v>1.18</v>
      </c>
      <c r="K490">
        <v>21.863834749999999</v>
      </c>
      <c r="L490">
        <v>1.4191127691691809</v>
      </c>
      <c r="M490">
        <v>2.0249938486649328</v>
      </c>
      <c r="N490">
        <v>-1.104373803463836</v>
      </c>
      <c r="O490">
        <v>-1.0522180235505101</v>
      </c>
    </row>
    <row r="491" spans="1:15" x14ac:dyDescent="0.25">
      <c r="A491">
        <v>101.05161649999999</v>
      </c>
      <c r="B491">
        <v>254.032116</v>
      </c>
      <c r="C491">
        <v>-213.39303975000001</v>
      </c>
      <c r="D491">
        <v>-248.21068600000001</v>
      </c>
      <c r="E491">
        <v>11.533909749999999</v>
      </c>
      <c r="F491">
        <v>6.28576025</v>
      </c>
      <c r="G491">
        <v>273.43672950000001</v>
      </c>
      <c r="H491">
        <v>40</v>
      </c>
      <c r="I491">
        <v>-20</v>
      </c>
      <c r="J491">
        <v>1.18</v>
      </c>
      <c r="K491">
        <v>21.279030500000001</v>
      </c>
      <c r="L491">
        <v>1.297570157215024</v>
      </c>
      <c r="M491">
        <v>2.072542115056808</v>
      </c>
      <c r="N491">
        <v>-1.080775897885746</v>
      </c>
      <c r="O491">
        <v>-0.97836396083785437</v>
      </c>
    </row>
    <row r="492" spans="1:15" x14ac:dyDescent="0.25">
      <c r="A492">
        <v>86.112787499999996</v>
      </c>
      <c r="B492">
        <v>260.5248795</v>
      </c>
      <c r="C492">
        <v>-173.3762055</v>
      </c>
      <c r="D492">
        <v>-234.923832</v>
      </c>
      <c r="E492">
        <v>23.602739750000001</v>
      </c>
      <c r="F492">
        <v>5.7984947499999997</v>
      </c>
      <c r="G492">
        <v>270.99605574999998</v>
      </c>
      <c r="H492">
        <v>40</v>
      </c>
      <c r="I492">
        <v>-16</v>
      </c>
      <c r="J492">
        <v>1.18</v>
      </c>
      <c r="K492">
        <v>21.201093749999998</v>
      </c>
      <c r="L492">
        <v>1.139360758335455</v>
      </c>
      <c r="M492">
        <v>2.1754374284600848</v>
      </c>
      <c r="N492">
        <v>-1.08631151892102</v>
      </c>
      <c r="O492">
        <v>-0.92184792223020195</v>
      </c>
    </row>
    <row r="493" spans="1:15" x14ac:dyDescent="0.25">
      <c r="A493">
        <v>74.920080249999998</v>
      </c>
      <c r="B493">
        <v>283.30143750000002</v>
      </c>
      <c r="C493">
        <v>-144.27714925000001</v>
      </c>
      <c r="D493">
        <v>-244.36449825</v>
      </c>
      <c r="E493">
        <v>36.119313249999998</v>
      </c>
      <c r="F493">
        <v>6.3344865000000006</v>
      </c>
      <c r="G493">
        <v>288.6410065</v>
      </c>
      <c r="H493">
        <v>40</v>
      </c>
      <c r="I493">
        <v>-12</v>
      </c>
      <c r="J493">
        <v>1.18</v>
      </c>
      <c r="K493">
        <v>21.87429775</v>
      </c>
      <c r="L493">
        <v>0.95119995611199737</v>
      </c>
      <c r="M493">
        <v>2.2898336716144359</v>
      </c>
      <c r="N493">
        <v>-1.095838361310318</v>
      </c>
      <c r="O493">
        <v>-0.87074993823617663</v>
      </c>
    </row>
    <row r="494" spans="1:15" x14ac:dyDescent="0.25">
      <c r="A494">
        <v>53.075907749999999</v>
      </c>
      <c r="B494">
        <v>304.91540500000002</v>
      </c>
      <c r="C494">
        <v>-112.83213050000001</v>
      </c>
      <c r="D494">
        <v>-262.0220185</v>
      </c>
      <c r="E494">
        <v>43.006223749999997</v>
      </c>
      <c r="F494">
        <v>6.7242990000000002</v>
      </c>
      <c r="G494">
        <v>305.24565875000002</v>
      </c>
      <c r="H494">
        <v>40</v>
      </c>
      <c r="I494">
        <v>-8</v>
      </c>
      <c r="J494">
        <v>1.18</v>
      </c>
      <c r="K494">
        <v>22.493727</v>
      </c>
      <c r="L494">
        <v>0.71999790844881462</v>
      </c>
      <c r="M494">
        <v>2.4603219214435761</v>
      </c>
      <c r="N494">
        <v>-1.1380425931623239</v>
      </c>
      <c r="O494">
        <v>-0.84256140077992892</v>
      </c>
    </row>
    <row r="495" spans="1:15" x14ac:dyDescent="0.25">
      <c r="A495">
        <v>27.16623525</v>
      </c>
      <c r="B495">
        <v>321.70027924999999</v>
      </c>
      <c r="C495">
        <v>-76.198913500000003</v>
      </c>
      <c r="D495">
        <v>-277.88758100000001</v>
      </c>
      <c r="E495">
        <v>49.0795545</v>
      </c>
      <c r="F495">
        <v>7.1141114999999999</v>
      </c>
      <c r="G495">
        <v>321.21013625000001</v>
      </c>
      <c r="H495">
        <v>40</v>
      </c>
      <c r="I495">
        <v>-4</v>
      </c>
      <c r="J495">
        <v>1.18</v>
      </c>
      <c r="K495">
        <v>23.073052499999999</v>
      </c>
      <c r="L495">
        <v>0.45706225357172908</v>
      </c>
      <c r="M495">
        <v>2.6516845499140591</v>
      </c>
      <c r="N495">
        <v>-1.2035207064735891</v>
      </c>
      <c r="O495">
        <v>-0.81442646306922428</v>
      </c>
    </row>
    <row r="496" spans="1:15" x14ac:dyDescent="0.25">
      <c r="A496">
        <v>-5.6759465000000002</v>
      </c>
      <c r="B496">
        <v>333.38853475000002</v>
      </c>
      <c r="C496">
        <v>-35.956502749999999</v>
      </c>
      <c r="D496">
        <v>-288.15865350000001</v>
      </c>
      <c r="E496">
        <v>52.975437249999999</v>
      </c>
      <c r="F496">
        <v>7.4064707500000004</v>
      </c>
      <c r="G496">
        <v>333.61362474999999</v>
      </c>
      <c r="H496">
        <v>40</v>
      </c>
      <c r="I496">
        <v>0</v>
      </c>
      <c r="J496">
        <v>1.18</v>
      </c>
      <c r="K496">
        <v>23.513677749999999</v>
      </c>
      <c r="L496">
        <v>0.1408554160221589</v>
      </c>
      <c r="M496">
        <v>2.8906071306912331</v>
      </c>
      <c r="N496">
        <v>-1.305232941344231</v>
      </c>
      <c r="O496">
        <v>-0.78814158742076756</v>
      </c>
    </row>
    <row r="497" spans="1:15" x14ac:dyDescent="0.25">
      <c r="A497">
        <v>-40.590189000000002</v>
      </c>
      <c r="B497">
        <v>326.6285785</v>
      </c>
      <c r="C497">
        <v>0.31637799999999999</v>
      </c>
      <c r="D497">
        <v>-281.42781824999997</v>
      </c>
      <c r="E497">
        <v>50.960270999999999</v>
      </c>
      <c r="F497">
        <v>7.2602912499999999</v>
      </c>
      <c r="G497">
        <v>325.85144774999998</v>
      </c>
      <c r="H497">
        <v>40</v>
      </c>
      <c r="I497">
        <v>4</v>
      </c>
      <c r="J497">
        <v>1.18</v>
      </c>
      <c r="K497">
        <v>23.237550500000001</v>
      </c>
      <c r="L497">
        <v>-0.19290918966115819</v>
      </c>
      <c r="M497">
        <v>2.8687772660448352</v>
      </c>
      <c r="N497">
        <v>-1.296969500898679</v>
      </c>
      <c r="O497">
        <v>-0.79385255705496549</v>
      </c>
    </row>
    <row r="498" spans="1:15" x14ac:dyDescent="0.25">
      <c r="A498">
        <v>-71.944704000000002</v>
      </c>
      <c r="B498">
        <v>301.04678324999998</v>
      </c>
      <c r="C498">
        <v>30.123145999999998</v>
      </c>
      <c r="D498">
        <v>-261.06046275</v>
      </c>
      <c r="E498">
        <v>45.059558000000003</v>
      </c>
      <c r="F498">
        <v>6.6268459999999996</v>
      </c>
      <c r="G498">
        <v>301.6446535</v>
      </c>
      <c r="H498">
        <v>40</v>
      </c>
      <c r="I498">
        <v>8</v>
      </c>
      <c r="J498">
        <v>1.18</v>
      </c>
      <c r="K498">
        <v>22.361328499999999</v>
      </c>
      <c r="L498">
        <v>-0.48246030507658533</v>
      </c>
      <c r="M498">
        <v>2.6570962640348719</v>
      </c>
      <c r="N498">
        <v>-1.212977531593054</v>
      </c>
      <c r="O498">
        <v>-0.81837700603494778</v>
      </c>
    </row>
    <row r="499" spans="1:15" x14ac:dyDescent="0.25">
      <c r="A499">
        <v>-101.67766</v>
      </c>
      <c r="B499">
        <v>280.77228574999998</v>
      </c>
      <c r="C499">
        <v>51.936451249999998</v>
      </c>
      <c r="D499">
        <v>-246.63723775</v>
      </c>
      <c r="E499">
        <v>37.594405250000001</v>
      </c>
      <c r="F499">
        <v>6.3344865000000006</v>
      </c>
      <c r="G499">
        <v>283.11944575000001</v>
      </c>
      <c r="H499">
        <v>40</v>
      </c>
      <c r="I499">
        <v>12</v>
      </c>
      <c r="J499">
        <v>1.18</v>
      </c>
      <c r="K499">
        <v>21.659329249999999</v>
      </c>
      <c r="L499">
        <v>-0.72544461213574496</v>
      </c>
      <c r="M499">
        <v>2.4907028406311231</v>
      </c>
      <c r="N499">
        <v>-1.159500094019086</v>
      </c>
      <c r="O499">
        <v>-0.8523768983296891</v>
      </c>
    </row>
    <row r="500" spans="1:15" x14ac:dyDescent="0.25">
      <c r="A500">
        <v>-129.69873824999999</v>
      </c>
      <c r="B500">
        <v>262.47826375</v>
      </c>
      <c r="C500">
        <v>66.930276500000005</v>
      </c>
      <c r="D500">
        <v>-239.95011149999999</v>
      </c>
      <c r="E500">
        <v>27.625782999999998</v>
      </c>
      <c r="F500">
        <v>5.9934007500000002</v>
      </c>
      <c r="G500">
        <v>268.79543324999997</v>
      </c>
      <c r="H500">
        <v>40</v>
      </c>
      <c r="I500">
        <v>16</v>
      </c>
      <c r="J500">
        <v>1.18</v>
      </c>
      <c r="K500">
        <v>21.105138</v>
      </c>
      <c r="L500">
        <v>-0.92553999102480489</v>
      </c>
      <c r="M500">
        <v>2.3649459521819312</v>
      </c>
      <c r="N500">
        <v>-1.135201643861393</v>
      </c>
      <c r="O500">
        <v>-0.89818828183703114</v>
      </c>
    </row>
    <row r="501" spans="1:15" x14ac:dyDescent="0.25">
      <c r="A501">
        <v>-171.09968549999999</v>
      </c>
      <c r="B501">
        <v>260.81318675</v>
      </c>
      <c r="C501">
        <v>83.098318250000005</v>
      </c>
      <c r="D501">
        <v>-254.329632</v>
      </c>
      <c r="E501">
        <v>15.422283</v>
      </c>
      <c r="F501">
        <v>6.1395805000000001</v>
      </c>
      <c r="G501">
        <v>274.11692025000002</v>
      </c>
      <c r="H501">
        <v>40</v>
      </c>
      <c r="I501">
        <v>20</v>
      </c>
      <c r="J501">
        <v>1.18</v>
      </c>
      <c r="K501">
        <v>21.311924000000001</v>
      </c>
      <c r="L501">
        <v>-1.114240485827046</v>
      </c>
      <c r="M501">
        <v>2.2580683920530111</v>
      </c>
      <c r="N501">
        <v>-1.1339917445145189</v>
      </c>
      <c r="O501">
        <v>-0.95931700892784755</v>
      </c>
    </row>
    <row r="502" spans="1:15" x14ac:dyDescent="0.25">
      <c r="A502">
        <v>-219.85812000000001</v>
      </c>
      <c r="B502">
        <v>269.42209624999998</v>
      </c>
      <c r="C502">
        <v>102.42770400000001</v>
      </c>
      <c r="D502">
        <v>-285.62366500000002</v>
      </c>
      <c r="E502">
        <v>2.9948647500000001</v>
      </c>
      <c r="F502">
        <v>6.7242990000000002</v>
      </c>
      <c r="G502">
        <v>293.44234475000002</v>
      </c>
      <c r="H502">
        <v>40</v>
      </c>
      <c r="I502">
        <v>24</v>
      </c>
      <c r="J502">
        <v>1.18</v>
      </c>
      <c r="K502">
        <v>22.044548500000001</v>
      </c>
      <c r="L502">
        <v>-1.260242368563905</v>
      </c>
      <c r="M502">
        <v>2.170502932501126</v>
      </c>
      <c r="N502">
        <v>-1.1358591697352871</v>
      </c>
      <c r="O502">
        <v>-1.014602837825785</v>
      </c>
    </row>
    <row r="503" spans="1:15" x14ac:dyDescent="0.25">
      <c r="A503">
        <v>-274.82253250000002</v>
      </c>
      <c r="B503">
        <v>272.13426199999998</v>
      </c>
      <c r="C503">
        <v>117.87314975</v>
      </c>
      <c r="D503">
        <v>-325.79019925</v>
      </c>
      <c r="E503">
        <v>-15.744088</v>
      </c>
      <c r="F503">
        <v>6.9192049999999998</v>
      </c>
      <c r="G503">
        <v>310.88723800000002</v>
      </c>
      <c r="H503">
        <v>40</v>
      </c>
      <c r="I503">
        <v>28</v>
      </c>
      <c r="J503">
        <v>1.18</v>
      </c>
      <c r="K503">
        <v>22.69800875</v>
      </c>
      <c r="L503">
        <v>-1.3800071640393841</v>
      </c>
      <c r="M503">
        <v>2.1012158881133671</v>
      </c>
      <c r="N503">
        <v>-1.1478594624622811</v>
      </c>
      <c r="O503">
        <v>-1.0796350595662021</v>
      </c>
    </row>
    <row r="504" spans="1:15" x14ac:dyDescent="0.25">
      <c r="A504">
        <v>-320.43996425</v>
      </c>
      <c r="B504">
        <v>268.903595</v>
      </c>
      <c r="C504">
        <v>129.52497875</v>
      </c>
      <c r="D504">
        <v>-363.11575325000001</v>
      </c>
      <c r="E504">
        <v>-36.1266605</v>
      </c>
      <c r="F504">
        <v>7.3090175000000004</v>
      </c>
      <c r="G504">
        <v>324.85116599999998</v>
      </c>
      <c r="H504">
        <v>40</v>
      </c>
      <c r="I504">
        <v>32</v>
      </c>
      <c r="J504">
        <v>1.18</v>
      </c>
      <c r="K504">
        <v>23.199280999999999</v>
      </c>
      <c r="L504">
        <v>-1.472164869879059</v>
      </c>
      <c r="M504">
        <v>2.0678029794972939</v>
      </c>
      <c r="N504">
        <v>-1.1810538327078031</v>
      </c>
      <c r="O504">
        <v>-1.1421254482399401</v>
      </c>
    </row>
    <row r="505" spans="1:15" x14ac:dyDescent="0.25">
      <c r="A505">
        <v>-366.81750499999998</v>
      </c>
      <c r="B505">
        <v>260.29598225000001</v>
      </c>
      <c r="C505">
        <v>138.15094775</v>
      </c>
      <c r="D505">
        <v>-401.97106174999999</v>
      </c>
      <c r="E505">
        <v>-61.682924249999999</v>
      </c>
      <c r="F505">
        <v>7.4064707500000004</v>
      </c>
      <c r="G505">
        <v>338.45498650000002</v>
      </c>
      <c r="H505">
        <v>40</v>
      </c>
      <c r="I505">
        <v>36</v>
      </c>
      <c r="J505">
        <v>1.18</v>
      </c>
      <c r="K505">
        <v>23.687524249999999</v>
      </c>
      <c r="L505">
        <v>-1.5647927026626629</v>
      </c>
      <c r="M505">
        <v>2.0522865786295341</v>
      </c>
      <c r="N505">
        <v>-1.2400060926972769</v>
      </c>
      <c r="O505">
        <v>-1.2141367362312809</v>
      </c>
    </row>
    <row r="506" spans="1:15" x14ac:dyDescent="0.25">
      <c r="A506">
        <v>-372.38240825000003</v>
      </c>
      <c r="B506">
        <v>222.06489550000001</v>
      </c>
      <c r="C506">
        <v>127.22170825000001</v>
      </c>
      <c r="D506">
        <v>-396.81366750000001</v>
      </c>
      <c r="E506">
        <v>-83.314321500000005</v>
      </c>
      <c r="F506">
        <v>6.8704787500000002</v>
      </c>
      <c r="G506">
        <v>315.9686815</v>
      </c>
      <c r="H506">
        <v>40</v>
      </c>
      <c r="I506">
        <v>40</v>
      </c>
      <c r="J506">
        <v>1.18</v>
      </c>
      <c r="K506">
        <v>22.888711499999999</v>
      </c>
      <c r="L506">
        <v>-1.658340028855144</v>
      </c>
      <c r="M506">
        <v>2.0542667619544952</v>
      </c>
      <c r="N506">
        <v>-1.325458543040452</v>
      </c>
      <c r="O506">
        <v>-1.299427838201644</v>
      </c>
    </row>
    <row r="507" spans="1:15" x14ac:dyDescent="0.25">
      <c r="A507">
        <v>-370.42115050000001</v>
      </c>
      <c r="B507">
        <v>183.77963625000001</v>
      </c>
      <c r="C507">
        <v>114.5763185</v>
      </c>
      <c r="D507">
        <v>-385.05654924999999</v>
      </c>
      <c r="E507">
        <v>-104.58891300000001</v>
      </c>
      <c r="F507">
        <v>6.4319397499999997</v>
      </c>
      <c r="G507">
        <v>293.24228649999998</v>
      </c>
      <c r="H507">
        <v>40</v>
      </c>
      <c r="I507">
        <v>44</v>
      </c>
      <c r="J507">
        <v>1.18</v>
      </c>
      <c r="K507">
        <v>22.04810325</v>
      </c>
      <c r="L507">
        <v>-1.7755764581127851</v>
      </c>
      <c r="M507">
        <v>2.082513651652107</v>
      </c>
      <c r="N507">
        <v>-1.456467701042544</v>
      </c>
      <c r="O507">
        <v>-1.406449278375165</v>
      </c>
    </row>
    <row r="508" spans="1:15" x14ac:dyDescent="0.25">
      <c r="A508">
        <v>79.603376249999997</v>
      </c>
      <c r="B508">
        <v>156.40138999999999</v>
      </c>
      <c r="C508">
        <v>-387.40086350000001</v>
      </c>
      <c r="D508">
        <v>-384.31353000000001</v>
      </c>
      <c r="E508">
        <v>-163.37278724999999</v>
      </c>
      <c r="F508">
        <v>6.1395805000000001</v>
      </c>
      <c r="G508">
        <v>272.4364625</v>
      </c>
      <c r="H508">
        <v>44</v>
      </c>
      <c r="I508">
        <v>-44</v>
      </c>
      <c r="J508">
        <v>1.18</v>
      </c>
      <c r="K508">
        <v>21.245006249999999</v>
      </c>
      <c r="L508">
        <v>2.099064401211642</v>
      </c>
      <c r="M508">
        <v>2.430382218420188</v>
      </c>
      <c r="N508">
        <v>-1.958873463158751</v>
      </c>
      <c r="O508">
        <v>-1.761930321481171</v>
      </c>
    </row>
    <row r="509" spans="1:15" x14ac:dyDescent="0.25">
      <c r="A509">
        <v>82.135826000000009</v>
      </c>
      <c r="B509">
        <v>174.67697125000001</v>
      </c>
      <c r="C509">
        <v>-375.80636600000003</v>
      </c>
      <c r="D509">
        <v>-367.83609000000001</v>
      </c>
      <c r="E509">
        <v>-138.70853399999999</v>
      </c>
      <c r="F509">
        <v>6.0421275000000003</v>
      </c>
      <c r="G509">
        <v>271.63622275</v>
      </c>
      <c r="H509">
        <v>44</v>
      </c>
      <c r="I509">
        <v>-40</v>
      </c>
      <c r="J509">
        <v>1.18</v>
      </c>
      <c r="K509">
        <v>21.216926999999998</v>
      </c>
      <c r="L509">
        <v>1.9644788495959029</v>
      </c>
      <c r="M509">
        <v>2.3272890942660869</v>
      </c>
      <c r="N509">
        <v>-1.760335451011058</v>
      </c>
      <c r="O509">
        <v>-1.620972566900041</v>
      </c>
    </row>
    <row r="510" spans="1:15" x14ac:dyDescent="0.25">
      <c r="A510">
        <v>90.219899999999996</v>
      </c>
      <c r="B510">
        <v>209.2273825</v>
      </c>
      <c r="C510">
        <v>-390.55889124999999</v>
      </c>
      <c r="D510">
        <v>-383.00232675000001</v>
      </c>
      <c r="E510">
        <v>-124.6146755</v>
      </c>
      <c r="F510">
        <v>6.6268459999999996</v>
      </c>
      <c r="G510">
        <v>291.9219205</v>
      </c>
      <c r="H510">
        <v>44</v>
      </c>
      <c r="I510">
        <v>-36</v>
      </c>
      <c r="J510">
        <v>1.18</v>
      </c>
      <c r="K510">
        <v>21.98977</v>
      </c>
      <c r="L510">
        <v>1.83392942168826</v>
      </c>
      <c r="M510">
        <v>2.2590485533546159</v>
      </c>
      <c r="N510">
        <v>-1.5889761204517361</v>
      </c>
      <c r="O510">
        <v>-1.500660846327742</v>
      </c>
    </row>
    <row r="511" spans="1:15" x14ac:dyDescent="0.25">
      <c r="A511">
        <v>94.411049000000006</v>
      </c>
      <c r="B511">
        <v>240.51769675</v>
      </c>
      <c r="C511">
        <v>-384.96466824999999</v>
      </c>
      <c r="D511">
        <v>-388.11602775</v>
      </c>
      <c r="E511">
        <v>-108.73678975</v>
      </c>
      <c r="F511">
        <v>6.9192055000000003</v>
      </c>
      <c r="G511">
        <v>309.96698724999999</v>
      </c>
      <c r="H511">
        <v>44</v>
      </c>
      <c r="I511">
        <v>-32</v>
      </c>
      <c r="J511">
        <v>1.18</v>
      </c>
      <c r="K511">
        <v>22.663621249999998</v>
      </c>
      <c r="L511">
        <v>1.7256069625019099</v>
      </c>
      <c r="M511">
        <v>2.2629069201037741</v>
      </c>
      <c r="N511">
        <v>-1.5072442053443069</v>
      </c>
      <c r="O511">
        <v>-1.4163363649989671</v>
      </c>
    </row>
    <row r="512" spans="1:15" x14ac:dyDescent="0.25">
      <c r="A512">
        <v>91.065540249999998</v>
      </c>
      <c r="B512">
        <v>270.26887525000001</v>
      </c>
      <c r="C512">
        <v>-368.40752400000002</v>
      </c>
      <c r="D512">
        <v>-393.40454125000002</v>
      </c>
      <c r="E512">
        <v>-94.865936250000004</v>
      </c>
      <c r="F512">
        <v>7.0166585000000001</v>
      </c>
      <c r="G512">
        <v>323.77085849999997</v>
      </c>
      <c r="H512">
        <v>44</v>
      </c>
      <c r="I512">
        <v>-28</v>
      </c>
      <c r="J512">
        <v>1.18</v>
      </c>
      <c r="K512">
        <v>23.170480250000001</v>
      </c>
      <c r="L512">
        <v>1.606346557749025</v>
      </c>
      <c r="M512">
        <v>2.3202715169951929</v>
      </c>
      <c r="N512">
        <v>-1.4636416780067261</v>
      </c>
      <c r="O512">
        <v>-1.3562143054060061</v>
      </c>
    </row>
    <row r="513" spans="1:15" x14ac:dyDescent="0.25">
      <c r="A513">
        <v>88.465568500000003</v>
      </c>
      <c r="B513">
        <v>299.57690424999998</v>
      </c>
      <c r="C513">
        <v>-345.53432450000003</v>
      </c>
      <c r="D513">
        <v>-384.83800524999998</v>
      </c>
      <c r="E513">
        <v>-74.126556500000007</v>
      </c>
      <c r="F513">
        <v>7.6501035000000002</v>
      </c>
      <c r="G513">
        <v>337.73477174999999</v>
      </c>
      <c r="H513">
        <v>44</v>
      </c>
      <c r="I513">
        <v>-24</v>
      </c>
      <c r="J513">
        <v>1.18</v>
      </c>
      <c r="K513">
        <v>23.653013250000001</v>
      </c>
      <c r="L513">
        <v>1.491118564392331</v>
      </c>
      <c r="M513">
        <v>2.351464388848191</v>
      </c>
      <c r="N513">
        <v>-1.4150593827434299</v>
      </c>
      <c r="O513">
        <v>-1.2809705903616611</v>
      </c>
    </row>
    <row r="514" spans="1:15" x14ac:dyDescent="0.25">
      <c r="A514">
        <v>70.853544499999998</v>
      </c>
      <c r="B514">
        <v>292.65145875000002</v>
      </c>
      <c r="C514">
        <v>-283.6819155</v>
      </c>
      <c r="D514">
        <v>-330.64163224999999</v>
      </c>
      <c r="E514">
        <v>-51.870746750000002</v>
      </c>
      <c r="F514">
        <v>6.7730257500000004</v>
      </c>
      <c r="G514">
        <v>316.84892274999999</v>
      </c>
      <c r="H514">
        <v>44</v>
      </c>
      <c r="I514">
        <v>-20</v>
      </c>
      <c r="J514">
        <v>1.18</v>
      </c>
      <c r="K514">
        <v>22.9249005</v>
      </c>
      <c r="L514">
        <v>1.3887791344650029</v>
      </c>
      <c r="M514">
        <v>2.441631716506262</v>
      </c>
      <c r="N514">
        <v>-1.444456246582837</v>
      </c>
      <c r="O514">
        <v>-1.2297893897066829</v>
      </c>
    </row>
    <row r="515" spans="1:15" x14ac:dyDescent="0.25">
      <c r="A515">
        <v>54.523624499999997</v>
      </c>
      <c r="B515">
        <v>280.60845925000001</v>
      </c>
      <c r="C515">
        <v>-223.1378555</v>
      </c>
      <c r="D515">
        <v>-286.41038524999999</v>
      </c>
      <c r="E515">
        <v>-32.870798000000001</v>
      </c>
      <c r="F515">
        <v>6.7242990000000002</v>
      </c>
      <c r="G515">
        <v>294.80273425000001</v>
      </c>
      <c r="H515">
        <v>44</v>
      </c>
      <c r="I515">
        <v>-16</v>
      </c>
      <c r="J515">
        <v>1.18</v>
      </c>
      <c r="K515">
        <v>22.096779000000002</v>
      </c>
      <c r="L515">
        <v>1.2512719302654991</v>
      </c>
      <c r="M515">
        <v>2.5553109047887932</v>
      </c>
      <c r="N515">
        <v>-1.4767014125053479</v>
      </c>
      <c r="O515">
        <v>-1.1784521541765931</v>
      </c>
    </row>
    <row r="516" spans="1:15" x14ac:dyDescent="0.25">
      <c r="A516">
        <v>33.483964749999998</v>
      </c>
      <c r="B516">
        <v>271.73053725</v>
      </c>
      <c r="C516">
        <v>-173.28597250000001</v>
      </c>
      <c r="D516">
        <v>-263.46433999999999</v>
      </c>
      <c r="E516">
        <v>-21.943600249999999</v>
      </c>
      <c r="F516">
        <v>6.1395805000000001</v>
      </c>
      <c r="G516">
        <v>279.07831549999997</v>
      </c>
      <c r="H516">
        <v>44</v>
      </c>
      <c r="I516">
        <v>-12</v>
      </c>
      <c r="J516">
        <v>1.18</v>
      </c>
      <c r="K516">
        <v>21.508312499999999</v>
      </c>
      <c r="L516">
        <v>1.0526370990655829</v>
      </c>
      <c r="M516">
        <v>2.7246062473818231</v>
      </c>
      <c r="N516">
        <v>-1.532482712732022</v>
      </c>
      <c r="O516">
        <v>-1.1429756828753559</v>
      </c>
    </row>
    <row r="517" spans="1:15" x14ac:dyDescent="0.25">
      <c r="A517">
        <v>10.696398500000001</v>
      </c>
      <c r="B517">
        <v>259.41867050000002</v>
      </c>
      <c r="C517">
        <v>-129.7952995</v>
      </c>
      <c r="D517">
        <v>-248.56034124999999</v>
      </c>
      <c r="E517">
        <v>-16.814506250000001</v>
      </c>
      <c r="F517">
        <v>5.65231525</v>
      </c>
      <c r="G517">
        <v>261.99352249999998</v>
      </c>
      <c r="H517">
        <v>44</v>
      </c>
      <c r="I517">
        <v>-8</v>
      </c>
      <c r="J517">
        <v>1.18</v>
      </c>
      <c r="K517">
        <v>20.844093000000001</v>
      </c>
      <c r="L517">
        <v>0.81511568499962139</v>
      </c>
      <c r="M517">
        <v>2.9472167659682271</v>
      </c>
      <c r="N517">
        <v>-1.617654294536317</v>
      </c>
      <c r="O517">
        <v>-1.130380681326534</v>
      </c>
    </row>
    <row r="518" spans="1:15" x14ac:dyDescent="0.25">
      <c r="A518">
        <v>-12.478831749999999</v>
      </c>
      <c r="B518">
        <v>268.60437775000003</v>
      </c>
      <c r="C518">
        <v>-98.260052000000002</v>
      </c>
      <c r="D518">
        <v>-259.1810835</v>
      </c>
      <c r="E518">
        <v>-12.6220315</v>
      </c>
      <c r="F518">
        <v>5.9934007500000002</v>
      </c>
      <c r="G518">
        <v>269.55564900000002</v>
      </c>
      <c r="H518">
        <v>44</v>
      </c>
      <c r="I518">
        <v>-4</v>
      </c>
      <c r="J518">
        <v>1.18</v>
      </c>
      <c r="K518">
        <v>21.135620249999999</v>
      </c>
      <c r="L518">
        <v>0.5164689477659945</v>
      </c>
      <c r="M518">
        <v>3.1775487116101582</v>
      </c>
      <c r="N518">
        <v>-1.6988861805334701</v>
      </c>
      <c r="O518">
        <v>-1.112087704245603</v>
      </c>
    </row>
    <row r="519" spans="1:15" x14ac:dyDescent="0.25">
      <c r="A519">
        <v>-42.71012125</v>
      </c>
      <c r="B519">
        <v>289.55321500000002</v>
      </c>
      <c r="C519">
        <v>-73.131107499999999</v>
      </c>
      <c r="D519">
        <v>-279.76696774999999</v>
      </c>
      <c r="E519">
        <v>-14.361462250000001</v>
      </c>
      <c r="F519">
        <v>6.4319397499999997</v>
      </c>
      <c r="G519">
        <v>290.00138850000002</v>
      </c>
      <c r="H519">
        <v>44</v>
      </c>
      <c r="I519">
        <v>0</v>
      </c>
      <c r="J519">
        <v>1.18</v>
      </c>
      <c r="K519">
        <v>21.923171249999999</v>
      </c>
      <c r="L519">
        <v>0.18769513111053149</v>
      </c>
      <c r="M519">
        <v>3.5124369390104828</v>
      </c>
      <c r="N519">
        <v>-1.87777927849869</v>
      </c>
      <c r="O519">
        <v>-1.128286579092675</v>
      </c>
    </row>
    <row r="520" spans="1:15" x14ac:dyDescent="0.25">
      <c r="A520">
        <v>-82.070207499999995</v>
      </c>
      <c r="B520">
        <v>306.38484175000002</v>
      </c>
      <c r="C520">
        <v>-42.407919</v>
      </c>
      <c r="D520">
        <v>-295.63252249999999</v>
      </c>
      <c r="E520">
        <v>-17.572721000000001</v>
      </c>
      <c r="F520">
        <v>6.8704789999999996</v>
      </c>
      <c r="G520">
        <v>306.12591550000002</v>
      </c>
      <c r="H520">
        <v>44</v>
      </c>
      <c r="I520">
        <v>4</v>
      </c>
      <c r="J520">
        <v>1.18</v>
      </c>
      <c r="K520">
        <v>22.521373499999999</v>
      </c>
      <c r="L520">
        <v>-0.2315789097569145</v>
      </c>
      <c r="M520">
        <v>3.5150222227067571</v>
      </c>
      <c r="N520">
        <v>-1.890064616659354</v>
      </c>
      <c r="O520">
        <v>-1.1427879366371241</v>
      </c>
    </row>
    <row r="521" spans="1:15" x14ac:dyDescent="0.25">
      <c r="A521">
        <v>-121.49967175</v>
      </c>
      <c r="B521">
        <v>319.31777199999999</v>
      </c>
      <c r="C521">
        <v>-13.128408500000001</v>
      </c>
      <c r="D521">
        <v>-309.74979424999998</v>
      </c>
      <c r="E521">
        <v>-20.78397975</v>
      </c>
      <c r="F521">
        <v>6.7242990000000002</v>
      </c>
      <c r="G521">
        <v>320.85004425</v>
      </c>
      <c r="H521">
        <v>44</v>
      </c>
      <c r="I521">
        <v>8</v>
      </c>
      <c r="J521">
        <v>1.18</v>
      </c>
      <c r="K521">
        <v>23.074141749999999</v>
      </c>
      <c r="L521">
        <v>-0.55620780881671816</v>
      </c>
      <c r="M521">
        <v>3.228643583100657</v>
      </c>
      <c r="N521">
        <v>-1.7534303988590969</v>
      </c>
      <c r="O521">
        <v>-1.1411871958117641</v>
      </c>
    </row>
    <row r="522" spans="1:15" x14ac:dyDescent="0.25">
      <c r="A522">
        <v>-167.77661900000001</v>
      </c>
      <c r="B522">
        <v>331.19778450000001</v>
      </c>
      <c r="C522">
        <v>14.722861249999999</v>
      </c>
      <c r="D522">
        <v>-326.18354049999999</v>
      </c>
      <c r="E522">
        <v>-27.741704500000001</v>
      </c>
      <c r="F522">
        <v>7.1628377499999996</v>
      </c>
      <c r="G522">
        <v>335.81423949999999</v>
      </c>
      <c r="H522">
        <v>44</v>
      </c>
      <c r="I522">
        <v>12</v>
      </c>
      <c r="J522">
        <v>1.18</v>
      </c>
      <c r="K522">
        <v>23.601608500000001</v>
      </c>
      <c r="L522">
        <v>-0.83238297992823274</v>
      </c>
      <c r="M522">
        <v>2.998650296605224</v>
      </c>
      <c r="N522">
        <v>-1.658401756284857</v>
      </c>
      <c r="O522">
        <v>-1.1592541349159879</v>
      </c>
    </row>
    <row r="523" spans="1:15" x14ac:dyDescent="0.25">
      <c r="A523">
        <v>-199.15240474999999</v>
      </c>
      <c r="B523">
        <v>311.04953775000001</v>
      </c>
      <c r="C523">
        <v>35.903896250000003</v>
      </c>
      <c r="D523">
        <v>-316.13099675000001</v>
      </c>
      <c r="E523">
        <v>-33.941218749999997</v>
      </c>
      <c r="F523">
        <v>6.9192052500000001</v>
      </c>
      <c r="G523">
        <v>320.44992825000003</v>
      </c>
      <c r="H523">
        <v>44</v>
      </c>
      <c r="I523">
        <v>16</v>
      </c>
      <c r="J523">
        <v>1.18</v>
      </c>
      <c r="K523">
        <v>23.05226175</v>
      </c>
      <c r="L523">
        <v>-1.050731597532413</v>
      </c>
      <c r="M523">
        <v>2.8038635195020789</v>
      </c>
      <c r="N523">
        <v>-1.5844068522644199</v>
      </c>
      <c r="O523">
        <v>-1.1827134936623649</v>
      </c>
    </row>
    <row r="524" spans="1:15" x14ac:dyDescent="0.25">
      <c r="A524">
        <v>-221.01474775</v>
      </c>
      <c r="B524">
        <v>281.16582449999999</v>
      </c>
      <c r="C524">
        <v>52.117099750000001</v>
      </c>
      <c r="D524">
        <v>-303.49973325000002</v>
      </c>
      <c r="E524">
        <v>-42.0139675</v>
      </c>
      <c r="F524">
        <v>6.4806664999999999</v>
      </c>
      <c r="G524">
        <v>298.7638475</v>
      </c>
      <c r="H524">
        <v>44</v>
      </c>
      <c r="I524">
        <v>20</v>
      </c>
      <c r="J524">
        <v>1.18</v>
      </c>
      <c r="K524">
        <v>22.257459749999999</v>
      </c>
      <c r="L524">
        <v>-1.2401341971595761</v>
      </c>
      <c r="M524">
        <v>2.6546287488849818</v>
      </c>
      <c r="N524">
        <v>-1.5472871126927299</v>
      </c>
      <c r="O524">
        <v>-1.220180652539842</v>
      </c>
    </row>
    <row r="525" spans="1:15" x14ac:dyDescent="0.25">
      <c r="A525">
        <v>-239.69686899999999</v>
      </c>
      <c r="B525">
        <v>254.77110675</v>
      </c>
      <c r="C525">
        <v>60.517254999999999</v>
      </c>
      <c r="D525">
        <v>-296.41924275000002</v>
      </c>
      <c r="E525">
        <v>-52.049151499999986</v>
      </c>
      <c r="F525">
        <v>6.0908542499999996</v>
      </c>
      <c r="G525">
        <v>279.87854775</v>
      </c>
      <c r="H525">
        <v>44</v>
      </c>
      <c r="I525">
        <v>24</v>
      </c>
      <c r="J525">
        <v>1.18</v>
      </c>
      <c r="K525">
        <v>21.541717999999999</v>
      </c>
      <c r="L525">
        <v>-1.389841089738669</v>
      </c>
      <c r="M525">
        <v>2.5517316143536548</v>
      </c>
      <c r="N525">
        <v>-1.5366768696583359</v>
      </c>
      <c r="O525">
        <v>-1.2691713491329639</v>
      </c>
    </row>
    <row r="526" spans="1:15" x14ac:dyDescent="0.25">
      <c r="A526">
        <v>-257.758869</v>
      </c>
      <c r="B526">
        <v>230.09722525000001</v>
      </c>
      <c r="C526">
        <v>66.388330249999996</v>
      </c>
      <c r="D526">
        <v>-293.22864525</v>
      </c>
      <c r="E526">
        <v>-61.281517999999998</v>
      </c>
      <c r="F526">
        <v>5.8472210000000002</v>
      </c>
      <c r="G526">
        <v>264.5542375</v>
      </c>
      <c r="H526">
        <v>44</v>
      </c>
      <c r="I526">
        <v>28</v>
      </c>
      <c r="J526">
        <v>1.18</v>
      </c>
      <c r="K526">
        <v>20.94005525</v>
      </c>
      <c r="L526">
        <v>-1.51320435676333</v>
      </c>
      <c r="M526">
        <v>2.443009184526614</v>
      </c>
      <c r="N526">
        <v>-1.5210823858540521</v>
      </c>
      <c r="O526">
        <v>-1.3133632232322181</v>
      </c>
    </row>
    <row r="527" spans="1:15" x14ac:dyDescent="0.25">
      <c r="A527">
        <v>-312.150711</v>
      </c>
      <c r="B527">
        <v>231.07507699999999</v>
      </c>
      <c r="C527">
        <v>76.278833249999991</v>
      </c>
      <c r="D527">
        <v>-331.07870500000001</v>
      </c>
      <c r="E527">
        <v>-82.912914499999999</v>
      </c>
      <c r="F527">
        <v>6.2857597500000004</v>
      </c>
      <c r="G527">
        <v>282.27921300000003</v>
      </c>
      <c r="H527">
        <v>44</v>
      </c>
      <c r="I527">
        <v>32</v>
      </c>
      <c r="J527">
        <v>1.18</v>
      </c>
      <c r="K527">
        <v>21.62832375</v>
      </c>
      <c r="L527">
        <v>-1.6273068871341869</v>
      </c>
      <c r="M527">
        <v>2.35513148515038</v>
      </c>
      <c r="N527">
        <v>-1.5300108952296609</v>
      </c>
      <c r="O527">
        <v>-1.3737389836130911</v>
      </c>
    </row>
    <row r="528" spans="1:15" x14ac:dyDescent="0.25">
      <c r="A528">
        <v>-371.1246415</v>
      </c>
      <c r="B528">
        <v>228.04508200000001</v>
      </c>
      <c r="C528">
        <v>84.633827249999996</v>
      </c>
      <c r="D528">
        <v>-372.46899400000001</v>
      </c>
      <c r="E528">
        <v>-106.506748</v>
      </c>
      <c r="F528">
        <v>6.7730257500000004</v>
      </c>
      <c r="G528">
        <v>300.524338</v>
      </c>
      <c r="H528">
        <v>44</v>
      </c>
      <c r="I528">
        <v>36</v>
      </c>
      <c r="J528">
        <v>1.18</v>
      </c>
      <c r="K528">
        <v>22.313291249999999</v>
      </c>
      <c r="L528">
        <v>-1.7180143980699789</v>
      </c>
      <c r="M528">
        <v>2.2637614683330489</v>
      </c>
      <c r="N528">
        <v>-1.5344264387707509</v>
      </c>
      <c r="O528">
        <v>-1.427095767505812</v>
      </c>
    </row>
    <row r="529" spans="1:15" x14ac:dyDescent="0.25">
      <c r="A529">
        <v>-426.45315549999998</v>
      </c>
      <c r="B529">
        <v>218.7790565</v>
      </c>
      <c r="C529">
        <v>87.975828250000006</v>
      </c>
      <c r="D529">
        <v>-417.53067800000002</v>
      </c>
      <c r="E529">
        <v>-134.91746524999999</v>
      </c>
      <c r="F529">
        <v>6.9192055000000003</v>
      </c>
      <c r="G529">
        <v>315.44851699999998</v>
      </c>
      <c r="H529">
        <v>44</v>
      </c>
      <c r="I529">
        <v>40</v>
      </c>
      <c r="J529">
        <v>1.18</v>
      </c>
      <c r="K529">
        <v>22.86767425</v>
      </c>
      <c r="L529">
        <v>-1.7919894181682281</v>
      </c>
      <c r="M529">
        <v>2.216577337489718</v>
      </c>
      <c r="N529">
        <v>-1.5688636513007641</v>
      </c>
      <c r="O529">
        <v>-1.4940953969716091</v>
      </c>
    </row>
    <row r="530" spans="1:15" x14ac:dyDescent="0.25">
      <c r="A530">
        <v>-481.28169250000002</v>
      </c>
      <c r="B530">
        <v>204.02864074999999</v>
      </c>
      <c r="C530">
        <v>87.65968925</v>
      </c>
      <c r="D530">
        <v>-463.85980224999997</v>
      </c>
      <c r="E530">
        <v>-167.16385274999999</v>
      </c>
      <c r="F530">
        <v>7.3090177499999998</v>
      </c>
      <c r="G530">
        <v>329.21237975000003</v>
      </c>
      <c r="H530">
        <v>44</v>
      </c>
      <c r="I530">
        <v>44</v>
      </c>
      <c r="J530">
        <v>1.18</v>
      </c>
      <c r="K530">
        <v>23.358047500000001</v>
      </c>
      <c r="L530">
        <v>-1.862923316460487</v>
      </c>
      <c r="M530">
        <v>2.1869944446134428</v>
      </c>
      <c r="N530">
        <v>-1.6254032729207171</v>
      </c>
      <c r="O530">
        <v>-1.5713421409414909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R1</vt:lpstr>
      <vt:lpstr>R2</vt:lpstr>
      <vt:lpstr>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2026-10-07T14:43:13Z</dcterms:modified>
</cp:coreProperties>
</file>