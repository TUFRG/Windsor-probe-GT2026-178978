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2000\"/>
    </mc:Choice>
  </mc:AlternateContent>
  <xr:revisionPtr revIDLastSave="0" documentId="13_ncr:1_{29BB0FC9-78D2-45A7-B526-7110A7A8D4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R1" sheetId="2" r:id="rId2"/>
    <sheet name="R2" sheetId="3" r:id="rId3"/>
    <sheet name="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2" i="1"/>
  <c r="P6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K202" i="1"/>
  <c r="L202" i="1"/>
  <c r="M202" i="1"/>
  <c r="N202" i="1"/>
  <c r="K203" i="1"/>
  <c r="L203" i="1"/>
  <c r="M203" i="1"/>
  <c r="N203" i="1"/>
  <c r="K204" i="1"/>
  <c r="L204" i="1"/>
  <c r="M204" i="1"/>
  <c r="N204" i="1"/>
  <c r="K205" i="1"/>
  <c r="L205" i="1"/>
  <c r="M205" i="1"/>
  <c r="N205" i="1"/>
  <c r="K206" i="1"/>
  <c r="L206" i="1"/>
  <c r="M206" i="1"/>
  <c r="N206" i="1"/>
  <c r="K207" i="1"/>
  <c r="L207" i="1"/>
  <c r="M207" i="1"/>
  <c r="N207" i="1"/>
  <c r="K208" i="1"/>
  <c r="L208" i="1"/>
  <c r="M208" i="1"/>
  <c r="N208" i="1"/>
  <c r="K209" i="1"/>
  <c r="L209" i="1"/>
  <c r="M209" i="1"/>
  <c r="N209" i="1"/>
  <c r="K210" i="1"/>
  <c r="L210" i="1"/>
  <c r="M210" i="1"/>
  <c r="N210" i="1"/>
  <c r="K211" i="1"/>
  <c r="L211" i="1"/>
  <c r="M211" i="1"/>
  <c r="N211" i="1"/>
  <c r="K212" i="1"/>
  <c r="L212" i="1"/>
  <c r="M212" i="1"/>
  <c r="N212" i="1"/>
  <c r="K213" i="1"/>
  <c r="L213" i="1"/>
  <c r="M213" i="1"/>
  <c r="N213" i="1"/>
  <c r="K214" i="1"/>
  <c r="L214" i="1"/>
  <c r="M214" i="1"/>
  <c r="N214" i="1"/>
  <c r="K215" i="1"/>
  <c r="L215" i="1"/>
  <c r="M215" i="1"/>
  <c r="N215" i="1"/>
  <c r="K216" i="1"/>
  <c r="L216" i="1"/>
  <c r="M216" i="1"/>
  <c r="N216" i="1"/>
  <c r="K217" i="1"/>
  <c r="L217" i="1"/>
  <c r="M217" i="1"/>
  <c r="N217" i="1"/>
  <c r="K218" i="1"/>
  <c r="L218" i="1"/>
  <c r="M218" i="1"/>
  <c r="N218" i="1"/>
  <c r="K219" i="1"/>
  <c r="L219" i="1"/>
  <c r="M219" i="1"/>
  <c r="N219" i="1"/>
  <c r="K220" i="1"/>
  <c r="L220" i="1"/>
  <c r="M220" i="1"/>
  <c r="N220" i="1"/>
  <c r="K221" i="1"/>
  <c r="L221" i="1"/>
  <c r="M221" i="1"/>
  <c r="N221" i="1"/>
  <c r="K222" i="1"/>
  <c r="L222" i="1"/>
  <c r="M222" i="1"/>
  <c r="N222" i="1"/>
  <c r="K223" i="1"/>
  <c r="L223" i="1"/>
  <c r="M223" i="1"/>
  <c r="N223" i="1"/>
  <c r="K224" i="1"/>
  <c r="L224" i="1"/>
  <c r="M224" i="1"/>
  <c r="N224" i="1"/>
  <c r="K225" i="1"/>
  <c r="L225" i="1"/>
  <c r="M225" i="1"/>
  <c r="N225" i="1"/>
  <c r="K226" i="1"/>
  <c r="L226" i="1"/>
  <c r="M226" i="1"/>
  <c r="N226" i="1"/>
  <c r="K227" i="1"/>
  <c r="L227" i="1"/>
  <c r="M227" i="1"/>
  <c r="N227" i="1"/>
  <c r="K228" i="1"/>
  <c r="L228" i="1"/>
  <c r="M228" i="1"/>
  <c r="N228" i="1"/>
  <c r="K229" i="1"/>
  <c r="L229" i="1"/>
  <c r="M229" i="1"/>
  <c r="N229" i="1"/>
  <c r="K230" i="1"/>
  <c r="L230" i="1"/>
  <c r="M230" i="1"/>
  <c r="N230" i="1"/>
  <c r="K231" i="1"/>
  <c r="L231" i="1"/>
  <c r="M231" i="1"/>
  <c r="N231" i="1"/>
  <c r="K232" i="1"/>
  <c r="L232" i="1"/>
  <c r="M232" i="1"/>
  <c r="N232" i="1"/>
  <c r="K233" i="1"/>
  <c r="L233" i="1"/>
  <c r="M233" i="1"/>
  <c r="N233" i="1"/>
  <c r="K234" i="1"/>
  <c r="L234" i="1"/>
  <c r="M234" i="1"/>
  <c r="N234" i="1"/>
  <c r="K235" i="1"/>
  <c r="L235" i="1"/>
  <c r="M235" i="1"/>
  <c r="N235" i="1"/>
  <c r="K236" i="1"/>
  <c r="L236" i="1"/>
  <c r="M236" i="1"/>
  <c r="N236" i="1"/>
  <c r="K237" i="1"/>
  <c r="L237" i="1"/>
  <c r="M237" i="1"/>
  <c r="N237" i="1"/>
  <c r="K238" i="1"/>
  <c r="L238" i="1"/>
  <c r="M238" i="1"/>
  <c r="N238" i="1"/>
  <c r="K239" i="1"/>
  <c r="L239" i="1"/>
  <c r="M239" i="1"/>
  <c r="N239" i="1"/>
  <c r="K240" i="1"/>
  <c r="L240" i="1"/>
  <c r="M240" i="1"/>
  <c r="N240" i="1"/>
  <c r="K241" i="1"/>
  <c r="L241" i="1"/>
  <c r="M241" i="1"/>
  <c r="N241" i="1"/>
  <c r="K242" i="1"/>
  <c r="L242" i="1"/>
  <c r="M242" i="1"/>
  <c r="N242" i="1"/>
  <c r="K243" i="1"/>
  <c r="L243" i="1"/>
  <c r="M243" i="1"/>
  <c r="N243" i="1"/>
  <c r="K244" i="1"/>
  <c r="L244" i="1"/>
  <c r="M244" i="1"/>
  <c r="N244" i="1"/>
  <c r="K245" i="1"/>
  <c r="L245" i="1"/>
  <c r="M245" i="1"/>
  <c r="N245" i="1"/>
  <c r="K246" i="1"/>
  <c r="L246" i="1"/>
  <c r="M246" i="1"/>
  <c r="N246" i="1"/>
  <c r="K247" i="1"/>
  <c r="L247" i="1"/>
  <c r="M247" i="1"/>
  <c r="N247" i="1"/>
  <c r="K248" i="1"/>
  <c r="L248" i="1"/>
  <c r="M248" i="1"/>
  <c r="N248" i="1"/>
  <c r="K249" i="1"/>
  <c r="L249" i="1"/>
  <c r="M249" i="1"/>
  <c r="N249" i="1"/>
  <c r="K250" i="1"/>
  <c r="L250" i="1"/>
  <c r="M250" i="1"/>
  <c r="N250" i="1"/>
  <c r="K251" i="1"/>
  <c r="L251" i="1"/>
  <c r="M251" i="1"/>
  <c r="N251" i="1"/>
  <c r="K252" i="1"/>
  <c r="L252" i="1"/>
  <c r="M252" i="1"/>
  <c r="N252" i="1"/>
  <c r="K253" i="1"/>
  <c r="L253" i="1"/>
  <c r="M253" i="1"/>
  <c r="N253" i="1"/>
  <c r="K254" i="1"/>
  <c r="L254" i="1"/>
  <c r="M254" i="1"/>
  <c r="N254" i="1"/>
  <c r="K255" i="1"/>
  <c r="L255" i="1"/>
  <c r="M255" i="1"/>
  <c r="N255" i="1"/>
  <c r="K256" i="1"/>
  <c r="L256" i="1"/>
  <c r="M256" i="1"/>
  <c r="N256" i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L2" i="1"/>
  <c r="Q4" i="1" s="1"/>
  <c r="M2" i="1"/>
  <c r="N2" i="1"/>
  <c r="K2" i="1"/>
  <c r="P4" i="1" s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E529" i="1"/>
  <c r="F529" i="1"/>
  <c r="G529" i="1"/>
  <c r="H529" i="1"/>
  <c r="D530" i="1"/>
  <c r="E530" i="1"/>
  <c r="F530" i="1"/>
  <c r="G530" i="1"/>
  <c r="H530" i="1"/>
  <c r="D2" i="1"/>
  <c r="E2" i="1"/>
  <c r="F2" i="1"/>
  <c r="G2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2" i="1"/>
  <c r="B9" i="1"/>
  <c r="B11" i="1"/>
  <c r="B29" i="1"/>
  <c r="B31" i="1"/>
  <c r="B49" i="1"/>
  <c r="B51" i="1"/>
  <c r="B69" i="1"/>
  <c r="B71" i="1"/>
  <c r="B89" i="1"/>
  <c r="B91" i="1"/>
  <c r="B109" i="1"/>
  <c r="B111" i="1"/>
  <c r="B129" i="1"/>
  <c r="B131" i="1"/>
  <c r="B149" i="1"/>
  <c r="B151" i="1"/>
  <c r="B169" i="1"/>
  <c r="B171" i="1"/>
  <c r="B189" i="1"/>
  <c r="B191" i="1"/>
  <c r="B209" i="1"/>
  <c r="B211" i="1"/>
  <c r="B229" i="1"/>
  <c r="B231" i="1"/>
  <c r="B249" i="1"/>
  <c r="B251" i="1"/>
  <c r="B269" i="1"/>
  <c r="B271" i="1"/>
  <c r="B289" i="1"/>
  <c r="B291" i="1"/>
  <c r="B309" i="1"/>
  <c r="B311" i="1"/>
  <c r="B329" i="1"/>
  <c r="B331" i="1"/>
  <c r="B349" i="1"/>
  <c r="B351" i="1"/>
  <c r="B369" i="1"/>
  <c r="B371" i="1"/>
  <c r="B389" i="1"/>
  <c r="B391" i="1"/>
  <c r="B409" i="1"/>
  <c r="B411" i="1"/>
  <c r="B429" i="1"/>
  <c r="B431" i="1"/>
  <c r="B449" i="1"/>
  <c r="B451" i="1"/>
  <c r="B469" i="1"/>
  <c r="B471" i="1"/>
  <c r="B489" i="1"/>
  <c r="B491" i="1"/>
  <c r="B509" i="1"/>
  <c r="B511" i="1"/>
  <c r="B529" i="1"/>
  <c r="B2" i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A10" i="1"/>
  <c r="B10" i="1" s="1"/>
  <c r="A11" i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A30" i="1"/>
  <c r="B30" i="1" s="1"/>
  <c r="A31" i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A50" i="1"/>
  <c r="B50" i="1" s="1"/>
  <c r="A51" i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A70" i="1"/>
  <c r="B70" i="1" s="1"/>
  <c r="A71" i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A90" i="1"/>
  <c r="B90" i="1" s="1"/>
  <c r="A91" i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A110" i="1"/>
  <c r="B110" i="1" s="1"/>
  <c r="A111" i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A130" i="1"/>
  <c r="B130" i="1" s="1"/>
  <c r="A131" i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A150" i="1"/>
  <c r="B150" i="1" s="1"/>
  <c r="A151" i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A170" i="1"/>
  <c r="B170" i="1" s="1"/>
  <c r="A171" i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A190" i="1"/>
  <c r="B190" i="1" s="1"/>
  <c r="A191" i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A210" i="1"/>
  <c r="B210" i="1" s="1"/>
  <c r="A211" i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A230" i="1"/>
  <c r="B230" i="1" s="1"/>
  <c r="A231" i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A250" i="1"/>
  <c r="B250" i="1" s="1"/>
  <c r="A251" i="1"/>
  <c r="A252" i="1"/>
  <c r="B252" i="1" s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A270" i="1"/>
  <c r="B270" i="1" s="1"/>
  <c r="A271" i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A290" i="1"/>
  <c r="B290" i="1" s="1"/>
  <c r="A291" i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A310" i="1"/>
  <c r="B310" i="1" s="1"/>
  <c r="A311" i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A330" i="1"/>
  <c r="B330" i="1" s="1"/>
  <c r="A331" i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A350" i="1"/>
  <c r="B350" i="1" s="1"/>
  <c r="A351" i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A370" i="1"/>
  <c r="B370" i="1" s="1"/>
  <c r="A371" i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A390" i="1"/>
  <c r="B390" i="1" s="1"/>
  <c r="A391" i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B408" i="1" s="1"/>
  <c r="A409" i="1"/>
  <c r="A410" i="1"/>
  <c r="B410" i="1" s="1"/>
  <c r="A411" i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A430" i="1"/>
  <c r="B430" i="1" s="1"/>
  <c r="A431" i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A450" i="1"/>
  <c r="B450" i="1" s="1"/>
  <c r="A451" i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B466" i="1" s="1"/>
  <c r="A467" i="1"/>
  <c r="B467" i="1" s="1"/>
  <c r="A468" i="1"/>
  <c r="B468" i="1" s="1"/>
  <c r="A469" i="1"/>
  <c r="A470" i="1"/>
  <c r="B470" i="1" s="1"/>
  <c r="A471" i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A490" i="1"/>
  <c r="B490" i="1" s="1"/>
  <c r="A491" i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A498" i="1"/>
  <c r="B498" i="1" s="1"/>
  <c r="A499" i="1"/>
  <c r="B499" i="1" s="1"/>
  <c r="A500" i="1"/>
  <c r="B500" i="1" s="1"/>
  <c r="A501" i="1"/>
  <c r="B501" i="1" s="1"/>
  <c r="A502" i="1"/>
  <c r="B502" i="1" s="1"/>
  <c r="A503" i="1"/>
  <c r="B503" i="1" s="1"/>
  <c r="A504" i="1"/>
  <c r="B504" i="1" s="1"/>
  <c r="A505" i="1"/>
  <c r="B505" i="1" s="1"/>
  <c r="A506" i="1"/>
  <c r="B506" i="1" s="1"/>
  <c r="A507" i="1"/>
  <c r="B507" i="1" s="1"/>
  <c r="A508" i="1"/>
  <c r="B508" i="1" s="1"/>
  <c r="A509" i="1"/>
  <c r="A510" i="1"/>
  <c r="B510" i="1" s="1"/>
  <c r="A511" i="1"/>
  <c r="A512" i="1"/>
  <c r="B512" i="1" s="1"/>
  <c r="A513" i="1"/>
  <c r="B513" i="1" s="1"/>
  <c r="A514" i="1"/>
  <c r="B514" i="1" s="1"/>
  <c r="A515" i="1"/>
  <c r="B515" i="1" s="1"/>
  <c r="A516" i="1"/>
  <c r="B516" i="1" s="1"/>
  <c r="A517" i="1"/>
  <c r="B517" i="1" s="1"/>
  <c r="A518" i="1"/>
  <c r="B518" i="1" s="1"/>
  <c r="A519" i="1"/>
  <c r="B519" i="1" s="1"/>
  <c r="A520" i="1"/>
  <c r="B520" i="1" s="1"/>
  <c r="A521" i="1"/>
  <c r="B521" i="1" s="1"/>
  <c r="A522" i="1"/>
  <c r="B522" i="1" s="1"/>
  <c r="A523" i="1"/>
  <c r="B523" i="1" s="1"/>
  <c r="A524" i="1"/>
  <c r="B524" i="1" s="1"/>
  <c r="A525" i="1"/>
  <c r="B525" i="1" s="1"/>
  <c r="A526" i="1"/>
  <c r="B526" i="1" s="1"/>
  <c r="A527" i="1"/>
  <c r="B527" i="1" s="1"/>
  <c r="A528" i="1"/>
  <c r="B528" i="1" s="1"/>
  <c r="A529" i="1"/>
  <c r="A530" i="1"/>
  <c r="B530" i="1" s="1"/>
  <c r="A2" i="1"/>
  <c r="S4" i="1" l="1"/>
  <c r="R4" i="1"/>
  <c r="Q2" i="1"/>
  <c r="P2" i="1"/>
  <c r="S2" i="1"/>
  <c r="R2" i="1"/>
  <c r="P3" i="1"/>
  <c r="S3" i="1"/>
  <c r="R3" i="1"/>
  <c r="Q3" i="1"/>
  <c r="Q6" i="1" l="1"/>
  <c r="R6" i="1"/>
  <c r="S6" i="1"/>
</calcChain>
</file>

<file path=xl/sharedStrings.xml><?xml version="1.0" encoding="utf-8"?>
<sst xmlns="http://schemas.openxmlformats.org/spreadsheetml/2006/main" count="58" uniqueCount="17">
  <si>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</si>
  <si>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</si>
  <si>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</si>
  <si>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</si>
  <si>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</si>
  <si>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</si>
  <si>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</si>
  <si>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</si>
  <si>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</si>
  <si>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</si>
  <si>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</si>
  <si>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</si>
  <si>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</si>
  <si>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</si>
  <si>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</si>
  <si>
    <t>Re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</si>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</sst>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0"/>
  <sheetViews>
    <sheetView tabSelected="1" workbookViewId="0">
      <selection activeCell="P7" sqref="P7"/>
    </sheetView>
  </sheetViews>
  <sheetFormatPr defaultRowHeight="15" x14ac:dyDescent="0.25"/>
  <cols>
    <col min="4" max="4" width="13.140625" bestFit="1" customWidth="1"/>
    <col min="16" max="16" width="12" bestFit="1" customWidth="1"/>
  </cols>
  <sheetData>
    <row r="1" spans="1:1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9" x14ac:dyDescent="0.25">
      <c r="A2">
        <f>-'R1'!H2</f>
        <v>44</v>
      </c>
      <c r="B2">
        <f>DEGREES(ATAN(-SIN(RADIANS(('R1'!I2)))/(COS(RADIANS(Sheet1!A2))*COS(RADIANS('R1'!I2)))))</f>
        <v>53.317641506405714</v>
      </c>
      <c r="C2">
        <f>AVERAGE('R1'!J2,'R2'!J2,'R3'!J2)</f>
        <v>1.18</v>
      </c>
      <c r="D2">
        <f>AVERAGE('R1'!K2,'R2'!K2,'R3'!K2)</f>
        <v>11.205171083333333</v>
      </c>
      <c r="E2">
        <f>AVERAGE('R1'!L2,'R2'!L2,'R3'!L2)</f>
        <v>2.4248788555592444</v>
      </c>
      <c r="F2">
        <f>AVERAGE('R1'!M2,'R2'!M2,'R3'!M2)</f>
        <v>-2.8568590517829846</v>
      </c>
      <c r="G2">
        <f>AVERAGE('R1'!N2,'R2'!N2,'R3'!N2)</f>
        <v>-2.5755184839527936</v>
      </c>
      <c r="H2">
        <f>AVERAGE('R1'!O2,'R2'!O2,'R3'!O2)</f>
        <v>-2.030433127832183</v>
      </c>
      <c r="I2">
        <f>10^5*C2*D2*0.003/1.8</f>
        <v>2203.683646388889</v>
      </c>
      <c r="K2">
        <f>_xlfn.STDEV.S('R1'!L2,'R2'!L2,'R3'!L2)</f>
        <v>2.8745660587909023E-2</v>
      </c>
      <c r="L2">
        <f>_xlfn.STDEV.S('R1'!M2,'R2'!M2,'R3'!M2)</f>
        <v>1.949776531195313E-2</v>
      </c>
      <c r="M2">
        <f>_xlfn.STDEV.S('R1'!N2,'R2'!N2,'R3'!N2)</f>
        <v>4.1245939772535066E-2</v>
      </c>
      <c r="N2">
        <f>_xlfn.STDEV.S('R1'!O2,'R2'!O2,'R3'!O2)</f>
        <v>1.9744273664761332E-2</v>
      </c>
      <c r="P2">
        <f>MAX(K:K)</f>
        <v>0.26996167184967867</v>
      </c>
      <c r="Q2">
        <f t="shared" ref="Q2:S2" si="0">MAX(L:L)</f>
        <v>0.10446791139804584</v>
      </c>
      <c r="R2">
        <f t="shared" si="0"/>
        <v>0.2559890731628745</v>
      </c>
      <c r="S2">
        <f t="shared" si="0"/>
        <v>7.2178321359838954E-2</v>
      </c>
    </row>
    <row r="3" spans="1:19" x14ac:dyDescent="0.25">
      <c r="A3">
        <f>-'R1'!H3</f>
        <v>44</v>
      </c>
      <c r="B3">
        <f>DEGREES(ATAN(-SIN(RADIANS(('R1'!I3)))/(COS(RADIANS(Sheet1!A3))*COS(RADIANS('R1'!I3)))))</f>
        <v>49.394314915379752</v>
      </c>
      <c r="C3">
        <f>AVERAGE('R1'!J3,'R2'!J3,'R3'!J3)</f>
        <v>1.1816666666666666</v>
      </c>
      <c r="D3">
        <f>AVERAGE('R1'!K3,'R2'!K3,'R3'!K3)</f>
        <v>11.243912333333332</v>
      </c>
      <c r="E3">
        <f>AVERAGE('R1'!L3,'R2'!L3,'R3'!L3)</f>
        <v>2.2710880278200718</v>
      </c>
      <c r="F3">
        <f>AVERAGE('R1'!M3,'R2'!M3,'R3'!M3)</f>
        <v>-2.7965033537482049</v>
      </c>
      <c r="G3">
        <f>AVERAGE('R1'!N3,'R2'!N3,'R3'!N3)</f>
        <v>-2.3772541364695523</v>
      </c>
      <c r="H3">
        <f>AVERAGE('R1'!O3,'R2'!O3,'R3'!O3)</f>
        <v>-1.8790329260106915</v>
      </c>
      <c r="I3">
        <f t="shared" ref="I3:I66" si="1">10^5*C3*D3*0.003/1.8</f>
        <v>2214.4260678703704</v>
      </c>
      <c r="K3">
        <f>_xlfn.STDEV.S('R1'!L3,'R2'!L3,'R3'!L3)</f>
        <v>1.7246967937724338E-2</v>
      </c>
      <c r="L3">
        <f>_xlfn.STDEV.S('R1'!M3,'R2'!M3,'R3'!M3)</f>
        <v>2.8713087585076541E-2</v>
      </c>
      <c r="M3">
        <f>_xlfn.STDEV.S('R1'!N3,'R2'!N3,'R3'!N3)</f>
        <v>3.4014503728046042E-2</v>
      </c>
      <c r="N3">
        <f>_xlfn.STDEV.S('R1'!O3,'R2'!O3,'R3'!O3)</f>
        <v>1.8825819697145574E-2</v>
      </c>
      <c r="P3">
        <f>MIN(K:K)</f>
        <v>1.4267441488719857E-4</v>
      </c>
      <c r="Q3">
        <f t="shared" ref="Q3:S3" si="2">MIN(L:L)</f>
        <v>2.1950346039462619E-5</v>
      </c>
      <c r="R3">
        <f t="shared" si="2"/>
        <v>1.327553229500902E-3</v>
      </c>
      <c r="S3">
        <f t="shared" si="2"/>
        <v>7.1562047479120931E-4</v>
      </c>
    </row>
    <row r="4" spans="1:19" x14ac:dyDescent="0.25">
      <c r="A4">
        <f>-'R1'!H4</f>
        <v>44</v>
      </c>
      <c r="B4">
        <f>DEGREES(ATAN(-SIN(RADIANS(('R1'!I4)))/(COS(RADIANS(Sheet1!A4))*COS(RADIANS('R1'!I4)))))</f>
        <v>45.285419134418312</v>
      </c>
      <c r="C4">
        <f>AVERAGE('R1'!J4,'R2'!J4,'R3'!J4)</f>
        <v>1.1824999999999999</v>
      </c>
      <c r="D4">
        <f>AVERAGE('R1'!K4,'R2'!K4,'R3'!K4)</f>
        <v>11.267967666666665</v>
      </c>
      <c r="E4">
        <f>AVERAGE('R1'!L4,'R2'!L4,'R3'!L4)</f>
        <v>2.1422717144294414</v>
      </c>
      <c r="F4">
        <f>AVERAGE('R1'!M4,'R2'!M4,'R3'!M4)</f>
        <v>-2.7974309377687905</v>
      </c>
      <c r="G4">
        <f>AVERAGE('R1'!N4,'R2'!N4,'R3'!N4)</f>
        <v>-2.2604218232726896</v>
      </c>
      <c r="H4">
        <f>AVERAGE('R1'!O4,'R2'!O4,'R3'!O4)</f>
        <v>-1.7673743381804634</v>
      </c>
      <c r="I4">
        <f t="shared" si="1"/>
        <v>2220.7286276388882</v>
      </c>
      <c r="K4">
        <f>_xlfn.STDEV.S('R1'!L4,'R2'!L4,'R3'!L4)</f>
        <v>9.1774793416808959E-3</v>
      </c>
      <c r="L4">
        <f>_xlfn.STDEV.S('R1'!M4,'R2'!M4,'R3'!M4)</f>
        <v>6.1986609066564122E-3</v>
      </c>
      <c r="M4">
        <f>_xlfn.STDEV.S('R1'!N4,'R2'!N4,'R3'!N4)</f>
        <v>9.924585113492047E-3</v>
      </c>
      <c r="N4">
        <f>_xlfn.STDEV.S('R1'!O4,'R2'!O4,'R3'!O4)</f>
        <v>9.7236960092205969E-3</v>
      </c>
      <c r="P4">
        <f>AVERAGE(K:K)</f>
        <v>1.4816299182293406E-2</v>
      </c>
      <c r="Q4">
        <f t="shared" ref="Q4:S4" si="3">AVERAGE(L:L)</f>
        <v>1.3548083828481125E-2</v>
      </c>
      <c r="R4">
        <f t="shared" si="3"/>
        <v>1.9828486449396353E-2</v>
      </c>
      <c r="S4">
        <f t="shared" si="3"/>
        <v>9.9524287382339871E-3</v>
      </c>
    </row>
    <row r="5" spans="1:19" x14ac:dyDescent="0.25">
      <c r="A5">
        <f>-'R1'!H5</f>
        <v>44</v>
      </c>
      <c r="B5">
        <f>DEGREES(ATAN(-SIN(RADIANS(('R1'!I5)))/(COS(RADIANS(Sheet1!A5))*COS(RADIANS('R1'!I5)))))</f>
        <v>40.979886989205063</v>
      </c>
      <c r="C5">
        <f>AVERAGE('R1'!J5,'R2'!J5,'R3'!J5)</f>
        <v>1.18</v>
      </c>
      <c r="D5">
        <f>AVERAGE('R1'!K5,'R2'!K5,'R3'!K5)</f>
        <v>11.310466833333335</v>
      </c>
      <c r="E5">
        <f>AVERAGE('R1'!L5,'R2'!L5,'R3'!L5)</f>
        <v>1.9938024258424798</v>
      </c>
      <c r="F5">
        <f>AVERAGE('R1'!M5,'R2'!M5,'R3'!M5)</f>
        <v>-2.8377605301553879</v>
      </c>
      <c r="G5">
        <f>AVERAGE('R1'!N5,'R2'!N5,'R3'!N5)</f>
        <v>-2.1769148319607416</v>
      </c>
      <c r="H5">
        <f>AVERAGE('R1'!O5,'R2'!O5,'R3'!O5)</f>
        <v>-1.666446640116499</v>
      </c>
      <c r="I5">
        <f t="shared" si="1"/>
        <v>2224.3918105555558</v>
      </c>
      <c r="K5">
        <f>_xlfn.STDEV.S('R1'!L5,'R2'!L5,'R3'!L5)</f>
        <v>3.7192920396312617E-3</v>
      </c>
      <c r="L5">
        <f>_xlfn.STDEV.S('R1'!M5,'R2'!M5,'R3'!M5)</f>
        <v>5.7636244577244367E-3</v>
      </c>
      <c r="M5">
        <f>_xlfn.STDEV.S('R1'!N5,'R2'!N5,'R3'!N5)</f>
        <v>4.7139181336893253E-3</v>
      </c>
      <c r="N5">
        <f>_xlfn.STDEV.S('R1'!O5,'R2'!O5,'R3'!O5)</f>
        <v>7.2733302276934341E-3</v>
      </c>
    </row>
    <row r="6" spans="1:19" x14ac:dyDescent="0.25">
      <c r="A6">
        <f>-'R1'!H6</f>
        <v>44</v>
      </c>
      <c r="B6">
        <f>DEGREES(ATAN(-SIN(RADIANS(('R1'!I6)))/(COS(RADIANS(Sheet1!A6))*COS(RADIANS('R1'!I6)))))</f>
        <v>36.470444456761925</v>
      </c>
      <c r="C6">
        <f>AVERAGE('R1'!J6,'R2'!J6,'R3'!J6)</f>
        <v>1.18</v>
      </c>
      <c r="D6">
        <f>AVERAGE('R1'!K6,'R2'!K6,'R3'!K6)</f>
        <v>11.367135750000001</v>
      </c>
      <c r="E6">
        <f>AVERAGE('R1'!L6,'R2'!L6,'R3'!L6)</f>
        <v>1.869172112584998</v>
      </c>
      <c r="F6">
        <f>AVERAGE('R1'!M6,'R2'!M6,'R3'!M6)</f>
        <v>-2.9813828129847706</v>
      </c>
      <c r="G6">
        <f>AVERAGE('R1'!N6,'R2'!N6,'R3'!N6)</f>
        <v>-2.2052012298499819</v>
      </c>
      <c r="H6">
        <f>AVERAGE('R1'!O6,'R2'!O6,'R3'!O6)</f>
        <v>-1.6177538292214859</v>
      </c>
      <c r="I6">
        <f t="shared" si="1"/>
        <v>2235.5366975000002</v>
      </c>
      <c r="K6">
        <f>_xlfn.STDEV.S('R1'!L6,'R2'!L6,'R3'!L6)</f>
        <v>9.6787754206463465E-3</v>
      </c>
      <c r="L6">
        <f>_xlfn.STDEV.S('R1'!M6,'R2'!M6,'R3'!M6)</f>
        <v>8.9082372450305439E-3</v>
      </c>
      <c r="M6">
        <f>_xlfn.STDEV.S('R1'!N6,'R2'!N6,'R3'!N6)</f>
        <v>1.3572763157946234E-2</v>
      </c>
      <c r="N6">
        <f>_xlfn.STDEV.S('R1'!O6,'R2'!O6,'R3'!O6)</f>
        <v>1.654232483426946E-2</v>
      </c>
      <c r="P6">
        <f>AVERAGE(P2:P4)</f>
        <v>9.497354848228641E-2</v>
      </c>
      <c r="Q6">
        <f t="shared" ref="Q6:S6" si="4">AVERAGE(Q2:Q4)</f>
        <v>3.9345981857522146E-2</v>
      </c>
      <c r="R6">
        <f t="shared" si="4"/>
        <v>9.2381704280590574E-2</v>
      </c>
      <c r="S6">
        <f t="shared" si="4"/>
        <v>2.7615456857621384E-2</v>
      </c>
    </row>
    <row r="7" spans="1:19" x14ac:dyDescent="0.25">
      <c r="A7">
        <f>-'R1'!H7</f>
        <v>44</v>
      </c>
      <c r="B7">
        <f>DEGREES(ATAN(-SIN(RADIANS(('R1'!I7)))/(COS(RADIANS(Sheet1!A7))*COS(RADIANS('R1'!I7)))))</f>
        <v>31.755051399893443</v>
      </c>
      <c r="C7">
        <f>AVERAGE('R1'!J7,'R2'!J7,'R3'!J7)</f>
        <v>1.18</v>
      </c>
      <c r="D7">
        <f>AVERAGE('R1'!K7,'R2'!K7,'R3'!K7)</f>
        <v>11.382176000000001</v>
      </c>
      <c r="E7">
        <f>AVERAGE('R1'!L7,'R2'!L7,'R3'!L7)</f>
        <v>1.714497084405479</v>
      </c>
      <c r="F7">
        <f>AVERAGE('R1'!M7,'R2'!M7,'R3'!M7)</f>
        <v>-3.1534913633533495</v>
      </c>
      <c r="G7">
        <f>AVERAGE('R1'!N7,'R2'!N7,'R3'!N7)</f>
        <v>-2.2478322528374446</v>
      </c>
      <c r="H7">
        <f>AVERAGE('R1'!O7,'R2'!O7,'R3'!O7)</f>
        <v>-1.5733562403113941</v>
      </c>
      <c r="I7">
        <f t="shared" si="1"/>
        <v>2238.4946133333337</v>
      </c>
      <c r="K7">
        <f>_xlfn.STDEV.S('R1'!L7,'R2'!L7,'R3'!L7)</f>
        <v>1.0862344295003178E-2</v>
      </c>
      <c r="L7">
        <f>_xlfn.STDEV.S('R1'!M7,'R2'!M7,'R3'!M7)</f>
        <v>2.2563688090520249E-2</v>
      </c>
      <c r="M7">
        <f>_xlfn.STDEV.S('R1'!N7,'R2'!N7,'R3'!N7)</f>
        <v>2.9523726180156532E-2</v>
      </c>
      <c r="N7">
        <f>_xlfn.STDEV.S('R1'!O7,'R2'!O7,'R3'!O7)</f>
        <v>1.9993194928321332E-2</v>
      </c>
      <c r="P7">
        <f>AVERAGE(I:I)</f>
        <v>2235.1019236905977</v>
      </c>
    </row>
    <row r="8" spans="1:19" x14ac:dyDescent="0.25">
      <c r="A8">
        <f>-'R1'!H8</f>
        <v>44</v>
      </c>
      <c r="B8">
        <f>DEGREES(ATAN(-SIN(RADIANS(('R1'!I8)))/(COS(RADIANS(Sheet1!A8))*COS(RADIANS('R1'!I8)))))</f>
        <v>26.838414444764965</v>
      </c>
      <c r="C8">
        <f>AVERAGE('R1'!J8,'R2'!J8,'R3'!J8)</f>
        <v>1.18</v>
      </c>
      <c r="D8">
        <f>AVERAGE('R1'!K8,'R2'!K8,'R3'!K8)</f>
        <v>11.418752833333334</v>
      </c>
      <c r="E8">
        <f>AVERAGE('R1'!L8,'R2'!L8,'R3'!L8)</f>
        <v>1.52113090529268</v>
      </c>
      <c r="F8">
        <f>AVERAGE('R1'!M8,'R2'!M8,'R3'!M8)</f>
        <v>-3.3816934470425566</v>
      </c>
      <c r="G8">
        <f>AVERAGE('R1'!N8,'R2'!N8,'R3'!N8)</f>
        <v>-2.3329239621514257</v>
      </c>
      <c r="H8">
        <f>AVERAGE('R1'!O8,'R2'!O8,'R3'!O8)</f>
        <v>-1.5473548713134992</v>
      </c>
      <c r="I8">
        <f t="shared" si="1"/>
        <v>2245.6880572222226</v>
      </c>
      <c r="K8">
        <f>_xlfn.STDEV.S('R1'!L8,'R2'!L8,'R3'!L8)</f>
        <v>1.1945430805137257E-2</v>
      </c>
      <c r="L8">
        <f>_xlfn.STDEV.S('R1'!M8,'R2'!M8,'R3'!M8)</f>
        <v>3.9468450432243063E-2</v>
      </c>
      <c r="M8">
        <f>_xlfn.STDEV.S('R1'!N8,'R2'!N8,'R3'!N8)</f>
        <v>3.9287798928787171E-2</v>
      </c>
      <c r="N8">
        <f>_xlfn.STDEV.S('R1'!O8,'R2'!O8,'R3'!O8)</f>
        <v>1.5712964841749909E-2</v>
      </c>
    </row>
    <row r="9" spans="1:19" x14ac:dyDescent="0.25">
      <c r="A9">
        <f>-'R1'!H9</f>
        <v>44</v>
      </c>
      <c r="B9">
        <f>DEGREES(ATAN(-SIN(RADIANS(('R1'!I9)))/(COS(RADIANS(Sheet1!A9))*COS(RADIANS('R1'!I9)))))</f>
        <v>21.733362927744114</v>
      </c>
      <c r="C9">
        <f>AVERAGE('R1'!J9,'R2'!J9,'R3'!J9)</f>
        <v>1.18</v>
      </c>
      <c r="D9">
        <f>AVERAGE('R1'!K9,'R2'!K9,'R3'!K9)</f>
        <v>11.465278166666666</v>
      </c>
      <c r="E9">
        <f>AVERAGE('R1'!L9,'R2'!L9,'R3'!L9)</f>
        <v>1.2878882365709441</v>
      </c>
      <c r="F9">
        <f>AVERAGE('R1'!M9,'R2'!M9,'R3'!M9)</f>
        <v>-3.6237690244282987</v>
      </c>
      <c r="G9">
        <f>AVERAGE('R1'!N9,'R2'!N9,'R3'!N9)</f>
        <v>-2.4199551368883552</v>
      </c>
      <c r="H9">
        <f>AVERAGE('R1'!O9,'R2'!O9,'R3'!O9)</f>
        <v>-1.5130935024363625</v>
      </c>
      <c r="I9">
        <f t="shared" si="1"/>
        <v>2254.8380394444443</v>
      </c>
      <c r="K9">
        <f>_xlfn.STDEV.S('R1'!L9,'R2'!L9,'R3'!L9)</f>
        <v>1.3807180559894635E-2</v>
      </c>
      <c r="L9">
        <f>_xlfn.STDEV.S('R1'!M9,'R2'!M9,'R3'!M9)</f>
        <v>1.7393766494626359E-2</v>
      </c>
      <c r="M9">
        <f>_xlfn.STDEV.S('R1'!N9,'R2'!N9,'R3'!N9)</f>
        <v>8.7265330086790296E-3</v>
      </c>
      <c r="N9">
        <f>_xlfn.STDEV.S('R1'!O9,'R2'!O9,'R3'!O9)</f>
        <v>1.2242594932918183E-2</v>
      </c>
    </row>
    <row r="10" spans="1:19" x14ac:dyDescent="0.25">
      <c r="A10">
        <f>-'R1'!H10</f>
        <v>44</v>
      </c>
      <c r="B10">
        <f>DEGREES(ATAN(-SIN(RADIANS(('R1'!I10)))/(COS(RADIANS(Sheet1!A10))*COS(RADIANS('R1'!I10)))))</f>
        <v>16.461798422084197</v>
      </c>
      <c r="C10">
        <f>AVERAGE('R1'!J10,'R2'!J10,'R3'!J10)</f>
        <v>1.18</v>
      </c>
      <c r="D10">
        <f>AVERAGE('R1'!K10,'R2'!K10,'R3'!K10)</f>
        <v>11.472492000000001</v>
      </c>
      <c r="E10">
        <f>AVERAGE('R1'!L10,'R2'!L10,'R3'!L10)</f>
        <v>0.96412125625593037</v>
      </c>
      <c r="F10">
        <f>AVERAGE('R1'!M10,'R2'!M10,'R3'!M10)</f>
        <v>-3.996608410910131</v>
      </c>
      <c r="G10">
        <f>AVERAGE('R1'!N10,'R2'!N10,'R3'!N10)</f>
        <v>-2.5995721512521466</v>
      </c>
      <c r="H10">
        <f>AVERAGE('R1'!O10,'R2'!O10,'R3'!O10)</f>
        <v>-1.4969484646401006</v>
      </c>
      <c r="I10">
        <f t="shared" si="1"/>
        <v>2256.2567600000002</v>
      </c>
      <c r="K10">
        <f>_xlfn.STDEV.S('R1'!L10,'R2'!L10,'R3'!L10)</f>
        <v>1.2523086891600468E-2</v>
      </c>
      <c r="L10">
        <f>_xlfn.STDEV.S('R1'!M10,'R2'!M10,'R3'!M10)</f>
        <v>3.2417969409781748E-2</v>
      </c>
      <c r="M10">
        <f>_xlfn.STDEV.S('R1'!N10,'R2'!N10,'R3'!N10)</f>
        <v>2.3687358376242414E-2</v>
      </c>
      <c r="N10">
        <f>_xlfn.STDEV.S('R1'!O10,'R2'!O10,'R3'!O10)</f>
        <v>9.8637777289390296E-3</v>
      </c>
    </row>
    <row r="11" spans="1:19" x14ac:dyDescent="0.25">
      <c r="A11">
        <f>-'R1'!H11</f>
        <v>44</v>
      </c>
      <c r="B11">
        <f>DEGREES(ATAN(-SIN(RADIANS(('R1'!I11)))/(COS(RADIANS(Sheet1!A11))*COS(RADIANS('R1'!I11)))))</f>
        <v>11.054892671059431</v>
      </c>
      <c r="C11">
        <f>AVERAGE('R1'!J11,'R2'!J11,'R3'!J11)</f>
        <v>1.18</v>
      </c>
      <c r="D11">
        <f>AVERAGE('R1'!K11,'R2'!K11,'R3'!K11)</f>
        <v>11.512580666666665</v>
      </c>
      <c r="E11">
        <f>AVERAGE('R1'!L11,'R2'!L11,'R3'!L11)</f>
        <v>0.58968020565901635</v>
      </c>
      <c r="F11">
        <f>AVERAGE('R1'!M11,'R2'!M11,'R3'!M11)</f>
        <v>-4.4183498376709807</v>
      </c>
      <c r="G11">
        <f>AVERAGE('R1'!N11,'R2'!N11,'R3'!N11)</f>
        <v>-2.8225766154843122</v>
      </c>
      <c r="H11">
        <f>AVERAGE('R1'!O11,'R2'!O11,'R3'!O11)</f>
        <v>-1.4999441649580081</v>
      </c>
      <c r="I11">
        <f t="shared" si="1"/>
        <v>2264.1408644444441</v>
      </c>
      <c r="K11">
        <f>_xlfn.STDEV.S('R1'!L11,'R2'!L11,'R3'!L11)</f>
        <v>3.8629374906447973E-2</v>
      </c>
      <c r="L11">
        <f>_xlfn.STDEV.S('R1'!M11,'R2'!M11,'R3'!M11)</f>
        <v>4.4749532769660039E-2</v>
      </c>
      <c r="M11">
        <f>_xlfn.STDEV.S('R1'!N11,'R2'!N11,'R3'!N11)</f>
        <v>2.6018045965548825E-2</v>
      </c>
      <c r="N11">
        <f>_xlfn.STDEV.S('R1'!O11,'R2'!O11,'R3'!O11)</f>
        <v>1.6308464883393763E-2</v>
      </c>
    </row>
    <row r="12" spans="1:19" x14ac:dyDescent="0.25">
      <c r="A12">
        <f>-'R1'!H12</f>
        <v>44</v>
      </c>
      <c r="B12">
        <f>DEGREES(ATAN(-SIN(RADIANS(('R1'!I12)))/(COS(RADIANS(Sheet1!A12))*COS(RADIANS('R1'!I12)))))</f>
        <v>5.5522607339018597</v>
      </c>
      <c r="C12">
        <f>AVERAGE('R1'!J12,'R2'!J12,'R3'!J12)</f>
        <v>1.18</v>
      </c>
      <c r="D12">
        <f>AVERAGE('R1'!K12,'R2'!K12,'R3'!K12)</f>
        <v>11.526929916666667</v>
      </c>
      <c r="E12">
        <f>AVERAGE('R1'!L12,'R2'!L12,'R3'!L12)</f>
        <v>0.11413642367151722</v>
      </c>
      <c r="F12">
        <f>AVERAGE('R1'!M12,'R2'!M12,'R3'!M12)</f>
        <v>-4.9139980376514494</v>
      </c>
      <c r="G12">
        <f>AVERAGE('R1'!N12,'R2'!N12,'R3'!N12)</f>
        <v>-3.0875145985681729</v>
      </c>
      <c r="H12">
        <f>AVERAGE('R1'!O12,'R2'!O12,'R3'!O12)</f>
        <v>-1.5081248389660455</v>
      </c>
      <c r="I12">
        <f t="shared" si="1"/>
        <v>2266.962883611111</v>
      </c>
      <c r="K12">
        <f>_xlfn.STDEV.S('R1'!L12,'R2'!L12,'R3'!L12)</f>
        <v>2.9968450603401517E-2</v>
      </c>
      <c r="L12">
        <f>_xlfn.STDEV.S('R1'!M12,'R2'!M12,'R3'!M12)</f>
        <v>5.0010137262195095E-2</v>
      </c>
      <c r="M12">
        <f>_xlfn.STDEV.S('R1'!N12,'R2'!N12,'R3'!N12)</f>
        <v>3.7183327228427536E-2</v>
      </c>
      <c r="N12">
        <f>_xlfn.STDEV.S('R1'!O12,'R2'!O12,'R3'!O12)</f>
        <v>1.5989533292622572E-2</v>
      </c>
    </row>
    <row r="13" spans="1:19" x14ac:dyDescent="0.25">
      <c r="A13">
        <f>-'R1'!H13</f>
        <v>44</v>
      </c>
      <c r="B13">
        <f>DEGREES(ATAN(-SIN(RADIANS(('R1'!I13)))/(COS(RADIANS(Sheet1!A13))*COS(RADIANS('R1'!I13)))))</f>
        <v>0</v>
      </c>
      <c r="C13">
        <f>AVERAGE('R1'!J13,'R2'!J13,'R3'!J13)</f>
        <v>1.18</v>
      </c>
      <c r="D13">
        <f>AVERAGE('R1'!K13,'R2'!K13,'R3'!K13)</f>
        <v>11.4722025</v>
      </c>
      <c r="E13">
        <f>AVERAGE('R1'!L13,'R2'!L13,'R3'!L13)</f>
        <v>-0.3807855876330557</v>
      </c>
      <c r="F13">
        <f>AVERAGE('R1'!M13,'R2'!M13,'R3'!M13)</f>
        <v>-4.3977664841672466</v>
      </c>
      <c r="G13">
        <f>AVERAGE('R1'!N13,'R2'!N13,'R3'!N13)</f>
        <v>-2.717896426272858</v>
      </c>
      <c r="H13">
        <f>AVERAGE('R1'!O13,'R2'!O13,'R3'!O13)</f>
        <v>-1.4009414331400738</v>
      </c>
      <c r="I13">
        <f t="shared" si="1"/>
        <v>2256.1998250000001</v>
      </c>
      <c r="K13">
        <f>_xlfn.STDEV.S('R1'!L13,'R2'!L13,'R3'!L13)</f>
        <v>1.2091284781511622E-2</v>
      </c>
      <c r="L13">
        <f>_xlfn.STDEV.S('R1'!M13,'R2'!M13,'R3'!M13)</f>
        <v>4.0531819603981958E-2</v>
      </c>
      <c r="M13">
        <f>_xlfn.STDEV.S('R1'!N13,'R2'!N13,'R3'!N13)</f>
        <v>3.7553655400608059E-2</v>
      </c>
      <c r="N13">
        <f>_xlfn.STDEV.S('R1'!O13,'R2'!O13,'R3'!O13)</f>
        <v>3.1660857737296939E-2</v>
      </c>
    </row>
    <row r="14" spans="1:19" x14ac:dyDescent="0.25">
      <c r="A14">
        <f>-'R1'!H14</f>
        <v>44</v>
      </c>
      <c r="B14">
        <f>DEGREES(ATAN(-SIN(RADIANS(('R1'!I14)))/(COS(RADIANS(Sheet1!A14))*COS(RADIANS('R1'!I14)))))</f>
        <v>-5.5522607339018597</v>
      </c>
      <c r="C14">
        <f>AVERAGE('R1'!J14,'R2'!J14,'R3'!J14)</f>
        <v>1.18</v>
      </c>
      <c r="D14">
        <f>AVERAGE('R1'!K14,'R2'!K14,'R3'!K14)</f>
        <v>11.453983416666667</v>
      </c>
      <c r="E14">
        <f>AVERAGE('R1'!L14,'R2'!L14,'R3'!L14)</f>
        <v>-0.76406013436522746</v>
      </c>
      <c r="F14">
        <f>AVERAGE('R1'!M14,'R2'!M14,'R3'!M14)</f>
        <v>-3.9200751935825076</v>
      </c>
      <c r="G14">
        <f>AVERAGE('R1'!N14,'R2'!N14,'R3'!N14)</f>
        <v>-2.4404115698401356</v>
      </c>
      <c r="H14">
        <f>AVERAGE('R1'!O14,'R2'!O14,'R3'!O14)</f>
        <v>-1.3791528155873507</v>
      </c>
      <c r="I14">
        <f t="shared" si="1"/>
        <v>2252.616738611111</v>
      </c>
      <c r="K14">
        <f>_xlfn.STDEV.S('R1'!L14,'R2'!L14,'R3'!L14)</f>
        <v>2.2593495759771997E-2</v>
      </c>
      <c r="L14">
        <f>_xlfn.STDEV.S('R1'!M14,'R2'!M14,'R3'!M14)</f>
        <v>2.1296965409687587E-2</v>
      </c>
      <c r="M14">
        <f>_xlfn.STDEV.S('R1'!N14,'R2'!N14,'R3'!N14)</f>
        <v>1.3874050219988335E-2</v>
      </c>
      <c r="N14">
        <f>_xlfn.STDEV.S('R1'!O14,'R2'!O14,'R3'!O14)</f>
        <v>1.7511492271881885E-2</v>
      </c>
    </row>
    <row r="15" spans="1:19" x14ac:dyDescent="0.25">
      <c r="A15">
        <f>-'R1'!H15</f>
        <v>44</v>
      </c>
      <c r="B15">
        <f>DEGREES(ATAN(-SIN(RADIANS(('R1'!I15)))/(COS(RADIANS(Sheet1!A15))*COS(RADIANS('R1'!I15)))))</f>
        <v>-11.054892671059431</v>
      </c>
      <c r="C15">
        <f>AVERAGE('R1'!J15,'R2'!J15,'R3'!J15)</f>
        <v>1.18</v>
      </c>
      <c r="D15">
        <f>AVERAGE('R1'!K15,'R2'!K15,'R3'!K15)</f>
        <v>11.391063000000001</v>
      </c>
      <c r="E15">
        <f>AVERAGE('R1'!L15,'R2'!L15,'R3'!L15)</f>
        <v>-1.0480598097824272</v>
      </c>
      <c r="F15">
        <f>AVERAGE('R1'!M15,'R2'!M15,'R3'!M15)</f>
        <v>-3.5094642811378702</v>
      </c>
      <c r="G15">
        <f>AVERAGE('R1'!N15,'R2'!N15,'R3'!N15)</f>
        <v>-2.2000216680189166</v>
      </c>
      <c r="H15">
        <f>AVERAGE('R1'!O15,'R2'!O15,'R3'!O15)</f>
        <v>-1.350747826996644</v>
      </c>
      <c r="I15">
        <f t="shared" si="1"/>
        <v>2240.2423900000003</v>
      </c>
      <c r="K15">
        <f>_xlfn.STDEV.S('R1'!L15,'R2'!L15,'R3'!L15)</f>
        <v>6.8614518485506093E-3</v>
      </c>
      <c r="L15">
        <f>_xlfn.STDEV.S('R1'!M15,'R2'!M15,'R3'!M15)</f>
        <v>3.2753117324252852E-2</v>
      </c>
      <c r="M15">
        <f>_xlfn.STDEV.S('R1'!N15,'R2'!N15,'R3'!N15)</f>
        <v>2.6567197024325709E-2</v>
      </c>
      <c r="N15">
        <f>_xlfn.STDEV.S('R1'!O15,'R2'!O15,'R3'!O15)</f>
        <v>1.1969653059582586E-2</v>
      </c>
    </row>
    <row r="16" spans="1:19" x14ac:dyDescent="0.25">
      <c r="A16">
        <f>-'R1'!H16</f>
        <v>44</v>
      </c>
      <c r="B16">
        <f>DEGREES(ATAN(-SIN(RADIANS(('R1'!I16)))/(COS(RADIANS(Sheet1!A16))*COS(RADIANS('R1'!I16)))))</f>
        <v>-16.461798422084197</v>
      </c>
      <c r="C16">
        <f>AVERAGE('R1'!J16,'R2'!J16,'R3'!J16)</f>
        <v>1.1816666666666666</v>
      </c>
      <c r="D16">
        <f>AVERAGE('R1'!K16,'R2'!K16,'R3'!K16)</f>
        <v>11.358776583333333</v>
      </c>
      <c r="E16">
        <f>AVERAGE('R1'!L16,'R2'!L16,'R3'!L16)</f>
        <v>-1.2825877104199965</v>
      </c>
      <c r="F16">
        <f>AVERAGE('R1'!M16,'R2'!M16,'R3'!M16)</f>
        <v>-3.1892802339272657</v>
      </c>
      <c r="G16">
        <f>AVERAGE('R1'!N16,'R2'!N16,'R3'!N16)</f>
        <v>-2.0245728828369907</v>
      </c>
      <c r="H16">
        <f>AVERAGE('R1'!O16,'R2'!O16,'R3'!O16)</f>
        <v>-1.3335659487660159</v>
      </c>
      <c r="I16">
        <f t="shared" si="1"/>
        <v>2237.0479437731483</v>
      </c>
      <c r="K16">
        <f>_xlfn.STDEV.S('R1'!L16,'R2'!L16,'R3'!L16)</f>
        <v>5.486488008718632E-3</v>
      </c>
      <c r="L16">
        <f>_xlfn.STDEV.S('R1'!M16,'R2'!M16,'R3'!M16)</f>
        <v>4.5706992602094654E-2</v>
      </c>
      <c r="M16">
        <f>_xlfn.STDEV.S('R1'!N16,'R2'!N16,'R3'!N16)</f>
        <v>3.6625810177405092E-2</v>
      </c>
      <c r="N16">
        <f>_xlfn.STDEV.S('R1'!O16,'R2'!O16,'R3'!O16)</f>
        <v>6.5718032684094988E-3</v>
      </c>
    </row>
    <row r="17" spans="1:14" x14ac:dyDescent="0.25">
      <c r="A17">
        <f>-'R1'!H17</f>
        <v>44</v>
      </c>
      <c r="B17">
        <f>DEGREES(ATAN(-SIN(RADIANS(('R1'!I17)))/(COS(RADIANS(Sheet1!A17))*COS(RADIANS('R1'!I17)))))</f>
        <v>-21.733362927744114</v>
      </c>
      <c r="C17">
        <f>AVERAGE('R1'!J17,'R2'!J17,'R3'!J17)</f>
        <v>1.18</v>
      </c>
      <c r="D17">
        <f>AVERAGE('R1'!K17,'R2'!K17,'R3'!K17)</f>
        <v>11.441010416666666</v>
      </c>
      <c r="E17">
        <f>AVERAGE('R1'!L17,'R2'!L17,'R3'!L17)</f>
        <v>-1.4911509157436396</v>
      </c>
      <c r="F17">
        <f>AVERAGE('R1'!M17,'R2'!M17,'R3'!M17)</f>
        <v>-2.9847478704470229</v>
      </c>
      <c r="G17">
        <f>AVERAGE('R1'!N17,'R2'!N17,'R3'!N17)</f>
        <v>-1.95695289352368</v>
      </c>
      <c r="H17">
        <f>AVERAGE('R1'!O17,'R2'!O17,'R3'!O17)</f>
        <v>-1.3629522352489463</v>
      </c>
      <c r="I17">
        <f t="shared" si="1"/>
        <v>2250.0653819444442</v>
      </c>
      <c r="K17">
        <f>_xlfn.STDEV.S('R1'!L17,'R2'!L17,'R3'!L17)</f>
        <v>2.4900949958581838E-2</v>
      </c>
      <c r="L17">
        <f>_xlfn.STDEV.S('R1'!M17,'R2'!M17,'R3'!M17)</f>
        <v>1.7245947495510765E-2</v>
      </c>
      <c r="M17">
        <f>_xlfn.STDEV.S('R1'!N17,'R2'!N17,'R3'!N17)</f>
        <v>2.6274305384446868E-2</v>
      </c>
      <c r="N17">
        <f>_xlfn.STDEV.S('R1'!O17,'R2'!O17,'R3'!O17)</f>
        <v>9.6676235206156081E-3</v>
      </c>
    </row>
    <row r="18" spans="1:14" x14ac:dyDescent="0.25">
      <c r="A18">
        <f>-'R1'!H18</f>
        <v>44</v>
      </c>
      <c r="B18">
        <f>DEGREES(ATAN(-SIN(RADIANS(('R1'!I18)))/(COS(RADIANS(Sheet1!A18))*COS(RADIANS('R1'!I18)))))</f>
        <v>-26.838414444764965</v>
      </c>
      <c r="C18">
        <f>AVERAGE('R1'!J18,'R2'!J18,'R3'!J18)</f>
        <v>1.1824999999999999</v>
      </c>
      <c r="D18">
        <f>AVERAGE('R1'!K18,'R2'!K18,'R3'!K18)</f>
        <v>11.443596499999998</v>
      </c>
      <c r="E18">
        <f>AVERAGE('R1'!L18,'R2'!L18,'R3'!L18)</f>
        <v>-1.6642400008485183</v>
      </c>
      <c r="F18">
        <f>AVERAGE('R1'!M18,'R2'!M18,'R3'!M18)</f>
        <v>-2.8450335637171684</v>
      </c>
      <c r="G18">
        <f>AVERAGE('R1'!N18,'R2'!N18,'R3'!N18)</f>
        <v>-1.9255402048524584</v>
      </c>
      <c r="H18">
        <f>AVERAGE('R1'!O18,'R2'!O18,'R3'!O18)</f>
        <v>-1.4124069639359131</v>
      </c>
      <c r="I18">
        <f t="shared" si="1"/>
        <v>2255.3421435416658</v>
      </c>
      <c r="K18">
        <f>_xlfn.STDEV.S('R1'!L18,'R2'!L18,'R3'!L18)</f>
        <v>2.8708311995662796E-2</v>
      </c>
      <c r="L18">
        <f>_xlfn.STDEV.S('R1'!M18,'R2'!M18,'R3'!M18)</f>
        <v>4.479638421574951E-2</v>
      </c>
      <c r="M18">
        <f>_xlfn.STDEV.S('R1'!N18,'R2'!N18,'R3'!N18)</f>
        <v>5.4558697894861639E-2</v>
      </c>
      <c r="N18">
        <f>_xlfn.STDEV.S('R1'!O18,'R2'!O18,'R3'!O18)</f>
        <v>2.3725924763054781E-2</v>
      </c>
    </row>
    <row r="19" spans="1:14" x14ac:dyDescent="0.25">
      <c r="A19">
        <f>-'R1'!H19</f>
        <v>44</v>
      </c>
      <c r="B19">
        <f>DEGREES(ATAN(-SIN(RADIANS(('R1'!I19)))/(COS(RADIANS(Sheet1!A19))*COS(RADIANS('R1'!I19)))))</f>
        <v>-31.755051399893443</v>
      </c>
      <c r="C19">
        <f>AVERAGE('R1'!J19,'R2'!J19,'R3'!J19)</f>
        <v>1.1808333333333332</v>
      </c>
      <c r="D19">
        <f>AVERAGE('R1'!K19,'R2'!K19,'R3'!K19)</f>
        <v>11.453138000000001</v>
      </c>
      <c r="E19">
        <f>AVERAGE('R1'!L19,'R2'!L19,'R3'!L19)</f>
        <v>-1.8310844892972471</v>
      </c>
      <c r="F19">
        <f>AVERAGE('R1'!M19,'R2'!M19,'R3'!M19)</f>
        <v>-2.7668229486740308</v>
      </c>
      <c r="G19">
        <f>AVERAGE('R1'!N19,'R2'!N19,'R3'!N19)</f>
        <v>-1.961509103230485</v>
      </c>
      <c r="H19">
        <f>AVERAGE('R1'!O19,'R2'!O19,'R3'!O19)</f>
        <v>-1.4899132898119836</v>
      </c>
      <c r="I19">
        <f t="shared" si="1"/>
        <v>2254.0411869444442</v>
      </c>
      <c r="K19">
        <f>_xlfn.STDEV.S('R1'!L19,'R2'!L19,'R3'!L19)</f>
        <v>2.1602034709699843E-2</v>
      </c>
      <c r="L19">
        <f>_xlfn.STDEV.S('R1'!M19,'R2'!M19,'R3'!M19)</f>
        <v>2.9533213986583665E-2</v>
      </c>
      <c r="M19">
        <f>_xlfn.STDEV.S('R1'!N19,'R2'!N19,'R3'!N19)</f>
        <v>3.9763870552906706E-2</v>
      </c>
      <c r="N19">
        <f>_xlfn.STDEV.S('R1'!O19,'R2'!O19,'R3'!O19)</f>
        <v>1.619709781071467E-2</v>
      </c>
    </row>
    <row r="20" spans="1:14" x14ac:dyDescent="0.25">
      <c r="A20">
        <f>-'R1'!H20</f>
        <v>44</v>
      </c>
      <c r="B20">
        <f>DEGREES(ATAN(-SIN(RADIANS(('R1'!I20)))/(COS(RADIANS(Sheet1!A20))*COS(RADIANS('R1'!I20)))))</f>
        <v>-36.470444456761925</v>
      </c>
      <c r="C20">
        <f>AVERAGE('R1'!J20,'R2'!J20,'R3'!J20)</f>
        <v>1.18</v>
      </c>
      <c r="D20">
        <f>AVERAGE('R1'!K20,'R2'!K20,'R3'!K20)</f>
        <v>11.421820583333334</v>
      </c>
      <c r="E20">
        <f>AVERAGE('R1'!L20,'R2'!L20,'R3'!L20)</f>
        <v>-1.983707751333726</v>
      </c>
      <c r="F20">
        <f>AVERAGE('R1'!M20,'R2'!M20,'R3'!M20)</f>
        <v>-2.7234628671175467</v>
      </c>
      <c r="G20">
        <f>AVERAGE('R1'!N20,'R2'!N20,'R3'!N20)</f>
        <v>-2.0110302025005442</v>
      </c>
      <c r="H20">
        <f>AVERAGE('R1'!O20,'R2'!O20,'R3'!O20)</f>
        <v>-1.570616853266233</v>
      </c>
      <c r="I20">
        <f t="shared" si="1"/>
        <v>2246.291381388889</v>
      </c>
      <c r="K20">
        <f>_xlfn.STDEV.S('R1'!L20,'R2'!L20,'R3'!L20)</f>
        <v>2.7358374674378707E-2</v>
      </c>
      <c r="L20">
        <f>_xlfn.STDEV.S('R1'!M20,'R2'!M20,'R3'!M20)</f>
        <v>3.9436281885486313E-2</v>
      </c>
      <c r="M20">
        <f>_xlfn.STDEV.S('R1'!N20,'R2'!N20,'R3'!N20)</f>
        <v>4.6499693042091741E-2</v>
      </c>
      <c r="N20">
        <f>_xlfn.STDEV.S('R1'!O20,'R2'!O20,'R3'!O20)</f>
        <v>2.1560487276608559E-2</v>
      </c>
    </row>
    <row r="21" spans="1:14" x14ac:dyDescent="0.25">
      <c r="A21">
        <f>-'R1'!H21</f>
        <v>44</v>
      </c>
      <c r="B21">
        <f>DEGREES(ATAN(-SIN(RADIANS(('R1'!I21)))/(COS(RADIANS(Sheet1!A21))*COS(RADIANS('R1'!I21)))))</f>
        <v>-40.979886989205063</v>
      </c>
      <c r="C21">
        <f>AVERAGE('R1'!J21,'R2'!J21,'R3'!J21)</f>
        <v>1.18</v>
      </c>
      <c r="D21">
        <f>AVERAGE('R1'!K21,'R2'!K21,'R3'!K21)</f>
        <v>11.360233833333332</v>
      </c>
      <c r="E21">
        <f>AVERAGE('R1'!L21,'R2'!L21,'R3'!L21)</f>
        <v>-2.1656102367262497</v>
      </c>
      <c r="F21">
        <f>AVERAGE('R1'!M21,'R2'!M21,'R3'!M21)</f>
        <v>-2.7557882379334857</v>
      </c>
      <c r="G21">
        <f>AVERAGE('R1'!N21,'R2'!N21,'R3'!N21)</f>
        <v>-2.1512990173992219</v>
      </c>
      <c r="H21">
        <f>AVERAGE('R1'!O21,'R2'!O21,'R3'!O21)</f>
        <v>-1.6960628365673209</v>
      </c>
      <c r="I21">
        <f t="shared" si="1"/>
        <v>2234.179320555555</v>
      </c>
      <c r="K21">
        <f>_xlfn.STDEV.S('R1'!L21,'R2'!L21,'R3'!L21)</f>
        <v>2.8563323835101486E-2</v>
      </c>
      <c r="L21">
        <f>_xlfn.STDEV.S('R1'!M21,'R2'!M21,'R3'!M21)</f>
        <v>2.7713070467969669E-2</v>
      </c>
      <c r="M21">
        <f>_xlfn.STDEV.S('R1'!N21,'R2'!N21,'R3'!N21)</f>
        <v>4.2597708028517804E-2</v>
      </c>
      <c r="N21">
        <f>_xlfn.STDEV.S('R1'!O21,'R2'!O21,'R3'!O21)</f>
        <v>1.5316343473043658E-2</v>
      </c>
    </row>
    <row r="22" spans="1:14" x14ac:dyDescent="0.25">
      <c r="A22">
        <f>-'R1'!H22</f>
        <v>44</v>
      </c>
      <c r="B22">
        <f>DEGREES(ATAN(-SIN(RADIANS(('R1'!I22)))/(COS(RADIANS(Sheet1!A22))*COS(RADIANS('R1'!I22)))))</f>
        <v>-45.285419134418312</v>
      </c>
      <c r="C22">
        <f>AVERAGE('R1'!J22,'R2'!J22,'R3'!J22)</f>
        <v>1.1808333333333332</v>
      </c>
      <c r="D22">
        <f>AVERAGE('R1'!K22,'R2'!K22,'R3'!K22)</f>
        <v>11.333906583333333</v>
      </c>
      <c r="E22">
        <f>AVERAGE('R1'!L22,'R2'!L22,'R3'!L22)</f>
        <v>-2.3794178826579571</v>
      </c>
      <c r="F22">
        <f>AVERAGE('R1'!M22,'R2'!M22,'R3'!M22)</f>
        <v>-2.8525918077489099</v>
      </c>
      <c r="G22">
        <f>AVERAGE('R1'!N22,'R2'!N22,'R3'!N22)</f>
        <v>-2.3703337719358917</v>
      </c>
      <c r="H22">
        <f>AVERAGE('R1'!O22,'R2'!O22,'R3'!O22)</f>
        <v>-1.8635163729484956</v>
      </c>
      <c r="I22">
        <f t="shared" si="1"/>
        <v>2230.5757817476847</v>
      </c>
      <c r="K22">
        <f>_xlfn.STDEV.S('R1'!L22,'R2'!L22,'R3'!L22)</f>
        <v>1.7463999099816427E-2</v>
      </c>
      <c r="L22">
        <f>_xlfn.STDEV.S('R1'!M22,'R2'!M22,'R3'!M22)</f>
        <v>2.0153068046806888E-2</v>
      </c>
      <c r="M22">
        <f>_xlfn.STDEV.S('R1'!N22,'R2'!N22,'R3'!N22)</f>
        <v>2.8818661490539094E-2</v>
      </c>
      <c r="N22">
        <f>_xlfn.STDEV.S('R1'!O22,'R2'!O22,'R3'!O22)</f>
        <v>1.1717915062121753E-2</v>
      </c>
    </row>
    <row r="23" spans="1:14" x14ac:dyDescent="0.25">
      <c r="A23">
        <f>-'R1'!H23</f>
        <v>44</v>
      </c>
      <c r="B23">
        <f>DEGREES(ATAN(-SIN(RADIANS(('R1'!I23)))/(COS(RADIANS(Sheet1!A23))*COS(RADIANS('R1'!I23)))))</f>
        <v>-49.394314915379752</v>
      </c>
      <c r="C23">
        <f>AVERAGE('R1'!J23,'R2'!J23,'R3'!J23)</f>
        <v>1.18</v>
      </c>
      <c r="D23">
        <f>AVERAGE('R1'!K23,'R2'!K23,'R3'!K23)</f>
        <v>11.289946</v>
      </c>
      <c r="E23">
        <f>AVERAGE('R1'!L23,'R2'!L23,'R3'!L23)</f>
        <v>-2.6601838444970105</v>
      </c>
      <c r="F23">
        <f>AVERAGE('R1'!M23,'R2'!M23,'R3'!M23)</f>
        <v>-3.0374407318346628</v>
      </c>
      <c r="G23">
        <f>AVERAGE('R1'!N23,'R2'!N23,'R3'!N23)</f>
        <v>-2.7174735382362809</v>
      </c>
      <c r="H23">
        <f>AVERAGE('R1'!O23,'R2'!O23,'R3'!O23)</f>
        <v>-2.0955826097535017</v>
      </c>
      <c r="I23">
        <f t="shared" si="1"/>
        <v>2220.3560466666668</v>
      </c>
      <c r="K23">
        <f>_xlfn.STDEV.S('R1'!L23,'R2'!L23,'R3'!L23)</f>
        <v>2.4650681196436756E-2</v>
      </c>
      <c r="L23">
        <f>_xlfn.STDEV.S('R1'!M23,'R2'!M23,'R3'!M23)</f>
        <v>8.6887423836043195E-3</v>
      </c>
      <c r="M23">
        <f>_xlfn.STDEV.S('R1'!N23,'R2'!N23,'R3'!N23)</f>
        <v>2.6815809826902858E-2</v>
      </c>
      <c r="N23">
        <f>_xlfn.STDEV.S('R1'!O23,'R2'!O23,'R3'!O23)</f>
        <v>7.5107615063939124E-3</v>
      </c>
    </row>
    <row r="24" spans="1:14" x14ac:dyDescent="0.25">
      <c r="A24">
        <f>-'R1'!H24</f>
        <v>44</v>
      </c>
      <c r="B24">
        <f>DEGREES(ATAN(-SIN(RADIANS(('R1'!I24)))/(COS(RADIANS(Sheet1!A24))*COS(RADIANS('R1'!I24)))))</f>
        <v>-53.317641506405714</v>
      </c>
      <c r="C24">
        <f>AVERAGE('R1'!J24,'R2'!J24,'R3'!J24)</f>
        <v>1.18</v>
      </c>
      <c r="D24">
        <f>AVERAGE('R1'!K24,'R2'!K24,'R3'!K24)</f>
        <v>11.322413250000002</v>
      </c>
      <c r="E24">
        <f>AVERAGE('R1'!L24,'R2'!L24,'R3'!L24)</f>
        <v>-3.0136906384605413</v>
      </c>
      <c r="F24">
        <f>AVERAGE('R1'!M24,'R2'!M24,'R3'!M24)</f>
        <v>-3.3593088841293333</v>
      </c>
      <c r="G24">
        <f>AVERAGE('R1'!N24,'R2'!N24,'R3'!N24)</f>
        <v>-3.2476989818642896</v>
      </c>
      <c r="H24">
        <f>AVERAGE('R1'!O24,'R2'!O24,'R3'!O24)</f>
        <v>-2.4014448396973633</v>
      </c>
      <c r="I24">
        <f t="shared" si="1"/>
        <v>2226.7412725000004</v>
      </c>
      <c r="K24">
        <f>_xlfn.STDEV.S('R1'!L24,'R2'!L24,'R3'!L24)</f>
        <v>7.3243220726979946E-2</v>
      </c>
      <c r="L24">
        <f>_xlfn.STDEV.S('R1'!M24,'R2'!M24,'R3'!M24)</f>
        <v>7.4154157789841246E-2</v>
      </c>
      <c r="M24">
        <f>_xlfn.STDEV.S('R1'!N24,'R2'!N24,'R3'!N24)</f>
        <v>0.11734223725383595</v>
      </c>
      <c r="N24">
        <f>_xlfn.STDEV.S('R1'!O24,'R2'!O24,'R3'!O24)</f>
        <v>3.620246625285857E-2</v>
      </c>
    </row>
    <row r="25" spans="1:14" x14ac:dyDescent="0.25">
      <c r="A25">
        <f>-'R1'!H25</f>
        <v>40</v>
      </c>
      <c r="B25">
        <f>DEGREES(ATAN(-SIN(RADIANS(('R1'!I25)))/(COS(RADIANS(Sheet1!A25))*COS(RADIANS('R1'!I25)))))</f>
        <v>51.576359961556868</v>
      </c>
      <c r="C25">
        <f>AVERAGE('R1'!J25,'R2'!J25,'R3'!J25)</f>
        <v>1.18</v>
      </c>
      <c r="D25">
        <f>AVERAGE('R1'!K25,'R2'!K25,'R3'!K25)</f>
        <v>11.415750583333333</v>
      </c>
      <c r="E25">
        <f>AVERAGE('R1'!L25,'R2'!L25,'R3'!L25)</f>
        <v>2.190831411709349</v>
      </c>
      <c r="F25">
        <f>AVERAGE('R1'!M25,'R2'!M25,'R3'!M25)</f>
        <v>-2.4134710488869833</v>
      </c>
      <c r="G25">
        <f>AVERAGE('R1'!N25,'R2'!N25,'R3'!N25)</f>
        <v>-2.013199245568825</v>
      </c>
      <c r="H25">
        <f>AVERAGE('R1'!O25,'R2'!O25,'R3'!O25)</f>
        <v>-1.6998079809770428</v>
      </c>
      <c r="I25">
        <f t="shared" si="1"/>
        <v>2245.0976147222218</v>
      </c>
      <c r="K25">
        <f>_xlfn.STDEV.S('R1'!L25,'R2'!L25,'R3'!L25)</f>
        <v>2.1253023383960741E-2</v>
      </c>
      <c r="L25">
        <f>_xlfn.STDEV.S('R1'!M25,'R2'!M25,'R3'!M25)</f>
        <v>1.192169634025562E-2</v>
      </c>
      <c r="M25">
        <f>_xlfn.STDEV.S('R1'!N25,'R2'!N25,'R3'!N25)</f>
        <v>2.5062265921425408E-2</v>
      </c>
      <c r="N25">
        <f>_xlfn.STDEV.S('R1'!O25,'R2'!O25,'R3'!O25)</f>
        <v>1.4451496022491754E-2</v>
      </c>
    </row>
    <row r="26" spans="1:14" x14ac:dyDescent="0.25">
      <c r="A26">
        <f>-'R1'!H26</f>
        <v>40</v>
      </c>
      <c r="B26">
        <f>DEGREES(ATAN(-SIN(RADIANS(('R1'!I26)))/(COS(RADIANS(Sheet1!A26))*COS(RADIANS('R1'!I26)))))</f>
        <v>47.605913955135343</v>
      </c>
      <c r="C26">
        <f>AVERAGE('R1'!J26,'R2'!J26,'R3'!J26)</f>
        <v>1.1816666666666666</v>
      </c>
      <c r="D26">
        <f>AVERAGE('R1'!K26,'R2'!K26,'R3'!K26)</f>
        <v>11.421233416666666</v>
      </c>
      <c r="E26">
        <f>AVERAGE('R1'!L26,'R2'!L26,'R3'!L26)</f>
        <v>2.0762674829527277</v>
      </c>
      <c r="F26">
        <f>AVERAGE('R1'!M26,'R2'!M26,'R3'!M26)</f>
        <v>-2.3698990677489693</v>
      </c>
      <c r="G26">
        <f>AVERAGE('R1'!N26,'R2'!N26,'R3'!N26)</f>
        <v>-1.8685305450213139</v>
      </c>
      <c r="H26">
        <f>AVERAGE('R1'!O26,'R2'!O26,'R3'!O26)</f>
        <v>-1.575204327856466</v>
      </c>
      <c r="I26">
        <f t="shared" si="1"/>
        <v>2249.3484701157408</v>
      </c>
      <c r="K26">
        <f>_xlfn.STDEV.S('R1'!L26,'R2'!L26,'R3'!L26)</f>
        <v>1.1884174202267273E-2</v>
      </c>
      <c r="L26">
        <f>_xlfn.STDEV.S('R1'!M26,'R2'!M26,'R3'!M26)</f>
        <v>1.5943249396116417E-2</v>
      </c>
      <c r="M26">
        <f>_xlfn.STDEV.S('R1'!N26,'R2'!N26,'R3'!N26)</f>
        <v>1.7445420370998208E-2</v>
      </c>
      <c r="N26">
        <f>_xlfn.STDEV.S('R1'!O26,'R2'!O26,'R3'!O26)</f>
        <v>7.5961487596528142E-3</v>
      </c>
    </row>
    <row r="27" spans="1:14" x14ac:dyDescent="0.25">
      <c r="A27">
        <f>-'R1'!H27</f>
        <v>40</v>
      </c>
      <c r="B27">
        <f>DEGREES(ATAN(-SIN(RADIANS(('R1'!I27)))/(COS(RADIANS(Sheet1!A27))*COS(RADIANS('R1'!I27)))))</f>
        <v>43.48399800633365</v>
      </c>
      <c r="C27">
        <f>AVERAGE('R1'!J27,'R2'!J27,'R3'!J27)</f>
        <v>1.18</v>
      </c>
      <c r="D27">
        <f>AVERAGE('R1'!K27,'R2'!K27,'R3'!K27)</f>
        <v>11.475979916666667</v>
      </c>
      <c r="E27">
        <f>AVERAGE('R1'!L27,'R2'!L27,'R3'!L27)</f>
        <v>1.948626029448117</v>
      </c>
      <c r="F27">
        <f>AVERAGE('R1'!M27,'R2'!M27,'R3'!M27)</f>
        <v>-2.3527778353846078</v>
      </c>
      <c r="G27">
        <f>AVERAGE('R1'!N27,'R2'!N27,'R3'!N27)</f>
        <v>-1.7455613327138224</v>
      </c>
      <c r="H27">
        <f>AVERAGE('R1'!O27,'R2'!O27,'R3'!O27)</f>
        <v>-1.4602138790350079</v>
      </c>
      <c r="I27">
        <f t="shared" si="1"/>
        <v>2256.9427169444443</v>
      </c>
      <c r="K27">
        <f>_xlfn.STDEV.S('R1'!L27,'R2'!L27,'R3'!L27)</f>
        <v>1.3273737609950055E-2</v>
      </c>
      <c r="L27">
        <f>_xlfn.STDEV.S('R1'!M27,'R2'!M27,'R3'!M27)</f>
        <v>1.766881243685799E-2</v>
      </c>
      <c r="M27">
        <f>_xlfn.STDEV.S('R1'!N27,'R2'!N27,'R3'!N27)</f>
        <v>2.2914099044954502E-2</v>
      </c>
      <c r="N27">
        <f>_xlfn.STDEV.S('R1'!O27,'R2'!O27,'R3'!O27)</f>
        <v>9.1756000788214952E-3</v>
      </c>
    </row>
    <row r="28" spans="1:14" x14ac:dyDescent="0.25">
      <c r="A28">
        <f>-'R1'!H28</f>
        <v>40</v>
      </c>
      <c r="B28">
        <f>DEGREES(ATAN(-SIN(RADIANS(('R1'!I28)))/(COS(RADIANS(Sheet1!A28))*COS(RADIANS('R1'!I28)))))</f>
        <v>39.204435233296593</v>
      </c>
      <c r="C28">
        <f>AVERAGE('R1'!J28,'R2'!J28,'R3'!J28)</f>
        <v>1.1824999999999999</v>
      </c>
      <c r="D28">
        <f>AVERAGE('R1'!K28,'R2'!K28,'R3'!K28)</f>
        <v>11.4598285</v>
      </c>
      <c r="E28">
        <f>AVERAGE('R1'!L28,'R2'!L28,'R3'!L28)</f>
        <v>1.8189226827925677</v>
      </c>
      <c r="F28">
        <f>AVERAGE('R1'!M28,'R2'!M28,'R3'!M28)</f>
        <v>-2.3912790134071091</v>
      </c>
      <c r="G28">
        <f>AVERAGE('R1'!N28,'R2'!N28,'R3'!N28)</f>
        <v>-1.6755121511453985</v>
      </c>
      <c r="H28">
        <f>AVERAGE('R1'!O28,'R2'!O28,'R3'!O28)</f>
        <v>-1.3613747274070598</v>
      </c>
      <c r="I28">
        <f t="shared" si="1"/>
        <v>2258.5412002083331</v>
      </c>
      <c r="K28">
        <f>_xlfn.STDEV.S('R1'!L28,'R2'!L28,'R3'!L28)</f>
        <v>1.4881159314795455E-2</v>
      </c>
      <c r="L28">
        <f>_xlfn.STDEV.S('R1'!M28,'R2'!M28,'R3'!M28)</f>
        <v>1.8588966772181765E-2</v>
      </c>
      <c r="M28">
        <f>_xlfn.STDEV.S('R1'!N28,'R2'!N28,'R3'!N28)</f>
        <v>2.1341606932881726E-2</v>
      </c>
      <c r="N28">
        <f>_xlfn.STDEV.S('R1'!O28,'R2'!O28,'R3'!O28)</f>
        <v>7.0736080311483178E-3</v>
      </c>
    </row>
    <row r="29" spans="1:14" x14ac:dyDescent="0.25">
      <c r="A29">
        <f>-'R1'!H29</f>
        <v>40</v>
      </c>
      <c r="B29">
        <f>DEGREES(ATAN(-SIN(RADIANS(('R1'!I29)))/(COS(RADIANS(Sheet1!A29))*COS(RADIANS('R1'!I29)))))</f>
        <v>34.764413107862225</v>
      </c>
      <c r="C29">
        <f>AVERAGE('R1'!J29,'R2'!J29,'R3'!J29)</f>
        <v>1.1808333333333332</v>
      </c>
      <c r="D29">
        <f>AVERAGE('R1'!K29,'R2'!K29,'R3'!K29)</f>
        <v>11.395594833333334</v>
      </c>
      <c r="E29">
        <f>AVERAGE('R1'!L29,'R2'!L29,'R3'!L29)</f>
        <v>1.6939267696117846</v>
      </c>
      <c r="F29">
        <f>AVERAGE('R1'!M29,'R2'!M29,'R3'!M29)</f>
        <v>-2.4756336038272977</v>
      </c>
      <c r="G29">
        <f>AVERAGE('R1'!N29,'R2'!N29,'R3'!N29)</f>
        <v>-1.6551154711566802</v>
      </c>
      <c r="H29">
        <f>AVERAGE('R1'!O29,'R2'!O29,'R3'!O29)</f>
        <v>-1.2860711299508123</v>
      </c>
      <c r="I29">
        <f t="shared" si="1"/>
        <v>2242.7163720601848</v>
      </c>
      <c r="K29">
        <f>_xlfn.STDEV.S('R1'!L29,'R2'!L29,'R3'!L29)</f>
        <v>1.1793477337953304E-2</v>
      </c>
      <c r="L29">
        <f>_xlfn.STDEV.S('R1'!M29,'R2'!M29,'R3'!M29)</f>
        <v>1.2803965958902996E-2</v>
      </c>
      <c r="M29">
        <f>_xlfn.STDEV.S('R1'!N29,'R2'!N29,'R3'!N29)</f>
        <v>1.4839559535751598E-2</v>
      </c>
      <c r="N29">
        <f>_xlfn.STDEV.S('R1'!O29,'R2'!O29,'R3'!O29)</f>
        <v>3.5857774134212348E-3</v>
      </c>
    </row>
    <row r="30" spans="1:14" x14ac:dyDescent="0.25">
      <c r="A30">
        <f>-'R1'!H30</f>
        <v>40</v>
      </c>
      <c r="B30">
        <f>DEGREES(ATAN(-SIN(RADIANS(('R1'!I30)))/(COS(RADIANS(Sheet1!A30))*COS(RADIANS('R1'!I30)))))</f>
        <v>30.165358572591657</v>
      </c>
      <c r="C30">
        <f>AVERAGE('R1'!J30,'R2'!J30,'R3'!J30)</f>
        <v>1.18</v>
      </c>
      <c r="D30">
        <f>AVERAGE('R1'!K30,'R2'!K30,'R3'!K30)</f>
        <v>11.38063975</v>
      </c>
      <c r="E30">
        <f>AVERAGE('R1'!L30,'R2'!L30,'R3'!L30)</f>
        <v>1.5417017972705758</v>
      </c>
      <c r="F30">
        <f>AVERAGE('R1'!M30,'R2'!M30,'R3'!M30)</f>
        <v>-2.5933369237487311</v>
      </c>
      <c r="G30">
        <f>AVERAGE('R1'!N30,'R2'!N30,'R3'!N30)</f>
        <v>-1.6608092720368675</v>
      </c>
      <c r="H30">
        <f>AVERAGE('R1'!O30,'R2'!O30,'R3'!O30)</f>
        <v>-1.209002735123091</v>
      </c>
      <c r="I30">
        <f t="shared" si="1"/>
        <v>2238.1924841666669</v>
      </c>
      <c r="K30">
        <f>_xlfn.STDEV.S('R1'!L30,'R2'!L30,'R3'!L30)</f>
        <v>8.3165310172633421E-3</v>
      </c>
      <c r="L30">
        <f>_xlfn.STDEV.S('R1'!M30,'R2'!M30,'R3'!M30)</f>
        <v>3.1485596947841421E-2</v>
      </c>
      <c r="M30">
        <f>_xlfn.STDEV.S('R1'!N30,'R2'!N30,'R3'!N30)</f>
        <v>3.0382132795712846E-2</v>
      </c>
      <c r="N30">
        <f>_xlfn.STDEV.S('R1'!O30,'R2'!O30,'R3'!O30)</f>
        <v>9.5587012346676232E-3</v>
      </c>
    </row>
    <row r="31" spans="1:14" x14ac:dyDescent="0.25">
      <c r="A31">
        <f>-'R1'!H31</f>
        <v>40</v>
      </c>
      <c r="B31">
        <f>DEGREES(ATAN(-SIN(RADIANS(('R1'!I31)))/(COS(RADIANS(Sheet1!A31))*COS(RADIANS('R1'!I31)))))</f>
        <v>25.413766880049252</v>
      </c>
      <c r="C31">
        <f>AVERAGE('R1'!J31,'R2'!J31,'R3'!J31)</f>
        <v>1.18</v>
      </c>
      <c r="D31">
        <f>AVERAGE('R1'!K31,'R2'!K31,'R3'!K31)</f>
        <v>11.2544045</v>
      </c>
      <c r="E31">
        <f>AVERAGE('R1'!L31,'R2'!L31,'R3'!L31)</f>
        <v>1.3582740338143811</v>
      </c>
      <c r="F31">
        <f>AVERAGE('R1'!M31,'R2'!M31,'R3'!M31)</f>
        <v>-2.731322086712213</v>
      </c>
      <c r="G31">
        <f>AVERAGE('R1'!N31,'R2'!N31,'R3'!N31)</f>
        <v>-1.6750581826527344</v>
      </c>
      <c r="H31">
        <f>AVERAGE('R1'!O31,'R2'!O31,'R3'!O31)</f>
        <v>-1.1429645923980123</v>
      </c>
      <c r="I31">
        <f t="shared" si="1"/>
        <v>2213.3662183333331</v>
      </c>
      <c r="K31">
        <f>_xlfn.STDEV.S('R1'!L31,'R2'!L31,'R3'!L31)</f>
        <v>1.4128172261687779E-2</v>
      </c>
      <c r="L31">
        <f>_xlfn.STDEV.S('R1'!M31,'R2'!M31,'R3'!M31)</f>
        <v>1.0423785342568359E-2</v>
      </c>
      <c r="M31">
        <f>_xlfn.STDEV.S('R1'!N31,'R2'!N31,'R3'!N31)</f>
        <v>1.4327154937797258E-2</v>
      </c>
      <c r="N31">
        <f>_xlfn.STDEV.S('R1'!O31,'R2'!O31,'R3'!O31)</f>
        <v>3.4400201518697267E-3</v>
      </c>
    </row>
    <row r="32" spans="1:14" x14ac:dyDescent="0.25">
      <c r="A32">
        <f>-'R1'!H32</f>
        <v>40</v>
      </c>
      <c r="B32">
        <f>DEGREES(ATAN(-SIN(RADIANS(('R1'!I32)))/(COS(RADIANS(Sheet1!A32))*COS(RADIANS('R1'!I32)))))</f>
        <v>20.5218555971705</v>
      </c>
      <c r="C32">
        <f>AVERAGE('R1'!J32,'R2'!J32,'R3'!J32)</f>
        <v>1.18</v>
      </c>
      <c r="D32">
        <f>AVERAGE('R1'!K32,'R2'!K32,'R3'!K32)</f>
        <v>11.187608666666668</v>
      </c>
      <c r="E32">
        <f>AVERAGE('R1'!L32,'R2'!L32,'R3'!L32)</f>
        <v>1.1336874507815724</v>
      </c>
      <c r="F32">
        <f>AVERAGE('R1'!M32,'R2'!M32,'R3'!M32)</f>
        <v>-2.9249394264842521</v>
      </c>
      <c r="G32">
        <f>AVERAGE('R1'!N32,'R2'!N32,'R3'!N32)</f>
        <v>-1.729249418337881</v>
      </c>
      <c r="H32">
        <f>AVERAGE('R1'!O32,'R2'!O32,'R3'!O32)</f>
        <v>-1.0897801223196641</v>
      </c>
      <c r="I32">
        <f t="shared" si="1"/>
        <v>2200.2297044444445</v>
      </c>
      <c r="K32">
        <f>_xlfn.STDEV.S('R1'!L32,'R2'!L32,'R3'!L32)</f>
        <v>1.4627425866735041E-2</v>
      </c>
      <c r="L32">
        <f>_xlfn.STDEV.S('R1'!M32,'R2'!M32,'R3'!M32)</f>
        <v>1.2044633400721944E-2</v>
      </c>
      <c r="M32">
        <f>_xlfn.STDEV.S('R1'!N32,'R2'!N32,'R3'!N32)</f>
        <v>6.4685400559128005E-3</v>
      </c>
      <c r="N32">
        <f>_xlfn.STDEV.S('R1'!O32,'R2'!O32,'R3'!O32)</f>
        <v>1.6248748237860284E-2</v>
      </c>
    </row>
    <row r="33" spans="1:14" x14ac:dyDescent="0.25">
      <c r="A33">
        <f>-'R1'!H33</f>
        <v>40</v>
      </c>
      <c r="B33">
        <f>DEGREES(ATAN(-SIN(RADIANS(('R1'!I33)))/(COS(RADIANS(Sheet1!A33))*COS(RADIANS('R1'!I33)))))</f>
        <v>15.507892018560797</v>
      </c>
      <c r="C33">
        <f>AVERAGE('R1'!J33,'R2'!J33,'R3'!J33)</f>
        <v>1.1808333333333332</v>
      </c>
      <c r="D33">
        <f>AVERAGE('R1'!K33,'R2'!K33,'R3'!K33)</f>
        <v>11.185550083333334</v>
      </c>
      <c r="E33">
        <f>AVERAGE('R1'!L33,'R2'!L33,'R3'!L33)</f>
        <v>0.85562090152738912</v>
      </c>
      <c r="F33">
        <f>AVERAGE('R1'!M33,'R2'!M33,'R3'!M33)</f>
        <v>-3.1660552517792495</v>
      </c>
      <c r="G33">
        <f>AVERAGE('R1'!N33,'R2'!N33,'R3'!N33)</f>
        <v>-1.8133996261611294</v>
      </c>
      <c r="H33">
        <f>AVERAGE('R1'!O33,'R2'!O33,'R3'!O33)</f>
        <v>-1.0409581291311347</v>
      </c>
      <c r="I33">
        <f t="shared" si="1"/>
        <v>2201.3783983449071</v>
      </c>
      <c r="K33">
        <f>_xlfn.STDEV.S('R1'!L33,'R2'!L33,'R3'!L33)</f>
        <v>8.3728264599285777E-3</v>
      </c>
      <c r="L33">
        <f>_xlfn.STDEV.S('R1'!M33,'R2'!M33,'R3'!M33)</f>
        <v>4.222943873704342E-2</v>
      </c>
      <c r="M33">
        <f>_xlfn.STDEV.S('R1'!N33,'R2'!N33,'R3'!N33)</f>
        <v>3.5370547611392182E-2</v>
      </c>
      <c r="N33">
        <f>_xlfn.STDEV.S('R1'!O33,'R2'!O33,'R3'!O33)</f>
        <v>9.0292617693308024E-3</v>
      </c>
    </row>
    <row r="34" spans="1:14" x14ac:dyDescent="0.25">
      <c r="A34">
        <f>-'R1'!H34</f>
        <v>40</v>
      </c>
      <c r="B34">
        <f>DEGREES(ATAN(-SIN(RADIANS(('R1'!I34)))/(COS(RADIANS(Sheet1!A34))*COS(RADIANS('R1'!I34)))))</f>
        <v>10.396047080877794</v>
      </c>
      <c r="C34">
        <f>AVERAGE('R1'!J34,'R2'!J34,'R3'!J34)</f>
        <v>1.18</v>
      </c>
      <c r="D34">
        <f>AVERAGE('R1'!K34,'R2'!K34,'R3'!K34)</f>
        <v>11.135289499999999</v>
      </c>
      <c r="E34">
        <f>AVERAGE('R1'!L34,'R2'!L34,'R3'!L34)</f>
        <v>0.53675928709908061</v>
      </c>
      <c r="F34">
        <f>AVERAGE('R1'!M34,'R2'!M34,'R3'!M34)</f>
        <v>-3.4483477438049319</v>
      </c>
      <c r="G34">
        <f>AVERAGE('R1'!N34,'R2'!N34,'R3'!N34)</f>
        <v>-1.9337396481585813</v>
      </c>
      <c r="H34">
        <f>AVERAGE('R1'!O34,'R2'!O34,'R3'!O34)</f>
        <v>-1.0068885965845147</v>
      </c>
      <c r="I34">
        <f t="shared" si="1"/>
        <v>2189.9402683333333</v>
      </c>
      <c r="K34">
        <f>_xlfn.STDEV.S('R1'!L34,'R2'!L34,'R3'!L34)</f>
        <v>1.4347109956259358E-2</v>
      </c>
      <c r="L34">
        <f>_xlfn.STDEV.S('R1'!M34,'R2'!M34,'R3'!M34)</f>
        <v>3.0431108078296139E-2</v>
      </c>
      <c r="M34">
        <f>_xlfn.STDEV.S('R1'!N34,'R2'!N34,'R3'!N34)</f>
        <v>2.5763115273185304E-2</v>
      </c>
      <c r="N34">
        <f>_xlfn.STDEV.S('R1'!O34,'R2'!O34,'R3'!O34)</f>
        <v>2.8233018043142778E-3</v>
      </c>
    </row>
    <row r="35" spans="1:14" x14ac:dyDescent="0.25">
      <c r="A35">
        <f>-'R1'!H35</f>
        <v>40</v>
      </c>
      <c r="B35">
        <f>DEGREES(ATAN(-SIN(RADIANS(('R1'!I35)))/(COS(RADIANS(Sheet1!A35))*COS(RADIANS('R1'!I35)))))</f>
        <v>5.2156742986237852</v>
      </c>
      <c r="C35">
        <f>AVERAGE('R1'!J35,'R2'!J35,'R3'!J35)</f>
        <v>1.18</v>
      </c>
      <c r="D35">
        <f>AVERAGE('R1'!K35,'R2'!K35,'R3'!K35)</f>
        <v>11.124222166666668</v>
      </c>
      <c r="E35">
        <f>AVERAGE('R1'!L35,'R2'!L35,'R3'!L35)</f>
        <v>0.13509642495702565</v>
      </c>
      <c r="F35">
        <f>AVERAGE('R1'!M35,'R2'!M35,'R3'!M35)</f>
        <v>-3.7729625658785864</v>
      </c>
      <c r="G35">
        <f>AVERAGE('R1'!N35,'R2'!N35,'R3'!N35)</f>
        <v>-2.076227698423589</v>
      </c>
      <c r="H35">
        <f>AVERAGE('R1'!O35,'R2'!O35,'R3'!O35)</f>
        <v>-0.9624455844957307</v>
      </c>
      <c r="I35">
        <f t="shared" si="1"/>
        <v>2187.763692777778</v>
      </c>
      <c r="K35">
        <f>_xlfn.STDEV.S('R1'!L35,'R2'!L35,'R3'!L35)</f>
        <v>2.9882893143334862E-3</v>
      </c>
      <c r="L35">
        <f>_xlfn.STDEV.S('R1'!M35,'R2'!M35,'R3'!M35)</f>
        <v>3.2312582766278831E-2</v>
      </c>
      <c r="M35">
        <f>_xlfn.STDEV.S('R1'!N35,'R2'!N35,'R3'!N35)</f>
        <v>3.0273947379025973E-2</v>
      </c>
      <c r="N35">
        <f>_xlfn.STDEV.S('R1'!O35,'R2'!O35,'R3'!O35)</f>
        <v>6.2487341831561852E-3</v>
      </c>
    </row>
    <row r="36" spans="1:14" x14ac:dyDescent="0.25">
      <c r="A36">
        <f>-'R1'!H36</f>
        <v>40</v>
      </c>
      <c r="B36">
        <f>DEGREES(ATAN(-SIN(RADIANS(('R1'!I36)))/(COS(RADIANS(Sheet1!A36))*COS(RADIANS('R1'!I36)))))</f>
        <v>0</v>
      </c>
      <c r="C36">
        <f>AVERAGE('R1'!J36,'R2'!J36,'R3'!J36)</f>
        <v>1.18</v>
      </c>
      <c r="D36">
        <f>AVERAGE('R1'!K36,'R2'!K36,'R3'!K36)</f>
        <v>11.130056666666666</v>
      </c>
      <c r="E36">
        <f>AVERAGE('R1'!L36,'R2'!L36,'R3'!L36)</f>
        <v>-0.31043542502748794</v>
      </c>
      <c r="F36">
        <f>AVERAGE('R1'!M36,'R2'!M36,'R3'!M36)</f>
        <v>-3.5387366126912863</v>
      </c>
      <c r="G36">
        <f>AVERAGE('R1'!N36,'R2'!N36,'R3'!N36)</f>
        <v>-1.9339039605179866</v>
      </c>
      <c r="H36">
        <f>AVERAGE('R1'!O36,'R2'!O36,'R3'!O36)</f>
        <v>-0.93851821152459836</v>
      </c>
      <c r="I36">
        <f t="shared" si="1"/>
        <v>2188.9111444444443</v>
      </c>
      <c r="K36">
        <f>_xlfn.STDEV.S('R1'!L36,'R2'!L36,'R3'!L36)</f>
        <v>5.1328733316970418E-3</v>
      </c>
      <c r="L36">
        <f>_xlfn.STDEV.S('R1'!M36,'R2'!M36,'R3'!M36)</f>
        <v>4.2912159902645144E-2</v>
      </c>
      <c r="M36">
        <f>_xlfn.STDEV.S('R1'!N36,'R2'!N36,'R3'!N36)</f>
        <v>4.1660081898093088E-2</v>
      </c>
      <c r="N36">
        <f>_xlfn.STDEV.S('R1'!O36,'R2'!O36,'R3'!O36)</f>
        <v>1.4952532137946485E-2</v>
      </c>
    </row>
    <row r="37" spans="1:14" x14ac:dyDescent="0.25">
      <c r="A37">
        <f>-'R1'!H37</f>
        <v>40</v>
      </c>
      <c r="B37">
        <f>DEGREES(ATAN(-SIN(RADIANS(('R1'!I37)))/(COS(RADIANS(Sheet1!A37))*COS(RADIANS('R1'!I37)))))</f>
        <v>-5.2156742986237852</v>
      </c>
      <c r="C37">
        <f>AVERAGE('R1'!J37,'R2'!J37,'R3'!J37)</f>
        <v>1.1816666666666666</v>
      </c>
      <c r="D37">
        <f>AVERAGE('R1'!K37,'R2'!K37,'R3'!K37)</f>
        <v>11.068953583333334</v>
      </c>
      <c r="E37">
        <f>AVERAGE('R1'!L37,'R2'!L37,'R3'!L37)</f>
        <v>-0.64194846986161069</v>
      </c>
      <c r="F37">
        <f>AVERAGE('R1'!M37,'R2'!M37,'R3'!M37)</f>
        <v>-3.1963719227583804</v>
      </c>
      <c r="G37">
        <f>AVERAGE('R1'!N37,'R2'!N37,'R3'!N37)</f>
        <v>-1.756226206293503</v>
      </c>
      <c r="H37">
        <f>AVERAGE('R1'!O37,'R2'!O37,'R3'!O37)</f>
        <v>-0.9550882588129882</v>
      </c>
      <c r="I37">
        <f t="shared" si="1"/>
        <v>2179.9689140509263</v>
      </c>
      <c r="K37">
        <f>_xlfn.STDEV.S('R1'!L37,'R2'!L37,'R3'!L37)</f>
        <v>1.1269081742627564E-2</v>
      </c>
      <c r="L37">
        <f>_xlfn.STDEV.S('R1'!M37,'R2'!M37,'R3'!M37)</f>
        <v>8.6093123042513368E-3</v>
      </c>
      <c r="M37">
        <f>_xlfn.STDEV.S('R1'!N37,'R2'!N37,'R3'!N37)</f>
        <v>2.4854253912681662E-3</v>
      </c>
      <c r="N37">
        <f>_xlfn.STDEV.S('R1'!O37,'R2'!O37,'R3'!O37)</f>
        <v>2.1823214422822507E-2</v>
      </c>
    </row>
    <row r="38" spans="1:14" x14ac:dyDescent="0.25">
      <c r="A38">
        <f>-'R1'!H38</f>
        <v>40</v>
      </c>
      <c r="B38">
        <f>DEGREES(ATAN(-SIN(RADIANS(('R1'!I38)))/(COS(RADIANS(Sheet1!A38))*COS(RADIANS('R1'!I38)))))</f>
        <v>-10.396047080877794</v>
      </c>
      <c r="C38">
        <f>AVERAGE('R1'!J38,'R2'!J38,'R3'!J38)</f>
        <v>1.18</v>
      </c>
      <c r="D38">
        <f>AVERAGE('R1'!K38,'R2'!K38,'R3'!K38)</f>
        <v>11.102720499999998</v>
      </c>
      <c r="E38">
        <f>AVERAGE('R1'!L38,'R2'!L38,'R3'!L38)</f>
        <v>-0.9188360459573518</v>
      </c>
      <c r="F38">
        <f>AVERAGE('R1'!M38,'R2'!M38,'R3'!M38)</f>
        <v>-2.9057985693952921</v>
      </c>
      <c r="G38">
        <f>AVERAGE('R1'!N38,'R2'!N38,'R3'!N38)</f>
        <v>-1.6111624998677836</v>
      </c>
      <c r="H38">
        <f>AVERAGE('R1'!O38,'R2'!O38,'R3'!O38)</f>
        <v>-0.97049522276953482</v>
      </c>
      <c r="I38">
        <f t="shared" si="1"/>
        <v>2183.5350316666663</v>
      </c>
      <c r="K38">
        <f>_xlfn.STDEV.S('R1'!L38,'R2'!L38,'R3'!L38)</f>
        <v>1.6614674466272347E-2</v>
      </c>
      <c r="L38">
        <f>_xlfn.STDEV.S('R1'!M38,'R2'!M38,'R3'!M38)</f>
        <v>1.9119197145429322E-2</v>
      </c>
      <c r="M38">
        <f>_xlfn.STDEV.S('R1'!N38,'R2'!N38,'R3'!N38)</f>
        <v>2.8015646769744135E-2</v>
      </c>
      <c r="N38">
        <f>_xlfn.STDEV.S('R1'!O38,'R2'!O38,'R3'!O38)</f>
        <v>3.5774888451267262E-3</v>
      </c>
    </row>
    <row r="39" spans="1:14" x14ac:dyDescent="0.25">
      <c r="A39">
        <f>-'R1'!H39</f>
        <v>40</v>
      </c>
      <c r="B39">
        <f>DEGREES(ATAN(-SIN(RADIANS(('R1'!I39)))/(COS(RADIANS(Sheet1!A39))*COS(RADIANS('R1'!I39)))))</f>
        <v>-15.507892018560797</v>
      </c>
      <c r="C39">
        <f>AVERAGE('R1'!J39,'R2'!J39,'R3'!J39)</f>
        <v>1.18</v>
      </c>
      <c r="D39">
        <f>AVERAGE('R1'!K39,'R2'!K39,'R3'!K39)</f>
        <v>11.160232083333334</v>
      </c>
      <c r="E39">
        <f>AVERAGE('R1'!L39,'R2'!L39,'R3'!L39)</f>
        <v>-1.1608041649656091</v>
      </c>
      <c r="F39">
        <f>AVERAGE('R1'!M39,'R2'!M39,'R3'!M39)</f>
        <v>-2.6973019783073267</v>
      </c>
      <c r="G39">
        <f>AVERAGE('R1'!N39,'R2'!N39,'R3'!N39)</f>
        <v>-1.5356469047648036</v>
      </c>
      <c r="H39">
        <f>AVERAGE('R1'!O39,'R2'!O39,'R3'!O39)</f>
        <v>-1.0089364358353787</v>
      </c>
      <c r="I39">
        <f t="shared" si="1"/>
        <v>2194.8456430555557</v>
      </c>
      <c r="K39">
        <f>_xlfn.STDEV.S('R1'!L39,'R2'!L39,'R3'!L39)</f>
        <v>1.3511575745540419E-2</v>
      </c>
      <c r="L39">
        <f>_xlfn.STDEV.S('R1'!M39,'R2'!M39,'R3'!M39)</f>
        <v>3.6278248923828166E-2</v>
      </c>
      <c r="M39">
        <f>_xlfn.STDEV.S('R1'!N39,'R2'!N39,'R3'!N39)</f>
        <v>4.274335101791267E-2</v>
      </c>
      <c r="N39">
        <f>_xlfn.STDEV.S('R1'!O39,'R2'!O39,'R3'!O39)</f>
        <v>9.3953684938089376E-3</v>
      </c>
    </row>
    <row r="40" spans="1:14" x14ac:dyDescent="0.25">
      <c r="A40">
        <f>-'R1'!H40</f>
        <v>40</v>
      </c>
      <c r="B40">
        <f>DEGREES(ATAN(-SIN(RADIANS(('R1'!I40)))/(COS(RADIANS(Sheet1!A40))*COS(RADIANS('R1'!I40)))))</f>
        <v>-20.5218555971705</v>
      </c>
      <c r="C40">
        <f>AVERAGE('R1'!J40,'R2'!J40,'R3'!J40)</f>
        <v>1.18</v>
      </c>
      <c r="D40">
        <f>AVERAGE('R1'!K40,'R2'!K40,'R3'!K40)</f>
        <v>11.180385833333332</v>
      </c>
      <c r="E40">
        <f>AVERAGE('R1'!L40,'R2'!L40,'R3'!L40)</f>
        <v>-1.3621482902515456</v>
      </c>
      <c r="F40">
        <f>AVERAGE('R1'!M40,'R2'!M40,'R3'!M40)</f>
        <v>-2.5285792732452581</v>
      </c>
      <c r="G40">
        <f>AVERAGE('R1'!N40,'R2'!N40,'R3'!N40)</f>
        <v>-1.4906459118134834</v>
      </c>
      <c r="H40">
        <f>AVERAGE('R1'!O40,'R2'!O40,'R3'!O40)</f>
        <v>-1.044626827288522</v>
      </c>
      <c r="I40">
        <f t="shared" si="1"/>
        <v>2198.8092138888887</v>
      </c>
      <c r="K40">
        <f>_xlfn.STDEV.S('R1'!L40,'R2'!L40,'R3'!L40)</f>
        <v>9.0913195181815919E-3</v>
      </c>
      <c r="L40">
        <f>_xlfn.STDEV.S('R1'!M40,'R2'!M40,'R3'!M40)</f>
        <v>2.449035488422617E-2</v>
      </c>
      <c r="M40">
        <f>_xlfn.STDEV.S('R1'!N40,'R2'!N40,'R3'!N40)</f>
        <v>2.7105835149526653E-2</v>
      </c>
      <c r="N40">
        <f>_xlfn.STDEV.S('R1'!O40,'R2'!O40,'R3'!O40)</f>
        <v>5.8360443573810903E-3</v>
      </c>
    </row>
    <row r="41" spans="1:14" x14ac:dyDescent="0.25">
      <c r="A41">
        <f>-'R1'!H41</f>
        <v>40</v>
      </c>
      <c r="B41">
        <f>DEGREES(ATAN(-SIN(RADIANS(('R1'!I41)))/(COS(RADIANS(Sheet1!A41))*COS(RADIANS('R1'!I41)))))</f>
        <v>-25.413766880049252</v>
      </c>
      <c r="C41">
        <f>AVERAGE('R1'!J41,'R2'!J41,'R3'!J41)</f>
        <v>1.18</v>
      </c>
      <c r="D41">
        <f>AVERAGE('R1'!K41,'R2'!K41,'R3'!K41)</f>
        <v>11.233738083333334</v>
      </c>
      <c r="E41">
        <f>AVERAGE('R1'!L41,'R2'!L41,'R3'!L41)</f>
        <v>-1.5463920550285915</v>
      </c>
      <c r="F41">
        <f>AVERAGE('R1'!M41,'R2'!M41,'R3'!M41)</f>
        <v>-2.4409949937285433</v>
      </c>
      <c r="G41">
        <f>AVERAGE('R1'!N41,'R2'!N41,'R3'!N41)</f>
        <v>-1.5164103680102421</v>
      </c>
      <c r="H41">
        <f>AVERAGE('R1'!O41,'R2'!O41,'R3'!O41)</f>
        <v>-1.1185059543033882</v>
      </c>
      <c r="I41">
        <f t="shared" si="1"/>
        <v>2209.3018230555558</v>
      </c>
      <c r="K41">
        <f>_xlfn.STDEV.S('R1'!L41,'R2'!L41,'R3'!L41)</f>
        <v>1.4974728393436419E-2</v>
      </c>
      <c r="L41">
        <f>_xlfn.STDEV.S('R1'!M41,'R2'!M41,'R3'!M41)</f>
        <v>1.6747333137526292E-2</v>
      </c>
      <c r="M41">
        <f>_xlfn.STDEV.S('R1'!N41,'R2'!N41,'R3'!N41)</f>
        <v>2.6970831349075266E-2</v>
      </c>
      <c r="N41">
        <f>_xlfn.STDEV.S('R1'!O41,'R2'!O41,'R3'!O41)</f>
        <v>2.0974789589742597E-3</v>
      </c>
    </row>
    <row r="42" spans="1:14" x14ac:dyDescent="0.25">
      <c r="A42">
        <f>-'R1'!H42</f>
        <v>40</v>
      </c>
      <c r="B42">
        <f>DEGREES(ATAN(-SIN(RADIANS(('R1'!I42)))/(COS(RADIANS(Sheet1!A42))*COS(RADIANS('R1'!I42)))))</f>
        <v>-30.165358572591657</v>
      </c>
      <c r="C42">
        <f>AVERAGE('R1'!J42,'R2'!J42,'R3'!J42)</f>
        <v>1.18</v>
      </c>
      <c r="D42">
        <f>AVERAGE('R1'!K42,'R2'!K42,'R3'!K42)</f>
        <v>11.2549525</v>
      </c>
      <c r="E42">
        <f>AVERAGE('R1'!L42,'R2'!L42,'R3'!L42)</f>
        <v>-1.7023405180701043</v>
      </c>
      <c r="F42">
        <f>AVERAGE('R1'!M42,'R2'!M42,'R3'!M42)</f>
        <v>-2.3868579137786745</v>
      </c>
      <c r="G42">
        <f>AVERAGE('R1'!N42,'R2'!N42,'R3'!N42)</f>
        <v>-1.5491313152022688</v>
      </c>
      <c r="H42">
        <f>AVERAGE('R1'!O42,'R2'!O42,'R3'!O42)</f>
        <v>-1.2013153084553747</v>
      </c>
      <c r="I42">
        <f t="shared" si="1"/>
        <v>2213.4739916666667</v>
      </c>
      <c r="K42">
        <f>_xlfn.STDEV.S('R1'!L42,'R2'!L42,'R3'!L42)</f>
        <v>1.7193110576693881E-2</v>
      </c>
      <c r="L42">
        <f>_xlfn.STDEV.S('R1'!M42,'R2'!M42,'R3'!M42)</f>
        <v>2.9344035077601378E-2</v>
      </c>
      <c r="M42">
        <f>_xlfn.STDEV.S('R1'!N42,'R2'!N42,'R3'!N42)</f>
        <v>3.3237989818359633E-2</v>
      </c>
      <c r="N42">
        <f>_xlfn.STDEV.S('R1'!O42,'R2'!O42,'R3'!O42)</f>
        <v>6.3456279539877668E-3</v>
      </c>
    </row>
    <row r="43" spans="1:14" x14ac:dyDescent="0.25">
      <c r="A43">
        <f>-'R1'!H43</f>
        <v>40</v>
      </c>
      <c r="B43">
        <f>DEGREES(ATAN(-SIN(RADIANS(('R1'!I43)))/(COS(RADIANS(Sheet1!A43))*COS(RADIANS('R1'!I43)))))</f>
        <v>-34.764413107862225</v>
      </c>
      <c r="C43">
        <f>AVERAGE('R1'!J43,'R2'!J43,'R3'!J43)</f>
        <v>1.18</v>
      </c>
      <c r="D43">
        <f>AVERAGE('R1'!K43,'R2'!K43,'R3'!K43)</f>
        <v>11.288748666666669</v>
      </c>
      <c r="E43">
        <f>AVERAGE('R1'!L43,'R2'!L43,'R3'!L43)</f>
        <v>-1.8758824871715483</v>
      </c>
      <c r="F43">
        <f>AVERAGE('R1'!M43,'R2'!M43,'R3'!M43)</f>
        <v>-2.4015706612410015</v>
      </c>
      <c r="G43">
        <f>AVERAGE('R1'!N43,'R2'!N43,'R3'!N43)</f>
        <v>-1.6589643157344316</v>
      </c>
      <c r="H43">
        <f>AVERAGE('R1'!O43,'R2'!O43,'R3'!O43)</f>
        <v>-1.3228890591122136</v>
      </c>
      <c r="I43">
        <f t="shared" si="1"/>
        <v>2220.1205711111115</v>
      </c>
      <c r="K43">
        <f>_xlfn.STDEV.S('R1'!L43,'R2'!L43,'R3'!L43)</f>
        <v>2.1877281919128924E-2</v>
      </c>
      <c r="L43">
        <f>_xlfn.STDEV.S('R1'!M43,'R2'!M43,'R3'!M43)</f>
        <v>3.1211693587084255E-2</v>
      </c>
      <c r="M43">
        <f>_xlfn.STDEV.S('R1'!N43,'R2'!N43,'R3'!N43)</f>
        <v>4.1015806886136791E-2</v>
      </c>
      <c r="N43">
        <f>_xlfn.STDEV.S('R1'!O43,'R2'!O43,'R3'!O43)</f>
        <v>8.7264228333629214E-3</v>
      </c>
    </row>
    <row r="44" spans="1:14" x14ac:dyDescent="0.25">
      <c r="A44">
        <f>-'R1'!H44</f>
        <v>40</v>
      </c>
      <c r="B44">
        <f>DEGREES(ATAN(-SIN(RADIANS(('R1'!I44)))/(COS(RADIANS(Sheet1!A44))*COS(RADIANS('R1'!I44)))))</f>
        <v>-39.204435233296593</v>
      </c>
      <c r="C44">
        <f>AVERAGE('R1'!J44,'R2'!J44,'R3'!J44)</f>
        <v>1.18</v>
      </c>
      <c r="D44">
        <f>AVERAGE('R1'!K44,'R2'!K44,'R3'!K44)</f>
        <v>11.341675666666667</v>
      </c>
      <c r="E44">
        <f>AVERAGE('R1'!L44,'R2'!L44,'R3'!L44)</f>
        <v>-2.0547878228611114</v>
      </c>
      <c r="F44">
        <f>AVERAGE('R1'!M44,'R2'!M44,'R3'!M44)</f>
        <v>-2.4566076933194263</v>
      </c>
      <c r="G44">
        <f>AVERAGE('R1'!N44,'R2'!N44,'R3'!N44)</f>
        <v>-1.8097640384918872</v>
      </c>
      <c r="H44">
        <f>AVERAGE('R1'!O44,'R2'!O44,'R3'!O44)</f>
        <v>-1.4601093279871487</v>
      </c>
      <c r="I44">
        <f t="shared" si="1"/>
        <v>2230.5295477777777</v>
      </c>
      <c r="K44">
        <f>_xlfn.STDEV.S('R1'!L44,'R2'!L44,'R3'!L44)</f>
        <v>2.6038473583264807E-2</v>
      </c>
      <c r="L44">
        <f>_xlfn.STDEV.S('R1'!M44,'R2'!M44,'R3'!M44)</f>
        <v>3.9609032735990299E-2</v>
      </c>
      <c r="M44">
        <f>_xlfn.STDEV.S('R1'!N44,'R2'!N44,'R3'!N44)</f>
        <v>5.8060722984406794E-2</v>
      </c>
      <c r="N44">
        <f>_xlfn.STDEV.S('R1'!O44,'R2'!O44,'R3'!O44)</f>
        <v>2.5967523042695513E-2</v>
      </c>
    </row>
    <row r="45" spans="1:14" x14ac:dyDescent="0.25">
      <c r="A45">
        <f>-'R1'!H45</f>
        <v>40</v>
      </c>
      <c r="B45">
        <f>DEGREES(ATAN(-SIN(RADIANS(('R1'!I45)))/(COS(RADIANS(Sheet1!A45))*COS(RADIANS('R1'!I45)))))</f>
        <v>-43.48399800633365</v>
      </c>
      <c r="C45">
        <f>AVERAGE('R1'!J45,'R2'!J45,'R3'!J45)</f>
        <v>1.18</v>
      </c>
      <c r="D45">
        <f>AVERAGE('R1'!K45,'R2'!K45,'R3'!K45)</f>
        <v>11.354890083333332</v>
      </c>
      <c r="E45">
        <f>AVERAGE('R1'!L45,'R2'!L45,'R3'!L45)</f>
        <v>-2.2702864262985294</v>
      </c>
      <c r="F45">
        <f>AVERAGE('R1'!M45,'R2'!M45,'R3'!M45)</f>
        <v>-2.5709195575369121</v>
      </c>
      <c r="G45">
        <f>AVERAGE('R1'!N45,'R2'!N45,'R3'!N45)</f>
        <v>-2.0372770414151637</v>
      </c>
      <c r="H45">
        <f>AVERAGE('R1'!O45,'R2'!O45,'R3'!O45)</f>
        <v>-1.6349616533306304</v>
      </c>
      <c r="I45">
        <f t="shared" si="1"/>
        <v>2233.1283830555558</v>
      </c>
      <c r="K45">
        <f>_xlfn.STDEV.S('R1'!L45,'R2'!L45,'R3'!L45)</f>
        <v>3.2435406042734365E-2</v>
      </c>
      <c r="L45">
        <f>_xlfn.STDEV.S('R1'!M45,'R2'!M45,'R3'!M45)</f>
        <v>3.8030884996422952E-2</v>
      </c>
      <c r="M45">
        <f>_xlfn.STDEV.S('R1'!N45,'R2'!N45,'R3'!N45)</f>
        <v>5.5703007287322567E-2</v>
      </c>
      <c r="N45">
        <f>_xlfn.STDEV.S('R1'!O45,'R2'!O45,'R3'!O45)</f>
        <v>2.6507290885299073E-2</v>
      </c>
    </row>
    <row r="46" spans="1:14" x14ac:dyDescent="0.25">
      <c r="A46">
        <f>-'R1'!H46</f>
        <v>40</v>
      </c>
      <c r="B46">
        <f>DEGREES(ATAN(-SIN(RADIANS(('R1'!I46)))/(COS(RADIANS(Sheet1!A46))*COS(RADIANS('R1'!I46)))))</f>
        <v>-47.605913955135343</v>
      </c>
      <c r="C46">
        <f>AVERAGE('R1'!J46,'R2'!J46,'R3'!J46)</f>
        <v>1.18</v>
      </c>
      <c r="D46">
        <f>AVERAGE('R1'!K46,'R2'!K46,'R3'!K46)</f>
        <v>11.389824916666669</v>
      </c>
      <c r="E46">
        <f>AVERAGE('R1'!L46,'R2'!L46,'R3'!L46)</f>
        <v>-2.5257398260996631</v>
      </c>
      <c r="F46">
        <f>AVERAGE('R1'!M46,'R2'!M46,'R3'!M46)</f>
        <v>-2.7416907815445608</v>
      </c>
      <c r="G46">
        <f>AVERAGE('R1'!N46,'R2'!N46,'R3'!N46)</f>
        <v>-2.3476869344376343</v>
      </c>
      <c r="H46">
        <f>AVERAGE('R1'!O46,'R2'!O46,'R3'!O46)</f>
        <v>-1.8519909458268413</v>
      </c>
      <c r="I46">
        <f t="shared" si="1"/>
        <v>2239.9989002777784</v>
      </c>
      <c r="K46">
        <f>_xlfn.STDEV.S('R1'!L46,'R2'!L46,'R3'!L46)</f>
        <v>3.1143611986147207E-2</v>
      </c>
      <c r="L46">
        <f>_xlfn.STDEV.S('R1'!M46,'R2'!M46,'R3'!M46)</f>
        <v>2.6309247227795523E-2</v>
      </c>
      <c r="M46">
        <f>_xlfn.STDEV.S('R1'!N46,'R2'!N46,'R3'!N46)</f>
        <v>4.438250635579797E-2</v>
      </c>
      <c r="N46">
        <f>_xlfn.STDEV.S('R1'!O46,'R2'!O46,'R3'!O46)</f>
        <v>1.9447931368017129E-2</v>
      </c>
    </row>
    <row r="47" spans="1:14" x14ac:dyDescent="0.25">
      <c r="A47">
        <f>-'R1'!H47</f>
        <v>40</v>
      </c>
      <c r="B47">
        <f>DEGREES(ATAN(-SIN(RADIANS(('R1'!I47)))/(COS(RADIANS(Sheet1!A47))*COS(RADIANS('R1'!I47)))))</f>
        <v>-51.576359961556868</v>
      </c>
      <c r="C47">
        <f>AVERAGE('R1'!J47,'R2'!J47,'R3'!J47)</f>
        <v>1.18</v>
      </c>
      <c r="D47">
        <f>AVERAGE('R1'!K47,'R2'!K47,'R3'!K47)</f>
        <v>11.395998166666667</v>
      </c>
      <c r="E47">
        <f>AVERAGE('R1'!L47,'R2'!L47,'R3'!L47)</f>
        <v>-2.8855306669033776</v>
      </c>
      <c r="F47">
        <f>AVERAGE('R1'!M47,'R2'!M47,'R3'!M47)</f>
        <v>-3.0392819751835312</v>
      </c>
      <c r="G47">
        <f>AVERAGE('R1'!N47,'R2'!N47,'R3'!N47)</f>
        <v>-2.8407303261605645</v>
      </c>
      <c r="H47">
        <f>AVERAGE('R1'!O47,'R2'!O47,'R3'!O47)</f>
        <v>-2.1558095263554038</v>
      </c>
      <c r="I47">
        <f t="shared" si="1"/>
        <v>2241.2129727777774</v>
      </c>
      <c r="K47">
        <f>_xlfn.STDEV.S('R1'!L47,'R2'!L47,'R3'!L47)</f>
        <v>3.657957454949641E-2</v>
      </c>
      <c r="L47">
        <f>_xlfn.STDEV.S('R1'!M47,'R2'!M47,'R3'!M47)</f>
        <v>4.0376705248243792E-2</v>
      </c>
      <c r="M47">
        <f>_xlfn.STDEV.S('R1'!N47,'R2'!N47,'R3'!N47)</f>
        <v>6.5932992490177575E-2</v>
      </c>
      <c r="N47">
        <f>_xlfn.STDEV.S('R1'!O47,'R2'!O47,'R3'!O47)</f>
        <v>2.9732624562074865E-2</v>
      </c>
    </row>
    <row r="48" spans="1:14" x14ac:dyDescent="0.25">
      <c r="A48">
        <f>-'R1'!H48</f>
        <v>36</v>
      </c>
      <c r="B48">
        <f>DEGREES(ATAN(-SIN(RADIANS(('R1'!I48)))/(COS(RADIANS(Sheet1!A48))*COS(RADIANS('R1'!I48)))))</f>
        <v>50.045016920059574</v>
      </c>
      <c r="C48">
        <f>AVERAGE('R1'!J48,'R2'!J48,'R3'!J48)</f>
        <v>1.1808333333333332</v>
      </c>
      <c r="D48">
        <f>AVERAGE('R1'!K48,'R2'!K48,'R3'!K48)</f>
        <v>11.309368166666665</v>
      </c>
      <c r="E48">
        <f>AVERAGE('R1'!L48,'R2'!L48,'R3'!L48)</f>
        <v>2.0354298759129872</v>
      </c>
      <c r="F48">
        <f>AVERAGE('R1'!M48,'R2'!M48,'R3'!M48)</f>
        <v>-2.1300590386465017</v>
      </c>
      <c r="G48">
        <f>AVERAGE('R1'!N48,'R2'!N48,'R3'!N48)</f>
        <v>-1.6605716330203293</v>
      </c>
      <c r="H48">
        <f>AVERAGE('R1'!O48,'R2'!O48,'R3'!O48)</f>
        <v>-1.4788813599443575</v>
      </c>
      <c r="I48">
        <f t="shared" si="1"/>
        <v>2225.7464850231472</v>
      </c>
      <c r="K48">
        <f>_xlfn.STDEV.S('R1'!L48,'R2'!L48,'R3'!L48)</f>
        <v>1.5925705395490087E-2</v>
      </c>
      <c r="L48">
        <f>_xlfn.STDEV.S('R1'!M48,'R2'!M48,'R3'!M48)</f>
        <v>2.1369267783757483E-3</v>
      </c>
      <c r="M48">
        <f>_xlfn.STDEV.S('R1'!N48,'R2'!N48,'R3'!N48)</f>
        <v>1.3870027948573621E-2</v>
      </c>
      <c r="N48">
        <f>_xlfn.STDEV.S('R1'!O48,'R2'!O48,'R3'!O48)</f>
        <v>4.1008464966123771E-3</v>
      </c>
    </row>
    <row r="49" spans="1:14" x14ac:dyDescent="0.25">
      <c r="A49">
        <f>-'R1'!H49</f>
        <v>36</v>
      </c>
      <c r="B49">
        <f>DEGREES(ATAN(-SIN(RADIANS(('R1'!I49)))/(COS(RADIANS(Sheet1!A49))*COS(RADIANS('R1'!I49)))))</f>
        <v>46.045688589723383</v>
      </c>
      <c r="C49">
        <f>AVERAGE('R1'!J49,'R2'!J49,'R3'!J49)</f>
        <v>1.1833333333333333</v>
      </c>
      <c r="D49">
        <f>AVERAGE('R1'!K49,'R2'!K49,'R3'!K49)</f>
        <v>11.274900583333334</v>
      </c>
      <c r="E49">
        <f>AVERAGE('R1'!L49,'R2'!L49,'R3'!L49)</f>
        <v>1.9187242080565898</v>
      </c>
      <c r="F49">
        <f>AVERAGE('R1'!M49,'R2'!M49,'R3'!M49)</f>
        <v>-2.0758043866357667</v>
      </c>
      <c r="G49">
        <f>AVERAGE('R1'!N49,'R2'!N49,'R3'!N49)</f>
        <v>-1.5098726046257329</v>
      </c>
      <c r="H49">
        <f>AVERAGE('R1'!O49,'R2'!O49,'R3'!O49)</f>
        <v>-1.3499673260928227</v>
      </c>
      <c r="I49">
        <f t="shared" si="1"/>
        <v>2223.6609483796296</v>
      </c>
      <c r="K49">
        <f>_xlfn.STDEV.S('R1'!L49,'R2'!L49,'R3'!L49)</f>
        <v>1.0899033297755475E-2</v>
      </c>
      <c r="L49">
        <f>_xlfn.STDEV.S('R1'!M49,'R2'!M49,'R3'!M49)</f>
        <v>1.9520488640315373E-2</v>
      </c>
      <c r="M49">
        <f>_xlfn.STDEV.S('R1'!N49,'R2'!N49,'R3'!N49)</f>
        <v>2.2357496577922374E-2</v>
      </c>
      <c r="N49">
        <f>_xlfn.STDEV.S('R1'!O49,'R2'!O49,'R3'!O49)</f>
        <v>8.8771309400878014E-3</v>
      </c>
    </row>
    <row r="50" spans="1:14" x14ac:dyDescent="0.25">
      <c r="A50">
        <f>-'R1'!H50</f>
        <v>36</v>
      </c>
      <c r="B50">
        <f>DEGREES(ATAN(-SIN(RADIANS(('R1'!I50)))/(COS(RADIANS(Sheet1!A50))*COS(RADIANS('R1'!I50)))))</f>
        <v>41.925613925819086</v>
      </c>
      <c r="C50">
        <f>AVERAGE('R1'!J50,'R2'!J50,'R3'!J50)</f>
        <v>1.1816666666666666</v>
      </c>
      <c r="D50">
        <f>AVERAGE('R1'!K50,'R2'!K50,'R3'!K50)</f>
        <v>11.224324999999999</v>
      </c>
      <c r="E50">
        <f>AVERAGE('R1'!L50,'R2'!L50,'R3'!L50)</f>
        <v>1.7923885042236789</v>
      </c>
      <c r="F50">
        <f>AVERAGE('R1'!M50,'R2'!M50,'R3'!M50)</f>
        <v>-2.0492949872055162</v>
      </c>
      <c r="G50">
        <f>AVERAGE('R1'!N50,'R2'!N50,'R3'!N50)</f>
        <v>-1.3852779138090991</v>
      </c>
      <c r="H50">
        <f>AVERAGE('R1'!O50,'R2'!O50,'R3'!O50)</f>
        <v>-1.2248950918418913</v>
      </c>
      <c r="I50">
        <f t="shared" si="1"/>
        <v>2210.5684513888887</v>
      </c>
      <c r="K50">
        <f>_xlfn.STDEV.S('R1'!L50,'R2'!L50,'R3'!L50)</f>
        <v>1.476508721083763E-2</v>
      </c>
      <c r="L50">
        <f>_xlfn.STDEV.S('R1'!M50,'R2'!M50,'R3'!M50)</f>
        <v>2.2870677481407288E-2</v>
      </c>
      <c r="M50">
        <f>_xlfn.STDEV.S('R1'!N50,'R2'!N50,'R3'!N50)</f>
        <v>2.5971610375369953E-2</v>
      </c>
      <c r="N50">
        <f>_xlfn.STDEV.S('R1'!O50,'R2'!O50,'R3'!O50)</f>
        <v>1.1054795873681723E-2</v>
      </c>
    </row>
    <row r="51" spans="1:14" x14ac:dyDescent="0.25">
      <c r="A51">
        <f>-'R1'!H51</f>
        <v>36</v>
      </c>
      <c r="B51">
        <f>DEGREES(ATAN(-SIN(RADIANS(('R1'!I51)))/(COS(RADIANS(Sheet1!A51))*COS(RADIANS('R1'!I51)))))</f>
        <v>37.681815805789164</v>
      </c>
      <c r="C51">
        <f>AVERAGE('R1'!J51,'R2'!J51,'R3'!J51)</f>
        <v>1.18</v>
      </c>
      <c r="D51">
        <f>AVERAGE('R1'!K51,'R2'!K51,'R3'!K51)</f>
        <v>11.25826825</v>
      </c>
      <c r="E51">
        <f>AVERAGE('R1'!L51,'R2'!L51,'R3'!L51)</f>
        <v>1.6890402210573183</v>
      </c>
      <c r="F51">
        <f>AVERAGE('R1'!M51,'R2'!M51,'R3'!M51)</f>
        <v>-2.0806725595186109</v>
      </c>
      <c r="G51">
        <f>AVERAGE('R1'!N51,'R2'!N51,'R3'!N51)</f>
        <v>-1.3315314185794962</v>
      </c>
      <c r="H51">
        <f>AVERAGE('R1'!O51,'R2'!O51,'R3'!O51)</f>
        <v>-1.138351714905588</v>
      </c>
      <c r="I51">
        <f t="shared" si="1"/>
        <v>2214.1260891666666</v>
      </c>
      <c r="K51">
        <f>_xlfn.STDEV.S('R1'!L51,'R2'!L51,'R3'!L51)</f>
        <v>2.2801568813586182E-3</v>
      </c>
      <c r="L51">
        <f>_xlfn.STDEV.S('R1'!M51,'R2'!M51,'R3'!M51)</f>
        <v>1.2446581135168441E-2</v>
      </c>
      <c r="M51">
        <f>_xlfn.STDEV.S('R1'!N51,'R2'!N51,'R3'!N51)</f>
        <v>9.3666082699344379E-3</v>
      </c>
      <c r="N51">
        <f>_xlfn.STDEV.S('R1'!O51,'R2'!O51,'R3'!O51)</f>
        <v>8.7002027619143881E-3</v>
      </c>
    </row>
    <row r="52" spans="1:14" x14ac:dyDescent="0.25">
      <c r="A52">
        <f>-'R1'!H52</f>
        <v>36</v>
      </c>
      <c r="B52">
        <f>DEGREES(ATAN(-SIN(RADIANS(('R1'!I52)))/(COS(RADIANS(Sheet1!A52))*COS(RADIANS('R1'!I52)))))</f>
        <v>33.314077817276932</v>
      </c>
      <c r="C52">
        <f>AVERAGE('R1'!J52,'R2'!J52,'R3'!J52)</f>
        <v>1.18</v>
      </c>
      <c r="D52">
        <f>AVERAGE('R1'!K52,'R2'!K52,'R3'!K52)</f>
        <v>11.328110333333333</v>
      </c>
      <c r="E52">
        <f>AVERAGE('R1'!L52,'R2'!L52,'R3'!L52)</f>
        <v>1.5734507223688148</v>
      </c>
      <c r="F52">
        <f>AVERAGE('R1'!M52,'R2'!M52,'R3'!M52)</f>
        <v>-2.1258314792385531</v>
      </c>
      <c r="G52">
        <f>AVERAGE('R1'!N52,'R2'!N52,'R3'!N52)</f>
        <v>-1.2927369531485284</v>
      </c>
      <c r="H52">
        <f>AVERAGE('R1'!O52,'R2'!O52,'R3'!O52)</f>
        <v>-1.0435073321782289</v>
      </c>
      <c r="I52">
        <f t="shared" si="1"/>
        <v>2227.8616988888889</v>
      </c>
      <c r="K52">
        <f>_xlfn.STDEV.S('R1'!L52,'R2'!L52,'R3'!L52)</f>
        <v>8.0930729290731272E-3</v>
      </c>
      <c r="L52">
        <f>_xlfn.STDEV.S('R1'!M52,'R2'!M52,'R3'!M52)</f>
        <v>1.8985417218366694E-2</v>
      </c>
      <c r="M52">
        <f>_xlfn.STDEV.S('R1'!N52,'R2'!N52,'R3'!N52)</f>
        <v>1.9303710481697784E-2</v>
      </c>
      <c r="N52">
        <f>_xlfn.STDEV.S('R1'!O52,'R2'!O52,'R3'!O52)</f>
        <v>8.1010706627655735E-3</v>
      </c>
    </row>
    <row r="53" spans="1:14" x14ac:dyDescent="0.25">
      <c r="A53">
        <f>-'R1'!H53</f>
        <v>36</v>
      </c>
      <c r="B53">
        <f>DEGREES(ATAN(-SIN(RADIANS(('R1'!I53)))/(COS(RADIANS(Sheet1!A53))*COS(RADIANS('R1'!I53)))))</f>
        <v>28.825436554649738</v>
      </c>
      <c r="C53">
        <f>AVERAGE('R1'!J53,'R2'!J53,'R3'!J53)</f>
        <v>1.18</v>
      </c>
      <c r="D53">
        <f>AVERAGE('R1'!K53,'R2'!K53,'R3'!K53)</f>
        <v>11.349361166666668</v>
      </c>
      <c r="E53">
        <f>AVERAGE('R1'!L53,'R2'!L53,'R3'!L53)</f>
        <v>1.423748762767757</v>
      </c>
      <c r="F53">
        <f>AVERAGE('R1'!M53,'R2'!M53,'R3'!M53)</f>
        <v>-2.1960835769495533</v>
      </c>
      <c r="G53">
        <f>AVERAGE('R1'!N53,'R2'!N53,'R3'!N53)</f>
        <v>-1.2616571148558242</v>
      </c>
      <c r="H53">
        <f>AVERAGE('R1'!O53,'R2'!O53,'R3'!O53)</f>
        <v>-0.94524792797347246</v>
      </c>
      <c r="I53">
        <f t="shared" si="1"/>
        <v>2232.0410294444446</v>
      </c>
      <c r="K53">
        <f>_xlfn.STDEV.S('R1'!L53,'R2'!L53,'R3'!L53)</f>
        <v>4.660290498749102E-3</v>
      </c>
      <c r="L53">
        <f>_xlfn.STDEV.S('R1'!M53,'R2'!M53,'R3'!M53)</f>
        <v>1.284864934815973E-2</v>
      </c>
      <c r="M53">
        <f>_xlfn.STDEV.S('R1'!N53,'R2'!N53,'R3'!N53)</f>
        <v>1.1223175791666847E-2</v>
      </c>
      <c r="N53">
        <f>_xlfn.STDEV.S('R1'!O53,'R2'!O53,'R3'!O53)</f>
        <v>7.1963690423461841E-3</v>
      </c>
    </row>
    <row r="54" spans="1:14" x14ac:dyDescent="0.25">
      <c r="A54">
        <f>-'R1'!H54</f>
        <v>36</v>
      </c>
      <c r="B54">
        <f>DEGREES(ATAN(-SIN(RADIANS(('R1'!I54)))/(COS(RADIANS(Sheet1!A54))*COS(RADIANS('R1'!I54)))))</f>
        <v>24.22259689172926</v>
      </c>
      <c r="C54">
        <f>AVERAGE('R1'!J54,'R2'!J54,'R3'!J54)</f>
        <v>1.18</v>
      </c>
      <c r="D54">
        <f>AVERAGE('R1'!K54,'R2'!K54,'R3'!K54)</f>
        <v>11.397632000000002</v>
      </c>
      <c r="E54">
        <f>AVERAGE('R1'!L54,'R2'!L54,'R3'!L54)</f>
        <v>1.2507138129930793</v>
      </c>
      <c r="F54">
        <f>AVERAGE('R1'!M54,'R2'!M54,'R3'!M54)</f>
        <v>-2.2972760832492338</v>
      </c>
      <c r="G54">
        <f>AVERAGE('R1'!N54,'R2'!N54,'R3'!N54)</f>
        <v>-1.2551053381075317</v>
      </c>
      <c r="H54">
        <f>AVERAGE('R1'!O54,'R2'!O54,'R3'!O54)</f>
        <v>-0.86881702932995974</v>
      </c>
      <c r="I54">
        <f t="shared" si="1"/>
        <v>2241.5342933333336</v>
      </c>
      <c r="K54">
        <f>_xlfn.STDEV.S('R1'!L54,'R2'!L54,'R3'!L54)</f>
        <v>9.7087230258478142E-3</v>
      </c>
      <c r="L54">
        <f>_xlfn.STDEV.S('R1'!M54,'R2'!M54,'R3'!M54)</f>
        <v>2.3892567097790262E-2</v>
      </c>
      <c r="M54">
        <f>_xlfn.STDEV.S('R1'!N54,'R2'!N54,'R3'!N54)</f>
        <v>2.221083621649006E-2</v>
      </c>
      <c r="N54">
        <f>_xlfn.STDEV.S('R1'!O54,'R2'!O54,'R3'!O54)</f>
        <v>1.2496065099914515E-2</v>
      </c>
    </row>
    <row r="55" spans="1:14" x14ac:dyDescent="0.25">
      <c r="A55">
        <f>-'R1'!H55</f>
        <v>36</v>
      </c>
      <c r="B55">
        <f>DEGREES(ATAN(-SIN(RADIANS(('R1'!I55)))/(COS(RADIANS(Sheet1!A55))*COS(RADIANS('R1'!I55)))))</f>
        <v>19.516199251096932</v>
      </c>
      <c r="C55">
        <f>AVERAGE('R1'!J55,'R2'!J55,'R3'!J55)</f>
        <v>1.18</v>
      </c>
      <c r="D55">
        <f>AVERAGE('R1'!K55,'R2'!K55,'R3'!K55)</f>
        <v>11.440983833333334</v>
      </c>
      <c r="E55">
        <f>AVERAGE('R1'!L55,'R2'!L55,'R3'!L55)</f>
        <v>1.0412360205410911</v>
      </c>
      <c r="F55">
        <f>AVERAGE('R1'!M55,'R2'!M55,'R3'!M55)</f>
        <v>-2.4302390267580272</v>
      </c>
      <c r="G55">
        <f>AVERAGE('R1'!N55,'R2'!N55,'R3'!N55)</f>
        <v>-1.2638775871677996</v>
      </c>
      <c r="H55">
        <f>AVERAGE('R1'!O55,'R2'!O55,'R3'!O55)</f>
        <v>-0.7981962479990985</v>
      </c>
      <c r="I55">
        <f t="shared" si="1"/>
        <v>2250.0601538888891</v>
      </c>
      <c r="K55">
        <f>_xlfn.STDEV.S('R1'!L55,'R2'!L55,'R3'!L55)</f>
        <v>3.3041401435331763E-3</v>
      </c>
      <c r="L55">
        <f>_xlfn.STDEV.S('R1'!M55,'R2'!M55,'R3'!M55)</f>
        <v>2.3176143174840572E-2</v>
      </c>
      <c r="M55">
        <f>_xlfn.STDEV.S('R1'!N55,'R2'!N55,'R3'!N55)</f>
        <v>1.8206472168982472E-2</v>
      </c>
      <c r="N55">
        <f>_xlfn.STDEV.S('R1'!O55,'R2'!O55,'R3'!O55)</f>
        <v>8.4193323115750122E-3</v>
      </c>
    </row>
    <row r="56" spans="1:14" x14ac:dyDescent="0.25">
      <c r="A56">
        <f>-'R1'!H56</f>
        <v>36</v>
      </c>
      <c r="B56">
        <f>DEGREES(ATAN(-SIN(RADIANS(('R1'!I56)))/(COS(RADIANS(Sheet1!A56))*COS(RADIANS('R1'!I56)))))</f>
        <v>14.720865361542916</v>
      </c>
      <c r="C56">
        <f>AVERAGE('R1'!J56,'R2'!J56,'R3'!J56)</f>
        <v>1.18</v>
      </c>
      <c r="D56">
        <f>AVERAGE('R1'!K56,'R2'!K56,'R3'!K56)</f>
        <v>11.456901583333334</v>
      </c>
      <c r="E56">
        <f>AVERAGE('R1'!L56,'R2'!L56,'R3'!L56)</f>
        <v>0.79110458733331468</v>
      </c>
      <c r="F56">
        <f>AVERAGE('R1'!M56,'R2'!M56,'R3'!M56)</f>
        <v>-2.5971842335299398</v>
      </c>
      <c r="G56">
        <f>AVERAGE('R1'!N56,'R2'!N56,'R3'!N56)</f>
        <v>-1.299050238854295</v>
      </c>
      <c r="H56">
        <f>AVERAGE('R1'!O56,'R2'!O56,'R3'!O56)</f>
        <v>-0.73072230205654598</v>
      </c>
      <c r="I56">
        <f t="shared" si="1"/>
        <v>2253.1906447222223</v>
      </c>
      <c r="K56">
        <f>_xlfn.STDEV.S('R1'!L56,'R2'!L56,'R3'!L56)</f>
        <v>1.4434011624097487E-2</v>
      </c>
      <c r="L56">
        <f>_xlfn.STDEV.S('R1'!M56,'R2'!M56,'R3'!M56)</f>
        <v>1.611235124460839E-2</v>
      </c>
      <c r="M56">
        <f>_xlfn.STDEV.S('R1'!N56,'R2'!N56,'R3'!N56)</f>
        <v>1.8425407705672508E-2</v>
      </c>
      <c r="N56">
        <f>_xlfn.STDEV.S('R1'!O56,'R2'!O56,'R3'!O56)</f>
        <v>1.6147224788832678E-2</v>
      </c>
    </row>
    <row r="57" spans="1:14" x14ac:dyDescent="0.25">
      <c r="A57">
        <f>-'R1'!H57</f>
        <v>36</v>
      </c>
      <c r="B57">
        <f>DEGREES(ATAN(-SIN(RADIANS(('R1'!I57)))/(COS(RADIANS(Sheet1!A57))*COS(RADIANS('R1'!I57)))))</f>
        <v>9.8549609037615156</v>
      </c>
      <c r="C57">
        <f>AVERAGE('R1'!J57,'R2'!J57,'R3'!J57)</f>
        <v>1.18</v>
      </c>
      <c r="D57">
        <f>AVERAGE('R1'!K57,'R2'!K57,'R3'!K57)</f>
        <v>11.500690583333332</v>
      </c>
      <c r="E57">
        <f>AVERAGE('R1'!L57,'R2'!L57,'R3'!L57)</f>
        <v>0.49682795927755863</v>
      </c>
      <c r="F57">
        <f>AVERAGE('R1'!M57,'R2'!M57,'R3'!M57)</f>
        <v>-2.7955935647994168</v>
      </c>
      <c r="G57">
        <f>AVERAGE('R1'!N57,'R2'!N57,'R3'!N57)</f>
        <v>-1.355300292056387</v>
      </c>
      <c r="H57">
        <f>AVERAGE('R1'!O57,'R2'!O57,'R3'!O57)</f>
        <v>-0.66593919636691135</v>
      </c>
      <c r="I57">
        <f t="shared" si="1"/>
        <v>2261.8024813888883</v>
      </c>
      <c r="K57">
        <f>_xlfn.STDEV.S('R1'!L57,'R2'!L57,'R3'!L57)</f>
        <v>1.0373955579370571E-2</v>
      </c>
      <c r="L57">
        <f>_xlfn.STDEV.S('R1'!M57,'R2'!M57,'R3'!M57)</f>
        <v>3.4658954050270079E-2</v>
      </c>
      <c r="M57">
        <f>_xlfn.STDEV.S('R1'!N57,'R2'!N57,'R3'!N57)</f>
        <v>3.2117009815754403E-2</v>
      </c>
      <c r="N57">
        <f>_xlfn.STDEV.S('R1'!O57,'R2'!O57,'R3'!O57)</f>
        <v>2.0102185341105555E-2</v>
      </c>
    </row>
    <row r="58" spans="1:14" x14ac:dyDescent="0.25">
      <c r="A58">
        <f>-'R1'!H58</f>
        <v>36</v>
      </c>
      <c r="B58">
        <f>DEGREES(ATAN(-SIN(RADIANS(('R1'!I58)))/(COS(RADIANS(Sheet1!A58))*COS(RADIANS('R1'!I58)))))</f>
        <v>4.940042441862353</v>
      </c>
      <c r="C58">
        <f>AVERAGE('R1'!J58,'R2'!J58,'R3'!J58)</f>
        <v>1.18</v>
      </c>
      <c r="D58">
        <f>AVERAGE('R1'!K58,'R2'!K58,'R3'!K58)</f>
        <v>11.521424416666667</v>
      </c>
      <c r="E58">
        <f>AVERAGE('R1'!L58,'R2'!L58,'R3'!L58)</f>
        <v>0.14605075601486414</v>
      </c>
      <c r="F58">
        <f>AVERAGE('R1'!M58,'R2'!M58,'R3'!M58)</f>
        <v>-3.0278167329641401</v>
      </c>
      <c r="G58">
        <f>AVERAGE('R1'!N58,'R2'!N58,'R3'!N58)</f>
        <v>-1.4382259185538457</v>
      </c>
      <c r="H58">
        <f>AVERAGE('R1'!O58,'R2'!O58,'R3'!O58)</f>
        <v>-0.60662325341559009</v>
      </c>
      <c r="I58">
        <f t="shared" si="1"/>
        <v>2265.8801352777778</v>
      </c>
      <c r="K58">
        <f>_xlfn.STDEV.S('R1'!L58,'R2'!L58,'R3'!L58)</f>
        <v>2.353000088775801E-3</v>
      </c>
      <c r="L58">
        <f>_xlfn.STDEV.S('R1'!M58,'R2'!M58,'R3'!M58)</f>
        <v>3.2991305787733204E-2</v>
      </c>
      <c r="M58">
        <f>_xlfn.STDEV.S('R1'!N58,'R2'!N58,'R3'!N58)</f>
        <v>2.6735094144003067E-2</v>
      </c>
      <c r="N58">
        <f>_xlfn.STDEV.S('R1'!O58,'R2'!O58,'R3'!O58)</f>
        <v>1.4887143700595898E-2</v>
      </c>
    </row>
    <row r="59" spans="1:14" x14ac:dyDescent="0.25">
      <c r="A59">
        <f>-'R1'!H59</f>
        <v>36</v>
      </c>
      <c r="B59">
        <f>DEGREES(ATAN(-SIN(RADIANS(('R1'!I59)))/(COS(RADIANS(Sheet1!A59))*COS(RADIANS('R1'!I59)))))</f>
        <v>0</v>
      </c>
      <c r="C59">
        <f>AVERAGE('R1'!J59,'R2'!J59,'R3'!J59)</f>
        <v>1.18</v>
      </c>
      <c r="D59">
        <f>AVERAGE('R1'!K59,'R2'!K59,'R3'!K59)</f>
        <v>11.549483916666667</v>
      </c>
      <c r="E59">
        <f>AVERAGE('R1'!L59,'R2'!L59,'R3'!L59)</f>
        <v>-0.22527176248081682</v>
      </c>
      <c r="F59">
        <f>AVERAGE('R1'!M59,'R2'!M59,'R3'!M59)</f>
        <v>-2.9292554384912628</v>
      </c>
      <c r="G59">
        <f>AVERAGE('R1'!N59,'R2'!N59,'R3'!N59)</f>
        <v>-1.3808395459405471</v>
      </c>
      <c r="H59">
        <f>AVERAGE('R1'!O59,'R2'!O59,'R3'!O59)</f>
        <v>-0.60247820987443401</v>
      </c>
      <c r="I59">
        <f t="shared" si="1"/>
        <v>2271.3985036111112</v>
      </c>
      <c r="K59">
        <f>_xlfn.STDEV.S('R1'!L59,'R2'!L59,'R3'!L59)</f>
        <v>4.3210942882998104E-3</v>
      </c>
      <c r="L59">
        <f>_xlfn.STDEV.S('R1'!M59,'R2'!M59,'R3'!M59)</f>
        <v>3.4986603767938183E-2</v>
      </c>
      <c r="M59">
        <f>_xlfn.STDEV.S('R1'!N59,'R2'!N59,'R3'!N59)</f>
        <v>2.7131667913435964E-2</v>
      </c>
      <c r="N59">
        <f>_xlfn.STDEV.S('R1'!O59,'R2'!O59,'R3'!O59)</f>
        <v>8.8710550041955407E-3</v>
      </c>
    </row>
    <row r="60" spans="1:14" x14ac:dyDescent="0.25">
      <c r="A60">
        <f>-'R1'!H60</f>
        <v>36</v>
      </c>
      <c r="B60">
        <f>DEGREES(ATAN(-SIN(RADIANS(('R1'!I60)))/(COS(RADIANS(Sheet1!A60))*COS(RADIANS('R1'!I60)))))</f>
        <v>-4.940042441862353</v>
      </c>
      <c r="C60">
        <f>AVERAGE('R1'!J60,'R2'!J60,'R3'!J60)</f>
        <v>1.18</v>
      </c>
      <c r="D60">
        <f>AVERAGE('R1'!K60,'R2'!K60,'R3'!K60)</f>
        <v>11.595931333333333</v>
      </c>
      <c r="E60">
        <f>AVERAGE('R1'!L60,'R2'!L60,'R3'!L60)</f>
        <v>-0.5537557410414502</v>
      </c>
      <c r="F60">
        <f>AVERAGE('R1'!M60,'R2'!M60,'R3'!M60)</f>
        <v>-2.6524351425736978</v>
      </c>
      <c r="G60">
        <f>AVERAGE('R1'!N60,'R2'!N60,'R3'!N60)</f>
        <v>-1.2524885491531894</v>
      </c>
      <c r="H60">
        <f>AVERAGE('R1'!O60,'R2'!O60,'R3'!O60)</f>
        <v>-0.64388094388675532</v>
      </c>
      <c r="I60">
        <f t="shared" si="1"/>
        <v>2280.533162222222</v>
      </c>
      <c r="K60">
        <f>_xlfn.STDEV.S('R1'!L60,'R2'!L60,'R3'!L60)</f>
        <v>1.6100149841186977E-3</v>
      </c>
      <c r="L60">
        <f>_xlfn.STDEV.S('R1'!M60,'R2'!M60,'R3'!M60)</f>
        <v>1.8961871103054175E-2</v>
      </c>
      <c r="M60">
        <f>_xlfn.STDEV.S('R1'!N60,'R2'!N60,'R3'!N60)</f>
        <v>1.7156753725941665E-2</v>
      </c>
      <c r="N60">
        <f>_xlfn.STDEV.S('R1'!O60,'R2'!O60,'R3'!O60)</f>
        <v>1.091004168371483E-2</v>
      </c>
    </row>
    <row r="61" spans="1:14" x14ac:dyDescent="0.25">
      <c r="A61">
        <f>-'R1'!H61</f>
        <v>36</v>
      </c>
      <c r="B61">
        <f>DEGREES(ATAN(-SIN(RADIANS(('R1'!I61)))/(COS(RADIANS(Sheet1!A61))*COS(RADIANS('R1'!I61)))))</f>
        <v>-9.8549609037615156</v>
      </c>
      <c r="C61">
        <f>AVERAGE('R1'!J61,'R2'!J61,'R3'!J61)</f>
        <v>1.18</v>
      </c>
      <c r="D61">
        <f>AVERAGE('R1'!K61,'R2'!K61,'R3'!K61)</f>
        <v>11.537644833333333</v>
      </c>
      <c r="E61">
        <f>AVERAGE('R1'!L61,'R2'!L61,'R3'!L61)</f>
        <v>-0.81251874063622731</v>
      </c>
      <c r="F61">
        <f>AVERAGE('R1'!M61,'R2'!M61,'R3'!M61)</f>
        <v>-2.4404760983026104</v>
      </c>
      <c r="G61">
        <f>AVERAGE('R1'!N61,'R2'!N61,'R3'!N61)</f>
        <v>-1.1705012895144116</v>
      </c>
      <c r="H61">
        <f>AVERAGE('R1'!O61,'R2'!O61,'R3'!O61)</f>
        <v>-0.68109595209277574</v>
      </c>
      <c r="I61">
        <f t="shared" si="1"/>
        <v>2269.0701505555553</v>
      </c>
      <c r="K61">
        <f>_xlfn.STDEV.S('R1'!L61,'R2'!L61,'R3'!L61)</f>
        <v>1.0539609986823363E-2</v>
      </c>
      <c r="L61">
        <f>_xlfn.STDEV.S('R1'!M61,'R2'!M61,'R3'!M61)</f>
        <v>5.0981010383953891E-3</v>
      </c>
      <c r="M61">
        <f>_xlfn.STDEV.S('R1'!N61,'R2'!N61,'R3'!N61)</f>
        <v>4.0287474183382018E-3</v>
      </c>
      <c r="N61">
        <f>_xlfn.STDEV.S('R1'!O61,'R2'!O61,'R3'!O61)</f>
        <v>1.0191291588868537E-2</v>
      </c>
    </row>
    <row r="62" spans="1:14" x14ac:dyDescent="0.25">
      <c r="A62">
        <f>-'R1'!H62</f>
        <v>36</v>
      </c>
      <c r="B62">
        <f>DEGREES(ATAN(-SIN(RADIANS(('R1'!I62)))/(COS(RADIANS(Sheet1!A62))*COS(RADIANS('R1'!I62)))))</f>
        <v>-14.720865361542916</v>
      </c>
      <c r="C62">
        <f>AVERAGE('R1'!J62,'R2'!J62,'R3'!J62)</f>
        <v>1.18</v>
      </c>
      <c r="D62">
        <f>AVERAGE('R1'!K62,'R2'!K62,'R3'!K62)</f>
        <v>11.490371166666668</v>
      </c>
      <c r="E62">
        <f>AVERAGE('R1'!L62,'R2'!L62,'R3'!L62)</f>
        <v>-1.0572943382147901</v>
      </c>
      <c r="F62">
        <f>AVERAGE('R1'!M62,'R2'!M62,'R3'!M62)</f>
        <v>-2.2902079024876119</v>
      </c>
      <c r="G62">
        <f>AVERAGE('R1'!N62,'R2'!N62,'R3'!N62)</f>
        <v>-1.1477176294179643</v>
      </c>
      <c r="H62">
        <f>AVERAGE('R1'!O62,'R2'!O62,'R3'!O62)</f>
        <v>-0.73747576547297256</v>
      </c>
      <c r="I62">
        <f t="shared" si="1"/>
        <v>2259.7729961111113</v>
      </c>
      <c r="K62">
        <f>_xlfn.STDEV.S('R1'!L62,'R2'!L62,'R3'!L62)</f>
        <v>5.1678757335856217E-3</v>
      </c>
      <c r="L62">
        <f>_xlfn.STDEV.S('R1'!M62,'R2'!M62,'R3'!M62)</f>
        <v>1.8535580624312625E-2</v>
      </c>
      <c r="M62">
        <f>_xlfn.STDEV.S('R1'!N62,'R2'!N62,'R3'!N62)</f>
        <v>1.801250338168936E-2</v>
      </c>
      <c r="N62">
        <f>_xlfn.STDEV.S('R1'!O62,'R2'!O62,'R3'!O62)</f>
        <v>2.5127290361850315E-3</v>
      </c>
    </row>
    <row r="63" spans="1:14" x14ac:dyDescent="0.25">
      <c r="A63">
        <f>-'R1'!H63</f>
        <v>36</v>
      </c>
      <c r="B63">
        <f>DEGREES(ATAN(-SIN(RADIANS(('R1'!I63)))/(COS(RADIANS(Sheet1!A63))*COS(RADIANS('R1'!I63)))))</f>
        <v>-19.516199251096932</v>
      </c>
      <c r="C63">
        <f>AVERAGE('R1'!J63,'R2'!J63,'R3'!J63)</f>
        <v>1.18</v>
      </c>
      <c r="D63">
        <f>AVERAGE('R1'!K63,'R2'!K63,'R3'!K63)</f>
        <v>11.402575416666666</v>
      </c>
      <c r="E63">
        <f>AVERAGE('R1'!L63,'R2'!L63,'R3'!L63)</f>
        <v>-1.2629542421464552</v>
      </c>
      <c r="F63">
        <f>AVERAGE('R1'!M63,'R2'!M63,'R3'!M63)</f>
        <v>-2.1865720003219757</v>
      </c>
      <c r="G63">
        <f>AVERAGE('R1'!N63,'R2'!N63,'R3'!N63)</f>
        <v>-1.1555579294251421</v>
      </c>
      <c r="H63">
        <f>AVERAGE('R1'!O63,'R2'!O63,'R3'!O63)</f>
        <v>-0.79677071035783287</v>
      </c>
      <c r="I63">
        <f t="shared" si="1"/>
        <v>2242.5064986111111</v>
      </c>
      <c r="K63">
        <f>_xlfn.STDEV.S('R1'!L63,'R2'!L63,'R3'!L63)</f>
        <v>7.1287665755897641E-3</v>
      </c>
      <c r="L63">
        <f>_xlfn.STDEV.S('R1'!M63,'R2'!M63,'R3'!M63)</f>
        <v>1.2908998811307111E-2</v>
      </c>
      <c r="M63">
        <f>_xlfn.STDEV.S('R1'!N63,'R2'!N63,'R3'!N63)</f>
        <v>1.197643096907175E-2</v>
      </c>
      <c r="N63">
        <f>_xlfn.STDEV.S('R1'!O63,'R2'!O63,'R3'!O63)</f>
        <v>2.3827474402467125E-3</v>
      </c>
    </row>
    <row r="64" spans="1:14" x14ac:dyDescent="0.25">
      <c r="A64">
        <f>-'R1'!H64</f>
        <v>36</v>
      </c>
      <c r="B64">
        <f>DEGREES(ATAN(-SIN(RADIANS(('R1'!I64)))/(COS(RADIANS(Sheet1!A64))*COS(RADIANS('R1'!I64)))))</f>
        <v>-24.22259689172926</v>
      </c>
      <c r="C64">
        <f>AVERAGE('R1'!J64,'R2'!J64,'R3'!J64)</f>
        <v>1.18</v>
      </c>
      <c r="D64">
        <f>AVERAGE('R1'!K64,'R2'!K64,'R3'!K64)</f>
        <v>11.246293999999999</v>
      </c>
      <c r="E64">
        <f>AVERAGE('R1'!L64,'R2'!L64,'R3'!L64)</f>
        <v>-1.4560447110003463</v>
      </c>
      <c r="F64">
        <f>AVERAGE('R1'!M64,'R2'!M64,'R3'!M64)</f>
        <v>-2.1226003665148183</v>
      </c>
      <c r="G64">
        <f>AVERAGE('R1'!N64,'R2'!N64,'R3'!N64)</f>
        <v>-1.196612153877701</v>
      </c>
      <c r="H64">
        <f>AVERAGE('R1'!O64,'R2'!O64,'R3'!O64)</f>
        <v>-0.88177280274834124</v>
      </c>
      <c r="I64">
        <f t="shared" si="1"/>
        <v>2211.7711533333331</v>
      </c>
      <c r="K64">
        <f>_xlfn.STDEV.S('R1'!L64,'R2'!L64,'R3'!L64)</f>
        <v>6.0985432444668293E-3</v>
      </c>
      <c r="L64">
        <f>_xlfn.STDEV.S('R1'!M64,'R2'!M64,'R3'!M64)</f>
        <v>2.4595092521304318E-2</v>
      </c>
      <c r="M64">
        <f>_xlfn.STDEV.S('R1'!N64,'R2'!N64,'R3'!N64)</f>
        <v>2.2124009233533772E-2</v>
      </c>
      <c r="N64">
        <f>_xlfn.STDEV.S('R1'!O64,'R2'!O64,'R3'!O64)</f>
        <v>5.9507740144856469E-3</v>
      </c>
    </row>
    <row r="65" spans="1:14" x14ac:dyDescent="0.25">
      <c r="A65">
        <f>-'R1'!H65</f>
        <v>36</v>
      </c>
      <c r="B65">
        <f>DEGREES(ATAN(-SIN(RADIANS(('R1'!I65)))/(COS(RADIANS(Sheet1!A65))*COS(RADIANS('R1'!I65)))))</f>
        <v>-28.825436554649738</v>
      </c>
      <c r="C65">
        <f>AVERAGE('R1'!J65,'R2'!J65,'R3'!J65)</f>
        <v>1.18</v>
      </c>
      <c r="D65">
        <f>AVERAGE('R1'!K65,'R2'!K65,'R3'!K65)</f>
        <v>11.206814750000001</v>
      </c>
      <c r="E65">
        <f>AVERAGE('R1'!L65,'R2'!L65,'R3'!L65)</f>
        <v>-1.6255744775268244</v>
      </c>
      <c r="F65">
        <f>AVERAGE('R1'!M65,'R2'!M65,'R3'!M65)</f>
        <v>-2.1127424551991223</v>
      </c>
      <c r="G65">
        <f>AVERAGE('R1'!N65,'R2'!N65,'R3'!N65)</f>
        <v>-1.278155038693924</v>
      </c>
      <c r="H65">
        <f>AVERAGE('R1'!O65,'R2'!O65,'R3'!O65)</f>
        <v>-0.99087904004131877</v>
      </c>
      <c r="I65">
        <f t="shared" si="1"/>
        <v>2204.0069008333339</v>
      </c>
      <c r="K65">
        <f>_xlfn.STDEV.S('R1'!L65,'R2'!L65,'R3'!L65)</f>
        <v>1.5405339568600259E-2</v>
      </c>
      <c r="L65">
        <f>_xlfn.STDEV.S('R1'!M65,'R2'!M65,'R3'!M65)</f>
        <v>1.33341457084567E-2</v>
      </c>
      <c r="M65">
        <f>_xlfn.STDEV.S('R1'!N65,'R2'!N65,'R3'!N65)</f>
        <v>2.066250188561897E-2</v>
      </c>
      <c r="N65">
        <f>_xlfn.STDEV.S('R1'!O65,'R2'!O65,'R3'!O65)</f>
        <v>8.2275594576875308E-3</v>
      </c>
    </row>
    <row r="66" spans="1:14" x14ac:dyDescent="0.25">
      <c r="A66">
        <f>-'R1'!H66</f>
        <v>36</v>
      </c>
      <c r="B66">
        <f>DEGREES(ATAN(-SIN(RADIANS(('R1'!I66)))/(COS(RADIANS(Sheet1!A66))*COS(RADIANS('R1'!I66)))))</f>
        <v>-33.314077817276932</v>
      </c>
      <c r="C66">
        <f>AVERAGE('R1'!J66,'R2'!J66,'R3'!J66)</f>
        <v>1.18</v>
      </c>
      <c r="D66">
        <f>AVERAGE('R1'!K66,'R2'!K66,'R3'!K66)</f>
        <v>11.212882583333332</v>
      </c>
      <c r="E66">
        <f>AVERAGE('R1'!L66,'R2'!L66,'R3'!L66)</f>
        <v>-1.7922396085353081</v>
      </c>
      <c r="F66">
        <f>AVERAGE('R1'!M66,'R2'!M66,'R3'!M66)</f>
        <v>-2.1480391522934577</v>
      </c>
      <c r="G66">
        <f>AVERAGE('R1'!N66,'R2'!N66,'R3'!N66)</f>
        <v>-1.3936831675619932</v>
      </c>
      <c r="H66">
        <f>AVERAGE('R1'!O66,'R2'!O66,'R3'!O66)</f>
        <v>-1.1162153061600211</v>
      </c>
      <c r="I66">
        <f t="shared" si="1"/>
        <v>2205.2002413888886</v>
      </c>
      <c r="K66">
        <f>_xlfn.STDEV.S('R1'!L66,'R2'!L66,'R3'!L66)</f>
        <v>1.8163757774128785E-2</v>
      </c>
      <c r="L66">
        <f>_xlfn.STDEV.S('R1'!M66,'R2'!M66,'R3'!M66)</f>
        <v>2.2298361040645458E-2</v>
      </c>
      <c r="M66">
        <f>_xlfn.STDEV.S('R1'!N66,'R2'!N66,'R3'!N66)</f>
        <v>3.1507601503258702E-2</v>
      </c>
      <c r="N66">
        <f>_xlfn.STDEV.S('R1'!O66,'R2'!O66,'R3'!O66)</f>
        <v>1.5104784152811593E-2</v>
      </c>
    </row>
    <row r="67" spans="1:14" x14ac:dyDescent="0.25">
      <c r="A67">
        <f>-'R1'!H67</f>
        <v>36</v>
      </c>
      <c r="B67">
        <f>DEGREES(ATAN(-SIN(RADIANS(('R1'!I67)))/(COS(RADIANS(Sheet1!A67))*COS(RADIANS('R1'!I67)))))</f>
        <v>-37.681815805789164</v>
      </c>
      <c r="C67">
        <f>AVERAGE('R1'!J67,'R2'!J67,'R3'!J67)</f>
        <v>1.1808333333333332</v>
      </c>
      <c r="D67">
        <f>AVERAGE('R1'!K67,'R2'!K67,'R3'!K67)</f>
        <v>11.16869</v>
      </c>
      <c r="E67">
        <f>AVERAGE('R1'!L67,'R2'!L67,'R3'!L67)</f>
        <v>-1.9800556272641539</v>
      </c>
      <c r="F67">
        <f>AVERAGE('R1'!M67,'R2'!M67,'R3'!M67)</f>
        <v>-2.2297702629782208</v>
      </c>
      <c r="G67">
        <f>AVERAGE('R1'!N67,'R2'!N67,'R3'!N67)</f>
        <v>-1.5636312209150318</v>
      </c>
      <c r="H67">
        <f>AVERAGE('R1'!O67,'R2'!O67,'R3'!O67)</f>
        <v>-1.269384586594539</v>
      </c>
      <c r="I67">
        <f t="shared" ref="I67:I130" si="5">10^5*C67*D67*0.003/1.8</f>
        <v>2198.0602402777772</v>
      </c>
      <c r="K67">
        <f>_xlfn.STDEV.S('R1'!L67,'R2'!L67,'R3'!L67)</f>
        <v>1.6857382305572134E-2</v>
      </c>
      <c r="L67">
        <f>_xlfn.STDEV.S('R1'!M67,'R2'!M67,'R3'!M67)</f>
        <v>2.0693747936235931E-2</v>
      </c>
      <c r="M67">
        <f>_xlfn.STDEV.S('R1'!N67,'R2'!N67,'R3'!N67)</f>
        <v>2.4970064479193411E-2</v>
      </c>
      <c r="N67">
        <f>_xlfn.STDEV.S('R1'!O67,'R2'!O67,'R3'!O67)</f>
        <v>1.0057195825664215E-2</v>
      </c>
    </row>
    <row r="68" spans="1:14" x14ac:dyDescent="0.25">
      <c r="A68">
        <f>-'R1'!H68</f>
        <v>36</v>
      </c>
      <c r="B68">
        <f>DEGREES(ATAN(-SIN(RADIANS(('R1'!I68)))/(COS(RADIANS(Sheet1!A68))*COS(RADIANS('R1'!I68)))))</f>
        <v>-41.925613925819086</v>
      </c>
      <c r="C68">
        <f>AVERAGE('R1'!J68,'R2'!J68,'R3'!J68)</f>
        <v>1.18</v>
      </c>
      <c r="D68">
        <f>AVERAGE('R1'!K68,'R2'!K68,'R3'!K68)</f>
        <v>11.247280916666666</v>
      </c>
      <c r="E68">
        <f>AVERAGE('R1'!L68,'R2'!L68,'R3'!L68)</f>
        <v>-2.1957647445853867</v>
      </c>
      <c r="F68">
        <f>AVERAGE('R1'!M68,'R2'!M68,'R3'!M68)</f>
        <v>-2.3537565165100358</v>
      </c>
      <c r="G68">
        <f>AVERAGE('R1'!N68,'R2'!N68,'R3'!N68)</f>
        <v>-1.8003113699390365</v>
      </c>
      <c r="H68">
        <f>AVERAGE('R1'!O68,'R2'!O68,'R3'!O68)</f>
        <v>-1.4550963385669575</v>
      </c>
      <c r="I68">
        <f t="shared" si="5"/>
        <v>2211.9652469444441</v>
      </c>
      <c r="K68">
        <f>_xlfn.STDEV.S('R1'!L68,'R2'!L68,'R3'!L68)</f>
        <v>2.4401601595352297E-2</v>
      </c>
      <c r="L68">
        <f>_xlfn.STDEV.S('R1'!M68,'R2'!M68,'R3'!M68)</f>
        <v>2.5397348350050315E-2</v>
      </c>
      <c r="M68">
        <f>_xlfn.STDEV.S('R1'!N68,'R2'!N68,'R3'!N68)</f>
        <v>4.0660165725988941E-2</v>
      </c>
      <c r="N68">
        <f>_xlfn.STDEV.S('R1'!O68,'R2'!O68,'R3'!O68)</f>
        <v>1.917772248949369E-2</v>
      </c>
    </row>
    <row r="69" spans="1:14" x14ac:dyDescent="0.25">
      <c r="A69">
        <f>-'R1'!H69</f>
        <v>36</v>
      </c>
      <c r="B69">
        <f>DEGREES(ATAN(-SIN(RADIANS(('R1'!I69)))/(COS(RADIANS(Sheet1!A69))*COS(RADIANS('R1'!I69)))))</f>
        <v>-46.045688589723383</v>
      </c>
      <c r="C69">
        <f>AVERAGE('R1'!J69,'R2'!J69,'R3'!J69)</f>
        <v>1.18</v>
      </c>
      <c r="D69">
        <f>AVERAGE('R1'!K69,'R2'!K69,'R3'!K69)</f>
        <v>11.290457083333331</v>
      </c>
      <c r="E69">
        <f>AVERAGE('R1'!L69,'R2'!L69,'R3'!L69)</f>
        <v>-2.461295057144989</v>
      </c>
      <c r="F69">
        <f>AVERAGE('R1'!M69,'R2'!M69,'R3'!M69)</f>
        <v>-2.5422719682368036</v>
      </c>
      <c r="G69">
        <f>AVERAGE('R1'!N69,'R2'!N69,'R3'!N69)</f>
        <v>-2.1225811788937623</v>
      </c>
      <c r="H69">
        <f>AVERAGE('R1'!O69,'R2'!O69,'R3'!O69)</f>
        <v>-1.6858425117841127</v>
      </c>
      <c r="I69">
        <f t="shared" si="5"/>
        <v>2220.4565597222218</v>
      </c>
      <c r="K69">
        <f>_xlfn.STDEV.S('R1'!L69,'R2'!L69,'R3'!L69)</f>
        <v>8.476038112007549E-3</v>
      </c>
      <c r="L69">
        <f>_xlfn.STDEV.S('R1'!M69,'R2'!M69,'R3'!M69)</f>
        <v>1.7276955767736444E-2</v>
      </c>
      <c r="M69">
        <f>_xlfn.STDEV.S('R1'!N69,'R2'!N69,'R3'!N69)</f>
        <v>2.3912664123471584E-2</v>
      </c>
      <c r="N69">
        <f>_xlfn.STDEV.S('R1'!O69,'R2'!O69,'R3'!O69)</f>
        <v>9.3748128912358748E-3</v>
      </c>
    </row>
    <row r="70" spans="1:14" x14ac:dyDescent="0.25">
      <c r="A70">
        <f>-'R1'!H70</f>
        <v>36</v>
      </c>
      <c r="B70">
        <f>DEGREES(ATAN(-SIN(RADIANS(('R1'!I70)))/(COS(RADIANS(Sheet1!A70))*COS(RADIANS('R1'!I70)))))</f>
        <v>-50.045016920059574</v>
      </c>
      <c r="C70">
        <f>AVERAGE('R1'!J70,'R2'!J70,'R3'!J70)</f>
        <v>1.18</v>
      </c>
      <c r="D70">
        <f>AVERAGE('R1'!K70,'R2'!K70,'R3'!K70)</f>
        <v>11.326651500000002</v>
      </c>
      <c r="E70">
        <f>AVERAGE('R1'!L70,'R2'!L70,'R3'!L70)</f>
        <v>-2.7669610583474333</v>
      </c>
      <c r="F70">
        <f>AVERAGE('R1'!M70,'R2'!M70,'R3'!M70)</f>
        <v>-2.7910833444264953</v>
      </c>
      <c r="G70">
        <f>AVERAGE('R1'!N70,'R2'!N70,'R3'!N70)</f>
        <v>-2.5272831312794661</v>
      </c>
      <c r="H70">
        <f>AVERAGE('R1'!O70,'R2'!O70,'R3'!O70)</f>
        <v>-1.9546110767911185</v>
      </c>
      <c r="I70">
        <f t="shared" si="5"/>
        <v>2227.5747950000004</v>
      </c>
      <c r="K70">
        <f>_xlfn.STDEV.S('R1'!L70,'R2'!L70,'R3'!L70)</f>
        <v>2.3629138185623035E-2</v>
      </c>
      <c r="L70">
        <f>_xlfn.STDEV.S('R1'!M70,'R2'!M70,'R3'!M70)</f>
        <v>1.5971559420624538E-2</v>
      </c>
      <c r="M70">
        <f>_xlfn.STDEV.S('R1'!N70,'R2'!N70,'R3'!N70)</f>
        <v>3.2756771998738131E-2</v>
      </c>
      <c r="N70">
        <f>_xlfn.STDEV.S('R1'!O70,'R2'!O70,'R3'!O70)</f>
        <v>1.608417721587491E-2</v>
      </c>
    </row>
    <row r="71" spans="1:14" x14ac:dyDescent="0.25">
      <c r="A71">
        <f>-'R1'!H71</f>
        <v>32</v>
      </c>
      <c r="B71">
        <f>DEGREES(ATAN(-SIN(RADIANS(('R1'!I71)))/(COS(RADIANS(Sheet1!A71))*COS(RADIANS('R1'!I71)))))</f>
        <v>48.711059881009497</v>
      </c>
      <c r="C71">
        <f>AVERAGE('R1'!J71,'R2'!J71,'R3'!J71)</f>
        <v>1.18</v>
      </c>
      <c r="D71">
        <f>AVERAGE('R1'!K71,'R2'!K71,'R3'!K71)</f>
        <v>11.351552083333333</v>
      </c>
      <c r="E71">
        <f>AVERAGE('R1'!L71,'R2'!L71,'R3'!L71)</f>
        <v>1.9481817183865517</v>
      </c>
      <c r="F71">
        <f>AVERAGE('R1'!M71,'R2'!M71,'R3'!M71)</f>
        <v>-1.9488902303282958</v>
      </c>
      <c r="G71">
        <f>AVERAGE('R1'!N71,'R2'!N71,'R3'!N71)</f>
        <v>-1.4463787178605745</v>
      </c>
      <c r="H71">
        <f>AVERAGE('R1'!O71,'R2'!O71,'R3'!O71)</f>
        <v>-1.3410032343279559</v>
      </c>
      <c r="I71">
        <f t="shared" si="5"/>
        <v>2232.4719097222223</v>
      </c>
      <c r="K71">
        <f>_xlfn.STDEV.S('R1'!L71,'R2'!L71,'R3'!L71)</f>
        <v>8.0064815697856936E-3</v>
      </c>
      <c r="L71">
        <f>_xlfn.STDEV.S('R1'!M71,'R2'!M71,'R3'!M71)</f>
        <v>1.0234363384569794E-2</v>
      </c>
      <c r="M71">
        <f>_xlfn.STDEV.S('R1'!N71,'R2'!N71,'R3'!N71)</f>
        <v>1.391643884659326E-2</v>
      </c>
      <c r="N71">
        <f>_xlfn.STDEV.S('R1'!O71,'R2'!O71,'R3'!O71)</f>
        <v>9.048489058885412E-3</v>
      </c>
    </row>
    <row r="72" spans="1:14" x14ac:dyDescent="0.25">
      <c r="A72">
        <f>-'R1'!H72</f>
        <v>32</v>
      </c>
      <c r="B72">
        <f>DEGREES(ATAN(-SIN(RADIANS(('R1'!I72)))/(COS(RADIANS(Sheet1!A72))*COS(RADIANS('R1'!I72)))))</f>
        <v>44.69611169166604</v>
      </c>
      <c r="C72">
        <f>AVERAGE('R1'!J72,'R2'!J72,'R3'!J72)</f>
        <v>1.18</v>
      </c>
      <c r="D72">
        <f>AVERAGE('R1'!K72,'R2'!K72,'R3'!K72)</f>
        <v>11.276204</v>
      </c>
      <c r="E72">
        <f>AVERAGE('R1'!L72,'R2'!L72,'R3'!L72)</f>
        <v>1.8222767861500924</v>
      </c>
      <c r="F72">
        <f>AVERAGE('R1'!M72,'R2'!M72,'R3'!M72)</f>
        <v>-1.8757897664032435</v>
      </c>
      <c r="G72">
        <f>AVERAGE('R1'!N72,'R2'!N72,'R3'!N72)</f>
        <v>-1.280452947921966</v>
      </c>
      <c r="H72">
        <f>AVERAGE('R1'!O72,'R2'!O72,'R3'!O72)</f>
        <v>-1.1945023879263708</v>
      </c>
      <c r="I72">
        <f t="shared" si="5"/>
        <v>2217.6534533333333</v>
      </c>
      <c r="K72">
        <f>_xlfn.STDEV.S('R1'!L72,'R2'!L72,'R3'!L72)</f>
        <v>7.6907131334031098E-3</v>
      </c>
      <c r="L72">
        <f>_xlfn.STDEV.S('R1'!M72,'R2'!M72,'R3'!M72)</f>
        <v>1.686477821708297E-2</v>
      </c>
      <c r="M72">
        <f>_xlfn.STDEV.S('R1'!N72,'R2'!N72,'R3'!N72)</f>
        <v>2.0098950057766893E-2</v>
      </c>
      <c r="N72">
        <f>_xlfn.STDEV.S('R1'!O72,'R2'!O72,'R3'!O72)</f>
        <v>4.9906235933652471E-3</v>
      </c>
    </row>
    <row r="73" spans="1:14" x14ac:dyDescent="0.25">
      <c r="A73">
        <f>-'R1'!H73</f>
        <v>32</v>
      </c>
      <c r="B73">
        <f>DEGREES(ATAN(-SIN(RADIANS(('R1'!I73)))/(COS(RADIANS(Sheet1!A73))*COS(RADIANS('R1'!I73)))))</f>
        <v>40.587432696870117</v>
      </c>
      <c r="C73">
        <f>AVERAGE('R1'!J73,'R2'!J73,'R3'!J73)</f>
        <v>1.18</v>
      </c>
      <c r="D73">
        <f>AVERAGE('R1'!K73,'R2'!K73,'R3'!K73)</f>
        <v>11.251059833333334</v>
      </c>
      <c r="E73">
        <f>AVERAGE('R1'!L73,'R2'!L73,'R3'!L73)</f>
        <v>1.7100348538598968</v>
      </c>
      <c r="F73">
        <f>AVERAGE('R1'!M73,'R2'!M73,'R3'!M73)</f>
        <v>-1.8418984985587494</v>
      </c>
      <c r="G73">
        <f>AVERAGE('R1'!N73,'R2'!N73,'R3'!N73)</f>
        <v>-1.1655214248333789</v>
      </c>
      <c r="H73">
        <f>AVERAGE('R1'!O73,'R2'!O73,'R3'!O73)</f>
        <v>-1.0738305731105569</v>
      </c>
      <c r="I73">
        <f t="shared" si="5"/>
        <v>2212.708433888889</v>
      </c>
      <c r="K73">
        <f>_xlfn.STDEV.S('R1'!L73,'R2'!L73,'R3'!L73)</f>
        <v>1.1509701759841003E-2</v>
      </c>
      <c r="L73">
        <f>_xlfn.STDEV.S('R1'!M73,'R2'!M73,'R3'!M73)</f>
        <v>1.4423584543503619E-2</v>
      </c>
      <c r="M73">
        <f>_xlfn.STDEV.S('R1'!N73,'R2'!N73,'R3'!N73)</f>
        <v>1.9110002595113862E-2</v>
      </c>
      <c r="N73">
        <f>_xlfn.STDEV.S('R1'!O73,'R2'!O73,'R3'!O73)</f>
        <v>8.8557530247838634E-3</v>
      </c>
    </row>
    <row r="74" spans="1:14" x14ac:dyDescent="0.25">
      <c r="A74">
        <f>-'R1'!H74</f>
        <v>32</v>
      </c>
      <c r="B74">
        <f>DEGREES(ATAN(-SIN(RADIANS(('R1'!I74)))/(COS(RADIANS(Sheet1!A74))*COS(RADIANS('R1'!I74)))))</f>
        <v>36.383993076218225</v>
      </c>
      <c r="C74">
        <f>AVERAGE('R1'!J74,'R2'!J74,'R3'!J74)</f>
        <v>1.18</v>
      </c>
      <c r="D74">
        <f>AVERAGE('R1'!K74,'R2'!K74,'R3'!K74)</f>
        <v>11.208641999999999</v>
      </c>
      <c r="E74">
        <f>AVERAGE('R1'!L74,'R2'!L74,'R3'!L74)</f>
        <v>1.5960421622289764</v>
      </c>
      <c r="F74">
        <f>AVERAGE('R1'!M74,'R2'!M74,'R3'!M74)</f>
        <v>-1.842933604559267</v>
      </c>
      <c r="G74">
        <f>AVERAGE('R1'!N74,'R2'!N74,'R3'!N74)</f>
        <v>-1.0860852266878143</v>
      </c>
      <c r="H74">
        <f>AVERAGE('R1'!O74,'R2'!O74,'R3'!O74)</f>
        <v>-0.95057541650645849</v>
      </c>
      <c r="I74">
        <f t="shared" si="5"/>
        <v>2204.3662599999998</v>
      </c>
      <c r="K74">
        <f>_xlfn.STDEV.S('R1'!L74,'R2'!L74,'R3'!L74)</f>
        <v>1.257633423545152E-3</v>
      </c>
      <c r="L74">
        <f>_xlfn.STDEV.S('R1'!M74,'R2'!M74,'R3'!M74)</f>
        <v>9.109535260777641E-3</v>
      </c>
      <c r="M74">
        <f>_xlfn.STDEV.S('R1'!N74,'R2'!N74,'R3'!N74)</f>
        <v>7.5925814157729397E-3</v>
      </c>
      <c r="N74">
        <f>_xlfn.STDEV.S('R1'!O74,'R2'!O74,'R3'!O74)</f>
        <v>6.9728656267481039E-3</v>
      </c>
    </row>
    <row r="75" spans="1:14" x14ac:dyDescent="0.25">
      <c r="A75">
        <f>-'R1'!H75</f>
        <v>32</v>
      </c>
      <c r="B75">
        <f>DEGREES(ATAN(-SIN(RADIANS(('R1'!I75)))/(COS(RADIANS(Sheet1!A75))*COS(RADIANS('R1'!I75)))))</f>
        <v>32.086900972819144</v>
      </c>
      <c r="C75">
        <f>AVERAGE('R1'!J75,'R2'!J75,'R3'!J75)</f>
        <v>1.18</v>
      </c>
      <c r="D75">
        <f>AVERAGE('R1'!K75,'R2'!K75,'R3'!K75)</f>
        <v>11.198670833333333</v>
      </c>
      <c r="E75">
        <f>AVERAGE('R1'!L75,'R2'!L75,'R3'!L75)</f>
        <v>1.4783458899696205</v>
      </c>
      <c r="F75">
        <f>AVERAGE('R1'!M75,'R2'!M75,'R3'!M75)</f>
        <v>-1.8674651102569755</v>
      </c>
      <c r="G75">
        <f>AVERAGE('R1'!N75,'R2'!N75,'R3'!N75)</f>
        <v>-1.032344480297307</v>
      </c>
      <c r="H75">
        <f>AVERAGE('R1'!O75,'R2'!O75,'R3'!O75)</f>
        <v>-0.84271358256548468</v>
      </c>
      <c r="I75">
        <f t="shared" si="5"/>
        <v>2202.4052638888884</v>
      </c>
      <c r="K75">
        <f>_xlfn.STDEV.S('R1'!L75,'R2'!L75,'R3'!L75)</f>
        <v>1.7141057333031693E-3</v>
      </c>
      <c r="L75">
        <f>_xlfn.STDEV.S('R1'!M75,'R2'!M75,'R3'!M75)</f>
        <v>1.8001432021487497E-2</v>
      </c>
      <c r="M75">
        <f>_xlfn.STDEV.S('R1'!N75,'R2'!N75,'R3'!N75)</f>
        <v>1.605450093363511E-2</v>
      </c>
      <c r="N75">
        <f>_xlfn.STDEV.S('R1'!O75,'R2'!O75,'R3'!O75)</f>
        <v>7.0113353105869377E-3</v>
      </c>
    </row>
    <row r="76" spans="1:14" x14ac:dyDescent="0.25">
      <c r="A76">
        <f>-'R1'!H76</f>
        <v>32</v>
      </c>
      <c r="B76">
        <f>DEGREES(ATAN(-SIN(RADIANS(('R1'!I76)))/(COS(RADIANS(Sheet1!A76))*COS(RADIANS('R1'!I76)))))</f>
        <v>27.699654729206667</v>
      </c>
      <c r="C76">
        <f>AVERAGE('R1'!J76,'R2'!J76,'R3'!J76)</f>
        <v>1.18</v>
      </c>
      <c r="D76">
        <f>AVERAGE('R1'!K76,'R2'!K76,'R3'!K76)</f>
        <v>11.271735749999999</v>
      </c>
      <c r="E76">
        <f>AVERAGE('R1'!L76,'R2'!L76,'R3'!L76)</f>
        <v>1.3380085215596764</v>
      </c>
      <c r="F76">
        <f>AVERAGE('R1'!M76,'R2'!M76,'R3'!M76)</f>
        <v>-1.8888194800354923</v>
      </c>
      <c r="G76">
        <f>AVERAGE('R1'!N76,'R2'!N76,'R3'!N76)</f>
        <v>-0.97130893175986088</v>
      </c>
      <c r="H76">
        <f>AVERAGE('R1'!O76,'R2'!O76,'R3'!O76)</f>
        <v>-0.73388754380567056</v>
      </c>
      <c r="I76">
        <f t="shared" si="5"/>
        <v>2216.7746975</v>
      </c>
      <c r="K76">
        <f>_xlfn.STDEV.S('R1'!L76,'R2'!L76,'R3'!L76)</f>
        <v>1.9219082644283253E-3</v>
      </c>
      <c r="L76">
        <f>_xlfn.STDEV.S('R1'!M76,'R2'!M76,'R3'!M76)</f>
        <v>7.9354464455025468E-3</v>
      </c>
      <c r="M76">
        <f>_xlfn.STDEV.S('R1'!N76,'R2'!N76,'R3'!N76)</f>
        <v>7.1845052075040676E-3</v>
      </c>
      <c r="N76">
        <f>_xlfn.STDEV.S('R1'!O76,'R2'!O76,'R3'!O76)</f>
        <v>4.0382651473765728E-3</v>
      </c>
    </row>
    <row r="77" spans="1:14" x14ac:dyDescent="0.25">
      <c r="A77">
        <f>-'R1'!H77</f>
        <v>32</v>
      </c>
      <c r="B77">
        <f>DEGREES(ATAN(-SIN(RADIANS(('R1'!I77)))/(COS(RADIANS(Sheet1!A77))*COS(RADIANS('R1'!I77)))))</f>
        <v>23.228324501561271</v>
      </c>
      <c r="C77">
        <f>AVERAGE('R1'!J77,'R2'!J77,'R3'!J77)</f>
        <v>1.18</v>
      </c>
      <c r="D77">
        <f>AVERAGE('R1'!K77,'R2'!K77,'R3'!K77)</f>
        <v>11.304676999999998</v>
      </c>
      <c r="E77">
        <f>AVERAGE('R1'!L77,'R2'!L77,'R3'!L77)</f>
        <v>1.1692297834266785</v>
      </c>
      <c r="F77">
        <f>AVERAGE('R1'!M77,'R2'!M77,'R3'!M77)</f>
        <v>-1.969600047181012</v>
      </c>
      <c r="G77">
        <f>AVERAGE('R1'!N77,'R2'!N77,'R3'!N77)</f>
        <v>-0.94860747156290026</v>
      </c>
      <c r="H77">
        <f>AVERAGE('R1'!O77,'R2'!O77,'R3'!O77)</f>
        <v>-0.64944443286233877</v>
      </c>
      <c r="I77">
        <f t="shared" si="5"/>
        <v>2223.2531433333329</v>
      </c>
      <c r="K77">
        <f>_xlfn.STDEV.S('R1'!L77,'R2'!L77,'R3'!L77)</f>
        <v>4.1733415114350936E-3</v>
      </c>
      <c r="L77">
        <f>_xlfn.STDEV.S('R1'!M77,'R2'!M77,'R3'!M77)</f>
        <v>1.1071505769617041E-2</v>
      </c>
      <c r="M77">
        <f>_xlfn.STDEV.S('R1'!N77,'R2'!N77,'R3'!N77)</f>
        <v>7.8603709599213267E-3</v>
      </c>
      <c r="N77">
        <f>_xlfn.STDEV.S('R1'!O77,'R2'!O77,'R3'!O77)</f>
        <v>4.1308142960959533E-3</v>
      </c>
    </row>
    <row r="78" spans="1:14" x14ac:dyDescent="0.25">
      <c r="A78">
        <f>-'R1'!H78</f>
        <v>32</v>
      </c>
      <c r="B78">
        <f>DEGREES(ATAN(-SIN(RADIANS(('R1'!I78)))/(COS(RADIANS(Sheet1!A78))*COS(RADIANS('R1'!I78)))))</f>
        <v>18.681627509923402</v>
      </c>
      <c r="C78">
        <f>AVERAGE('R1'!J78,'R2'!J78,'R3'!J78)</f>
        <v>1.18</v>
      </c>
      <c r="D78">
        <f>AVERAGE('R1'!K78,'R2'!K78,'R3'!K78)</f>
        <v>11.334989</v>
      </c>
      <c r="E78">
        <f>AVERAGE('R1'!L78,'R2'!L78,'R3'!L78)</f>
        <v>0.95524707836283917</v>
      </c>
      <c r="F78">
        <f>AVERAGE('R1'!M78,'R2'!M78,'R3'!M78)</f>
        <v>-2.0568733812032378</v>
      </c>
      <c r="G78">
        <f>AVERAGE('R1'!N78,'R2'!N78,'R3'!N78)</f>
        <v>-0.92225820300309591</v>
      </c>
      <c r="H78">
        <f>AVERAGE('R1'!O78,'R2'!O78,'R3'!O78)</f>
        <v>-0.55253695558746596</v>
      </c>
      <c r="I78">
        <f t="shared" si="5"/>
        <v>2229.2145033333336</v>
      </c>
      <c r="K78">
        <f>_xlfn.STDEV.S('R1'!L78,'R2'!L78,'R3'!L78)</f>
        <v>4.2912286824416095E-3</v>
      </c>
      <c r="L78">
        <f>_xlfn.STDEV.S('R1'!M78,'R2'!M78,'R3'!M78)</f>
        <v>1.2112077755984199E-2</v>
      </c>
      <c r="M78">
        <f>_xlfn.STDEV.S('R1'!N78,'R2'!N78,'R3'!N78)</f>
        <v>5.600881361930936E-3</v>
      </c>
      <c r="N78">
        <f>_xlfn.STDEV.S('R1'!O78,'R2'!O78,'R3'!O78)</f>
        <v>2.278623106163316E-3</v>
      </c>
    </row>
    <row r="79" spans="1:14" x14ac:dyDescent="0.25">
      <c r="A79">
        <f>-'R1'!H79</f>
        <v>32</v>
      </c>
      <c r="B79">
        <f>DEGREES(ATAN(-SIN(RADIANS(('R1'!I79)))/(COS(RADIANS(Sheet1!A79))*COS(RADIANS('R1'!I79)))))</f>
        <v>14.070864136056453</v>
      </c>
      <c r="C79">
        <f>AVERAGE('R1'!J79,'R2'!J79,'R3'!J79)</f>
        <v>1.18</v>
      </c>
      <c r="D79">
        <f>AVERAGE('R1'!K79,'R2'!K79,'R3'!K79)</f>
        <v>11.391340333333332</v>
      </c>
      <c r="E79">
        <f>AVERAGE('R1'!L79,'R2'!L79,'R3'!L79)</f>
        <v>0.73183239805627631</v>
      </c>
      <c r="F79">
        <f>AVERAGE('R1'!M79,'R2'!M79,'R3'!M79)</f>
        <v>-2.1853383474361614</v>
      </c>
      <c r="G79">
        <f>AVERAGE('R1'!N79,'R2'!N79,'R3'!N79)</f>
        <v>-0.93653018522423725</v>
      </c>
      <c r="H79">
        <f>AVERAGE('R1'!O79,'R2'!O79,'R3'!O79)</f>
        <v>-0.47975597662568986</v>
      </c>
      <c r="I79">
        <f t="shared" si="5"/>
        <v>2240.296932222222</v>
      </c>
      <c r="K79">
        <f>_xlfn.STDEV.S('R1'!L79,'R2'!L79,'R3'!L79)</f>
        <v>5.9851706037962575E-3</v>
      </c>
      <c r="L79">
        <f>_xlfn.STDEV.S('R1'!M79,'R2'!M79,'R3'!M79)</f>
        <v>1.3877633991148402E-2</v>
      </c>
      <c r="M79">
        <f>_xlfn.STDEV.S('R1'!N79,'R2'!N79,'R3'!N79)</f>
        <v>1.8317735033834867E-2</v>
      </c>
      <c r="N79">
        <f>_xlfn.STDEV.S('R1'!O79,'R2'!O79,'R3'!O79)</f>
        <v>1.2823301673404333E-2</v>
      </c>
    </row>
    <row r="80" spans="1:14" x14ac:dyDescent="0.25">
      <c r="A80">
        <f>-'R1'!H80</f>
        <v>32</v>
      </c>
      <c r="B80">
        <f>DEGREES(ATAN(-SIN(RADIANS(('R1'!I80)))/(COS(RADIANS(Sheet1!A80))*COS(RADIANS('R1'!I80)))))</f>
        <v>9.4096915772201388</v>
      </c>
      <c r="C80">
        <f>AVERAGE('R1'!J80,'R2'!J80,'R3'!J80)</f>
        <v>1.18</v>
      </c>
      <c r="D80">
        <f>AVERAGE('R1'!K80,'R2'!K80,'R3'!K80)</f>
        <v>11.402998416666668</v>
      </c>
      <c r="E80">
        <f>AVERAGE('R1'!L80,'R2'!L80,'R3'!L80)</f>
        <v>0.46941352770131162</v>
      </c>
      <c r="F80">
        <f>AVERAGE('R1'!M80,'R2'!M80,'R3'!M80)</f>
        <v>-2.3393175307817393</v>
      </c>
      <c r="G80">
        <f>AVERAGE('R1'!N80,'R2'!N80,'R3'!N80)</f>
        <v>-0.96929254692371336</v>
      </c>
      <c r="H80">
        <f>AVERAGE('R1'!O80,'R2'!O80,'R3'!O80)</f>
        <v>-0.4125275178681635</v>
      </c>
      <c r="I80">
        <f t="shared" si="5"/>
        <v>2242.5896886111113</v>
      </c>
      <c r="K80">
        <f>_xlfn.STDEV.S('R1'!L80,'R2'!L80,'R3'!L80)</f>
        <v>7.1374900538673002E-3</v>
      </c>
      <c r="L80">
        <f>_xlfn.STDEV.S('R1'!M80,'R2'!M80,'R3'!M80)</f>
        <v>2.0722793147777089E-2</v>
      </c>
      <c r="M80">
        <f>_xlfn.STDEV.S('R1'!N80,'R2'!N80,'R3'!N80)</f>
        <v>1.7975964341646857E-2</v>
      </c>
      <c r="N80">
        <f>_xlfn.STDEV.S('R1'!O80,'R2'!O80,'R3'!O80)</f>
        <v>9.9977465659533866E-3</v>
      </c>
    </row>
    <row r="81" spans="1:14" x14ac:dyDescent="0.25">
      <c r="A81">
        <f>-'R1'!H81</f>
        <v>32</v>
      </c>
      <c r="B81">
        <f>DEGREES(ATAN(-SIN(RADIANS(('R1'!I81)))/(COS(RADIANS(Sheet1!A81))*COS(RADIANS('R1'!I81)))))</f>
        <v>4.7137278648813155</v>
      </c>
      <c r="C81">
        <f>AVERAGE('R1'!J81,'R2'!J81,'R3'!J81)</f>
        <v>1.18</v>
      </c>
      <c r="D81">
        <f>AVERAGE('R1'!K81,'R2'!K81,'R3'!K81)</f>
        <v>11.43278375</v>
      </c>
      <c r="E81">
        <f>AVERAGE('R1'!L81,'R2'!L81,'R3'!L81)</f>
        <v>0.15846517320769057</v>
      </c>
      <c r="F81">
        <f>AVERAGE('R1'!M81,'R2'!M81,'R3'!M81)</f>
        <v>-2.4974172055429302</v>
      </c>
      <c r="G81">
        <f>AVERAGE('R1'!N81,'R2'!N81,'R3'!N81)</f>
        <v>-1.0071523531675182</v>
      </c>
      <c r="H81">
        <f>AVERAGE('R1'!O81,'R2'!O81,'R3'!O81)</f>
        <v>-0.33089865062988127</v>
      </c>
      <c r="I81">
        <f t="shared" si="5"/>
        <v>2248.4474708333337</v>
      </c>
      <c r="K81">
        <f>_xlfn.STDEV.S('R1'!L81,'R2'!L81,'R3'!L81)</f>
        <v>1.1027907968547013E-2</v>
      </c>
      <c r="L81">
        <f>_xlfn.STDEV.S('R1'!M81,'R2'!M81,'R3'!M81)</f>
        <v>1.7097431044812882E-2</v>
      </c>
      <c r="M81">
        <f>_xlfn.STDEV.S('R1'!N81,'R2'!N81,'R3'!N81)</f>
        <v>2.2575019205162836E-2</v>
      </c>
      <c r="N81">
        <f>_xlfn.STDEV.S('R1'!O81,'R2'!O81,'R3'!O81)</f>
        <v>1.8132857212644744E-2</v>
      </c>
    </row>
    <row r="82" spans="1:14" x14ac:dyDescent="0.25">
      <c r="A82">
        <f>-'R1'!H82</f>
        <v>32</v>
      </c>
      <c r="B82">
        <f>DEGREES(ATAN(-SIN(RADIANS(('R1'!I82)))/(COS(RADIANS(Sheet1!A82))*COS(RADIANS('R1'!I82)))))</f>
        <v>0</v>
      </c>
      <c r="C82">
        <f>AVERAGE('R1'!J82,'R2'!J82,'R3'!J82)</f>
        <v>1.18</v>
      </c>
      <c r="D82">
        <f>AVERAGE('R1'!K82,'R2'!K82,'R3'!K82)</f>
        <v>11.479256916666666</v>
      </c>
      <c r="E82">
        <f>AVERAGE('R1'!L82,'R2'!L82,'R3'!L82)</f>
        <v>-0.1801291052990549</v>
      </c>
      <c r="F82">
        <f>AVERAGE('R1'!M82,'R2'!M82,'R3'!M82)</f>
        <v>-2.4679638144443192</v>
      </c>
      <c r="G82">
        <f>AVERAGE('R1'!N82,'R2'!N82,'R3'!N82)</f>
        <v>-0.98988398630335406</v>
      </c>
      <c r="H82">
        <f>AVERAGE('R1'!O82,'R2'!O82,'R3'!O82)</f>
        <v>-0.33130120563330889</v>
      </c>
      <c r="I82">
        <f t="shared" si="5"/>
        <v>2257.5871936111112</v>
      </c>
      <c r="K82">
        <f>_xlfn.STDEV.S('R1'!L82,'R2'!L82,'R3'!L82)</f>
        <v>1.1547043797670398E-2</v>
      </c>
      <c r="L82">
        <f>_xlfn.STDEV.S('R1'!M82,'R2'!M82,'R3'!M82)</f>
        <v>1.9390216330244153E-2</v>
      </c>
      <c r="M82">
        <f>_xlfn.STDEV.S('R1'!N82,'R2'!N82,'R3'!N82)</f>
        <v>2.0935969970555371E-2</v>
      </c>
      <c r="N82">
        <f>_xlfn.STDEV.S('R1'!O82,'R2'!O82,'R3'!O82)</f>
        <v>1.1673911189495028E-2</v>
      </c>
    </row>
    <row r="83" spans="1:14" x14ac:dyDescent="0.25">
      <c r="A83">
        <f>-'R1'!H83</f>
        <v>32</v>
      </c>
      <c r="B83">
        <f>DEGREES(ATAN(-SIN(RADIANS(('R1'!I83)))/(COS(RADIANS(Sheet1!A83))*COS(RADIANS('R1'!I83)))))</f>
        <v>-4.7137278648813155</v>
      </c>
      <c r="C83">
        <f>AVERAGE('R1'!J83,'R2'!J83,'R3'!J83)</f>
        <v>1.18</v>
      </c>
      <c r="D83">
        <f>AVERAGE('R1'!K83,'R2'!K83,'R3'!K83)</f>
        <v>11.477785583333334</v>
      </c>
      <c r="E83">
        <f>AVERAGE('R1'!L83,'R2'!L83,'R3'!L83)</f>
        <v>-0.48619967315223067</v>
      </c>
      <c r="F83">
        <f>AVERAGE('R1'!M83,'R2'!M83,'R3'!M83)</f>
        <v>-2.2650260964166749</v>
      </c>
      <c r="G83">
        <f>AVERAGE('R1'!N83,'R2'!N83,'R3'!N83)</f>
        <v>-0.91446751840136165</v>
      </c>
      <c r="H83">
        <f>AVERAGE('R1'!O83,'R2'!O83,'R3'!O83)</f>
        <v>-0.39361314208377918</v>
      </c>
      <c r="I83">
        <f t="shared" si="5"/>
        <v>2257.2978313888893</v>
      </c>
      <c r="K83">
        <f>_xlfn.STDEV.S('R1'!L83,'R2'!L83,'R3'!L83)</f>
        <v>1.2045300245388073E-2</v>
      </c>
      <c r="L83">
        <f>_xlfn.STDEV.S('R1'!M83,'R2'!M83,'R3'!M83)</f>
        <v>2.1199404267323658E-2</v>
      </c>
      <c r="M83">
        <f>_xlfn.STDEV.S('R1'!N83,'R2'!N83,'R3'!N83)</f>
        <v>1.5334718570024761E-2</v>
      </c>
      <c r="N83">
        <f>_xlfn.STDEV.S('R1'!O83,'R2'!O83,'R3'!O83)</f>
        <v>6.8662912751752741E-3</v>
      </c>
    </row>
    <row r="84" spans="1:14" x14ac:dyDescent="0.25">
      <c r="A84">
        <f>-'R1'!H84</f>
        <v>32</v>
      </c>
      <c r="B84">
        <f>DEGREES(ATAN(-SIN(RADIANS(('R1'!I84)))/(COS(RADIANS(Sheet1!A84))*COS(RADIANS('R1'!I84)))))</f>
        <v>-9.4096915772201388</v>
      </c>
      <c r="C84">
        <f>AVERAGE('R1'!J84,'R2'!J84,'R3'!J84)</f>
        <v>1.18</v>
      </c>
      <c r="D84">
        <f>AVERAGE('R1'!K84,'R2'!K84,'R3'!K84)</f>
        <v>11.522352833333334</v>
      </c>
      <c r="E84">
        <f>AVERAGE('R1'!L84,'R2'!L84,'R3'!L84)</f>
        <v>-0.74038488857881857</v>
      </c>
      <c r="F84">
        <f>AVERAGE('R1'!M84,'R2'!M84,'R3'!M84)</f>
        <v>-2.0965616678807133</v>
      </c>
      <c r="G84">
        <f>AVERAGE('R1'!N84,'R2'!N84,'R3'!N84)</f>
        <v>-0.86575519029127346</v>
      </c>
      <c r="H84">
        <f>AVERAGE('R1'!O84,'R2'!O84,'R3'!O84)</f>
        <v>-0.44909403884192489</v>
      </c>
      <c r="I84">
        <f t="shared" si="5"/>
        <v>2266.0627238888892</v>
      </c>
      <c r="K84">
        <f>_xlfn.STDEV.S('R1'!L84,'R2'!L84,'R3'!L84)</f>
        <v>6.089719289201519E-3</v>
      </c>
      <c r="L84">
        <f>_xlfn.STDEV.S('R1'!M84,'R2'!M84,'R3'!M84)</f>
        <v>1.3394221629502106E-2</v>
      </c>
      <c r="M84">
        <f>_xlfn.STDEV.S('R1'!N84,'R2'!N84,'R3'!N84)</f>
        <v>1.0066948543280285E-2</v>
      </c>
      <c r="N84">
        <f>_xlfn.STDEV.S('R1'!O84,'R2'!O84,'R3'!O84)</f>
        <v>5.2788555021336739E-3</v>
      </c>
    </row>
    <row r="85" spans="1:14" x14ac:dyDescent="0.25">
      <c r="A85">
        <f>-'R1'!H85</f>
        <v>32</v>
      </c>
      <c r="B85">
        <f>DEGREES(ATAN(-SIN(RADIANS(('R1'!I85)))/(COS(RADIANS(Sheet1!A85))*COS(RADIANS('R1'!I85)))))</f>
        <v>-14.070864136056453</v>
      </c>
      <c r="C85">
        <f>AVERAGE('R1'!J85,'R2'!J85,'R3'!J85)</f>
        <v>1.18</v>
      </c>
      <c r="D85">
        <f>AVERAGE('R1'!K85,'R2'!K85,'R3'!K85)</f>
        <v>11.513429583333334</v>
      </c>
      <c r="E85">
        <f>AVERAGE('R1'!L85,'R2'!L85,'R3'!L85)</f>
        <v>-0.97299650201950671</v>
      </c>
      <c r="F85">
        <f>AVERAGE('R1'!M85,'R2'!M85,'R3'!M85)</f>
        <v>-1.9844326314394494</v>
      </c>
      <c r="G85">
        <f>AVERAGE('R1'!N85,'R2'!N85,'R3'!N85)</f>
        <v>-0.86790322755893146</v>
      </c>
      <c r="H85">
        <f>AVERAGE('R1'!O85,'R2'!O85,'R3'!O85)</f>
        <v>-0.51075438273333751</v>
      </c>
      <c r="I85">
        <f t="shared" si="5"/>
        <v>2264.3078180555558</v>
      </c>
      <c r="K85">
        <f>_xlfn.STDEV.S('R1'!L85,'R2'!L85,'R3'!L85)</f>
        <v>5.4278506356534428E-3</v>
      </c>
      <c r="L85">
        <f>_xlfn.STDEV.S('R1'!M85,'R2'!M85,'R3'!M85)</f>
        <v>1.5311969126664951E-2</v>
      </c>
      <c r="M85">
        <f>_xlfn.STDEV.S('R1'!N85,'R2'!N85,'R3'!N85)</f>
        <v>1.2652208491183439E-2</v>
      </c>
      <c r="N85">
        <f>_xlfn.STDEV.S('R1'!O85,'R2'!O85,'R3'!O85)</f>
        <v>1.2942477682054891E-2</v>
      </c>
    </row>
    <row r="86" spans="1:14" x14ac:dyDescent="0.25">
      <c r="A86">
        <f>-'R1'!H86</f>
        <v>32</v>
      </c>
      <c r="B86">
        <f>DEGREES(ATAN(-SIN(RADIANS(('R1'!I86)))/(COS(RADIANS(Sheet1!A86))*COS(RADIANS('R1'!I86)))))</f>
        <v>-18.681627509923402</v>
      </c>
      <c r="C86">
        <f>AVERAGE('R1'!J86,'R2'!J86,'R3'!J86)</f>
        <v>1.18</v>
      </c>
      <c r="D86">
        <f>AVERAGE('R1'!K86,'R2'!K86,'R3'!K86)</f>
        <v>11.454111666666668</v>
      </c>
      <c r="E86">
        <f>AVERAGE('R1'!L86,'R2'!L86,'R3'!L86)</f>
        <v>-1.1954762193114814</v>
      </c>
      <c r="F86">
        <f>AVERAGE('R1'!M86,'R2'!M86,'R3'!M86)</f>
        <v>-1.9109825602535357</v>
      </c>
      <c r="G86">
        <f>AVERAGE('R1'!N86,'R2'!N86,'R3'!N86)</f>
        <v>-0.91197089880288973</v>
      </c>
      <c r="H86">
        <f>AVERAGE('R1'!O86,'R2'!O86,'R3'!O86)</f>
        <v>-0.58382142531854975</v>
      </c>
      <c r="I86">
        <f t="shared" si="5"/>
        <v>2252.6419611111114</v>
      </c>
      <c r="K86">
        <f>_xlfn.STDEV.S('R1'!L86,'R2'!L86,'R3'!L86)</f>
        <v>1.6505356164644974E-2</v>
      </c>
      <c r="L86">
        <f>_xlfn.STDEV.S('R1'!M86,'R2'!M86,'R3'!M86)</f>
        <v>8.777550564594408E-3</v>
      </c>
      <c r="M86">
        <f>_xlfn.STDEV.S('R1'!N86,'R2'!N86,'R3'!N86)</f>
        <v>1.0609483536035802E-2</v>
      </c>
      <c r="N86">
        <f>_xlfn.STDEV.S('R1'!O86,'R2'!O86,'R3'!O86)</f>
        <v>5.7416771613768508E-3</v>
      </c>
    </row>
    <row r="87" spans="1:14" x14ac:dyDescent="0.25">
      <c r="A87">
        <f>-'R1'!H87</f>
        <v>32</v>
      </c>
      <c r="B87">
        <f>DEGREES(ATAN(-SIN(RADIANS(('R1'!I87)))/(COS(RADIANS(Sheet1!A87))*COS(RADIANS('R1'!I87)))))</f>
        <v>-23.228324501561271</v>
      </c>
      <c r="C87">
        <f>AVERAGE('R1'!J87,'R2'!J87,'R3'!J87)</f>
        <v>1.18</v>
      </c>
      <c r="D87">
        <f>AVERAGE('R1'!K87,'R2'!K87,'R3'!K87)</f>
        <v>11.441936750000002</v>
      </c>
      <c r="E87">
        <f>AVERAGE('R1'!L87,'R2'!L87,'R3'!L87)</f>
        <v>-1.3894435276372876</v>
      </c>
      <c r="F87">
        <f>AVERAGE('R1'!M87,'R2'!M87,'R3'!M87)</f>
        <v>-1.8781455426333584</v>
      </c>
      <c r="G87">
        <f>AVERAGE('R1'!N87,'R2'!N87,'R3'!N87)</f>
        <v>-0.97459899394576854</v>
      </c>
      <c r="H87">
        <f>AVERAGE('R1'!O87,'R2'!O87,'R3'!O87)</f>
        <v>-0.67986813272824087</v>
      </c>
      <c r="I87">
        <f t="shared" si="5"/>
        <v>2250.2475608333334</v>
      </c>
      <c r="K87">
        <f>_xlfn.STDEV.S('R1'!L87,'R2'!L87,'R3'!L87)</f>
        <v>2.3665775613914343E-2</v>
      </c>
      <c r="L87">
        <f>_xlfn.STDEV.S('R1'!M87,'R2'!M87,'R3'!M87)</f>
        <v>1.0842364124958986E-2</v>
      </c>
      <c r="M87">
        <f>_xlfn.STDEV.S('R1'!N87,'R2'!N87,'R3'!N87)</f>
        <v>1.7833584608390282E-2</v>
      </c>
      <c r="N87">
        <f>_xlfn.STDEV.S('R1'!O87,'R2'!O87,'R3'!O87)</f>
        <v>9.4107811811070478E-3</v>
      </c>
    </row>
    <row r="88" spans="1:14" x14ac:dyDescent="0.25">
      <c r="A88">
        <f>-'R1'!H88</f>
        <v>32</v>
      </c>
      <c r="B88">
        <f>DEGREES(ATAN(-SIN(RADIANS(('R1'!I88)))/(COS(RADIANS(Sheet1!A88))*COS(RADIANS('R1'!I88)))))</f>
        <v>-27.699654729206667</v>
      </c>
      <c r="C88">
        <f>AVERAGE('R1'!J88,'R2'!J88,'R3'!J88)</f>
        <v>1.1808333333333332</v>
      </c>
      <c r="D88">
        <f>AVERAGE('R1'!K88,'R2'!K88,'R3'!K88)</f>
        <v>11.372980166666666</v>
      </c>
      <c r="E88">
        <f>AVERAGE('R1'!L88,'R2'!L88,'R3'!L88)</f>
        <v>-1.5688094834184743</v>
      </c>
      <c r="F88">
        <f>AVERAGE('R1'!M88,'R2'!M88,'R3'!M88)</f>
        <v>-1.898728532047147</v>
      </c>
      <c r="G88">
        <f>AVERAGE('R1'!N88,'R2'!N88,'R3'!N88)</f>
        <v>-1.0754687152695268</v>
      </c>
      <c r="H88">
        <f>AVERAGE('R1'!O88,'R2'!O88,'R3'!O88)</f>
        <v>-0.8004390875004751</v>
      </c>
      <c r="I88">
        <f t="shared" si="5"/>
        <v>2238.2656800231475</v>
      </c>
      <c r="K88">
        <f>_xlfn.STDEV.S('R1'!L88,'R2'!L88,'R3'!L88)</f>
        <v>2.4594675007894695E-2</v>
      </c>
      <c r="L88">
        <f>_xlfn.STDEV.S('R1'!M88,'R2'!M88,'R3'!M88)</f>
        <v>1.9096662985938272E-2</v>
      </c>
      <c r="M88">
        <f>_xlfn.STDEV.S('R1'!N88,'R2'!N88,'R3'!N88)</f>
        <v>3.2341383165256012E-2</v>
      </c>
      <c r="N88">
        <f>_xlfn.STDEV.S('R1'!O88,'R2'!O88,'R3'!O88)</f>
        <v>7.5209593111064295E-3</v>
      </c>
    </row>
    <row r="89" spans="1:14" x14ac:dyDescent="0.25">
      <c r="A89">
        <f>-'R1'!H89</f>
        <v>32</v>
      </c>
      <c r="B89">
        <f>DEGREES(ATAN(-SIN(RADIANS(('R1'!I89)))/(COS(RADIANS(Sheet1!A89))*COS(RADIANS('R1'!I89)))))</f>
        <v>-32.086900972819144</v>
      </c>
      <c r="C89">
        <f>AVERAGE('R1'!J89,'R2'!J89,'R3'!J89)</f>
        <v>1.18</v>
      </c>
      <c r="D89">
        <f>AVERAGE('R1'!K89,'R2'!K89,'R3'!K89)</f>
        <v>11.376692</v>
      </c>
      <c r="E89">
        <f>AVERAGE('R1'!L89,'R2'!L89,'R3'!L89)</f>
        <v>-1.7428140882428702</v>
      </c>
      <c r="F89">
        <f>AVERAGE('R1'!M89,'R2'!M89,'R3'!M89)</f>
        <v>-1.9594155976506062</v>
      </c>
      <c r="G89">
        <f>AVERAGE('R1'!N89,'R2'!N89,'R3'!N89)</f>
        <v>-1.2176160339329456</v>
      </c>
      <c r="H89">
        <f>AVERAGE('R1'!O89,'R2'!O89,'R3'!O89)</f>
        <v>-0.94606238629195749</v>
      </c>
      <c r="I89">
        <f t="shared" si="5"/>
        <v>2237.4160933333333</v>
      </c>
      <c r="K89">
        <f>_xlfn.STDEV.S('R1'!L89,'R2'!L89,'R3'!L89)</f>
        <v>3.2323327105628623E-2</v>
      </c>
      <c r="L89">
        <f>_xlfn.STDEV.S('R1'!M89,'R2'!M89,'R3'!M89)</f>
        <v>1.6667524442551353E-2</v>
      </c>
      <c r="M89">
        <f>_xlfn.STDEV.S('R1'!N89,'R2'!N89,'R3'!N89)</f>
        <v>3.5343734233588081E-2</v>
      </c>
      <c r="N89">
        <f>_xlfn.STDEV.S('R1'!O89,'R2'!O89,'R3'!O89)</f>
        <v>8.9110126406295228E-3</v>
      </c>
    </row>
    <row r="90" spans="1:14" x14ac:dyDescent="0.25">
      <c r="A90">
        <f>-'R1'!H90</f>
        <v>32</v>
      </c>
      <c r="B90">
        <f>DEGREES(ATAN(-SIN(RADIANS(('R1'!I90)))/(COS(RADIANS(Sheet1!A90))*COS(RADIANS('R1'!I90)))))</f>
        <v>-36.383993076218225</v>
      </c>
      <c r="C90">
        <f>AVERAGE('R1'!J90,'R2'!J90,'R3'!J90)</f>
        <v>1.1808333333333332</v>
      </c>
      <c r="D90">
        <f>AVERAGE('R1'!K90,'R2'!K90,'R3'!K90)</f>
        <v>11.439952249999999</v>
      </c>
      <c r="E90">
        <f>AVERAGE('R1'!L90,'R2'!L90,'R3'!L90)</f>
        <v>-1.9415005260643454</v>
      </c>
      <c r="F90">
        <f>AVERAGE('R1'!M90,'R2'!M90,'R3'!M90)</f>
        <v>-2.0614281875172806</v>
      </c>
      <c r="G90">
        <f>AVERAGE('R1'!N90,'R2'!N90,'R3'!N90)</f>
        <v>-1.409345032447016</v>
      </c>
      <c r="H90">
        <f>AVERAGE('R1'!O90,'R2'!O90,'R3'!O90)</f>
        <v>-1.118926005486536</v>
      </c>
      <c r="I90">
        <f t="shared" si="5"/>
        <v>2251.4461580902771</v>
      </c>
      <c r="K90">
        <f>_xlfn.STDEV.S('R1'!L90,'R2'!L90,'R3'!L90)</f>
        <v>3.0364213331862379E-2</v>
      </c>
      <c r="L90">
        <f>_xlfn.STDEV.S('R1'!M90,'R2'!M90,'R3'!M90)</f>
        <v>2.5330448934563446E-2</v>
      </c>
      <c r="M90">
        <f>_xlfn.STDEV.S('R1'!N90,'R2'!N90,'R3'!N90)</f>
        <v>3.9314603553770262E-2</v>
      </c>
      <c r="N90">
        <f>_xlfn.STDEV.S('R1'!O90,'R2'!O90,'R3'!O90)</f>
        <v>1.9434393070428289E-2</v>
      </c>
    </row>
    <row r="91" spans="1:14" x14ac:dyDescent="0.25">
      <c r="A91">
        <f>-'R1'!H91</f>
        <v>32</v>
      </c>
      <c r="B91">
        <f>DEGREES(ATAN(-SIN(RADIANS(('R1'!I91)))/(COS(RADIANS(Sheet1!A91))*COS(RADIANS('R1'!I91)))))</f>
        <v>-40.587432696870117</v>
      </c>
      <c r="C91">
        <f>AVERAGE('R1'!J91,'R2'!J91,'R3'!J91)</f>
        <v>1.1833333333333333</v>
      </c>
      <c r="D91">
        <f>AVERAGE('R1'!K91,'R2'!K91,'R3'!K91)</f>
        <v>11.446189666666667</v>
      </c>
      <c r="E91">
        <f>AVERAGE('R1'!L91,'R2'!L91,'R3'!L91)</f>
        <v>-2.1596486926529015</v>
      </c>
      <c r="F91">
        <f>AVERAGE('R1'!M91,'R2'!M91,'R3'!M91)</f>
        <v>-2.1945559628728799</v>
      </c>
      <c r="G91">
        <f>AVERAGE('R1'!N91,'R2'!N91,'R3'!N91)</f>
        <v>-1.6432651096748574</v>
      </c>
      <c r="H91">
        <f>AVERAGE('R1'!O91,'R2'!O91,'R3'!O91)</f>
        <v>-1.3124855531735784</v>
      </c>
      <c r="I91">
        <f t="shared" si="5"/>
        <v>2257.442962037037</v>
      </c>
      <c r="K91">
        <f>_xlfn.STDEV.S('R1'!L91,'R2'!L91,'R3'!L91)</f>
        <v>3.7615770375753123E-2</v>
      </c>
      <c r="L91">
        <f>_xlfn.STDEV.S('R1'!M91,'R2'!M91,'R3'!M91)</f>
        <v>3.0221203625786366E-2</v>
      </c>
      <c r="M91">
        <f>_xlfn.STDEV.S('R1'!N91,'R2'!N91,'R3'!N91)</f>
        <v>5.3177136438463966E-2</v>
      </c>
      <c r="N91">
        <f>_xlfn.STDEV.S('R1'!O91,'R2'!O91,'R3'!O91)</f>
        <v>2.3636363223303484E-2</v>
      </c>
    </row>
    <row r="92" spans="1:14" x14ac:dyDescent="0.25">
      <c r="A92">
        <f>-'R1'!H92</f>
        <v>32</v>
      </c>
      <c r="B92">
        <f>DEGREES(ATAN(-SIN(RADIANS(('R1'!I92)))/(COS(RADIANS(Sheet1!A92))*COS(RADIANS('R1'!I92)))))</f>
        <v>-44.69611169166604</v>
      </c>
      <c r="C92">
        <f>AVERAGE('R1'!J92,'R2'!J92,'R3'!J92)</f>
        <v>1.1824999999999999</v>
      </c>
      <c r="D92">
        <f>AVERAGE('R1'!K92,'R2'!K92,'R3'!K92)</f>
        <v>11.495795666666666</v>
      </c>
      <c r="E92">
        <f>AVERAGE('R1'!L92,'R2'!L92,'R3'!L92)</f>
        <v>-2.4220213763806981</v>
      </c>
      <c r="F92">
        <f>AVERAGE('R1'!M92,'R2'!M92,'R3'!M92)</f>
        <v>-2.380594259121894</v>
      </c>
      <c r="G92">
        <f>AVERAGE('R1'!N92,'R2'!N92,'R3'!N92)</f>
        <v>-1.9566812953458259</v>
      </c>
      <c r="H92">
        <f>AVERAGE('R1'!O92,'R2'!O92,'R3'!O92)</f>
        <v>-1.5448408910794822</v>
      </c>
      <c r="I92">
        <f t="shared" si="5"/>
        <v>2265.629729305555</v>
      </c>
      <c r="K92">
        <f>_xlfn.STDEV.S('R1'!L92,'R2'!L92,'R3'!L92)</f>
        <v>2.0020081102706786E-2</v>
      </c>
      <c r="L92">
        <f>_xlfn.STDEV.S('R1'!M92,'R2'!M92,'R3'!M92)</f>
        <v>1.9262372316021209E-2</v>
      </c>
      <c r="M92">
        <f>_xlfn.STDEV.S('R1'!N92,'R2'!N92,'R3'!N92)</f>
        <v>3.0890150027107283E-2</v>
      </c>
      <c r="N92">
        <f>_xlfn.STDEV.S('R1'!O92,'R2'!O92,'R3'!O92)</f>
        <v>1.5697037938637252E-2</v>
      </c>
    </row>
    <row r="93" spans="1:14" x14ac:dyDescent="0.25">
      <c r="A93">
        <f>-'R1'!H93</f>
        <v>32</v>
      </c>
      <c r="B93">
        <f>DEGREES(ATAN(-SIN(RADIANS(('R1'!I93)))/(COS(RADIANS(Sheet1!A93))*COS(RADIANS('R1'!I93)))))</f>
        <v>-48.711059881009497</v>
      </c>
      <c r="C93">
        <f>AVERAGE('R1'!J93,'R2'!J93,'R3'!J93)</f>
        <v>1.18</v>
      </c>
      <c r="D93">
        <f>AVERAGE('R1'!K93,'R2'!K93,'R3'!K93)</f>
        <v>11.559093166666665</v>
      </c>
      <c r="E93">
        <f>AVERAGE('R1'!L93,'R2'!L93,'R3'!L93)</f>
        <v>-2.7541258524971313</v>
      </c>
      <c r="F93">
        <f>AVERAGE('R1'!M93,'R2'!M93,'R3'!M93)</f>
        <v>-2.6428430523062727</v>
      </c>
      <c r="G93">
        <f>AVERAGE('R1'!N93,'R2'!N93,'R3'!N93)</f>
        <v>-2.392394208782207</v>
      </c>
      <c r="H93">
        <f>AVERAGE('R1'!O93,'R2'!O93,'R3'!O93)</f>
        <v>-1.8337528311458984</v>
      </c>
      <c r="I93">
        <f t="shared" si="5"/>
        <v>2273.2883227777775</v>
      </c>
      <c r="K93">
        <f>_xlfn.STDEV.S('R1'!L93,'R2'!L93,'R3'!L93)</f>
        <v>3.3728739944197103E-2</v>
      </c>
      <c r="L93">
        <f>_xlfn.STDEV.S('R1'!M93,'R2'!M93,'R3'!M93)</f>
        <v>3.8355109096644462E-2</v>
      </c>
      <c r="M93">
        <f>_xlfn.STDEV.S('R1'!N93,'R2'!N93,'R3'!N93)</f>
        <v>4.9293267331406869E-2</v>
      </c>
      <c r="N93">
        <f>_xlfn.STDEV.S('R1'!O93,'R2'!O93,'R3'!O93)</f>
        <v>3.2048890329688717E-2</v>
      </c>
    </row>
    <row r="94" spans="1:14" x14ac:dyDescent="0.25">
      <c r="A94">
        <f>-'R1'!H94</f>
        <v>28</v>
      </c>
      <c r="B94">
        <f>DEGREES(ATAN(-SIN(RADIANS(('R1'!I94)))/(COS(RADIANS(Sheet1!A94))*COS(RADIANS('R1'!I94)))))</f>
        <v>47.562731505879128</v>
      </c>
      <c r="C94">
        <f>AVERAGE('R1'!J94,'R2'!J94,'R3'!J94)</f>
        <v>1.18</v>
      </c>
      <c r="D94">
        <f>AVERAGE('R1'!K94,'R2'!K94,'R3'!K94)</f>
        <v>11.577601749999999</v>
      </c>
      <c r="E94">
        <f>AVERAGE('R1'!L94,'R2'!L94,'R3'!L94)</f>
        <v>1.9183197190703252</v>
      </c>
      <c r="F94">
        <f>AVERAGE('R1'!M94,'R2'!M94,'R3'!M94)</f>
        <v>-1.81224621403472</v>
      </c>
      <c r="G94">
        <f>AVERAGE('R1'!N94,'R2'!N94,'R3'!N94)</f>
        <v>-1.3175760746197118</v>
      </c>
      <c r="H94">
        <f>AVERAGE('R1'!O94,'R2'!O94,'R3'!O94)</f>
        <v>-1.2337601351906338</v>
      </c>
      <c r="I94">
        <f t="shared" si="5"/>
        <v>2276.9283441666666</v>
      </c>
      <c r="K94">
        <f>_xlfn.STDEV.S('R1'!L94,'R2'!L94,'R3'!L94)</f>
        <v>1.0815725072398849E-2</v>
      </c>
      <c r="L94">
        <f>_xlfn.STDEV.S('R1'!M94,'R2'!M94,'R3'!M94)</f>
        <v>6.2765375914686106E-3</v>
      </c>
      <c r="M94">
        <f>_xlfn.STDEV.S('R1'!N94,'R2'!N94,'R3'!N94)</f>
        <v>1.5001907715228292E-2</v>
      </c>
      <c r="N94">
        <f>_xlfn.STDEV.S('R1'!O94,'R2'!O94,'R3'!O94)</f>
        <v>8.6486593220255498E-3</v>
      </c>
    </row>
    <row r="95" spans="1:14" x14ac:dyDescent="0.25">
      <c r="A95">
        <f>-'R1'!H95</f>
        <v>28</v>
      </c>
      <c r="B95">
        <f>DEGREES(ATAN(-SIN(RADIANS(('R1'!I95)))/(COS(RADIANS(Sheet1!A95))*COS(RADIANS('R1'!I95)))))</f>
        <v>43.541410263843531</v>
      </c>
      <c r="C95">
        <f>AVERAGE('R1'!J95,'R2'!J95,'R3'!J95)</f>
        <v>1.18</v>
      </c>
      <c r="D95">
        <f>AVERAGE('R1'!K95,'R2'!K95,'R3'!K95)</f>
        <v>11.574753333333334</v>
      </c>
      <c r="E95">
        <f>AVERAGE('R1'!L95,'R2'!L95,'R3'!L95)</f>
        <v>1.7977068771974427</v>
      </c>
      <c r="F95">
        <f>AVERAGE('R1'!M95,'R2'!M95,'R3'!M95)</f>
        <v>-1.7348006882358351</v>
      </c>
      <c r="G95">
        <f>AVERAGE('R1'!N95,'R2'!N95,'R3'!N95)</f>
        <v>-1.1563742170918081</v>
      </c>
      <c r="H95">
        <f>AVERAGE('R1'!O95,'R2'!O95,'R3'!O95)</f>
        <v>-1.0926953118076013</v>
      </c>
      <c r="I95">
        <f t="shared" si="5"/>
        <v>2276.3681555555554</v>
      </c>
      <c r="K95">
        <f>_xlfn.STDEV.S('R1'!L95,'R2'!L95,'R3'!L95)</f>
        <v>9.928331280642147E-3</v>
      </c>
      <c r="L95">
        <f>_xlfn.STDEV.S('R1'!M95,'R2'!M95,'R3'!M95)</f>
        <v>1.1547840006036869E-2</v>
      </c>
      <c r="M95">
        <f>_xlfn.STDEV.S('R1'!N95,'R2'!N95,'R3'!N95)</f>
        <v>1.8149335319152707E-2</v>
      </c>
      <c r="N95">
        <f>_xlfn.STDEV.S('R1'!O95,'R2'!O95,'R3'!O95)</f>
        <v>6.7975857693043061E-3</v>
      </c>
    </row>
    <row r="96" spans="1:14" x14ac:dyDescent="0.25">
      <c r="A96">
        <f>-'R1'!H96</f>
        <v>28</v>
      </c>
      <c r="B96">
        <f>DEGREES(ATAN(-SIN(RADIANS(('R1'!I96)))/(COS(RADIANS(Sheet1!A96))*COS(RADIANS('R1'!I96)))))</f>
        <v>39.449608335498439</v>
      </c>
      <c r="C96">
        <f>AVERAGE('R1'!J96,'R2'!J96,'R3'!J96)</f>
        <v>1.18</v>
      </c>
      <c r="D96">
        <f>AVERAGE('R1'!K96,'R2'!K96,'R3'!K96)</f>
        <v>11.481320416666668</v>
      </c>
      <c r="E96">
        <f>AVERAGE('R1'!L96,'R2'!L96,'R3'!L96)</f>
        <v>1.6750310759438631</v>
      </c>
      <c r="F96">
        <f>AVERAGE('R1'!M96,'R2'!M96,'R3'!M96)</f>
        <v>-1.684668339619191</v>
      </c>
      <c r="G96">
        <f>AVERAGE('R1'!N96,'R2'!N96,'R3'!N96)</f>
        <v>-1.0270987498349378</v>
      </c>
      <c r="H96">
        <f>AVERAGE('R1'!O96,'R2'!O96,'R3'!O96)</f>
        <v>-0.94592026134448659</v>
      </c>
      <c r="I96">
        <f t="shared" si="5"/>
        <v>2257.9930152777783</v>
      </c>
      <c r="K96">
        <f>_xlfn.STDEV.S('R1'!L96,'R2'!L96,'R3'!L96)</f>
        <v>4.7366356455092774E-3</v>
      </c>
      <c r="L96">
        <f>_xlfn.STDEV.S('R1'!M96,'R2'!M96,'R3'!M96)</f>
        <v>1.0158191823984527E-2</v>
      </c>
      <c r="M96">
        <f>_xlfn.STDEV.S('R1'!N96,'R2'!N96,'R3'!N96)</f>
        <v>1.173304175195194E-2</v>
      </c>
      <c r="N96">
        <f>_xlfn.STDEV.S('R1'!O96,'R2'!O96,'R3'!O96)</f>
        <v>9.8755335875247725E-3</v>
      </c>
    </row>
    <row r="97" spans="1:14" x14ac:dyDescent="0.25">
      <c r="A97">
        <f>-'R1'!H97</f>
        <v>28</v>
      </c>
      <c r="B97">
        <f>DEGREES(ATAN(-SIN(RADIANS(('R1'!I97)))/(COS(RADIANS(Sheet1!A97))*COS(RADIANS('R1'!I97)))))</f>
        <v>35.287360012327973</v>
      </c>
      <c r="C97">
        <f>AVERAGE('R1'!J97,'R2'!J97,'R3'!J97)</f>
        <v>1.18</v>
      </c>
      <c r="D97">
        <f>AVERAGE('R1'!K97,'R2'!K97,'R3'!K97)</f>
        <v>11.447089833333335</v>
      </c>
      <c r="E97">
        <f>AVERAGE('R1'!L97,'R2'!L97,'R3'!L97)</f>
        <v>1.5566601511733682</v>
      </c>
      <c r="F97">
        <f>AVERAGE('R1'!M97,'R2'!M97,'R3'!M97)</f>
        <v>-1.6658590570960123</v>
      </c>
      <c r="G97">
        <f>AVERAGE('R1'!N97,'R2'!N97,'R3'!N97)</f>
        <v>-0.93137589646798735</v>
      </c>
      <c r="H97">
        <f>AVERAGE('R1'!O97,'R2'!O97,'R3'!O97)</f>
        <v>-0.81537249761342245</v>
      </c>
      <c r="I97">
        <f t="shared" si="5"/>
        <v>2251.2610005555557</v>
      </c>
      <c r="K97">
        <f>_xlfn.STDEV.S('R1'!L97,'R2'!L97,'R3'!L97)</f>
        <v>6.0350211901986977E-3</v>
      </c>
      <c r="L97">
        <f>_xlfn.STDEV.S('R1'!M97,'R2'!M97,'R3'!M97)</f>
        <v>6.7233724508633094E-3</v>
      </c>
      <c r="M97">
        <f>_xlfn.STDEV.S('R1'!N97,'R2'!N97,'R3'!N97)</f>
        <v>1.0594549805700954E-2</v>
      </c>
      <c r="N97">
        <f>_xlfn.STDEV.S('R1'!O97,'R2'!O97,'R3'!O97)</f>
        <v>6.3645319174367738E-3</v>
      </c>
    </row>
    <row r="98" spans="1:14" x14ac:dyDescent="0.25">
      <c r="A98">
        <f>-'R1'!H98</f>
        <v>28</v>
      </c>
      <c r="B98">
        <f>DEGREES(ATAN(-SIN(RADIANS(('R1'!I98)))/(COS(RADIANS(Sheet1!A98))*COS(RADIANS('R1'!I98)))))</f>
        <v>31.056274317680661</v>
      </c>
      <c r="C98">
        <f>AVERAGE('R1'!J98,'R2'!J98,'R3'!J98)</f>
        <v>1.18</v>
      </c>
      <c r="D98">
        <f>AVERAGE('R1'!K98,'R2'!K98,'R3'!K98)</f>
        <v>11.348892416666667</v>
      </c>
      <c r="E98">
        <f>AVERAGE('R1'!L98,'R2'!L98,'R3'!L98)</f>
        <v>1.4329031407358819</v>
      </c>
      <c r="F98">
        <f>AVERAGE('R1'!M98,'R2'!M98,'R3'!M98)</f>
        <v>-1.6618763990297871</v>
      </c>
      <c r="G98">
        <f>AVERAGE('R1'!N98,'R2'!N98,'R3'!N98)</f>
        <v>-0.85426275999545831</v>
      </c>
      <c r="H98">
        <f>AVERAGE('R1'!O98,'R2'!O98,'R3'!O98)</f>
        <v>-0.69021488221811866</v>
      </c>
      <c r="I98">
        <f t="shared" si="5"/>
        <v>2231.9488419444442</v>
      </c>
      <c r="K98">
        <f>_xlfn.STDEV.S('R1'!L98,'R2'!L98,'R3'!L98)</f>
        <v>6.9058544435285779E-3</v>
      </c>
      <c r="L98">
        <f>_xlfn.STDEV.S('R1'!M98,'R2'!M98,'R3'!M98)</f>
        <v>6.0441186878797837E-3</v>
      </c>
      <c r="M98">
        <f>_xlfn.STDEV.S('R1'!N98,'R2'!N98,'R3'!N98)</f>
        <v>9.9795048015255822E-3</v>
      </c>
      <c r="N98">
        <f>_xlfn.STDEV.S('R1'!O98,'R2'!O98,'R3'!O98)</f>
        <v>4.1143284436217578E-3</v>
      </c>
    </row>
    <row r="99" spans="1:14" x14ac:dyDescent="0.25">
      <c r="A99">
        <f>-'R1'!H99</f>
        <v>28</v>
      </c>
      <c r="B99">
        <f>DEGREES(ATAN(-SIN(RADIANS(('R1'!I99)))/(COS(RADIANS(Sheet1!A99))*COS(RADIANS('R1'!I99)))))</f>
        <v>26.759647654377044</v>
      </c>
      <c r="C99">
        <f>AVERAGE('R1'!J99,'R2'!J99,'R3'!J99)</f>
        <v>1.1816666666666666</v>
      </c>
      <c r="D99">
        <f>AVERAGE('R1'!K99,'R2'!K99,'R3'!K99)</f>
        <v>11.207491500000001</v>
      </c>
      <c r="E99">
        <f>AVERAGE('R1'!L99,'R2'!L99,'R3'!L99)</f>
        <v>1.2786035307119121</v>
      </c>
      <c r="F99">
        <f>AVERAGE('R1'!M99,'R2'!M99,'R3'!M99)</f>
        <v>-1.6767067751185554</v>
      </c>
      <c r="G99">
        <f>AVERAGE('R1'!N99,'R2'!N99,'R3'!N99)</f>
        <v>-0.78196998390229666</v>
      </c>
      <c r="H99">
        <f>AVERAGE('R1'!O99,'R2'!O99,'R3'!O99)</f>
        <v>-0.56216923489692361</v>
      </c>
      <c r="I99">
        <f t="shared" si="5"/>
        <v>2207.2531870833336</v>
      </c>
      <c r="K99">
        <f>_xlfn.STDEV.S('R1'!L99,'R2'!L99,'R3'!L99)</f>
        <v>9.5268015016894917E-3</v>
      </c>
      <c r="L99">
        <f>_xlfn.STDEV.S('R1'!M99,'R2'!M99,'R3'!M99)</f>
        <v>1.2441255831504532E-2</v>
      </c>
      <c r="M99">
        <f>_xlfn.STDEV.S('R1'!N99,'R2'!N99,'R3'!N99)</f>
        <v>1.5544792668525098E-2</v>
      </c>
      <c r="N99">
        <f>_xlfn.STDEV.S('R1'!O99,'R2'!O99,'R3'!O99)</f>
        <v>1.2933204744269849E-2</v>
      </c>
    </row>
    <row r="100" spans="1:14" x14ac:dyDescent="0.25">
      <c r="A100">
        <f>-'R1'!H100</f>
        <v>28</v>
      </c>
      <c r="B100">
        <f>DEGREES(ATAN(-SIN(RADIANS(('R1'!I100)))/(COS(RADIANS(Sheet1!A100))*COS(RADIANS('R1'!I100)))))</f>
        <v>22.402523646885253</v>
      </c>
      <c r="C100">
        <f>AVERAGE('R1'!J100,'R2'!J100,'R3'!J100)</f>
        <v>1.1833333333333333</v>
      </c>
      <c r="D100">
        <f>AVERAGE('R1'!K100,'R2'!K100,'R3'!K100)</f>
        <v>11.20743425</v>
      </c>
      <c r="E100">
        <f>AVERAGE('R1'!L100,'R2'!L100,'R3'!L100)</f>
        <v>1.1004435771649537</v>
      </c>
      <c r="F100">
        <f>AVERAGE('R1'!M100,'R2'!M100,'R3'!M100)</f>
        <v>-1.724955608620472</v>
      </c>
      <c r="G100">
        <f>AVERAGE('R1'!N100,'R2'!N100,'R3'!N100)</f>
        <v>-0.73051101679475394</v>
      </c>
      <c r="H100">
        <f>AVERAGE('R1'!O100,'R2'!O100,'R3'!O100)</f>
        <v>-0.46273388049999103</v>
      </c>
      <c r="I100">
        <f t="shared" si="5"/>
        <v>2210.3550881944443</v>
      </c>
      <c r="K100">
        <f>_xlfn.STDEV.S('R1'!L100,'R2'!L100,'R3'!L100)</f>
        <v>4.169935679848049E-3</v>
      </c>
      <c r="L100">
        <f>_xlfn.STDEV.S('R1'!M100,'R2'!M100,'R3'!M100)</f>
        <v>4.9868739731467509E-3</v>
      </c>
      <c r="M100">
        <f>_xlfn.STDEV.S('R1'!N100,'R2'!N100,'R3'!N100)</f>
        <v>9.4796935175281444E-3</v>
      </c>
      <c r="N100">
        <f>_xlfn.STDEV.S('R1'!O100,'R2'!O100,'R3'!O100)</f>
        <v>9.1521597710738257E-4</v>
      </c>
    </row>
    <row r="101" spans="1:14" x14ac:dyDescent="0.25">
      <c r="A101">
        <f>-'R1'!H101</f>
        <v>28</v>
      </c>
      <c r="B101">
        <f>DEGREES(ATAN(-SIN(RADIANS(('R1'!I101)))/(COS(RADIANS(Sheet1!A101))*COS(RADIANS('R1'!I101)))))</f>
        <v>17.991683837765329</v>
      </c>
      <c r="C101">
        <f>AVERAGE('R1'!J101,'R2'!J101,'R3'!J101)</f>
        <v>1.1808333333333332</v>
      </c>
      <c r="D101">
        <f>AVERAGE('R1'!K101,'R2'!K101,'R3'!K101)</f>
        <v>11.195320833333332</v>
      </c>
      <c r="E101">
        <f>AVERAGE('R1'!L101,'R2'!L101,'R3'!L101)</f>
        <v>0.90487180034227943</v>
      </c>
      <c r="F101">
        <f>AVERAGE('R1'!M101,'R2'!M101,'R3'!M101)</f>
        <v>-1.7786542818935549</v>
      </c>
      <c r="G101">
        <f>AVERAGE('R1'!N101,'R2'!N101,'R3'!N101)</f>
        <v>-0.68689507000712258</v>
      </c>
      <c r="H101">
        <f>AVERAGE('R1'!O101,'R2'!O101,'R3'!O101)</f>
        <v>-0.36195052434966762</v>
      </c>
      <c r="I101">
        <f t="shared" si="5"/>
        <v>2203.3013362268516</v>
      </c>
      <c r="K101">
        <f>_xlfn.STDEV.S('R1'!L101,'R2'!L101,'R3'!L101)</f>
        <v>8.3337428085589332E-3</v>
      </c>
      <c r="L101">
        <f>_xlfn.STDEV.S('R1'!M101,'R2'!M101,'R3'!M101)</f>
        <v>9.5789450470757497E-3</v>
      </c>
      <c r="M101">
        <f>_xlfn.STDEV.S('R1'!N101,'R2'!N101,'R3'!N101)</f>
        <v>1.5901708951950005E-2</v>
      </c>
      <c r="N101">
        <f>_xlfn.STDEV.S('R1'!O101,'R2'!O101,'R3'!O101)</f>
        <v>8.8049985125608996E-3</v>
      </c>
    </row>
    <row r="102" spans="1:14" x14ac:dyDescent="0.25">
      <c r="A102">
        <f>-'R1'!H102</f>
        <v>28</v>
      </c>
      <c r="B102">
        <f>DEGREES(ATAN(-SIN(RADIANS(('R1'!I102)))/(COS(RADIANS(Sheet1!A102))*COS(RADIANS('R1'!I102)))))</f>
        <v>13.535556072482301</v>
      </c>
      <c r="C102">
        <f>AVERAGE('R1'!J102,'R2'!J102,'R3'!J102)</f>
        <v>1.18</v>
      </c>
      <c r="D102">
        <f>AVERAGE('R1'!K102,'R2'!K102,'R3'!K102)</f>
        <v>11.196102333333334</v>
      </c>
      <c r="E102">
        <f>AVERAGE('R1'!L102,'R2'!L102,'R3'!L102)</f>
        <v>0.68719740740024393</v>
      </c>
      <c r="F102">
        <f>AVERAGE('R1'!M102,'R2'!M102,'R3'!M102)</f>
        <v>-1.8694279486955621</v>
      </c>
      <c r="G102">
        <f>AVERAGE('R1'!N102,'R2'!N102,'R3'!N102)</f>
        <v>-0.6762475343530604</v>
      </c>
      <c r="H102">
        <f>AVERAGE('R1'!O102,'R2'!O102,'R3'!O102)</f>
        <v>-0.27565220200328611</v>
      </c>
      <c r="I102">
        <f t="shared" si="5"/>
        <v>2201.9001255555554</v>
      </c>
      <c r="K102">
        <f>_xlfn.STDEV.S('R1'!L102,'R2'!L102,'R3'!L102)</f>
        <v>7.9961581359177403E-3</v>
      </c>
      <c r="L102">
        <f>_xlfn.STDEV.S('R1'!M102,'R2'!M102,'R3'!M102)</f>
        <v>1.8556225374531429E-2</v>
      </c>
      <c r="M102">
        <f>_xlfn.STDEV.S('R1'!N102,'R2'!N102,'R3'!N102)</f>
        <v>2.2244165052249038E-2</v>
      </c>
      <c r="N102">
        <f>_xlfn.STDEV.S('R1'!O102,'R2'!O102,'R3'!O102)</f>
        <v>1.7027938481501487E-2</v>
      </c>
    </row>
    <row r="103" spans="1:14" x14ac:dyDescent="0.25">
      <c r="A103">
        <f>-'R1'!H103</f>
        <v>28</v>
      </c>
      <c r="B103">
        <f>DEGREES(ATAN(-SIN(RADIANS(('R1'!I103)))/(COS(RADIANS(Sheet1!A103))*COS(RADIANS('R1'!I103)))))</f>
        <v>9.0440332369115684</v>
      </c>
      <c r="C103">
        <f>AVERAGE('R1'!J103,'R2'!J103,'R3'!J103)</f>
        <v>1.18</v>
      </c>
      <c r="D103">
        <f>AVERAGE('R1'!K103,'R2'!K103,'R3'!K103)</f>
        <v>11.273416750000001</v>
      </c>
      <c r="E103">
        <f>AVERAGE('R1'!L103,'R2'!L103,'R3'!L103)</f>
        <v>0.45745955214478534</v>
      </c>
      <c r="F103">
        <f>AVERAGE('R1'!M103,'R2'!M103,'R3'!M103)</f>
        <v>-1.9809808923760706</v>
      </c>
      <c r="G103">
        <f>AVERAGE('R1'!N103,'R2'!N103,'R3'!N103)</f>
        <v>-0.68569026013819911</v>
      </c>
      <c r="H103">
        <f>AVERAGE('R1'!O103,'R2'!O103,'R3'!O103)</f>
        <v>-0.20471943400775139</v>
      </c>
      <c r="I103">
        <f t="shared" si="5"/>
        <v>2217.1052941666667</v>
      </c>
      <c r="K103">
        <f>_xlfn.STDEV.S('R1'!L103,'R2'!L103,'R3'!L103)</f>
        <v>1.2750584142199779E-2</v>
      </c>
      <c r="L103">
        <f>_xlfn.STDEV.S('R1'!M103,'R2'!M103,'R3'!M103)</f>
        <v>2.1318513217922726E-2</v>
      </c>
      <c r="M103">
        <f>_xlfn.STDEV.S('R1'!N103,'R2'!N103,'R3'!N103)</f>
        <v>2.3393863212053327E-2</v>
      </c>
      <c r="N103">
        <f>_xlfn.STDEV.S('R1'!O103,'R2'!O103,'R3'!O103)</f>
        <v>1.7165784609606379E-2</v>
      </c>
    </row>
    <row r="104" spans="1:14" x14ac:dyDescent="0.25">
      <c r="A104">
        <f>-'R1'!H104</f>
        <v>28</v>
      </c>
      <c r="B104">
        <f>DEGREES(ATAN(-SIN(RADIANS(('R1'!I104)))/(COS(RADIANS(Sheet1!A104))*COS(RADIANS('R1'!I104)))))</f>
        <v>4.5282031595057557</v>
      </c>
      <c r="C104">
        <f>AVERAGE('R1'!J104,'R2'!J104,'R3'!J104)</f>
        <v>1.18</v>
      </c>
      <c r="D104">
        <f>AVERAGE('R1'!K104,'R2'!K104,'R3'!K104)</f>
        <v>11.237817</v>
      </c>
      <c r="E104">
        <f>AVERAGE('R1'!L104,'R2'!L104,'R3'!L104)</f>
        <v>0.16007407399117607</v>
      </c>
      <c r="F104">
        <f>AVERAGE('R1'!M104,'R2'!M104,'R3'!M104)</f>
        <v>-2.1261767654050128</v>
      </c>
      <c r="G104">
        <f>AVERAGE('R1'!N104,'R2'!N104,'R3'!N104)</f>
        <v>-0.71619089705568972</v>
      </c>
      <c r="H104">
        <f>AVERAGE('R1'!O104,'R2'!O104,'R3'!O104)</f>
        <v>-0.1179036207155878</v>
      </c>
      <c r="I104">
        <f t="shared" si="5"/>
        <v>2210.10401</v>
      </c>
      <c r="K104">
        <f>_xlfn.STDEV.S('R1'!L104,'R2'!L104,'R3'!L104)</f>
        <v>5.206785594616431E-3</v>
      </c>
      <c r="L104">
        <f>_xlfn.STDEV.S('R1'!M104,'R2'!M104,'R3'!M104)</f>
        <v>2.0772867660783161E-2</v>
      </c>
      <c r="M104">
        <f>_xlfn.STDEV.S('R1'!N104,'R2'!N104,'R3'!N104)</f>
        <v>1.8873690310077337E-2</v>
      </c>
      <c r="N104">
        <f>_xlfn.STDEV.S('R1'!O104,'R2'!O104,'R3'!O104)</f>
        <v>9.377530413452578E-3</v>
      </c>
    </row>
    <row r="105" spans="1:14" x14ac:dyDescent="0.25">
      <c r="A105">
        <f>-'R1'!H105</f>
        <v>28</v>
      </c>
      <c r="B105">
        <f>DEGREES(ATAN(-SIN(RADIANS(('R1'!I105)))/(COS(RADIANS(Sheet1!A105))*COS(RADIANS('R1'!I105)))))</f>
        <v>0</v>
      </c>
      <c r="C105">
        <f>AVERAGE('R1'!J105,'R2'!J105,'R3'!J105)</f>
        <v>1.18</v>
      </c>
      <c r="D105">
        <f>AVERAGE('R1'!K105,'R2'!K105,'R3'!K105)</f>
        <v>11.213165750000002</v>
      </c>
      <c r="E105">
        <f>AVERAGE('R1'!L105,'R2'!L105,'R3'!L105)</f>
        <v>-0.15209639519012907</v>
      </c>
      <c r="F105">
        <f>AVERAGE('R1'!M105,'R2'!M105,'R3'!M105)</f>
        <v>-2.0954068834434123</v>
      </c>
      <c r="G105">
        <f>AVERAGE('R1'!N105,'R2'!N105,'R3'!N105)</f>
        <v>-0.69028572850309067</v>
      </c>
      <c r="H105">
        <f>AVERAGE('R1'!O105,'R2'!O105,'R3'!O105)</f>
        <v>-9.80960849590891E-2</v>
      </c>
      <c r="I105">
        <f t="shared" si="5"/>
        <v>2205.2559308333339</v>
      </c>
      <c r="K105">
        <f>_xlfn.STDEV.S('R1'!L105,'R2'!L105,'R3'!L105)</f>
        <v>1.4934341653676988E-2</v>
      </c>
      <c r="L105">
        <f>_xlfn.STDEV.S('R1'!M105,'R2'!M105,'R3'!M105)</f>
        <v>1.296972968560567E-2</v>
      </c>
      <c r="M105">
        <f>_xlfn.STDEV.S('R1'!N105,'R2'!N105,'R3'!N105)</f>
        <v>1.1499478854766633E-2</v>
      </c>
      <c r="N105">
        <f>_xlfn.STDEV.S('R1'!O105,'R2'!O105,'R3'!O105)</f>
        <v>4.3916662017913837E-3</v>
      </c>
    </row>
    <row r="106" spans="1:14" x14ac:dyDescent="0.25">
      <c r="A106">
        <f>-'R1'!H106</f>
        <v>28</v>
      </c>
      <c r="B106">
        <f>DEGREES(ATAN(-SIN(RADIANS(('R1'!I106)))/(COS(RADIANS(Sheet1!A106))*COS(RADIANS('R1'!I106)))))</f>
        <v>-4.5282031595057557</v>
      </c>
      <c r="C106">
        <f>AVERAGE('R1'!J106,'R2'!J106,'R3'!J106)</f>
        <v>1.18</v>
      </c>
      <c r="D106">
        <f>AVERAGE('R1'!K106,'R2'!K106,'R3'!K106)</f>
        <v>11.209336500000001</v>
      </c>
      <c r="E106">
        <f>AVERAGE('R1'!L106,'R2'!L106,'R3'!L106)</f>
        <v>-0.44948848146759407</v>
      </c>
      <c r="F106">
        <f>AVERAGE('R1'!M106,'R2'!M106,'R3'!M106)</f>
        <v>-1.9394329687391665</v>
      </c>
      <c r="G106">
        <f>AVERAGE('R1'!N106,'R2'!N106,'R3'!N106)</f>
        <v>-0.65376025109689495</v>
      </c>
      <c r="H106">
        <f>AVERAGE('R1'!O106,'R2'!O106,'R3'!O106)</f>
        <v>-0.17853814814311611</v>
      </c>
      <c r="I106">
        <f t="shared" si="5"/>
        <v>2204.5028450000004</v>
      </c>
      <c r="K106">
        <f>_xlfn.STDEV.S('R1'!L106,'R2'!L106,'R3'!L106)</f>
        <v>1.3504163554023858E-2</v>
      </c>
      <c r="L106">
        <f>_xlfn.STDEV.S('R1'!M106,'R2'!M106,'R3'!M106)</f>
        <v>1.6683871006449687E-2</v>
      </c>
      <c r="M106">
        <f>_xlfn.STDEV.S('R1'!N106,'R2'!N106,'R3'!N106)</f>
        <v>1.4653743397627131E-2</v>
      </c>
      <c r="N106">
        <f>_xlfn.STDEV.S('R1'!O106,'R2'!O106,'R3'!O106)</f>
        <v>2.4571208743355455E-3</v>
      </c>
    </row>
    <row r="107" spans="1:14" x14ac:dyDescent="0.25">
      <c r="A107">
        <f>-'R1'!H107</f>
        <v>28</v>
      </c>
      <c r="B107">
        <f>DEGREES(ATAN(-SIN(RADIANS(('R1'!I107)))/(COS(RADIANS(Sheet1!A107))*COS(RADIANS('R1'!I107)))))</f>
        <v>-9.0440332369115684</v>
      </c>
      <c r="C107">
        <f>AVERAGE('R1'!J107,'R2'!J107,'R3'!J107)</f>
        <v>1.1808333333333332</v>
      </c>
      <c r="D107">
        <f>AVERAGE('R1'!K107,'R2'!K107,'R3'!K107)</f>
        <v>11.149340666666667</v>
      </c>
      <c r="E107">
        <f>AVERAGE('R1'!L107,'R2'!L107,'R3'!L107)</f>
        <v>-0.69590235944547363</v>
      </c>
      <c r="F107">
        <f>AVERAGE('R1'!M107,'R2'!M107,'R3'!M107)</f>
        <v>-1.8198527337807118</v>
      </c>
      <c r="G107">
        <f>AVERAGE('R1'!N107,'R2'!N107,'R3'!N107)</f>
        <v>-0.6452842921392925</v>
      </c>
      <c r="H107">
        <f>AVERAGE('R1'!O107,'R2'!O107,'R3'!O107)</f>
        <v>-0.24827578046866103</v>
      </c>
      <c r="I107">
        <f t="shared" si="5"/>
        <v>2194.2521839814813</v>
      </c>
      <c r="K107">
        <f>_xlfn.STDEV.S('R1'!L107,'R2'!L107,'R3'!L107)</f>
        <v>1.1438584074679833E-2</v>
      </c>
      <c r="L107">
        <f>_xlfn.STDEV.S('R1'!M107,'R2'!M107,'R3'!M107)</f>
        <v>1.7541325254005504E-2</v>
      </c>
      <c r="M107">
        <f>_xlfn.STDEV.S('R1'!N107,'R2'!N107,'R3'!N107)</f>
        <v>1.3496699490067893E-2</v>
      </c>
      <c r="N107">
        <f>_xlfn.STDEV.S('R1'!O107,'R2'!O107,'R3'!O107)</f>
        <v>6.9735826518079599E-3</v>
      </c>
    </row>
    <row r="108" spans="1:14" x14ac:dyDescent="0.25">
      <c r="A108">
        <f>-'R1'!H108</f>
        <v>28</v>
      </c>
      <c r="B108">
        <f>DEGREES(ATAN(-SIN(RADIANS(('R1'!I108)))/(COS(RADIANS(Sheet1!A108))*COS(RADIANS('R1'!I108)))))</f>
        <v>-13.535556072482301</v>
      </c>
      <c r="C108">
        <f>AVERAGE('R1'!J108,'R2'!J108,'R3'!J108)</f>
        <v>1.18</v>
      </c>
      <c r="D108">
        <f>AVERAGE('R1'!K108,'R2'!K108,'R3'!K108)</f>
        <v>11.146597333333332</v>
      </c>
      <c r="E108">
        <f>AVERAGE('R1'!L108,'R2'!L108,'R3'!L108)</f>
        <v>-0.92991547794647988</v>
      </c>
      <c r="F108">
        <f>AVERAGE('R1'!M108,'R2'!M108,'R3'!M108)</f>
        <v>-1.7295675979581899</v>
      </c>
      <c r="G108">
        <f>AVERAGE('R1'!N108,'R2'!N108,'R3'!N108)</f>
        <v>-0.66737686733302681</v>
      </c>
      <c r="H108">
        <f>AVERAGE('R1'!O108,'R2'!O108,'R3'!O108)</f>
        <v>-0.31300499315459701</v>
      </c>
      <c r="I108">
        <f t="shared" si="5"/>
        <v>2192.1641422222219</v>
      </c>
      <c r="K108">
        <f>_xlfn.STDEV.S('R1'!L108,'R2'!L108,'R3'!L108)</f>
        <v>1.0185498566857978E-2</v>
      </c>
      <c r="L108">
        <f>_xlfn.STDEV.S('R1'!M108,'R2'!M108,'R3'!M108)</f>
        <v>1.2623827643171224E-2</v>
      </c>
      <c r="M108">
        <f>_xlfn.STDEV.S('R1'!N108,'R2'!N108,'R3'!N108)</f>
        <v>1.5587325852457092E-2</v>
      </c>
      <c r="N108">
        <f>_xlfn.STDEV.S('R1'!O108,'R2'!O108,'R3'!O108)</f>
        <v>9.4012462475081097E-3</v>
      </c>
    </row>
    <row r="109" spans="1:14" x14ac:dyDescent="0.25">
      <c r="A109">
        <f>-'R1'!H109</f>
        <v>28</v>
      </c>
      <c r="B109">
        <f>DEGREES(ATAN(-SIN(RADIANS(('R1'!I109)))/(COS(RADIANS(Sheet1!A109))*COS(RADIANS('R1'!I109)))))</f>
        <v>-17.991683837765329</v>
      </c>
      <c r="C109">
        <f>AVERAGE('R1'!J109,'R2'!J109,'R3'!J109)</f>
        <v>1.1816666666666666</v>
      </c>
      <c r="D109">
        <f>AVERAGE('R1'!K109,'R2'!K109,'R3'!K109)</f>
        <v>11.143783166666665</v>
      </c>
      <c r="E109">
        <f>AVERAGE('R1'!L109,'R2'!L109,'R3'!L109)</f>
        <v>-1.1494565425681673</v>
      </c>
      <c r="F109">
        <f>AVERAGE('R1'!M109,'R2'!M109,'R3'!M109)</f>
        <v>-1.6749438563926446</v>
      </c>
      <c r="G109">
        <f>AVERAGE('R1'!N109,'R2'!N109,'R3'!N109)</f>
        <v>-0.72695381173549167</v>
      </c>
      <c r="H109">
        <f>AVERAGE('R1'!O109,'R2'!O109,'R3'!O109)</f>
        <v>-0.3831129937785121</v>
      </c>
      <c r="I109">
        <f t="shared" si="5"/>
        <v>2194.7061847685186</v>
      </c>
      <c r="K109">
        <f>_xlfn.STDEV.S('R1'!L109,'R2'!L109,'R3'!L109)</f>
        <v>1.6124905857009826E-2</v>
      </c>
      <c r="L109">
        <f>_xlfn.STDEV.S('R1'!M109,'R2'!M109,'R3'!M109)</f>
        <v>5.9723509235427531E-3</v>
      </c>
      <c r="M109">
        <f>_xlfn.STDEV.S('R1'!N109,'R2'!N109,'R3'!N109)</f>
        <v>1.05835683835165E-2</v>
      </c>
      <c r="N109">
        <f>_xlfn.STDEV.S('R1'!O109,'R2'!O109,'R3'!O109)</f>
        <v>6.2702573071182609E-3</v>
      </c>
    </row>
    <row r="110" spans="1:14" x14ac:dyDescent="0.25">
      <c r="A110">
        <f>-'R1'!H110</f>
        <v>28</v>
      </c>
      <c r="B110">
        <f>DEGREES(ATAN(-SIN(RADIANS(('R1'!I110)))/(COS(RADIANS(Sheet1!A110))*COS(RADIANS('R1'!I110)))))</f>
        <v>-22.402523646885253</v>
      </c>
      <c r="C110">
        <f>AVERAGE('R1'!J110,'R2'!J110,'R3'!J110)</f>
        <v>1.1808333333333332</v>
      </c>
      <c r="D110">
        <f>AVERAGE('R1'!K110,'R2'!K110,'R3'!K110)</f>
        <v>11.090213499999999</v>
      </c>
      <c r="E110">
        <f>AVERAGE('R1'!L110,'R2'!L110,'R3'!L110)</f>
        <v>-1.3397088010608875</v>
      </c>
      <c r="F110">
        <f>AVERAGE('R1'!M110,'R2'!M110,'R3'!M110)</f>
        <v>-1.6757950982842333</v>
      </c>
      <c r="G110">
        <f>AVERAGE('R1'!N110,'R2'!N110,'R3'!N110)</f>
        <v>-0.81225013080463027</v>
      </c>
      <c r="H110">
        <f>AVERAGE('R1'!O110,'R2'!O110,'R3'!O110)</f>
        <v>-0.49078214245412038</v>
      </c>
      <c r="I110">
        <f t="shared" si="5"/>
        <v>2182.6156290972217</v>
      </c>
      <c r="K110">
        <f>_xlfn.STDEV.S('R1'!L110,'R2'!L110,'R3'!L110)</f>
        <v>1.3167331872336633E-2</v>
      </c>
      <c r="L110">
        <f>_xlfn.STDEV.S('R1'!M110,'R2'!M110,'R3'!M110)</f>
        <v>6.1021317970112428E-3</v>
      </c>
      <c r="M110">
        <f>_xlfn.STDEV.S('R1'!N110,'R2'!N110,'R3'!N110)</f>
        <v>1.2154005575982448E-2</v>
      </c>
      <c r="N110">
        <f>_xlfn.STDEV.S('R1'!O110,'R2'!O110,'R3'!O110)</f>
        <v>3.4881696270066794E-3</v>
      </c>
    </row>
    <row r="111" spans="1:14" x14ac:dyDescent="0.25">
      <c r="A111">
        <f>-'R1'!H111</f>
        <v>28</v>
      </c>
      <c r="B111">
        <f>DEGREES(ATAN(-SIN(RADIANS(('R1'!I111)))/(COS(RADIANS(Sheet1!A111))*COS(RADIANS('R1'!I111)))))</f>
        <v>-26.759647654377044</v>
      </c>
      <c r="C111">
        <f>AVERAGE('R1'!J111,'R2'!J111,'R3'!J111)</f>
        <v>1.1833333333333333</v>
      </c>
      <c r="D111">
        <f>AVERAGE('R1'!K111,'R2'!K111,'R3'!K111)</f>
        <v>11.108526250000002</v>
      </c>
      <c r="E111">
        <f>AVERAGE('R1'!L111,'R2'!L111,'R3'!L111)</f>
        <v>-1.5331118223789526</v>
      </c>
      <c r="F111">
        <f>AVERAGE('R1'!M111,'R2'!M111,'R3'!M111)</f>
        <v>-1.7141800531927283</v>
      </c>
      <c r="G111">
        <f>AVERAGE('R1'!N111,'R2'!N111,'R3'!N111)</f>
        <v>-0.93697011752987958</v>
      </c>
      <c r="H111">
        <f>AVERAGE('R1'!O111,'R2'!O111,'R3'!O111)</f>
        <v>-0.62450661385728756</v>
      </c>
      <c r="I111">
        <f t="shared" si="5"/>
        <v>2190.8482326388894</v>
      </c>
      <c r="K111">
        <f>_xlfn.STDEV.S('R1'!L111,'R2'!L111,'R3'!L111)</f>
        <v>2.0472326567241548E-2</v>
      </c>
      <c r="L111">
        <f>_xlfn.STDEV.S('R1'!M111,'R2'!M111,'R3'!M111)</f>
        <v>9.9342173623280915E-3</v>
      </c>
      <c r="M111">
        <f>_xlfn.STDEV.S('R1'!N111,'R2'!N111,'R3'!N111)</f>
        <v>2.0613118648410266E-2</v>
      </c>
      <c r="N111">
        <f>_xlfn.STDEV.S('R1'!O111,'R2'!O111,'R3'!O111)</f>
        <v>6.3489576523735377E-3</v>
      </c>
    </row>
    <row r="112" spans="1:14" x14ac:dyDescent="0.25">
      <c r="A112">
        <f>-'R1'!H112</f>
        <v>28</v>
      </c>
      <c r="B112">
        <f>DEGREES(ATAN(-SIN(RADIANS(('R1'!I112)))/(COS(RADIANS(Sheet1!A112))*COS(RADIANS('R1'!I112)))))</f>
        <v>-31.056274317680661</v>
      </c>
      <c r="C112">
        <f>AVERAGE('R1'!J112,'R2'!J112,'R3'!J112)</f>
        <v>1.1833333333333333</v>
      </c>
      <c r="D112">
        <f>AVERAGE('R1'!K112,'R2'!K112,'R3'!K112)</f>
        <v>11.169192499999999</v>
      </c>
      <c r="E112">
        <f>AVERAGE('R1'!L112,'R2'!L112,'R3'!L112)</f>
        <v>-1.7325815427013262</v>
      </c>
      <c r="F112">
        <f>AVERAGE('R1'!M112,'R2'!M112,'R3'!M112)</f>
        <v>-1.8029265901304574</v>
      </c>
      <c r="G112">
        <f>AVERAGE('R1'!N112,'R2'!N112,'R3'!N112)</f>
        <v>-1.1106873660689827</v>
      </c>
      <c r="H112">
        <f>AVERAGE('R1'!O112,'R2'!O112,'R3'!O112)</f>
        <v>-0.79442407796846581</v>
      </c>
      <c r="I112">
        <f t="shared" si="5"/>
        <v>2202.8129652777775</v>
      </c>
      <c r="K112">
        <f>_xlfn.STDEV.S('R1'!L112,'R2'!L112,'R3'!L112)</f>
        <v>2.13176267657792E-2</v>
      </c>
      <c r="L112">
        <f>_xlfn.STDEV.S('R1'!M112,'R2'!M112,'R3'!M112)</f>
        <v>1.1468364638438333E-2</v>
      </c>
      <c r="M112">
        <f>_xlfn.STDEV.S('R1'!N112,'R2'!N112,'R3'!N112)</f>
        <v>2.3913196642780628E-2</v>
      </c>
      <c r="N112">
        <f>_xlfn.STDEV.S('R1'!O112,'R2'!O112,'R3'!O112)</f>
        <v>4.8864709259409623E-3</v>
      </c>
    </row>
    <row r="113" spans="1:14" x14ac:dyDescent="0.25">
      <c r="A113">
        <f>-'R1'!H113</f>
        <v>28</v>
      </c>
      <c r="B113">
        <f>DEGREES(ATAN(-SIN(RADIANS(('R1'!I113)))/(COS(RADIANS(Sheet1!A113))*COS(RADIANS('R1'!I113)))))</f>
        <v>-35.287360012327973</v>
      </c>
      <c r="C113">
        <f>AVERAGE('R1'!J113,'R2'!J113,'R3'!J113)</f>
        <v>1.1833333333333333</v>
      </c>
      <c r="D113">
        <f>AVERAGE('R1'!K113,'R2'!K113,'R3'!K113)</f>
        <v>11.195606833333335</v>
      </c>
      <c r="E113">
        <f>AVERAGE('R1'!L113,'R2'!L113,'R3'!L113)</f>
        <v>-1.9360028707424612</v>
      </c>
      <c r="F113">
        <f>AVERAGE('R1'!M113,'R2'!M113,'R3'!M113)</f>
        <v>-1.916892210258113</v>
      </c>
      <c r="G113">
        <f>AVERAGE('R1'!N113,'R2'!N113,'R3'!N113)</f>
        <v>-1.3029305360826642</v>
      </c>
      <c r="H113">
        <f>AVERAGE('R1'!O113,'R2'!O113,'R3'!O113)</f>
        <v>-0.97819306598362887</v>
      </c>
      <c r="I113">
        <f t="shared" si="5"/>
        <v>2208.0224587962962</v>
      </c>
      <c r="K113">
        <f>_xlfn.STDEV.S('R1'!L113,'R2'!L113,'R3'!L113)</f>
        <v>2.8006671718640349E-2</v>
      </c>
      <c r="L113">
        <f>_xlfn.STDEV.S('R1'!M113,'R2'!M113,'R3'!M113)</f>
        <v>2.2256150827175025E-2</v>
      </c>
      <c r="M113">
        <f>_xlfn.STDEV.S('R1'!N113,'R2'!N113,'R3'!N113)</f>
        <v>3.8228766822138341E-2</v>
      </c>
      <c r="N113">
        <f>_xlfn.STDEV.S('R1'!O113,'R2'!O113,'R3'!O113)</f>
        <v>1.3497075850746059E-2</v>
      </c>
    </row>
    <row r="114" spans="1:14" x14ac:dyDescent="0.25">
      <c r="A114">
        <f>-'R1'!H114</f>
        <v>28</v>
      </c>
      <c r="B114">
        <f>DEGREES(ATAN(-SIN(RADIANS(('R1'!I114)))/(COS(RADIANS(Sheet1!A114))*COS(RADIANS('R1'!I114)))))</f>
        <v>-39.449608335498439</v>
      </c>
      <c r="C114">
        <f>AVERAGE('R1'!J114,'R2'!J114,'R3'!J114)</f>
        <v>1.1808333333333332</v>
      </c>
      <c r="D114">
        <f>AVERAGE('R1'!K114,'R2'!K114,'R3'!K114)</f>
        <v>11.263356583333334</v>
      </c>
      <c r="E114">
        <f>AVERAGE('R1'!L114,'R2'!L114,'R3'!L114)</f>
        <v>-2.1610991670635991</v>
      </c>
      <c r="F114">
        <f>AVERAGE('R1'!M114,'R2'!M114,'R3'!M114)</f>
        <v>-2.0575829170409996</v>
      </c>
      <c r="G114">
        <f>AVERAGE('R1'!N114,'R2'!N114,'R3'!N114)</f>
        <v>-1.5511995869251651</v>
      </c>
      <c r="H114">
        <f>AVERAGE('R1'!O114,'R2'!O114,'R3'!O114)</f>
        <v>-1.1871362122791727</v>
      </c>
      <c r="I114">
        <f t="shared" si="5"/>
        <v>2216.6911498032405</v>
      </c>
      <c r="K114">
        <f>_xlfn.STDEV.S('R1'!L114,'R2'!L114,'R3'!L114)</f>
        <v>2.0562240545831008E-2</v>
      </c>
      <c r="L114">
        <f>_xlfn.STDEV.S('R1'!M114,'R2'!M114,'R3'!M114)</f>
        <v>1.414519225666399E-2</v>
      </c>
      <c r="M114">
        <f>_xlfn.STDEV.S('R1'!N114,'R2'!N114,'R3'!N114)</f>
        <v>2.0959994423055687E-2</v>
      </c>
      <c r="N114">
        <f>_xlfn.STDEV.S('R1'!O114,'R2'!O114,'R3'!O114)</f>
        <v>5.7716282165899153E-3</v>
      </c>
    </row>
    <row r="115" spans="1:14" x14ac:dyDescent="0.25">
      <c r="A115">
        <f>-'R1'!H115</f>
        <v>28</v>
      </c>
      <c r="B115">
        <f>DEGREES(ATAN(-SIN(RADIANS(('R1'!I115)))/(COS(RADIANS(Sheet1!A115))*COS(RADIANS('R1'!I115)))))</f>
        <v>-43.541410263843531</v>
      </c>
      <c r="C115">
        <f>AVERAGE('R1'!J115,'R2'!J115,'R3'!J115)</f>
        <v>1.18</v>
      </c>
      <c r="D115">
        <f>AVERAGE('R1'!K115,'R2'!K115,'R3'!K115)</f>
        <v>11.295463749999998</v>
      </c>
      <c r="E115">
        <f>AVERAGE('R1'!L115,'R2'!L115,'R3'!L115)</f>
        <v>-2.4436945921196096</v>
      </c>
      <c r="F115">
        <f>AVERAGE('R1'!M115,'R2'!M115,'R3'!M115)</f>
        <v>-2.2416036981810765</v>
      </c>
      <c r="G115">
        <f>AVERAGE('R1'!N115,'R2'!N115,'R3'!N115)</f>
        <v>-1.8688213502904611</v>
      </c>
      <c r="H115">
        <f>AVERAGE('R1'!O115,'R2'!O115,'R3'!O115)</f>
        <v>-1.4278223770843681</v>
      </c>
      <c r="I115">
        <f t="shared" si="5"/>
        <v>2221.441204166666</v>
      </c>
      <c r="K115">
        <f>_xlfn.STDEV.S('R1'!L115,'R2'!L115,'R3'!L115)</f>
        <v>1.4957025153869994E-2</v>
      </c>
      <c r="L115">
        <f>_xlfn.STDEV.S('R1'!M115,'R2'!M115,'R3'!M115)</f>
        <v>1.2248876073125728E-2</v>
      </c>
      <c r="M115">
        <f>_xlfn.STDEV.S('R1'!N115,'R2'!N115,'R3'!N115)</f>
        <v>2.3517639940216543E-2</v>
      </c>
      <c r="N115">
        <f>_xlfn.STDEV.S('R1'!O115,'R2'!O115,'R3'!O115)</f>
        <v>7.6739152497366644E-3</v>
      </c>
    </row>
    <row r="116" spans="1:14" x14ac:dyDescent="0.25">
      <c r="A116">
        <f>-'R1'!H116</f>
        <v>28</v>
      </c>
      <c r="B116">
        <f>DEGREES(ATAN(-SIN(RADIANS(('R1'!I116)))/(COS(RADIANS(Sheet1!A116))*COS(RADIANS('R1'!I116)))))</f>
        <v>-47.562731505879128</v>
      </c>
      <c r="C116">
        <f>AVERAGE('R1'!J116,'R2'!J116,'R3'!J116)</f>
        <v>1.18</v>
      </c>
      <c r="D116">
        <f>AVERAGE('R1'!K116,'R2'!K116,'R3'!K116)</f>
        <v>11.325846666666669</v>
      </c>
      <c r="E116">
        <f>AVERAGE('R1'!L116,'R2'!L116,'R3'!L116)</f>
        <v>-2.8175265792191913</v>
      </c>
      <c r="F116">
        <f>AVERAGE('R1'!M116,'R2'!M116,'R3'!M116)</f>
        <v>-2.5160390770117775</v>
      </c>
      <c r="G116">
        <f>AVERAGE('R1'!N116,'R2'!N116,'R3'!N116)</f>
        <v>-2.3415693419689743</v>
      </c>
      <c r="H116">
        <f>AVERAGE('R1'!O116,'R2'!O116,'R3'!O116)</f>
        <v>-1.7449562653801667</v>
      </c>
      <c r="I116">
        <f t="shared" si="5"/>
        <v>2227.4165111111115</v>
      </c>
      <c r="K116">
        <f>_xlfn.STDEV.S('R1'!L116,'R2'!L116,'R3'!L116)</f>
        <v>3.4314096811668859E-2</v>
      </c>
      <c r="L116">
        <f>_xlfn.STDEV.S('R1'!M116,'R2'!M116,'R3'!M116)</f>
        <v>3.1870331017004198E-2</v>
      </c>
      <c r="M116">
        <f>_xlfn.STDEV.S('R1'!N116,'R2'!N116,'R3'!N116)</f>
        <v>5.0439701303761152E-2</v>
      </c>
      <c r="N116">
        <f>_xlfn.STDEV.S('R1'!O116,'R2'!O116,'R3'!O116)</f>
        <v>2.3061473190238761E-2</v>
      </c>
    </row>
    <row r="117" spans="1:14" x14ac:dyDescent="0.25">
      <c r="A117">
        <f>-'R1'!H117</f>
        <v>24</v>
      </c>
      <c r="B117">
        <f>DEGREES(ATAN(-SIN(RADIANS(('R1'!I117)))/(COS(RADIANS(Sheet1!A117))*COS(RADIANS('R1'!I117)))))</f>
        <v>46.589384435425394</v>
      </c>
      <c r="C117">
        <f>AVERAGE('R1'!J117,'R2'!J117,'R3'!J117)</f>
        <v>1.18</v>
      </c>
      <c r="D117">
        <f>AVERAGE('R1'!K117,'R2'!K117,'R3'!K117)</f>
        <v>11.387090083333334</v>
      </c>
      <c r="E117">
        <f>AVERAGE('R1'!L117,'R2'!L117,'R3'!L117)</f>
        <v>1.9682361677162419</v>
      </c>
      <c r="F117">
        <f>AVERAGE('R1'!M117,'R2'!M117,'R3'!M117)</f>
        <v>-1.6942130871840071</v>
      </c>
      <c r="G117">
        <f>AVERAGE('R1'!N117,'R2'!N117,'R3'!N117)</f>
        <v>-1.2763488222496988</v>
      </c>
      <c r="H117">
        <f>AVERAGE('R1'!O117,'R2'!O117,'R3'!O117)</f>
        <v>-1.1638536394815298</v>
      </c>
      <c r="I117">
        <f t="shared" si="5"/>
        <v>2239.4610497222225</v>
      </c>
      <c r="K117">
        <f>_xlfn.STDEV.S('R1'!L117,'R2'!L117,'R3'!L117)</f>
        <v>1.5198416221403098E-2</v>
      </c>
      <c r="L117">
        <f>_xlfn.STDEV.S('R1'!M117,'R2'!M117,'R3'!M117)</f>
        <v>1.2029704303408639E-2</v>
      </c>
      <c r="M117">
        <f>_xlfn.STDEV.S('R1'!N117,'R2'!N117,'R3'!N117)</f>
        <v>1.9863187053073269E-2</v>
      </c>
      <c r="N117">
        <f>_xlfn.STDEV.S('R1'!O117,'R2'!O117,'R3'!O117)</f>
        <v>1.4336555158533061E-2</v>
      </c>
    </row>
    <row r="118" spans="1:14" x14ac:dyDescent="0.25">
      <c r="A118">
        <f>-'R1'!H118</f>
        <v>24</v>
      </c>
      <c r="B118">
        <f>DEGREES(ATAN(-SIN(RADIANS(('R1'!I118)))/(COS(RADIANS(Sheet1!A118))*COS(RADIANS('R1'!I118)))))</f>
        <v>42.567751063132313</v>
      </c>
      <c r="C118">
        <f>AVERAGE('R1'!J118,'R2'!J118,'R3'!J118)</f>
        <v>1.18</v>
      </c>
      <c r="D118">
        <f>AVERAGE('R1'!K118,'R2'!K118,'R3'!K118)</f>
        <v>11.385428333333332</v>
      </c>
      <c r="E118">
        <f>AVERAGE('R1'!L118,'R2'!L118,'R3'!L118)</f>
        <v>1.8293659381437439</v>
      </c>
      <c r="F118">
        <f>AVERAGE('R1'!M118,'R2'!M118,'R3'!M118)</f>
        <v>-1.6010106274524905</v>
      </c>
      <c r="G118">
        <f>AVERAGE('R1'!N118,'R2'!N118,'R3'!N118)</f>
        <v>-1.0921204652781937</v>
      </c>
      <c r="H118">
        <f>AVERAGE('R1'!O118,'R2'!O118,'R3'!O118)</f>
        <v>-0.99363614456166094</v>
      </c>
      <c r="I118">
        <f t="shared" si="5"/>
        <v>2239.1342388888888</v>
      </c>
      <c r="K118">
        <f>_xlfn.STDEV.S('R1'!L118,'R2'!L118,'R3'!L118)</f>
        <v>1.5066411225122589E-2</v>
      </c>
      <c r="L118">
        <f>_xlfn.STDEV.S('R1'!M118,'R2'!M118,'R3'!M118)</f>
        <v>7.3511056888125158E-3</v>
      </c>
      <c r="M118">
        <f>_xlfn.STDEV.S('R1'!N118,'R2'!N118,'R3'!N118)</f>
        <v>1.9141538689741961E-2</v>
      </c>
      <c r="N118">
        <f>_xlfn.STDEV.S('R1'!O118,'R2'!O118,'R3'!O118)</f>
        <v>2.7184537355754326E-3</v>
      </c>
    </row>
    <row r="119" spans="1:14" x14ac:dyDescent="0.25">
      <c r="A119">
        <f>-'R1'!H119</f>
        <v>24</v>
      </c>
      <c r="B119">
        <f>DEGREES(ATAN(-SIN(RADIANS(('R1'!I119)))/(COS(RADIANS(Sheet1!A119))*COS(RADIANS('R1'!I119)))))</f>
        <v>38.495223358359183</v>
      </c>
      <c r="C119">
        <f>AVERAGE('R1'!J119,'R2'!J119,'R3'!J119)</f>
        <v>1.18</v>
      </c>
      <c r="D119">
        <f>AVERAGE('R1'!K119,'R2'!K119,'R3'!K119)</f>
        <v>11.425977083333331</v>
      </c>
      <c r="E119">
        <f>AVERAGE('R1'!L119,'R2'!L119,'R3'!L119)</f>
        <v>1.695839772078001</v>
      </c>
      <c r="F119">
        <f>AVERAGE('R1'!M119,'R2'!M119,'R3'!M119)</f>
        <v>-1.5379010415225352</v>
      </c>
      <c r="G119">
        <f>AVERAGE('R1'!N119,'R2'!N119,'R3'!N119)</f>
        <v>-0.94494180521942173</v>
      </c>
      <c r="H119">
        <f>AVERAGE('R1'!O119,'R2'!O119,'R3'!O119)</f>
        <v>-0.83953607022674692</v>
      </c>
      <c r="I119">
        <f t="shared" si="5"/>
        <v>2247.1088263888887</v>
      </c>
      <c r="K119">
        <f>_xlfn.STDEV.S('R1'!L119,'R2'!L119,'R3'!L119)</f>
        <v>7.8992038773978267E-3</v>
      </c>
      <c r="L119">
        <f>_xlfn.STDEV.S('R1'!M119,'R2'!M119,'R3'!M119)</f>
        <v>6.2637905463911632E-3</v>
      </c>
      <c r="M119">
        <f>_xlfn.STDEV.S('R1'!N119,'R2'!N119,'R3'!N119)</f>
        <v>1.0722399016653998E-2</v>
      </c>
      <c r="N119">
        <f>_xlfn.STDEV.S('R1'!O119,'R2'!O119,'R3'!O119)</f>
        <v>8.8761078731595267E-3</v>
      </c>
    </row>
    <row r="120" spans="1:14" x14ac:dyDescent="0.25">
      <c r="A120">
        <f>-'R1'!H120</f>
        <v>24</v>
      </c>
      <c r="B120">
        <f>DEGREES(ATAN(-SIN(RADIANS(('R1'!I120)))/(COS(RADIANS(Sheet1!A120))*COS(RADIANS('R1'!I120)))))</f>
        <v>34.372309890771753</v>
      </c>
      <c r="C120">
        <f>AVERAGE('R1'!J120,'R2'!J120,'R3'!J120)</f>
        <v>1.18</v>
      </c>
      <c r="D120">
        <f>AVERAGE('R1'!K120,'R2'!K120,'R3'!K120)</f>
        <v>11.455017833333335</v>
      </c>
      <c r="E120">
        <f>AVERAGE('R1'!L120,'R2'!L120,'R3'!L120)</f>
        <v>1.5546138006923511</v>
      </c>
      <c r="F120">
        <f>AVERAGE('R1'!M120,'R2'!M120,'R3'!M120)</f>
        <v>-1.4951979652834961</v>
      </c>
      <c r="G120">
        <f>AVERAGE('R1'!N120,'R2'!N120,'R3'!N120)</f>
        <v>-0.81985502443727265</v>
      </c>
      <c r="H120">
        <f>AVERAGE('R1'!O120,'R2'!O120,'R3'!O120)</f>
        <v>-0.68476699059033841</v>
      </c>
      <c r="I120">
        <f t="shared" si="5"/>
        <v>2252.8201738888893</v>
      </c>
      <c r="K120">
        <f>_xlfn.STDEV.S('R1'!L120,'R2'!L120,'R3'!L120)</f>
        <v>9.0942148136135593E-4</v>
      </c>
      <c r="L120">
        <f>_xlfn.STDEV.S('R1'!M120,'R2'!M120,'R3'!M120)</f>
        <v>9.7275005433011975E-3</v>
      </c>
      <c r="M120">
        <f>_xlfn.STDEV.S('R1'!N120,'R2'!N120,'R3'!N120)</f>
        <v>8.7943787822525668E-3</v>
      </c>
      <c r="N120">
        <f>_xlfn.STDEV.S('R1'!O120,'R2'!O120,'R3'!O120)</f>
        <v>1.1810486843054888E-2</v>
      </c>
    </row>
    <row r="121" spans="1:14" x14ac:dyDescent="0.25">
      <c r="A121">
        <f>-'R1'!H121</f>
        <v>24</v>
      </c>
      <c r="B121">
        <f>DEGREES(ATAN(-SIN(RADIANS(('R1'!I121)))/(COS(RADIANS(Sheet1!A121))*COS(RADIANS('R1'!I121)))))</f>
        <v>30.200622081370245</v>
      </c>
      <c r="C121">
        <f>AVERAGE('R1'!J121,'R2'!J121,'R3'!J121)</f>
        <v>1.1816666666666666</v>
      </c>
      <c r="D121">
        <f>AVERAGE('R1'!K121,'R2'!K121,'R3'!K121)</f>
        <v>11.461932499999998</v>
      </c>
      <c r="E121">
        <f>AVERAGE('R1'!L121,'R2'!L121,'R3'!L121)</f>
        <v>1.4068576437678113</v>
      </c>
      <c r="F121">
        <f>AVERAGE('R1'!M121,'R2'!M121,'R3'!M121)</f>
        <v>-1.4931448115548847</v>
      </c>
      <c r="G121">
        <f>AVERAGE('R1'!N121,'R2'!N121,'R3'!N121)</f>
        <v>-0.72917040460702998</v>
      </c>
      <c r="H121">
        <f>AVERAGE('R1'!O121,'R2'!O121,'R3'!O121)</f>
        <v>-0.54898248152522788</v>
      </c>
      <c r="I121">
        <f t="shared" si="5"/>
        <v>2257.3639284722221</v>
      </c>
      <c r="K121">
        <f>_xlfn.STDEV.S('R1'!L121,'R2'!L121,'R3'!L121)</f>
        <v>6.0047169548979439E-3</v>
      </c>
      <c r="L121">
        <f>_xlfn.STDEV.S('R1'!M121,'R2'!M121,'R3'!M121)</f>
        <v>1.3011596255123511E-2</v>
      </c>
      <c r="M121">
        <f>_xlfn.STDEV.S('R1'!N121,'R2'!N121,'R3'!N121)</f>
        <v>1.1579204219726033E-2</v>
      </c>
      <c r="N121">
        <f>_xlfn.STDEV.S('R1'!O121,'R2'!O121,'R3'!O121)</f>
        <v>4.7101539758561111E-3</v>
      </c>
    </row>
    <row r="122" spans="1:14" x14ac:dyDescent="0.25">
      <c r="A122">
        <f>-'R1'!H122</f>
        <v>24</v>
      </c>
      <c r="B122">
        <f>DEGREES(ATAN(-SIN(RADIANS(('R1'!I122)))/(COS(RADIANS(Sheet1!A122))*COS(RADIANS('R1'!I122)))))</f>
        <v>25.982912809070061</v>
      </c>
      <c r="C122">
        <f>AVERAGE('R1'!J122,'R2'!J122,'R3'!J122)</f>
        <v>1.18</v>
      </c>
      <c r="D122">
        <f>AVERAGE('R1'!K122,'R2'!K122,'R3'!K122)</f>
        <v>11.516480333333334</v>
      </c>
      <c r="E122">
        <f>AVERAGE('R1'!L122,'R2'!L122,'R3'!L122)</f>
        <v>1.2493434833573971</v>
      </c>
      <c r="F122">
        <f>AVERAGE('R1'!M122,'R2'!M122,'R3'!M122)</f>
        <v>-1.4945441160917448</v>
      </c>
      <c r="G122">
        <f>AVERAGE('R1'!N122,'R2'!N122,'R3'!N122)</f>
        <v>-0.64688872291144484</v>
      </c>
      <c r="H122">
        <f>AVERAGE('R1'!O122,'R2'!O122,'R3'!O122)</f>
        <v>-0.41309688691487373</v>
      </c>
      <c r="I122">
        <f t="shared" si="5"/>
        <v>2264.9077988888889</v>
      </c>
      <c r="K122">
        <f>_xlfn.STDEV.S('R1'!L122,'R2'!L122,'R3'!L122)</f>
        <v>7.0003120689613287E-3</v>
      </c>
      <c r="L122">
        <f>_xlfn.STDEV.S('R1'!M122,'R2'!M122,'R3'!M122)</f>
        <v>8.0882998800139022E-3</v>
      </c>
      <c r="M122">
        <f>_xlfn.STDEV.S('R1'!N122,'R2'!N122,'R3'!N122)</f>
        <v>8.2793586333022359E-3</v>
      </c>
      <c r="N122">
        <f>_xlfn.STDEV.S('R1'!O122,'R2'!O122,'R3'!O122)</f>
        <v>2.4580621005173913E-3</v>
      </c>
    </row>
    <row r="123" spans="1:14" x14ac:dyDescent="0.25">
      <c r="A123">
        <f>-'R1'!H123</f>
        <v>24</v>
      </c>
      <c r="B123">
        <f>DEGREES(ATAN(-SIN(RADIANS(('R1'!I123)))/(COS(RADIANS(Sheet1!A123))*COS(RADIANS('R1'!I123)))))</f>
        <v>21.723080079379415</v>
      </c>
      <c r="C123">
        <f>AVERAGE('R1'!J123,'R2'!J123,'R3'!J123)</f>
        <v>1.18</v>
      </c>
      <c r="D123">
        <f>AVERAGE('R1'!K123,'R2'!K123,'R3'!K123)</f>
        <v>11.523046333333333</v>
      </c>
      <c r="E123">
        <f>AVERAGE('R1'!L123,'R2'!L123,'R3'!L123)</f>
        <v>1.0612730267890169</v>
      </c>
      <c r="F123">
        <f>AVERAGE('R1'!M123,'R2'!M123,'R3'!M123)</f>
        <v>-1.5209762492672831</v>
      </c>
      <c r="G123">
        <f>AVERAGE('R1'!N123,'R2'!N123,'R3'!N123)</f>
        <v>-0.5726027075413086</v>
      </c>
      <c r="H123">
        <f>AVERAGE('R1'!O123,'R2'!O123,'R3'!O123)</f>
        <v>-0.29647339233220826</v>
      </c>
      <c r="I123">
        <f t="shared" si="5"/>
        <v>2266.1991122222221</v>
      </c>
      <c r="K123">
        <f>_xlfn.STDEV.S('R1'!L123,'R2'!L123,'R3'!L123)</f>
        <v>1.5212082182099823E-2</v>
      </c>
      <c r="L123">
        <f>_xlfn.STDEV.S('R1'!M123,'R2'!M123,'R3'!M123)</f>
        <v>1.086977666023438E-2</v>
      </c>
      <c r="M123">
        <f>_xlfn.STDEV.S('R1'!N123,'R2'!N123,'R3'!N123)</f>
        <v>1.4980041308118808E-2</v>
      </c>
      <c r="N123">
        <f>_xlfn.STDEV.S('R1'!O123,'R2'!O123,'R3'!O123)</f>
        <v>2.0371372274784479E-2</v>
      </c>
    </row>
    <row r="124" spans="1:14" x14ac:dyDescent="0.25">
      <c r="A124">
        <f>-'R1'!H124</f>
        <v>24</v>
      </c>
      <c r="B124">
        <f>DEGREES(ATAN(-SIN(RADIANS(('R1'!I124)))/(COS(RADIANS(Sheet1!A124))*COS(RADIANS('R1'!I124)))))</f>
        <v>17.426129149372727</v>
      </c>
      <c r="C124">
        <f>AVERAGE('R1'!J124,'R2'!J124,'R3'!J124)</f>
        <v>1.18</v>
      </c>
      <c r="D124">
        <f>AVERAGE('R1'!K124,'R2'!K124,'R3'!K124)</f>
        <v>11.552918</v>
      </c>
      <c r="E124">
        <f>AVERAGE('R1'!L124,'R2'!L124,'R3'!L124)</f>
        <v>0.86196464898966918</v>
      </c>
      <c r="F124">
        <f>AVERAGE('R1'!M124,'R2'!M124,'R3'!M124)</f>
        <v>-1.5600636713527327</v>
      </c>
      <c r="G124">
        <f>AVERAGE('R1'!N124,'R2'!N124,'R3'!N124)</f>
        <v>-0.5172624224071819</v>
      </c>
      <c r="H124">
        <f>AVERAGE('R1'!O124,'R2'!O124,'R3'!O124)</f>
        <v>-0.19204081365609993</v>
      </c>
      <c r="I124">
        <f t="shared" si="5"/>
        <v>2272.0738733333333</v>
      </c>
      <c r="K124">
        <f>_xlfn.STDEV.S('R1'!L124,'R2'!L124,'R3'!L124)</f>
        <v>9.8343486692965536E-3</v>
      </c>
      <c r="L124">
        <f>_xlfn.STDEV.S('R1'!M124,'R2'!M124,'R3'!M124)</f>
        <v>9.6502487248176522E-3</v>
      </c>
      <c r="M124">
        <f>_xlfn.STDEV.S('R1'!N124,'R2'!N124,'R3'!N124)</f>
        <v>1.0182278312986731E-2</v>
      </c>
      <c r="N124">
        <f>_xlfn.STDEV.S('R1'!O124,'R2'!O124,'R3'!O124)</f>
        <v>1.3971853653498472E-2</v>
      </c>
    </row>
    <row r="125" spans="1:14" x14ac:dyDescent="0.25">
      <c r="A125">
        <f>-'R1'!H125</f>
        <v>24</v>
      </c>
      <c r="B125">
        <f>DEGREES(ATAN(-SIN(RADIANS(('R1'!I125)))/(COS(RADIANS(Sheet1!A125))*COS(RADIANS('R1'!I125)))))</f>
        <v>13.09808863151425</v>
      </c>
      <c r="C125">
        <f>AVERAGE('R1'!J125,'R2'!J125,'R3'!J125)</f>
        <v>1.18</v>
      </c>
      <c r="D125">
        <f>AVERAGE('R1'!K125,'R2'!K125,'R3'!K125)</f>
        <v>11.545466500000002</v>
      </c>
      <c r="E125">
        <f>AVERAGE('R1'!L125,'R2'!L125,'R3'!L125)</f>
        <v>0.66331144315039881</v>
      </c>
      <c r="F125">
        <f>AVERAGE('R1'!M125,'R2'!M125,'R3'!M125)</f>
        <v>-1.6214812965961682</v>
      </c>
      <c r="G125">
        <f>AVERAGE('R1'!N125,'R2'!N125,'R3'!N125)</f>
        <v>-0.49080765388662789</v>
      </c>
      <c r="H125">
        <f>AVERAGE('R1'!O125,'R2'!O125,'R3'!O125)</f>
        <v>-0.10557224597405897</v>
      </c>
      <c r="I125">
        <f t="shared" si="5"/>
        <v>2270.6084116666671</v>
      </c>
      <c r="K125">
        <f>_xlfn.STDEV.S('R1'!L125,'R2'!L125,'R3'!L125)</f>
        <v>1.2719878540874734E-2</v>
      </c>
      <c r="L125">
        <f>_xlfn.STDEV.S('R1'!M125,'R2'!M125,'R3'!M125)</f>
        <v>1.8595683592273617E-2</v>
      </c>
      <c r="M125">
        <f>_xlfn.STDEV.S('R1'!N125,'R2'!N125,'R3'!N125)</f>
        <v>2.058901762988774E-2</v>
      </c>
      <c r="N125">
        <f>_xlfn.STDEV.S('R1'!O125,'R2'!O125,'R3'!O125)</f>
        <v>2.1292700946512824E-2</v>
      </c>
    </row>
    <row r="126" spans="1:14" x14ac:dyDescent="0.25">
      <c r="A126">
        <f>-'R1'!H126</f>
        <v>24</v>
      </c>
      <c r="B126">
        <f>DEGREES(ATAN(-SIN(RADIANS(('R1'!I126)))/(COS(RADIANS(Sheet1!A126))*COS(RADIANS('R1'!I126)))))</f>
        <v>8.7458791850141893</v>
      </c>
      <c r="C126">
        <f>AVERAGE('R1'!J126,'R2'!J126,'R3'!J126)</f>
        <v>1.1824999999999999</v>
      </c>
      <c r="D126">
        <f>AVERAGE('R1'!K126,'R2'!K126,'R3'!K126)</f>
        <v>11.459587583333333</v>
      </c>
      <c r="E126">
        <f>AVERAGE('R1'!L126,'R2'!L126,'R3'!L126)</f>
        <v>0.42523777075460895</v>
      </c>
      <c r="F126">
        <f>AVERAGE('R1'!M126,'R2'!M126,'R3'!M126)</f>
        <v>-1.7074329891466444</v>
      </c>
      <c r="G126">
        <f>AVERAGE('R1'!N126,'R2'!N126,'R3'!N126)</f>
        <v>-0.48365908388213247</v>
      </c>
      <c r="H126">
        <f>AVERAGE('R1'!O126,'R2'!O126,'R3'!O126)</f>
        <v>-1.6211830191248788E-2</v>
      </c>
      <c r="I126">
        <f t="shared" si="5"/>
        <v>2258.4937195486109</v>
      </c>
      <c r="K126">
        <f>_xlfn.STDEV.S('R1'!L126,'R2'!L126,'R3'!L126)</f>
        <v>3.2296058079436087E-3</v>
      </c>
      <c r="L126">
        <f>_xlfn.STDEV.S('R1'!M126,'R2'!M126,'R3'!M126)</f>
        <v>6.2312831318623862E-3</v>
      </c>
      <c r="M126">
        <f>_xlfn.STDEV.S('R1'!N126,'R2'!N126,'R3'!N126)</f>
        <v>8.392273569769881E-3</v>
      </c>
      <c r="N126">
        <f>_xlfn.STDEV.S('R1'!O126,'R2'!O126,'R3'!O126)</f>
        <v>6.8968865016026453E-3</v>
      </c>
    </row>
    <row r="127" spans="1:14" x14ac:dyDescent="0.25">
      <c r="A127">
        <f>-'R1'!H127</f>
        <v>24</v>
      </c>
      <c r="B127">
        <f>DEGREES(ATAN(-SIN(RADIANS(('R1'!I127)))/(COS(RADIANS(Sheet1!A127))*COS(RADIANS('R1'!I127)))))</f>
        <v>4.3771372039965373</v>
      </c>
      <c r="C127">
        <f>AVERAGE('R1'!J127,'R2'!J127,'R3'!J127)</f>
        <v>1.18</v>
      </c>
      <c r="D127">
        <f>AVERAGE('R1'!K127,'R2'!K127,'R3'!K127)</f>
        <v>11.438557916666667</v>
      </c>
      <c r="E127">
        <f>AVERAGE('R1'!L127,'R2'!L127,'R3'!L127)</f>
        <v>0.15290202984785858</v>
      </c>
      <c r="F127">
        <f>AVERAGE('R1'!M127,'R2'!M127,'R3'!M127)</f>
        <v>-1.8140219767947894</v>
      </c>
      <c r="G127">
        <f>AVERAGE('R1'!N127,'R2'!N127,'R3'!N127)</f>
        <v>-0.49165736787506714</v>
      </c>
      <c r="H127">
        <f>AVERAGE('R1'!O127,'R2'!O127,'R3'!O127)</f>
        <v>7.1050821081986362E-2</v>
      </c>
      <c r="I127">
        <f t="shared" si="5"/>
        <v>2249.5830569444447</v>
      </c>
      <c r="K127">
        <f>_xlfn.STDEV.S('R1'!L127,'R2'!L127,'R3'!L127)</f>
        <v>2.5246268338681883E-3</v>
      </c>
      <c r="L127">
        <f>_xlfn.STDEV.S('R1'!M127,'R2'!M127,'R3'!M127)</f>
        <v>1.0443177691825614E-2</v>
      </c>
      <c r="M127">
        <f>_xlfn.STDEV.S('R1'!N127,'R2'!N127,'R3'!N127)</f>
        <v>1.1179275000769821E-2</v>
      </c>
      <c r="N127">
        <f>_xlfn.STDEV.S('R1'!O127,'R2'!O127,'R3'!O127)</f>
        <v>1.086206815064171E-2</v>
      </c>
    </row>
    <row r="128" spans="1:14" x14ac:dyDescent="0.25">
      <c r="A128">
        <f>-'R1'!H128</f>
        <v>24</v>
      </c>
      <c r="B128">
        <f>DEGREES(ATAN(-SIN(RADIANS(('R1'!I128)))/(COS(RADIANS(Sheet1!A128))*COS(RADIANS('R1'!I128)))))</f>
        <v>0</v>
      </c>
      <c r="C128">
        <f>AVERAGE('R1'!J128,'R2'!J128,'R3'!J128)</f>
        <v>1.18</v>
      </c>
      <c r="D128">
        <f>AVERAGE('R1'!K128,'R2'!K128,'R3'!K128)</f>
        <v>11.4065235</v>
      </c>
      <c r="E128">
        <f>AVERAGE('R1'!L128,'R2'!L128,'R3'!L128)</f>
        <v>-0.12957375296993121</v>
      </c>
      <c r="F128">
        <f>AVERAGE('R1'!M128,'R2'!M128,'R3'!M128)</f>
        <v>-1.8107145357254832</v>
      </c>
      <c r="G128">
        <f>AVERAGE('R1'!N128,'R2'!N128,'R3'!N128)</f>
        <v>-0.48498024804052103</v>
      </c>
      <c r="H128">
        <f>AVERAGE('R1'!O128,'R2'!O128,'R3'!O128)</f>
        <v>9.0293891792386602E-2</v>
      </c>
      <c r="I128">
        <f t="shared" si="5"/>
        <v>2243.2829550000001</v>
      </c>
      <c r="K128">
        <f>_xlfn.STDEV.S('R1'!L128,'R2'!L128,'R3'!L128)</f>
        <v>5.2319361392634449E-3</v>
      </c>
      <c r="L128">
        <f>_xlfn.STDEV.S('R1'!M128,'R2'!M128,'R3'!M128)</f>
        <v>1.1674944630584043E-2</v>
      </c>
      <c r="M128">
        <f>_xlfn.STDEV.S('R1'!N128,'R2'!N128,'R3'!N128)</f>
        <v>1.7226252194618232E-2</v>
      </c>
      <c r="N128">
        <f>_xlfn.STDEV.S('R1'!O128,'R2'!O128,'R3'!O128)</f>
        <v>1.0154002846183967E-2</v>
      </c>
    </row>
    <row r="129" spans="1:14" x14ac:dyDescent="0.25">
      <c r="A129">
        <f>-'R1'!H129</f>
        <v>24</v>
      </c>
      <c r="B129">
        <f>DEGREES(ATAN(-SIN(RADIANS(('R1'!I129)))/(COS(RADIANS(Sheet1!A129))*COS(RADIANS('R1'!I129)))))</f>
        <v>-4.3771372039965373</v>
      </c>
      <c r="C129">
        <f>AVERAGE('R1'!J129,'R2'!J129,'R3'!J129)</f>
        <v>1.18</v>
      </c>
      <c r="D129">
        <f>AVERAGE('R1'!K129,'R2'!K129,'R3'!K129)</f>
        <v>11.377304833333334</v>
      </c>
      <c r="E129">
        <f>AVERAGE('R1'!L129,'R2'!L129,'R3'!L129)</f>
        <v>-0.40737676693817737</v>
      </c>
      <c r="F129">
        <f>AVERAGE('R1'!M129,'R2'!M129,'R3'!M129)</f>
        <v>-1.6768732340246604</v>
      </c>
      <c r="G129">
        <f>AVERAGE('R1'!N129,'R2'!N129,'R3'!N129)</f>
        <v>-0.46258741125549435</v>
      </c>
      <c r="H129">
        <f>AVERAGE('R1'!O129,'R2'!O129,'R3'!O129)</f>
        <v>1.6275990246514702E-2</v>
      </c>
      <c r="I129">
        <f t="shared" si="5"/>
        <v>2237.536617222222</v>
      </c>
      <c r="K129">
        <f>_xlfn.STDEV.S('R1'!L129,'R2'!L129,'R3'!L129)</f>
        <v>3.2512288563390501E-3</v>
      </c>
      <c r="L129">
        <f>_xlfn.STDEV.S('R1'!M129,'R2'!M129,'R3'!M129)</f>
        <v>2.9173676667291499E-3</v>
      </c>
      <c r="M129">
        <f>_xlfn.STDEV.S('R1'!N129,'R2'!N129,'R3'!N129)</f>
        <v>8.7242538745388263E-3</v>
      </c>
      <c r="N129">
        <f>_xlfn.STDEV.S('R1'!O129,'R2'!O129,'R3'!O129)</f>
        <v>1.1464715468611438E-2</v>
      </c>
    </row>
    <row r="130" spans="1:14" x14ac:dyDescent="0.25">
      <c r="A130">
        <f>-'R1'!H130</f>
        <v>24</v>
      </c>
      <c r="B130">
        <f>DEGREES(ATAN(-SIN(RADIANS(('R1'!I130)))/(COS(RADIANS(Sheet1!A130))*COS(RADIANS('R1'!I130)))))</f>
        <v>-8.7458791850141893</v>
      </c>
      <c r="C130">
        <f>AVERAGE('R1'!J130,'R2'!J130,'R3'!J130)</f>
        <v>1.18</v>
      </c>
      <c r="D130">
        <f>AVERAGE('R1'!K130,'R2'!K130,'R3'!K130)</f>
        <v>11.445508250000001</v>
      </c>
      <c r="E130">
        <f>AVERAGE('R1'!L130,'R2'!L130,'R3'!L130)</f>
        <v>-0.64487029214360125</v>
      </c>
      <c r="F130">
        <f>AVERAGE('R1'!M130,'R2'!M130,'R3'!M130)</f>
        <v>-1.5757555261653347</v>
      </c>
      <c r="G130">
        <f>AVERAGE('R1'!N130,'R2'!N130,'R3'!N130)</f>
        <v>-0.46373188599805681</v>
      </c>
      <c r="H130">
        <f>AVERAGE('R1'!O130,'R2'!O130,'R3'!O130)</f>
        <v>-4.969370349127842E-2</v>
      </c>
      <c r="I130">
        <f t="shared" si="5"/>
        <v>2250.9499558333337</v>
      </c>
      <c r="K130">
        <f>_xlfn.STDEV.S('R1'!L130,'R2'!L130,'R3'!L130)</f>
        <v>5.4239576443148793E-3</v>
      </c>
      <c r="L130">
        <f>_xlfn.STDEV.S('R1'!M130,'R2'!M130,'R3'!M130)</f>
        <v>9.0516974734177937E-3</v>
      </c>
      <c r="M130">
        <f>_xlfn.STDEV.S('R1'!N130,'R2'!N130,'R3'!N130)</f>
        <v>7.6454837138809221E-3</v>
      </c>
      <c r="N130">
        <f>_xlfn.STDEV.S('R1'!O130,'R2'!O130,'R3'!O130)</f>
        <v>1.2092826615014341E-2</v>
      </c>
    </row>
    <row r="131" spans="1:14" x14ac:dyDescent="0.25">
      <c r="A131">
        <f>-'R1'!H131</f>
        <v>24</v>
      </c>
      <c r="B131">
        <f>DEGREES(ATAN(-SIN(RADIANS(('R1'!I131)))/(COS(RADIANS(Sheet1!A131))*COS(RADIANS('R1'!I131)))))</f>
        <v>-13.09808863151425</v>
      </c>
      <c r="C131">
        <f>AVERAGE('R1'!J131,'R2'!J131,'R3'!J131)</f>
        <v>1.18</v>
      </c>
      <c r="D131">
        <f>AVERAGE('R1'!K131,'R2'!K131,'R3'!K131)</f>
        <v>11.384367416666668</v>
      </c>
      <c r="E131">
        <f>AVERAGE('R1'!L131,'R2'!L131,'R3'!L131)</f>
        <v>-0.87360328830427525</v>
      </c>
      <c r="F131">
        <f>AVERAGE('R1'!M131,'R2'!M131,'R3'!M131)</f>
        <v>-1.5003710793562286</v>
      </c>
      <c r="G131">
        <f>AVERAGE('R1'!N131,'R2'!N131,'R3'!N131)</f>
        <v>-0.4955882305410737</v>
      </c>
      <c r="H131">
        <f>AVERAGE('R1'!O131,'R2'!O131,'R3'!O131)</f>
        <v>-0.11126736966219697</v>
      </c>
      <c r="I131">
        <f t="shared" ref="I131:I194" si="6">10^5*C131*D131*0.003/1.8</f>
        <v>2238.9255919444449</v>
      </c>
      <c r="K131">
        <f>_xlfn.STDEV.S('R1'!L131,'R2'!L131,'R3'!L131)</f>
        <v>4.9699057427144604E-3</v>
      </c>
      <c r="L131">
        <f>_xlfn.STDEV.S('R1'!M131,'R2'!M131,'R3'!M131)</f>
        <v>7.3438225089392292E-3</v>
      </c>
      <c r="M131">
        <f>_xlfn.STDEV.S('R1'!N131,'R2'!N131,'R3'!N131)</f>
        <v>6.5583700202013831E-3</v>
      </c>
      <c r="N131">
        <f>_xlfn.STDEV.S('R1'!O131,'R2'!O131,'R3'!O131)</f>
        <v>3.0609377660629745E-3</v>
      </c>
    </row>
    <row r="132" spans="1:14" x14ac:dyDescent="0.25">
      <c r="A132">
        <f>-'R1'!H132</f>
        <v>24</v>
      </c>
      <c r="B132">
        <f>DEGREES(ATAN(-SIN(RADIANS(('R1'!I132)))/(COS(RADIANS(Sheet1!A132))*COS(RADIANS('R1'!I132)))))</f>
        <v>-17.426129149372727</v>
      </c>
      <c r="C132">
        <f>AVERAGE('R1'!J132,'R2'!J132,'R3'!J132)</f>
        <v>1.18</v>
      </c>
      <c r="D132">
        <f>AVERAGE('R1'!K132,'R2'!K132,'R3'!K132)</f>
        <v>11.348133833333334</v>
      </c>
      <c r="E132">
        <f>AVERAGE('R1'!L132,'R2'!L132,'R3'!L132)</f>
        <v>-1.0985399272177452</v>
      </c>
      <c r="F132">
        <f>AVERAGE('R1'!M132,'R2'!M132,'R3'!M132)</f>
        <v>-1.468053521476917</v>
      </c>
      <c r="G132">
        <f>AVERAGE('R1'!N132,'R2'!N132,'R3'!N132)</f>
        <v>-0.57465978677350782</v>
      </c>
      <c r="H132">
        <f>AVERAGE('R1'!O132,'R2'!O132,'R3'!O132)</f>
        <v>-0.19747337944363574</v>
      </c>
      <c r="I132">
        <f t="shared" si="6"/>
        <v>2231.7996538888888</v>
      </c>
      <c r="K132">
        <f>_xlfn.STDEV.S('R1'!L132,'R2'!L132,'R3'!L132)</f>
        <v>7.6043301800518765E-3</v>
      </c>
      <c r="L132">
        <f>_xlfn.STDEV.S('R1'!M132,'R2'!M132,'R3'!M132)</f>
        <v>5.7814759811125683E-3</v>
      </c>
      <c r="M132">
        <f>_xlfn.STDEV.S('R1'!N132,'R2'!N132,'R3'!N132)</f>
        <v>8.9896907440327745E-3</v>
      </c>
      <c r="N132">
        <f>_xlfn.STDEV.S('R1'!O132,'R2'!O132,'R3'!O132)</f>
        <v>5.3361999170718245E-3</v>
      </c>
    </row>
    <row r="133" spans="1:14" x14ac:dyDescent="0.25">
      <c r="A133">
        <f>-'R1'!H133</f>
        <v>24</v>
      </c>
      <c r="B133">
        <f>DEGREES(ATAN(-SIN(RADIANS(('R1'!I133)))/(COS(RADIANS(Sheet1!A133))*COS(RADIANS('R1'!I133)))))</f>
        <v>-21.723080079379415</v>
      </c>
      <c r="C133">
        <f>AVERAGE('R1'!J133,'R2'!J133,'R3'!J133)</f>
        <v>1.18</v>
      </c>
      <c r="D133">
        <f>AVERAGE('R1'!K133,'R2'!K133,'R3'!K133)</f>
        <v>11.331737333333335</v>
      </c>
      <c r="E133">
        <f>AVERAGE('R1'!L133,'R2'!L133,'R3'!L133)</f>
        <v>-1.3032663075918729</v>
      </c>
      <c r="F133">
        <f>AVERAGE('R1'!M133,'R2'!M133,'R3'!M133)</f>
        <v>-1.4765209007873394</v>
      </c>
      <c r="G133">
        <f>AVERAGE('R1'!N133,'R2'!N133,'R3'!N133)</f>
        <v>-0.66609945875034737</v>
      </c>
      <c r="H133">
        <f>AVERAGE('R1'!O133,'R2'!O133,'R3'!O133)</f>
        <v>-0.30951952129777549</v>
      </c>
      <c r="I133">
        <f t="shared" si="6"/>
        <v>2228.5750088888894</v>
      </c>
      <c r="K133">
        <f>_xlfn.STDEV.S('R1'!L133,'R2'!L133,'R3'!L133)</f>
        <v>1.9450906256675829E-3</v>
      </c>
      <c r="L133">
        <f>_xlfn.STDEV.S('R1'!M133,'R2'!M133,'R3'!M133)</f>
        <v>8.8584451070707949E-4</v>
      </c>
      <c r="M133">
        <f>_xlfn.STDEV.S('R1'!N133,'R2'!N133,'R3'!N133)</f>
        <v>8.0932275472655399E-3</v>
      </c>
      <c r="N133">
        <f>_xlfn.STDEV.S('R1'!O133,'R2'!O133,'R3'!O133)</f>
        <v>4.2562195012876029E-3</v>
      </c>
    </row>
    <row r="134" spans="1:14" x14ac:dyDescent="0.25">
      <c r="A134">
        <f>-'R1'!H134</f>
        <v>24</v>
      </c>
      <c r="B134">
        <f>DEGREES(ATAN(-SIN(RADIANS(('R1'!I134)))/(COS(RADIANS(Sheet1!A134))*COS(RADIANS('R1'!I134)))))</f>
        <v>-25.982912809070061</v>
      </c>
      <c r="C134">
        <f>AVERAGE('R1'!J134,'R2'!J134,'R3'!J134)</f>
        <v>1.18</v>
      </c>
      <c r="D134">
        <f>AVERAGE('R1'!K134,'R2'!K134,'R3'!K134)</f>
        <v>11.260372916666668</v>
      </c>
      <c r="E134">
        <f>AVERAGE('R1'!L134,'R2'!L134,'R3'!L134)</f>
        <v>-1.505855838775642</v>
      </c>
      <c r="F134">
        <f>AVERAGE('R1'!M134,'R2'!M134,'R3'!M134)</f>
        <v>-1.543504429514047</v>
      </c>
      <c r="G134">
        <f>AVERAGE('R1'!N134,'R2'!N134,'R3'!N134)</f>
        <v>-0.81264711032923997</v>
      </c>
      <c r="H134">
        <f>AVERAGE('R1'!O134,'R2'!O134,'R3'!O134)</f>
        <v>-0.46706674837321627</v>
      </c>
      <c r="I134">
        <f t="shared" si="6"/>
        <v>2214.5400069444449</v>
      </c>
      <c r="K134">
        <f>_xlfn.STDEV.S('R1'!L134,'R2'!L134,'R3'!L134)</f>
        <v>4.71302345199509E-3</v>
      </c>
      <c r="L134">
        <f>_xlfn.STDEV.S('R1'!M134,'R2'!M134,'R3'!M134)</f>
        <v>3.1745792859177173E-3</v>
      </c>
      <c r="M134">
        <f>_xlfn.STDEV.S('R1'!N134,'R2'!N134,'R3'!N134)</f>
        <v>4.8805585909047142E-3</v>
      </c>
      <c r="N134">
        <f>_xlfn.STDEV.S('R1'!O134,'R2'!O134,'R3'!O134)</f>
        <v>2.0059290747764806E-3</v>
      </c>
    </row>
    <row r="135" spans="1:14" x14ac:dyDescent="0.25">
      <c r="A135">
        <f>-'R1'!H135</f>
        <v>24</v>
      </c>
      <c r="B135">
        <f>DEGREES(ATAN(-SIN(RADIANS(('R1'!I135)))/(COS(RADIANS(Sheet1!A135))*COS(RADIANS('R1'!I135)))))</f>
        <v>-30.200622081370245</v>
      </c>
      <c r="C135">
        <f>AVERAGE('R1'!J135,'R2'!J135,'R3'!J135)</f>
        <v>1.18</v>
      </c>
      <c r="D135">
        <f>AVERAGE('R1'!K135,'R2'!K135,'R3'!K135)</f>
        <v>11.282214750000001</v>
      </c>
      <c r="E135">
        <f>AVERAGE('R1'!L135,'R2'!L135,'R3'!L135)</f>
        <v>-1.703953163648946</v>
      </c>
      <c r="F135">
        <f>AVERAGE('R1'!M135,'R2'!M135,'R3'!M135)</f>
        <v>-1.6350631142897347</v>
      </c>
      <c r="G135">
        <f>AVERAGE('R1'!N135,'R2'!N135,'R3'!N135)</f>
        <v>-0.98522414431034055</v>
      </c>
      <c r="H135">
        <f>AVERAGE('R1'!O135,'R2'!O135,'R3'!O135)</f>
        <v>-0.63738761608327443</v>
      </c>
      <c r="I135">
        <f t="shared" si="6"/>
        <v>2218.8355675000003</v>
      </c>
      <c r="K135">
        <f>_xlfn.STDEV.S('R1'!L135,'R2'!L135,'R3'!L135)</f>
        <v>1.2661806017006789E-2</v>
      </c>
      <c r="L135">
        <f>_xlfn.STDEV.S('R1'!M135,'R2'!M135,'R3'!M135)</f>
        <v>8.2485178377542795E-4</v>
      </c>
      <c r="M135">
        <f>_xlfn.STDEV.S('R1'!N135,'R2'!N135,'R3'!N135)</f>
        <v>1.09700001103261E-2</v>
      </c>
      <c r="N135">
        <f>_xlfn.STDEV.S('R1'!O135,'R2'!O135,'R3'!O135)</f>
        <v>3.7464922571863908E-3</v>
      </c>
    </row>
    <row r="136" spans="1:14" x14ac:dyDescent="0.25">
      <c r="A136">
        <f>-'R1'!H136</f>
        <v>24</v>
      </c>
      <c r="B136">
        <f>DEGREES(ATAN(-SIN(RADIANS(('R1'!I136)))/(COS(RADIANS(Sheet1!A136))*COS(RADIANS('R1'!I136)))))</f>
        <v>-34.372309890771753</v>
      </c>
      <c r="C136">
        <f>AVERAGE('R1'!J136,'R2'!J136,'R3'!J136)</f>
        <v>1.18</v>
      </c>
      <c r="D136">
        <f>AVERAGE('R1'!K136,'R2'!K136,'R3'!K136)</f>
        <v>11.274577000000001</v>
      </c>
      <c r="E136">
        <f>AVERAGE('R1'!L136,'R2'!L136,'R3'!L136)</f>
        <v>-1.9344087767730931</v>
      </c>
      <c r="F136">
        <f>AVERAGE('R1'!M136,'R2'!M136,'R3'!M136)</f>
        <v>-1.7587462627692989</v>
      </c>
      <c r="G136">
        <f>AVERAGE('R1'!N136,'R2'!N136,'R3'!N136)</f>
        <v>-1.2118172695695557</v>
      </c>
      <c r="H136">
        <f>AVERAGE('R1'!O136,'R2'!O136,'R3'!O136)</f>
        <v>-0.83668086783279472</v>
      </c>
      <c r="I136">
        <f t="shared" si="6"/>
        <v>2217.3334766666667</v>
      </c>
      <c r="K136">
        <f>_xlfn.STDEV.S('R1'!L136,'R2'!L136,'R3'!L136)</f>
        <v>1.3889689004921926E-2</v>
      </c>
      <c r="L136">
        <f>_xlfn.STDEV.S('R1'!M136,'R2'!M136,'R3'!M136)</f>
        <v>1.4756750492775705E-2</v>
      </c>
      <c r="M136">
        <f>_xlfn.STDEV.S('R1'!N136,'R2'!N136,'R3'!N136)</f>
        <v>1.9635971267275523E-2</v>
      </c>
      <c r="N136">
        <f>_xlfn.STDEV.S('R1'!O136,'R2'!O136,'R3'!O136)</f>
        <v>1.5707209302932838E-2</v>
      </c>
    </row>
    <row r="137" spans="1:14" x14ac:dyDescent="0.25">
      <c r="A137">
        <f>-'R1'!H137</f>
        <v>24</v>
      </c>
      <c r="B137">
        <f>DEGREES(ATAN(-SIN(RADIANS(('R1'!I137)))/(COS(RADIANS(Sheet1!A137))*COS(RADIANS('R1'!I137)))))</f>
        <v>-38.495223358359183</v>
      </c>
      <c r="C137">
        <f>AVERAGE('R1'!J137,'R2'!J137,'R3'!J137)</f>
        <v>1.18</v>
      </c>
      <c r="D137">
        <f>AVERAGE('R1'!K137,'R2'!K137,'R3'!K137)</f>
        <v>11.217127249999999</v>
      </c>
      <c r="E137">
        <f>AVERAGE('R1'!L137,'R2'!L137,'R3'!L137)</f>
        <v>-2.2045371012241759</v>
      </c>
      <c r="F137">
        <f>AVERAGE('R1'!M137,'R2'!M137,'R3'!M137)</f>
        <v>-1.9234871310944663</v>
      </c>
      <c r="G137">
        <f>AVERAGE('R1'!N137,'R2'!N137,'R3'!N137)</f>
        <v>-1.5073305783737581</v>
      </c>
      <c r="H137">
        <f>AVERAGE('R1'!O137,'R2'!O137,'R3'!O137)</f>
        <v>-1.0719159798184028</v>
      </c>
      <c r="I137">
        <f t="shared" si="6"/>
        <v>2206.0350258333333</v>
      </c>
      <c r="K137">
        <f>_xlfn.STDEV.S('R1'!L137,'R2'!L137,'R3'!L137)</f>
        <v>1.0297081797857589E-2</v>
      </c>
      <c r="L137">
        <f>_xlfn.STDEV.S('R1'!M137,'R2'!M137,'R3'!M137)</f>
        <v>5.1909537680372431E-3</v>
      </c>
      <c r="M137">
        <f>_xlfn.STDEV.S('R1'!N137,'R2'!N137,'R3'!N137)</f>
        <v>1.0492330923256094E-2</v>
      </c>
      <c r="N137">
        <f>_xlfn.STDEV.S('R1'!O137,'R2'!O137,'R3'!O137)</f>
        <v>2.1144594302204816E-3</v>
      </c>
    </row>
    <row r="138" spans="1:14" x14ac:dyDescent="0.25">
      <c r="A138">
        <f>-'R1'!H138</f>
        <v>24</v>
      </c>
      <c r="B138">
        <f>DEGREES(ATAN(-SIN(RADIANS(('R1'!I138)))/(COS(RADIANS(Sheet1!A138))*COS(RADIANS('R1'!I138)))))</f>
        <v>-42.567751063132313</v>
      </c>
      <c r="C138">
        <f>AVERAGE('R1'!J138,'R2'!J138,'R3'!J138)</f>
        <v>1.18</v>
      </c>
      <c r="D138">
        <f>AVERAGE('R1'!K138,'R2'!K138,'R3'!K138)</f>
        <v>11.216931416666668</v>
      </c>
      <c r="E138">
        <f>AVERAGE('R1'!L138,'R2'!L138,'R3'!L138)</f>
        <v>-2.5310004998752276</v>
      </c>
      <c r="F138">
        <f>AVERAGE('R1'!M138,'R2'!M138,'R3'!M138)</f>
        <v>-2.1186169577526957</v>
      </c>
      <c r="G138">
        <f>AVERAGE('R1'!N138,'R2'!N138,'R3'!N138)</f>
        <v>-1.8626717183434016</v>
      </c>
      <c r="H138">
        <f>AVERAGE('R1'!O138,'R2'!O138,'R3'!O138)</f>
        <v>-1.3411808386434672</v>
      </c>
      <c r="I138">
        <f t="shared" si="6"/>
        <v>2205.9965119444446</v>
      </c>
      <c r="K138">
        <f>_xlfn.STDEV.S('R1'!L138,'R2'!L138,'R3'!L138)</f>
        <v>2.7347379399728651E-2</v>
      </c>
      <c r="L138">
        <f>_xlfn.STDEV.S('R1'!M138,'R2'!M138,'R3'!M138)</f>
        <v>1.2400769966294958E-2</v>
      </c>
      <c r="M138">
        <f>_xlfn.STDEV.S('R1'!N138,'R2'!N138,'R3'!N138)</f>
        <v>3.3756464109564809E-2</v>
      </c>
      <c r="N138">
        <f>_xlfn.STDEV.S('R1'!O138,'R2'!O138,'R3'!O138)</f>
        <v>9.6850542856645582E-3</v>
      </c>
    </row>
    <row r="139" spans="1:14" x14ac:dyDescent="0.25">
      <c r="A139">
        <f>-'R1'!H139</f>
        <v>24</v>
      </c>
      <c r="B139">
        <f>DEGREES(ATAN(-SIN(RADIANS(('R1'!I139)))/(COS(RADIANS(Sheet1!A139))*COS(RADIANS('R1'!I139)))))</f>
        <v>-46.589384435425394</v>
      </c>
      <c r="C139">
        <f>AVERAGE('R1'!J139,'R2'!J139,'R3'!J139)</f>
        <v>1.18</v>
      </c>
      <c r="D139">
        <f>AVERAGE('R1'!K139,'R2'!K139,'R3'!K139)</f>
        <v>11.206745083333333</v>
      </c>
      <c r="E139">
        <f>AVERAGE('R1'!L139,'R2'!L139,'R3'!L139)</f>
        <v>-2.9700683240711494</v>
      </c>
      <c r="F139">
        <f>AVERAGE('R1'!M139,'R2'!M139,'R3'!M139)</f>
        <v>-2.4112010462360853</v>
      </c>
      <c r="G139">
        <f>AVERAGE('R1'!N139,'R2'!N139,'R3'!N139)</f>
        <v>-2.3880402513217436</v>
      </c>
      <c r="H139">
        <f>AVERAGE('R1'!O139,'R2'!O139,'R3'!O139)</f>
        <v>-1.6986624628707521</v>
      </c>
      <c r="I139">
        <f t="shared" si="6"/>
        <v>2203.993199722222</v>
      </c>
      <c r="K139">
        <f>_xlfn.STDEV.S('R1'!L139,'R2'!L139,'R3'!L139)</f>
        <v>2.1302444778449597E-2</v>
      </c>
      <c r="L139">
        <f>_xlfn.STDEV.S('R1'!M139,'R2'!M139,'R3'!M139)</f>
        <v>2.3680634165377329E-2</v>
      </c>
      <c r="M139">
        <f>_xlfn.STDEV.S('R1'!N139,'R2'!N139,'R3'!N139)</f>
        <v>3.2206405343778596E-2</v>
      </c>
      <c r="N139">
        <f>_xlfn.STDEV.S('R1'!O139,'R2'!O139,'R3'!O139)</f>
        <v>1.4611529701154646E-2</v>
      </c>
    </row>
    <row r="140" spans="1:14" x14ac:dyDescent="0.25">
      <c r="A140">
        <f>-'R1'!H140</f>
        <v>20</v>
      </c>
      <c r="B140">
        <f>DEGREES(ATAN(-SIN(RADIANS(('R1'!I140)))/(COS(RADIANS(Sheet1!A140))*COS(RADIANS('R1'!I140)))))</f>
        <v>45.781668962964282</v>
      </c>
      <c r="C140">
        <f>AVERAGE('R1'!J140,'R2'!J140,'R3'!J140)</f>
        <v>1.1808333333333332</v>
      </c>
      <c r="D140">
        <f>AVERAGE('R1'!K140,'R2'!K140,'R3'!K140)</f>
        <v>11.190349916666667</v>
      </c>
      <c r="E140">
        <f>AVERAGE('R1'!L140,'R2'!L140,'R3'!L140)</f>
        <v>2.0720042212519165</v>
      </c>
      <c r="F140">
        <f>AVERAGE('R1'!M140,'R2'!M140,'R3'!M140)</f>
        <v>-1.5784339371588709</v>
      </c>
      <c r="G140">
        <f>AVERAGE('R1'!N140,'R2'!N140,'R3'!N140)</f>
        <v>-1.2912125544839264</v>
      </c>
      <c r="H140">
        <f>AVERAGE('R1'!O140,'R2'!O140,'R3'!O140)</f>
        <v>-1.1109274766382677</v>
      </c>
      <c r="I140">
        <f t="shared" si="6"/>
        <v>2202.3230322106479</v>
      </c>
      <c r="K140">
        <f>_xlfn.STDEV.S('R1'!L140,'R2'!L140,'R3'!L140)</f>
        <v>1.7844893119997811E-2</v>
      </c>
      <c r="L140">
        <f>_xlfn.STDEV.S('R1'!M140,'R2'!M140,'R3'!M140)</f>
        <v>9.0268090041141658E-3</v>
      </c>
      <c r="M140">
        <f>_xlfn.STDEV.S('R1'!N140,'R2'!N140,'R3'!N140)</f>
        <v>1.6059090076226096E-2</v>
      </c>
      <c r="N140">
        <f>_xlfn.STDEV.S('R1'!O140,'R2'!O140,'R3'!O140)</f>
        <v>4.1181190773872207E-3</v>
      </c>
    </row>
    <row r="141" spans="1:14" x14ac:dyDescent="0.25">
      <c r="A141">
        <f>-'R1'!H141</f>
        <v>20</v>
      </c>
      <c r="B141">
        <f>DEGREES(ATAN(-SIN(RADIANS(('R1'!I141)))/(COS(RADIANS(Sheet1!A141))*COS(RADIANS('R1'!I141)))))</f>
        <v>41.763297417742614</v>
      </c>
      <c r="C141">
        <f>AVERAGE('R1'!J141,'R2'!J141,'R3'!J141)</f>
        <v>1.1808333333333332</v>
      </c>
      <c r="D141">
        <f>AVERAGE('R1'!K141,'R2'!K141,'R3'!K141)</f>
        <v>11.258914333333331</v>
      </c>
      <c r="E141">
        <f>AVERAGE('R1'!L141,'R2'!L141,'R3'!L141)</f>
        <v>1.8974978632348878</v>
      </c>
      <c r="F141">
        <f>AVERAGE('R1'!M141,'R2'!M141,'R3'!M141)</f>
        <v>-1.4792000524939137</v>
      </c>
      <c r="G141">
        <f>AVERAGE('R1'!N141,'R2'!N141,'R3'!N141)</f>
        <v>-1.0761117569158374</v>
      </c>
      <c r="H141">
        <f>AVERAGE('R1'!O141,'R2'!O141,'R3'!O141)</f>
        <v>-0.92477330329489738</v>
      </c>
      <c r="I141">
        <f t="shared" si="6"/>
        <v>2215.8168903240735</v>
      </c>
      <c r="K141">
        <f>_xlfn.STDEV.S('R1'!L141,'R2'!L141,'R3'!L141)</f>
        <v>8.0171786089842031E-3</v>
      </c>
      <c r="L141">
        <f>_xlfn.STDEV.S('R1'!M141,'R2'!M141,'R3'!M141)</f>
        <v>6.0203689734419953E-3</v>
      </c>
      <c r="M141">
        <f>_xlfn.STDEV.S('R1'!N141,'R2'!N141,'R3'!N141)</f>
        <v>9.879591418889987E-3</v>
      </c>
      <c r="N141">
        <f>_xlfn.STDEV.S('R1'!O141,'R2'!O141,'R3'!O141)</f>
        <v>4.3803865819210166E-3</v>
      </c>
    </row>
    <row r="142" spans="1:14" x14ac:dyDescent="0.25">
      <c r="A142">
        <f>-'R1'!H142</f>
        <v>20</v>
      </c>
      <c r="B142">
        <f>DEGREES(ATAN(-SIN(RADIANS(('R1'!I142)))/(COS(RADIANS(Sheet1!A142))*COS(RADIANS('R1'!I142)))))</f>
        <v>37.710134449764993</v>
      </c>
      <c r="C142">
        <f>AVERAGE('R1'!J142,'R2'!J142,'R3'!J142)</f>
        <v>1.18</v>
      </c>
      <c r="D142">
        <f>AVERAGE('R1'!K142,'R2'!K142,'R3'!K142)</f>
        <v>11.292636</v>
      </c>
      <c r="E142">
        <f>AVERAGE('R1'!L142,'R2'!L142,'R3'!L142)</f>
        <v>1.7292943774313889</v>
      </c>
      <c r="F142">
        <f>AVERAGE('R1'!M142,'R2'!M142,'R3'!M142)</f>
        <v>-1.3953335011782901</v>
      </c>
      <c r="G142">
        <f>AVERAGE('R1'!N142,'R2'!N142,'R3'!N142)</f>
        <v>-0.89235216916709603</v>
      </c>
      <c r="H142">
        <f>AVERAGE('R1'!O142,'R2'!O142,'R3'!O142)</f>
        <v>-0.73912388016601016</v>
      </c>
      <c r="I142">
        <f t="shared" si="6"/>
        <v>2220.88508</v>
      </c>
      <c r="K142">
        <f>_xlfn.STDEV.S('R1'!L142,'R2'!L142,'R3'!L142)</f>
        <v>2.7415056459224184E-3</v>
      </c>
      <c r="L142">
        <f>_xlfn.STDEV.S('R1'!M142,'R2'!M142,'R3'!M142)</f>
        <v>1.0564973703611126E-2</v>
      </c>
      <c r="M142">
        <f>_xlfn.STDEV.S('R1'!N142,'R2'!N142,'R3'!N142)</f>
        <v>1.2412199179679964E-2</v>
      </c>
      <c r="N142">
        <f>_xlfn.STDEV.S('R1'!O142,'R2'!O142,'R3'!O142)</f>
        <v>4.4713056312961352E-3</v>
      </c>
    </row>
    <row r="143" spans="1:14" x14ac:dyDescent="0.25">
      <c r="A143">
        <f>-'R1'!H143</f>
        <v>20</v>
      </c>
      <c r="B143">
        <f>DEGREES(ATAN(-SIN(RADIANS(('R1'!I143)))/(COS(RADIANS(Sheet1!A143))*COS(RADIANS('R1'!I143)))))</f>
        <v>33.622796746730245</v>
      </c>
      <c r="C143">
        <f>AVERAGE('R1'!J143,'R2'!J143,'R3'!J143)</f>
        <v>1.18</v>
      </c>
      <c r="D143">
        <f>AVERAGE('R1'!K143,'R2'!K143,'R3'!K143)</f>
        <v>11.337936083333334</v>
      </c>
      <c r="E143">
        <f>AVERAGE('R1'!L143,'R2'!L143,'R3'!L143)</f>
        <v>1.5802835419824977</v>
      </c>
      <c r="F143">
        <f>AVERAGE('R1'!M143,'R2'!M143,'R3'!M143)</f>
        <v>-1.3461051995734807</v>
      </c>
      <c r="G143">
        <f>AVERAGE('R1'!N143,'R2'!N143,'R3'!N143)</f>
        <v>-0.75401435867364752</v>
      </c>
      <c r="H143">
        <f>AVERAGE('R1'!O143,'R2'!O143,'R3'!O143)</f>
        <v>-0.58255630562854688</v>
      </c>
      <c r="I143">
        <f t="shared" si="6"/>
        <v>2229.7940963888891</v>
      </c>
      <c r="K143">
        <f>_xlfn.STDEV.S('R1'!L143,'R2'!L143,'R3'!L143)</f>
        <v>6.4336404465791851E-3</v>
      </c>
      <c r="L143">
        <f>_xlfn.STDEV.S('R1'!M143,'R2'!M143,'R3'!M143)</f>
        <v>1.4381830602474988E-2</v>
      </c>
      <c r="M143">
        <f>_xlfn.STDEV.S('R1'!N143,'R2'!N143,'R3'!N143)</f>
        <v>1.4577450012945034E-2</v>
      </c>
      <c r="N143">
        <f>_xlfn.STDEV.S('R1'!O143,'R2'!O143,'R3'!O143)</f>
        <v>8.4881809400367287E-3</v>
      </c>
    </row>
    <row r="144" spans="1:14" x14ac:dyDescent="0.25">
      <c r="A144">
        <f>-'R1'!H144</f>
        <v>20</v>
      </c>
      <c r="B144">
        <f>DEGREES(ATAN(-SIN(RADIANS(('R1'!I144)))/(COS(RADIANS(Sheet1!A144))*COS(RADIANS('R1'!I144)))))</f>
        <v>29.502629281345779</v>
      </c>
      <c r="C144">
        <f>AVERAGE('R1'!J144,'R2'!J144,'R3'!J144)</f>
        <v>1.18</v>
      </c>
      <c r="D144">
        <f>AVERAGE('R1'!K144,'R2'!K144,'R3'!K144)</f>
        <v>11.390504583333334</v>
      </c>
      <c r="E144">
        <f>AVERAGE('R1'!L144,'R2'!L144,'R3'!L144)</f>
        <v>1.4183833542203204</v>
      </c>
      <c r="F144">
        <f>AVERAGE('R1'!M144,'R2'!M144,'R3'!M144)</f>
        <v>-1.3225906895381652</v>
      </c>
      <c r="G144">
        <f>AVERAGE('R1'!N144,'R2'!N144,'R3'!N144)</f>
        <v>-0.64042836071767273</v>
      </c>
      <c r="H144">
        <f>AVERAGE('R1'!O144,'R2'!O144,'R3'!O144)</f>
        <v>-0.42498644373532951</v>
      </c>
      <c r="I144">
        <f t="shared" si="6"/>
        <v>2240.1325680555556</v>
      </c>
      <c r="K144">
        <f>_xlfn.STDEV.S('R1'!L144,'R2'!L144,'R3'!L144)</f>
        <v>4.6949826337068954E-3</v>
      </c>
      <c r="L144">
        <f>_xlfn.STDEV.S('R1'!M144,'R2'!M144,'R3'!M144)</f>
        <v>2.0290928725605759E-2</v>
      </c>
      <c r="M144">
        <f>_xlfn.STDEV.S('R1'!N144,'R2'!N144,'R3'!N144)</f>
        <v>1.4483214991345259E-2</v>
      </c>
      <c r="N144">
        <f>_xlfn.STDEV.S('R1'!O144,'R2'!O144,'R3'!O144)</f>
        <v>9.2877479689585079E-3</v>
      </c>
    </row>
    <row r="145" spans="1:14" x14ac:dyDescent="0.25">
      <c r="A145">
        <f>-'R1'!H145</f>
        <v>20</v>
      </c>
      <c r="B145">
        <f>DEGREES(ATAN(-SIN(RADIANS(('R1'!I145)))/(COS(RADIANS(Sheet1!A145))*COS(RADIANS('R1'!I145)))))</f>
        <v>25.351709771061881</v>
      </c>
      <c r="C145">
        <f>AVERAGE('R1'!J145,'R2'!J145,'R3'!J145)</f>
        <v>1.18</v>
      </c>
      <c r="D145">
        <f>AVERAGE('R1'!K145,'R2'!K145,'R3'!K145)</f>
        <v>11.396962666666667</v>
      </c>
      <c r="E145">
        <f>AVERAGE('R1'!L145,'R2'!L145,'R3'!L145)</f>
        <v>1.2400222878357587</v>
      </c>
      <c r="F145">
        <f>AVERAGE('R1'!M145,'R2'!M145,'R3'!M145)</f>
        <v>-1.3177321408314262</v>
      </c>
      <c r="G145">
        <f>AVERAGE('R1'!N145,'R2'!N145,'R3'!N145)</f>
        <v>-0.54177559553466581</v>
      </c>
      <c r="H145">
        <f>AVERAGE('R1'!O145,'R2'!O145,'R3'!O145)</f>
        <v>-0.27031511316804319</v>
      </c>
      <c r="I145">
        <f t="shared" si="6"/>
        <v>2241.4026577777781</v>
      </c>
      <c r="K145">
        <f>_xlfn.STDEV.S('R1'!L145,'R2'!L145,'R3'!L145)</f>
        <v>7.9438059802222731E-3</v>
      </c>
      <c r="L145">
        <f>_xlfn.STDEV.S('R1'!M145,'R2'!M145,'R3'!M145)</f>
        <v>8.0843485537664701E-3</v>
      </c>
      <c r="M145">
        <f>_xlfn.STDEV.S('R1'!N145,'R2'!N145,'R3'!N145)</f>
        <v>1.9847533237553196E-3</v>
      </c>
      <c r="N145">
        <f>_xlfn.STDEV.S('R1'!O145,'R2'!O145,'R3'!O145)</f>
        <v>5.3361794996356687E-3</v>
      </c>
    </row>
    <row r="146" spans="1:14" x14ac:dyDescent="0.25">
      <c r="A146">
        <f>-'R1'!H146</f>
        <v>20</v>
      </c>
      <c r="B146">
        <f>DEGREES(ATAN(-SIN(RADIANS(('R1'!I146)))/(COS(RADIANS(Sheet1!A146))*COS(RADIANS('R1'!I146)))))</f>
        <v>21.172832185162978</v>
      </c>
      <c r="C146">
        <f>AVERAGE('R1'!J146,'R2'!J146,'R3'!J146)</f>
        <v>1.18</v>
      </c>
      <c r="D146">
        <f>AVERAGE('R1'!K146,'R2'!K146,'R3'!K146)</f>
        <v>11.449604916666667</v>
      </c>
      <c r="E146">
        <f>AVERAGE('R1'!L146,'R2'!L146,'R3'!L146)</f>
        <v>1.045808559270214</v>
      </c>
      <c r="F146">
        <f>AVERAGE('R1'!M146,'R2'!M146,'R3'!M146)</f>
        <v>-1.3279448021921374</v>
      </c>
      <c r="G146">
        <f>AVERAGE('R1'!N146,'R2'!N146,'R3'!N146)</f>
        <v>-0.45598534412994657</v>
      </c>
      <c r="H146">
        <f>AVERAGE('R1'!O146,'R2'!O146,'R3'!O146)</f>
        <v>-0.13999386032503611</v>
      </c>
      <c r="I146">
        <f t="shared" si="6"/>
        <v>2251.7556336111111</v>
      </c>
      <c r="K146">
        <f>_xlfn.STDEV.S('R1'!L146,'R2'!L146,'R3'!L146)</f>
        <v>9.0354634412928188E-3</v>
      </c>
      <c r="L146">
        <f>_xlfn.STDEV.S('R1'!M146,'R2'!M146,'R3'!M146)</f>
        <v>3.0644625465501853E-3</v>
      </c>
      <c r="M146">
        <f>_xlfn.STDEV.S('R1'!N146,'R2'!N146,'R3'!N146)</f>
        <v>6.2472490132399004E-3</v>
      </c>
      <c r="N146">
        <f>_xlfn.STDEV.S('R1'!O146,'R2'!O146,'R3'!O146)</f>
        <v>4.038930160538353E-3</v>
      </c>
    </row>
    <row r="147" spans="1:14" x14ac:dyDescent="0.25">
      <c r="A147">
        <f>-'R1'!H147</f>
        <v>20</v>
      </c>
      <c r="B147">
        <f>DEGREES(ATAN(-SIN(RADIANS(('R1'!I147)))/(COS(RADIANS(Sheet1!A147))*COS(RADIANS('R1'!I147)))))</f>
        <v>16.969467099429082</v>
      </c>
      <c r="C147">
        <f>AVERAGE('R1'!J147,'R2'!J147,'R3'!J147)</f>
        <v>1.18</v>
      </c>
      <c r="D147">
        <f>AVERAGE('R1'!K147,'R2'!K147,'R3'!K147)</f>
        <v>11.482292916666665</v>
      </c>
      <c r="E147">
        <f>AVERAGE('R1'!L147,'R2'!L147,'R3'!L147)</f>
        <v>0.84399221704024063</v>
      </c>
      <c r="F147">
        <f>AVERAGE('R1'!M147,'R2'!M147,'R3'!M147)</f>
        <v>-1.3499117440541442</v>
      </c>
      <c r="G147">
        <f>AVERAGE('R1'!N147,'R2'!N147,'R3'!N147)</f>
        <v>-0.38475510959045361</v>
      </c>
      <c r="H147">
        <f>AVERAGE('R1'!O147,'R2'!O147,'R3'!O147)</f>
        <v>-2.5827901107200998E-2</v>
      </c>
      <c r="I147">
        <f t="shared" si="6"/>
        <v>2258.1842736111107</v>
      </c>
      <c r="K147">
        <f>_xlfn.STDEV.S('R1'!L147,'R2'!L147,'R3'!L147)</f>
        <v>2.1837826346495573E-3</v>
      </c>
      <c r="L147">
        <f>_xlfn.STDEV.S('R1'!M147,'R2'!M147,'R3'!M147)</f>
        <v>9.2363273194673474E-3</v>
      </c>
      <c r="M147">
        <f>_xlfn.STDEV.S('R1'!N147,'R2'!N147,'R3'!N147)</f>
        <v>1.0526585368916975E-2</v>
      </c>
      <c r="N147">
        <f>_xlfn.STDEV.S('R1'!O147,'R2'!O147,'R3'!O147)</f>
        <v>4.1168273091467906E-3</v>
      </c>
    </row>
    <row r="148" spans="1:14" x14ac:dyDescent="0.25">
      <c r="A148">
        <f>-'R1'!H148</f>
        <v>20</v>
      </c>
      <c r="B148">
        <f>DEGREES(ATAN(-SIN(RADIANS(('R1'!I148)))/(COS(RADIANS(Sheet1!A148))*COS(RADIANS('R1'!I148)))))</f>
        <v>12.745697846757086</v>
      </c>
      <c r="C148">
        <f>AVERAGE('R1'!J148,'R2'!J148,'R3'!J148)</f>
        <v>1.18</v>
      </c>
      <c r="D148">
        <f>AVERAGE('R1'!K148,'R2'!K148,'R3'!K148)</f>
        <v>11.497287833333333</v>
      </c>
      <c r="E148">
        <f>AVERAGE('R1'!L148,'R2'!L148,'R3'!L148)</f>
        <v>0.63566419462276968</v>
      </c>
      <c r="F148">
        <f>AVERAGE('R1'!M148,'R2'!M148,'R3'!M148)</f>
        <v>-1.3917690564127254</v>
      </c>
      <c r="G148">
        <f>AVERAGE('R1'!N148,'R2'!N148,'R3'!N148)</f>
        <v>-0.34557141452271406</v>
      </c>
      <c r="H148">
        <f>AVERAGE('R1'!O148,'R2'!O148,'R3'!O148)</f>
        <v>6.975934113166353E-2</v>
      </c>
      <c r="I148">
        <f t="shared" si="6"/>
        <v>2261.1332738888891</v>
      </c>
      <c r="K148">
        <f>_xlfn.STDEV.S('R1'!L148,'R2'!L148,'R3'!L148)</f>
        <v>3.6310857510844013E-3</v>
      </c>
      <c r="L148">
        <f>_xlfn.STDEV.S('R1'!M148,'R2'!M148,'R3'!M148)</f>
        <v>7.759405378972341E-3</v>
      </c>
      <c r="M148">
        <f>_xlfn.STDEV.S('R1'!N148,'R2'!N148,'R3'!N148)</f>
        <v>3.1398857555183083E-3</v>
      </c>
      <c r="N148">
        <f>_xlfn.STDEV.S('R1'!O148,'R2'!O148,'R3'!O148)</f>
        <v>6.1823394780747215E-3</v>
      </c>
    </row>
    <row r="149" spans="1:14" x14ac:dyDescent="0.25">
      <c r="A149">
        <f>-'R1'!H149</f>
        <v>20</v>
      </c>
      <c r="B149">
        <f>DEGREES(ATAN(-SIN(RADIANS(('R1'!I149)))/(COS(RADIANS(Sheet1!A149))*COS(RADIANS('R1'!I149)))))</f>
        <v>8.5061328568771426</v>
      </c>
      <c r="C149">
        <f>AVERAGE('R1'!J149,'R2'!J149,'R3'!J149)</f>
        <v>1.18</v>
      </c>
      <c r="D149">
        <f>AVERAGE('R1'!K149,'R2'!K149,'R3'!K149)</f>
        <v>11.535349500000001</v>
      </c>
      <c r="E149">
        <f>AVERAGE('R1'!L149,'R2'!L149,'R3'!L149)</f>
        <v>0.41060459139584182</v>
      </c>
      <c r="F149">
        <f>AVERAGE('R1'!M149,'R2'!M149,'R3'!M149)</f>
        <v>-1.4546580914228464</v>
      </c>
      <c r="G149">
        <f>AVERAGE('R1'!N149,'R2'!N149,'R3'!N149)</f>
        <v>-0.32085344922670384</v>
      </c>
      <c r="H149">
        <f>AVERAGE('R1'!O149,'R2'!O149,'R3'!O149)</f>
        <v>0.15733970852310411</v>
      </c>
      <c r="I149">
        <f t="shared" si="6"/>
        <v>2268.618735</v>
      </c>
      <c r="K149">
        <f>_xlfn.STDEV.S('R1'!L149,'R2'!L149,'R3'!L149)</f>
        <v>3.5361506982577217E-3</v>
      </c>
      <c r="L149">
        <f>_xlfn.STDEV.S('R1'!M149,'R2'!M149,'R3'!M149)</f>
        <v>1.2264070066082692E-3</v>
      </c>
      <c r="M149">
        <f>_xlfn.STDEV.S('R1'!N149,'R2'!N149,'R3'!N149)</f>
        <v>4.8357789110038234E-3</v>
      </c>
      <c r="N149">
        <f>_xlfn.STDEV.S('R1'!O149,'R2'!O149,'R3'!O149)</f>
        <v>7.2831034217561196E-3</v>
      </c>
    </row>
    <row r="150" spans="1:14" x14ac:dyDescent="0.25">
      <c r="A150">
        <f>-'R1'!H150</f>
        <v>20</v>
      </c>
      <c r="B150">
        <f>DEGREES(ATAN(-SIN(RADIANS(('R1'!I150)))/(COS(RADIANS(Sheet1!A150))*COS(RADIANS('R1'!I150)))))</f>
        <v>4.2557962016512016</v>
      </c>
      <c r="C150">
        <f>AVERAGE('R1'!J150,'R2'!J150,'R3'!J150)</f>
        <v>1.18</v>
      </c>
      <c r="D150">
        <f>AVERAGE('R1'!K150,'R2'!K150,'R3'!K150)</f>
        <v>11.452357166666667</v>
      </c>
      <c r="E150">
        <f>AVERAGE('R1'!L150,'R2'!L150,'R3'!L150)</f>
        <v>0.15670052548362864</v>
      </c>
      <c r="F150">
        <f>AVERAGE('R1'!M150,'R2'!M150,'R3'!M150)</f>
        <v>-1.537478226368665</v>
      </c>
      <c r="G150">
        <f>AVERAGE('R1'!N150,'R2'!N150,'R3'!N150)</f>
        <v>-0.31902829882502498</v>
      </c>
      <c r="H150">
        <f>AVERAGE('R1'!O150,'R2'!O150,'R3'!O150)</f>
        <v>0.24443074336532689</v>
      </c>
      <c r="I150">
        <f t="shared" si="6"/>
        <v>2252.2969094444447</v>
      </c>
      <c r="K150">
        <f>_xlfn.STDEV.S('R1'!L150,'R2'!L150,'R3'!L150)</f>
        <v>1.1384036749169447E-2</v>
      </c>
      <c r="L150">
        <f>_xlfn.STDEV.S('R1'!M150,'R2'!M150,'R3'!M150)</f>
        <v>8.0528704640110034E-3</v>
      </c>
      <c r="M150">
        <f>_xlfn.STDEV.S('R1'!N150,'R2'!N150,'R3'!N150)</f>
        <v>9.7537998161841746E-3</v>
      </c>
      <c r="N150">
        <f>_xlfn.STDEV.S('R1'!O150,'R2'!O150,'R3'!O150)</f>
        <v>1.0178213519597365E-2</v>
      </c>
    </row>
    <row r="151" spans="1:14" x14ac:dyDescent="0.25">
      <c r="A151">
        <f>-'R1'!H151</f>
        <v>20</v>
      </c>
      <c r="B151">
        <f>DEGREES(ATAN(-SIN(RADIANS(('R1'!I151)))/(COS(RADIANS(Sheet1!A151))*COS(RADIANS('R1'!I151)))))</f>
        <v>0</v>
      </c>
      <c r="C151">
        <f>AVERAGE('R1'!J151,'R2'!J151,'R3'!J151)</f>
        <v>1.18</v>
      </c>
      <c r="D151">
        <f>AVERAGE('R1'!K151,'R2'!K151,'R3'!K151)</f>
        <v>11.406768749999999</v>
      </c>
      <c r="E151">
        <f>AVERAGE('R1'!L151,'R2'!L151,'R3'!L151)</f>
        <v>-0.13343704739150461</v>
      </c>
      <c r="F151">
        <f>AVERAGE('R1'!M151,'R2'!M151,'R3'!M151)</f>
        <v>-1.5383139202518745</v>
      </c>
      <c r="G151">
        <f>AVERAGE('R1'!N151,'R2'!N151,'R3'!N151)</f>
        <v>-0.31559290585824268</v>
      </c>
      <c r="H151">
        <f>AVERAGE('R1'!O151,'R2'!O151,'R3'!O151)</f>
        <v>0.2597510736308819</v>
      </c>
      <c r="I151">
        <f t="shared" si="6"/>
        <v>2243.3311874999999</v>
      </c>
      <c r="K151">
        <f>_xlfn.STDEV.S('R1'!L151,'R2'!L151,'R3'!L151)</f>
        <v>2.4548248597551481E-3</v>
      </c>
      <c r="L151">
        <f>_xlfn.STDEV.S('R1'!M151,'R2'!M151,'R3'!M151)</f>
        <v>1.1698041834832163E-2</v>
      </c>
      <c r="M151">
        <f>_xlfn.STDEV.S('R1'!N151,'R2'!N151,'R3'!N151)</f>
        <v>1.0339482153863511E-2</v>
      </c>
      <c r="N151">
        <f>_xlfn.STDEV.S('R1'!O151,'R2'!O151,'R3'!O151)</f>
        <v>1.5172220929210332E-2</v>
      </c>
    </row>
    <row r="152" spans="1:14" x14ac:dyDescent="0.25">
      <c r="A152">
        <f>-'R1'!H152</f>
        <v>20</v>
      </c>
      <c r="B152">
        <f>DEGREES(ATAN(-SIN(RADIANS(('R1'!I152)))/(COS(RADIANS(Sheet1!A152))*COS(RADIANS('R1'!I152)))))</f>
        <v>-4.2557962016512016</v>
      </c>
      <c r="C152">
        <f>AVERAGE('R1'!J152,'R2'!J152,'R3'!J152)</f>
        <v>1.18</v>
      </c>
      <c r="D152">
        <f>AVERAGE('R1'!K152,'R2'!K152,'R3'!K152)</f>
        <v>11.375390250000001</v>
      </c>
      <c r="E152">
        <f>AVERAGE('R1'!L152,'R2'!L152,'R3'!L152)</f>
        <v>-0.38570450488201047</v>
      </c>
      <c r="F152">
        <f>AVERAGE('R1'!M152,'R2'!M152,'R3'!M152)</f>
        <v>-1.4326330112530978</v>
      </c>
      <c r="G152">
        <f>AVERAGE('R1'!N152,'R2'!N152,'R3'!N152)</f>
        <v>-0.30592394337448242</v>
      </c>
      <c r="H152">
        <f>AVERAGE('R1'!O152,'R2'!O152,'R3'!O152)</f>
        <v>0.1894037996954189</v>
      </c>
      <c r="I152">
        <f t="shared" si="6"/>
        <v>2237.1600825</v>
      </c>
      <c r="K152">
        <f>_xlfn.STDEV.S('R1'!L152,'R2'!L152,'R3'!L152)</f>
        <v>2.7835128233023492E-3</v>
      </c>
      <c r="L152">
        <f>_xlfn.STDEV.S('R1'!M152,'R2'!M152,'R3'!M152)</f>
        <v>5.696092521969941E-3</v>
      </c>
      <c r="M152">
        <f>_xlfn.STDEV.S('R1'!N152,'R2'!N152,'R3'!N152)</f>
        <v>7.4329853001833326E-3</v>
      </c>
      <c r="N152">
        <f>_xlfn.STDEV.S('R1'!O152,'R2'!O152,'R3'!O152)</f>
        <v>6.4364933301353598E-3</v>
      </c>
    </row>
    <row r="153" spans="1:14" x14ac:dyDescent="0.25">
      <c r="A153">
        <f>-'R1'!H153</f>
        <v>20</v>
      </c>
      <c r="B153">
        <f>DEGREES(ATAN(-SIN(RADIANS(('R1'!I153)))/(COS(RADIANS(Sheet1!A153))*COS(RADIANS('R1'!I153)))))</f>
        <v>-8.5061328568771426</v>
      </c>
      <c r="C153">
        <f>AVERAGE('R1'!J153,'R2'!J153,'R3'!J153)</f>
        <v>1.18</v>
      </c>
      <c r="D153">
        <f>AVERAGE('R1'!K153,'R2'!K153,'R3'!K153)</f>
        <v>11.314253416666666</v>
      </c>
      <c r="E153">
        <f>AVERAGE('R1'!L153,'R2'!L153,'R3'!L153)</f>
        <v>-0.62270178654590769</v>
      </c>
      <c r="F153">
        <f>AVERAGE('R1'!M153,'R2'!M153,'R3'!M153)</f>
        <v>-1.3435919005421766</v>
      </c>
      <c r="G153">
        <f>AVERAGE('R1'!N153,'R2'!N153,'R3'!N153)</f>
        <v>-0.32061241437758159</v>
      </c>
      <c r="H153">
        <f>AVERAGE('R1'!O153,'R2'!O153,'R3'!O153)</f>
        <v>0.12978208438087657</v>
      </c>
      <c r="I153">
        <f t="shared" si="6"/>
        <v>2225.1365052777778</v>
      </c>
      <c r="K153">
        <f>_xlfn.STDEV.S('R1'!L153,'R2'!L153,'R3'!L153)</f>
        <v>2.1485123163891639E-4</v>
      </c>
      <c r="L153">
        <f>_xlfn.STDEV.S('R1'!M153,'R2'!M153,'R3'!M153)</f>
        <v>1.4782745748225648E-2</v>
      </c>
      <c r="M153">
        <f>_xlfn.STDEV.S('R1'!N153,'R2'!N153,'R3'!N153)</f>
        <v>1.4314103384800688E-2</v>
      </c>
      <c r="N153">
        <f>_xlfn.STDEV.S('R1'!O153,'R2'!O153,'R3'!O153)</f>
        <v>1.2387054199708959E-2</v>
      </c>
    </row>
    <row r="154" spans="1:14" x14ac:dyDescent="0.25">
      <c r="A154">
        <f>-'R1'!H154</f>
        <v>20</v>
      </c>
      <c r="B154">
        <f>DEGREES(ATAN(-SIN(RADIANS(('R1'!I154)))/(COS(RADIANS(Sheet1!A154))*COS(RADIANS('R1'!I154)))))</f>
        <v>-12.745697846757086</v>
      </c>
      <c r="C154">
        <f>AVERAGE('R1'!J154,'R2'!J154,'R3'!J154)</f>
        <v>1.18</v>
      </c>
      <c r="D154">
        <f>AVERAGE('R1'!K154,'R2'!K154,'R3'!K154)</f>
        <v>11.356759833333333</v>
      </c>
      <c r="E154">
        <f>AVERAGE('R1'!L154,'R2'!L154,'R3'!L154)</f>
        <v>-0.85124279802831404</v>
      </c>
      <c r="F154">
        <f>AVERAGE('R1'!M154,'R2'!M154,'R3'!M154)</f>
        <v>-1.2793656013419643</v>
      </c>
      <c r="G154">
        <f>AVERAGE('R1'!N154,'R2'!N154,'R3'!N154)</f>
        <v>-0.36683977368835508</v>
      </c>
      <c r="H154">
        <f>AVERAGE('R1'!O154,'R2'!O154,'R3'!O154)</f>
        <v>6.6233144176187031E-2</v>
      </c>
      <c r="I154">
        <f t="shared" si="6"/>
        <v>2233.4961005555556</v>
      </c>
      <c r="K154">
        <f>_xlfn.STDEV.S('R1'!L154,'R2'!L154,'R3'!L154)</f>
        <v>6.2700369789412949E-3</v>
      </c>
      <c r="L154">
        <f>_xlfn.STDEV.S('R1'!M154,'R2'!M154,'R3'!M154)</f>
        <v>4.5541400542479004E-3</v>
      </c>
      <c r="M154">
        <f>_xlfn.STDEV.S('R1'!N154,'R2'!N154,'R3'!N154)</f>
        <v>8.2006308153066317E-3</v>
      </c>
      <c r="N154">
        <f>_xlfn.STDEV.S('R1'!O154,'R2'!O154,'R3'!O154)</f>
        <v>4.2845157911904838E-3</v>
      </c>
    </row>
    <row r="155" spans="1:14" x14ac:dyDescent="0.25">
      <c r="A155">
        <f>-'R1'!H155</f>
        <v>20</v>
      </c>
      <c r="B155">
        <f>DEGREES(ATAN(-SIN(RADIANS(('R1'!I155)))/(COS(RADIANS(Sheet1!A155))*COS(RADIANS('R1'!I155)))))</f>
        <v>-16.969467099429082</v>
      </c>
      <c r="C155">
        <f>AVERAGE('R1'!J155,'R2'!J155,'R3'!J155)</f>
        <v>1.18</v>
      </c>
      <c r="D155">
        <f>AVERAGE('R1'!K155,'R2'!K155,'R3'!K155)</f>
        <v>11.41278825</v>
      </c>
      <c r="E155">
        <f>AVERAGE('R1'!L155,'R2'!L155,'R3'!L155)</f>
        <v>-1.0756979112965757</v>
      </c>
      <c r="F155">
        <f>AVERAGE('R1'!M155,'R2'!M155,'R3'!M155)</f>
        <v>-1.260467860318174</v>
      </c>
      <c r="G155">
        <f>AVERAGE('R1'!N155,'R2'!N155,'R3'!N155)</f>
        <v>-0.44802944789449661</v>
      </c>
      <c r="H155">
        <f>AVERAGE('R1'!O155,'R2'!O155,'R3'!O155)</f>
        <v>-3.1089569631916392E-2</v>
      </c>
      <c r="I155">
        <f t="shared" si="6"/>
        <v>2244.5150225000002</v>
      </c>
      <c r="K155">
        <f>_xlfn.STDEV.S('R1'!L155,'R2'!L155,'R3'!L155)</f>
        <v>7.164091449688062E-3</v>
      </c>
      <c r="L155">
        <f>_xlfn.STDEV.S('R1'!M155,'R2'!M155,'R3'!M155)</f>
        <v>4.9591140995688598E-3</v>
      </c>
      <c r="M155">
        <f>_xlfn.STDEV.S('R1'!N155,'R2'!N155,'R3'!N155)</f>
        <v>6.9409400587932329E-3</v>
      </c>
      <c r="N155">
        <f>_xlfn.STDEV.S('R1'!O155,'R2'!O155,'R3'!O155)</f>
        <v>3.6518742114181484E-3</v>
      </c>
    </row>
    <row r="156" spans="1:14" x14ac:dyDescent="0.25">
      <c r="A156">
        <f>-'R1'!H156</f>
        <v>20</v>
      </c>
      <c r="B156">
        <f>DEGREES(ATAN(-SIN(RADIANS(('R1'!I156)))/(COS(RADIANS(Sheet1!A156))*COS(RADIANS('R1'!I156)))))</f>
        <v>-21.172832185162978</v>
      </c>
      <c r="C156">
        <f>AVERAGE('R1'!J156,'R2'!J156,'R3'!J156)</f>
        <v>1.18</v>
      </c>
      <c r="D156">
        <f>AVERAGE('R1'!K156,'R2'!K156,'R3'!K156)</f>
        <v>11.428272083333333</v>
      </c>
      <c r="E156">
        <f>AVERAGE('R1'!L156,'R2'!L156,'R3'!L156)</f>
        <v>-1.2875256667900625</v>
      </c>
      <c r="F156">
        <f>AVERAGE('R1'!M156,'R2'!M156,'R3'!M156)</f>
        <v>-1.2865037872782428</v>
      </c>
      <c r="G156">
        <f>AVERAGE('R1'!N156,'R2'!N156,'R3'!N156)</f>
        <v>-0.56578236313463137</v>
      </c>
      <c r="H156">
        <f>AVERAGE('R1'!O156,'R2'!O156,'R3'!O156)</f>
        <v>-0.1631921783636627</v>
      </c>
      <c r="I156">
        <f t="shared" si="6"/>
        <v>2247.560176388889</v>
      </c>
      <c r="K156">
        <f>_xlfn.STDEV.S('R1'!L156,'R2'!L156,'R3'!L156)</f>
        <v>1.4007808455283689E-2</v>
      </c>
      <c r="L156">
        <f>_xlfn.STDEV.S('R1'!M156,'R2'!M156,'R3'!M156)</f>
        <v>5.0457257564466129E-3</v>
      </c>
      <c r="M156">
        <f>_xlfn.STDEV.S('R1'!N156,'R2'!N156,'R3'!N156)</f>
        <v>1.628971498498517E-2</v>
      </c>
      <c r="N156">
        <f>_xlfn.STDEV.S('R1'!O156,'R2'!O156,'R3'!O156)</f>
        <v>1.0027883001880705E-2</v>
      </c>
    </row>
    <row r="157" spans="1:14" x14ac:dyDescent="0.25">
      <c r="A157">
        <f>-'R1'!H157</f>
        <v>20</v>
      </c>
      <c r="B157">
        <f>DEGREES(ATAN(-SIN(RADIANS(('R1'!I157)))/(COS(RADIANS(Sheet1!A157))*COS(RADIANS('R1'!I157)))))</f>
        <v>-25.351709771061881</v>
      </c>
      <c r="C157">
        <f>AVERAGE('R1'!J157,'R2'!J157,'R3'!J157)</f>
        <v>1.18</v>
      </c>
      <c r="D157">
        <f>AVERAGE('R1'!K157,'R2'!K157,'R3'!K157)</f>
        <v>11.470692249999999</v>
      </c>
      <c r="E157">
        <f>AVERAGE('R1'!L157,'R2'!L157,'R3'!L157)</f>
        <v>-1.4882834537204923</v>
      </c>
      <c r="F157">
        <f>AVERAGE('R1'!M157,'R2'!M157,'R3'!M157)</f>
        <v>-1.3496493457204581</v>
      </c>
      <c r="G157">
        <f>AVERAGE('R1'!N157,'R2'!N157,'R3'!N157)</f>
        <v>-0.7072954554566292</v>
      </c>
      <c r="H157">
        <f>AVERAGE('R1'!O157,'R2'!O157,'R3'!O157)</f>
        <v>-0.31570392212814374</v>
      </c>
      <c r="I157">
        <f t="shared" si="6"/>
        <v>2255.9028091666664</v>
      </c>
      <c r="K157">
        <f>_xlfn.STDEV.S('R1'!L157,'R2'!L157,'R3'!L157)</f>
        <v>5.0879462875787216E-3</v>
      </c>
      <c r="L157">
        <f>_xlfn.STDEV.S('R1'!M157,'R2'!M157,'R3'!M157)</f>
        <v>7.2713185594282057E-3</v>
      </c>
      <c r="M157">
        <f>_xlfn.STDEV.S('R1'!N157,'R2'!N157,'R3'!N157)</f>
        <v>1.5105014920640845E-2</v>
      </c>
      <c r="N157">
        <f>_xlfn.STDEV.S('R1'!O157,'R2'!O157,'R3'!O157)</f>
        <v>1.518467145630549E-3</v>
      </c>
    </row>
    <row r="158" spans="1:14" x14ac:dyDescent="0.25">
      <c r="A158">
        <f>-'R1'!H158</f>
        <v>20</v>
      </c>
      <c r="B158">
        <f>DEGREES(ATAN(-SIN(RADIANS(('R1'!I158)))/(COS(RADIANS(Sheet1!A158))*COS(RADIANS('R1'!I158)))))</f>
        <v>-29.502629281345779</v>
      </c>
      <c r="C158">
        <f>AVERAGE('R1'!J158,'R2'!J158,'R3'!J158)</f>
        <v>1.1808333333333332</v>
      </c>
      <c r="D158">
        <f>AVERAGE('R1'!K158,'R2'!K158,'R3'!K158)</f>
        <v>11.469865499999999</v>
      </c>
      <c r="E158">
        <f>AVERAGE('R1'!L158,'R2'!L158,'R3'!L158)</f>
        <v>-1.7074943347125038</v>
      </c>
      <c r="F158">
        <f>AVERAGE('R1'!M158,'R2'!M158,'R3'!M158)</f>
        <v>-1.458270517589207</v>
      </c>
      <c r="G158">
        <f>AVERAGE('R1'!N158,'R2'!N158,'R3'!N158)</f>
        <v>-0.90249489707101149</v>
      </c>
      <c r="H158">
        <f>AVERAGE('R1'!O158,'R2'!O158,'R3'!O158)</f>
        <v>-0.50501646369086872</v>
      </c>
      <c r="I158">
        <f t="shared" si="6"/>
        <v>2257.3332518749994</v>
      </c>
      <c r="K158">
        <f>_xlfn.STDEV.S('R1'!L158,'R2'!L158,'R3'!L158)</f>
        <v>6.5870832789038372E-3</v>
      </c>
      <c r="L158">
        <f>_xlfn.STDEV.S('R1'!M158,'R2'!M158,'R3'!M158)</f>
        <v>1.4556135323219125E-2</v>
      </c>
      <c r="M158">
        <f>_xlfn.STDEV.S('R1'!N158,'R2'!N158,'R3'!N158)</f>
        <v>1.2092991964899456E-2</v>
      </c>
      <c r="N158">
        <f>_xlfn.STDEV.S('R1'!O158,'R2'!O158,'R3'!O158)</f>
        <v>9.2190883033174079E-3</v>
      </c>
    </row>
    <row r="159" spans="1:14" x14ac:dyDescent="0.25">
      <c r="A159">
        <f>-'R1'!H159</f>
        <v>20</v>
      </c>
      <c r="B159">
        <f>DEGREES(ATAN(-SIN(RADIANS(('R1'!I159)))/(COS(RADIANS(Sheet1!A159))*COS(RADIANS('R1'!I159)))))</f>
        <v>-33.622796746730245</v>
      </c>
      <c r="C159">
        <f>AVERAGE('R1'!J159,'R2'!J159,'R3'!J159)</f>
        <v>1.1808333333333332</v>
      </c>
      <c r="D159">
        <f>AVERAGE('R1'!K159,'R2'!K159,'R3'!K159)</f>
        <v>11.410466416666667</v>
      </c>
      <c r="E159">
        <f>AVERAGE('R1'!L159,'R2'!L159,'R3'!L159)</f>
        <v>-1.9622425729220889</v>
      </c>
      <c r="F159">
        <f>AVERAGE('R1'!M159,'R2'!M159,'R3'!M159)</f>
        <v>-1.5897993734072806</v>
      </c>
      <c r="G159">
        <f>AVERAGE('R1'!N159,'R2'!N159,'R3'!N159)</f>
        <v>-1.145165244140494</v>
      </c>
      <c r="H159">
        <f>AVERAGE('R1'!O159,'R2'!O159,'R3'!O159)</f>
        <v>-0.71118489970794041</v>
      </c>
      <c r="I159">
        <f t="shared" si="6"/>
        <v>2245.6431822800923</v>
      </c>
      <c r="K159">
        <f>_xlfn.STDEV.S('R1'!L159,'R2'!L159,'R3'!L159)</f>
        <v>7.3926054932738506E-3</v>
      </c>
      <c r="L159">
        <f>_xlfn.STDEV.S('R1'!M159,'R2'!M159,'R3'!M159)</f>
        <v>2.8556909617592336E-3</v>
      </c>
      <c r="M159">
        <f>_xlfn.STDEV.S('R1'!N159,'R2'!N159,'R3'!N159)</f>
        <v>1.239839947146033E-2</v>
      </c>
      <c r="N159">
        <f>_xlfn.STDEV.S('R1'!O159,'R2'!O159,'R3'!O159)</f>
        <v>2.8617808511800695E-3</v>
      </c>
    </row>
    <row r="160" spans="1:14" x14ac:dyDescent="0.25">
      <c r="A160">
        <f>-'R1'!H160</f>
        <v>20</v>
      </c>
      <c r="B160">
        <f>DEGREES(ATAN(-SIN(RADIANS(('R1'!I160)))/(COS(RADIANS(Sheet1!A160))*COS(RADIANS('R1'!I160)))))</f>
        <v>-37.710134449764993</v>
      </c>
      <c r="C160">
        <f>AVERAGE('R1'!J160,'R2'!J160,'R3'!J160)</f>
        <v>1.18</v>
      </c>
      <c r="D160">
        <f>AVERAGE('R1'!K160,'R2'!K160,'R3'!K160)</f>
        <v>11.403401833333334</v>
      </c>
      <c r="E160">
        <f>AVERAGE('R1'!L160,'R2'!L160,'R3'!L160)</f>
        <v>-2.2685851332285556</v>
      </c>
      <c r="F160">
        <f>AVERAGE('R1'!M160,'R2'!M160,'R3'!M160)</f>
        <v>-1.7514305734008715</v>
      </c>
      <c r="G160">
        <f>AVERAGE('R1'!N160,'R2'!N160,'R3'!N160)</f>
        <v>-1.4590166575636925</v>
      </c>
      <c r="H160">
        <f>AVERAGE('R1'!O160,'R2'!O160,'R3'!O160)</f>
        <v>-0.95420424055901665</v>
      </c>
      <c r="I160">
        <f t="shared" si="6"/>
        <v>2242.6690272222222</v>
      </c>
      <c r="K160">
        <f>_xlfn.STDEV.S('R1'!L160,'R2'!L160,'R3'!L160)</f>
        <v>1.4906914434387238E-2</v>
      </c>
      <c r="L160">
        <f>_xlfn.STDEV.S('R1'!M160,'R2'!M160,'R3'!M160)</f>
        <v>9.8149648883132865E-3</v>
      </c>
      <c r="M160">
        <f>_xlfn.STDEV.S('R1'!N160,'R2'!N160,'R3'!N160)</f>
        <v>1.51879125954359E-2</v>
      </c>
      <c r="N160">
        <f>_xlfn.STDEV.S('R1'!O160,'R2'!O160,'R3'!O160)</f>
        <v>5.3690447001088545E-3</v>
      </c>
    </row>
    <row r="161" spans="1:14" x14ac:dyDescent="0.25">
      <c r="A161">
        <f>-'R1'!H161</f>
        <v>20</v>
      </c>
      <c r="B161">
        <f>DEGREES(ATAN(-SIN(RADIANS(('R1'!I161)))/(COS(RADIANS(Sheet1!A161))*COS(RADIANS('R1'!I161)))))</f>
        <v>-41.763297417742614</v>
      </c>
      <c r="C161">
        <f>AVERAGE('R1'!J161,'R2'!J161,'R3'!J161)</f>
        <v>1.18</v>
      </c>
      <c r="D161">
        <f>AVERAGE('R1'!K161,'R2'!K161,'R3'!K161)</f>
        <v>11.343747666666667</v>
      </c>
      <c r="E161">
        <f>AVERAGE('R1'!L161,'R2'!L161,'R3'!L161)</f>
        <v>-2.6718164292526083</v>
      </c>
      <c r="F161">
        <f>AVERAGE('R1'!M161,'R2'!M161,'R3'!M161)</f>
        <v>-1.9778699308054772</v>
      </c>
      <c r="G161">
        <f>AVERAGE('R1'!N161,'R2'!N161,'R3'!N161)</f>
        <v>-1.9003272102030664</v>
      </c>
      <c r="H161">
        <f>AVERAGE('R1'!O161,'R2'!O161,'R3'!O161)</f>
        <v>-1.2650432454662843</v>
      </c>
      <c r="I161">
        <f t="shared" si="6"/>
        <v>2230.9370411111113</v>
      </c>
      <c r="K161">
        <f>_xlfn.STDEV.S('R1'!L161,'R2'!L161,'R3'!L161)</f>
        <v>3.4759952260329713E-2</v>
      </c>
      <c r="L161">
        <f>_xlfn.STDEV.S('R1'!M161,'R2'!M161,'R3'!M161)</f>
        <v>2.3596365398244071E-2</v>
      </c>
      <c r="M161">
        <f>_xlfn.STDEV.S('R1'!N161,'R2'!N161,'R3'!N161)</f>
        <v>3.8453196590559603E-2</v>
      </c>
      <c r="N161">
        <f>_xlfn.STDEV.S('R1'!O161,'R2'!O161,'R3'!O161)</f>
        <v>1.5924062944066765E-2</v>
      </c>
    </row>
    <row r="162" spans="1:14" x14ac:dyDescent="0.25">
      <c r="A162">
        <f>-'R1'!H162</f>
        <v>20</v>
      </c>
      <c r="B162">
        <f>DEGREES(ATAN(-SIN(RADIANS(('R1'!I162)))/(COS(RADIANS(Sheet1!A162))*COS(RADIANS('R1'!I162)))))</f>
        <v>-45.781668962964282</v>
      </c>
      <c r="C162">
        <f>AVERAGE('R1'!J162,'R2'!J162,'R3'!J162)</f>
        <v>1.18</v>
      </c>
      <c r="D162">
        <f>AVERAGE('R1'!K162,'R2'!K162,'R3'!K162)</f>
        <v>11.326018166666666</v>
      </c>
      <c r="E162">
        <f>AVERAGE('R1'!L162,'R2'!L162,'R3'!L162)</f>
        <v>-3.2119427950967689</v>
      </c>
      <c r="F162">
        <f>AVERAGE('R1'!M162,'R2'!M162,'R3'!M162)</f>
        <v>-2.2885194170096597</v>
      </c>
      <c r="G162">
        <f>AVERAGE('R1'!N162,'R2'!N162,'R3'!N162)</f>
        <v>-2.52151142400951</v>
      </c>
      <c r="H162">
        <f>AVERAGE('R1'!O162,'R2'!O162,'R3'!O162)</f>
        <v>-1.673057150767584</v>
      </c>
      <c r="I162">
        <f t="shared" si="6"/>
        <v>2227.4502394444439</v>
      </c>
      <c r="K162">
        <f>_xlfn.STDEV.S('R1'!L162,'R2'!L162,'R3'!L162)</f>
        <v>7.0505982475237663E-2</v>
      </c>
      <c r="L162">
        <f>_xlfn.STDEV.S('R1'!M162,'R2'!M162,'R3'!M162)</f>
        <v>4.3200423438686492E-2</v>
      </c>
      <c r="M162">
        <f>_xlfn.STDEV.S('R1'!N162,'R2'!N162,'R3'!N162)</f>
        <v>7.7554541823670789E-2</v>
      </c>
      <c r="N162">
        <f>_xlfn.STDEV.S('R1'!O162,'R2'!O162,'R3'!O162)</f>
        <v>3.2007742389051248E-2</v>
      </c>
    </row>
    <row r="163" spans="1:14" x14ac:dyDescent="0.25">
      <c r="A163">
        <f>-'R1'!H163</f>
        <v>16</v>
      </c>
      <c r="B163">
        <f>DEGREES(ATAN(-SIN(RADIANS(('R1'!I163)))/(COS(RADIANS(Sheet1!A163))*COS(RADIANS('R1'!I163)))))</f>
        <v>45.131634150601585</v>
      </c>
      <c r="C163">
        <f>AVERAGE('R1'!J163,'R2'!J163,'R3'!J163)</f>
        <v>1.18</v>
      </c>
      <c r="D163">
        <f>AVERAGE('R1'!K163,'R2'!K163,'R3'!K163)</f>
        <v>11.413430416666669</v>
      </c>
      <c r="E163">
        <f>AVERAGE('R1'!L163,'R2'!L163,'R3'!L163)</f>
        <v>2.2029681596830297</v>
      </c>
      <c r="F163">
        <f>AVERAGE('R1'!M163,'R2'!M163,'R3'!M163)</f>
        <v>-1.4276615317359538</v>
      </c>
      <c r="G163">
        <f>AVERAGE('R1'!N163,'R2'!N163,'R3'!N163)</f>
        <v>-1.3150134336150276</v>
      </c>
      <c r="H163">
        <f>AVERAGE('R1'!O163,'R2'!O163,'R3'!O163)</f>
        <v>-1.0665449566479068</v>
      </c>
      <c r="I163">
        <f t="shared" si="6"/>
        <v>2244.6413152777782</v>
      </c>
      <c r="K163">
        <f>_xlfn.STDEV.S('R1'!L163,'R2'!L163,'R3'!L163)</f>
        <v>6.3675668362211599E-3</v>
      </c>
      <c r="L163">
        <f>_xlfn.STDEV.S('R1'!M163,'R2'!M163,'R3'!M163)</f>
        <v>1.4835328010367462E-2</v>
      </c>
      <c r="M163">
        <f>_xlfn.STDEV.S('R1'!N163,'R2'!N163,'R3'!N163)</f>
        <v>1.1412591803790388E-2</v>
      </c>
      <c r="N163">
        <f>_xlfn.STDEV.S('R1'!O163,'R2'!O163,'R3'!O163)</f>
        <v>1.1475581965658965E-2</v>
      </c>
    </row>
    <row r="164" spans="1:14" x14ac:dyDescent="0.25">
      <c r="A164">
        <f>-'R1'!H164</f>
        <v>16</v>
      </c>
      <c r="B164">
        <f>DEGREES(ATAN(-SIN(RADIANS(('R1'!I164)))/(COS(RADIANS(Sheet1!A164))*COS(RADIANS('R1'!I164)))))</f>
        <v>41.118191358294368</v>
      </c>
      <c r="C164">
        <f>AVERAGE('R1'!J164,'R2'!J164,'R3'!J164)</f>
        <v>1.18</v>
      </c>
      <c r="D164">
        <f>AVERAGE('R1'!K164,'R2'!K164,'R3'!K164)</f>
        <v>11.42915575</v>
      </c>
      <c r="E164">
        <f>AVERAGE('R1'!L164,'R2'!L164,'R3'!L164)</f>
        <v>1.9901228718752908</v>
      </c>
      <c r="F164">
        <f>AVERAGE('R1'!M164,'R2'!M164,'R3'!M164)</f>
        <v>-1.3166519725453372</v>
      </c>
      <c r="G164">
        <f>AVERAGE('R1'!N164,'R2'!N164,'R3'!N164)</f>
        <v>-1.0644116194838007</v>
      </c>
      <c r="H164">
        <f>AVERAGE('R1'!O164,'R2'!O164,'R3'!O164)</f>
        <v>-0.85701514341954466</v>
      </c>
      <c r="I164">
        <f t="shared" si="6"/>
        <v>2247.7339641666663</v>
      </c>
      <c r="K164">
        <f>_xlfn.STDEV.S('R1'!L164,'R2'!L164,'R3'!L164)</f>
        <v>8.3979914905680901E-3</v>
      </c>
      <c r="L164">
        <f>_xlfn.STDEV.S('R1'!M164,'R2'!M164,'R3'!M164)</f>
        <v>7.0391716066378019E-3</v>
      </c>
      <c r="M164">
        <f>_xlfn.STDEV.S('R1'!N164,'R2'!N164,'R3'!N164)</f>
        <v>8.0082136017141752E-3</v>
      </c>
      <c r="N164">
        <f>_xlfn.STDEV.S('R1'!O164,'R2'!O164,'R3'!O164)</f>
        <v>2.9664805836045276E-3</v>
      </c>
    </row>
    <row r="165" spans="1:14" x14ac:dyDescent="0.25">
      <c r="A165">
        <f>-'R1'!H165</f>
        <v>16</v>
      </c>
      <c r="B165">
        <f>DEGREES(ATAN(-SIN(RADIANS(('R1'!I165)))/(COS(RADIANS(Sheet1!A165))*COS(RADIANS('R1'!I165)))))</f>
        <v>37.082782431142171</v>
      </c>
      <c r="C165">
        <f>AVERAGE('R1'!J165,'R2'!J165,'R3'!J165)</f>
        <v>1.18</v>
      </c>
      <c r="D165">
        <f>AVERAGE('R1'!K165,'R2'!K165,'R3'!K165)</f>
        <v>11.486324166666668</v>
      </c>
      <c r="E165">
        <f>AVERAGE('R1'!L165,'R2'!L165,'R3'!L165)</f>
        <v>1.8024498802861746</v>
      </c>
      <c r="F165">
        <f>AVERAGE('R1'!M165,'R2'!M165,'R3'!M165)</f>
        <v>-1.2275871434354504</v>
      </c>
      <c r="G165">
        <f>AVERAGE('R1'!N165,'R2'!N165,'R3'!N165)</f>
        <v>-0.86103435574501941</v>
      </c>
      <c r="H165">
        <f>AVERAGE('R1'!O165,'R2'!O165,'R3'!O165)</f>
        <v>-0.66339604377697858</v>
      </c>
      <c r="I165">
        <f t="shared" si="6"/>
        <v>2258.9770861111115</v>
      </c>
      <c r="K165">
        <f>_xlfn.STDEV.S('R1'!L165,'R2'!L165,'R3'!L165)</f>
        <v>5.5842650584021873E-3</v>
      </c>
      <c r="L165">
        <f>_xlfn.STDEV.S('R1'!M165,'R2'!M165,'R3'!M165)</f>
        <v>1.052239546369698E-2</v>
      </c>
      <c r="M165">
        <f>_xlfn.STDEV.S('R1'!N165,'R2'!N165,'R3'!N165)</f>
        <v>6.883155785365332E-3</v>
      </c>
      <c r="N165">
        <f>_xlfn.STDEV.S('R1'!O165,'R2'!O165,'R3'!O165)</f>
        <v>2.3143020812571497E-3</v>
      </c>
    </row>
    <row r="166" spans="1:14" x14ac:dyDescent="0.25">
      <c r="A166">
        <f>-'R1'!H166</f>
        <v>16</v>
      </c>
      <c r="B166">
        <f>DEGREES(ATAN(-SIN(RADIANS(('R1'!I166)))/(COS(RADIANS(Sheet1!A166))*COS(RADIANS('R1'!I166)))))</f>
        <v>33.025931133441695</v>
      </c>
      <c r="C166">
        <f>AVERAGE('R1'!J166,'R2'!J166,'R3'!J166)</f>
        <v>1.18</v>
      </c>
      <c r="D166">
        <f>AVERAGE('R1'!K166,'R2'!K166,'R3'!K166)</f>
        <v>11.40597975</v>
      </c>
      <c r="E166">
        <f>AVERAGE('R1'!L166,'R2'!L166,'R3'!L166)</f>
        <v>1.6289706572906233</v>
      </c>
      <c r="F166">
        <f>AVERAGE('R1'!M166,'R2'!M166,'R3'!M166)</f>
        <v>-1.1687385210693193</v>
      </c>
      <c r="G166">
        <f>AVERAGE('R1'!N166,'R2'!N166,'R3'!N166)</f>
        <v>-0.7000612428772085</v>
      </c>
      <c r="H166">
        <f>AVERAGE('R1'!O166,'R2'!O166,'R3'!O166)</f>
        <v>-0.49580741590505123</v>
      </c>
      <c r="I166">
        <f t="shared" si="6"/>
        <v>2243.1760174999999</v>
      </c>
      <c r="K166">
        <f>_xlfn.STDEV.S('R1'!L166,'R2'!L166,'R3'!L166)</f>
        <v>6.5561731738172004E-3</v>
      </c>
      <c r="L166">
        <f>_xlfn.STDEV.S('R1'!M166,'R2'!M166,'R3'!M166)</f>
        <v>5.4890591569175529E-3</v>
      </c>
      <c r="M166">
        <f>_xlfn.STDEV.S('R1'!N166,'R2'!N166,'R3'!N166)</f>
        <v>7.2321182974683738E-3</v>
      </c>
      <c r="N166">
        <f>_xlfn.STDEV.S('R1'!O166,'R2'!O166,'R3'!O166)</f>
        <v>7.6863249742219726E-3</v>
      </c>
    </row>
    <row r="167" spans="1:14" x14ac:dyDescent="0.25">
      <c r="A167">
        <f>-'R1'!H167</f>
        <v>16</v>
      </c>
      <c r="B167">
        <f>DEGREES(ATAN(-SIN(RADIANS(('R1'!I167)))/(COS(RADIANS(Sheet1!A167))*COS(RADIANS('R1'!I167)))))</f>
        <v>28.948605633454871</v>
      </c>
      <c r="C167">
        <f>AVERAGE('R1'!J167,'R2'!J167,'R3'!J167)</f>
        <v>1.18</v>
      </c>
      <c r="D167">
        <f>AVERAGE('R1'!K167,'R2'!K167,'R3'!K167)</f>
        <v>11.353248750000001</v>
      </c>
      <c r="E167">
        <f>AVERAGE('R1'!L167,'R2'!L167,'R3'!L167)</f>
        <v>1.4570548166907733</v>
      </c>
      <c r="F167">
        <f>AVERAGE('R1'!M167,'R2'!M167,'R3'!M167)</f>
        <v>-1.1286937286639267</v>
      </c>
      <c r="G167">
        <f>AVERAGE('R1'!N167,'R2'!N167,'R3'!N167)</f>
        <v>-0.56808168391691516</v>
      </c>
      <c r="H167">
        <f>AVERAGE('R1'!O167,'R2'!O167,'R3'!O167)</f>
        <v>-0.32369617333808159</v>
      </c>
      <c r="I167">
        <f t="shared" si="6"/>
        <v>2232.8055875</v>
      </c>
      <c r="K167">
        <f>_xlfn.STDEV.S('R1'!L167,'R2'!L167,'R3'!L167)</f>
        <v>7.7912613217836334E-3</v>
      </c>
      <c r="L167">
        <f>_xlfn.STDEV.S('R1'!M167,'R2'!M167,'R3'!M167)</f>
        <v>1.242222805388386E-2</v>
      </c>
      <c r="M167">
        <f>_xlfn.STDEV.S('R1'!N167,'R2'!N167,'R3'!N167)</f>
        <v>1.286102056105135E-2</v>
      </c>
      <c r="N167">
        <f>_xlfn.STDEV.S('R1'!O167,'R2'!O167,'R3'!O167)</f>
        <v>1.3227170834413163E-2</v>
      </c>
    </row>
    <row r="168" spans="1:14" x14ac:dyDescent="0.25">
      <c r="A168">
        <f>-'R1'!H168</f>
        <v>16</v>
      </c>
      <c r="B168">
        <f>DEGREES(ATAN(-SIN(RADIANS(('R1'!I168)))/(COS(RADIANS(Sheet1!A168))*COS(RADIANS('R1'!I168)))))</f>
        <v>24.852211192112133</v>
      </c>
      <c r="C168">
        <f>AVERAGE('R1'!J168,'R2'!J168,'R3'!J168)</f>
        <v>1.18</v>
      </c>
      <c r="D168">
        <f>AVERAGE('R1'!K168,'R2'!K168,'R3'!K168)</f>
        <v>11.337495249999998</v>
      </c>
      <c r="E168">
        <f>AVERAGE('R1'!L168,'R2'!L168,'R3'!L168)</f>
        <v>1.2585843674789141</v>
      </c>
      <c r="F168">
        <f>AVERAGE('R1'!M168,'R2'!M168,'R3'!M168)</f>
        <v>-1.1125154520587623</v>
      </c>
      <c r="G168">
        <f>AVERAGE('R1'!N168,'R2'!N168,'R3'!N168)</f>
        <v>-0.4534279956868621</v>
      </c>
      <c r="H168">
        <f>AVERAGE('R1'!O168,'R2'!O168,'R3'!O168)</f>
        <v>-0.15295975537917272</v>
      </c>
      <c r="I168">
        <f t="shared" si="6"/>
        <v>2229.7073991666662</v>
      </c>
      <c r="K168">
        <f>_xlfn.STDEV.S('R1'!L168,'R2'!L168,'R3'!L168)</f>
        <v>9.5686961976913804E-3</v>
      </c>
      <c r="L168">
        <f>_xlfn.STDEV.S('R1'!M168,'R2'!M168,'R3'!M168)</f>
        <v>3.4367285335256473E-3</v>
      </c>
      <c r="M168">
        <f>_xlfn.STDEV.S('R1'!N168,'R2'!N168,'R3'!N168)</f>
        <v>7.6691749975266307E-3</v>
      </c>
      <c r="N168">
        <f>_xlfn.STDEV.S('R1'!O168,'R2'!O168,'R3'!O168)</f>
        <v>1.0205098223709585E-2</v>
      </c>
    </row>
    <row r="169" spans="1:14" x14ac:dyDescent="0.25">
      <c r="A169">
        <f>-'R1'!H169</f>
        <v>16</v>
      </c>
      <c r="B169">
        <f>DEGREES(ATAN(-SIN(RADIANS(('R1'!I169)))/(COS(RADIANS(Sheet1!A169))*COS(RADIANS('R1'!I169)))))</f>
        <v>20.738571475352053</v>
      </c>
      <c r="C169">
        <f>AVERAGE('R1'!J169,'R2'!J169,'R3'!J169)</f>
        <v>1.1833333333333333</v>
      </c>
      <c r="D169">
        <f>AVERAGE('R1'!K169,'R2'!K169,'R3'!K169)</f>
        <v>11.241708416666667</v>
      </c>
      <c r="E169">
        <f>AVERAGE('R1'!L169,'R2'!L169,'R3'!L169)</f>
        <v>1.0672510072256276</v>
      </c>
      <c r="F169">
        <f>AVERAGE('R1'!M169,'R2'!M169,'R3'!M169)</f>
        <v>-1.1067315293937339</v>
      </c>
      <c r="G169">
        <f>AVERAGE('R1'!N169,'R2'!N169,'R3'!N169)</f>
        <v>-0.3579438769672787</v>
      </c>
      <c r="H169">
        <f>AVERAGE('R1'!O169,'R2'!O169,'R3'!O169)</f>
        <v>-5.4027059459324676E-3</v>
      </c>
      <c r="I169">
        <f t="shared" si="6"/>
        <v>2217.114715509259</v>
      </c>
      <c r="K169">
        <f>_xlfn.STDEV.S('R1'!L169,'R2'!L169,'R3'!L169)</f>
        <v>9.5149214851152205E-4</v>
      </c>
      <c r="L169">
        <f>_xlfn.STDEV.S('R1'!M169,'R2'!M169,'R3'!M169)</f>
        <v>9.0312838047539694E-3</v>
      </c>
      <c r="M169">
        <f>_xlfn.STDEV.S('R1'!N169,'R2'!N169,'R3'!N169)</f>
        <v>1.2165853844809857E-2</v>
      </c>
      <c r="N169">
        <f>_xlfn.STDEV.S('R1'!O169,'R2'!O169,'R3'!O169)</f>
        <v>5.4892031018628122E-3</v>
      </c>
    </row>
    <row r="170" spans="1:14" x14ac:dyDescent="0.25">
      <c r="A170">
        <f>-'R1'!H170</f>
        <v>16</v>
      </c>
      <c r="B170">
        <f>DEGREES(ATAN(-SIN(RADIANS(('R1'!I170)))/(COS(RADIANS(Sheet1!A170))*COS(RADIANS('R1'!I170)))))</f>
        <v>16.609898016932938</v>
      </c>
      <c r="C170">
        <f>AVERAGE('R1'!J170,'R2'!J170,'R3'!J170)</f>
        <v>1.1816666666666666</v>
      </c>
      <c r="D170">
        <f>AVERAGE('R1'!K170,'R2'!K170,'R3'!K170)</f>
        <v>11.285029416666665</v>
      </c>
      <c r="E170">
        <f>AVERAGE('R1'!L170,'R2'!L170,'R3'!L170)</f>
        <v>0.85635414043026969</v>
      </c>
      <c r="F170">
        <f>AVERAGE('R1'!M170,'R2'!M170,'R3'!M170)</f>
        <v>-1.1193255442689503</v>
      </c>
      <c r="G170">
        <f>AVERAGE('R1'!N170,'R2'!N170,'R3'!N170)</f>
        <v>-0.27735558248753883</v>
      </c>
      <c r="H170">
        <f>AVERAGE('R1'!O170,'R2'!O170,'R3'!O170)</f>
        <v>0.11976255426845117</v>
      </c>
      <c r="I170">
        <f t="shared" si="6"/>
        <v>2222.5238490046295</v>
      </c>
      <c r="K170">
        <f>_xlfn.STDEV.S('R1'!L170,'R2'!L170,'R3'!L170)</f>
        <v>7.0973260109450948E-3</v>
      </c>
      <c r="L170">
        <f>_xlfn.STDEV.S('R1'!M170,'R2'!M170,'R3'!M170)</f>
        <v>8.7252316468418214E-3</v>
      </c>
      <c r="M170">
        <f>_xlfn.STDEV.S('R1'!N170,'R2'!N170,'R3'!N170)</f>
        <v>4.4370842705169361E-3</v>
      </c>
      <c r="N170">
        <f>_xlfn.STDEV.S('R1'!O170,'R2'!O170,'R3'!O170)</f>
        <v>5.4955586235075401E-3</v>
      </c>
    </row>
    <row r="171" spans="1:14" x14ac:dyDescent="0.25">
      <c r="A171">
        <f>-'R1'!H171</f>
        <v>16</v>
      </c>
      <c r="B171">
        <f>DEGREES(ATAN(-SIN(RADIANS(('R1'!I171)))/(COS(RADIANS(Sheet1!A171))*COS(RADIANS('R1'!I171)))))</f>
        <v>12.468747879350856</v>
      </c>
      <c r="C171">
        <f>AVERAGE('R1'!J171,'R2'!J171,'R3'!J171)</f>
        <v>1.18</v>
      </c>
      <c r="D171">
        <f>AVERAGE('R1'!K171,'R2'!K171,'R3'!K171)</f>
        <v>11.368437166666666</v>
      </c>
      <c r="E171">
        <f>AVERAGE('R1'!L171,'R2'!L171,'R3'!L171)</f>
        <v>0.64929512746230078</v>
      </c>
      <c r="F171">
        <f>AVERAGE('R1'!M171,'R2'!M171,'R3'!M171)</f>
        <v>-1.1578419519275522</v>
      </c>
      <c r="G171">
        <f>AVERAGE('R1'!N171,'R2'!N171,'R3'!N171)</f>
        <v>-0.23154449497915663</v>
      </c>
      <c r="H171">
        <f>AVERAGE('R1'!O171,'R2'!O171,'R3'!O171)</f>
        <v>0.22196190053885875</v>
      </c>
      <c r="I171">
        <f t="shared" si="6"/>
        <v>2235.7926427777779</v>
      </c>
      <c r="K171">
        <f>_xlfn.STDEV.S('R1'!L171,'R2'!L171,'R3'!L171)</f>
        <v>7.2052716663112805E-3</v>
      </c>
      <c r="L171">
        <f>_xlfn.STDEV.S('R1'!M171,'R2'!M171,'R3'!M171)</f>
        <v>9.7489499720075368E-3</v>
      </c>
      <c r="M171">
        <f>_xlfn.STDEV.S('R1'!N171,'R2'!N171,'R3'!N171)</f>
        <v>1.9833653823334687E-3</v>
      </c>
      <c r="N171">
        <f>_xlfn.STDEV.S('R1'!O171,'R2'!O171,'R3'!O171)</f>
        <v>1.0578636822348263E-2</v>
      </c>
    </row>
    <row r="172" spans="1:14" x14ac:dyDescent="0.25">
      <c r="A172">
        <f>-'R1'!H172</f>
        <v>16</v>
      </c>
      <c r="B172">
        <f>DEGREES(ATAN(-SIN(RADIANS(('R1'!I172)))/(COS(RADIANS(Sheet1!A172))*COS(RADIANS('R1'!I172)))))</f>
        <v>8.3179701536192301</v>
      </c>
      <c r="C172">
        <f>AVERAGE('R1'!J172,'R2'!J172,'R3'!J172)</f>
        <v>1.18</v>
      </c>
      <c r="D172">
        <f>AVERAGE('R1'!K172,'R2'!K172,'R3'!K172)</f>
        <v>11.384355999999999</v>
      </c>
      <c r="E172">
        <f>AVERAGE('R1'!L172,'R2'!L172,'R3'!L172)</f>
        <v>0.4205258472471976</v>
      </c>
      <c r="F172">
        <f>AVERAGE('R1'!M172,'R2'!M172,'R3'!M172)</f>
        <v>-1.2084245514882184</v>
      </c>
      <c r="G172">
        <f>AVERAGE('R1'!N172,'R2'!N172,'R3'!N172)</f>
        <v>-0.20236924339616724</v>
      </c>
      <c r="H172">
        <f>AVERAGE('R1'!O172,'R2'!O172,'R3'!O172)</f>
        <v>0.31948919487568778</v>
      </c>
      <c r="I172">
        <f t="shared" si="6"/>
        <v>2238.9233466666665</v>
      </c>
      <c r="K172">
        <f>_xlfn.STDEV.S('R1'!L172,'R2'!L172,'R3'!L172)</f>
        <v>5.2858068970498542E-3</v>
      </c>
      <c r="L172">
        <f>_xlfn.STDEV.S('R1'!M172,'R2'!M172,'R3'!M172)</f>
        <v>2.1950346039462619E-5</v>
      </c>
      <c r="M172">
        <f>_xlfn.STDEV.S('R1'!N172,'R2'!N172,'R3'!N172)</f>
        <v>8.2658706851102201E-3</v>
      </c>
      <c r="N172">
        <f>_xlfn.STDEV.S('R1'!O172,'R2'!O172,'R3'!O172)</f>
        <v>3.4427628285771958E-3</v>
      </c>
    </row>
    <row r="173" spans="1:14" x14ac:dyDescent="0.25">
      <c r="A173">
        <f>-'R1'!H173</f>
        <v>16</v>
      </c>
      <c r="B173">
        <f>DEGREES(ATAN(-SIN(RADIANS(('R1'!I173)))/(COS(RADIANS(Sheet1!A173))*COS(RADIANS('R1'!I173)))))</f>
        <v>4.1606425592731879</v>
      </c>
      <c r="C173">
        <f>AVERAGE('R1'!J173,'R2'!J173,'R3'!J173)</f>
        <v>1.18</v>
      </c>
      <c r="D173">
        <f>AVERAGE('R1'!K173,'R2'!K173,'R3'!K173)</f>
        <v>11.440473166666669</v>
      </c>
      <c r="E173">
        <f>AVERAGE('R1'!L173,'R2'!L173,'R3'!L173)</f>
        <v>0.1630110978228847</v>
      </c>
      <c r="F173">
        <f>AVERAGE('R1'!M173,'R2'!M173,'R3'!M173)</f>
        <v>-1.281744047089836</v>
      </c>
      <c r="G173">
        <f>AVERAGE('R1'!N173,'R2'!N173,'R3'!N173)</f>
        <v>-0.19425413531167871</v>
      </c>
      <c r="H173">
        <f>AVERAGE('R1'!O173,'R2'!O173,'R3'!O173)</f>
        <v>0.4163337118087585</v>
      </c>
      <c r="I173">
        <f t="shared" si="6"/>
        <v>2249.9597227777781</v>
      </c>
      <c r="K173">
        <f>_xlfn.STDEV.S('R1'!L173,'R2'!L173,'R3'!L173)</f>
        <v>7.8866345152644908E-3</v>
      </c>
      <c r="L173">
        <f>_xlfn.STDEV.S('R1'!M173,'R2'!M173,'R3'!M173)</f>
        <v>1.034336713156926E-2</v>
      </c>
      <c r="M173">
        <f>_xlfn.STDEV.S('R1'!N173,'R2'!N173,'R3'!N173)</f>
        <v>8.8300484280649377E-3</v>
      </c>
      <c r="N173">
        <f>_xlfn.STDEV.S('R1'!O173,'R2'!O173,'R3'!O173)</f>
        <v>1.514123103633826E-2</v>
      </c>
    </row>
    <row r="174" spans="1:14" x14ac:dyDescent="0.25">
      <c r="A174">
        <f>-'R1'!H174</f>
        <v>16</v>
      </c>
      <c r="B174">
        <f>DEGREES(ATAN(-SIN(RADIANS(('R1'!I174)))/(COS(RADIANS(Sheet1!A174))*COS(RADIANS('R1'!I174)))))</f>
        <v>0</v>
      </c>
      <c r="C174">
        <f>AVERAGE('R1'!J174,'R2'!J174,'R3'!J174)</f>
        <v>1.1808333333333332</v>
      </c>
      <c r="D174">
        <f>AVERAGE('R1'!K174,'R2'!K174,'R3'!K174)</f>
        <v>11.476478416666668</v>
      </c>
      <c r="E174">
        <f>AVERAGE('R1'!L174,'R2'!L174,'R3'!L174)</f>
        <v>-0.11821398264692567</v>
      </c>
      <c r="F174">
        <f>AVERAGE('R1'!M174,'R2'!M174,'R3'!M174)</f>
        <v>-1.2822781213838477</v>
      </c>
      <c r="G174">
        <f>AVERAGE('R1'!N174,'R2'!N174,'R3'!N174)</f>
        <v>-0.18798227251526248</v>
      </c>
      <c r="H174">
        <f>AVERAGE('R1'!O174,'R2'!O174,'R3'!O174)</f>
        <v>0.43863003797757755</v>
      </c>
      <c r="I174">
        <f t="shared" si="6"/>
        <v>2258.6347106134258</v>
      </c>
      <c r="K174">
        <f>_xlfn.STDEV.S('R1'!L174,'R2'!L174,'R3'!L174)</f>
        <v>2.5721953116858752E-3</v>
      </c>
      <c r="L174">
        <f>_xlfn.STDEV.S('R1'!M174,'R2'!M174,'R3'!M174)</f>
        <v>8.9993275999214577E-3</v>
      </c>
      <c r="M174">
        <f>_xlfn.STDEV.S('R1'!N174,'R2'!N174,'R3'!N174)</f>
        <v>1.4449182173500342E-2</v>
      </c>
      <c r="N174">
        <f>_xlfn.STDEV.S('R1'!O174,'R2'!O174,'R3'!O174)</f>
        <v>5.7253754084998351E-3</v>
      </c>
    </row>
    <row r="175" spans="1:14" x14ac:dyDescent="0.25">
      <c r="A175">
        <f>-'R1'!H175</f>
        <v>16</v>
      </c>
      <c r="B175">
        <f>DEGREES(ATAN(-SIN(RADIANS(('R1'!I175)))/(COS(RADIANS(Sheet1!A175))*COS(RADIANS('R1'!I175)))))</f>
        <v>-4.1606425592731879</v>
      </c>
      <c r="C175">
        <f>AVERAGE('R1'!J175,'R2'!J175,'R3'!J175)</f>
        <v>1.1824999999999999</v>
      </c>
      <c r="D175">
        <f>AVERAGE('R1'!K175,'R2'!K175,'R3'!K175)</f>
        <v>11.480603333333335</v>
      </c>
      <c r="E175">
        <f>AVERAGE('R1'!L175,'R2'!L175,'R3'!L175)</f>
        <v>-0.36853301866339089</v>
      </c>
      <c r="F175">
        <f>AVERAGE('R1'!M175,'R2'!M175,'R3'!M175)</f>
        <v>-1.1910677345423624</v>
      </c>
      <c r="G175">
        <f>AVERAGE('R1'!N175,'R2'!N175,'R3'!N175)</f>
        <v>-0.18170413863649834</v>
      </c>
      <c r="H175">
        <f>AVERAGE('R1'!O175,'R2'!O175,'R3'!O175)</f>
        <v>0.36346388073597119</v>
      </c>
      <c r="I175">
        <f t="shared" si="6"/>
        <v>2262.6355736111113</v>
      </c>
      <c r="K175">
        <f>_xlfn.STDEV.S('R1'!L175,'R2'!L175,'R3'!L175)</f>
        <v>1.5274832485504363E-2</v>
      </c>
      <c r="L175">
        <f>_xlfn.STDEV.S('R1'!M175,'R2'!M175,'R3'!M175)</f>
        <v>4.6314455009886148E-3</v>
      </c>
      <c r="M175">
        <f>_xlfn.STDEV.S('R1'!N175,'R2'!N175,'R3'!N175)</f>
        <v>1.0054114155219339E-2</v>
      </c>
      <c r="N175">
        <f>_xlfn.STDEV.S('R1'!O175,'R2'!O175,'R3'!O175)</f>
        <v>1.2263741213420692E-2</v>
      </c>
    </row>
    <row r="176" spans="1:14" x14ac:dyDescent="0.25">
      <c r="A176">
        <f>-'R1'!H176</f>
        <v>16</v>
      </c>
      <c r="B176">
        <f>DEGREES(ATAN(-SIN(RADIANS(('R1'!I176)))/(COS(RADIANS(Sheet1!A176))*COS(RADIANS('R1'!I176)))))</f>
        <v>-8.3179701536192301</v>
      </c>
      <c r="C176">
        <f>AVERAGE('R1'!J176,'R2'!J176,'R3'!J176)</f>
        <v>1.1808333333333332</v>
      </c>
      <c r="D176">
        <f>AVERAGE('R1'!K176,'R2'!K176,'R3'!K176)</f>
        <v>11.536478000000001</v>
      </c>
      <c r="E176">
        <f>AVERAGE('R1'!L176,'R2'!L176,'R3'!L176)</f>
        <v>-0.62351184237965607</v>
      </c>
      <c r="F176">
        <f>AVERAGE('R1'!M176,'R2'!M176,'R3'!M176)</f>
        <v>-1.1102940262086907</v>
      </c>
      <c r="G176">
        <f>AVERAGE('R1'!N176,'R2'!N176,'R3'!N176)</f>
        <v>-0.21203708870634461</v>
      </c>
      <c r="H176">
        <f>AVERAGE('R1'!O176,'R2'!O176,'R3'!O176)</f>
        <v>0.28231721255050174</v>
      </c>
      <c r="I176">
        <f t="shared" si="6"/>
        <v>2270.4429619444441</v>
      </c>
      <c r="K176">
        <f>_xlfn.STDEV.S('R1'!L176,'R2'!L176,'R3'!L176)</f>
        <v>6.20635907932928E-3</v>
      </c>
      <c r="L176">
        <f>_xlfn.STDEV.S('R1'!M176,'R2'!M176,'R3'!M176)</f>
        <v>1.1206774654334508E-2</v>
      </c>
      <c r="M176">
        <f>_xlfn.STDEV.S('R1'!N176,'R2'!N176,'R3'!N176)</f>
        <v>3.7262483097699147E-3</v>
      </c>
      <c r="N176">
        <f>_xlfn.STDEV.S('R1'!O176,'R2'!O176,'R3'!O176)</f>
        <v>7.4607037437116001E-3</v>
      </c>
    </row>
    <row r="177" spans="1:14" x14ac:dyDescent="0.25">
      <c r="A177">
        <f>-'R1'!H177</f>
        <v>16</v>
      </c>
      <c r="B177">
        <f>DEGREES(ATAN(-SIN(RADIANS(('R1'!I177)))/(COS(RADIANS(Sheet1!A177))*COS(RADIANS('R1'!I177)))))</f>
        <v>-12.468747879350856</v>
      </c>
      <c r="C177">
        <f>AVERAGE('R1'!J177,'R2'!J177,'R3'!J177)</f>
        <v>1.18</v>
      </c>
      <c r="D177">
        <f>AVERAGE('R1'!K177,'R2'!K177,'R3'!K177)</f>
        <v>11.413088083333333</v>
      </c>
      <c r="E177">
        <f>AVERAGE('R1'!L177,'R2'!L177,'R3'!L177)</f>
        <v>-0.84651075226797257</v>
      </c>
      <c r="F177">
        <f>AVERAGE('R1'!M177,'R2'!M177,'R3'!M177)</f>
        <v>-1.0509127542647676</v>
      </c>
      <c r="G177">
        <f>AVERAGE('R1'!N177,'R2'!N177,'R3'!N177)</f>
        <v>-0.25627072027812298</v>
      </c>
      <c r="H177">
        <f>AVERAGE('R1'!O177,'R2'!O177,'R3'!O177)</f>
        <v>0.20746793364486585</v>
      </c>
      <c r="I177">
        <f t="shared" si="6"/>
        <v>2244.5739897222224</v>
      </c>
      <c r="K177">
        <f>_xlfn.STDEV.S('R1'!L177,'R2'!L177,'R3'!L177)</f>
        <v>1.6764138339236602E-2</v>
      </c>
      <c r="L177">
        <f>_xlfn.STDEV.S('R1'!M177,'R2'!M177,'R3'!M177)</f>
        <v>1.0239500328766152E-2</v>
      </c>
      <c r="M177">
        <f>_xlfn.STDEV.S('R1'!N177,'R2'!N177,'R3'!N177)</f>
        <v>1.1312408701659431E-2</v>
      </c>
      <c r="N177">
        <f>_xlfn.STDEV.S('R1'!O177,'R2'!O177,'R3'!O177)</f>
        <v>3.9427970645851242E-3</v>
      </c>
    </row>
    <row r="178" spans="1:14" x14ac:dyDescent="0.25">
      <c r="A178">
        <f>-'R1'!H178</f>
        <v>16</v>
      </c>
      <c r="B178">
        <f>DEGREES(ATAN(-SIN(RADIANS(('R1'!I178)))/(COS(RADIANS(Sheet1!A178))*COS(RADIANS('R1'!I178)))))</f>
        <v>-16.609898016932938</v>
      </c>
      <c r="C178">
        <f>AVERAGE('R1'!J178,'R2'!J178,'R3'!J178)</f>
        <v>1.18</v>
      </c>
      <c r="D178">
        <f>AVERAGE('R1'!K178,'R2'!K178,'R3'!K178)</f>
        <v>11.299124999999998</v>
      </c>
      <c r="E178">
        <f>AVERAGE('R1'!L178,'R2'!L178,'R3'!L178)</f>
        <v>-1.0669004384263168</v>
      </c>
      <c r="F178">
        <f>AVERAGE('R1'!M178,'R2'!M178,'R3'!M178)</f>
        <v>-1.0488137068614583</v>
      </c>
      <c r="G178">
        <f>AVERAGE('R1'!N178,'R2'!N178,'R3'!N178)</f>
        <v>-0.34599602810990676</v>
      </c>
      <c r="H178">
        <f>AVERAGE('R1'!O178,'R2'!O178,'R3'!O178)</f>
        <v>9.9175996293291935E-2</v>
      </c>
      <c r="I178">
        <f t="shared" si="6"/>
        <v>2222.1612499999997</v>
      </c>
      <c r="K178">
        <f>_xlfn.STDEV.S('R1'!L178,'R2'!L178,'R3'!L178)</f>
        <v>5.0794990116879981E-3</v>
      </c>
      <c r="L178">
        <f>_xlfn.STDEV.S('R1'!M178,'R2'!M178,'R3'!M178)</f>
        <v>6.5884622399435631E-3</v>
      </c>
      <c r="M178">
        <f>_xlfn.STDEV.S('R1'!N178,'R2'!N178,'R3'!N178)</f>
        <v>1.1893669479767922E-2</v>
      </c>
      <c r="N178">
        <f>_xlfn.STDEV.S('R1'!O178,'R2'!O178,'R3'!O178)</f>
        <v>3.1299919947748575E-3</v>
      </c>
    </row>
    <row r="179" spans="1:14" x14ac:dyDescent="0.25">
      <c r="A179">
        <f>-'R1'!H179</f>
        <v>16</v>
      </c>
      <c r="B179">
        <f>DEGREES(ATAN(-SIN(RADIANS(('R1'!I179)))/(COS(RADIANS(Sheet1!A179))*COS(RADIANS('R1'!I179)))))</f>
        <v>-20.738571475352053</v>
      </c>
      <c r="C179">
        <f>AVERAGE('R1'!J179,'R2'!J179,'R3'!J179)</f>
        <v>1.18</v>
      </c>
      <c r="D179">
        <f>AVERAGE('R1'!K179,'R2'!K179,'R3'!K179)</f>
        <v>11.218836666666666</v>
      </c>
      <c r="E179">
        <f>AVERAGE('R1'!L179,'R2'!L179,'R3'!L179)</f>
        <v>-1.2820894960106006</v>
      </c>
      <c r="F179">
        <f>AVERAGE('R1'!M179,'R2'!M179,'R3'!M179)</f>
        <v>-1.0712436333049065</v>
      </c>
      <c r="G179">
        <f>AVERAGE('R1'!N179,'R2'!N179,'R3'!N179)</f>
        <v>-0.46613892697212095</v>
      </c>
      <c r="H179">
        <f>AVERAGE('R1'!O179,'R2'!O179,'R3'!O179)</f>
        <v>-3.2757958788500408E-2</v>
      </c>
      <c r="I179">
        <f t="shared" si="6"/>
        <v>2206.3712111111108</v>
      </c>
      <c r="K179">
        <f>_xlfn.STDEV.S('R1'!L179,'R2'!L179,'R3'!L179)</f>
        <v>8.9565421636413692E-3</v>
      </c>
      <c r="L179">
        <f>_xlfn.STDEV.S('R1'!M179,'R2'!M179,'R3'!M179)</f>
        <v>3.2935532061244797E-3</v>
      </c>
      <c r="M179">
        <f>_xlfn.STDEV.S('R1'!N179,'R2'!N179,'R3'!N179)</f>
        <v>1.1800161688535909E-2</v>
      </c>
      <c r="N179">
        <f>_xlfn.STDEV.S('R1'!O179,'R2'!O179,'R3'!O179)</f>
        <v>2.6430215529291922E-3</v>
      </c>
    </row>
    <row r="180" spans="1:14" x14ac:dyDescent="0.25">
      <c r="A180">
        <f>-'R1'!H180</f>
        <v>16</v>
      </c>
      <c r="B180">
        <f>DEGREES(ATAN(-SIN(RADIANS(('R1'!I180)))/(COS(RADIANS(Sheet1!A180))*COS(RADIANS('R1'!I180)))))</f>
        <v>-24.852211192112133</v>
      </c>
      <c r="C180">
        <f>AVERAGE('R1'!J180,'R2'!J180,'R3'!J180)</f>
        <v>1.18</v>
      </c>
      <c r="D180">
        <f>AVERAGE('R1'!K180,'R2'!K180,'R3'!K180)</f>
        <v>11.085097333333332</v>
      </c>
      <c r="E180">
        <f>AVERAGE('R1'!L180,'R2'!L180,'R3'!L180)</f>
        <v>-1.4993320534133714</v>
      </c>
      <c r="F180">
        <f>AVERAGE('R1'!M180,'R2'!M180,'R3'!M180)</f>
        <v>-1.1377877094885873</v>
      </c>
      <c r="G180">
        <f>AVERAGE('R1'!N180,'R2'!N180,'R3'!N180)</f>
        <v>-0.62392572899843868</v>
      </c>
      <c r="H180">
        <f>AVERAGE('R1'!O180,'R2'!O180,'R3'!O180)</f>
        <v>-0.19575956154160568</v>
      </c>
      <c r="I180">
        <f t="shared" si="6"/>
        <v>2180.0691422222221</v>
      </c>
      <c r="K180">
        <f>_xlfn.STDEV.S('R1'!L180,'R2'!L180,'R3'!L180)</f>
        <v>5.8084064568809275E-3</v>
      </c>
      <c r="L180">
        <f>_xlfn.STDEV.S('R1'!M180,'R2'!M180,'R3'!M180)</f>
        <v>1.3077601842236773E-2</v>
      </c>
      <c r="M180">
        <f>_xlfn.STDEV.S('R1'!N180,'R2'!N180,'R3'!N180)</f>
        <v>1.4216225485507413E-2</v>
      </c>
      <c r="N180">
        <f>_xlfn.STDEV.S('R1'!O180,'R2'!O180,'R3'!O180)</f>
        <v>1.2672454749287165E-3</v>
      </c>
    </row>
    <row r="181" spans="1:14" x14ac:dyDescent="0.25">
      <c r="A181">
        <f>-'R1'!H181</f>
        <v>16</v>
      </c>
      <c r="B181">
        <f>DEGREES(ATAN(-SIN(RADIANS(('R1'!I181)))/(COS(RADIANS(Sheet1!A181))*COS(RADIANS('R1'!I181)))))</f>
        <v>-28.948605633454871</v>
      </c>
      <c r="C181">
        <f>AVERAGE('R1'!J181,'R2'!J181,'R3'!J181)</f>
        <v>1.1808333333333332</v>
      </c>
      <c r="D181">
        <f>AVERAGE('R1'!K181,'R2'!K181,'R3'!K181)</f>
        <v>11.086993916666666</v>
      </c>
      <c r="E181">
        <f>AVERAGE('R1'!L181,'R2'!L181,'R3'!L181)</f>
        <v>-1.741443028600778</v>
      </c>
      <c r="F181">
        <f>AVERAGE('R1'!M181,'R2'!M181,'R3'!M181)</f>
        <v>-1.2452231226140558</v>
      </c>
      <c r="G181">
        <f>AVERAGE('R1'!N181,'R2'!N181,'R3'!N181)</f>
        <v>-0.83817066966544995</v>
      </c>
      <c r="H181">
        <f>AVERAGE('R1'!O181,'R2'!O181,'R3'!O181)</f>
        <v>-0.38907314455891218</v>
      </c>
      <c r="I181">
        <f t="shared" si="6"/>
        <v>2181.9819972106475</v>
      </c>
      <c r="K181">
        <f>_xlfn.STDEV.S('R1'!L181,'R2'!L181,'R3'!L181)</f>
        <v>1.9089810207111927E-2</v>
      </c>
      <c r="L181">
        <f>_xlfn.STDEV.S('R1'!M181,'R2'!M181,'R3'!M181)</f>
        <v>1.0843361858930353E-2</v>
      </c>
      <c r="M181">
        <f>_xlfn.STDEV.S('R1'!N181,'R2'!N181,'R3'!N181)</f>
        <v>1.8296007963609348E-2</v>
      </c>
      <c r="N181">
        <f>_xlfn.STDEV.S('R1'!O181,'R2'!O181,'R3'!O181)</f>
        <v>1.3044843820805178E-2</v>
      </c>
    </row>
    <row r="182" spans="1:14" x14ac:dyDescent="0.25">
      <c r="A182">
        <f>-'R1'!H182</f>
        <v>16</v>
      </c>
      <c r="B182">
        <f>DEGREES(ATAN(-SIN(RADIANS(('R1'!I182)))/(COS(RADIANS(Sheet1!A182))*COS(RADIANS('R1'!I182)))))</f>
        <v>-33.025931133441695</v>
      </c>
      <c r="C182">
        <f>AVERAGE('R1'!J182,'R2'!J182,'R3'!J182)</f>
        <v>1.1808333333333332</v>
      </c>
      <c r="D182">
        <f>AVERAGE('R1'!K182,'R2'!K182,'R3'!K182)</f>
        <v>11.104766416666665</v>
      </c>
      <c r="E182">
        <f>AVERAGE('R1'!L182,'R2'!L182,'R3'!L182)</f>
        <v>-2.0296965930322544</v>
      </c>
      <c r="F182">
        <f>AVERAGE('R1'!M182,'R2'!M182,'R3'!M182)</f>
        <v>-1.3754843691033221</v>
      </c>
      <c r="G182">
        <f>AVERAGE('R1'!N182,'R2'!N182,'R3'!N182)</f>
        <v>-1.106365858027653</v>
      </c>
      <c r="H182">
        <f>AVERAGE('R1'!O182,'R2'!O182,'R3'!O182)</f>
        <v>-0.60115622182284689</v>
      </c>
      <c r="I182">
        <f t="shared" si="6"/>
        <v>2185.4797239467589</v>
      </c>
      <c r="K182">
        <f>_xlfn.STDEV.S('R1'!L182,'R2'!L182,'R3'!L182)</f>
        <v>1.3227298757456592E-2</v>
      </c>
      <c r="L182">
        <f>_xlfn.STDEV.S('R1'!M182,'R2'!M182,'R3'!M182)</f>
        <v>8.0596334170587511E-4</v>
      </c>
      <c r="M182">
        <f>_xlfn.STDEV.S('R1'!N182,'R2'!N182,'R3'!N182)</f>
        <v>7.7383400804650719E-3</v>
      </c>
      <c r="N182">
        <f>_xlfn.STDEV.S('R1'!O182,'R2'!O182,'R3'!O182)</f>
        <v>1.4995847767106697E-3</v>
      </c>
    </row>
    <row r="183" spans="1:14" x14ac:dyDescent="0.25">
      <c r="A183">
        <f>-'R1'!H183</f>
        <v>16</v>
      </c>
      <c r="B183">
        <f>DEGREES(ATAN(-SIN(RADIANS(('R1'!I183)))/(COS(RADIANS(Sheet1!A183))*COS(RADIANS('R1'!I183)))))</f>
        <v>-37.082782431142171</v>
      </c>
      <c r="C183">
        <f>AVERAGE('R1'!J183,'R2'!J183,'R3'!J183)</f>
        <v>1.18</v>
      </c>
      <c r="D183">
        <f>AVERAGE('R1'!K183,'R2'!K183,'R3'!K183)</f>
        <v>11.059175916666666</v>
      </c>
      <c r="E183">
        <f>AVERAGE('R1'!L183,'R2'!L183,'R3'!L183)</f>
        <v>-2.4089235083833906</v>
      </c>
      <c r="F183">
        <f>AVERAGE('R1'!M183,'R2'!M183,'R3'!M183)</f>
        <v>-1.5476491715051137</v>
      </c>
      <c r="G183">
        <f>AVERAGE('R1'!N183,'R2'!N183,'R3'!N183)</f>
        <v>-1.4837525036771433</v>
      </c>
      <c r="H183">
        <f>AVERAGE('R1'!O183,'R2'!O183,'R3'!O183)</f>
        <v>-0.86868394896926571</v>
      </c>
      <c r="I183">
        <f t="shared" si="6"/>
        <v>2174.9712636111112</v>
      </c>
      <c r="K183">
        <f>_xlfn.STDEV.S('R1'!L183,'R2'!L183,'R3'!L183)</f>
        <v>3.714923818826267E-2</v>
      </c>
      <c r="L183">
        <f>_xlfn.STDEV.S('R1'!M183,'R2'!M183,'R3'!M183)</f>
        <v>2.0821156942184959E-2</v>
      </c>
      <c r="M183">
        <f>_xlfn.STDEV.S('R1'!N183,'R2'!N183,'R3'!N183)</f>
        <v>4.3526546398376283E-2</v>
      </c>
      <c r="N183">
        <f>_xlfn.STDEV.S('R1'!O183,'R2'!O183,'R3'!O183)</f>
        <v>1.5373484382403404E-2</v>
      </c>
    </row>
    <row r="184" spans="1:14" x14ac:dyDescent="0.25">
      <c r="A184">
        <f>-'R1'!H184</f>
        <v>16</v>
      </c>
      <c r="B184">
        <f>DEGREES(ATAN(-SIN(RADIANS(('R1'!I184)))/(COS(RADIANS(Sheet1!A184))*COS(RADIANS('R1'!I184)))))</f>
        <v>-41.118191358294368</v>
      </c>
      <c r="C184">
        <f>AVERAGE('R1'!J184,'R2'!J184,'R3'!J184)</f>
        <v>1.18</v>
      </c>
      <c r="D184">
        <f>AVERAGE('R1'!K184,'R2'!K184,'R3'!K184)</f>
        <v>11.080962666666666</v>
      </c>
      <c r="E184">
        <f>AVERAGE('R1'!L184,'R2'!L184,'R3'!L184)</f>
        <v>-2.9152583907200196</v>
      </c>
      <c r="F184">
        <f>AVERAGE('R1'!M184,'R2'!M184,'R3'!M184)</f>
        <v>-1.7910688611839121</v>
      </c>
      <c r="G184">
        <f>AVERAGE('R1'!N184,'R2'!N184,'R3'!N184)</f>
        <v>-2.0056410010083456</v>
      </c>
      <c r="H184">
        <f>AVERAGE('R1'!O184,'R2'!O184,'R3'!O184)</f>
        <v>-1.2162845935020121</v>
      </c>
      <c r="I184">
        <f t="shared" si="6"/>
        <v>2179.2559911111107</v>
      </c>
      <c r="K184">
        <f>_xlfn.STDEV.S('R1'!L184,'R2'!L184,'R3'!L184)</f>
        <v>4.946378389873364E-2</v>
      </c>
      <c r="L184">
        <f>_xlfn.STDEV.S('R1'!M184,'R2'!M184,'R3'!M184)</f>
        <v>1.823075802379092E-2</v>
      </c>
      <c r="M184">
        <f>_xlfn.STDEV.S('R1'!N184,'R2'!N184,'R3'!N184)</f>
        <v>5.7380418571901348E-2</v>
      </c>
      <c r="N184">
        <f>_xlfn.STDEV.S('R1'!O184,'R2'!O184,'R3'!O184)</f>
        <v>1.3835757494340399E-2</v>
      </c>
    </row>
    <row r="185" spans="1:14" x14ac:dyDescent="0.25">
      <c r="A185">
        <f>-'R1'!H185</f>
        <v>16</v>
      </c>
      <c r="B185">
        <f>DEGREES(ATAN(-SIN(RADIANS(('R1'!I185)))/(COS(RADIANS(Sheet1!A185))*COS(RADIANS('R1'!I185)))))</f>
        <v>-45.131634150601585</v>
      </c>
      <c r="C185">
        <f>AVERAGE('R1'!J185,'R2'!J185,'R3'!J185)</f>
        <v>1.18</v>
      </c>
      <c r="D185">
        <f>AVERAGE('R1'!K185,'R2'!K185,'R3'!K185)</f>
        <v>11.145580833333334</v>
      </c>
      <c r="E185">
        <f>AVERAGE('R1'!L185,'R2'!L185,'R3'!L185)</f>
        <v>-3.5716831801061582</v>
      </c>
      <c r="F185">
        <f>AVERAGE('R1'!M185,'R2'!M185,'R3'!M185)</f>
        <v>-2.1253630883092103</v>
      </c>
      <c r="G185">
        <f>AVERAGE('R1'!N185,'R2'!N185,'R3'!N185)</f>
        <v>-2.727837327078996</v>
      </c>
      <c r="H185">
        <f>AVERAGE('R1'!O185,'R2'!O185,'R3'!O185)</f>
        <v>-1.6648259803457064</v>
      </c>
      <c r="I185">
        <f t="shared" si="6"/>
        <v>2191.9642305555558</v>
      </c>
      <c r="K185">
        <f>_xlfn.STDEV.S('R1'!L185,'R2'!L185,'R3'!L185)</f>
        <v>8.7389506581551452E-2</v>
      </c>
      <c r="L185">
        <f>_xlfn.STDEV.S('R1'!M185,'R2'!M185,'R3'!M185)</f>
        <v>2.8201493155517083E-2</v>
      </c>
      <c r="M185">
        <f>_xlfn.STDEV.S('R1'!N185,'R2'!N185,'R3'!N185)</f>
        <v>9.502716564209357E-2</v>
      </c>
      <c r="N185">
        <f>_xlfn.STDEV.S('R1'!O185,'R2'!O185,'R3'!O185)</f>
        <v>3.17133240932298E-2</v>
      </c>
    </row>
    <row r="186" spans="1:14" x14ac:dyDescent="0.25">
      <c r="A186">
        <f>-'R1'!H186</f>
        <v>12</v>
      </c>
      <c r="B186">
        <f>DEGREES(ATAN(-SIN(RADIANS(('R1'!I186)))/(COS(RADIANS(Sheet1!A186))*COS(RADIANS('R1'!I186)))))</f>
        <v>44.632773428056808</v>
      </c>
      <c r="C186">
        <f>AVERAGE('R1'!J186,'R2'!J186,'R3'!J186)</f>
        <v>1.1808333333333332</v>
      </c>
      <c r="D186">
        <f>AVERAGE('R1'!K186,'R2'!K186,'R3'!K186)</f>
        <v>11.20304975</v>
      </c>
      <c r="E186">
        <f>AVERAGE('R1'!L186,'R2'!L186,'R3'!L186)</f>
        <v>2.3950050220979802</v>
      </c>
      <c r="F186">
        <f>AVERAGE('R1'!M186,'R2'!M186,'R3'!M186)</f>
        <v>-1.2129584675646479</v>
      </c>
      <c r="G186">
        <f>AVERAGE('R1'!N186,'R2'!N186,'R3'!N186)</f>
        <v>-1.3650466904348491</v>
      </c>
      <c r="H186">
        <f>AVERAGE('R1'!O186,'R2'!O186,'R3'!O186)</f>
        <v>-1.0291296455640009</v>
      </c>
      <c r="I186">
        <f t="shared" si="6"/>
        <v>2204.8224299652775</v>
      </c>
      <c r="K186">
        <f>_xlfn.STDEV.S('R1'!L186,'R2'!L186,'R3'!L186)</f>
        <v>2.2786863065458831E-3</v>
      </c>
      <c r="L186">
        <f>_xlfn.STDEV.S('R1'!M186,'R2'!M186,'R3'!M186)</f>
        <v>2.1189845838232345E-3</v>
      </c>
      <c r="M186">
        <f>_xlfn.STDEV.S('R1'!N186,'R2'!N186,'R3'!N186)</f>
        <v>6.6918920988087724E-3</v>
      </c>
      <c r="N186">
        <f>_xlfn.STDEV.S('R1'!O186,'R2'!O186,'R3'!O186)</f>
        <v>1.2717868171599129E-2</v>
      </c>
    </row>
    <row r="187" spans="1:14" x14ac:dyDescent="0.25">
      <c r="A187">
        <f>-'R1'!H187</f>
        <v>12</v>
      </c>
      <c r="B187">
        <f>DEGREES(ATAN(-SIN(RADIANS(('R1'!I187)))/(COS(RADIANS(Sheet1!A187))*COS(RADIANS('R1'!I187)))))</f>
        <v>40.624498244732152</v>
      </c>
      <c r="C187">
        <f>AVERAGE('R1'!J187,'R2'!J187,'R3'!J187)</f>
        <v>1.1808333333333332</v>
      </c>
      <c r="D187">
        <f>AVERAGE('R1'!K187,'R2'!K187,'R3'!K187)</f>
        <v>11.262507083333333</v>
      </c>
      <c r="E187">
        <f>AVERAGE('R1'!L187,'R2'!L187,'R3'!L187)</f>
        <v>2.1231809667071504</v>
      </c>
      <c r="F187">
        <f>AVERAGE('R1'!M187,'R2'!M187,'R3'!M187)</f>
        <v>-1.1117601164015434</v>
      </c>
      <c r="G187">
        <f>AVERAGE('R1'!N187,'R2'!N187,'R3'!N187)</f>
        <v>-1.0708099058945029</v>
      </c>
      <c r="H187">
        <f>AVERAGE('R1'!O187,'R2'!O187,'R3'!O187)</f>
        <v>-0.79999786291778807</v>
      </c>
      <c r="I187">
        <f t="shared" si="6"/>
        <v>2216.5239634837958</v>
      </c>
      <c r="K187">
        <f>_xlfn.STDEV.S('R1'!L187,'R2'!L187,'R3'!L187)</f>
        <v>6.1807438489228737E-3</v>
      </c>
      <c r="L187">
        <f>_xlfn.STDEV.S('R1'!M187,'R2'!M187,'R3'!M187)</f>
        <v>3.0424385067593586E-3</v>
      </c>
      <c r="M187">
        <f>_xlfn.STDEV.S('R1'!N187,'R2'!N187,'R3'!N187)</f>
        <v>6.6423141955463585E-3</v>
      </c>
      <c r="N187">
        <f>_xlfn.STDEV.S('R1'!O187,'R2'!O187,'R3'!O187)</f>
        <v>1.0085983850476122E-2</v>
      </c>
    </row>
    <row r="188" spans="1:14" x14ac:dyDescent="0.25">
      <c r="A188">
        <f>-'R1'!H188</f>
        <v>12</v>
      </c>
      <c r="B188">
        <f>DEGREES(ATAN(-SIN(RADIANS(('R1'!I188)))/(COS(RADIANS(Sheet1!A188))*COS(RADIANS('R1'!I188)))))</f>
        <v>36.604002006988381</v>
      </c>
      <c r="C188">
        <f>AVERAGE('R1'!J188,'R2'!J188,'R3'!J188)</f>
        <v>1.18</v>
      </c>
      <c r="D188">
        <f>AVERAGE('R1'!K188,'R2'!K188,'R3'!K188)</f>
        <v>11.27946375</v>
      </c>
      <c r="E188">
        <f>AVERAGE('R1'!L188,'R2'!L188,'R3'!L188)</f>
        <v>1.900870724698839</v>
      </c>
      <c r="F188">
        <f>AVERAGE('R1'!M188,'R2'!M188,'R3'!M188)</f>
        <v>-1.0134694442358054</v>
      </c>
      <c r="G188">
        <f>AVERAGE('R1'!N188,'R2'!N188,'R3'!N188)</f>
        <v>-0.8368756442117965</v>
      </c>
      <c r="H188">
        <f>AVERAGE('R1'!O188,'R2'!O188,'R3'!O188)</f>
        <v>-0.59398803392756205</v>
      </c>
      <c r="I188">
        <f t="shared" si="6"/>
        <v>2218.2945374999999</v>
      </c>
      <c r="K188">
        <f>_xlfn.STDEV.S('R1'!L188,'R2'!L188,'R3'!L188)</f>
        <v>7.362723500865709E-3</v>
      </c>
      <c r="L188">
        <f>_xlfn.STDEV.S('R1'!M188,'R2'!M188,'R3'!M188)</f>
        <v>1.5112835427578351E-2</v>
      </c>
      <c r="M188">
        <f>_xlfn.STDEV.S('R1'!N188,'R2'!N188,'R3'!N188)</f>
        <v>1.1361718569965968E-2</v>
      </c>
      <c r="N188">
        <f>_xlfn.STDEV.S('R1'!O188,'R2'!O188,'R3'!O188)</f>
        <v>1.4737166781377892E-2</v>
      </c>
    </row>
    <row r="189" spans="1:14" x14ac:dyDescent="0.25">
      <c r="A189">
        <f>-'R1'!H189</f>
        <v>12</v>
      </c>
      <c r="B189">
        <f>DEGREES(ATAN(-SIN(RADIANS(('R1'!I189)))/(COS(RADIANS(Sheet1!A189))*COS(RADIANS('R1'!I189)))))</f>
        <v>32.571632726288172</v>
      </c>
      <c r="C189">
        <f>AVERAGE('R1'!J189,'R2'!J189,'R3'!J189)</f>
        <v>1.18</v>
      </c>
      <c r="D189">
        <f>AVERAGE('R1'!K189,'R2'!K189,'R3'!K189)</f>
        <v>11.319637166666666</v>
      </c>
      <c r="E189">
        <f>AVERAGE('R1'!L189,'R2'!L189,'R3'!L189)</f>
        <v>1.6996723371176092</v>
      </c>
      <c r="F189">
        <f>AVERAGE('R1'!M189,'R2'!M189,'R3'!M189)</f>
        <v>-0.95517356731617653</v>
      </c>
      <c r="G189">
        <f>AVERAGE('R1'!N189,'R2'!N189,'R3'!N189)</f>
        <v>-0.65656835326605256</v>
      </c>
      <c r="H189">
        <f>AVERAGE('R1'!O189,'R2'!O189,'R3'!O189)</f>
        <v>-0.41180646797515524</v>
      </c>
      <c r="I189">
        <f t="shared" si="6"/>
        <v>2226.1953094444443</v>
      </c>
      <c r="K189">
        <f>_xlfn.STDEV.S('R1'!L189,'R2'!L189,'R3'!L189)</f>
        <v>5.7655731124009518E-3</v>
      </c>
      <c r="L189">
        <f>_xlfn.STDEV.S('R1'!M189,'R2'!M189,'R3'!M189)</f>
        <v>5.8066189303169315E-3</v>
      </c>
      <c r="M189">
        <f>_xlfn.STDEV.S('R1'!N189,'R2'!N189,'R3'!N189)</f>
        <v>8.0769263116913306E-3</v>
      </c>
      <c r="N189">
        <f>_xlfn.STDEV.S('R1'!O189,'R2'!O189,'R3'!O189)</f>
        <v>6.2430949508613534E-3</v>
      </c>
    </row>
    <row r="190" spans="1:14" x14ac:dyDescent="0.25">
      <c r="A190">
        <f>-'R1'!H190</f>
        <v>12</v>
      </c>
      <c r="B190">
        <f>DEGREES(ATAN(-SIN(RADIANS(('R1'!I190)))/(COS(RADIANS(Sheet1!A190))*COS(RADIANS('R1'!I190)))))</f>
        <v>28.527978326363606</v>
      </c>
      <c r="C190">
        <f>AVERAGE('R1'!J190,'R2'!J190,'R3'!J190)</f>
        <v>1.1808333333333332</v>
      </c>
      <c r="D190">
        <f>AVERAGE('R1'!K190,'R2'!K190,'R3'!K190)</f>
        <v>11.361287583333331</v>
      </c>
      <c r="E190">
        <f>AVERAGE('R1'!L190,'R2'!L190,'R3'!L190)</f>
        <v>1.5102358357275032</v>
      </c>
      <c r="F190">
        <f>AVERAGE('R1'!M190,'R2'!M190,'R3'!M190)</f>
        <v>-0.91463256153640138</v>
      </c>
      <c r="G190">
        <f>AVERAGE('R1'!N190,'R2'!N190,'R3'!N190)</f>
        <v>-0.51089749377847682</v>
      </c>
      <c r="H190">
        <f>AVERAGE('R1'!O190,'R2'!O190,'R3'!O190)</f>
        <v>-0.23939338685662126</v>
      </c>
      <c r="I190">
        <f t="shared" si="6"/>
        <v>2235.9645146643511</v>
      </c>
      <c r="K190">
        <f>_xlfn.STDEV.S('R1'!L190,'R2'!L190,'R3'!L190)</f>
        <v>1.2484508568711675E-2</v>
      </c>
      <c r="L190">
        <f>_xlfn.STDEV.S('R1'!M190,'R2'!M190,'R3'!M190)</f>
        <v>5.7310380810250989E-3</v>
      </c>
      <c r="M190">
        <f>_xlfn.STDEV.S('R1'!N190,'R2'!N190,'R3'!N190)</f>
        <v>1.3126113035704875E-2</v>
      </c>
      <c r="N190">
        <f>_xlfn.STDEV.S('R1'!O190,'R2'!O190,'R3'!O190)</f>
        <v>1.1450907691210785E-2</v>
      </c>
    </row>
    <row r="191" spans="1:14" x14ac:dyDescent="0.25">
      <c r="A191">
        <f>-'R1'!H191</f>
        <v>12</v>
      </c>
      <c r="B191">
        <f>DEGREES(ATAN(-SIN(RADIANS(('R1'!I191)))/(COS(RADIANS(Sheet1!A191))*COS(RADIANS('R1'!I191)))))</f>
        <v>24.473858605038014</v>
      </c>
      <c r="C191">
        <f>AVERAGE('R1'!J191,'R2'!J191,'R3'!J191)</f>
        <v>1.1824999999999999</v>
      </c>
      <c r="D191">
        <f>AVERAGE('R1'!K191,'R2'!K191,'R3'!K191)</f>
        <v>11.358087583333335</v>
      </c>
      <c r="E191">
        <f>AVERAGE('R1'!L191,'R2'!L191,'R3'!L191)</f>
        <v>1.3262668145996501</v>
      </c>
      <c r="F191">
        <f>AVERAGE('R1'!M191,'R2'!M191,'R3'!M191)</f>
        <v>-0.87977595768526873</v>
      </c>
      <c r="G191">
        <f>AVERAGE('R1'!N191,'R2'!N191,'R3'!N191)</f>
        <v>-0.39014826075180292</v>
      </c>
      <c r="H191">
        <f>AVERAGE('R1'!O191,'R2'!O191,'R3'!O191)</f>
        <v>-7.1406174542699999E-2</v>
      </c>
      <c r="I191">
        <f t="shared" si="6"/>
        <v>2238.4897612152777</v>
      </c>
      <c r="K191">
        <f>_xlfn.STDEV.S('R1'!L191,'R2'!L191,'R3'!L191)</f>
        <v>5.1941193024024092E-3</v>
      </c>
      <c r="L191">
        <f>_xlfn.STDEV.S('R1'!M191,'R2'!M191,'R3'!M191)</f>
        <v>6.7280144432398511E-3</v>
      </c>
      <c r="M191">
        <f>_xlfn.STDEV.S('R1'!N191,'R2'!N191,'R3'!N191)</f>
        <v>1.2478388134277298E-2</v>
      </c>
      <c r="N191">
        <f>_xlfn.STDEV.S('R1'!O191,'R2'!O191,'R3'!O191)</f>
        <v>8.9704542742271645E-3</v>
      </c>
    </row>
    <row r="192" spans="1:14" x14ac:dyDescent="0.25">
      <c r="A192">
        <f>-'R1'!H192</f>
        <v>12</v>
      </c>
      <c r="B192">
        <f>DEGREES(ATAN(-SIN(RADIANS(('R1'!I192)))/(COS(RADIANS(Sheet1!A192))*COS(RADIANS('R1'!I192)))))</f>
        <v>20.410311753659691</v>
      </c>
      <c r="C192">
        <f>AVERAGE('R1'!J192,'R2'!J192,'R3'!J192)</f>
        <v>1.18</v>
      </c>
      <c r="D192">
        <f>AVERAGE('R1'!K192,'R2'!K192,'R3'!K192)</f>
        <v>11.413262666666666</v>
      </c>
      <c r="E192">
        <f>AVERAGE('R1'!L192,'R2'!L192,'R3'!L192)</f>
        <v>1.117107749933915</v>
      </c>
      <c r="F192">
        <f>AVERAGE('R1'!M192,'R2'!M192,'R3'!M192)</f>
        <v>-0.88667435296696839</v>
      </c>
      <c r="G192">
        <f>AVERAGE('R1'!N192,'R2'!N192,'R3'!N192)</f>
        <v>-0.29189099555733516</v>
      </c>
      <c r="H192">
        <f>AVERAGE('R1'!O192,'R2'!O192,'R3'!O192)</f>
        <v>8.2884398782063148E-2</v>
      </c>
      <c r="I192">
        <f t="shared" si="6"/>
        <v>2244.6083244444444</v>
      </c>
      <c r="K192">
        <f>_xlfn.STDEV.S('R1'!L192,'R2'!L192,'R3'!L192)</f>
        <v>1.2297856731369503E-2</v>
      </c>
      <c r="L192">
        <f>_xlfn.STDEV.S('R1'!M192,'R2'!M192,'R3'!M192)</f>
        <v>1.1981349547113943E-2</v>
      </c>
      <c r="M192">
        <f>_xlfn.STDEV.S('R1'!N192,'R2'!N192,'R3'!N192)</f>
        <v>1.1661086142897466E-2</v>
      </c>
      <c r="N192">
        <f>_xlfn.STDEV.S('R1'!O192,'R2'!O192,'R3'!O192)</f>
        <v>9.9161978799857213E-3</v>
      </c>
    </row>
    <row r="193" spans="1:14" x14ac:dyDescent="0.25">
      <c r="A193">
        <f>-'R1'!H193</f>
        <v>12</v>
      </c>
      <c r="B193">
        <f>DEGREES(ATAN(-SIN(RADIANS(('R1'!I193)))/(COS(RADIANS(Sheet1!A193))*COS(RADIANS('R1'!I193)))))</f>
        <v>16.338575476506957</v>
      </c>
      <c r="C193">
        <f>AVERAGE('R1'!J193,'R2'!J193,'R3'!J193)</f>
        <v>1.18</v>
      </c>
      <c r="D193">
        <f>AVERAGE('R1'!K193,'R2'!K193,'R3'!K193)</f>
        <v>11.438963833333334</v>
      </c>
      <c r="E193">
        <f>AVERAGE('R1'!L193,'R2'!L193,'R3'!L193)</f>
        <v>0.90222385329884036</v>
      </c>
      <c r="F193">
        <f>AVERAGE('R1'!M193,'R2'!M193,'R3'!M193)</f>
        <v>-0.90371396866383347</v>
      </c>
      <c r="G193">
        <f>AVERAGE('R1'!N193,'R2'!N193,'R3'!N193)</f>
        <v>-0.21210041279980663</v>
      </c>
      <c r="H193">
        <f>AVERAGE('R1'!O193,'R2'!O193,'R3'!O193)</f>
        <v>0.22205557513180518</v>
      </c>
      <c r="I193">
        <f t="shared" si="6"/>
        <v>2249.6628872222223</v>
      </c>
      <c r="K193">
        <f>_xlfn.STDEV.S('R1'!L193,'R2'!L193,'R3'!L193)</f>
        <v>8.6359217355778742E-3</v>
      </c>
      <c r="L193">
        <f>_xlfn.STDEV.S('R1'!M193,'R2'!M193,'R3'!M193)</f>
        <v>5.8834599079464183E-3</v>
      </c>
      <c r="M193">
        <f>_xlfn.STDEV.S('R1'!N193,'R2'!N193,'R3'!N193)</f>
        <v>1.3949420032852492E-2</v>
      </c>
      <c r="N193">
        <f>_xlfn.STDEV.S('R1'!O193,'R2'!O193,'R3'!O193)</f>
        <v>5.2876558063712819E-3</v>
      </c>
    </row>
    <row r="194" spans="1:14" x14ac:dyDescent="0.25">
      <c r="A194">
        <f>-'R1'!H194</f>
        <v>12</v>
      </c>
      <c r="B194">
        <f>DEGREES(ATAN(-SIN(RADIANS(('R1'!I194)))/(COS(RADIANS(Sheet1!A194))*COS(RADIANS('R1'!I194)))))</f>
        <v>12.260062948059348</v>
      </c>
      <c r="C194">
        <f>AVERAGE('R1'!J194,'R2'!J194,'R3'!J194)</f>
        <v>1.18</v>
      </c>
      <c r="D194">
        <f>AVERAGE('R1'!K194,'R2'!K194,'R3'!K194)</f>
        <v>11.455414666666668</v>
      </c>
      <c r="E194">
        <f>AVERAGE('R1'!L194,'R2'!L194,'R3'!L194)</f>
        <v>0.68284814670749439</v>
      </c>
      <c r="F194">
        <f>AVERAGE('R1'!M194,'R2'!M194,'R3'!M194)</f>
        <v>-0.9361748950377512</v>
      </c>
      <c r="G194">
        <f>AVERAGE('R1'!N194,'R2'!N194,'R3'!N194)</f>
        <v>-0.15598346799247806</v>
      </c>
      <c r="H194">
        <f>AVERAGE('R1'!O194,'R2'!O194,'R3'!O194)</f>
        <v>0.3430043442346758</v>
      </c>
      <c r="I194">
        <f t="shared" si="6"/>
        <v>2252.898217777778</v>
      </c>
      <c r="K194">
        <f>_xlfn.STDEV.S('R1'!L194,'R2'!L194,'R3'!L194)</f>
        <v>6.2174528159912616E-3</v>
      </c>
      <c r="L194">
        <f>_xlfn.STDEV.S('R1'!M194,'R2'!M194,'R3'!M194)</f>
        <v>5.3522193441018079E-3</v>
      </c>
      <c r="M194">
        <f>_xlfn.STDEV.S('R1'!N194,'R2'!N194,'R3'!N194)</f>
        <v>9.9799396381578514E-3</v>
      </c>
      <c r="N194">
        <f>_xlfn.STDEV.S('R1'!O194,'R2'!O194,'R3'!O194)</f>
        <v>5.1043466267005327E-3</v>
      </c>
    </row>
    <row r="195" spans="1:14" x14ac:dyDescent="0.25">
      <c r="A195">
        <f>-'R1'!H195</f>
        <v>12</v>
      </c>
      <c r="B195">
        <f>DEGREES(ATAN(-SIN(RADIANS(('R1'!I195)))/(COS(RADIANS(Sheet1!A195))*COS(RADIANS('R1'!I195)))))</f>
        <v>8.1763340518815415</v>
      </c>
      <c r="C195">
        <f>AVERAGE('R1'!J195,'R2'!J195,'R3'!J195)</f>
        <v>1.18</v>
      </c>
      <c r="D195">
        <f>AVERAGE('R1'!K195,'R2'!K195,'R3'!K195)</f>
        <v>11.503085499999999</v>
      </c>
      <c r="E195">
        <f>AVERAGE('R1'!L195,'R2'!L195,'R3'!L195)</f>
        <v>0.44866645302734121</v>
      </c>
      <c r="F195">
        <f>AVERAGE('R1'!M195,'R2'!M195,'R3'!M195)</f>
        <v>-0.97041250056905348</v>
      </c>
      <c r="G195">
        <f>AVERAGE('R1'!N195,'R2'!N195,'R3'!N195)</f>
        <v>-0.1170708811329557</v>
      </c>
      <c r="H195">
        <f>AVERAGE('R1'!O195,'R2'!O195,'R3'!O195)</f>
        <v>0.46594867296013964</v>
      </c>
      <c r="I195">
        <f t="shared" ref="I195:I258" si="7">10^5*C195*D195*0.003/1.8</f>
        <v>2262.2734816666666</v>
      </c>
      <c r="K195">
        <f>_xlfn.STDEV.S('R1'!L195,'R2'!L195,'R3'!L195)</f>
        <v>9.3894660369233107E-3</v>
      </c>
      <c r="L195">
        <f>_xlfn.STDEV.S('R1'!M195,'R2'!M195,'R3'!M195)</f>
        <v>1.3150081475207385E-2</v>
      </c>
      <c r="M195">
        <f>_xlfn.STDEV.S('R1'!N195,'R2'!N195,'R3'!N195)</f>
        <v>9.1127828087645552E-3</v>
      </c>
      <c r="N195">
        <f>_xlfn.STDEV.S('R1'!O195,'R2'!O195,'R3'!O195)</f>
        <v>6.3183008662375563E-3</v>
      </c>
    </row>
    <row r="196" spans="1:14" x14ac:dyDescent="0.25">
      <c r="A196">
        <f>-'R1'!H196</f>
        <v>12</v>
      </c>
      <c r="B196">
        <f>DEGREES(ATAN(-SIN(RADIANS(('R1'!I196)))/(COS(RADIANS(Sheet1!A196))*COS(RADIANS('R1'!I196)))))</f>
        <v>4.0890625478299265</v>
      </c>
      <c r="C196">
        <f>AVERAGE('R1'!J196,'R2'!J196,'R3'!J196)</f>
        <v>1.18</v>
      </c>
      <c r="D196">
        <f>AVERAGE('R1'!K196,'R2'!K196,'R3'!K196)</f>
        <v>11.505248333333332</v>
      </c>
      <c r="E196">
        <f>AVERAGE('R1'!L196,'R2'!L196,'R3'!L196)</f>
        <v>0.17592985036491016</v>
      </c>
      <c r="F196">
        <f>AVERAGE('R1'!M196,'R2'!M196,'R3'!M196)</f>
        <v>-1.0365367144573188</v>
      </c>
      <c r="G196">
        <f>AVERAGE('R1'!N196,'R2'!N196,'R3'!N196)</f>
        <v>-0.1067299363570931</v>
      </c>
      <c r="H196">
        <f>AVERAGE('R1'!O196,'R2'!O196,'R3'!O196)</f>
        <v>0.58362930285611447</v>
      </c>
      <c r="I196">
        <f t="shared" si="7"/>
        <v>2262.6988388888885</v>
      </c>
      <c r="K196">
        <f>_xlfn.STDEV.S('R1'!L196,'R2'!L196,'R3'!L196)</f>
        <v>5.1067325398268925E-3</v>
      </c>
      <c r="L196">
        <f>_xlfn.STDEV.S('R1'!M196,'R2'!M196,'R3'!M196)</f>
        <v>1.5367334190173776E-3</v>
      </c>
      <c r="M196">
        <f>_xlfn.STDEV.S('R1'!N196,'R2'!N196,'R3'!N196)</f>
        <v>5.5607286098743628E-3</v>
      </c>
      <c r="N196">
        <f>_xlfn.STDEV.S('R1'!O196,'R2'!O196,'R3'!O196)</f>
        <v>5.6183566586585007E-3</v>
      </c>
    </row>
    <row r="197" spans="1:14" x14ac:dyDescent="0.25">
      <c r="A197">
        <f>-'R1'!H197</f>
        <v>12</v>
      </c>
      <c r="B197">
        <f>DEGREES(ATAN(-SIN(RADIANS(('R1'!I197)))/(COS(RADIANS(Sheet1!A197))*COS(RADIANS('R1'!I197)))))</f>
        <v>0</v>
      </c>
      <c r="C197">
        <f>AVERAGE('R1'!J197,'R2'!J197,'R3'!J197)</f>
        <v>1.18</v>
      </c>
      <c r="D197">
        <f>AVERAGE('R1'!K197,'R2'!K197,'R3'!K197)</f>
        <v>11.530939583333334</v>
      </c>
      <c r="E197">
        <f>AVERAGE('R1'!L197,'R2'!L197,'R3'!L197)</f>
        <v>-0.11404068952535144</v>
      </c>
      <c r="F197">
        <f>AVERAGE('R1'!M197,'R2'!M197,'R3'!M197)</f>
        <v>-1.0441029504156429</v>
      </c>
      <c r="G197">
        <f>AVERAGE('R1'!N197,'R2'!N197,'R3'!N197)</f>
        <v>-0.10215239424633084</v>
      </c>
      <c r="H197">
        <f>AVERAGE('R1'!O197,'R2'!O197,'R3'!O197)</f>
        <v>0.61103783207126872</v>
      </c>
      <c r="I197">
        <f t="shared" si="7"/>
        <v>2267.7514513888891</v>
      </c>
      <c r="K197">
        <f>_xlfn.STDEV.S('R1'!L197,'R2'!L197,'R3'!L197)</f>
        <v>6.4259474170997814E-3</v>
      </c>
      <c r="L197">
        <f>_xlfn.STDEV.S('R1'!M197,'R2'!M197,'R3'!M197)</f>
        <v>1.0527968507460756E-2</v>
      </c>
      <c r="M197">
        <f>_xlfn.STDEV.S('R1'!N197,'R2'!N197,'R3'!N197)</f>
        <v>6.6532574950797316E-3</v>
      </c>
      <c r="N197">
        <f>_xlfn.STDEV.S('R1'!O197,'R2'!O197,'R3'!O197)</f>
        <v>9.8854574878273274E-3</v>
      </c>
    </row>
    <row r="198" spans="1:14" x14ac:dyDescent="0.25">
      <c r="A198">
        <f>-'R1'!H198</f>
        <v>12</v>
      </c>
      <c r="B198">
        <f>DEGREES(ATAN(-SIN(RADIANS(('R1'!I198)))/(COS(RADIANS(Sheet1!A198))*COS(RADIANS('R1'!I198)))))</f>
        <v>-4.0890625478299265</v>
      </c>
      <c r="C198">
        <f>AVERAGE('R1'!J198,'R2'!J198,'R3'!J198)</f>
        <v>1.1808333333333332</v>
      </c>
      <c r="D198">
        <f>AVERAGE('R1'!K198,'R2'!K198,'R3'!K198)</f>
        <v>11.574650916666668</v>
      </c>
      <c r="E198">
        <f>AVERAGE('R1'!L198,'R2'!L198,'R3'!L198)</f>
        <v>-0.38162118622300145</v>
      </c>
      <c r="F198">
        <f>AVERAGE('R1'!M198,'R2'!M198,'R3'!M198)</f>
        <v>-0.96587032290077424</v>
      </c>
      <c r="G198">
        <f>AVERAGE('R1'!N198,'R2'!N198,'R3'!N198)</f>
        <v>-0.10631584645468023</v>
      </c>
      <c r="H198">
        <f>AVERAGE('R1'!O198,'R2'!O198,'R3'!O198)</f>
        <v>0.51383371841862668</v>
      </c>
      <c r="I198">
        <f t="shared" si="7"/>
        <v>2277.9556040162033</v>
      </c>
      <c r="K198">
        <f>_xlfn.STDEV.S('R1'!L198,'R2'!L198,'R3'!L198)</f>
        <v>3.2120107633092109E-3</v>
      </c>
      <c r="L198">
        <f>_xlfn.STDEV.S('R1'!M198,'R2'!M198,'R3'!M198)</f>
        <v>3.594087392176495E-3</v>
      </c>
      <c r="M198">
        <f>_xlfn.STDEV.S('R1'!N198,'R2'!N198,'R3'!N198)</f>
        <v>8.8372180062170694E-3</v>
      </c>
      <c r="N198">
        <f>_xlfn.STDEV.S('R1'!O198,'R2'!O198,'R3'!O198)</f>
        <v>5.7953393387984086E-3</v>
      </c>
    </row>
    <row r="199" spans="1:14" x14ac:dyDescent="0.25">
      <c r="A199">
        <f>-'R1'!H199</f>
        <v>12</v>
      </c>
      <c r="B199">
        <f>DEGREES(ATAN(-SIN(RADIANS(('R1'!I199)))/(COS(RADIANS(Sheet1!A199))*COS(RADIANS('R1'!I199)))))</f>
        <v>-8.1763340518815415</v>
      </c>
      <c r="C199">
        <f>AVERAGE('R1'!J199,'R2'!J199,'R3'!J199)</f>
        <v>1.18</v>
      </c>
      <c r="D199">
        <f>AVERAGE('R1'!K199,'R2'!K199,'R3'!K199)</f>
        <v>11.580488416666666</v>
      </c>
      <c r="E199">
        <f>AVERAGE('R1'!L199,'R2'!L199,'R3'!L199)</f>
        <v>-0.6280925482859302</v>
      </c>
      <c r="F199">
        <f>AVERAGE('R1'!M199,'R2'!M199,'R3'!M199)</f>
        <v>-0.88925067948920888</v>
      </c>
      <c r="G199">
        <f>AVERAGE('R1'!N199,'R2'!N199,'R3'!N199)</f>
        <v>-0.13197888171259239</v>
      </c>
      <c r="H199">
        <f>AVERAGE('R1'!O199,'R2'!O199,'R3'!O199)</f>
        <v>0.42199384610790064</v>
      </c>
      <c r="I199">
        <f t="shared" si="7"/>
        <v>2277.4960552777779</v>
      </c>
      <c r="K199">
        <f>_xlfn.STDEV.S('R1'!L199,'R2'!L199,'R3'!L199)</f>
        <v>6.9989381783379075E-3</v>
      </c>
      <c r="L199">
        <f>_xlfn.STDEV.S('R1'!M199,'R2'!M199,'R3'!M199)</f>
        <v>4.047029712602181E-3</v>
      </c>
      <c r="M199">
        <f>_xlfn.STDEV.S('R1'!N199,'R2'!N199,'R3'!N199)</f>
        <v>6.5132547974843533E-3</v>
      </c>
      <c r="N199">
        <f>_xlfn.STDEV.S('R1'!O199,'R2'!O199,'R3'!O199)</f>
        <v>4.9640835850183742E-3</v>
      </c>
    </row>
    <row r="200" spans="1:14" x14ac:dyDescent="0.25">
      <c r="A200">
        <f>-'R1'!H200</f>
        <v>12</v>
      </c>
      <c r="B200">
        <f>DEGREES(ATAN(-SIN(RADIANS(('R1'!I200)))/(COS(RADIANS(Sheet1!A200))*COS(RADIANS('R1'!I200)))))</f>
        <v>-12.260062948059348</v>
      </c>
      <c r="C200">
        <f>AVERAGE('R1'!J200,'R2'!J200,'R3'!J200)</f>
        <v>1.18</v>
      </c>
      <c r="D200">
        <f>AVERAGE('R1'!K200,'R2'!K200,'R3'!K200)</f>
        <v>11.613883583333333</v>
      </c>
      <c r="E200">
        <f>AVERAGE('R1'!L200,'R2'!L200,'R3'!L200)</f>
        <v>-0.86083583324912871</v>
      </c>
      <c r="F200">
        <f>AVERAGE('R1'!M200,'R2'!M200,'R3'!M200)</f>
        <v>-0.83970962189338449</v>
      </c>
      <c r="G200">
        <f>AVERAGE('R1'!N200,'R2'!N200,'R3'!N200)</f>
        <v>-0.18376410341187585</v>
      </c>
      <c r="H200">
        <f>AVERAGE('R1'!O200,'R2'!O200,'R3'!O200)</f>
        <v>0.31936760150108601</v>
      </c>
      <c r="I200">
        <f t="shared" si="7"/>
        <v>2284.0637713888887</v>
      </c>
      <c r="K200">
        <f>_xlfn.STDEV.S('R1'!L200,'R2'!L200,'R3'!L200)</f>
        <v>7.2535996794346712E-3</v>
      </c>
      <c r="L200">
        <f>_xlfn.STDEV.S('R1'!M200,'R2'!M200,'R3'!M200)</f>
        <v>4.4107762968330242E-3</v>
      </c>
      <c r="M200">
        <f>_xlfn.STDEV.S('R1'!N200,'R2'!N200,'R3'!N200)</f>
        <v>4.0788974330275484E-3</v>
      </c>
      <c r="N200">
        <f>_xlfn.STDEV.S('R1'!O200,'R2'!O200,'R3'!O200)</f>
        <v>1.073966303404798E-2</v>
      </c>
    </row>
    <row r="201" spans="1:14" x14ac:dyDescent="0.25">
      <c r="A201">
        <f>-'R1'!H201</f>
        <v>12</v>
      </c>
      <c r="B201">
        <f>DEGREES(ATAN(-SIN(RADIANS(('R1'!I201)))/(COS(RADIANS(Sheet1!A201))*COS(RADIANS('R1'!I201)))))</f>
        <v>-16.338575476506957</v>
      </c>
      <c r="C201">
        <f>AVERAGE('R1'!J201,'R2'!J201,'R3'!J201)</f>
        <v>1.1816666666666666</v>
      </c>
      <c r="D201">
        <f>AVERAGE('R1'!K201,'R2'!K201,'R3'!K201)</f>
        <v>11.598186583333336</v>
      </c>
      <c r="E201">
        <f>AVERAGE('R1'!L201,'R2'!L201,'R3'!L201)</f>
        <v>-1.0908217314152304</v>
      </c>
      <c r="F201">
        <f>AVERAGE('R1'!M201,'R2'!M201,'R3'!M201)</f>
        <v>-0.81309583174544231</v>
      </c>
      <c r="G201">
        <f>AVERAGE('R1'!N201,'R2'!N201,'R3'!N201)</f>
        <v>-0.2664260965720468</v>
      </c>
      <c r="H201">
        <f>AVERAGE('R1'!O201,'R2'!O201,'R3'!O201)</f>
        <v>0.20040117413193403</v>
      </c>
      <c r="I201">
        <f t="shared" si="7"/>
        <v>2284.198413217593</v>
      </c>
      <c r="K201">
        <f>_xlfn.STDEV.S('R1'!L201,'R2'!L201,'R3'!L201)</f>
        <v>4.5231426834916435E-3</v>
      </c>
      <c r="L201">
        <f>_xlfn.STDEV.S('R1'!M201,'R2'!M201,'R3'!M201)</f>
        <v>1.4677517870730069E-2</v>
      </c>
      <c r="M201">
        <f>_xlfn.STDEV.S('R1'!N201,'R2'!N201,'R3'!N201)</f>
        <v>1.2933872291284414E-2</v>
      </c>
      <c r="N201">
        <f>_xlfn.STDEV.S('R1'!O201,'R2'!O201,'R3'!O201)</f>
        <v>1.586360981239774E-2</v>
      </c>
    </row>
    <row r="202" spans="1:14" x14ac:dyDescent="0.25">
      <c r="A202">
        <f>-'R1'!H202</f>
        <v>12</v>
      </c>
      <c r="B202">
        <f>DEGREES(ATAN(-SIN(RADIANS(('R1'!I202)))/(COS(RADIANS(Sheet1!A202))*COS(RADIANS('R1'!I202)))))</f>
        <v>-20.410311753659691</v>
      </c>
      <c r="C202">
        <f>AVERAGE('R1'!J202,'R2'!J202,'R3'!J202)</f>
        <v>1.1833333333333333</v>
      </c>
      <c r="D202">
        <f>AVERAGE('R1'!K202,'R2'!K202,'R3'!K202)</f>
        <v>11.50286425</v>
      </c>
      <c r="E202">
        <f>AVERAGE('R1'!L202,'R2'!L202,'R3'!L202)</f>
        <v>-1.3132996422416821</v>
      </c>
      <c r="F202">
        <f>AVERAGE('R1'!M202,'R2'!M202,'R3'!M202)</f>
        <v>-0.84385319685546067</v>
      </c>
      <c r="G202">
        <f>AVERAGE('R1'!N202,'R2'!N202,'R3'!N202)</f>
        <v>-0.39802042355030082</v>
      </c>
      <c r="H202">
        <f>AVERAGE('R1'!O202,'R2'!O202,'R3'!O202)</f>
        <v>5.9498383017650265E-2</v>
      </c>
      <c r="I202">
        <f t="shared" si="7"/>
        <v>2268.6204493055557</v>
      </c>
      <c r="K202">
        <f>_xlfn.STDEV.S('R1'!L202,'R2'!L202,'R3'!L202)</f>
        <v>1.1692618718660329E-2</v>
      </c>
      <c r="L202">
        <f>_xlfn.STDEV.S('R1'!M202,'R2'!M202,'R3'!M202)</f>
        <v>7.3391888997074934E-3</v>
      </c>
      <c r="M202">
        <f>_xlfn.STDEV.S('R1'!N202,'R2'!N202,'R3'!N202)</f>
        <v>8.7450554726750881E-3</v>
      </c>
      <c r="N202">
        <f>_xlfn.STDEV.S('R1'!O202,'R2'!O202,'R3'!O202)</f>
        <v>9.5237641552909248E-3</v>
      </c>
    </row>
    <row r="203" spans="1:14" x14ac:dyDescent="0.25">
      <c r="A203">
        <f>-'R1'!H203</f>
        <v>12</v>
      </c>
      <c r="B203">
        <f>DEGREES(ATAN(-SIN(RADIANS(('R1'!I203)))/(COS(RADIANS(Sheet1!A203))*COS(RADIANS('R1'!I203)))))</f>
        <v>-24.473858605038014</v>
      </c>
      <c r="C203">
        <f>AVERAGE('R1'!J203,'R2'!J203,'R3'!J203)</f>
        <v>1.1808333333333332</v>
      </c>
      <c r="D203">
        <f>AVERAGE('R1'!K203,'R2'!K203,'R3'!K203)</f>
        <v>11.457635916666666</v>
      </c>
      <c r="E203">
        <f>AVERAGE('R1'!L203,'R2'!L203,'R3'!L203)</f>
        <v>-1.5460370790342086</v>
      </c>
      <c r="F203">
        <f>AVERAGE('R1'!M203,'R2'!M203,'R3'!M203)</f>
        <v>-0.89761053199214225</v>
      </c>
      <c r="G203">
        <f>AVERAGE('R1'!N203,'R2'!N203,'R3'!N203)</f>
        <v>-0.56052021300032884</v>
      </c>
      <c r="H203">
        <f>AVERAGE('R1'!O203,'R2'!O203,'R3'!O203)</f>
        <v>-0.10956665089535077</v>
      </c>
      <c r="I203">
        <f t="shared" si="7"/>
        <v>2254.9264019328698</v>
      </c>
      <c r="K203">
        <f>_xlfn.STDEV.S('R1'!L203,'R2'!L203,'R3'!L203)</f>
        <v>4.1351362747714645E-3</v>
      </c>
      <c r="L203">
        <f>_xlfn.STDEV.S('R1'!M203,'R2'!M203,'R3'!M203)</f>
        <v>1.1258065484618086E-2</v>
      </c>
      <c r="M203">
        <f>_xlfn.STDEV.S('R1'!N203,'R2'!N203,'R3'!N203)</f>
        <v>1.0514775105513382E-2</v>
      </c>
      <c r="N203">
        <f>_xlfn.STDEV.S('R1'!O203,'R2'!O203,'R3'!O203)</f>
        <v>2.9242097427714608E-3</v>
      </c>
    </row>
    <row r="204" spans="1:14" x14ac:dyDescent="0.25">
      <c r="A204">
        <f>-'R1'!H204</f>
        <v>12</v>
      </c>
      <c r="B204">
        <f>DEGREES(ATAN(-SIN(RADIANS(('R1'!I204)))/(COS(RADIANS(Sheet1!A204))*COS(RADIANS('R1'!I204)))))</f>
        <v>-28.527978326363606</v>
      </c>
      <c r="C204">
        <f>AVERAGE('R1'!J204,'R2'!J204,'R3'!J204)</f>
        <v>1.18</v>
      </c>
      <c r="D204">
        <f>AVERAGE('R1'!K204,'R2'!K204,'R3'!K204)</f>
        <v>11.305031</v>
      </c>
      <c r="E204">
        <f>AVERAGE('R1'!L204,'R2'!L204,'R3'!L204)</f>
        <v>-1.8095813757312496</v>
      </c>
      <c r="F204">
        <f>AVERAGE('R1'!M204,'R2'!M204,'R3'!M204)</f>
        <v>-0.96451952778832128</v>
      </c>
      <c r="G204">
        <f>AVERAGE('R1'!N204,'R2'!N204,'R3'!N204)</f>
        <v>-0.76927549674766504</v>
      </c>
      <c r="H204">
        <f>AVERAGE('R1'!O204,'R2'!O204,'R3'!O204)</f>
        <v>-0.2983008461588208</v>
      </c>
      <c r="I204">
        <f t="shared" si="7"/>
        <v>2223.3227633333331</v>
      </c>
      <c r="K204">
        <f>_xlfn.STDEV.S('R1'!L204,'R2'!L204,'R3'!L204)</f>
        <v>3.4125787719767667E-3</v>
      </c>
      <c r="L204">
        <f>_xlfn.STDEV.S('R1'!M204,'R2'!M204,'R3'!M204)</f>
        <v>5.0915608391252946E-3</v>
      </c>
      <c r="M204">
        <f>_xlfn.STDEV.S('R1'!N204,'R2'!N204,'R3'!N204)</f>
        <v>3.8355468863008313E-3</v>
      </c>
      <c r="N204">
        <f>_xlfn.STDEV.S('R1'!O204,'R2'!O204,'R3'!O204)</f>
        <v>5.8979802802030887E-3</v>
      </c>
    </row>
    <row r="205" spans="1:14" x14ac:dyDescent="0.25">
      <c r="A205">
        <f>-'R1'!H205</f>
        <v>12</v>
      </c>
      <c r="B205">
        <f>DEGREES(ATAN(-SIN(RADIANS(('R1'!I205)))/(COS(RADIANS(Sheet1!A205))*COS(RADIANS('R1'!I205)))))</f>
        <v>-32.571632726288172</v>
      </c>
      <c r="C205">
        <f>AVERAGE('R1'!J205,'R2'!J205,'R3'!J205)</f>
        <v>1.18</v>
      </c>
      <c r="D205">
        <f>AVERAGE('R1'!K205,'R2'!K205,'R3'!K205)</f>
        <v>11.214983500000001</v>
      </c>
      <c r="E205">
        <f>AVERAGE('R1'!L205,'R2'!L205,'R3'!L205)</f>
        <v>-2.1382117414219337</v>
      </c>
      <c r="F205">
        <f>AVERAGE('R1'!M205,'R2'!M205,'R3'!M205)</f>
        <v>-1.083998380081949</v>
      </c>
      <c r="G205">
        <f>AVERAGE('R1'!N205,'R2'!N205,'R3'!N205)</f>
        <v>-1.0636429781998908</v>
      </c>
      <c r="H205">
        <f>AVERAGE('R1'!O205,'R2'!O205,'R3'!O205)</f>
        <v>-0.52655256288668573</v>
      </c>
      <c r="I205">
        <f t="shared" si="7"/>
        <v>2205.6134216666669</v>
      </c>
      <c r="K205">
        <f>_xlfn.STDEV.S('R1'!L205,'R2'!L205,'R3'!L205)</f>
        <v>1.4986667238111697E-2</v>
      </c>
      <c r="L205">
        <f>_xlfn.STDEV.S('R1'!M205,'R2'!M205,'R3'!M205)</f>
        <v>4.5397640250005441E-3</v>
      </c>
      <c r="M205">
        <f>_xlfn.STDEV.S('R1'!N205,'R2'!N205,'R3'!N205)</f>
        <v>2.2218298530509554E-2</v>
      </c>
      <c r="N205">
        <f>_xlfn.STDEV.S('R1'!O205,'R2'!O205,'R3'!O205)</f>
        <v>8.4975527370949201E-3</v>
      </c>
    </row>
    <row r="206" spans="1:14" x14ac:dyDescent="0.25">
      <c r="A206">
        <f>-'R1'!H206</f>
        <v>12</v>
      </c>
      <c r="B206">
        <f>DEGREES(ATAN(-SIN(RADIANS(('R1'!I206)))/(COS(RADIANS(Sheet1!A206))*COS(RADIANS('R1'!I206)))))</f>
        <v>-36.604002006988381</v>
      </c>
      <c r="C206">
        <f>AVERAGE('R1'!J206,'R2'!J206,'R3'!J206)</f>
        <v>1.18</v>
      </c>
      <c r="D206">
        <f>AVERAGE('R1'!K206,'R2'!K206,'R3'!K206)</f>
        <v>11.228462499999999</v>
      </c>
      <c r="E206">
        <f>AVERAGE('R1'!L206,'R2'!L206,'R3'!L206)</f>
        <v>-2.5700088006326864</v>
      </c>
      <c r="F206">
        <f>AVERAGE('R1'!M206,'R2'!M206,'R3'!M206)</f>
        <v>-1.2613041797559876</v>
      </c>
      <c r="G206">
        <f>AVERAGE('R1'!N206,'R2'!N206,'R3'!N206)</f>
        <v>-1.4816617639346266</v>
      </c>
      <c r="H206">
        <f>AVERAGE('R1'!O206,'R2'!O206,'R3'!O206)</f>
        <v>-0.80399542881188246</v>
      </c>
      <c r="I206">
        <f t="shared" si="7"/>
        <v>2208.2642916666664</v>
      </c>
      <c r="K206">
        <f>_xlfn.STDEV.S('R1'!L206,'R2'!L206,'R3'!L206)</f>
        <v>4.7915488323414862E-3</v>
      </c>
      <c r="L206">
        <f>_xlfn.STDEV.S('R1'!M206,'R2'!M206,'R3'!M206)</f>
        <v>1.1413509063288496E-2</v>
      </c>
      <c r="M206">
        <f>_xlfn.STDEV.S('R1'!N206,'R2'!N206,'R3'!N206)</f>
        <v>1.3575120462908572E-2</v>
      </c>
      <c r="N206">
        <f>_xlfn.STDEV.S('R1'!O206,'R2'!O206,'R3'!O206)</f>
        <v>5.9226606293488982E-3</v>
      </c>
    </row>
    <row r="207" spans="1:14" x14ac:dyDescent="0.25">
      <c r="A207">
        <f>-'R1'!H207</f>
        <v>12</v>
      </c>
      <c r="B207">
        <f>DEGREES(ATAN(-SIN(RADIANS(('R1'!I207)))/(COS(RADIANS(Sheet1!A207))*COS(RADIANS('R1'!I207)))))</f>
        <v>-40.624498244732152</v>
      </c>
      <c r="C207">
        <f>AVERAGE('R1'!J207,'R2'!J207,'R3'!J207)</f>
        <v>1.1824999999999999</v>
      </c>
      <c r="D207">
        <f>AVERAGE('R1'!K207,'R2'!K207,'R3'!K207)</f>
        <v>11.162712750000003</v>
      </c>
      <c r="E207">
        <f>AVERAGE('R1'!L207,'R2'!L207,'R3'!L207)</f>
        <v>-3.1805741523263769</v>
      </c>
      <c r="F207">
        <f>AVERAGE('R1'!M207,'R2'!M207,'R3'!M207)</f>
        <v>-1.4623608956045526</v>
      </c>
      <c r="G207">
        <f>AVERAGE('R1'!N207,'R2'!N207,'R3'!N207)</f>
        <v>-2.0743758878770042</v>
      </c>
      <c r="H207">
        <f>AVERAGE('R1'!O207,'R2'!O207,'R3'!O207)</f>
        <v>-1.1541374278020291</v>
      </c>
      <c r="I207">
        <f t="shared" si="7"/>
        <v>2199.9846378125003</v>
      </c>
      <c r="K207">
        <f>_xlfn.STDEV.S('R1'!L207,'R2'!L207,'R3'!L207)</f>
        <v>4.0028152499971777E-2</v>
      </c>
      <c r="L207">
        <f>_xlfn.STDEV.S('R1'!M207,'R2'!M207,'R3'!M207)</f>
        <v>1.8466790291998981E-2</v>
      </c>
      <c r="M207">
        <f>_xlfn.STDEV.S('R1'!N207,'R2'!N207,'R3'!N207)</f>
        <v>3.6653011599969386E-2</v>
      </c>
      <c r="N207">
        <f>_xlfn.STDEV.S('R1'!O207,'R2'!O207,'R3'!O207)</f>
        <v>2.0543763942065391E-2</v>
      </c>
    </row>
    <row r="208" spans="1:14" x14ac:dyDescent="0.25">
      <c r="A208">
        <f>-'R1'!H208</f>
        <v>12</v>
      </c>
      <c r="B208">
        <f>DEGREES(ATAN(-SIN(RADIANS(('R1'!I208)))/(COS(RADIANS(Sheet1!A208))*COS(RADIANS('R1'!I208)))))</f>
        <v>-44.632773428056808</v>
      </c>
      <c r="C208">
        <f>AVERAGE('R1'!J208,'R2'!J208,'R3'!J208)</f>
        <v>1.18</v>
      </c>
      <c r="D208">
        <f>AVERAGE('R1'!K208,'R2'!K208,'R3'!K208)</f>
        <v>11.2390525</v>
      </c>
      <c r="E208">
        <f>AVERAGE('R1'!L208,'R2'!L208,'R3'!L208)</f>
        <v>-4.0427695783372402</v>
      </c>
      <c r="F208">
        <f>AVERAGE('R1'!M208,'R2'!M208,'R3'!M208)</f>
        <v>-1.8238984170459991</v>
      </c>
      <c r="G208">
        <f>AVERAGE('R1'!N208,'R2'!N208,'R3'!N208)</f>
        <v>-2.9797442236563207</v>
      </c>
      <c r="H208">
        <f>AVERAGE('R1'!O208,'R2'!O208,'R3'!O208)</f>
        <v>-1.680659271018387</v>
      </c>
      <c r="I208">
        <f t="shared" si="7"/>
        <v>2210.3469916666668</v>
      </c>
      <c r="K208">
        <f>_xlfn.STDEV.S('R1'!L208,'R2'!L208,'R3'!L208)</f>
        <v>6.4040520878114501E-2</v>
      </c>
      <c r="L208">
        <f>_xlfn.STDEV.S('R1'!M208,'R2'!M208,'R3'!M208)</f>
        <v>1.5530998364037398E-2</v>
      </c>
      <c r="M208">
        <f>_xlfn.STDEV.S('R1'!N208,'R2'!N208,'R3'!N208)</f>
        <v>5.9593652504245517E-2</v>
      </c>
      <c r="N208">
        <f>_xlfn.STDEV.S('R1'!O208,'R2'!O208,'R3'!O208)</f>
        <v>2.5241426417458527E-2</v>
      </c>
    </row>
    <row r="209" spans="1:14" x14ac:dyDescent="0.25">
      <c r="A209">
        <f>-'R1'!H209</f>
        <v>8</v>
      </c>
      <c r="B209">
        <f>DEGREES(ATAN(-SIN(RADIANS(('R1'!I209)))/(COS(RADIANS(Sheet1!A209))*COS(RADIANS('R1'!I209)))))</f>
        <v>44.280037446618948</v>
      </c>
      <c r="C209">
        <f>AVERAGE('R1'!J209,'R2'!J209,'R3'!J209)</f>
        <v>1.18</v>
      </c>
      <c r="D209">
        <f>AVERAGE('R1'!K209,'R2'!K209,'R3'!K209)</f>
        <v>11.236950333333333</v>
      </c>
      <c r="E209">
        <f>AVERAGE('R1'!L209,'R2'!L209,'R3'!L209)</f>
        <v>2.64230220252059</v>
      </c>
      <c r="F209">
        <f>AVERAGE('R1'!M209,'R2'!M209,'R3'!M209)</f>
        <v>-0.95918548024667816</v>
      </c>
      <c r="G209">
        <f>AVERAGE('R1'!N209,'R2'!N209,'R3'!N209)</f>
        <v>-1.4540538332055</v>
      </c>
      <c r="H209">
        <f>AVERAGE('R1'!O209,'R2'!O209,'R3'!O209)</f>
        <v>-1.0165940087934893</v>
      </c>
      <c r="I209">
        <f t="shared" si="7"/>
        <v>2209.9335655555556</v>
      </c>
      <c r="K209">
        <f>_xlfn.STDEV.S('R1'!L209,'R2'!L209,'R3'!L209)</f>
        <v>3.5918744601672284E-2</v>
      </c>
      <c r="L209">
        <f>_xlfn.STDEV.S('R1'!M209,'R2'!M209,'R3'!M209)</f>
        <v>4.1737870060501144E-3</v>
      </c>
      <c r="M209">
        <f>_xlfn.STDEV.S('R1'!N209,'R2'!N209,'R3'!N209)</f>
        <v>3.1058677794902709E-2</v>
      </c>
      <c r="N209">
        <f>_xlfn.STDEV.S('R1'!O209,'R2'!O209,'R3'!O209)</f>
        <v>1.3901109265100662E-2</v>
      </c>
    </row>
    <row r="210" spans="1:14" x14ac:dyDescent="0.25">
      <c r="A210">
        <f>-'R1'!H210</f>
        <v>8</v>
      </c>
      <c r="B210">
        <f>DEGREES(ATAN(-SIN(RADIANS(('R1'!I210)))/(COS(RADIANS(Sheet1!A210))*COS(RADIANS('R1'!I210)))))</f>
        <v>40.276138588852518</v>
      </c>
      <c r="C210">
        <f>AVERAGE('R1'!J210,'R2'!J210,'R3'!J210)</f>
        <v>1.18</v>
      </c>
      <c r="D210">
        <f>AVERAGE('R1'!K210,'R2'!K210,'R3'!K210)</f>
        <v>11.199064833333333</v>
      </c>
      <c r="E210">
        <f>AVERAGE('R1'!L210,'R2'!L210,'R3'!L210)</f>
        <v>2.3189254768391083</v>
      </c>
      <c r="F210">
        <f>AVERAGE('R1'!M210,'R2'!M210,'R3'!M210)</f>
        <v>-0.86357541401395332</v>
      </c>
      <c r="G210">
        <f>AVERAGE('R1'!N210,'R2'!N210,'R3'!N210)</f>
        <v>-1.1193271481614244</v>
      </c>
      <c r="H210">
        <f>AVERAGE('R1'!O210,'R2'!O210,'R3'!O210)</f>
        <v>-0.76385191824875631</v>
      </c>
      <c r="I210">
        <f t="shared" si="7"/>
        <v>2202.4827505555554</v>
      </c>
      <c r="K210">
        <f>_xlfn.STDEV.S('R1'!L210,'R2'!L210,'R3'!L210)</f>
        <v>8.5740278424400601E-3</v>
      </c>
      <c r="L210">
        <f>_xlfn.STDEV.S('R1'!M210,'R2'!M210,'R3'!M210)</f>
        <v>5.6030934969906465E-3</v>
      </c>
      <c r="M210">
        <f>_xlfn.STDEV.S('R1'!N210,'R2'!N210,'R3'!N210)</f>
        <v>1.6062420027620827E-2</v>
      </c>
      <c r="N210">
        <f>_xlfn.STDEV.S('R1'!O210,'R2'!O210,'R3'!O210)</f>
        <v>1.1712058404792352E-2</v>
      </c>
    </row>
    <row r="211" spans="1:14" x14ac:dyDescent="0.25">
      <c r="A211">
        <f>-'R1'!H211</f>
        <v>8</v>
      </c>
      <c r="B211">
        <f>DEGREES(ATAN(-SIN(RADIANS(('R1'!I211)))/(COS(RADIANS(Sheet1!A211))*COS(RADIANS('R1'!I211)))))</f>
        <v>36.2668517150396</v>
      </c>
      <c r="C211">
        <f>AVERAGE('R1'!J211,'R2'!J211,'R3'!J211)</f>
        <v>1.1816666666666666</v>
      </c>
      <c r="D211">
        <f>AVERAGE('R1'!K211,'R2'!K211,'R3'!K211)</f>
        <v>11.194391666666668</v>
      </c>
      <c r="E211">
        <f>AVERAGE('R1'!L211,'R2'!L211,'R3'!L211)</f>
        <v>2.0464269394595265</v>
      </c>
      <c r="F211">
        <f>AVERAGE('R1'!M211,'R2'!M211,'R3'!M211)</f>
        <v>-0.7780214036879235</v>
      </c>
      <c r="G211">
        <f>AVERAGE('R1'!N211,'R2'!N211,'R3'!N211)</f>
        <v>-0.85758855544876678</v>
      </c>
      <c r="H211">
        <f>AVERAGE('R1'!O211,'R2'!O211,'R3'!O211)</f>
        <v>-0.54372416874945595</v>
      </c>
      <c r="I211">
        <f t="shared" si="7"/>
        <v>2204.6732476851857</v>
      </c>
      <c r="K211">
        <f>_xlfn.STDEV.S('R1'!L211,'R2'!L211,'R3'!L211)</f>
        <v>6.4663853585303511E-3</v>
      </c>
      <c r="L211">
        <f>_xlfn.STDEV.S('R1'!M211,'R2'!M211,'R3'!M211)</f>
        <v>8.2483135471476156E-3</v>
      </c>
      <c r="M211">
        <f>_xlfn.STDEV.S('R1'!N211,'R2'!N211,'R3'!N211)</f>
        <v>5.0948207466963956E-3</v>
      </c>
      <c r="N211">
        <f>_xlfn.STDEV.S('R1'!O211,'R2'!O211,'R3'!O211)</f>
        <v>6.1217889385293718E-3</v>
      </c>
    </row>
    <row r="212" spans="1:14" x14ac:dyDescent="0.25">
      <c r="A212">
        <f>-'R1'!H212</f>
        <v>8</v>
      </c>
      <c r="B212">
        <f>DEGREES(ATAN(-SIN(RADIANS(('R1'!I212)))/(COS(RADIANS(Sheet1!A212))*COS(RADIANS('R1'!I212)))))</f>
        <v>32.252347723135095</v>
      </c>
      <c r="C212">
        <f>AVERAGE('R1'!J212,'R2'!J212,'R3'!J212)</f>
        <v>1.1833333333333333</v>
      </c>
      <c r="D212">
        <f>AVERAGE('R1'!K212,'R2'!K212,'R3'!K212)</f>
        <v>11.13768325</v>
      </c>
      <c r="E212">
        <f>AVERAGE('R1'!L212,'R2'!L212,'R3'!L212)</f>
        <v>1.8144152711840051</v>
      </c>
      <c r="F212">
        <f>AVERAGE('R1'!M212,'R2'!M212,'R3'!M212)</f>
        <v>-0.70989374251859727</v>
      </c>
      <c r="G212">
        <f>AVERAGE('R1'!N212,'R2'!N212,'R3'!N212)</f>
        <v>-0.64564114262845973</v>
      </c>
      <c r="H212">
        <f>AVERAGE('R1'!O212,'R2'!O212,'R3'!O212)</f>
        <v>-0.34343502937298115</v>
      </c>
      <c r="I212">
        <f t="shared" si="7"/>
        <v>2196.5986409722223</v>
      </c>
      <c r="K212">
        <f>_xlfn.STDEV.S('R1'!L212,'R2'!L212,'R3'!L212)</f>
        <v>9.0801811641583741E-3</v>
      </c>
      <c r="L212">
        <f>_xlfn.STDEV.S('R1'!M212,'R2'!M212,'R3'!M212)</f>
        <v>1.2744934633210905E-2</v>
      </c>
      <c r="M212">
        <f>_xlfn.STDEV.S('R1'!N212,'R2'!N212,'R3'!N212)</f>
        <v>1.5916010409793707E-2</v>
      </c>
      <c r="N212">
        <f>_xlfn.STDEV.S('R1'!O212,'R2'!O212,'R3'!O212)</f>
        <v>9.2681653021419903E-3</v>
      </c>
    </row>
    <row r="213" spans="1:14" x14ac:dyDescent="0.25">
      <c r="A213">
        <f>-'R1'!H213</f>
        <v>8</v>
      </c>
      <c r="B213">
        <f>DEGREES(ATAN(-SIN(RADIANS(('R1'!I213)))/(COS(RADIANS(Sheet1!A213))*COS(RADIANS('R1'!I213)))))</f>
        <v>28.23290083045832</v>
      </c>
      <c r="C213">
        <f>AVERAGE('R1'!J213,'R2'!J213,'R3'!J213)</f>
        <v>1.1824999999999999</v>
      </c>
      <c r="D213">
        <f>AVERAGE('R1'!K213,'R2'!K213,'R3'!K213)</f>
        <v>11.153143916666666</v>
      </c>
      <c r="E213">
        <f>AVERAGE('R1'!L213,'R2'!L213,'R3'!L213)</f>
        <v>1.6062330408655674</v>
      </c>
      <c r="F213">
        <f>AVERAGE('R1'!M213,'R2'!M213,'R3'!M213)</f>
        <v>-0.67319239010430965</v>
      </c>
      <c r="G213">
        <f>AVERAGE('R1'!N213,'R2'!N213,'R3'!N213)</f>
        <v>-0.48602276916226761</v>
      </c>
      <c r="H213">
        <f>AVERAGE('R1'!O213,'R2'!O213,'R3'!O213)</f>
        <v>-0.16974497621512838</v>
      </c>
      <c r="I213">
        <f t="shared" si="7"/>
        <v>2198.0987802430554</v>
      </c>
      <c r="K213">
        <f>_xlfn.STDEV.S('R1'!L213,'R2'!L213,'R3'!L213)</f>
        <v>5.929089775894493E-3</v>
      </c>
      <c r="L213">
        <f>_xlfn.STDEV.S('R1'!M213,'R2'!M213,'R3'!M213)</f>
        <v>2.3935392687207012E-3</v>
      </c>
      <c r="M213">
        <f>_xlfn.STDEV.S('R1'!N213,'R2'!N213,'R3'!N213)</f>
        <v>1.0401324771623154E-2</v>
      </c>
      <c r="N213">
        <f>_xlfn.STDEV.S('R1'!O213,'R2'!O213,'R3'!O213)</f>
        <v>8.4440997069100809E-3</v>
      </c>
    </row>
    <row r="214" spans="1:14" x14ac:dyDescent="0.25">
      <c r="A214">
        <f>-'R1'!H214</f>
        <v>8</v>
      </c>
      <c r="B214">
        <f>DEGREES(ATAN(-SIN(RADIANS(('R1'!I214)))/(COS(RADIANS(Sheet1!A214))*COS(RADIANS('R1'!I214)))))</f>
        <v>24.208883875277589</v>
      </c>
      <c r="C214">
        <f>AVERAGE('R1'!J214,'R2'!J214,'R3'!J214)</f>
        <v>1.18</v>
      </c>
      <c r="D214">
        <f>AVERAGE('R1'!K214,'R2'!K214,'R3'!K214)</f>
        <v>11.238649833333334</v>
      </c>
      <c r="E214">
        <f>AVERAGE('R1'!L214,'R2'!L214,'R3'!L214)</f>
        <v>1.401418893479458</v>
      </c>
      <c r="F214">
        <f>AVERAGE('R1'!M214,'R2'!M214,'R3'!M214)</f>
        <v>-0.64814736495464875</v>
      </c>
      <c r="G214">
        <f>AVERAGE('R1'!N214,'R2'!N214,'R3'!N214)</f>
        <v>-0.35451424564199224</v>
      </c>
      <c r="H214">
        <f>AVERAGE('R1'!O214,'R2'!O214,'R3'!O214)</f>
        <v>6.0045594247575516E-5</v>
      </c>
      <c r="I214">
        <f t="shared" si="7"/>
        <v>2210.2678005555558</v>
      </c>
      <c r="K214">
        <f>_xlfn.STDEV.S('R1'!L214,'R2'!L214,'R3'!L214)</f>
        <v>1.4684401860059088E-2</v>
      </c>
      <c r="L214">
        <f>_xlfn.STDEV.S('R1'!M214,'R2'!M214,'R3'!M214)</f>
        <v>1.254038946762562E-2</v>
      </c>
      <c r="M214">
        <f>_xlfn.STDEV.S('R1'!N214,'R2'!N214,'R3'!N214)</f>
        <v>1.0993338694543706E-2</v>
      </c>
      <c r="N214">
        <f>_xlfn.STDEV.S('R1'!O214,'R2'!O214,'R3'!O214)</f>
        <v>6.8917392704066441E-3</v>
      </c>
    </row>
    <row r="215" spans="1:14" x14ac:dyDescent="0.25">
      <c r="A215">
        <f>-'R1'!H215</f>
        <v>8</v>
      </c>
      <c r="B215">
        <f>DEGREES(ATAN(-SIN(RADIANS(('R1'!I215)))/(COS(RADIANS(Sheet1!A215))*COS(RADIANS('R1'!I215)))))</f>
        <v>20.180761513231211</v>
      </c>
      <c r="C215">
        <f>AVERAGE('R1'!J215,'R2'!J215,'R3'!J215)</f>
        <v>1.18</v>
      </c>
      <c r="D215">
        <f>AVERAGE('R1'!K215,'R2'!K215,'R3'!K215)</f>
        <v>11.264163333333334</v>
      </c>
      <c r="E215">
        <f>AVERAGE('R1'!L215,'R2'!L215,'R3'!L215)</f>
        <v>1.1907126817302205</v>
      </c>
      <c r="F215">
        <f>AVERAGE('R1'!M215,'R2'!M215,'R3'!M215)</f>
        <v>-0.64225045294357785</v>
      </c>
      <c r="G215">
        <f>AVERAGE('R1'!N215,'R2'!N215,'R3'!N215)</f>
        <v>-0.2464101166916588</v>
      </c>
      <c r="H215">
        <f>AVERAGE('R1'!O215,'R2'!O215,'R3'!O215)</f>
        <v>0.15688016882178546</v>
      </c>
      <c r="I215">
        <f t="shared" si="7"/>
        <v>2215.2854555555559</v>
      </c>
      <c r="K215">
        <f>_xlfn.STDEV.S('R1'!L215,'R2'!L215,'R3'!L215)</f>
        <v>1.3708743317606477E-2</v>
      </c>
      <c r="L215">
        <f>_xlfn.STDEV.S('R1'!M215,'R2'!M215,'R3'!M215)</f>
        <v>5.7244816759344248E-3</v>
      </c>
      <c r="M215">
        <f>_xlfn.STDEV.S('R1'!N215,'R2'!N215,'R3'!N215)</f>
        <v>1.0289495026367574E-2</v>
      </c>
      <c r="N215">
        <f>_xlfn.STDEV.S('R1'!O215,'R2'!O215,'R3'!O215)</f>
        <v>7.5605270483812053E-3</v>
      </c>
    </row>
    <row r="216" spans="1:14" x14ac:dyDescent="0.25">
      <c r="A216">
        <f>-'R1'!H216</f>
        <v>8</v>
      </c>
      <c r="B216">
        <f>DEGREES(ATAN(-SIN(RADIANS(('R1'!I216)))/(COS(RADIANS(Sheet1!A216))*COS(RADIANS('R1'!I216)))))</f>
        <v>16.149081403494897</v>
      </c>
      <c r="C216">
        <f>AVERAGE('R1'!J216,'R2'!J216,'R3'!J216)</f>
        <v>1.1816666666666666</v>
      </c>
      <c r="D216">
        <f>AVERAGE('R1'!K216,'R2'!K216,'R3'!K216)</f>
        <v>11.305752083333333</v>
      </c>
      <c r="E216">
        <f>AVERAGE('R1'!L216,'R2'!L216,'R3'!L216)</f>
        <v>0.97382188685039661</v>
      </c>
      <c r="F216">
        <f>AVERAGE('R1'!M216,'R2'!M216,'R3'!M216)</f>
        <v>-0.64989648982382053</v>
      </c>
      <c r="G216">
        <f>AVERAGE('R1'!N216,'R2'!N216,'R3'!N216)</f>
        <v>-0.16424349009096398</v>
      </c>
      <c r="H216">
        <f>AVERAGE('R1'!O216,'R2'!O216,'R3'!O216)</f>
        <v>0.31809787031627285</v>
      </c>
      <c r="I216">
        <f t="shared" si="7"/>
        <v>2226.605063078704</v>
      </c>
      <c r="K216">
        <f>_xlfn.STDEV.S('R1'!L216,'R2'!L216,'R3'!L216)</f>
        <v>1.2523292556350533E-2</v>
      </c>
      <c r="L216">
        <f>_xlfn.STDEV.S('R1'!M216,'R2'!M216,'R3'!M216)</f>
        <v>9.4157479515910632E-3</v>
      </c>
      <c r="M216">
        <f>_xlfn.STDEV.S('R1'!N216,'R2'!N216,'R3'!N216)</f>
        <v>1.1847283106203066E-2</v>
      </c>
      <c r="N216">
        <f>_xlfn.STDEV.S('R1'!O216,'R2'!O216,'R3'!O216)</f>
        <v>3.0027632496651899E-3</v>
      </c>
    </row>
    <row r="217" spans="1:14" x14ac:dyDescent="0.25">
      <c r="A217">
        <f>-'R1'!H217</f>
        <v>8</v>
      </c>
      <c r="B217">
        <f>DEGREES(ATAN(-SIN(RADIANS(('R1'!I217)))/(COS(RADIANS(Sheet1!A217))*COS(RADIANS('R1'!I217)))))</f>
        <v>12.114463536188838</v>
      </c>
      <c r="C217">
        <f>AVERAGE('R1'!J217,'R2'!J217,'R3'!J217)</f>
        <v>1.18</v>
      </c>
      <c r="D217">
        <f>AVERAGE('R1'!K217,'R2'!K217,'R3'!K217)</f>
        <v>11.368149083333334</v>
      </c>
      <c r="E217">
        <f>AVERAGE('R1'!L217,'R2'!L217,'R3'!L217)</f>
        <v>0.74258979729588415</v>
      </c>
      <c r="F217">
        <f>AVERAGE('R1'!M217,'R2'!M217,'R3'!M217)</f>
        <v>-0.67502080070207349</v>
      </c>
      <c r="G217">
        <f>AVERAGE('R1'!N217,'R2'!N217,'R3'!N217)</f>
        <v>-0.10314214039422276</v>
      </c>
      <c r="H217">
        <f>AVERAGE('R1'!O217,'R2'!O217,'R3'!O217)</f>
        <v>0.46717839632315278</v>
      </c>
      <c r="I217">
        <f t="shared" si="7"/>
        <v>2235.7359863888892</v>
      </c>
      <c r="K217">
        <f>_xlfn.STDEV.S('R1'!L217,'R2'!L217,'R3'!L217)</f>
        <v>1.2517880606786162E-2</v>
      </c>
      <c r="L217">
        <f>_xlfn.STDEV.S('R1'!M217,'R2'!M217,'R3'!M217)</f>
        <v>1.3143266331077921E-2</v>
      </c>
      <c r="M217">
        <f>_xlfn.STDEV.S('R1'!N217,'R2'!N217,'R3'!N217)</f>
        <v>9.1016609095317912E-3</v>
      </c>
      <c r="N217">
        <f>_xlfn.STDEV.S('R1'!O217,'R2'!O217,'R3'!O217)</f>
        <v>8.3058289734346865E-3</v>
      </c>
    </row>
    <row r="218" spans="1:14" x14ac:dyDescent="0.25">
      <c r="A218">
        <f>-'R1'!H218</f>
        <v>8</v>
      </c>
      <c r="B218">
        <f>DEGREES(ATAN(-SIN(RADIANS(('R1'!I218)))/(COS(RADIANS(Sheet1!A218))*COS(RADIANS('R1'!I218)))))</f>
        <v>8.0775879081011936</v>
      </c>
      <c r="C218">
        <f>AVERAGE('R1'!J218,'R2'!J218,'R3'!J218)</f>
        <v>1.18</v>
      </c>
      <c r="D218">
        <f>AVERAGE('R1'!K218,'R2'!K218,'R3'!K218)</f>
        <v>11.383749333333334</v>
      </c>
      <c r="E218">
        <f>AVERAGE('R1'!L218,'R2'!L218,'R3'!L218)</f>
        <v>0.49687110450325428</v>
      </c>
      <c r="F218">
        <f>AVERAGE('R1'!M218,'R2'!M218,'R3'!M218)</f>
        <v>-0.71392021619010426</v>
      </c>
      <c r="G218">
        <f>AVERAGE('R1'!N218,'R2'!N218,'R3'!N218)</f>
        <v>-6.6857527847637113E-2</v>
      </c>
      <c r="H218">
        <f>AVERAGE('R1'!O218,'R2'!O218,'R3'!O218)</f>
        <v>0.60664405662808807</v>
      </c>
      <c r="I218">
        <f t="shared" si="7"/>
        <v>2238.8040355555559</v>
      </c>
      <c r="K218">
        <f>_xlfn.STDEV.S('R1'!L218,'R2'!L218,'R3'!L218)</f>
        <v>1.0817786508745231E-2</v>
      </c>
      <c r="L218">
        <f>_xlfn.STDEV.S('R1'!M218,'R2'!M218,'R3'!M218)</f>
        <v>1.9327145533191998E-2</v>
      </c>
      <c r="M218">
        <f>_xlfn.STDEV.S('R1'!N218,'R2'!N218,'R3'!N218)</f>
        <v>1.1141159358358662E-2</v>
      </c>
      <c r="N218">
        <f>_xlfn.STDEV.S('R1'!O218,'R2'!O218,'R3'!O218)</f>
        <v>7.9282817933873304E-3</v>
      </c>
    </row>
    <row r="219" spans="1:14" x14ac:dyDescent="0.25">
      <c r="A219">
        <f>-'R1'!H219</f>
        <v>8</v>
      </c>
      <c r="B219">
        <f>DEGREES(ATAN(-SIN(RADIANS(('R1'!I219)))/(COS(RADIANS(Sheet1!A219))*COS(RADIANS('R1'!I219)))))</f>
        <v>4.0391808057079874</v>
      </c>
      <c r="C219">
        <f>AVERAGE('R1'!J219,'R2'!J219,'R3'!J219)</f>
        <v>1.18</v>
      </c>
      <c r="D219">
        <f>AVERAGE('R1'!K219,'R2'!K219,'R3'!K219)</f>
        <v>11.428984499999999</v>
      </c>
      <c r="E219">
        <f>AVERAGE('R1'!L219,'R2'!L219,'R3'!L219)</f>
        <v>0.21320867277787525</v>
      </c>
      <c r="F219">
        <f>AVERAGE('R1'!M219,'R2'!M219,'R3'!M219)</f>
        <v>-0.75704640729553618</v>
      </c>
      <c r="G219">
        <f>AVERAGE('R1'!N219,'R2'!N219,'R3'!N219)</f>
        <v>-4.5641952577246264E-2</v>
      </c>
      <c r="H219">
        <f>AVERAGE('R1'!O219,'R2'!O219,'R3'!O219)</f>
        <v>0.75204851990371357</v>
      </c>
      <c r="I219">
        <f t="shared" si="7"/>
        <v>2247.7002849999999</v>
      </c>
      <c r="K219">
        <f>_xlfn.STDEV.S('R1'!L219,'R2'!L219,'R3'!L219)</f>
        <v>2.9224717219223997E-3</v>
      </c>
      <c r="L219">
        <f>_xlfn.STDEV.S('R1'!M219,'R2'!M219,'R3'!M219)</f>
        <v>8.1276221609746947E-3</v>
      </c>
      <c r="M219">
        <f>_xlfn.STDEV.S('R1'!N219,'R2'!N219,'R3'!N219)</f>
        <v>9.2976210576149691E-3</v>
      </c>
      <c r="N219">
        <f>_xlfn.STDEV.S('R1'!O219,'R2'!O219,'R3'!O219)</f>
        <v>8.3944557729807388E-3</v>
      </c>
    </row>
    <row r="220" spans="1:14" x14ac:dyDescent="0.25">
      <c r="A220">
        <f>-'R1'!H220</f>
        <v>8</v>
      </c>
      <c r="B220">
        <f>DEGREES(ATAN(-SIN(RADIANS(('R1'!I220)))/(COS(RADIANS(Sheet1!A220))*COS(RADIANS('R1'!I220)))))</f>
        <v>0</v>
      </c>
      <c r="C220">
        <f>AVERAGE('R1'!J220,'R2'!J220,'R3'!J220)</f>
        <v>1.18</v>
      </c>
      <c r="D220">
        <f>AVERAGE('R1'!K220,'R2'!K220,'R3'!K220)</f>
        <v>11.461726499999999</v>
      </c>
      <c r="E220">
        <f>AVERAGE('R1'!L220,'R2'!L220,'R3'!L220)</f>
        <v>-9.9211027158726928E-2</v>
      </c>
      <c r="F220">
        <f>AVERAGE('R1'!M220,'R2'!M220,'R3'!M220)</f>
        <v>-0.77124701236398818</v>
      </c>
      <c r="G220">
        <f>AVERAGE('R1'!N220,'R2'!N220,'R3'!N220)</f>
        <v>-4.3214355508057557E-2</v>
      </c>
      <c r="H220">
        <f>AVERAGE('R1'!O220,'R2'!O220,'R3'!O220)</f>
        <v>0.81105783388598818</v>
      </c>
      <c r="I220">
        <f t="shared" si="7"/>
        <v>2254.139545</v>
      </c>
      <c r="K220">
        <f>_xlfn.STDEV.S('R1'!L220,'R2'!L220,'R3'!L220)</f>
        <v>7.9383238804746573E-3</v>
      </c>
      <c r="L220">
        <f>_xlfn.STDEV.S('R1'!M220,'R2'!M220,'R3'!M220)</f>
        <v>6.929501128756595E-3</v>
      </c>
      <c r="M220">
        <f>_xlfn.STDEV.S('R1'!N220,'R2'!N220,'R3'!N220)</f>
        <v>4.6306592483217127E-3</v>
      </c>
      <c r="N220">
        <f>_xlfn.STDEV.S('R1'!O220,'R2'!O220,'R3'!O220)</f>
        <v>1.0013421747188814E-2</v>
      </c>
    </row>
    <row r="221" spans="1:14" x14ac:dyDescent="0.25">
      <c r="A221">
        <f>-'R1'!H221</f>
        <v>8</v>
      </c>
      <c r="B221">
        <f>DEGREES(ATAN(-SIN(RADIANS(('R1'!I221)))/(COS(RADIANS(Sheet1!A221))*COS(RADIANS('R1'!I221)))))</f>
        <v>-4.0391808057079874</v>
      </c>
      <c r="C221">
        <f>AVERAGE('R1'!J221,'R2'!J221,'R3'!J221)</f>
        <v>1.18</v>
      </c>
      <c r="D221">
        <f>AVERAGE('R1'!K221,'R2'!K221,'R3'!K221)</f>
        <v>11.479112166666667</v>
      </c>
      <c r="E221">
        <f>AVERAGE('R1'!L221,'R2'!L221,'R3'!L221)</f>
        <v>-0.39173324116097774</v>
      </c>
      <c r="F221">
        <f>AVERAGE('R1'!M221,'R2'!M221,'R3'!M221)</f>
        <v>-0.70521340797048071</v>
      </c>
      <c r="G221">
        <f>AVERAGE('R1'!N221,'R2'!N221,'R3'!N221)</f>
        <v>-4.6599489776063589E-2</v>
      </c>
      <c r="H221">
        <f>AVERAGE('R1'!O221,'R2'!O221,'R3'!O221)</f>
        <v>0.68086208763124478</v>
      </c>
      <c r="I221">
        <f t="shared" si="7"/>
        <v>2257.5587261111114</v>
      </c>
      <c r="K221">
        <f>_xlfn.STDEV.S('R1'!L221,'R2'!L221,'R3'!L221)</f>
        <v>7.0057923224417229E-3</v>
      </c>
      <c r="L221">
        <f>_xlfn.STDEV.S('R1'!M221,'R2'!M221,'R3'!M221)</f>
        <v>7.7204104079397146E-3</v>
      </c>
      <c r="M221">
        <f>_xlfn.STDEV.S('R1'!N221,'R2'!N221,'R3'!N221)</f>
        <v>9.0062106680339378E-3</v>
      </c>
      <c r="N221">
        <f>_xlfn.STDEV.S('R1'!O221,'R2'!O221,'R3'!O221)</f>
        <v>2.2149159513197292E-3</v>
      </c>
    </row>
    <row r="222" spans="1:14" x14ac:dyDescent="0.25">
      <c r="A222">
        <f>-'R1'!H222</f>
        <v>8</v>
      </c>
      <c r="B222">
        <f>DEGREES(ATAN(-SIN(RADIANS(('R1'!I222)))/(COS(RADIANS(Sheet1!A222))*COS(RADIANS('R1'!I222)))))</f>
        <v>-8.0775879081011936</v>
      </c>
      <c r="C222">
        <f>AVERAGE('R1'!J222,'R2'!J222,'R3'!J222)</f>
        <v>1.18</v>
      </c>
      <c r="D222">
        <f>AVERAGE('R1'!K222,'R2'!K222,'R3'!K222)</f>
        <v>11.531412916666667</v>
      </c>
      <c r="E222">
        <f>AVERAGE('R1'!L222,'R2'!L222,'R3'!L222)</f>
        <v>-0.65179189239633739</v>
      </c>
      <c r="F222">
        <f>AVERAGE('R1'!M222,'R2'!M222,'R3'!M222)</f>
        <v>-0.64325479814459452</v>
      </c>
      <c r="G222">
        <f>AVERAGE('R1'!N222,'R2'!N222,'R3'!N222)</f>
        <v>-7.9770590388851273E-2</v>
      </c>
      <c r="H222">
        <f>AVERAGE('R1'!O222,'R2'!O222,'R3'!O222)</f>
        <v>0.55691602362003656</v>
      </c>
      <c r="I222">
        <f t="shared" si="7"/>
        <v>2267.8445402777779</v>
      </c>
      <c r="K222">
        <f>_xlfn.STDEV.S('R1'!L222,'R2'!L222,'R3'!L222)</f>
        <v>6.9591937618455422E-3</v>
      </c>
      <c r="L222">
        <f>_xlfn.STDEV.S('R1'!M222,'R2'!M222,'R3'!M222)</f>
        <v>2.5734016994534962E-4</v>
      </c>
      <c r="M222">
        <f>_xlfn.STDEV.S('R1'!N222,'R2'!N222,'R3'!N222)</f>
        <v>7.7500282718406237E-3</v>
      </c>
      <c r="N222">
        <f>_xlfn.STDEV.S('R1'!O222,'R2'!O222,'R3'!O222)</f>
        <v>9.7098949742044673E-3</v>
      </c>
    </row>
    <row r="223" spans="1:14" x14ac:dyDescent="0.25">
      <c r="A223">
        <f>-'R1'!H223</f>
        <v>8</v>
      </c>
      <c r="B223">
        <f>DEGREES(ATAN(-SIN(RADIANS(('R1'!I223)))/(COS(RADIANS(Sheet1!A223))*COS(RADIANS('R1'!I223)))))</f>
        <v>-12.114463536188838</v>
      </c>
      <c r="C223">
        <f>AVERAGE('R1'!J223,'R2'!J223,'R3'!J223)</f>
        <v>1.18</v>
      </c>
      <c r="D223">
        <f>AVERAGE('R1'!K223,'R2'!K223,'R3'!K223)</f>
        <v>11.540655583333333</v>
      </c>
      <c r="E223">
        <f>AVERAGE('R1'!L223,'R2'!L223,'R3'!L223)</f>
        <v>-0.89449723538630455</v>
      </c>
      <c r="F223">
        <f>AVERAGE('R1'!M223,'R2'!M223,'R3'!M223)</f>
        <v>-0.59882393353316654</v>
      </c>
      <c r="G223">
        <f>AVERAGE('R1'!N223,'R2'!N223,'R3'!N223)</f>
        <v>-0.12923522720563488</v>
      </c>
      <c r="H223">
        <f>AVERAGE('R1'!O223,'R2'!O223,'R3'!O223)</f>
        <v>0.4301341560841177</v>
      </c>
      <c r="I223">
        <f t="shared" si="7"/>
        <v>2269.6622647222221</v>
      </c>
      <c r="K223">
        <f>_xlfn.STDEV.S('R1'!L223,'R2'!L223,'R3'!L223)</f>
        <v>7.0053147557018036E-3</v>
      </c>
      <c r="L223">
        <f>_xlfn.STDEV.S('R1'!M223,'R2'!M223,'R3'!M223)</f>
        <v>8.9004050003552177E-3</v>
      </c>
      <c r="M223">
        <f>_xlfn.STDEV.S('R1'!N223,'R2'!N223,'R3'!N223)</f>
        <v>7.6056937829546856E-3</v>
      </c>
      <c r="N223">
        <f>_xlfn.STDEV.S('R1'!O223,'R2'!O223,'R3'!O223)</f>
        <v>1.5598108818740039E-2</v>
      </c>
    </row>
    <row r="224" spans="1:14" x14ac:dyDescent="0.25">
      <c r="A224">
        <f>-'R1'!H224</f>
        <v>8</v>
      </c>
      <c r="B224">
        <f>DEGREES(ATAN(-SIN(RADIANS(('R1'!I224)))/(COS(RADIANS(Sheet1!A224))*COS(RADIANS('R1'!I224)))))</f>
        <v>-16.149081403494897</v>
      </c>
      <c r="C224">
        <f>AVERAGE('R1'!J224,'R2'!J224,'R3'!J224)</f>
        <v>1.18</v>
      </c>
      <c r="D224">
        <f>AVERAGE('R1'!K224,'R2'!K224,'R3'!K224)</f>
        <v>11.57176475</v>
      </c>
      <c r="E224">
        <f>AVERAGE('R1'!L224,'R2'!L224,'R3'!L224)</f>
        <v>-1.1291896724937178</v>
      </c>
      <c r="F224">
        <f>AVERAGE('R1'!M224,'R2'!M224,'R3'!M224)</f>
        <v>-0.5762314388411568</v>
      </c>
      <c r="G224">
        <f>AVERAGE('R1'!N224,'R2'!N224,'R3'!N224)</f>
        <v>-0.21468539463148464</v>
      </c>
      <c r="H224">
        <f>AVERAGE('R1'!O224,'R2'!O224,'R3'!O224)</f>
        <v>0.29023998970223186</v>
      </c>
      <c r="I224">
        <f t="shared" si="7"/>
        <v>2275.7804008333333</v>
      </c>
      <c r="K224">
        <f>_xlfn.STDEV.S('R1'!L224,'R2'!L224,'R3'!L224)</f>
        <v>1.7507383329017127E-3</v>
      </c>
      <c r="L224">
        <f>_xlfn.STDEV.S('R1'!M224,'R2'!M224,'R3'!M224)</f>
        <v>4.3811118627763747E-3</v>
      </c>
      <c r="M224">
        <f>_xlfn.STDEV.S('R1'!N224,'R2'!N224,'R3'!N224)</f>
        <v>5.1542994988165369E-3</v>
      </c>
      <c r="N224">
        <f>_xlfn.STDEV.S('R1'!O224,'R2'!O224,'R3'!O224)</f>
        <v>8.5225817182901092E-3</v>
      </c>
    </row>
    <row r="225" spans="1:14" x14ac:dyDescent="0.25">
      <c r="A225">
        <f>-'R1'!H225</f>
        <v>8</v>
      </c>
      <c r="B225">
        <f>DEGREES(ATAN(-SIN(RADIANS(('R1'!I225)))/(COS(RADIANS(Sheet1!A225))*COS(RADIANS('R1'!I225)))))</f>
        <v>-20.180761513231211</v>
      </c>
      <c r="C225">
        <f>AVERAGE('R1'!J225,'R2'!J225,'R3'!J225)</f>
        <v>1.18</v>
      </c>
      <c r="D225">
        <f>AVERAGE('R1'!K225,'R2'!K225,'R3'!K225)</f>
        <v>11.615519416666666</v>
      </c>
      <c r="E225">
        <f>AVERAGE('R1'!L225,'R2'!L225,'R3'!L225)</f>
        <v>-1.3610525650216372</v>
      </c>
      <c r="F225">
        <f>AVERAGE('R1'!M225,'R2'!M225,'R3'!M225)</f>
        <v>-0.59257636301837024</v>
      </c>
      <c r="G225">
        <f>AVERAGE('R1'!N225,'R2'!N225,'R3'!N225)</f>
        <v>-0.33994671415334837</v>
      </c>
      <c r="H225">
        <f>AVERAGE('R1'!O225,'R2'!O225,'R3'!O225)</f>
        <v>0.14244524037471698</v>
      </c>
      <c r="I225">
        <f t="shared" si="7"/>
        <v>2284.3854852777777</v>
      </c>
      <c r="K225">
        <f>_xlfn.STDEV.S('R1'!L225,'R2'!L225,'R3'!L225)</f>
        <v>5.9371371867908609E-3</v>
      </c>
      <c r="L225">
        <f>_xlfn.STDEV.S('R1'!M225,'R2'!M225,'R3'!M225)</f>
        <v>5.686566967080353E-3</v>
      </c>
      <c r="M225">
        <f>_xlfn.STDEV.S('R1'!N225,'R2'!N225,'R3'!N225)</f>
        <v>8.2497688142108769E-3</v>
      </c>
      <c r="N225">
        <f>_xlfn.STDEV.S('R1'!O225,'R2'!O225,'R3'!O225)</f>
        <v>4.0987422274152644E-3</v>
      </c>
    </row>
    <row r="226" spans="1:14" x14ac:dyDescent="0.25">
      <c r="A226">
        <f>-'R1'!H226</f>
        <v>8</v>
      </c>
      <c r="B226">
        <f>DEGREES(ATAN(-SIN(RADIANS(('R1'!I226)))/(COS(RADIANS(Sheet1!A226))*COS(RADIANS('R1'!I226)))))</f>
        <v>-24.208883875277589</v>
      </c>
      <c r="C226">
        <f>AVERAGE('R1'!J226,'R2'!J226,'R3'!J226)</f>
        <v>1.18</v>
      </c>
      <c r="D226">
        <f>AVERAGE('R1'!K226,'R2'!K226,'R3'!K226)</f>
        <v>11.624878583333333</v>
      </c>
      <c r="E226">
        <f>AVERAGE('R1'!L226,'R2'!L226,'R3'!L226)</f>
        <v>-1.6194325236587794</v>
      </c>
      <c r="F226">
        <f>AVERAGE('R1'!M226,'R2'!M226,'R3'!M226)</f>
        <v>-0.63709868690295191</v>
      </c>
      <c r="G226">
        <f>AVERAGE('R1'!N226,'R2'!N226,'R3'!N226)</f>
        <v>-0.52009111874404235</v>
      </c>
      <c r="H226">
        <f>AVERAGE('R1'!O226,'R2'!O226,'R3'!O226)</f>
        <v>-2.8418166458840825E-2</v>
      </c>
      <c r="I226">
        <f t="shared" si="7"/>
        <v>2286.2261213888892</v>
      </c>
      <c r="K226">
        <f>_xlfn.STDEV.S('R1'!L226,'R2'!L226,'R3'!L226)</f>
        <v>1.4788763541020751E-2</v>
      </c>
      <c r="L226">
        <f>_xlfn.STDEV.S('R1'!M226,'R2'!M226,'R3'!M226)</f>
        <v>9.9751665170587749E-3</v>
      </c>
      <c r="M226">
        <f>_xlfn.STDEV.S('R1'!N226,'R2'!N226,'R3'!N226)</f>
        <v>1.5202907863648817E-2</v>
      </c>
      <c r="N226">
        <f>_xlfn.STDEV.S('R1'!O226,'R2'!O226,'R3'!O226)</f>
        <v>5.0852643181657272E-3</v>
      </c>
    </row>
    <row r="227" spans="1:14" x14ac:dyDescent="0.25">
      <c r="A227">
        <f>-'R1'!H227</f>
        <v>8</v>
      </c>
      <c r="B227">
        <f>DEGREES(ATAN(-SIN(RADIANS(('R1'!I227)))/(COS(RADIANS(Sheet1!A227))*COS(RADIANS('R1'!I227)))))</f>
        <v>-28.23290083045832</v>
      </c>
      <c r="C227">
        <f>AVERAGE('R1'!J227,'R2'!J227,'R3'!J227)</f>
        <v>1.18</v>
      </c>
      <c r="D227">
        <f>AVERAGE('R1'!K227,'R2'!K227,'R3'!K227)</f>
        <v>11.650063916666667</v>
      </c>
      <c r="E227">
        <f>AVERAGE('R1'!L227,'R2'!L227,'R3'!L227)</f>
        <v>-1.9019485445257593</v>
      </c>
      <c r="F227">
        <f>AVERAGE('R1'!M227,'R2'!M227,'R3'!M227)</f>
        <v>-0.69722877917268855</v>
      </c>
      <c r="G227">
        <f>AVERAGE('R1'!N227,'R2'!N227,'R3'!N227)</f>
        <v>-0.74766351817773202</v>
      </c>
      <c r="H227">
        <f>AVERAGE('R1'!O227,'R2'!O227,'R3'!O227)</f>
        <v>-0.22053327048595631</v>
      </c>
      <c r="I227">
        <f t="shared" si="7"/>
        <v>2291.1792369444447</v>
      </c>
      <c r="K227">
        <f>_xlfn.STDEV.S('R1'!L227,'R2'!L227,'R3'!L227)</f>
        <v>1.3035544162119666E-2</v>
      </c>
      <c r="L227">
        <f>_xlfn.STDEV.S('R1'!M227,'R2'!M227,'R3'!M227)</f>
        <v>1.0548311414530571E-2</v>
      </c>
      <c r="M227">
        <f>_xlfn.STDEV.S('R1'!N227,'R2'!N227,'R3'!N227)</f>
        <v>1.4229365205503119E-2</v>
      </c>
      <c r="N227">
        <f>_xlfn.STDEV.S('R1'!O227,'R2'!O227,'R3'!O227)</f>
        <v>8.5806444632537636E-3</v>
      </c>
    </row>
    <row r="228" spans="1:14" x14ac:dyDescent="0.25">
      <c r="A228">
        <f>-'R1'!H228</f>
        <v>8</v>
      </c>
      <c r="B228">
        <f>DEGREES(ATAN(-SIN(RADIANS(('R1'!I228)))/(COS(RADIANS(Sheet1!A228))*COS(RADIANS('R1'!I228)))))</f>
        <v>-32.252347723135095</v>
      </c>
      <c r="C228">
        <f>AVERAGE('R1'!J228,'R2'!J228,'R3'!J228)</f>
        <v>1.18</v>
      </c>
      <c r="D228">
        <f>AVERAGE('R1'!K228,'R2'!K228,'R3'!K228)</f>
        <v>11.642310583333334</v>
      </c>
      <c r="E228">
        <f>AVERAGE('R1'!L228,'R2'!L228,'R3'!L228)</f>
        <v>-2.2936825329452017</v>
      </c>
      <c r="F228">
        <f>AVERAGE('R1'!M228,'R2'!M228,'R3'!M228)</f>
        <v>-0.79046929983571657</v>
      </c>
      <c r="G228">
        <f>AVERAGE('R1'!N228,'R2'!N228,'R3'!N228)</f>
        <v>-1.0703879261341966</v>
      </c>
      <c r="H228">
        <f>AVERAGE('R1'!O228,'R2'!O228,'R3'!O228)</f>
        <v>-0.45603724488401437</v>
      </c>
      <c r="I228">
        <f t="shared" si="7"/>
        <v>2289.6544147222221</v>
      </c>
      <c r="K228">
        <f>_xlfn.STDEV.S('R1'!L228,'R2'!L228,'R3'!L228)</f>
        <v>1.487305686845336E-2</v>
      </c>
      <c r="L228">
        <f>_xlfn.STDEV.S('R1'!M228,'R2'!M228,'R3'!M228)</f>
        <v>5.1571566664036853E-3</v>
      </c>
      <c r="M228">
        <f>_xlfn.STDEV.S('R1'!N228,'R2'!N228,'R3'!N228)</f>
        <v>1.2973561396872101E-2</v>
      </c>
      <c r="N228">
        <f>_xlfn.STDEV.S('R1'!O228,'R2'!O228,'R3'!O228)</f>
        <v>2.1105990852367672E-3</v>
      </c>
    </row>
    <row r="229" spans="1:14" x14ac:dyDescent="0.25">
      <c r="A229">
        <f>-'R1'!H229</f>
        <v>8</v>
      </c>
      <c r="B229">
        <f>DEGREES(ATAN(-SIN(RADIANS(('R1'!I229)))/(COS(RADIANS(Sheet1!A229))*COS(RADIANS('R1'!I229)))))</f>
        <v>-36.2668517150396</v>
      </c>
      <c r="C229">
        <f>AVERAGE('R1'!J229,'R2'!J229,'R3'!J229)</f>
        <v>1.18</v>
      </c>
      <c r="D229">
        <f>AVERAGE('R1'!K229,'R2'!K229,'R3'!K229)</f>
        <v>11.564095833333333</v>
      </c>
      <c r="E229">
        <f>AVERAGE('R1'!L229,'R2'!L229,'R3'!L229)</f>
        <v>-2.8199141089316355</v>
      </c>
      <c r="F229">
        <f>AVERAGE('R1'!M229,'R2'!M229,'R3'!M229)</f>
        <v>-0.91436315580205607</v>
      </c>
      <c r="G229">
        <f>AVERAGE('R1'!N229,'R2'!N229,'R3'!N229)</f>
        <v>-1.5429880031220649</v>
      </c>
      <c r="H229">
        <f>AVERAGE('R1'!O229,'R2'!O229,'R3'!O229)</f>
        <v>-0.74710544367478204</v>
      </c>
      <c r="I229">
        <f t="shared" si="7"/>
        <v>2274.2721805555557</v>
      </c>
      <c r="K229">
        <f>_xlfn.STDEV.S('R1'!L229,'R2'!L229,'R3'!L229)</f>
        <v>2.7802762147668782E-2</v>
      </c>
      <c r="L229">
        <f>_xlfn.STDEV.S('R1'!M229,'R2'!M229,'R3'!M229)</f>
        <v>1.6237103619853293E-2</v>
      </c>
      <c r="M229">
        <f>_xlfn.STDEV.S('R1'!N229,'R2'!N229,'R3'!N229)</f>
        <v>2.93576732762614E-2</v>
      </c>
      <c r="N229">
        <f>_xlfn.STDEV.S('R1'!O229,'R2'!O229,'R3'!O229)</f>
        <v>1.3851538962777488E-2</v>
      </c>
    </row>
    <row r="230" spans="1:14" x14ac:dyDescent="0.25">
      <c r="A230">
        <f>-'R1'!H230</f>
        <v>8</v>
      </c>
      <c r="B230">
        <f>DEGREES(ATAN(-SIN(RADIANS(('R1'!I230)))/(COS(RADIANS(Sheet1!A230))*COS(RADIANS('R1'!I230)))))</f>
        <v>-40.276138588852518</v>
      </c>
      <c r="C230">
        <f>AVERAGE('R1'!J230,'R2'!J230,'R3'!J230)</f>
        <v>1.18</v>
      </c>
      <c r="D230">
        <f>AVERAGE('R1'!K230,'R2'!K230,'R3'!K230)</f>
        <v>11.483988916666668</v>
      </c>
      <c r="E230">
        <f>AVERAGE('R1'!L230,'R2'!L230,'R3'!L230)</f>
        <v>-3.5537662581160938</v>
      </c>
      <c r="F230">
        <f>AVERAGE('R1'!M230,'R2'!M230,'R3'!M230)</f>
        <v>-1.0950688825215149</v>
      </c>
      <c r="G230">
        <f>AVERAGE('R1'!N230,'R2'!N230,'R3'!N230)</f>
        <v>-2.2361360830796588</v>
      </c>
      <c r="H230">
        <f>AVERAGE('R1'!O230,'R2'!O230,'R3'!O230)</f>
        <v>-1.1302455953651529</v>
      </c>
      <c r="I230">
        <f t="shared" si="7"/>
        <v>2258.5178202777779</v>
      </c>
      <c r="K230">
        <f>_xlfn.STDEV.S('R1'!L230,'R2'!L230,'R3'!L230)</f>
        <v>3.237789582296062E-2</v>
      </c>
      <c r="L230">
        <f>_xlfn.STDEV.S('R1'!M230,'R2'!M230,'R3'!M230)</f>
        <v>4.5489338569766119E-3</v>
      </c>
      <c r="M230">
        <f>_xlfn.STDEV.S('R1'!N230,'R2'!N230,'R3'!N230)</f>
        <v>3.3580847465328807E-2</v>
      </c>
      <c r="N230">
        <f>_xlfn.STDEV.S('R1'!O230,'R2'!O230,'R3'!O230)</f>
        <v>1.0517352780029474E-2</v>
      </c>
    </row>
    <row r="231" spans="1:14" x14ac:dyDescent="0.25">
      <c r="A231">
        <f>-'R1'!H231</f>
        <v>8</v>
      </c>
      <c r="B231">
        <f>DEGREES(ATAN(-SIN(RADIANS(('R1'!I231)))/(COS(RADIANS(Sheet1!A231))*COS(RADIANS('R1'!I231)))))</f>
        <v>-44.280037446618948</v>
      </c>
      <c r="C231">
        <f>AVERAGE('R1'!J231,'R2'!J231,'R3'!J231)</f>
        <v>1.0816666666666668</v>
      </c>
      <c r="D231">
        <f>AVERAGE('R1'!K231,'R2'!K231,'R3'!K231)</f>
        <v>10.697517749999999</v>
      </c>
      <c r="E231">
        <f>AVERAGE('R1'!L231,'R2'!L231,'R3'!L231)</f>
        <v>-4.7753115865226805</v>
      </c>
      <c r="F231">
        <f>AVERAGE('R1'!M231,'R2'!M231,'R3'!M231)</f>
        <v>-1.38665089371747</v>
      </c>
      <c r="G231">
        <f>AVERAGE('R1'!N231,'R2'!N231,'R3'!N231)</f>
        <v>-3.4149254903475739</v>
      </c>
      <c r="H231">
        <f>AVERAGE('R1'!O231,'R2'!O231,'R3'!O231)</f>
        <v>-1.7423623193538598</v>
      </c>
      <c r="I231">
        <f t="shared" si="7"/>
        <v>1928.5247277083331</v>
      </c>
      <c r="K231">
        <f>_xlfn.STDEV.S('R1'!L231,'R2'!L231,'R3'!L231)</f>
        <v>0.11463852219779584</v>
      </c>
      <c r="L231">
        <f>_xlfn.STDEV.S('R1'!M231,'R2'!M231,'R3'!M231)</f>
        <v>1.5140284758416797E-2</v>
      </c>
      <c r="M231">
        <f>_xlfn.STDEV.S('R1'!N231,'R2'!N231,'R3'!N231)</f>
        <v>7.9508813848612858E-2</v>
      </c>
      <c r="N231">
        <f>_xlfn.STDEV.S('R1'!O231,'R2'!O231,'R3'!O231)</f>
        <v>3.7488869887062772E-2</v>
      </c>
    </row>
    <row r="232" spans="1:14" x14ac:dyDescent="0.25">
      <c r="A232">
        <f>-'R1'!H232</f>
        <v>4</v>
      </c>
      <c r="B232">
        <f>DEGREES(ATAN(-SIN(RADIANS(('R1'!I232)))/(COS(RADIANS(Sheet1!A232))*COS(RADIANS('R1'!I232)))))</f>
        <v>44.069830293849904</v>
      </c>
      <c r="C232">
        <f>AVERAGE('R1'!J232,'R2'!J232,'R3'!J232)</f>
        <v>1.18</v>
      </c>
      <c r="D232">
        <f>AVERAGE('R1'!K232,'R2'!K232,'R3'!K232)</f>
        <v>11.258952000000001</v>
      </c>
      <c r="E232">
        <f>AVERAGE('R1'!L232,'R2'!L232,'R3'!L232)</f>
        <v>2.9995583465735414</v>
      </c>
      <c r="F232">
        <f>AVERAGE('R1'!M232,'R2'!M232,'R3'!M232)</f>
        <v>-0.63743243679310135</v>
      </c>
      <c r="G232">
        <f>AVERAGE('R1'!N232,'R2'!N232,'R3'!N232)</f>
        <v>-1.6315091157193153</v>
      </c>
      <c r="H232">
        <f>AVERAGE('R1'!O232,'R2'!O232,'R3'!O232)</f>
        <v>-1.0197954681117458</v>
      </c>
      <c r="I232">
        <f t="shared" si="7"/>
        <v>2214.2605600000002</v>
      </c>
      <c r="K232">
        <f>_xlfn.STDEV.S('R1'!L232,'R2'!L232,'R3'!L232)</f>
        <v>1.4817506435638639E-2</v>
      </c>
      <c r="L232">
        <f>_xlfn.STDEV.S('R1'!M232,'R2'!M232,'R3'!M232)</f>
        <v>5.8925421106334518E-3</v>
      </c>
      <c r="M232">
        <f>_xlfn.STDEV.S('R1'!N232,'R2'!N232,'R3'!N232)</f>
        <v>1.4041463014428887E-2</v>
      </c>
      <c r="N232">
        <f>_xlfn.STDEV.S('R1'!O232,'R2'!O232,'R3'!O232)</f>
        <v>1.2589836319288731E-2</v>
      </c>
    </row>
    <row r="233" spans="1:14" x14ac:dyDescent="0.25">
      <c r="A233">
        <f>-'R1'!H233</f>
        <v>4</v>
      </c>
      <c r="B233">
        <f>DEGREES(ATAN(-SIN(RADIANS(('R1'!I233)))/(COS(RADIANS(Sheet1!A233))*COS(RADIANS('R1'!I233)))))</f>
        <v>40.068822978998547</v>
      </c>
      <c r="C233">
        <f>AVERAGE('R1'!J233,'R2'!J233,'R3'!J233)</f>
        <v>1.18</v>
      </c>
      <c r="D233">
        <f>AVERAGE('R1'!K233,'R2'!K233,'R3'!K233)</f>
        <v>11.269135666666665</v>
      </c>
      <c r="E233">
        <f>AVERAGE('R1'!L233,'R2'!L233,'R3'!L233)</f>
        <v>2.5611308804253543</v>
      </c>
      <c r="F233">
        <f>AVERAGE('R1'!M233,'R2'!M233,'R3'!M233)</f>
        <v>-0.57100931771909191</v>
      </c>
      <c r="G233">
        <f>AVERAGE('R1'!N233,'R2'!N233,'R3'!N233)</f>
        <v>-1.2126670891231395</v>
      </c>
      <c r="H233">
        <f>AVERAGE('R1'!O233,'R2'!O233,'R3'!O233)</f>
        <v>-0.73027122968853952</v>
      </c>
      <c r="I233">
        <f t="shared" si="7"/>
        <v>2216.2633477777777</v>
      </c>
      <c r="K233">
        <f>_xlfn.STDEV.S('R1'!L233,'R2'!L233,'R3'!L233)</f>
        <v>6.7582084636237287E-3</v>
      </c>
      <c r="L233">
        <f>_xlfn.STDEV.S('R1'!M233,'R2'!M233,'R3'!M233)</f>
        <v>1.1290566786483405E-2</v>
      </c>
      <c r="M233">
        <f>_xlfn.STDEV.S('R1'!N233,'R2'!N233,'R3'!N233)</f>
        <v>5.885693221581105E-3</v>
      </c>
      <c r="N233">
        <f>_xlfn.STDEV.S('R1'!O233,'R2'!O233,'R3'!O233)</f>
        <v>1.5524750621610328E-2</v>
      </c>
    </row>
    <row r="234" spans="1:14" x14ac:dyDescent="0.25">
      <c r="A234">
        <f>-'R1'!H234</f>
        <v>4</v>
      </c>
      <c r="B234">
        <f>DEGREES(ATAN(-SIN(RADIANS(('R1'!I234)))/(COS(RADIANS(Sheet1!A234))*COS(RADIANS('R1'!I234)))))</f>
        <v>36.066475262469574</v>
      </c>
      <c r="C234">
        <f>AVERAGE('R1'!J234,'R2'!J234,'R3'!J234)</f>
        <v>1.1824999999999999</v>
      </c>
      <c r="D234">
        <f>AVERAGE('R1'!K234,'R2'!K234,'R3'!K234)</f>
        <v>11.199364166666667</v>
      </c>
      <c r="E234">
        <f>AVERAGE('R1'!L234,'R2'!L234,'R3'!L234)</f>
        <v>2.2111613898397056</v>
      </c>
      <c r="F234">
        <f>AVERAGE('R1'!M234,'R2'!M234,'R3'!M234)</f>
        <v>-0.51498956108398863</v>
      </c>
      <c r="G234">
        <f>AVERAGE('R1'!N234,'R2'!N234,'R3'!N234)</f>
        <v>-0.89471240255558049</v>
      </c>
      <c r="H234">
        <f>AVERAGE('R1'!O234,'R2'!O234,'R3'!O234)</f>
        <v>-0.48595684415357171</v>
      </c>
      <c r="I234">
        <f t="shared" si="7"/>
        <v>2207.2080211805551</v>
      </c>
      <c r="K234">
        <f>_xlfn.STDEV.S('R1'!L234,'R2'!L234,'R3'!L234)</f>
        <v>1.5842955023790593E-2</v>
      </c>
      <c r="L234">
        <f>_xlfn.STDEV.S('R1'!M234,'R2'!M234,'R3'!M234)</f>
        <v>7.5766769010672183E-3</v>
      </c>
      <c r="M234">
        <f>_xlfn.STDEV.S('R1'!N234,'R2'!N234,'R3'!N234)</f>
        <v>1.8125348593000797E-2</v>
      </c>
      <c r="N234">
        <f>_xlfn.STDEV.S('R1'!O234,'R2'!O234,'R3'!O234)</f>
        <v>1.9350189347939431E-2</v>
      </c>
    </row>
    <row r="235" spans="1:14" x14ac:dyDescent="0.25">
      <c r="A235">
        <f>-'R1'!H235</f>
        <v>4</v>
      </c>
      <c r="B235">
        <f>DEGREES(ATAN(-SIN(RADIANS(('R1'!I235)))/(COS(RADIANS(Sheet1!A235))*COS(RADIANS('R1'!I235)))))</f>
        <v>32.062832231023428</v>
      </c>
      <c r="C235">
        <f>AVERAGE('R1'!J235,'R2'!J235,'R3'!J235)</f>
        <v>1.18</v>
      </c>
      <c r="D235">
        <f>AVERAGE('R1'!K235,'R2'!K235,'R3'!K235)</f>
        <v>11.284547333333334</v>
      </c>
      <c r="E235">
        <f>AVERAGE('R1'!L235,'R2'!L235,'R3'!L235)</f>
        <v>1.9423760065540803</v>
      </c>
      <c r="F235">
        <f>AVERAGE('R1'!M235,'R2'!M235,'R3'!M235)</f>
        <v>-0.46470377370044019</v>
      </c>
      <c r="G235">
        <f>AVERAGE('R1'!N235,'R2'!N235,'R3'!N235)</f>
        <v>-0.66361962555879972</v>
      </c>
      <c r="H235">
        <f>AVERAGE('R1'!O235,'R2'!O235,'R3'!O235)</f>
        <v>-0.28314634689800444</v>
      </c>
      <c r="I235">
        <f t="shared" si="7"/>
        <v>2219.2943088888887</v>
      </c>
      <c r="K235">
        <f>_xlfn.STDEV.S('R1'!L235,'R2'!L235,'R3'!L235)</f>
        <v>1.0977824455037847E-2</v>
      </c>
      <c r="L235">
        <f>_xlfn.STDEV.S('R1'!M235,'R2'!M235,'R3'!M235)</f>
        <v>8.385613352355846E-3</v>
      </c>
      <c r="M235">
        <f>_xlfn.STDEV.S('R1'!N235,'R2'!N235,'R3'!N235)</f>
        <v>5.561472775631798E-3</v>
      </c>
      <c r="N235">
        <f>_xlfn.STDEV.S('R1'!O235,'R2'!O235,'R3'!O235)</f>
        <v>7.512103885925929E-3</v>
      </c>
    </row>
    <row r="236" spans="1:14" x14ac:dyDescent="0.25">
      <c r="A236">
        <f>-'R1'!H236</f>
        <v>4</v>
      </c>
      <c r="B236">
        <f>DEGREES(ATAN(-SIN(RADIANS(('R1'!I236)))/(COS(RADIANS(Sheet1!A236))*COS(RADIANS('R1'!I236)))))</f>
        <v>28.057964295258</v>
      </c>
      <c r="C236">
        <f>AVERAGE('R1'!J236,'R2'!J236,'R3'!J236)</f>
        <v>1.18</v>
      </c>
      <c r="D236">
        <f>AVERAGE('R1'!K236,'R2'!K236,'R3'!K236)</f>
        <v>11.278199000000001</v>
      </c>
      <c r="E236">
        <f>AVERAGE('R1'!L236,'R2'!L236,'R3'!L236)</f>
        <v>1.7130023067638869</v>
      </c>
      <c r="F236">
        <f>AVERAGE('R1'!M236,'R2'!M236,'R3'!M236)</f>
        <v>-0.42549080378209347</v>
      </c>
      <c r="G236">
        <f>AVERAGE('R1'!N236,'R2'!N236,'R3'!N236)</f>
        <v>-0.48330568260211154</v>
      </c>
      <c r="H236">
        <f>AVERAGE('R1'!O236,'R2'!O236,'R3'!O236)</f>
        <v>-0.10351276752191668</v>
      </c>
      <c r="I236">
        <f t="shared" si="7"/>
        <v>2218.0458033333334</v>
      </c>
      <c r="K236">
        <f>_xlfn.STDEV.S('R1'!L236,'R2'!L236,'R3'!L236)</f>
        <v>9.5402170607713933E-3</v>
      </c>
      <c r="L236">
        <f>_xlfn.STDEV.S('R1'!M236,'R2'!M236,'R3'!M236)</f>
        <v>4.8942129880062612E-3</v>
      </c>
      <c r="M236">
        <f>_xlfn.STDEV.S('R1'!N236,'R2'!N236,'R3'!N236)</f>
        <v>1.2056522681245142E-2</v>
      </c>
      <c r="N236">
        <f>_xlfn.STDEV.S('R1'!O236,'R2'!O236,'R3'!O236)</f>
        <v>4.4341903040284944E-3</v>
      </c>
    </row>
    <row r="237" spans="1:14" x14ac:dyDescent="0.25">
      <c r="A237">
        <f>-'R1'!H237</f>
        <v>4</v>
      </c>
      <c r="B237">
        <f>DEGREES(ATAN(-SIN(RADIANS(('R1'!I237)))/(COS(RADIANS(Sheet1!A237))*COS(RADIANS('R1'!I237)))))</f>
        <v>24.051965857834489</v>
      </c>
      <c r="C237">
        <f>AVERAGE('R1'!J237,'R2'!J237,'R3'!J237)</f>
        <v>1.18</v>
      </c>
      <c r="D237">
        <f>AVERAGE('R1'!K237,'R2'!K237,'R3'!K237)</f>
        <v>11.214864916666665</v>
      </c>
      <c r="E237">
        <f>AVERAGE('R1'!L237,'R2'!L237,'R3'!L237)</f>
        <v>1.495391131295212</v>
      </c>
      <c r="F237">
        <f>AVERAGE('R1'!M237,'R2'!M237,'R3'!M237)</f>
        <v>-0.40114747575048426</v>
      </c>
      <c r="G237">
        <f>AVERAGE('R1'!N237,'R2'!N237,'R3'!N237)</f>
        <v>-0.34135810306406728</v>
      </c>
      <c r="H237">
        <f>AVERAGE('R1'!O237,'R2'!O237,'R3'!O237)</f>
        <v>6.154076483169877E-2</v>
      </c>
      <c r="I237">
        <f t="shared" si="7"/>
        <v>2205.5901002777773</v>
      </c>
      <c r="K237">
        <f>_xlfn.STDEV.S('R1'!L237,'R2'!L237,'R3'!L237)</f>
        <v>1.4538110055477053E-2</v>
      </c>
      <c r="L237">
        <f>_xlfn.STDEV.S('R1'!M237,'R2'!M237,'R3'!M237)</f>
        <v>6.0846627459248646E-3</v>
      </c>
      <c r="M237">
        <f>_xlfn.STDEV.S('R1'!N237,'R2'!N237,'R3'!N237)</f>
        <v>7.6643239570684182E-3</v>
      </c>
      <c r="N237">
        <f>_xlfn.STDEV.S('R1'!O237,'R2'!O237,'R3'!O237)</f>
        <v>1.1914604440822393E-2</v>
      </c>
    </row>
    <row r="238" spans="1:14" x14ac:dyDescent="0.25">
      <c r="A238">
        <f>-'R1'!H238</f>
        <v>4</v>
      </c>
      <c r="B238">
        <f>DEGREES(ATAN(-SIN(RADIANS(('R1'!I238)))/(COS(RADIANS(Sheet1!A238))*COS(RADIANS('R1'!I238)))))</f>
        <v>20.044953503068641</v>
      </c>
      <c r="C238">
        <f>AVERAGE('R1'!J238,'R2'!J238,'R3'!J238)</f>
        <v>1.18</v>
      </c>
      <c r="D238">
        <f>AVERAGE('R1'!K238,'R2'!K238,'R3'!K238)</f>
        <v>11.194441583333335</v>
      </c>
      <c r="E238">
        <f>AVERAGE('R1'!L238,'R2'!L238,'R3'!L238)</f>
        <v>1.283138174565096</v>
      </c>
      <c r="F238">
        <f>AVERAGE('R1'!M238,'R2'!M238,'R3'!M238)</f>
        <v>-0.38830753363160114</v>
      </c>
      <c r="G238">
        <f>AVERAGE('R1'!N238,'R2'!N238,'R3'!N238)</f>
        <v>-0.22556812616321484</v>
      </c>
      <c r="H238">
        <f>AVERAGE('R1'!O238,'R2'!O238,'R3'!O238)</f>
        <v>0.22535579469111858</v>
      </c>
      <c r="I238">
        <f t="shared" si="7"/>
        <v>2201.5735113888895</v>
      </c>
      <c r="K238">
        <f>_xlfn.STDEV.S('R1'!L238,'R2'!L238,'R3'!L238)</f>
        <v>6.0919371700286478E-3</v>
      </c>
      <c r="L238">
        <f>_xlfn.STDEV.S('R1'!M238,'R2'!M238,'R3'!M238)</f>
        <v>5.9902277609904927E-3</v>
      </c>
      <c r="M238">
        <f>_xlfn.STDEV.S('R1'!N238,'R2'!N238,'R3'!N238)</f>
        <v>6.6785287782207634E-3</v>
      </c>
      <c r="N238">
        <f>_xlfn.STDEV.S('R1'!O238,'R2'!O238,'R3'!O238)</f>
        <v>5.0554341728123644E-3</v>
      </c>
    </row>
    <row r="239" spans="1:14" x14ac:dyDescent="0.25">
      <c r="A239">
        <f>-'R1'!H239</f>
        <v>4</v>
      </c>
      <c r="B239">
        <f>DEGREES(ATAN(-SIN(RADIANS(('R1'!I239)))/(COS(RADIANS(Sheet1!A239))*COS(RADIANS('R1'!I239)))))</f>
        <v>16.037063740993869</v>
      </c>
      <c r="C239">
        <f>AVERAGE('R1'!J239,'R2'!J239,'R3'!J239)</f>
        <v>1.1808333333333332</v>
      </c>
      <c r="D239">
        <f>AVERAGE('R1'!K239,'R2'!K239,'R3'!K239)</f>
        <v>11.13437925</v>
      </c>
      <c r="E239">
        <f>AVERAGE('R1'!L239,'R2'!L239,'R3'!L239)</f>
        <v>1.0622996457972613</v>
      </c>
      <c r="F239">
        <f>AVERAGE('R1'!M239,'R2'!M239,'R3'!M239)</f>
        <v>-0.38288514997972611</v>
      </c>
      <c r="G239">
        <f>AVERAGE('R1'!N239,'R2'!N239,'R3'!N239)</f>
        <v>-0.13564748787744016</v>
      </c>
      <c r="H239">
        <f>AVERAGE('R1'!O239,'R2'!O239,'R3'!O239)</f>
        <v>0.39989801113965179</v>
      </c>
      <c r="I239">
        <f t="shared" si="7"/>
        <v>2191.3076940624996</v>
      </c>
      <c r="K239">
        <f>_xlfn.STDEV.S('R1'!L239,'R2'!L239,'R3'!L239)</f>
        <v>9.8312768314014875E-3</v>
      </c>
      <c r="L239">
        <f>_xlfn.STDEV.S('R1'!M239,'R2'!M239,'R3'!M239)</f>
        <v>1.174256216284476E-2</v>
      </c>
      <c r="M239">
        <f>_xlfn.STDEV.S('R1'!N239,'R2'!N239,'R3'!N239)</f>
        <v>1.1843913185549802E-2</v>
      </c>
      <c r="N239">
        <f>_xlfn.STDEV.S('R1'!O239,'R2'!O239,'R3'!O239)</f>
        <v>3.4071054157085745E-3</v>
      </c>
    </row>
    <row r="240" spans="1:14" x14ac:dyDescent="0.25">
      <c r="A240">
        <f>-'R1'!H240</f>
        <v>4</v>
      </c>
      <c r="B240">
        <f>DEGREES(ATAN(-SIN(RADIANS(('R1'!I240)))/(COS(RADIANS(Sheet1!A240))*COS(RADIANS('R1'!I240)))))</f>
        <v>12.028450348745874</v>
      </c>
      <c r="C240">
        <f>AVERAGE('R1'!J240,'R2'!J240,'R3'!J240)</f>
        <v>1.1808333333333332</v>
      </c>
      <c r="D240">
        <f>AVERAGE('R1'!K240,'R2'!K240,'R3'!K240)</f>
        <v>11.130600416666667</v>
      </c>
      <c r="E240">
        <f>AVERAGE('R1'!L240,'R2'!L240,'R3'!L240)</f>
        <v>0.82974945551095669</v>
      </c>
      <c r="F240">
        <f>AVERAGE('R1'!M240,'R2'!M240,'R3'!M240)</f>
        <v>-0.40848970471711049</v>
      </c>
      <c r="G240">
        <f>AVERAGE('R1'!N240,'R2'!N240,'R3'!N240)</f>
        <v>-7.9629551988965111E-2</v>
      </c>
      <c r="H240">
        <f>AVERAGE('R1'!O240,'R2'!O240,'R3'!O240)</f>
        <v>0.5632006693733409</v>
      </c>
      <c r="I240">
        <f t="shared" si="7"/>
        <v>2190.5639986689812</v>
      </c>
      <c r="K240">
        <f>_xlfn.STDEV.S('R1'!L240,'R2'!L240,'R3'!L240)</f>
        <v>1.1370878690819883E-2</v>
      </c>
      <c r="L240">
        <f>_xlfn.STDEV.S('R1'!M240,'R2'!M240,'R3'!M240)</f>
        <v>9.9000743679047796E-3</v>
      </c>
      <c r="M240">
        <f>_xlfn.STDEV.S('R1'!N240,'R2'!N240,'R3'!N240)</f>
        <v>6.8001245706607602E-3</v>
      </c>
      <c r="N240">
        <f>_xlfn.STDEV.S('R1'!O240,'R2'!O240,'R3'!O240)</f>
        <v>5.0207377880960753E-3</v>
      </c>
    </row>
    <row r="241" spans="1:14" x14ac:dyDescent="0.25">
      <c r="A241">
        <f>-'R1'!H241</f>
        <v>4</v>
      </c>
      <c r="B241">
        <f>DEGREES(ATAN(-SIN(RADIANS(('R1'!I241)))/(COS(RADIANS(Sheet1!A241))*COS(RADIANS('R1'!I241)))))</f>
        <v>8.0192813611150822</v>
      </c>
      <c r="C241">
        <f>AVERAGE('R1'!J241,'R2'!J241,'R3'!J241)</f>
        <v>1.18</v>
      </c>
      <c r="D241">
        <f>AVERAGE('R1'!K241,'R2'!K241,'R3'!K241)</f>
        <v>11.221054916666665</v>
      </c>
      <c r="E241">
        <f>AVERAGE('R1'!L241,'R2'!L241,'R3'!L241)</f>
        <v>0.56008300503070307</v>
      </c>
      <c r="F241">
        <f>AVERAGE('R1'!M241,'R2'!M241,'R3'!M241)</f>
        <v>-0.43189841193380074</v>
      </c>
      <c r="G241">
        <f>AVERAGE('R1'!N241,'R2'!N241,'R3'!N241)</f>
        <v>-3.9989367755732509E-2</v>
      </c>
      <c r="H241">
        <f>AVERAGE('R1'!O241,'R2'!O241,'R3'!O241)</f>
        <v>0.74180385664003012</v>
      </c>
      <c r="I241">
        <f t="shared" si="7"/>
        <v>2206.8074669444441</v>
      </c>
      <c r="K241">
        <f>_xlfn.STDEV.S('R1'!L241,'R2'!L241,'R3'!L241)</f>
        <v>4.0409952812391937E-3</v>
      </c>
      <c r="L241">
        <f>_xlfn.STDEV.S('R1'!M241,'R2'!M241,'R3'!M241)</f>
        <v>1.4029838564427546E-2</v>
      </c>
      <c r="M241">
        <f>_xlfn.STDEV.S('R1'!N241,'R2'!N241,'R3'!N241)</f>
        <v>1.5652519574691819E-2</v>
      </c>
      <c r="N241">
        <f>_xlfn.STDEV.S('R1'!O241,'R2'!O241,'R3'!O241)</f>
        <v>9.5529249846941101E-3</v>
      </c>
    </row>
    <row r="242" spans="1:14" x14ac:dyDescent="0.25">
      <c r="A242">
        <f>-'R1'!H242</f>
        <v>4</v>
      </c>
      <c r="B242">
        <f>DEGREES(ATAN(-SIN(RADIANS(('R1'!I242)))/(COS(RADIANS(Sheet1!A242))*COS(RADIANS('R1'!I242)))))</f>
        <v>4.0097357700975991</v>
      </c>
      <c r="C242">
        <f>AVERAGE('R1'!J242,'R2'!J242,'R3'!J242)</f>
        <v>1.18</v>
      </c>
      <c r="D242">
        <f>AVERAGE('R1'!K242,'R2'!K242,'R3'!K242)</f>
        <v>11.246282416666666</v>
      </c>
      <c r="E242">
        <f>AVERAGE('R1'!L242,'R2'!L242,'R3'!L242)</f>
        <v>0.26121252778732623</v>
      </c>
      <c r="F242">
        <f>AVERAGE('R1'!M242,'R2'!M242,'R3'!M242)</f>
        <v>-0.45925579174597003</v>
      </c>
      <c r="G242">
        <f>AVERAGE('R1'!N242,'R2'!N242,'R3'!N242)</f>
        <v>-2.2784715494627447E-2</v>
      </c>
      <c r="H242">
        <f>AVERAGE('R1'!O242,'R2'!O242,'R3'!O242)</f>
        <v>0.9234865698322019</v>
      </c>
      <c r="I242">
        <f t="shared" si="7"/>
        <v>2211.7688752777776</v>
      </c>
      <c r="K242">
        <f>_xlfn.STDEV.S('R1'!L242,'R2'!L242,'R3'!L242)</f>
        <v>7.2756741927700475E-3</v>
      </c>
      <c r="L242">
        <f>_xlfn.STDEV.S('R1'!M242,'R2'!M242,'R3'!M242)</f>
        <v>4.8910396600397111E-3</v>
      </c>
      <c r="M242">
        <f>_xlfn.STDEV.S('R1'!N242,'R2'!N242,'R3'!N242)</f>
        <v>1.401803286740305E-2</v>
      </c>
      <c r="N242">
        <f>_xlfn.STDEV.S('R1'!O242,'R2'!O242,'R3'!O242)</f>
        <v>1.1420229298255298E-2</v>
      </c>
    </row>
    <row r="243" spans="1:14" x14ac:dyDescent="0.25">
      <c r="A243">
        <f>-'R1'!H243</f>
        <v>4</v>
      </c>
      <c r="B243">
        <f>DEGREES(ATAN(-SIN(RADIANS(('R1'!I243)))/(COS(RADIANS(Sheet1!A243))*COS(RADIANS('R1'!I243)))))</f>
        <v>0</v>
      </c>
      <c r="C243">
        <f>AVERAGE('R1'!J243,'R2'!J243,'R3'!J243)</f>
        <v>1.18</v>
      </c>
      <c r="D243">
        <f>AVERAGE('R1'!K243,'R2'!K243,'R3'!K243)</f>
        <v>11.296418916666667</v>
      </c>
      <c r="E243">
        <f>AVERAGE('R1'!L243,'R2'!L243,'R3'!L243)</f>
        <v>-9.5350564278762137E-2</v>
      </c>
      <c r="F243">
        <f>AVERAGE('R1'!M243,'R2'!M243,'R3'!M243)</f>
        <v>-0.45904904221967341</v>
      </c>
      <c r="G243">
        <f>AVERAGE('R1'!N243,'R2'!N243,'R3'!N243)</f>
        <v>-1.4581006353971838E-2</v>
      </c>
      <c r="H243">
        <f>AVERAGE('R1'!O243,'R2'!O243,'R3'!O243)</f>
        <v>1.0225550764437867</v>
      </c>
      <c r="I243">
        <f t="shared" si="7"/>
        <v>2221.629053611111</v>
      </c>
      <c r="K243">
        <f>_xlfn.STDEV.S('R1'!L243,'R2'!L243,'R3'!L243)</f>
        <v>4.9307038671519586E-3</v>
      </c>
      <c r="L243">
        <f>_xlfn.STDEV.S('R1'!M243,'R2'!M243,'R3'!M243)</f>
        <v>3.5223384402428481E-3</v>
      </c>
      <c r="M243">
        <f>_xlfn.STDEV.S('R1'!N243,'R2'!N243,'R3'!N243)</f>
        <v>1.3311367886593433E-2</v>
      </c>
      <c r="N243">
        <f>_xlfn.STDEV.S('R1'!O243,'R2'!O243,'R3'!O243)</f>
        <v>8.7795078787748591E-3</v>
      </c>
    </row>
    <row r="244" spans="1:14" x14ac:dyDescent="0.25">
      <c r="A244">
        <f>-'R1'!H244</f>
        <v>4</v>
      </c>
      <c r="B244">
        <f>DEGREES(ATAN(-SIN(RADIANS(('R1'!I244)))/(COS(RADIANS(Sheet1!A244))*COS(RADIANS('R1'!I244)))))</f>
        <v>-4.0097357700975991</v>
      </c>
      <c r="C244">
        <f>AVERAGE('R1'!J244,'R2'!J244,'R3'!J244)</f>
        <v>1.1808333333333332</v>
      </c>
      <c r="D244">
        <f>AVERAGE('R1'!K244,'R2'!K244,'R3'!K244)</f>
        <v>11.349459000000001</v>
      </c>
      <c r="E244">
        <f>AVERAGE('R1'!L244,'R2'!L244,'R3'!L244)</f>
        <v>-0.42154018622748674</v>
      </c>
      <c r="F244">
        <f>AVERAGE('R1'!M244,'R2'!M244,'R3'!M244)</f>
        <v>-0.41833300880632912</v>
      </c>
      <c r="G244">
        <f>AVERAGE('R1'!N244,'R2'!N244,'R3'!N244)</f>
        <v>-2.8785624698973011E-2</v>
      </c>
      <c r="H244">
        <f>AVERAGE('R1'!O244,'R2'!O244,'R3'!O244)</f>
        <v>0.84621049470308984</v>
      </c>
      <c r="I244">
        <f t="shared" si="7"/>
        <v>2233.6365837500002</v>
      </c>
      <c r="K244">
        <f>_xlfn.STDEV.S('R1'!L244,'R2'!L244,'R3'!L244)</f>
        <v>2.8676266203681252E-3</v>
      </c>
      <c r="L244">
        <f>_xlfn.STDEV.S('R1'!M244,'R2'!M244,'R3'!M244)</f>
        <v>6.4464799277486953E-3</v>
      </c>
      <c r="M244">
        <f>_xlfn.STDEV.S('R1'!N244,'R2'!N244,'R3'!N244)</f>
        <v>1.0896477392494833E-2</v>
      </c>
      <c r="N244">
        <f>_xlfn.STDEV.S('R1'!O244,'R2'!O244,'R3'!O244)</f>
        <v>5.9828237642961576E-3</v>
      </c>
    </row>
    <row r="245" spans="1:14" x14ac:dyDescent="0.25">
      <c r="A245">
        <f>-'R1'!H245</f>
        <v>4</v>
      </c>
      <c r="B245">
        <f>DEGREES(ATAN(-SIN(RADIANS(('R1'!I245)))/(COS(RADIANS(Sheet1!A245))*COS(RADIANS('R1'!I245)))))</f>
        <v>-8.0192813611150822</v>
      </c>
      <c r="C245">
        <f>AVERAGE('R1'!J245,'R2'!J245,'R3'!J245)</f>
        <v>1.18</v>
      </c>
      <c r="D245">
        <f>AVERAGE('R1'!K245,'R2'!K245,'R3'!K245)</f>
        <v>11.36637475</v>
      </c>
      <c r="E245">
        <f>AVERAGE('R1'!L245,'R2'!L245,'R3'!L245)</f>
        <v>-0.70120812507280961</v>
      </c>
      <c r="F245">
        <f>AVERAGE('R1'!M245,'R2'!M245,'R3'!M245)</f>
        <v>-0.37147318181706046</v>
      </c>
      <c r="G245">
        <f>AVERAGE('R1'!N245,'R2'!N245,'R3'!N245)</f>
        <v>-4.9710850267814181E-2</v>
      </c>
      <c r="H245">
        <f>AVERAGE('R1'!O245,'R2'!O245,'R3'!O245)</f>
        <v>0.69085231904765154</v>
      </c>
      <c r="I245">
        <f t="shared" si="7"/>
        <v>2235.3870341666666</v>
      </c>
      <c r="K245">
        <f>_xlfn.STDEV.S('R1'!L245,'R2'!L245,'R3'!L245)</f>
        <v>1.1740187984351769E-2</v>
      </c>
      <c r="L245">
        <f>_xlfn.STDEV.S('R1'!M245,'R2'!M245,'R3'!M245)</f>
        <v>8.6254993161485327E-3</v>
      </c>
      <c r="M245">
        <f>_xlfn.STDEV.S('R1'!N245,'R2'!N245,'R3'!N245)</f>
        <v>1.1197806072434886E-2</v>
      </c>
      <c r="N245">
        <f>_xlfn.STDEV.S('R1'!O245,'R2'!O245,'R3'!O245)</f>
        <v>1.0444008518836751E-2</v>
      </c>
    </row>
    <row r="246" spans="1:14" x14ac:dyDescent="0.25">
      <c r="A246">
        <f>-'R1'!H246</f>
        <v>4</v>
      </c>
      <c r="B246">
        <f>DEGREES(ATAN(-SIN(RADIANS(('R1'!I246)))/(COS(RADIANS(Sheet1!A246))*COS(RADIANS('R1'!I246)))))</f>
        <v>-12.028450348745874</v>
      </c>
      <c r="C246">
        <f>AVERAGE('R1'!J246,'R2'!J246,'R3'!J246)</f>
        <v>1.18</v>
      </c>
      <c r="D246">
        <f>AVERAGE('R1'!K246,'R2'!K246,'R3'!K246)</f>
        <v>11.410524500000001</v>
      </c>
      <c r="E246">
        <f>AVERAGE('R1'!L246,'R2'!L246,'R3'!L246)</f>
        <v>-0.95059174201682739</v>
      </c>
      <c r="F246">
        <f>AVERAGE('R1'!M246,'R2'!M246,'R3'!M246)</f>
        <v>-0.33308035413657205</v>
      </c>
      <c r="G246">
        <f>AVERAGE('R1'!N246,'R2'!N246,'R3'!N246)</f>
        <v>-0.10031571084825318</v>
      </c>
      <c r="H246">
        <f>AVERAGE('R1'!O246,'R2'!O246,'R3'!O246)</f>
        <v>0.53762537926559151</v>
      </c>
      <c r="I246">
        <f t="shared" si="7"/>
        <v>2244.0698183333334</v>
      </c>
      <c r="K246">
        <f>_xlfn.STDEV.S('R1'!L246,'R2'!L246,'R3'!L246)</f>
        <v>9.1045890950364992E-3</v>
      </c>
      <c r="L246">
        <f>_xlfn.STDEV.S('R1'!M246,'R2'!M246,'R3'!M246)</f>
        <v>3.8666645372770437E-3</v>
      </c>
      <c r="M246">
        <f>_xlfn.STDEV.S('R1'!N246,'R2'!N246,'R3'!N246)</f>
        <v>1.0469811476981774E-2</v>
      </c>
      <c r="N246">
        <f>_xlfn.STDEV.S('R1'!O246,'R2'!O246,'R3'!O246)</f>
        <v>1.5455400674861695E-2</v>
      </c>
    </row>
    <row r="247" spans="1:14" x14ac:dyDescent="0.25">
      <c r="A247">
        <f>-'R1'!H247</f>
        <v>4</v>
      </c>
      <c r="B247">
        <f>DEGREES(ATAN(-SIN(RADIANS(('R1'!I247)))/(COS(RADIANS(Sheet1!A247))*COS(RADIANS('R1'!I247)))))</f>
        <v>-16.037063740993869</v>
      </c>
      <c r="C247">
        <f>AVERAGE('R1'!J247,'R2'!J247,'R3'!J247)</f>
        <v>1.1816666666666666</v>
      </c>
      <c r="D247">
        <f>AVERAGE('R1'!K247,'R2'!K247,'R3'!K247)</f>
        <v>11.444369</v>
      </c>
      <c r="E247">
        <f>AVERAGE('R1'!L247,'R2'!L247,'R3'!L247)</f>
        <v>-1.189759121637771</v>
      </c>
      <c r="F247">
        <f>AVERAGE('R1'!M247,'R2'!M247,'R3'!M247)</f>
        <v>-0.33478884112039159</v>
      </c>
      <c r="G247">
        <f>AVERAGE('R1'!N247,'R2'!N247,'R3'!N247)</f>
        <v>-0.19447262974565091</v>
      </c>
      <c r="H247">
        <f>AVERAGE('R1'!O247,'R2'!O247,'R3'!O247)</f>
        <v>0.37372544004936809</v>
      </c>
      <c r="I247">
        <f t="shared" si="7"/>
        <v>2253.9048947222223</v>
      </c>
      <c r="K247">
        <f>_xlfn.STDEV.S('R1'!L247,'R2'!L247,'R3'!L247)</f>
        <v>7.2568701762573346E-3</v>
      </c>
      <c r="L247">
        <f>_xlfn.STDEV.S('R1'!M247,'R2'!M247,'R3'!M247)</f>
        <v>1.2099868158421878E-3</v>
      </c>
      <c r="M247">
        <f>_xlfn.STDEV.S('R1'!N247,'R2'!N247,'R3'!N247)</f>
        <v>1.1448739483563735E-2</v>
      </c>
      <c r="N247">
        <f>_xlfn.STDEV.S('R1'!O247,'R2'!O247,'R3'!O247)</f>
        <v>1.1429965378665502E-2</v>
      </c>
    </row>
    <row r="248" spans="1:14" x14ac:dyDescent="0.25">
      <c r="A248">
        <f>-'R1'!H248</f>
        <v>4</v>
      </c>
      <c r="B248">
        <f>DEGREES(ATAN(-SIN(RADIANS(('R1'!I248)))/(COS(RADIANS(Sheet1!A248))*COS(RADIANS('R1'!I248)))))</f>
        <v>-20.044953503068641</v>
      </c>
      <c r="C248">
        <f>AVERAGE('R1'!J248,'R2'!J248,'R3'!J248)</f>
        <v>1.18</v>
      </c>
      <c r="D248">
        <f>AVERAGE('R1'!K248,'R2'!K248,'R3'!K248)</f>
        <v>11.467351416666666</v>
      </c>
      <c r="E248">
        <f>AVERAGE('R1'!L248,'R2'!L248,'R3'!L248)</f>
        <v>-1.4317440349836759</v>
      </c>
      <c r="F248">
        <f>AVERAGE('R1'!M248,'R2'!M248,'R3'!M248)</f>
        <v>-0.33079649247572501</v>
      </c>
      <c r="G248">
        <f>AVERAGE('R1'!N248,'R2'!N248,'R3'!N248)</f>
        <v>-0.32288223060470894</v>
      </c>
      <c r="H248">
        <f>AVERAGE('R1'!O248,'R2'!O248,'R3'!O248)</f>
        <v>0.22380517379943535</v>
      </c>
      <c r="I248">
        <f t="shared" si="7"/>
        <v>2255.2457786111108</v>
      </c>
      <c r="K248">
        <f>_xlfn.STDEV.S('R1'!L248,'R2'!L248,'R3'!L248)</f>
        <v>1.0212246546436828E-2</v>
      </c>
      <c r="L248">
        <f>_xlfn.STDEV.S('R1'!M248,'R2'!M248,'R3'!M248)</f>
        <v>1.1756513204436674E-2</v>
      </c>
      <c r="M248">
        <f>_xlfn.STDEV.S('R1'!N248,'R2'!N248,'R3'!N248)</f>
        <v>8.4178000290127831E-3</v>
      </c>
      <c r="N248">
        <f>_xlfn.STDEV.S('R1'!O248,'R2'!O248,'R3'!O248)</f>
        <v>7.395322105968381E-3</v>
      </c>
    </row>
    <row r="249" spans="1:14" x14ac:dyDescent="0.25">
      <c r="A249">
        <f>-'R1'!H249</f>
        <v>4</v>
      </c>
      <c r="B249">
        <f>DEGREES(ATAN(-SIN(RADIANS(('R1'!I249)))/(COS(RADIANS(Sheet1!A249))*COS(RADIANS('R1'!I249)))))</f>
        <v>-24.051965857834489</v>
      </c>
      <c r="C249">
        <f>AVERAGE('R1'!J249,'R2'!J249,'R3'!J249)</f>
        <v>1.18</v>
      </c>
      <c r="D249">
        <f>AVERAGE('R1'!K249,'R2'!K249,'R3'!K249)</f>
        <v>11.513258333333333</v>
      </c>
      <c r="E249">
        <f>AVERAGE('R1'!L249,'R2'!L249,'R3'!L249)</f>
        <v>-1.7175127539838613</v>
      </c>
      <c r="F249">
        <f>AVERAGE('R1'!M249,'R2'!M249,'R3'!M249)</f>
        <v>-0.36043458549961366</v>
      </c>
      <c r="G249">
        <f>AVERAGE('R1'!N249,'R2'!N249,'R3'!N249)</f>
        <v>-0.51708887572143936</v>
      </c>
      <c r="H249">
        <f>AVERAGE('R1'!O249,'R2'!O249,'R3'!O249)</f>
        <v>5.1421885579222025E-2</v>
      </c>
      <c r="I249">
        <f t="shared" si="7"/>
        <v>2264.274138888889</v>
      </c>
      <c r="K249">
        <f>_xlfn.STDEV.S('R1'!L249,'R2'!L249,'R3'!L249)</f>
        <v>8.9829062733532694E-3</v>
      </c>
      <c r="L249">
        <f>_xlfn.STDEV.S('R1'!M249,'R2'!M249,'R3'!M249)</f>
        <v>1.0261970697494625E-2</v>
      </c>
      <c r="M249">
        <f>_xlfn.STDEV.S('R1'!N249,'R2'!N249,'R3'!N249)</f>
        <v>5.8630221940662091E-3</v>
      </c>
      <c r="N249">
        <f>_xlfn.STDEV.S('R1'!O249,'R2'!O249,'R3'!O249)</f>
        <v>7.3443271523560699E-3</v>
      </c>
    </row>
    <row r="250" spans="1:14" x14ac:dyDescent="0.25">
      <c r="A250">
        <f>-'R1'!H250</f>
        <v>4</v>
      </c>
      <c r="B250">
        <f>DEGREES(ATAN(-SIN(RADIANS(('R1'!I250)))/(COS(RADIANS(Sheet1!A250))*COS(RADIANS('R1'!I250)))))</f>
        <v>-28.057964295258</v>
      </c>
      <c r="C250">
        <f>AVERAGE('R1'!J250,'R2'!J250,'R3'!J250)</f>
        <v>1.1816666666666666</v>
      </c>
      <c r="D250">
        <f>AVERAGE('R1'!K250,'R2'!K250,'R3'!K250)</f>
        <v>11.524474500000002</v>
      </c>
      <c r="E250">
        <f>AVERAGE('R1'!L250,'R2'!L250,'R3'!L250)</f>
        <v>-2.0550206721860946</v>
      </c>
      <c r="F250">
        <f>AVERAGE('R1'!M250,'R2'!M250,'R3'!M250)</f>
        <v>-0.39310739649476978</v>
      </c>
      <c r="G250">
        <f>AVERAGE('R1'!N250,'R2'!N250,'R3'!N250)</f>
        <v>-0.76906011261153751</v>
      </c>
      <c r="H250">
        <f>AVERAGE('R1'!O250,'R2'!O250,'R3'!O250)</f>
        <v>-0.13792315024539911</v>
      </c>
      <c r="I250">
        <f t="shared" si="7"/>
        <v>2269.681227916667</v>
      </c>
      <c r="K250">
        <f>_xlfn.STDEV.S('R1'!L250,'R2'!L250,'R3'!L250)</f>
        <v>6.5991944752462469E-3</v>
      </c>
      <c r="L250">
        <f>_xlfn.STDEV.S('R1'!M250,'R2'!M250,'R3'!M250)</f>
        <v>1.0787142878904228E-2</v>
      </c>
      <c r="M250">
        <f>_xlfn.STDEV.S('R1'!N250,'R2'!N250,'R3'!N250)</f>
        <v>6.2914949594331561E-3</v>
      </c>
      <c r="N250">
        <f>_xlfn.STDEV.S('R1'!O250,'R2'!O250,'R3'!O250)</f>
        <v>8.0538288434814399E-3</v>
      </c>
    </row>
    <row r="251" spans="1:14" x14ac:dyDescent="0.25">
      <c r="A251">
        <f>-'R1'!H251</f>
        <v>4</v>
      </c>
      <c r="B251">
        <f>DEGREES(ATAN(-SIN(RADIANS(('R1'!I251)))/(COS(RADIANS(Sheet1!A251))*COS(RADIANS('R1'!I251)))))</f>
        <v>-32.062832231023428</v>
      </c>
      <c r="C251">
        <f>AVERAGE('R1'!J251,'R2'!J251,'R3'!J251)</f>
        <v>1.18</v>
      </c>
      <c r="D251">
        <f>AVERAGE('R1'!K251,'R2'!K251,'R3'!K251)</f>
        <v>11.562510833333333</v>
      </c>
      <c r="E251">
        <f>AVERAGE('R1'!L251,'R2'!L251,'R3'!L251)</f>
        <v>-2.4954664198587961</v>
      </c>
      <c r="F251">
        <f>AVERAGE('R1'!M251,'R2'!M251,'R3'!M251)</f>
        <v>-0.43791584794476551</v>
      </c>
      <c r="G251">
        <f>AVERAGE('R1'!N251,'R2'!N251,'R3'!N251)</f>
        <v>-1.1279493270081942</v>
      </c>
      <c r="H251">
        <f>AVERAGE('R1'!O251,'R2'!O251,'R3'!O251)</f>
        <v>-0.3633164423249115</v>
      </c>
      <c r="I251">
        <f t="shared" si="7"/>
        <v>2273.9604638888886</v>
      </c>
      <c r="K251">
        <f>_xlfn.STDEV.S('R1'!L251,'R2'!L251,'R3'!L251)</f>
        <v>1.2890739358532424E-2</v>
      </c>
      <c r="L251">
        <f>_xlfn.STDEV.S('R1'!M251,'R2'!M251,'R3'!M251)</f>
        <v>1.6986257383557551E-2</v>
      </c>
      <c r="M251">
        <f>_xlfn.STDEV.S('R1'!N251,'R2'!N251,'R3'!N251)</f>
        <v>1.0906920918653978E-2</v>
      </c>
      <c r="N251">
        <f>_xlfn.STDEV.S('R1'!O251,'R2'!O251,'R3'!O251)</f>
        <v>1.8555089756685683E-2</v>
      </c>
    </row>
    <row r="252" spans="1:14" x14ac:dyDescent="0.25">
      <c r="A252">
        <f>-'R1'!H252</f>
        <v>4</v>
      </c>
      <c r="B252">
        <f>DEGREES(ATAN(-SIN(RADIANS(('R1'!I252)))/(COS(RADIANS(Sheet1!A252))*COS(RADIANS('R1'!I252)))))</f>
        <v>-36.066475262469574</v>
      </c>
      <c r="C252">
        <f>AVERAGE('R1'!J252,'R2'!J252,'R3'!J252)</f>
        <v>1.1816666666666666</v>
      </c>
      <c r="D252">
        <f>AVERAGE('R1'!K252,'R2'!K252,'R3'!K252)</f>
        <v>11.602203916666666</v>
      </c>
      <c r="E252">
        <f>AVERAGE('R1'!L252,'R2'!L252,'R3'!L252)</f>
        <v>-3.1452148633235582</v>
      </c>
      <c r="F252">
        <f>AVERAGE('R1'!M252,'R2'!M252,'R3'!M252)</f>
        <v>-0.49761353783767664</v>
      </c>
      <c r="G252">
        <f>AVERAGE('R1'!N252,'R2'!N252,'R3'!N252)</f>
        <v>-1.6813150435430533</v>
      </c>
      <c r="H252">
        <f>AVERAGE('R1'!O252,'R2'!O252,'R3'!O252)</f>
        <v>-0.66691360787792908</v>
      </c>
      <c r="I252">
        <f t="shared" si="7"/>
        <v>2284.9896046990734</v>
      </c>
      <c r="K252">
        <f>_xlfn.STDEV.S('R1'!L252,'R2'!L252,'R3'!L252)</f>
        <v>2.6729414565936284E-2</v>
      </c>
      <c r="L252">
        <f>_xlfn.STDEV.S('R1'!M252,'R2'!M252,'R3'!M252)</f>
        <v>1.777691549151513E-3</v>
      </c>
      <c r="M252">
        <f>_xlfn.STDEV.S('R1'!N252,'R2'!N252,'R3'!N252)</f>
        <v>2.3104283002359092E-2</v>
      </c>
      <c r="N252">
        <f>_xlfn.STDEV.S('R1'!O252,'R2'!O252,'R3'!O252)</f>
        <v>1.2967202494866858E-2</v>
      </c>
    </row>
    <row r="253" spans="1:14" x14ac:dyDescent="0.25">
      <c r="A253">
        <f>-'R1'!H253</f>
        <v>4</v>
      </c>
      <c r="B253">
        <f>DEGREES(ATAN(-SIN(RADIANS(('R1'!I253)))/(COS(RADIANS(Sheet1!A253))*COS(RADIANS('R1'!I253)))))</f>
        <v>-40.068822978998547</v>
      </c>
      <c r="C253">
        <f>AVERAGE('R1'!J253,'R2'!J253,'R3'!J253)</f>
        <v>1.1808333333333332</v>
      </c>
      <c r="D253">
        <f>AVERAGE('R1'!K253,'R2'!K253,'R3'!K253)</f>
        <v>11.521244749999999</v>
      </c>
      <c r="E253">
        <f>AVERAGE('R1'!L253,'R2'!L253,'R3'!L253)</f>
        <v>-4.140595991758496</v>
      </c>
      <c r="F253">
        <f>AVERAGE('R1'!M253,'R2'!M253,'R3'!M253)</f>
        <v>-0.60573441005923734</v>
      </c>
      <c r="G253">
        <f>AVERAGE('R1'!N253,'R2'!N253,'R3'!N253)</f>
        <v>-2.5484740103565833</v>
      </c>
      <c r="H253">
        <f>AVERAGE('R1'!O253,'R2'!O253,'R3'!O253)</f>
        <v>-1.116993780116087</v>
      </c>
      <c r="I253">
        <f t="shared" si="7"/>
        <v>2267.4449737152772</v>
      </c>
      <c r="K253">
        <f>_xlfn.STDEV.S('R1'!L253,'R2'!L253,'R3'!L253)</f>
        <v>5.5829804757503779E-2</v>
      </c>
      <c r="L253">
        <f>_xlfn.STDEV.S('R1'!M253,'R2'!M253,'R3'!M253)</f>
        <v>1.097999930120567E-2</v>
      </c>
      <c r="M253">
        <f>_xlfn.STDEV.S('R1'!N253,'R2'!N253,'R3'!N253)</f>
        <v>4.0650221575370044E-2</v>
      </c>
      <c r="N253">
        <f>_xlfn.STDEV.S('R1'!O253,'R2'!O253,'R3'!O253)</f>
        <v>1.0595431317284808E-2</v>
      </c>
    </row>
    <row r="254" spans="1:14" x14ac:dyDescent="0.25">
      <c r="A254">
        <f>-'R1'!H254</f>
        <v>4</v>
      </c>
      <c r="B254">
        <f>DEGREES(ATAN(-SIN(RADIANS(('R1'!I254)))/(COS(RADIANS(Sheet1!A254))*COS(RADIANS('R1'!I254)))))</f>
        <v>-44.069830293849904</v>
      </c>
      <c r="C254">
        <f>AVERAGE('R1'!J254,'R2'!J254,'R3'!J254)</f>
        <v>1.1808333333333332</v>
      </c>
      <c r="D254">
        <f>AVERAGE('R1'!K254,'R2'!K254,'R3'!K254)</f>
        <v>11.496252916666668</v>
      </c>
      <c r="E254">
        <f>AVERAGE('R1'!L254,'R2'!L254,'R3'!L254)</f>
        <v>-5.9169153956125227</v>
      </c>
      <c r="F254">
        <f>AVERAGE('R1'!M254,'R2'!M254,'R3'!M254)</f>
        <v>-0.86465092607627136</v>
      </c>
      <c r="G254">
        <f>AVERAGE('R1'!N254,'R2'!N254,'R3'!N254)</f>
        <v>-4.224895700826754</v>
      </c>
      <c r="H254">
        <f>AVERAGE('R1'!O254,'R2'!O254,'R3'!O254)</f>
        <v>-1.9231536388503034</v>
      </c>
      <c r="I254">
        <f t="shared" si="7"/>
        <v>2262.526442071759</v>
      </c>
      <c r="K254">
        <f>_xlfn.STDEV.S('R1'!L254,'R2'!L254,'R3'!L254)</f>
        <v>0.12321990672786062</v>
      </c>
      <c r="L254">
        <f>_xlfn.STDEV.S('R1'!M254,'R2'!M254,'R3'!M254)</f>
        <v>2.6448707219513177E-2</v>
      </c>
      <c r="M254">
        <f>_xlfn.STDEV.S('R1'!N254,'R2'!N254,'R3'!N254)</f>
        <v>0.12566509373334669</v>
      </c>
      <c r="N254">
        <f>_xlfn.STDEV.S('R1'!O254,'R2'!O254,'R3'!O254)</f>
        <v>5.0926112105309937E-2</v>
      </c>
    </row>
    <row r="255" spans="1:14" x14ac:dyDescent="0.25">
      <c r="A255">
        <f>-'R1'!H255</f>
        <v>0</v>
      </c>
      <c r="B255">
        <f>DEGREES(ATAN(-SIN(RADIANS(('R1'!I255)))/(COS(RADIANS(Sheet1!A255))*COS(RADIANS('R1'!I255)))))</f>
        <v>44</v>
      </c>
      <c r="C255">
        <f>AVERAGE('R1'!J255,'R2'!J255,'R3'!J255)</f>
        <v>1.18</v>
      </c>
      <c r="D255">
        <f>AVERAGE('R1'!K255,'R2'!K255,'R3'!K255)</f>
        <v>11.362772416666667</v>
      </c>
      <c r="E255">
        <f>AVERAGE('R1'!L255,'R2'!L255,'R3'!L255)</f>
        <v>3.4090467093301751</v>
      </c>
      <c r="F255">
        <f>AVERAGE('R1'!M255,'R2'!M255,'R3'!M255)</f>
        <v>-0.23369380657214167</v>
      </c>
      <c r="G255">
        <f>AVERAGE('R1'!N255,'R2'!N255,'R3'!N255)</f>
        <v>-1.8497966797789653</v>
      </c>
      <c r="H255">
        <f>AVERAGE('R1'!O255,'R2'!O255,'R3'!O255)</f>
        <v>-1.0162073647107925</v>
      </c>
      <c r="I255">
        <f t="shared" si="7"/>
        <v>2234.6785752777778</v>
      </c>
      <c r="K255">
        <f>_xlfn.STDEV.S('R1'!L255,'R2'!L255,'R3'!L255)</f>
        <v>4.297232465645353E-2</v>
      </c>
      <c r="L255">
        <f>_xlfn.STDEV.S('R1'!M255,'R2'!M255,'R3'!M255)</f>
        <v>1.6188251897993947E-2</v>
      </c>
      <c r="M255">
        <f>_xlfn.STDEV.S('R1'!N255,'R2'!N255,'R3'!N255)</f>
        <v>4.2239331838017369E-2</v>
      </c>
      <c r="N255">
        <f>_xlfn.STDEV.S('R1'!O255,'R2'!O255,'R3'!O255)</f>
        <v>1.9686037194102762E-2</v>
      </c>
    </row>
    <row r="256" spans="1:14" x14ac:dyDescent="0.25">
      <c r="A256">
        <f>-'R1'!H256</f>
        <v>0</v>
      </c>
      <c r="B256">
        <f>DEGREES(ATAN(-SIN(RADIANS(('R1'!I256)))/(COS(RADIANS(Sheet1!A256))*COS(RADIANS('R1'!I256)))))</f>
        <v>40</v>
      </c>
      <c r="C256">
        <f>AVERAGE('R1'!J256,'R2'!J256,'R3'!J256)</f>
        <v>1.1808333333333332</v>
      </c>
      <c r="D256">
        <f>AVERAGE('R1'!K256,'R2'!K256,'R3'!K256)</f>
        <v>11.2602495</v>
      </c>
      <c r="E256">
        <f>AVERAGE('R1'!L256,'R2'!L256,'R3'!L256)</f>
        <v>2.8707835254792804</v>
      </c>
      <c r="F256">
        <f>AVERAGE('R1'!M256,'R2'!M256,'R3'!M256)</f>
        <v>-0.20338001623598423</v>
      </c>
      <c r="G256">
        <f>AVERAGE('R1'!N256,'R2'!N256,'R3'!N256)</f>
        <v>-1.3544763283847583</v>
      </c>
      <c r="H256">
        <f>AVERAGE('R1'!O256,'R2'!O256,'R3'!O256)</f>
        <v>-0.69475467062533591</v>
      </c>
      <c r="I256">
        <f t="shared" si="7"/>
        <v>2216.0796585416665</v>
      </c>
      <c r="K256">
        <f>_xlfn.STDEV.S('R1'!L256,'R2'!L256,'R3'!L256)</f>
        <v>1.2404123296288115E-2</v>
      </c>
      <c r="L256">
        <f>_xlfn.STDEV.S('R1'!M256,'R2'!M256,'R3'!M256)</f>
        <v>9.6403716879590751E-3</v>
      </c>
      <c r="M256">
        <f>_xlfn.STDEV.S('R1'!N256,'R2'!N256,'R3'!N256)</f>
        <v>9.6797851939742982E-3</v>
      </c>
      <c r="N256">
        <f>_xlfn.STDEV.S('R1'!O256,'R2'!O256,'R3'!O256)</f>
        <v>1.1391525391487453E-2</v>
      </c>
    </row>
    <row r="257" spans="1:14" x14ac:dyDescent="0.25">
      <c r="A257">
        <f>-'R1'!H257</f>
        <v>0</v>
      </c>
      <c r="B257">
        <f>DEGREES(ATAN(-SIN(RADIANS(('R1'!I257)))/(COS(RADIANS(Sheet1!A257))*COS(RADIANS('R1'!I257)))))</f>
        <v>36</v>
      </c>
      <c r="C257">
        <f>AVERAGE('R1'!J257,'R2'!J257,'R3'!J257)</f>
        <v>1.1833333333333333</v>
      </c>
      <c r="D257">
        <f>AVERAGE('R1'!K257,'R2'!K257,'R3'!K257)</f>
        <v>11.255200833333333</v>
      </c>
      <c r="E257">
        <f>AVERAGE('R1'!L257,'R2'!L257,'R3'!L257)</f>
        <v>2.4628847785260581</v>
      </c>
      <c r="F257">
        <f>AVERAGE('R1'!M257,'R2'!M257,'R3'!M257)</f>
        <v>-0.16736110670375792</v>
      </c>
      <c r="G257">
        <f>AVERAGE('R1'!N257,'R2'!N257,'R3'!N257)</f>
        <v>-0.99427876859402031</v>
      </c>
      <c r="H257">
        <f>AVERAGE('R1'!O257,'R2'!O257,'R3'!O257)</f>
        <v>-0.43397524497653173</v>
      </c>
      <c r="I257">
        <f t="shared" si="7"/>
        <v>2219.7757199074072</v>
      </c>
      <c r="K257">
        <f>_xlfn.STDEV.S('R1'!L257,'R2'!L257,'R3'!L257)</f>
        <v>1.316876953919759E-2</v>
      </c>
      <c r="L257">
        <f>_xlfn.STDEV.S('R1'!M257,'R2'!M257,'R3'!M257)</f>
        <v>1.0743665840137664E-2</v>
      </c>
      <c r="M257">
        <f>_xlfn.STDEV.S('R1'!N257,'R2'!N257,'R3'!N257)</f>
        <v>8.140522451459473E-3</v>
      </c>
      <c r="N257">
        <f>_xlfn.STDEV.S('R1'!O257,'R2'!O257,'R3'!O257)</f>
        <v>1.4078288602076437E-2</v>
      </c>
    </row>
    <row r="258" spans="1:14" x14ac:dyDescent="0.25">
      <c r="A258">
        <f>-'R1'!H258</f>
        <v>0</v>
      </c>
      <c r="B258">
        <f>DEGREES(ATAN(-SIN(RADIANS(('R1'!I258)))/(COS(RADIANS(Sheet1!A258))*COS(RADIANS('R1'!I258)))))</f>
        <v>32</v>
      </c>
      <c r="C258">
        <f>AVERAGE('R1'!J258,'R2'!J258,'R3'!J258)</f>
        <v>1.1833333333333333</v>
      </c>
      <c r="D258">
        <f>AVERAGE('R1'!K258,'R2'!K258,'R3'!K258)</f>
        <v>11.200310333333334</v>
      </c>
      <c r="E258">
        <f>AVERAGE('R1'!L258,'R2'!L258,'R3'!L258)</f>
        <v>2.1255951830643176</v>
      </c>
      <c r="F258">
        <f>AVERAGE('R1'!M258,'R2'!M258,'R3'!M258)</f>
        <v>-0.15759490879506019</v>
      </c>
      <c r="G258">
        <f>AVERAGE('R1'!N258,'R2'!N258,'R3'!N258)</f>
        <v>-0.71910730044145987</v>
      </c>
      <c r="H258">
        <f>AVERAGE('R1'!O258,'R2'!O258,'R3'!O258)</f>
        <v>-0.21562746893681173</v>
      </c>
      <c r="I258">
        <f t="shared" si="7"/>
        <v>2208.9500935185183</v>
      </c>
      <c r="K258">
        <f>_xlfn.STDEV.S('R1'!L258,'R2'!L258,'R3'!L258)</f>
        <v>4.6146943249410523E-3</v>
      </c>
      <c r="L258">
        <f>_xlfn.STDEV.S('R1'!M258,'R2'!M258,'R3'!M258)</f>
        <v>2.185620133877382E-2</v>
      </c>
      <c r="M258">
        <f>_xlfn.STDEV.S('R1'!N258,'R2'!N258,'R3'!N258)</f>
        <v>1.2542519446604089E-2</v>
      </c>
      <c r="N258">
        <f>_xlfn.STDEV.S('R1'!O258,'R2'!O258,'R3'!O258)</f>
        <v>1.1707380843962081E-2</v>
      </c>
    </row>
    <row r="259" spans="1:14" x14ac:dyDescent="0.25">
      <c r="A259">
        <f>-'R1'!H259</f>
        <v>0</v>
      </c>
      <c r="B259">
        <f>DEGREES(ATAN(-SIN(RADIANS(('R1'!I259)))/(COS(RADIANS(Sheet1!A259))*COS(RADIANS('R1'!I259)))))</f>
        <v>28</v>
      </c>
      <c r="C259">
        <f>AVERAGE('R1'!J259,'R2'!J259,'R3'!J259)</f>
        <v>1.1816666666666666</v>
      </c>
      <c r="D259">
        <f>AVERAGE('R1'!K259,'R2'!K259,'R3'!K259)</f>
        <v>11.251203333333335</v>
      </c>
      <c r="E259">
        <f>AVERAGE('R1'!L259,'R2'!L259,'R3'!L259)</f>
        <v>1.850661885819318</v>
      </c>
      <c r="F259">
        <f>AVERAGE('R1'!M259,'R2'!M259,'R3'!M259)</f>
        <v>-0.14564314458751251</v>
      </c>
      <c r="G259">
        <f>AVERAGE('R1'!N259,'R2'!N259,'R3'!N259)</f>
        <v>-0.51271490456035751</v>
      </c>
      <c r="H259">
        <f>AVERAGE('R1'!O259,'R2'!O259,'R3'!O259)</f>
        <v>-3.1678434359951907E-2</v>
      </c>
      <c r="I259">
        <f t="shared" ref="I259:I322" si="8">10^5*C259*D259*0.003/1.8</f>
        <v>2215.8619898148154</v>
      </c>
      <c r="K259">
        <f>_xlfn.STDEV.S('R1'!L259,'R2'!L259,'R3'!L259)</f>
        <v>1.1755785602825653E-2</v>
      </c>
      <c r="L259">
        <f>_xlfn.STDEV.S('R1'!M259,'R2'!M259,'R3'!M259)</f>
        <v>7.932843837365533E-3</v>
      </c>
      <c r="M259">
        <f>_xlfn.STDEV.S('R1'!N259,'R2'!N259,'R3'!N259)</f>
        <v>1.0949489641111386E-2</v>
      </c>
      <c r="N259">
        <f>_xlfn.STDEV.S('R1'!O259,'R2'!O259,'R3'!O259)</f>
        <v>7.2939098664191095E-3</v>
      </c>
    </row>
    <row r="260" spans="1:14" x14ac:dyDescent="0.25">
      <c r="A260">
        <f>-'R1'!H260</f>
        <v>0</v>
      </c>
      <c r="B260">
        <f>DEGREES(ATAN(-SIN(RADIANS(('R1'!I260)))/(COS(RADIANS(Sheet1!A260))*COS(RADIANS('R1'!I260)))))</f>
        <v>24</v>
      </c>
      <c r="C260">
        <f>AVERAGE('R1'!J260,'R2'!J260,'R3'!J260)</f>
        <v>1.1833333333333333</v>
      </c>
      <c r="D260">
        <f>AVERAGE('R1'!K260,'R2'!K260,'R3'!K260)</f>
        <v>11.312597083333335</v>
      </c>
      <c r="E260">
        <f>AVERAGE('R1'!L260,'R2'!L260,'R3'!L260)</f>
        <v>1.6198314568807639</v>
      </c>
      <c r="F260">
        <f>AVERAGE('R1'!M260,'R2'!M260,'R3'!M260)</f>
        <v>-0.1168346915834812</v>
      </c>
      <c r="G260">
        <f>AVERAGE('R1'!N260,'R2'!N260,'R3'!N260)</f>
        <v>-0.35257998060917517</v>
      </c>
      <c r="H260">
        <f>AVERAGE('R1'!O260,'R2'!O260,'R3'!O260)</f>
        <v>0.13972646807267067</v>
      </c>
      <c r="I260">
        <f t="shared" si="8"/>
        <v>2231.09553587963</v>
      </c>
      <c r="K260">
        <f>_xlfn.STDEV.S('R1'!L260,'R2'!L260,'R3'!L260)</f>
        <v>7.0562515053883609E-3</v>
      </c>
      <c r="L260">
        <f>_xlfn.STDEV.S('R1'!M260,'R2'!M260,'R3'!M260)</f>
        <v>4.0747812234144878E-3</v>
      </c>
      <c r="M260">
        <f>_xlfn.STDEV.S('R1'!N260,'R2'!N260,'R3'!N260)</f>
        <v>6.3986476796300063E-3</v>
      </c>
      <c r="N260">
        <f>_xlfn.STDEV.S('R1'!O260,'R2'!O260,'R3'!O260)</f>
        <v>7.4002614755019815E-3</v>
      </c>
    </row>
    <row r="261" spans="1:14" x14ac:dyDescent="0.25">
      <c r="A261">
        <f>-'R1'!H261</f>
        <v>0</v>
      </c>
      <c r="B261">
        <f>DEGREES(ATAN(-SIN(RADIANS(('R1'!I261)))/(COS(RADIANS(Sheet1!A261))*COS(RADIANS('R1'!I261)))))</f>
        <v>20</v>
      </c>
      <c r="C261">
        <f>AVERAGE('R1'!J261,'R2'!J261,'R3'!J261)</f>
        <v>1.1833333333333333</v>
      </c>
      <c r="D261">
        <f>AVERAGE('R1'!K261,'R2'!K261,'R3'!K261)</f>
        <v>11.333665333333334</v>
      </c>
      <c r="E261">
        <f>AVERAGE('R1'!L261,'R2'!L261,'R3'!L261)</f>
        <v>1.3871332750583807</v>
      </c>
      <c r="F261">
        <f>AVERAGE('R1'!M261,'R2'!M261,'R3'!M261)</f>
        <v>-0.11254178709961495</v>
      </c>
      <c r="G261">
        <f>AVERAGE('R1'!N261,'R2'!N261,'R3'!N261)</f>
        <v>-0.22662034713067677</v>
      </c>
      <c r="H261">
        <f>AVERAGE('R1'!O261,'R2'!O261,'R3'!O261)</f>
        <v>0.30676968448758218</v>
      </c>
      <c r="I261">
        <f t="shared" si="8"/>
        <v>2235.2506629629634</v>
      </c>
      <c r="K261">
        <f>_xlfn.STDEV.S('R1'!L261,'R2'!L261,'R3'!L261)</f>
        <v>1.5665065176340923E-2</v>
      </c>
      <c r="L261">
        <f>_xlfn.STDEV.S('R1'!M261,'R2'!M261,'R3'!M261)</f>
        <v>1.5690348962384179E-2</v>
      </c>
      <c r="M261">
        <f>_xlfn.STDEV.S('R1'!N261,'R2'!N261,'R3'!N261)</f>
        <v>1.1656089403016842E-2</v>
      </c>
      <c r="N261">
        <f>_xlfn.STDEV.S('R1'!O261,'R2'!O261,'R3'!O261)</f>
        <v>2.3787909494849529E-3</v>
      </c>
    </row>
    <row r="262" spans="1:14" x14ac:dyDescent="0.25">
      <c r="A262">
        <f>-'R1'!H262</f>
        <v>0</v>
      </c>
      <c r="B262">
        <f>DEGREES(ATAN(-SIN(RADIANS(('R1'!I262)))/(COS(RADIANS(Sheet1!A262))*COS(RADIANS('R1'!I262)))))</f>
        <v>16</v>
      </c>
      <c r="C262">
        <f>AVERAGE('R1'!J262,'R2'!J262,'R3'!J262)</f>
        <v>1.1808333333333332</v>
      </c>
      <c r="D262">
        <f>AVERAGE('R1'!K262,'R2'!K262,'R3'!K262)</f>
        <v>11.398168166666666</v>
      </c>
      <c r="E262">
        <f>AVERAGE('R1'!L262,'R2'!L262,'R3'!L262)</f>
        <v>1.1601124175981943</v>
      </c>
      <c r="F262">
        <f>AVERAGE('R1'!M262,'R2'!M262,'R3'!M262)</f>
        <v>-0.11225001450059831</v>
      </c>
      <c r="G262">
        <f>AVERAGE('R1'!N262,'R2'!N262,'R3'!N262)</f>
        <v>-0.13406283030710245</v>
      </c>
      <c r="H262">
        <f>AVERAGE('R1'!O262,'R2'!O262,'R3'!O262)</f>
        <v>0.48174933556292188</v>
      </c>
      <c r="I262">
        <f t="shared" si="8"/>
        <v>2243.2228183564812</v>
      </c>
      <c r="K262">
        <f>_xlfn.STDEV.S('R1'!L262,'R2'!L262,'R3'!L262)</f>
        <v>1.1696895259998872E-2</v>
      </c>
      <c r="L262">
        <f>_xlfn.STDEV.S('R1'!M262,'R2'!M262,'R3'!M262)</f>
        <v>1.567221127904718E-2</v>
      </c>
      <c r="M262">
        <f>_xlfn.STDEV.S('R1'!N262,'R2'!N262,'R3'!N262)</f>
        <v>1.3385227406426265E-2</v>
      </c>
      <c r="N262">
        <f>_xlfn.STDEV.S('R1'!O262,'R2'!O262,'R3'!O262)</f>
        <v>2.4942690831145291E-3</v>
      </c>
    </row>
    <row r="263" spans="1:14" x14ac:dyDescent="0.25">
      <c r="A263">
        <f>-'R1'!H263</f>
        <v>0</v>
      </c>
      <c r="B263">
        <f>DEGREES(ATAN(-SIN(RADIANS(('R1'!I263)))/(COS(RADIANS(Sheet1!A263))*COS(RADIANS('R1'!I263)))))</f>
        <v>12.000000000000002</v>
      </c>
      <c r="C263">
        <f>AVERAGE('R1'!J263,'R2'!J263,'R3'!J263)</f>
        <v>1.1808333333333332</v>
      </c>
      <c r="D263">
        <f>AVERAGE('R1'!K263,'R2'!K263,'R3'!K263)</f>
        <v>11.449408749999998</v>
      </c>
      <c r="E263">
        <f>AVERAGE('R1'!L263,'R2'!L263,'R3'!L263)</f>
        <v>0.91809051299105704</v>
      </c>
      <c r="F263">
        <f>AVERAGE('R1'!M263,'R2'!M263,'R3'!M263)</f>
        <v>-0.10623253491860413</v>
      </c>
      <c r="G263">
        <f>AVERAGE('R1'!N263,'R2'!N263,'R3'!N263)</f>
        <v>-7.0367056997718225E-2</v>
      </c>
      <c r="H263">
        <f>AVERAGE('R1'!O263,'R2'!O263,'R3'!O263)</f>
        <v>0.67576956250087905</v>
      </c>
      <c r="I263">
        <f t="shared" si="8"/>
        <v>2253.3072498263882</v>
      </c>
      <c r="K263">
        <f>_xlfn.STDEV.S('R1'!L263,'R2'!L263,'R3'!L263)</f>
        <v>7.3919993113358701E-3</v>
      </c>
      <c r="L263">
        <f>_xlfn.STDEV.S('R1'!M263,'R2'!M263,'R3'!M263)</f>
        <v>1.9642019782290373E-3</v>
      </c>
      <c r="M263">
        <f>_xlfn.STDEV.S('R1'!N263,'R2'!N263,'R3'!N263)</f>
        <v>9.3469829870611396E-3</v>
      </c>
      <c r="N263">
        <f>_xlfn.STDEV.S('R1'!O263,'R2'!O263,'R3'!O263)</f>
        <v>7.4275172018656525E-3</v>
      </c>
    </row>
    <row r="264" spans="1:14" x14ac:dyDescent="0.25">
      <c r="A264">
        <f>-'R1'!H264</f>
        <v>0</v>
      </c>
      <c r="B264">
        <f>DEGREES(ATAN(-SIN(RADIANS(('R1'!I264)))/(COS(RADIANS(Sheet1!A264))*COS(RADIANS('R1'!I264)))))</f>
        <v>7.9999999999999982</v>
      </c>
      <c r="C264">
        <f>AVERAGE('R1'!J264,'R2'!J264,'R3'!J264)</f>
        <v>1.1824999999999999</v>
      </c>
      <c r="D264">
        <f>AVERAGE('R1'!K264,'R2'!K264,'R3'!K264)</f>
        <v>11.454306833333334</v>
      </c>
      <c r="E264">
        <f>AVERAGE('R1'!L264,'R2'!L264,'R3'!L264)</f>
        <v>0.63618490152972784</v>
      </c>
      <c r="F264">
        <f>AVERAGE('R1'!M264,'R2'!M264,'R3'!M264)</f>
        <v>-9.8937938034275294E-2</v>
      </c>
      <c r="G264">
        <f>AVERAGE('R1'!N264,'R2'!N264,'R3'!N264)</f>
        <v>-2.9825782972863656E-2</v>
      </c>
      <c r="H264">
        <f>AVERAGE('R1'!O264,'R2'!O264,'R3'!O264)</f>
        <v>0.89197831115025361</v>
      </c>
      <c r="I264">
        <f t="shared" si="8"/>
        <v>2257.4529717361106</v>
      </c>
      <c r="K264">
        <f>_xlfn.STDEV.S('R1'!L264,'R2'!L264,'R3'!L264)</f>
        <v>5.2997591537941261E-3</v>
      </c>
      <c r="L264">
        <f>_xlfn.STDEV.S('R1'!M264,'R2'!M264,'R3'!M264)</f>
        <v>9.3570023423908168E-3</v>
      </c>
      <c r="M264">
        <f>_xlfn.STDEV.S('R1'!N264,'R2'!N264,'R3'!N264)</f>
        <v>1.3434543277348927E-2</v>
      </c>
      <c r="N264">
        <f>_xlfn.STDEV.S('R1'!O264,'R2'!O264,'R3'!O264)</f>
        <v>4.9822251874018144E-3</v>
      </c>
    </row>
    <row r="265" spans="1:14" x14ac:dyDescent="0.25">
      <c r="A265">
        <f>-'R1'!H265</f>
        <v>0</v>
      </c>
      <c r="B265">
        <f>DEGREES(ATAN(-SIN(RADIANS(('R1'!I265)))/(COS(RADIANS(Sheet1!A265))*COS(RADIANS('R1'!I265)))))</f>
        <v>4</v>
      </c>
      <c r="C265">
        <f>AVERAGE('R1'!J265,'R2'!J265,'R3'!J265)</f>
        <v>1.1816666666666666</v>
      </c>
      <c r="D265">
        <f>AVERAGE('R1'!K265,'R2'!K265,'R3'!K265)</f>
        <v>11.495810916666665</v>
      </c>
      <c r="E265">
        <f>AVERAGE('R1'!L265,'R2'!L265,'R3'!L265)</f>
        <v>0.31317771602938788</v>
      </c>
      <c r="F265">
        <f>AVERAGE('R1'!M265,'R2'!M265,'R3'!M265)</f>
        <v>-0.11355861089715434</v>
      </c>
      <c r="G265">
        <f>AVERAGE('R1'!N265,'R2'!N265,'R3'!N265)</f>
        <v>-1.5095300620144582E-2</v>
      </c>
      <c r="H265">
        <f>AVERAGE('R1'!O265,'R2'!O265,'R3'!O265)</f>
        <v>1.1018120743155773</v>
      </c>
      <c r="I265">
        <f t="shared" si="8"/>
        <v>2264.0360944212962</v>
      </c>
      <c r="K265">
        <f>_xlfn.STDEV.S('R1'!L265,'R2'!L265,'R3'!L265)</f>
        <v>7.7741468716216143E-3</v>
      </c>
      <c r="L265">
        <f>_xlfn.STDEV.S('R1'!M265,'R2'!M265,'R3'!M265)</f>
        <v>3.2707113208638029E-3</v>
      </c>
      <c r="M265">
        <f>_xlfn.STDEV.S('R1'!N265,'R2'!N265,'R3'!N265)</f>
        <v>1.2433631402087907E-2</v>
      </c>
      <c r="N265">
        <f>_xlfn.STDEV.S('R1'!O265,'R2'!O265,'R3'!O265)</f>
        <v>3.8619776296137821E-3</v>
      </c>
    </row>
    <row r="266" spans="1:14" x14ac:dyDescent="0.25">
      <c r="A266">
        <f>-'R1'!H266</f>
        <v>0</v>
      </c>
      <c r="B266">
        <f>DEGREES(ATAN(-SIN(RADIANS(('R1'!I266)))/(COS(RADIANS(Sheet1!A266))*COS(RADIANS('R1'!I266)))))</f>
        <v>0</v>
      </c>
      <c r="C266">
        <f>AVERAGE('R1'!J266,'R2'!J266,'R3'!J266)</f>
        <v>1.18</v>
      </c>
      <c r="D266">
        <f>AVERAGE('R1'!K266,'R2'!K266,'R3'!K266)</f>
        <v>11.522604416666667</v>
      </c>
      <c r="E266">
        <f>AVERAGE('R1'!L266,'R2'!L266,'R3'!L266)</f>
        <v>-7.8078847067291915E-2</v>
      </c>
      <c r="F266">
        <f>AVERAGE('R1'!M266,'R2'!M266,'R3'!M266)</f>
        <v>-0.10574000718515432</v>
      </c>
      <c r="G266">
        <f>AVERAGE('R1'!N266,'R2'!N266,'R3'!N266)</f>
        <v>-1.2719127610572251E-2</v>
      </c>
      <c r="H266">
        <f>AVERAGE('R1'!O266,'R2'!O266,'R3'!O266)</f>
        <v>1.2543864597834169</v>
      </c>
      <c r="I266">
        <f t="shared" si="8"/>
        <v>2266.1122019444447</v>
      </c>
      <c r="K266">
        <f>_xlfn.STDEV.S('R1'!L266,'R2'!L266,'R3'!L266)</f>
        <v>6.5619239713896023E-3</v>
      </c>
      <c r="L266">
        <f>_xlfn.STDEV.S('R1'!M266,'R2'!M266,'R3'!M266)</f>
        <v>1.9493571432865543E-2</v>
      </c>
      <c r="M266">
        <f>_xlfn.STDEV.S('R1'!N266,'R2'!N266,'R3'!N266)</f>
        <v>8.8417388854661987E-3</v>
      </c>
      <c r="N266">
        <f>_xlfn.STDEV.S('R1'!O266,'R2'!O266,'R3'!O266)</f>
        <v>1.5512328042694918E-2</v>
      </c>
    </row>
    <row r="267" spans="1:14" x14ac:dyDescent="0.25">
      <c r="A267">
        <f>-'R1'!H267</f>
        <v>0</v>
      </c>
      <c r="B267">
        <f>DEGREES(ATAN(-SIN(RADIANS(('R1'!I267)))/(COS(RADIANS(Sheet1!A267))*COS(RADIANS('R1'!I267)))))</f>
        <v>-4</v>
      </c>
      <c r="C267">
        <f>AVERAGE('R1'!J267,'R2'!J267,'R3'!J267)</f>
        <v>1.18</v>
      </c>
      <c r="D267">
        <f>AVERAGE('R1'!K267,'R2'!K267,'R3'!K267)</f>
        <v>11.538508333333333</v>
      </c>
      <c r="E267">
        <f>AVERAGE('R1'!L267,'R2'!L267,'R3'!L267)</f>
        <v>-0.44662721391449062</v>
      </c>
      <c r="F267">
        <f>AVERAGE('R1'!M267,'R2'!M267,'R3'!M267)</f>
        <v>-8.2177623989948989E-2</v>
      </c>
      <c r="G267">
        <f>AVERAGE('R1'!N267,'R2'!N267,'R3'!N267)</f>
        <v>-1.9378540273098981E-2</v>
      </c>
      <c r="H267">
        <f>AVERAGE('R1'!O267,'R2'!O267,'R3'!O267)</f>
        <v>1.0354423137392821</v>
      </c>
      <c r="I267">
        <f t="shared" si="8"/>
        <v>2269.2399722222217</v>
      </c>
      <c r="K267">
        <f>_xlfn.STDEV.S('R1'!L267,'R2'!L267,'R3'!L267)</f>
        <v>1.815749671952863E-2</v>
      </c>
      <c r="L267">
        <f>_xlfn.STDEV.S('R1'!M267,'R2'!M267,'R3'!M267)</f>
        <v>1.3270763239476539E-2</v>
      </c>
      <c r="M267">
        <f>_xlfn.STDEV.S('R1'!N267,'R2'!N267,'R3'!N267)</f>
        <v>1.5637934452916207E-2</v>
      </c>
      <c r="N267">
        <f>_xlfn.STDEV.S('R1'!O267,'R2'!O267,'R3'!O267)</f>
        <v>1.5244519753079286E-2</v>
      </c>
    </row>
    <row r="268" spans="1:14" x14ac:dyDescent="0.25">
      <c r="A268">
        <f>-'R1'!H268</f>
        <v>0</v>
      </c>
      <c r="B268">
        <f>DEGREES(ATAN(-SIN(RADIANS(('R1'!I268)))/(COS(RADIANS(Sheet1!A268))*COS(RADIANS('R1'!I268)))))</f>
        <v>-7.9999999999999982</v>
      </c>
      <c r="C268">
        <f>AVERAGE('R1'!J268,'R2'!J268,'R3'!J268)</f>
        <v>1.1824999999999999</v>
      </c>
      <c r="D268">
        <f>AVERAGE('R1'!K268,'R2'!K268,'R3'!K268)</f>
        <v>11.575691999999998</v>
      </c>
      <c r="E268">
        <f>AVERAGE('R1'!L268,'R2'!L268,'R3'!L268)</f>
        <v>-0.7491515914640452</v>
      </c>
      <c r="F268">
        <f>AVERAGE('R1'!M268,'R2'!M268,'R3'!M268)</f>
        <v>-7.1056586795249052E-2</v>
      </c>
      <c r="G268">
        <f>AVERAGE('R1'!N268,'R2'!N268,'R3'!N268)</f>
        <v>-4.6569642893941887E-2</v>
      </c>
      <c r="H268">
        <f>AVERAGE('R1'!O268,'R2'!O268,'R3'!O268)</f>
        <v>0.82630706663535225</v>
      </c>
      <c r="I268">
        <f t="shared" si="8"/>
        <v>2281.3759649999993</v>
      </c>
      <c r="K268">
        <f>_xlfn.STDEV.S('R1'!L268,'R2'!L268,'R3'!L268)</f>
        <v>7.2011350991498186E-3</v>
      </c>
      <c r="L268">
        <f>_xlfn.STDEV.S('R1'!M268,'R2'!M268,'R3'!M268)</f>
        <v>2.3216250273413665E-3</v>
      </c>
      <c r="M268">
        <f>_xlfn.STDEV.S('R1'!N268,'R2'!N268,'R3'!N268)</f>
        <v>1.187624273398811E-2</v>
      </c>
      <c r="N268">
        <f>_xlfn.STDEV.S('R1'!O268,'R2'!O268,'R3'!O268)</f>
        <v>1.4254434979577303E-2</v>
      </c>
    </row>
    <row r="269" spans="1:14" x14ac:dyDescent="0.25">
      <c r="A269">
        <f>-'R1'!H269</f>
        <v>0</v>
      </c>
      <c r="B269">
        <f>DEGREES(ATAN(-SIN(RADIANS(('R1'!I269)))/(COS(RADIANS(Sheet1!A269))*COS(RADIANS('R1'!I269)))))</f>
        <v>-12.000000000000002</v>
      </c>
      <c r="C269">
        <f>AVERAGE('R1'!J269,'R2'!J269,'R3'!J269)</f>
        <v>1.1824999999999999</v>
      </c>
      <c r="D269">
        <f>AVERAGE('R1'!K269,'R2'!K269,'R3'!K269)</f>
        <v>11.583674666666667</v>
      </c>
      <c r="E269">
        <f>AVERAGE('R1'!L269,'R2'!L269,'R3'!L269)</f>
        <v>-1.0156165609139869</v>
      </c>
      <c r="F269">
        <f>AVERAGE('R1'!M269,'R2'!M269,'R3'!M269)</f>
        <v>-5.6826946108024447E-2</v>
      </c>
      <c r="G269">
        <f>AVERAGE('R1'!N269,'R2'!N269,'R3'!N269)</f>
        <v>-9.4442328911527595E-2</v>
      </c>
      <c r="H269">
        <f>AVERAGE('R1'!O269,'R2'!O269,'R3'!O269)</f>
        <v>0.64296554302801268</v>
      </c>
      <c r="I269">
        <f t="shared" si="8"/>
        <v>2282.9492155555554</v>
      </c>
      <c r="K269">
        <f>_xlfn.STDEV.S('R1'!L269,'R2'!L269,'R3'!L269)</f>
        <v>2.504251266725857E-3</v>
      </c>
      <c r="L269">
        <f>_xlfn.STDEV.S('R1'!M269,'R2'!M269,'R3'!M269)</f>
        <v>6.5979361935975204E-3</v>
      </c>
      <c r="M269">
        <f>_xlfn.STDEV.S('R1'!N269,'R2'!N269,'R3'!N269)</f>
        <v>9.7851428685706825E-3</v>
      </c>
      <c r="N269">
        <f>_xlfn.STDEV.S('R1'!O269,'R2'!O269,'R3'!O269)</f>
        <v>8.8345619168504197E-3</v>
      </c>
    </row>
    <row r="270" spans="1:14" x14ac:dyDescent="0.25">
      <c r="A270">
        <f>-'R1'!H270</f>
        <v>0</v>
      </c>
      <c r="B270">
        <f>DEGREES(ATAN(-SIN(RADIANS(('R1'!I270)))/(COS(RADIANS(Sheet1!A270))*COS(RADIANS('R1'!I270)))))</f>
        <v>-16</v>
      </c>
      <c r="C270">
        <f>AVERAGE('R1'!J270,'R2'!J270,'R3'!J270)</f>
        <v>1.18</v>
      </c>
      <c r="D270">
        <f>AVERAGE('R1'!K270,'R2'!K270,'R3'!K270)</f>
        <v>11.62570075</v>
      </c>
      <c r="E270">
        <f>AVERAGE('R1'!L270,'R2'!L270,'R3'!L270)</f>
        <v>-1.2615195636800902</v>
      </c>
      <c r="F270">
        <f>AVERAGE('R1'!M270,'R2'!M270,'R3'!M270)</f>
        <v>-6.7288328894284391E-2</v>
      </c>
      <c r="G270">
        <f>AVERAGE('R1'!N270,'R2'!N270,'R3'!N270)</f>
        <v>-0.18862165562477554</v>
      </c>
      <c r="H270">
        <f>AVERAGE('R1'!O270,'R2'!O270,'R3'!O270)</f>
        <v>0.46497148313685938</v>
      </c>
      <c r="I270">
        <f t="shared" si="8"/>
        <v>2286.3878141666664</v>
      </c>
      <c r="K270">
        <f>_xlfn.STDEV.S('R1'!L270,'R2'!L270,'R3'!L270)</f>
        <v>6.684129013790242E-3</v>
      </c>
      <c r="L270">
        <f>_xlfn.STDEV.S('R1'!M270,'R2'!M270,'R3'!M270)</f>
        <v>6.7246911148547825E-3</v>
      </c>
      <c r="M270">
        <f>_xlfn.STDEV.S('R1'!N270,'R2'!N270,'R3'!N270)</f>
        <v>7.4491202924296777E-3</v>
      </c>
      <c r="N270">
        <f>_xlfn.STDEV.S('R1'!O270,'R2'!O270,'R3'!O270)</f>
        <v>3.6976212543311533E-3</v>
      </c>
    </row>
    <row r="271" spans="1:14" x14ac:dyDescent="0.25">
      <c r="A271">
        <f>-'R1'!H271</f>
        <v>0</v>
      </c>
      <c r="B271">
        <f>DEGREES(ATAN(-SIN(RADIANS(('R1'!I271)))/(COS(RADIANS(Sheet1!A271))*COS(RADIANS('R1'!I271)))))</f>
        <v>-20</v>
      </c>
      <c r="C271">
        <f>AVERAGE('R1'!J271,'R2'!J271,'R3'!J271)</f>
        <v>1.18</v>
      </c>
      <c r="D271">
        <f>AVERAGE('R1'!K271,'R2'!K271,'R3'!K271)</f>
        <v>11.640211583333334</v>
      </c>
      <c r="E271">
        <f>AVERAGE('R1'!L271,'R2'!L271,'R3'!L271)</f>
        <v>-1.5444504397439907</v>
      </c>
      <c r="F271">
        <f>AVERAGE('R1'!M271,'R2'!M271,'R3'!M271)</f>
        <v>-4.7256429833973351E-2</v>
      </c>
      <c r="G271">
        <f>AVERAGE('R1'!N271,'R2'!N271,'R3'!N271)</f>
        <v>-0.3313503034754286</v>
      </c>
      <c r="H271">
        <f>AVERAGE('R1'!O271,'R2'!O271,'R3'!O271)</f>
        <v>0.30576772886759795</v>
      </c>
      <c r="I271">
        <f t="shared" si="8"/>
        <v>2289.2416113888889</v>
      </c>
      <c r="K271">
        <f>_xlfn.STDEV.S('R1'!L271,'R2'!L271,'R3'!L271)</f>
        <v>1.3734585949235821E-2</v>
      </c>
      <c r="L271">
        <f>_xlfn.STDEV.S('R1'!M271,'R2'!M271,'R3'!M271)</f>
        <v>2.9365107835752622E-3</v>
      </c>
      <c r="M271">
        <f>_xlfn.STDEV.S('R1'!N271,'R2'!N271,'R3'!N271)</f>
        <v>1.3491720383404546E-2</v>
      </c>
      <c r="N271">
        <f>_xlfn.STDEV.S('R1'!O271,'R2'!O271,'R3'!O271)</f>
        <v>2.2814579309707239E-3</v>
      </c>
    </row>
    <row r="272" spans="1:14" x14ac:dyDescent="0.25">
      <c r="A272">
        <f>-'R1'!H272</f>
        <v>0</v>
      </c>
      <c r="B272">
        <f>DEGREES(ATAN(-SIN(RADIANS(('R1'!I272)))/(COS(RADIANS(Sheet1!A272))*COS(RADIANS('R1'!I272)))))</f>
        <v>-24</v>
      </c>
      <c r="C272">
        <f>AVERAGE('R1'!J272,'R2'!J272,'R3'!J272)</f>
        <v>1.18</v>
      </c>
      <c r="D272">
        <f>AVERAGE('R1'!K272,'R2'!K272,'R3'!K272)</f>
        <v>11.536667333333334</v>
      </c>
      <c r="E272">
        <f>AVERAGE('R1'!L272,'R2'!L272,'R3'!L272)</f>
        <v>-1.8531230073427549</v>
      </c>
      <c r="F272">
        <f>AVERAGE('R1'!M272,'R2'!M272,'R3'!M272)</f>
        <v>-3.6767434395121749E-2</v>
      </c>
      <c r="G272">
        <f>AVERAGE('R1'!N272,'R2'!N272,'R3'!N272)</f>
        <v>-0.53289396461976668</v>
      </c>
      <c r="H272">
        <f>AVERAGE('R1'!O272,'R2'!O272,'R3'!O272)</f>
        <v>0.14852615111365097</v>
      </c>
      <c r="I272">
        <f t="shared" si="8"/>
        <v>2268.8779088888891</v>
      </c>
      <c r="K272">
        <f>_xlfn.STDEV.S('R1'!L272,'R2'!L272,'R3'!L272)</f>
        <v>1.2047250503938074E-2</v>
      </c>
      <c r="L272">
        <f>_xlfn.STDEV.S('R1'!M272,'R2'!M272,'R3'!M272)</f>
        <v>1.0797287699301624E-2</v>
      </c>
      <c r="M272">
        <f>_xlfn.STDEV.S('R1'!N272,'R2'!N272,'R3'!N272)</f>
        <v>1.2062491841205857E-2</v>
      </c>
      <c r="N272">
        <f>_xlfn.STDEV.S('R1'!O272,'R2'!O272,'R3'!O272)</f>
        <v>8.0846966703957603E-3</v>
      </c>
    </row>
    <row r="273" spans="1:14" x14ac:dyDescent="0.25">
      <c r="A273">
        <f>-'R1'!H273</f>
        <v>0</v>
      </c>
      <c r="B273">
        <f>DEGREES(ATAN(-SIN(RADIANS(('R1'!I273)))/(COS(RADIANS(Sheet1!A273))*COS(RADIANS('R1'!I273)))))</f>
        <v>-28</v>
      </c>
      <c r="C273">
        <f>AVERAGE('R1'!J273,'R2'!J273,'R3'!J273)</f>
        <v>1.1833333333333333</v>
      </c>
      <c r="D273">
        <f>AVERAGE('R1'!K273,'R2'!K273,'R3'!K273)</f>
        <v>11.457673499999999</v>
      </c>
      <c r="E273">
        <f>AVERAGE('R1'!L273,'R2'!L273,'R3'!L273)</f>
        <v>-2.2430382222798921</v>
      </c>
      <c r="F273">
        <f>AVERAGE('R1'!M273,'R2'!M273,'R3'!M273)</f>
        <v>-3.7856569865614968E-2</v>
      </c>
      <c r="G273">
        <f>AVERAGE('R1'!N273,'R2'!N273,'R3'!N273)</f>
        <v>-0.81759401002836452</v>
      </c>
      <c r="H273">
        <f>AVERAGE('R1'!O273,'R2'!O273,'R3'!O273)</f>
        <v>-4.7451744303980463E-2</v>
      </c>
      <c r="I273">
        <f t="shared" si="8"/>
        <v>2259.7078291666662</v>
      </c>
      <c r="K273">
        <f>_xlfn.STDEV.S('R1'!L273,'R2'!L273,'R3'!L273)</f>
        <v>1.0048993977763163E-2</v>
      </c>
      <c r="L273">
        <f>_xlfn.STDEV.S('R1'!M273,'R2'!M273,'R3'!M273)</f>
        <v>6.1826711646681175E-3</v>
      </c>
      <c r="M273">
        <f>_xlfn.STDEV.S('R1'!N273,'R2'!N273,'R3'!N273)</f>
        <v>9.0513090452466142E-3</v>
      </c>
      <c r="N273">
        <f>_xlfn.STDEV.S('R1'!O273,'R2'!O273,'R3'!O273)</f>
        <v>3.6646431273410513E-3</v>
      </c>
    </row>
    <row r="274" spans="1:14" x14ac:dyDescent="0.25">
      <c r="A274">
        <f>-'R1'!H274</f>
        <v>0</v>
      </c>
      <c r="B274">
        <f>DEGREES(ATAN(-SIN(RADIANS(('R1'!I274)))/(COS(RADIANS(Sheet1!A274))*COS(RADIANS('R1'!I274)))))</f>
        <v>-32</v>
      </c>
      <c r="C274">
        <f>AVERAGE('R1'!J274,'R2'!J274,'R3'!J274)</f>
        <v>1.1808333333333332</v>
      </c>
      <c r="D274">
        <f>AVERAGE('R1'!K274,'R2'!K274,'R3'!K274)</f>
        <v>11.344733916666668</v>
      </c>
      <c r="E274">
        <f>AVERAGE('R1'!L274,'R2'!L274,'R3'!L274)</f>
        <v>-2.7528328896159664</v>
      </c>
      <c r="F274">
        <f>AVERAGE('R1'!M274,'R2'!M274,'R3'!M274)</f>
        <v>-1.4703112939028406E-2</v>
      </c>
      <c r="G274">
        <f>AVERAGE('R1'!N274,'R2'!N274,'R3'!N274)</f>
        <v>-1.2198757594741465</v>
      </c>
      <c r="H274">
        <f>AVERAGE('R1'!O274,'R2'!O274,'R3'!O274)</f>
        <v>-0.2742737192403682</v>
      </c>
      <c r="I274">
        <f t="shared" si="8"/>
        <v>2232.7066610995371</v>
      </c>
      <c r="K274">
        <f>_xlfn.STDEV.S('R1'!L274,'R2'!L274,'R3'!L274)</f>
        <v>1.8173774956465123E-2</v>
      </c>
      <c r="L274">
        <f>_xlfn.STDEV.S('R1'!M274,'R2'!M274,'R3'!M274)</f>
        <v>2.1440032585638008E-2</v>
      </c>
      <c r="M274">
        <f>_xlfn.STDEV.S('R1'!N274,'R2'!N274,'R3'!N274)</f>
        <v>1.431282077061E-2</v>
      </c>
      <c r="N274">
        <f>_xlfn.STDEV.S('R1'!O274,'R2'!O274,'R3'!O274)</f>
        <v>8.8783029535958579E-3</v>
      </c>
    </row>
    <row r="275" spans="1:14" x14ac:dyDescent="0.25">
      <c r="A275">
        <f>-'R1'!H275</f>
        <v>0</v>
      </c>
      <c r="B275">
        <f>DEGREES(ATAN(-SIN(RADIANS(('R1'!I275)))/(COS(RADIANS(Sheet1!A275))*COS(RADIANS('R1'!I275)))))</f>
        <v>-36</v>
      </c>
      <c r="C275">
        <f>AVERAGE('R1'!J275,'R2'!J275,'R3'!J275)</f>
        <v>1.18</v>
      </c>
      <c r="D275">
        <f>AVERAGE('R1'!K275,'R2'!K275,'R3'!K275)</f>
        <v>11.217485166666668</v>
      </c>
      <c r="E275">
        <f>AVERAGE('R1'!L275,'R2'!L275,'R3'!L275)</f>
        <v>-3.5653907549735426</v>
      </c>
      <c r="F275">
        <f>AVERAGE('R1'!M275,'R2'!M275,'R3'!M275)</f>
        <v>3.6547980762963825E-2</v>
      </c>
      <c r="G275">
        <f>AVERAGE('R1'!N275,'R2'!N275,'R3'!N275)</f>
        <v>-1.9089841903830902</v>
      </c>
      <c r="H275">
        <f>AVERAGE('R1'!O275,'R2'!O275,'R3'!O275)</f>
        <v>-0.6175960250743131</v>
      </c>
      <c r="I275">
        <f t="shared" si="8"/>
        <v>2206.1054161111115</v>
      </c>
      <c r="K275">
        <f>_xlfn.STDEV.S('R1'!L275,'R2'!L275,'R3'!L275)</f>
        <v>5.3250556283531751E-2</v>
      </c>
      <c r="L275">
        <f>_xlfn.STDEV.S('R1'!M275,'R2'!M275,'R3'!M275)</f>
        <v>2.6382355997868017E-2</v>
      </c>
      <c r="M275">
        <f>_xlfn.STDEV.S('R1'!N275,'R2'!N275,'R3'!N275)</f>
        <v>5.2159407905585348E-2</v>
      </c>
      <c r="N275">
        <f>_xlfn.STDEV.S('R1'!O275,'R2'!O275,'R3'!O275)</f>
        <v>8.3851295228270558E-3</v>
      </c>
    </row>
    <row r="276" spans="1:14" x14ac:dyDescent="0.25">
      <c r="A276">
        <f>-'R1'!H276</f>
        <v>0</v>
      </c>
      <c r="B276">
        <f>DEGREES(ATAN(-SIN(RADIANS(('R1'!I276)))/(COS(RADIANS(Sheet1!A276))*COS(RADIANS('R1'!I276)))))</f>
        <v>-40</v>
      </c>
      <c r="C276">
        <f>AVERAGE('R1'!J276,'R2'!J276,'R3'!J276)</f>
        <v>1.1808333333333332</v>
      </c>
      <c r="D276">
        <f>AVERAGE('R1'!K276,'R2'!K276,'R3'!K276)</f>
        <v>11.230795416666666</v>
      </c>
      <c r="E276">
        <f>AVERAGE('R1'!L276,'R2'!L276,'R3'!L276)</f>
        <v>-4.8916011653542713</v>
      </c>
      <c r="F276">
        <f>AVERAGE('R1'!M276,'R2'!M276,'R3'!M276)</f>
        <v>4.5773393390722977E-2</v>
      </c>
      <c r="G276">
        <f>AVERAGE('R1'!N276,'R2'!N276,'R3'!N276)</f>
        <v>-3.0430367633286042</v>
      </c>
      <c r="H276">
        <f>AVERAGE('R1'!O276,'R2'!O276,'R3'!O276)</f>
        <v>-1.1484738278461943</v>
      </c>
      <c r="I276">
        <f t="shared" si="8"/>
        <v>2210.2829313078696</v>
      </c>
      <c r="K276">
        <f>_xlfn.STDEV.S('R1'!L276,'R2'!L276,'R3'!L276)</f>
        <v>6.9616809904253896E-2</v>
      </c>
      <c r="L276">
        <f>_xlfn.STDEV.S('R1'!M276,'R2'!M276,'R3'!M276)</f>
        <v>1.2586050689226609E-2</v>
      </c>
      <c r="M276">
        <f>_xlfn.STDEV.S('R1'!N276,'R2'!N276,'R3'!N276)</f>
        <v>8.9408014872227506E-2</v>
      </c>
      <c r="N276">
        <f>_xlfn.STDEV.S('R1'!O276,'R2'!O276,'R3'!O276)</f>
        <v>2.5750470436008966E-2</v>
      </c>
    </row>
    <row r="277" spans="1:14" x14ac:dyDescent="0.25">
      <c r="A277">
        <f>-'R1'!H277</f>
        <v>0</v>
      </c>
      <c r="B277">
        <f>DEGREES(ATAN(-SIN(RADIANS(('R1'!I277)))/(COS(RADIANS(Sheet1!A277))*COS(RADIANS('R1'!I277)))))</f>
        <v>-44</v>
      </c>
      <c r="C277">
        <f>AVERAGE('R1'!J277,'R2'!J277,'R3'!J277)</f>
        <v>1.1808333333333332</v>
      </c>
      <c r="D277">
        <f>AVERAGE('R1'!K277,'R2'!K277,'R3'!K277)</f>
        <v>11.197018999999999</v>
      </c>
      <c r="E277">
        <f>AVERAGE('R1'!L277,'R2'!L277,'R3'!L277)</f>
        <v>-7.4440203502584739</v>
      </c>
      <c r="F277">
        <f>AVERAGE('R1'!M277,'R2'!M277,'R3'!M277)</f>
        <v>0.10574996601918833</v>
      </c>
      <c r="G277">
        <f>AVERAGE('R1'!N277,'R2'!N277,'R3'!N277)</f>
        <v>-5.3061426076190203</v>
      </c>
      <c r="H277">
        <f>AVERAGE('R1'!O277,'R2'!O277,'R3'!O277)</f>
        <v>-2.1552545273086867</v>
      </c>
      <c r="I277">
        <f t="shared" si="8"/>
        <v>2203.6355448611102</v>
      </c>
      <c r="K277">
        <f>_xlfn.STDEV.S('R1'!L277,'R2'!L277,'R3'!L277)</f>
        <v>0.26996167184967867</v>
      </c>
      <c r="L277">
        <f>_xlfn.STDEV.S('R1'!M277,'R2'!M277,'R3'!M277)</f>
        <v>3.8151043197110837E-2</v>
      </c>
      <c r="M277">
        <f>_xlfn.STDEV.S('R1'!N277,'R2'!N277,'R3'!N277)</f>
        <v>0.2559890731628745</v>
      </c>
      <c r="N277">
        <f>_xlfn.STDEV.S('R1'!O277,'R2'!O277,'R3'!O277)</f>
        <v>7.2178321359838954E-2</v>
      </c>
    </row>
    <row r="278" spans="1:14" x14ac:dyDescent="0.25">
      <c r="A278">
        <f>-'R1'!H278</f>
        <v>-4</v>
      </c>
      <c r="B278">
        <f>DEGREES(ATAN(-SIN(RADIANS(('R1'!I278)))/(COS(RADIANS(Sheet1!A278))*COS(RADIANS('R1'!I278)))))</f>
        <v>44.069830293849904</v>
      </c>
      <c r="C278">
        <f>AVERAGE('R1'!J278,'R2'!J278,'R3'!J278)</f>
        <v>1.1816666666666666</v>
      </c>
      <c r="D278">
        <f>AVERAGE('R1'!K278,'R2'!K278,'R3'!K278)</f>
        <v>11.2246285</v>
      </c>
      <c r="E278">
        <f>AVERAGE('R1'!L278,'R2'!L278,'R3'!L278)</f>
        <v>3.4271224848433293</v>
      </c>
      <c r="F278">
        <f>AVERAGE('R1'!M278,'R2'!M278,'R3'!M278)</f>
        <v>0.28119057345171999</v>
      </c>
      <c r="G278">
        <f>AVERAGE('R1'!N278,'R2'!N278,'R3'!N278)</f>
        <v>-1.8731149173512269</v>
      </c>
      <c r="H278">
        <f>AVERAGE('R1'!O278,'R2'!O278,'R3'!O278)</f>
        <v>-1.0286793150946791</v>
      </c>
      <c r="I278">
        <f t="shared" si="8"/>
        <v>2210.6282240277778</v>
      </c>
      <c r="K278">
        <f>_xlfn.STDEV.S('R1'!L278,'R2'!L278,'R3'!L278)</f>
        <v>1.85722065458504E-2</v>
      </c>
      <c r="L278">
        <f>_xlfn.STDEV.S('R1'!M278,'R2'!M278,'R3'!M278)</f>
        <v>5.3845342602298358E-3</v>
      </c>
      <c r="M278">
        <f>_xlfn.STDEV.S('R1'!N278,'R2'!N278,'R3'!N278)</f>
        <v>1.7473958525540127E-2</v>
      </c>
      <c r="N278">
        <f>_xlfn.STDEV.S('R1'!O278,'R2'!O278,'R3'!O278)</f>
        <v>2.3078122675369361E-2</v>
      </c>
    </row>
    <row r="279" spans="1:14" x14ac:dyDescent="0.25">
      <c r="A279">
        <f>-'R1'!H279</f>
        <v>-4</v>
      </c>
      <c r="B279">
        <f>DEGREES(ATAN(-SIN(RADIANS(('R1'!I279)))/(COS(RADIANS(Sheet1!A279))*COS(RADIANS('R1'!I279)))))</f>
        <v>40.068822978998547</v>
      </c>
      <c r="C279">
        <f>AVERAGE('R1'!J279,'R2'!J279,'R3'!J279)</f>
        <v>1.1849999999999998</v>
      </c>
      <c r="D279">
        <f>AVERAGE('R1'!K279,'R2'!K279,'R3'!K279)</f>
        <v>11.282083916666666</v>
      </c>
      <c r="E279">
        <f>AVERAGE('R1'!L279,'R2'!L279,'R3'!L279)</f>
        <v>2.8592370891511258</v>
      </c>
      <c r="F279">
        <f>AVERAGE('R1'!M279,'R2'!M279,'R3'!M279)</f>
        <v>0.24866002559678332</v>
      </c>
      <c r="G279">
        <f>AVERAGE('R1'!N279,'R2'!N279,'R3'!N279)</f>
        <v>-1.3529664312727163</v>
      </c>
      <c r="H279">
        <f>AVERAGE('R1'!O279,'R2'!O279,'R3'!O279)</f>
        <v>-0.69652255979776523</v>
      </c>
      <c r="I279">
        <f t="shared" si="8"/>
        <v>2228.211573541666</v>
      </c>
      <c r="K279">
        <f>_xlfn.STDEV.S('R1'!L279,'R2'!L279,'R3'!L279)</f>
        <v>8.7097145334078582E-3</v>
      </c>
      <c r="L279">
        <f>_xlfn.STDEV.S('R1'!M279,'R2'!M279,'R3'!M279)</f>
        <v>9.4268585477363335E-3</v>
      </c>
      <c r="M279">
        <f>_xlfn.STDEV.S('R1'!N279,'R2'!N279,'R3'!N279)</f>
        <v>1.6504821351957737E-2</v>
      </c>
      <c r="N279">
        <f>_xlfn.STDEV.S('R1'!O279,'R2'!O279,'R3'!O279)</f>
        <v>1.2941928967557803E-2</v>
      </c>
    </row>
    <row r="280" spans="1:14" x14ac:dyDescent="0.25">
      <c r="A280">
        <f>-'R1'!H280</f>
        <v>-4</v>
      </c>
      <c r="B280">
        <f>DEGREES(ATAN(-SIN(RADIANS(('R1'!I280)))/(COS(RADIANS(Sheet1!A280))*COS(RADIANS('R1'!I280)))))</f>
        <v>36.066475262469574</v>
      </c>
      <c r="C280">
        <f>AVERAGE('R1'!J280,'R2'!J280,'R3'!J280)</f>
        <v>1.1824999999999999</v>
      </c>
      <c r="D280">
        <f>AVERAGE('R1'!K280,'R2'!K280,'R3'!K280)</f>
        <v>11.31058</v>
      </c>
      <c r="E280">
        <f>AVERAGE('R1'!L280,'R2'!L280,'R3'!L280)</f>
        <v>2.4684298356850731</v>
      </c>
      <c r="F280">
        <f>AVERAGE('R1'!M280,'R2'!M280,'R3'!M280)</f>
        <v>0.21308013787167401</v>
      </c>
      <c r="G280">
        <f>AVERAGE('R1'!N280,'R2'!N280,'R3'!N280)</f>
        <v>-1.0132286615863855</v>
      </c>
      <c r="H280">
        <f>AVERAGE('R1'!O280,'R2'!O280,'R3'!O280)</f>
        <v>-0.44764776895783626</v>
      </c>
      <c r="I280">
        <f t="shared" si="8"/>
        <v>2229.126808333333</v>
      </c>
      <c r="K280">
        <f>_xlfn.STDEV.S('R1'!L280,'R2'!L280,'R3'!L280)</f>
        <v>9.2507484200740533E-3</v>
      </c>
      <c r="L280">
        <f>_xlfn.STDEV.S('R1'!M280,'R2'!M280,'R3'!M280)</f>
        <v>6.5602556183933809E-3</v>
      </c>
      <c r="M280">
        <f>_xlfn.STDEV.S('R1'!N280,'R2'!N280,'R3'!N280)</f>
        <v>8.6247718695489969E-3</v>
      </c>
      <c r="N280">
        <f>_xlfn.STDEV.S('R1'!O280,'R2'!O280,'R3'!O280)</f>
        <v>1.0971782525490118E-2</v>
      </c>
    </row>
    <row r="281" spans="1:14" x14ac:dyDescent="0.25">
      <c r="A281">
        <f>-'R1'!H281</f>
        <v>-4</v>
      </c>
      <c r="B281">
        <f>DEGREES(ATAN(-SIN(RADIANS(('R1'!I281)))/(COS(RADIANS(Sheet1!A281))*COS(RADIANS('R1'!I281)))))</f>
        <v>32.062832231023428</v>
      </c>
      <c r="C281">
        <f>AVERAGE('R1'!J281,'R2'!J281,'R3'!J281)</f>
        <v>1.1808333333333332</v>
      </c>
      <c r="D281">
        <f>AVERAGE('R1'!K281,'R2'!K281,'R3'!K281)</f>
        <v>11.366860583333334</v>
      </c>
      <c r="E281">
        <f>AVERAGE('R1'!L281,'R2'!L281,'R3'!L281)</f>
        <v>2.1268431790428024</v>
      </c>
      <c r="F281">
        <f>AVERAGE('R1'!M281,'R2'!M281,'R3'!M281)</f>
        <v>0.20469249058274178</v>
      </c>
      <c r="G281">
        <f>AVERAGE('R1'!N281,'R2'!N281,'R3'!N281)</f>
        <v>-0.73494947619881756</v>
      </c>
      <c r="H281">
        <f>AVERAGE('R1'!O281,'R2'!O281,'R3'!O281)</f>
        <v>-0.22680591557349042</v>
      </c>
      <c r="I281">
        <f t="shared" si="8"/>
        <v>2237.0613120254629</v>
      </c>
      <c r="K281">
        <f>_xlfn.STDEV.S('R1'!L281,'R2'!L281,'R3'!L281)</f>
        <v>6.7202692356409504E-3</v>
      </c>
      <c r="L281">
        <f>_xlfn.STDEV.S('R1'!M281,'R2'!M281,'R3'!M281)</f>
        <v>2.1123447224802038E-2</v>
      </c>
      <c r="M281">
        <f>_xlfn.STDEV.S('R1'!N281,'R2'!N281,'R3'!N281)</f>
        <v>8.177064630269135E-3</v>
      </c>
      <c r="N281">
        <f>_xlfn.STDEV.S('R1'!O281,'R2'!O281,'R3'!O281)</f>
        <v>7.7693233706663022E-3</v>
      </c>
    </row>
    <row r="282" spans="1:14" x14ac:dyDescent="0.25">
      <c r="A282">
        <f>-'R1'!H282</f>
        <v>-4</v>
      </c>
      <c r="B282">
        <f>DEGREES(ATAN(-SIN(RADIANS(('R1'!I282)))/(COS(RADIANS(Sheet1!A282))*COS(RADIANS('R1'!I282)))))</f>
        <v>28.057964295258</v>
      </c>
      <c r="C282">
        <f>AVERAGE('R1'!J282,'R2'!J282,'R3'!J282)</f>
        <v>1.1833333333333333</v>
      </c>
      <c r="D282">
        <f>AVERAGE('R1'!K282,'R2'!K282,'R3'!K282)</f>
        <v>11.294194499999998</v>
      </c>
      <c r="E282">
        <f>AVERAGE('R1'!L282,'R2'!L282,'R3'!L282)</f>
        <v>1.8488079966790254</v>
      </c>
      <c r="F282">
        <f>AVERAGE('R1'!M282,'R2'!M282,'R3'!M282)</f>
        <v>0.18361312468343272</v>
      </c>
      <c r="G282">
        <f>AVERAGE('R1'!N282,'R2'!N282,'R3'!N282)</f>
        <v>-0.52136008905518916</v>
      </c>
      <c r="H282">
        <f>AVERAGE('R1'!O282,'R2'!O282,'R3'!O282)</f>
        <v>-3.6612458968702299E-2</v>
      </c>
      <c r="I282">
        <f t="shared" si="8"/>
        <v>2227.4661374999996</v>
      </c>
      <c r="K282">
        <f>_xlfn.STDEV.S('R1'!L282,'R2'!L282,'R3'!L282)</f>
        <v>1.3182050251311878E-2</v>
      </c>
      <c r="L282">
        <f>_xlfn.STDEV.S('R1'!M282,'R2'!M282,'R3'!M282)</f>
        <v>1.6157941466872622E-2</v>
      </c>
      <c r="M282">
        <f>_xlfn.STDEV.S('R1'!N282,'R2'!N282,'R3'!N282)</f>
        <v>1.3500288390660042E-2</v>
      </c>
      <c r="N282">
        <f>_xlfn.STDEV.S('R1'!O282,'R2'!O282,'R3'!O282)</f>
        <v>8.4085563160211391E-3</v>
      </c>
    </row>
    <row r="283" spans="1:14" x14ac:dyDescent="0.25">
      <c r="A283">
        <f>-'R1'!H283</f>
        <v>-4</v>
      </c>
      <c r="B283">
        <f>DEGREES(ATAN(-SIN(RADIANS(('R1'!I283)))/(COS(RADIANS(Sheet1!A283))*COS(RADIANS('R1'!I283)))))</f>
        <v>24.051965857834489</v>
      </c>
      <c r="C283">
        <f>AVERAGE('R1'!J283,'R2'!J283,'R3'!J283)</f>
        <v>1.1816666666666666</v>
      </c>
      <c r="D283">
        <f>AVERAGE('R1'!K283,'R2'!K283,'R3'!K283)</f>
        <v>11.257446999999999</v>
      </c>
      <c r="E283">
        <f>AVERAGE('R1'!L283,'R2'!L283,'R3'!L283)</f>
        <v>1.6066298786053357</v>
      </c>
      <c r="F283">
        <f>AVERAGE('R1'!M283,'R2'!M283,'R3'!M283)</f>
        <v>0.1793353619553005</v>
      </c>
      <c r="G283">
        <f>AVERAGE('R1'!N283,'R2'!N283,'R3'!N283)</f>
        <v>-0.36177170809552295</v>
      </c>
      <c r="H283">
        <f>AVERAGE('R1'!O283,'R2'!O283,'R3'!O283)</f>
        <v>0.12787291906594214</v>
      </c>
      <c r="I283">
        <f t="shared" si="8"/>
        <v>2217.0916452777778</v>
      </c>
      <c r="K283">
        <f>_xlfn.STDEV.S('R1'!L283,'R2'!L283,'R3'!L283)</f>
        <v>1.4836503329030556E-3</v>
      </c>
      <c r="L283">
        <f>_xlfn.STDEV.S('R1'!M283,'R2'!M283,'R3'!M283)</f>
        <v>8.8289279931915935E-3</v>
      </c>
      <c r="M283">
        <f>_xlfn.STDEV.S('R1'!N283,'R2'!N283,'R3'!N283)</f>
        <v>8.2632775653391239E-3</v>
      </c>
      <c r="N283">
        <f>_xlfn.STDEV.S('R1'!O283,'R2'!O283,'R3'!O283)</f>
        <v>7.5332535333449127E-3</v>
      </c>
    </row>
    <row r="284" spans="1:14" x14ac:dyDescent="0.25">
      <c r="A284">
        <f>-'R1'!H284</f>
        <v>-4</v>
      </c>
      <c r="B284">
        <f>DEGREES(ATAN(-SIN(RADIANS(('R1'!I284)))/(COS(RADIANS(Sheet1!A284))*COS(RADIANS('R1'!I284)))))</f>
        <v>20.044953503068641</v>
      </c>
      <c r="C284">
        <f>AVERAGE('R1'!J284,'R2'!J284,'R3'!J284)</f>
        <v>1.18</v>
      </c>
      <c r="D284">
        <f>AVERAGE('R1'!K284,'R2'!K284,'R3'!K284)</f>
        <v>11.248181916666667</v>
      </c>
      <c r="E284">
        <f>AVERAGE('R1'!L284,'R2'!L284,'R3'!L284)</f>
        <v>1.3758600786801332</v>
      </c>
      <c r="F284">
        <f>AVERAGE('R1'!M284,'R2'!M284,'R3'!M284)</f>
        <v>0.17620822202457909</v>
      </c>
      <c r="G284">
        <f>AVERAGE('R1'!N284,'R2'!N284,'R3'!N284)</f>
        <v>-0.23109407164869097</v>
      </c>
      <c r="H284">
        <f>AVERAGE('R1'!O284,'R2'!O284,'R3'!O284)</f>
        <v>0.29481959266822461</v>
      </c>
      <c r="I284">
        <f t="shared" si="8"/>
        <v>2212.142443611111</v>
      </c>
      <c r="K284">
        <f>_xlfn.STDEV.S('R1'!L284,'R2'!L284,'R3'!L284)</f>
        <v>1.197695277281987E-2</v>
      </c>
      <c r="L284">
        <f>_xlfn.STDEV.S('R1'!M284,'R2'!M284,'R3'!M284)</f>
        <v>7.4572810991813676E-3</v>
      </c>
      <c r="M284">
        <f>_xlfn.STDEV.S('R1'!N284,'R2'!N284,'R3'!N284)</f>
        <v>1.0703958735923037E-2</v>
      </c>
      <c r="N284">
        <f>_xlfn.STDEV.S('R1'!O284,'R2'!O284,'R3'!O284)</f>
        <v>1.1263591800390023E-2</v>
      </c>
    </row>
    <row r="285" spans="1:14" x14ac:dyDescent="0.25">
      <c r="A285">
        <f>-'R1'!H285</f>
        <v>-4</v>
      </c>
      <c r="B285">
        <f>DEGREES(ATAN(-SIN(RADIANS(('R1'!I285)))/(COS(RADIANS(Sheet1!A285))*COS(RADIANS('R1'!I285)))))</f>
        <v>16.037063740993869</v>
      </c>
      <c r="C285">
        <f>AVERAGE('R1'!J285,'R2'!J285,'R3'!J285)</f>
        <v>1.18</v>
      </c>
      <c r="D285">
        <f>AVERAGE('R1'!K285,'R2'!K285,'R3'!K285)</f>
        <v>11.191086833333332</v>
      </c>
      <c r="E285">
        <f>AVERAGE('R1'!L285,'R2'!L285,'R3'!L285)</f>
        <v>1.1429828687796535</v>
      </c>
      <c r="F285">
        <f>AVERAGE('R1'!M285,'R2'!M285,'R3'!M285)</f>
        <v>0.18813990223289379</v>
      </c>
      <c r="G285">
        <f>AVERAGE('R1'!N285,'R2'!N285,'R3'!N285)</f>
        <v>-0.13657464367536939</v>
      </c>
      <c r="H285">
        <f>AVERAGE('R1'!O285,'R2'!O285,'R3'!O285)</f>
        <v>0.46569470538452179</v>
      </c>
      <c r="I285">
        <f t="shared" si="8"/>
        <v>2200.9137438888888</v>
      </c>
      <c r="K285">
        <f>_xlfn.STDEV.S('R1'!L285,'R2'!L285,'R3'!L285)</f>
        <v>7.5065263358156144E-3</v>
      </c>
      <c r="L285">
        <f>_xlfn.STDEV.S('R1'!M285,'R2'!M285,'R3'!M285)</f>
        <v>7.8977252203182597E-3</v>
      </c>
      <c r="M285">
        <f>_xlfn.STDEV.S('R1'!N285,'R2'!N285,'R3'!N285)</f>
        <v>9.8095576890598803E-3</v>
      </c>
      <c r="N285">
        <f>_xlfn.STDEV.S('R1'!O285,'R2'!O285,'R3'!O285)</f>
        <v>2.893026252620879E-3</v>
      </c>
    </row>
    <row r="286" spans="1:14" x14ac:dyDescent="0.25">
      <c r="A286">
        <f>-'R1'!H286</f>
        <v>-4</v>
      </c>
      <c r="B286">
        <f>DEGREES(ATAN(-SIN(RADIANS(('R1'!I286)))/(COS(RADIANS(Sheet1!A286))*COS(RADIANS('R1'!I286)))))</f>
        <v>12.028450348745874</v>
      </c>
      <c r="C286">
        <f>AVERAGE('R1'!J286,'R2'!J286,'R3'!J286)</f>
        <v>1.18</v>
      </c>
      <c r="D286">
        <f>AVERAGE('R1'!K286,'R2'!K286,'R3'!K286)</f>
        <v>11.239813416666665</v>
      </c>
      <c r="E286">
        <f>AVERAGE('R1'!L286,'R2'!L286,'R3'!L286)</f>
        <v>0.88598964219181087</v>
      </c>
      <c r="F286">
        <f>AVERAGE('R1'!M286,'R2'!M286,'R3'!M286)</f>
        <v>0.21009303319727787</v>
      </c>
      <c r="G286">
        <f>AVERAGE('R1'!N286,'R2'!N286,'R3'!N286)</f>
        <v>-7.0914614794017394E-2</v>
      </c>
      <c r="H286">
        <f>AVERAGE('R1'!O286,'R2'!O286,'R3'!O286)</f>
        <v>0.64925535810035329</v>
      </c>
      <c r="I286">
        <f t="shared" si="8"/>
        <v>2210.4966386111109</v>
      </c>
      <c r="K286">
        <f>_xlfn.STDEV.S('R1'!L286,'R2'!L286,'R3'!L286)</f>
        <v>7.2654087657797028E-3</v>
      </c>
      <c r="L286">
        <f>_xlfn.STDEV.S('R1'!M286,'R2'!M286,'R3'!M286)</f>
        <v>9.2340678679690581E-3</v>
      </c>
      <c r="M286">
        <f>_xlfn.STDEV.S('R1'!N286,'R2'!N286,'R3'!N286)</f>
        <v>8.1075852195419441E-3</v>
      </c>
      <c r="N286">
        <f>_xlfn.STDEV.S('R1'!O286,'R2'!O286,'R3'!O286)</f>
        <v>1.025568331068246E-2</v>
      </c>
    </row>
    <row r="287" spans="1:14" x14ac:dyDescent="0.25">
      <c r="A287">
        <f>-'R1'!H287</f>
        <v>-4</v>
      </c>
      <c r="B287">
        <f>DEGREES(ATAN(-SIN(RADIANS(('R1'!I287)))/(COS(RADIANS(Sheet1!A287))*COS(RADIANS('R1'!I287)))))</f>
        <v>8.0192813611150822</v>
      </c>
      <c r="C287">
        <f>AVERAGE('R1'!J287,'R2'!J287,'R3'!J287)</f>
        <v>1.18</v>
      </c>
      <c r="D287">
        <f>AVERAGE('R1'!K287,'R2'!K287,'R3'!K287)</f>
        <v>11.304793666666667</v>
      </c>
      <c r="E287">
        <f>AVERAGE('R1'!L287,'R2'!L287,'R3'!L287)</f>
        <v>0.60628675831672474</v>
      </c>
      <c r="F287">
        <f>AVERAGE('R1'!M287,'R2'!M287,'R3'!M287)</f>
        <v>0.24789674546127269</v>
      </c>
      <c r="G287">
        <f>AVERAGE('R1'!N287,'R2'!N287,'R3'!N287)</f>
        <v>-3.0700694050799324E-2</v>
      </c>
      <c r="H287">
        <f>AVERAGE('R1'!O287,'R2'!O287,'R3'!O287)</f>
        <v>0.82714467285049531</v>
      </c>
      <c r="I287">
        <f t="shared" si="8"/>
        <v>2223.2760877777778</v>
      </c>
      <c r="K287">
        <f>_xlfn.STDEV.S('R1'!L287,'R2'!L287,'R3'!L287)</f>
        <v>1.8981981619054843E-3</v>
      </c>
      <c r="L287">
        <f>_xlfn.STDEV.S('R1'!M287,'R2'!M287,'R3'!M287)</f>
        <v>1.0638651176908437E-2</v>
      </c>
      <c r="M287">
        <f>_xlfn.STDEV.S('R1'!N287,'R2'!N287,'R3'!N287)</f>
        <v>9.9805016490154379E-3</v>
      </c>
      <c r="N287">
        <f>_xlfn.STDEV.S('R1'!O287,'R2'!O287,'R3'!O287)</f>
        <v>3.56408672870164E-3</v>
      </c>
    </row>
    <row r="288" spans="1:14" x14ac:dyDescent="0.25">
      <c r="A288">
        <f>-'R1'!H288</f>
        <v>-4</v>
      </c>
      <c r="B288">
        <f>DEGREES(ATAN(-SIN(RADIANS(('R1'!I288)))/(COS(RADIANS(Sheet1!A288))*COS(RADIANS('R1'!I288)))))</f>
        <v>4.0097357700975991</v>
      </c>
      <c r="C288">
        <f>AVERAGE('R1'!J288,'R2'!J288,'R3'!J288)</f>
        <v>1.1833333333333333</v>
      </c>
      <c r="D288">
        <f>AVERAGE('R1'!K288,'R2'!K288,'R3'!K288)</f>
        <v>11.308829583333333</v>
      </c>
      <c r="E288">
        <f>AVERAGE('R1'!L288,'R2'!L288,'R3'!L288)</f>
        <v>0.27955428647079078</v>
      </c>
      <c r="F288">
        <f>AVERAGE('R1'!M288,'R2'!M288,'R3'!M288)</f>
        <v>0.27303122258691753</v>
      </c>
      <c r="G288">
        <f>AVERAGE('R1'!N288,'R2'!N288,'R3'!N288)</f>
        <v>-1.5308845160782179E-2</v>
      </c>
      <c r="H288">
        <f>AVERAGE('R1'!O288,'R2'!O288,'R3'!O288)</f>
        <v>1.0262832955714003</v>
      </c>
      <c r="I288">
        <f t="shared" si="8"/>
        <v>2230.3525011574075</v>
      </c>
      <c r="K288">
        <f>_xlfn.STDEV.S('R1'!L288,'R2'!L288,'R3'!L288)</f>
        <v>2.0868908501383049E-3</v>
      </c>
      <c r="L288">
        <f>_xlfn.STDEV.S('R1'!M288,'R2'!M288,'R3'!M288)</f>
        <v>2.3294477086234482E-3</v>
      </c>
      <c r="M288">
        <f>_xlfn.STDEV.S('R1'!N288,'R2'!N288,'R3'!N288)</f>
        <v>1.1952512313898872E-2</v>
      </c>
      <c r="N288">
        <f>_xlfn.STDEV.S('R1'!O288,'R2'!O288,'R3'!O288)</f>
        <v>1.0603600540605483E-2</v>
      </c>
    </row>
    <row r="289" spans="1:14" x14ac:dyDescent="0.25">
      <c r="A289">
        <f>-'R1'!H289</f>
        <v>-4</v>
      </c>
      <c r="B289">
        <f>DEGREES(ATAN(-SIN(RADIANS(('R1'!I289)))/(COS(RADIANS(Sheet1!A289))*COS(RADIANS('R1'!I289)))))</f>
        <v>0</v>
      </c>
      <c r="C289">
        <f>AVERAGE('R1'!J289,'R2'!J289,'R3'!J289)</f>
        <v>1.1816666666666666</v>
      </c>
      <c r="D289">
        <f>AVERAGE('R1'!K289,'R2'!K289,'R3'!K289)</f>
        <v>11.367056916666668</v>
      </c>
      <c r="E289">
        <f>AVERAGE('R1'!L289,'R2'!L289,'R3'!L289)</f>
        <v>-7.6263693270611721E-2</v>
      </c>
      <c r="F289">
        <f>AVERAGE('R1'!M289,'R2'!M289,'R3'!M289)</f>
        <v>0.2919394568280731</v>
      </c>
      <c r="G289">
        <f>AVERAGE('R1'!N289,'R2'!N289,'R3'!N289)</f>
        <v>-1.5768602674864681E-2</v>
      </c>
      <c r="H289">
        <f>AVERAGE('R1'!O289,'R2'!O289,'R3'!O289)</f>
        <v>1.1343799697195833</v>
      </c>
      <c r="I289">
        <f t="shared" si="8"/>
        <v>2238.6787094212968</v>
      </c>
      <c r="K289">
        <f>_xlfn.STDEV.S('R1'!L289,'R2'!L289,'R3'!L289)</f>
        <v>7.0450371014739426E-3</v>
      </c>
      <c r="L289">
        <f>_xlfn.STDEV.S('R1'!M289,'R2'!M289,'R3'!M289)</f>
        <v>1.6187038118984746E-2</v>
      </c>
      <c r="M289">
        <f>_xlfn.STDEV.S('R1'!N289,'R2'!N289,'R3'!N289)</f>
        <v>1.5359694084248742E-2</v>
      </c>
      <c r="N289">
        <f>_xlfn.STDEV.S('R1'!O289,'R2'!O289,'R3'!O289)</f>
        <v>7.5159779675710138E-3</v>
      </c>
    </row>
    <row r="290" spans="1:14" x14ac:dyDescent="0.25">
      <c r="A290">
        <f>-'R1'!H290</f>
        <v>-4</v>
      </c>
      <c r="B290">
        <f>DEGREES(ATAN(-SIN(RADIANS(('R1'!I290)))/(COS(RADIANS(Sheet1!A290))*COS(RADIANS('R1'!I290)))))</f>
        <v>-4.0097357700975991</v>
      </c>
      <c r="C290">
        <f>AVERAGE('R1'!J290,'R2'!J290,'R3'!J290)</f>
        <v>1.18</v>
      </c>
      <c r="D290">
        <f>AVERAGE('R1'!K290,'R2'!K290,'R3'!K290)</f>
        <v>11.429375666666667</v>
      </c>
      <c r="E290">
        <f>AVERAGE('R1'!L290,'R2'!L290,'R3'!L290)</f>
        <v>-0.4188826423991881</v>
      </c>
      <c r="F290">
        <f>AVERAGE('R1'!M290,'R2'!M290,'R3'!M290)</f>
        <v>0.2570293377302672</v>
      </c>
      <c r="G290">
        <f>AVERAGE('R1'!N290,'R2'!N290,'R3'!N290)</f>
        <v>-2.1975005730443465E-2</v>
      </c>
      <c r="H290">
        <f>AVERAGE('R1'!O290,'R2'!O290,'R3'!O290)</f>
        <v>0.93919202217280218</v>
      </c>
      <c r="I290">
        <f t="shared" si="8"/>
        <v>2247.7772144444448</v>
      </c>
      <c r="K290">
        <f>_xlfn.STDEV.S('R1'!L290,'R2'!L290,'R3'!L290)</f>
        <v>5.7718867585897322E-3</v>
      </c>
      <c r="L290">
        <f>_xlfn.STDEV.S('R1'!M290,'R2'!M290,'R3'!M290)</f>
        <v>9.2589481310314144E-3</v>
      </c>
      <c r="M290">
        <f>_xlfn.STDEV.S('R1'!N290,'R2'!N290,'R3'!N290)</f>
        <v>1.5500311348424027E-2</v>
      </c>
      <c r="N290">
        <f>_xlfn.STDEV.S('R1'!O290,'R2'!O290,'R3'!O290)</f>
        <v>8.4330158021313044E-3</v>
      </c>
    </row>
    <row r="291" spans="1:14" x14ac:dyDescent="0.25">
      <c r="A291">
        <f>-'R1'!H291</f>
        <v>-4</v>
      </c>
      <c r="B291">
        <f>DEGREES(ATAN(-SIN(RADIANS(('R1'!I291)))/(COS(RADIANS(Sheet1!A291))*COS(RADIANS('R1'!I291)))))</f>
        <v>-8.0192813611150822</v>
      </c>
      <c r="C291">
        <f>AVERAGE('R1'!J291,'R2'!J291,'R3'!J291)</f>
        <v>1.1816666666666666</v>
      </c>
      <c r="D291">
        <f>AVERAGE('R1'!K291,'R2'!K291,'R3'!K291)</f>
        <v>11.431316666666667</v>
      </c>
      <c r="E291">
        <f>AVERAGE('R1'!L291,'R2'!L291,'R3'!L291)</f>
        <v>-0.71873051155794221</v>
      </c>
      <c r="F291">
        <f>AVERAGE('R1'!M291,'R2'!M291,'R3'!M291)</f>
        <v>0.24739228303134322</v>
      </c>
      <c r="G291">
        <f>AVERAGE('R1'!N291,'R2'!N291,'R3'!N291)</f>
        <v>-4.5592533233834408E-2</v>
      </c>
      <c r="H291">
        <f>AVERAGE('R1'!O291,'R2'!O291,'R3'!O291)</f>
        <v>0.73851314970551474</v>
      </c>
      <c r="I291">
        <f t="shared" si="8"/>
        <v>2251.3343101851856</v>
      </c>
      <c r="K291">
        <f>_xlfn.STDEV.S('R1'!L291,'R2'!L291,'R3'!L291)</f>
        <v>4.710523933694628E-3</v>
      </c>
      <c r="L291">
        <f>_xlfn.STDEV.S('R1'!M291,'R2'!M291,'R3'!M291)</f>
        <v>1.5203958750593846E-2</v>
      </c>
      <c r="M291">
        <f>_xlfn.STDEV.S('R1'!N291,'R2'!N291,'R3'!N291)</f>
        <v>1.0420168650031689E-2</v>
      </c>
      <c r="N291">
        <f>_xlfn.STDEV.S('R1'!O291,'R2'!O291,'R3'!O291)</f>
        <v>7.9723093227232599E-3</v>
      </c>
    </row>
    <row r="292" spans="1:14" x14ac:dyDescent="0.25">
      <c r="A292">
        <f>-'R1'!H292</f>
        <v>-4</v>
      </c>
      <c r="B292">
        <f>DEGREES(ATAN(-SIN(RADIANS(('R1'!I292)))/(COS(RADIANS(Sheet1!A292))*COS(RADIANS('R1'!I292)))))</f>
        <v>-12.028450348745874</v>
      </c>
      <c r="C292">
        <f>AVERAGE('R1'!J292,'R2'!J292,'R3'!J292)</f>
        <v>1.1808333333333332</v>
      </c>
      <c r="D292">
        <f>AVERAGE('R1'!K292,'R2'!K292,'R3'!K292)</f>
        <v>11.478503249999997</v>
      </c>
      <c r="E292">
        <f>AVERAGE('R1'!L292,'R2'!L292,'R3'!L292)</f>
        <v>-0.97131674950260294</v>
      </c>
      <c r="F292">
        <f>AVERAGE('R1'!M292,'R2'!M292,'R3'!M292)</f>
        <v>0.22954662740542886</v>
      </c>
      <c r="G292">
        <f>AVERAGE('R1'!N292,'R2'!N292,'R3'!N292)</f>
        <v>-9.5164106163602658E-2</v>
      </c>
      <c r="H292">
        <f>AVERAGE('R1'!O292,'R2'!O292,'R3'!O292)</f>
        <v>0.56940070859055869</v>
      </c>
      <c r="I292">
        <f t="shared" si="8"/>
        <v>2259.0332090624993</v>
      </c>
      <c r="K292">
        <f>_xlfn.STDEV.S('R1'!L292,'R2'!L292,'R3'!L292)</f>
        <v>4.892867213835095E-3</v>
      </c>
      <c r="L292">
        <f>_xlfn.STDEV.S('R1'!M292,'R2'!M292,'R3'!M292)</f>
        <v>1.4603861416728611E-2</v>
      </c>
      <c r="M292">
        <f>_xlfn.STDEV.S('R1'!N292,'R2'!N292,'R3'!N292)</f>
        <v>1.1916882491171819E-2</v>
      </c>
      <c r="N292">
        <f>_xlfn.STDEV.S('R1'!O292,'R2'!O292,'R3'!O292)</f>
        <v>5.3448181885322778E-3</v>
      </c>
    </row>
    <row r="293" spans="1:14" x14ac:dyDescent="0.25">
      <c r="A293">
        <f>-'R1'!H293</f>
        <v>-4</v>
      </c>
      <c r="B293">
        <f>DEGREES(ATAN(-SIN(RADIANS(('R1'!I293)))/(COS(RADIANS(Sheet1!A293))*COS(RADIANS('R1'!I293)))))</f>
        <v>-16.037063740993869</v>
      </c>
      <c r="C293">
        <f>AVERAGE('R1'!J293,'R2'!J293,'R3'!J293)</f>
        <v>1.18</v>
      </c>
      <c r="D293">
        <f>AVERAGE('R1'!K293,'R2'!K293,'R3'!K293)</f>
        <v>11.515185416666668</v>
      </c>
      <c r="E293">
        <f>AVERAGE('R1'!L293,'R2'!L293,'R3'!L293)</f>
        <v>-1.2190247357430641</v>
      </c>
      <c r="F293">
        <f>AVERAGE('R1'!M293,'R2'!M293,'R3'!M293)</f>
        <v>0.22728482051113272</v>
      </c>
      <c r="G293">
        <f>AVERAGE('R1'!N293,'R2'!N293,'R3'!N293)</f>
        <v>-0.18699123238964507</v>
      </c>
      <c r="H293">
        <f>AVERAGE('R1'!O293,'R2'!O293,'R3'!O293)</f>
        <v>0.40212943177909738</v>
      </c>
      <c r="I293">
        <f t="shared" si="8"/>
        <v>2264.6531319444448</v>
      </c>
      <c r="K293">
        <f>_xlfn.STDEV.S('R1'!L293,'R2'!L293,'R3'!L293)</f>
        <v>4.926101577529339E-3</v>
      </c>
      <c r="L293">
        <f>_xlfn.STDEV.S('R1'!M293,'R2'!M293,'R3'!M293)</f>
        <v>7.1669373314560856E-3</v>
      </c>
      <c r="M293">
        <f>_xlfn.STDEV.S('R1'!N293,'R2'!N293,'R3'!N293)</f>
        <v>9.0764898057102555E-3</v>
      </c>
      <c r="N293">
        <f>_xlfn.STDEV.S('R1'!O293,'R2'!O293,'R3'!O293)</f>
        <v>8.9195706828198301E-3</v>
      </c>
    </row>
    <row r="294" spans="1:14" x14ac:dyDescent="0.25">
      <c r="A294">
        <f>-'R1'!H294</f>
        <v>-4</v>
      </c>
      <c r="B294">
        <f>DEGREES(ATAN(-SIN(RADIANS(('R1'!I294)))/(COS(RADIANS(Sheet1!A294))*COS(RADIANS('R1'!I294)))))</f>
        <v>-20.044953503068641</v>
      </c>
      <c r="C294">
        <f>AVERAGE('R1'!J294,'R2'!J294,'R3'!J294)</f>
        <v>1.18</v>
      </c>
      <c r="D294">
        <f>AVERAGE('R1'!K294,'R2'!K294,'R3'!K294)</f>
        <v>11.533060000000001</v>
      </c>
      <c r="E294">
        <f>AVERAGE('R1'!L294,'R2'!L294,'R3'!L294)</f>
        <v>-1.4601325336548652</v>
      </c>
      <c r="F294">
        <f>AVERAGE('R1'!M294,'R2'!M294,'R3'!M294)</f>
        <v>0.2354572594437295</v>
      </c>
      <c r="G294">
        <f>AVERAGE('R1'!N294,'R2'!N294,'R3'!N294)</f>
        <v>-0.31217170901570218</v>
      </c>
      <c r="H294">
        <f>AVERAGE('R1'!O294,'R2'!O294,'R3'!O294)</f>
        <v>0.25154814669270104</v>
      </c>
      <c r="I294">
        <f t="shared" si="8"/>
        <v>2268.168466666667</v>
      </c>
      <c r="K294">
        <f>_xlfn.STDEV.S('R1'!L294,'R2'!L294,'R3'!L294)</f>
        <v>5.1425397738258912E-3</v>
      </c>
      <c r="L294">
        <f>_xlfn.STDEV.S('R1'!M294,'R2'!M294,'R3'!M294)</f>
        <v>9.7202321134759496E-3</v>
      </c>
      <c r="M294">
        <f>_xlfn.STDEV.S('R1'!N294,'R2'!N294,'R3'!N294)</f>
        <v>5.9404580353300263E-3</v>
      </c>
      <c r="N294">
        <f>_xlfn.STDEV.S('R1'!O294,'R2'!O294,'R3'!O294)</f>
        <v>6.820826728793296E-3</v>
      </c>
    </row>
    <row r="295" spans="1:14" x14ac:dyDescent="0.25">
      <c r="A295">
        <f>-'R1'!H295</f>
        <v>-4</v>
      </c>
      <c r="B295">
        <f>DEGREES(ATAN(-SIN(RADIANS(('R1'!I295)))/(COS(RADIANS(Sheet1!A295))*COS(RADIANS('R1'!I295)))))</f>
        <v>-24.051965857834489</v>
      </c>
      <c r="C295">
        <f>AVERAGE('R1'!J295,'R2'!J295,'R3'!J295)</f>
        <v>1.1833333333333333</v>
      </c>
      <c r="D295">
        <f>AVERAGE('R1'!K295,'R2'!K295,'R3'!K295)</f>
        <v>11.521046166666666</v>
      </c>
      <c r="E295">
        <f>AVERAGE('R1'!L295,'R2'!L295,'R3'!L295)</f>
        <v>-1.7354554502315536</v>
      </c>
      <c r="F295">
        <f>AVERAGE('R1'!M295,'R2'!M295,'R3'!M295)</f>
        <v>0.2777880477693957</v>
      </c>
      <c r="G295">
        <f>AVERAGE('R1'!N295,'R2'!N295,'R3'!N295)</f>
        <v>-0.49903771498901328</v>
      </c>
      <c r="H295">
        <f>AVERAGE('R1'!O295,'R2'!O295,'R3'!O295)</f>
        <v>8.1014579409194779E-2</v>
      </c>
      <c r="I295">
        <f t="shared" si="8"/>
        <v>2272.2063273148146</v>
      </c>
      <c r="K295">
        <f>_xlfn.STDEV.S('R1'!L295,'R2'!L295,'R3'!L295)</f>
        <v>4.850232625487472E-3</v>
      </c>
      <c r="L295">
        <f>_xlfn.STDEV.S('R1'!M295,'R2'!M295,'R3'!M295)</f>
        <v>4.7699927021779441E-3</v>
      </c>
      <c r="M295">
        <f>_xlfn.STDEV.S('R1'!N295,'R2'!N295,'R3'!N295)</f>
        <v>5.909781739329093E-3</v>
      </c>
      <c r="N295">
        <f>_xlfn.STDEV.S('R1'!O295,'R2'!O295,'R3'!O295)</f>
        <v>7.1562047479120931E-4</v>
      </c>
    </row>
    <row r="296" spans="1:14" x14ac:dyDescent="0.25">
      <c r="A296">
        <f>-'R1'!H296</f>
        <v>-4</v>
      </c>
      <c r="B296">
        <f>DEGREES(ATAN(-SIN(RADIANS(('R1'!I296)))/(COS(RADIANS(Sheet1!A296))*COS(RADIANS('R1'!I296)))))</f>
        <v>-28.057964295258</v>
      </c>
      <c r="C296">
        <f>AVERAGE('R1'!J296,'R2'!J296,'R3'!J296)</f>
        <v>1.1816666666666666</v>
      </c>
      <c r="D296">
        <f>AVERAGE('R1'!K296,'R2'!K296,'R3'!K296)</f>
        <v>11.46092125</v>
      </c>
      <c r="E296">
        <f>AVERAGE('R1'!L296,'R2'!L296,'R3'!L296)</f>
        <v>-2.0762219699042874</v>
      </c>
      <c r="F296">
        <f>AVERAGE('R1'!M296,'R2'!M296,'R3'!M296)</f>
        <v>0.3317570246260137</v>
      </c>
      <c r="G296">
        <f>AVERAGE('R1'!N296,'R2'!N296,'R3'!N296)</f>
        <v>-0.76684603051339506</v>
      </c>
      <c r="H296">
        <f>AVERAGE('R1'!O296,'R2'!O296,'R3'!O296)</f>
        <v>-0.11982484072848476</v>
      </c>
      <c r="I296">
        <f t="shared" si="8"/>
        <v>2257.164768402778</v>
      </c>
      <c r="K296">
        <f>_xlfn.STDEV.S('R1'!L296,'R2'!L296,'R3'!L296)</f>
        <v>2.5110350261175274E-3</v>
      </c>
      <c r="L296">
        <f>_xlfn.STDEV.S('R1'!M296,'R2'!M296,'R3'!M296)</f>
        <v>8.687201150495474E-3</v>
      </c>
      <c r="M296">
        <f>_xlfn.STDEV.S('R1'!N296,'R2'!N296,'R3'!N296)</f>
        <v>9.2545435548668873E-3</v>
      </c>
      <c r="N296">
        <f>_xlfn.STDEV.S('R1'!O296,'R2'!O296,'R3'!O296)</f>
        <v>4.1938314411561917E-3</v>
      </c>
    </row>
    <row r="297" spans="1:14" x14ac:dyDescent="0.25">
      <c r="A297">
        <f>-'R1'!H297</f>
        <v>-4</v>
      </c>
      <c r="B297">
        <f>DEGREES(ATAN(-SIN(RADIANS(('R1'!I297)))/(COS(RADIANS(Sheet1!A297))*COS(RADIANS('R1'!I297)))))</f>
        <v>-32.062832231023428</v>
      </c>
      <c r="C297">
        <f>AVERAGE('R1'!J297,'R2'!J297,'R3'!J297)</f>
        <v>1.18</v>
      </c>
      <c r="D297">
        <f>AVERAGE('R1'!K297,'R2'!K297,'R3'!K297)</f>
        <v>11.447841833333333</v>
      </c>
      <c r="E297">
        <f>AVERAGE('R1'!L297,'R2'!L297,'R3'!L297)</f>
        <v>-2.4907958846636458</v>
      </c>
      <c r="F297">
        <f>AVERAGE('R1'!M297,'R2'!M297,'R3'!M297)</f>
        <v>0.41284555062320111</v>
      </c>
      <c r="G297">
        <f>AVERAGE('R1'!N297,'R2'!N297,'R3'!N297)</f>
        <v>-1.121983142504112</v>
      </c>
      <c r="H297">
        <f>AVERAGE('R1'!O297,'R2'!O297,'R3'!O297)</f>
        <v>-0.35232836957314645</v>
      </c>
      <c r="I297">
        <f t="shared" si="8"/>
        <v>2251.408893888889</v>
      </c>
      <c r="K297">
        <f>_xlfn.STDEV.S('R1'!L297,'R2'!L297,'R3'!L297)</f>
        <v>1.788721948318352E-2</v>
      </c>
      <c r="L297">
        <f>_xlfn.STDEV.S('R1'!M297,'R2'!M297,'R3'!M297)</f>
        <v>7.2424921429791863E-3</v>
      </c>
      <c r="M297">
        <f>_xlfn.STDEV.S('R1'!N297,'R2'!N297,'R3'!N297)</f>
        <v>2.1963443917307583E-2</v>
      </c>
      <c r="N297">
        <f>_xlfn.STDEV.S('R1'!O297,'R2'!O297,'R3'!O297)</f>
        <v>6.7284490128668648E-3</v>
      </c>
    </row>
    <row r="298" spans="1:14" x14ac:dyDescent="0.25">
      <c r="A298">
        <f>-'R1'!H298</f>
        <v>-4</v>
      </c>
      <c r="B298">
        <f>DEGREES(ATAN(-SIN(RADIANS(('R1'!I298)))/(COS(RADIANS(Sheet1!A298))*COS(RADIANS('R1'!I298)))))</f>
        <v>-36.066475262469574</v>
      </c>
      <c r="C298">
        <f>AVERAGE('R1'!J298,'R2'!J298,'R3'!J298)</f>
        <v>1.1808333333333332</v>
      </c>
      <c r="D298">
        <f>AVERAGE('R1'!K298,'R2'!K298,'R3'!K298)</f>
        <v>11.431110916666666</v>
      </c>
      <c r="E298">
        <f>AVERAGE('R1'!L298,'R2'!L298,'R3'!L298)</f>
        <v>-3.0769002600693689</v>
      </c>
      <c r="F298">
        <f>AVERAGE('R1'!M298,'R2'!M298,'R3'!M298)</f>
        <v>0.52563226294412546</v>
      </c>
      <c r="G298">
        <f>AVERAGE('R1'!N298,'R2'!N298,'R3'!N298)</f>
        <v>-1.6463532237201093</v>
      </c>
      <c r="H298">
        <f>AVERAGE('R1'!O298,'R2'!O298,'R3'!O298)</f>
        <v>-0.65957892108177796</v>
      </c>
      <c r="I298">
        <f t="shared" si="8"/>
        <v>2249.7061345717589</v>
      </c>
      <c r="K298">
        <f>_xlfn.STDEV.S('R1'!L298,'R2'!L298,'R3'!L298)</f>
        <v>3.6648596209713766E-2</v>
      </c>
      <c r="L298">
        <f>_xlfn.STDEV.S('R1'!M298,'R2'!M298,'R3'!M298)</f>
        <v>7.7642432747899752E-3</v>
      </c>
      <c r="M298">
        <f>_xlfn.STDEV.S('R1'!N298,'R2'!N298,'R3'!N298)</f>
        <v>2.9078798037382027E-2</v>
      </c>
      <c r="N298">
        <f>_xlfn.STDEV.S('R1'!O298,'R2'!O298,'R3'!O298)</f>
        <v>9.8182696588599658E-3</v>
      </c>
    </row>
    <row r="299" spans="1:14" x14ac:dyDescent="0.25">
      <c r="A299">
        <f>-'R1'!H299</f>
        <v>-4</v>
      </c>
      <c r="B299">
        <f>DEGREES(ATAN(-SIN(RADIANS(('R1'!I299)))/(COS(RADIANS(Sheet1!A299))*COS(RADIANS('R1'!I299)))))</f>
        <v>-40.068822978998547</v>
      </c>
      <c r="C299">
        <f>AVERAGE('R1'!J299,'R2'!J299,'R3'!J299)</f>
        <v>1.1824999999999999</v>
      </c>
      <c r="D299">
        <f>AVERAGE('R1'!K299,'R2'!K299,'R3'!K299)</f>
        <v>11.36085875</v>
      </c>
      <c r="E299">
        <f>AVERAGE('R1'!L299,'R2'!L299,'R3'!L299)</f>
        <v>-4.0260474723272113</v>
      </c>
      <c r="F299">
        <f>AVERAGE('R1'!M299,'R2'!M299,'R3'!M299)</f>
        <v>0.70999909515548476</v>
      </c>
      <c r="G299">
        <f>AVERAGE('R1'!N299,'R2'!N299,'R3'!N299)</f>
        <v>-2.5098855117996806</v>
      </c>
      <c r="H299">
        <f>AVERAGE('R1'!O299,'R2'!O299,'R3'!O299)</f>
        <v>-1.1111314324179882</v>
      </c>
      <c r="I299">
        <f t="shared" si="8"/>
        <v>2239.0359119791665</v>
      </c>
      <c r="K299">
        <f>_xlfn.STDEV.S('R1'!L299,'R2'!L299,'R3'!L299)</f>
        <v>4.0019803974485964E-2</v>
      </c>
      <c r="L299">
        <f>_xlfn.STDEV.S('R1'!M299,'R2'!M299,'R3'!M299)</f>
        <v>2.2613632326317006E-2</v>
      </c>
      <c r="M299">
        <f>_xlfn.STDEV.S('R1'!N299,'R2'!N299,'R3'!N299)</f>
        <v>4.8552827374610898E-2</v>
      </c>
      <c r="N299">
        <f>_xlfn.STDEV.S('R1'!O299,'R2'!O299,'R3'!O299)</f>
        <v>1.6505888156010239E-2</v>
      </c>
    </row>
    <row r="300" spans="1:14" x14ac:dyDescent="0.25">
      <c r="A300">
        <f>-'R1'!H300</f>
        <v>-4</v>
      </c>
      <c r="B300">
        <f>DEGREES(ATAN(-SIN(RADIANS(('R1'!I300)))/(COS(RADIANS(Sheet1!A300))*COS(RADIANS('R1'!I300)))))</f>
        <v>-44.069830293849904</v>
      </c>
      <c r="C300">
        <f>AVERAGE('R1'!J300,'R2'!J300,'R3'!J300)</f>
        <v>1.18</v>
      </c>
      <c r="D300">
        <f>AVERAGE('R1'!K300,'R2'!K300,'R3'!K300)</f>
        <v>11.408100500000002</v>
      </c>
      <c r="E300">
        <f>AVERAGE('R1'!L300,'R2'!L300,'R3'!L300)</f>
        <v>-5.6547380825089526</v>
      </c>
      <c r="F300">
        <f>AVERAGE('R1'!M300,'R2'!M300,'R3'!M300)</f>
        <v>0.9766321022142862</v>
      </c>
      <c r="G300">
        <f>AVERAGE('R1'!N300,'R2'!N300,'R3'!N300)</f>
        <v>-4.035674418750105</v>
      </c>
      <c r="H300">
        <f>AVERAGE('R1'!O300,'R2'!O300,'R3'!O300)</f>
        <v>-1.8628628269087912</v>
      </c>
      <c r="I300">
        <f t="shared" si="8"/>
        <v>2243.5930983333337</v>
      </c>
      <c r="K300">
        <f>_xlfn.STDEV.S('R1'!L300,'R2'!L300,'R3'!L300)</f>
        <v>0.16370984091720467</v>
      </c>
      <c r="L300">
        <f>_xlfn.STDEV.S('R1'!M300,'R2'!M300,'R3'!M300)</f>
        <v>2.8947303001822688E-2</v>
      </c>
      <c r="M300">
        <f>_xlfn.STDEV.S('R1'!N300,'R2'!N300,'R3'!N300)</f>
        <v>0.14316295730543765</v>
      </c>
      <c r="N300">
        <f>_xlfn.STDEV.S('R1'!O300,'R2'!O300,'R3'!O300)</f>
        <v>5.8563949318170973E-2</v>
      </c>
    </row>
    <row r="301" spans="1:14" x14ac:dyDescent="0.25">
      <c r="A301">
        <f>-'R1'!H301</f>
        <v>-8</v>
      </c>
      <c r="B301">
        <f>DEGREES(ATAN(-SIN(RADIANS(('R1'!I301)))/(COS(RADIANS(Sheet1!A301))*COS(RADIANS('R1'!I301)))))</f>
        <v>44.280037446618948</v>
      </c>
      <c r="C301">
        <f>AVERAGE('R1'!J301,'R2'!J301,'R3'!J301)</f>
        <v>1.18</v>
      </c>
      <c r="D301">
        <f>AVERAGE('R1'!K301,'R2'!K301,'R3'!K301)</f>
        <v>11.468068499999999</v>
      </c>
      <c r="E301">
        <f>AVERAGE('R1'!L301,'R2'!L301,'R3'!L301)</f>
        <v>3.0891538124163982</v>
      </c>
      <c r="F301">
        <f>AVERAGE('R1'!M301,'R2'!M301,'R3'!M301)</f>
        <v>0.71461191789182177</v>
      </c>
      <c r="G301">
        <f>AVERAGE('R1'!N301,'R2'!N301,'R3'!N301)</f>
        <v>-1.7183278673091504</v>
      </c>
      <c r="H301">
        <f>AVERAGE('R1'!O301,'R2'!O301,'R3'!O301)</f>
        <v>-1.0584454575916846</v>
      </c>
      <c r="I301">
        <f t="shared" si="8"/>
        <v>2255.3868049999996</v>
      </c>
      <c r="K301">
        <f>_xlfn.STDEV.S('R1'!L301,'R2'!L301,'R3'!L301)</f>
        <v>1.2116037854922301E-2</v>
      </c>
      <c r="L301">
        <f>_xlfn.STDEV.S('R1'!M301,'R2'!M301,'R3'!M301)</f>
        <v>9.6318707872855083E-3</v>
      </c>
      <c r="M301">
        <f>_xlfn.STDEV.S('R1'!N301,'R2'!N301,'R3'!N301)</f>
        <v>7.8844561511851406E-3</v>
      </c>
      <c r="N301">
        <f>_xlfn.STDEV.S('R1'!O301,'R2'!O301,'R3'!O301)</f>
        <v>1.7884106544597985E-2</v>
      </c>
    </row>
    <row r="302" spans="1:14" x14ac:dyDescent="0.25">
      <c r="A302">
        <f>-'R1'!H302</f>
        <v>-8</v>
      </c>
      <c r="B302">
        <f>DEGREES(ATAN(-SIN(RADIANS(('R1'!I302)))/(COS(RADIANS(Sheet1!A302))*COS(RADIANS('R1'!I302)))))</f>
        <v>40.276138588852518</v>
      </c>
      <c r="C302">
        <f>AVERAGE('R1'!J302,'R2'!J302,'R3'!J302)</f>
        <v>1.18</v>
      </c>
      <c r="D302">
        <f>AVERAGE('R1'!K302,'R2'!K302,'R3'!K302)</f>
        <v>11.50104975</v>
      </c>
      <c r="E302">
        <f>AVERAGE('R1'!L302,'R2'!L302,'R3'!L302)</f>
        <v>2.6388373205626734</v>
      </c>
      <c r="F302">
        <f>AVERAGE('R1'!M302,'R2'!M302,'R3'!M302)</f>
        <v>0.62952136999298791</v>
      </c>
      <c r="G302">
        <f>AVERAGE('R1'!N302,'R2'!N302,'R3'!N302)</f>
        <v>-1.2882934910819996</v>
      </c>
      <c r="H302">
        <f>AVERAGE('R1'!O302,'R2'!O302,'R3'!O302)</f>
        <v>-0.7616056123801741</v>
      </c>
      <c r="I302">
        <f t="shared" si="8"/>
        <v>2261.8731174999998</v>
      </c>
      <c r="K302">
        <f>_xlfn.STDEV.S('R1'!L302,'R2'!L302,'R3'!L302)</f>
        <v>1.2653218966859748E-2</v>
      </c>
      <c r="L302">
        <f>_xlfn.STDEV.S('R1'!M302,'R2'!M302,'R3'!M302)</f>
        <v>8.1374144060537643E-3</v>
      </c>
      <c r="M302">
        <f>_xlfn.STDEV.S('R1'!N302,'R2'!N302,'R3'!N302)</f>
        <v>1.0604293785511931E-2</v>
      </c>
      <c r="N302">
        <f>_xlfn.STDEV.S('R1'!O302,'R2'!O302,'R3'!O302)</f>
        <v>1.6081679836530981E-2</v>
      </c>
    </row>
    <row r="303" spans="1:14" x14ac:dyDescent="0.25">
      <c r="A303">
        <f>-'R1'!H303</f>
        <v>-8</v>
      </c>
      <c r="B303">
        <f>DEGREES(ATAN(-SIN(RADIANS(('R1'!I303)))/(COS(RADIANS(Sheet1!A303))*COS(RADIANS('R1'!I303)))))</f>
        <v>36.2668517150396</v>
      </c>
      <c r="C303">
        <f>AVERAGE('R1'!J303,'R2'!J303,'R3'!J303)</f>
        <v>1.18</v>
      </c>
      <c r="D303">
        <f>AVERAGE('R1'!K303,'R2'!K303,'R3'!K303)</f>
        <v>11.552771333333332</v>
      </c>
      <c r="E303">
        <f>AVERAGE('R1'!L303,'R2'!L303,'R3'!L303)</f>
        <v>2.287811280966245</v>
      </c>
      <c r="F303">
        <f>AVERAGE('R1'!M303,'R2'!M303,'R3'!M303)</f>
        <v>0.55882261212054363</v>
      </c>
      <c r="G303">
        <f>AVERAGE('R1'!N303,'R2'!N303,'R3'!N303)</f>
        <v>-0.96936080449711959</v>
      </c>
      <c r="H303">
        <f>AVERAGE('R1'!O303,'R2'!O303,'R3'!O303)</f>
        <v>-0.51696886879632387</v>
      </c>
      <c r="I303">
        <f t="shared" si="8"/>
        <v>2272.0450288888887</v>
      </c>
      <c r="K303">
        <f>_xlfn.STDEV.S('R1'!L303,'R2'!L303,'R3'!L303)</f>
        <v>5.2972712687137779E-3</v>
      </c>
      <c r="L303">
        <f>_xlfn.STDEV.S('R1'!M303,'R2'!M303,'R3'!M303)</f>
        <v>1.5682409218717437E-3</v>
      </c>
      <c r="M303">
        <f>_xlfn.STDEV.S('R1'!N303,'R2'!N303,'R3'!N303)</f>
        <v>3.6951398667214139E-3</v>
      </c>
      <c r="N303">
        <f>_xlfn.STDEV.S('R1'!O303,'R2'!O303,'R3'!O303)</f>
        <v>7.0970844431130142E-3</v>
      </c>
    </row>
    <row r="304" spans="1:14" x14ac:dyDescent="0.25">
      <c r="A304">
        <f>-'R1'!H304</f>
        <v>-8</v>
      </c>
      <c r="B304">
        <f>DEGREES(ATAN(-SIN(RADIANS(('R1'!I304)))/(COS(RADIANS(Sheet1!A304))*COS(RADIANS('R1'!I304)))))</f>
        <v>32.252347723135095</v>
      </c>
      <c r="C304">
        <f>AVERAGE('R1'!J304,'R2'!J304,'R3'!J304)</f>
        <v>1.18</v>
      </c>
      <c r="D304">
        <f>AVERAGE('R1'!K304,'R2'!K304,'R3'!K304)</f>
        <v>11.553864333333332</v>
      </c>
      <c r="E304">
        <f>AVERAGE('R1'!L304,'R2'!L304,'R3'!L304)</f>
        <v>1.9881819133065164</v>
      </c>
      <c r="F304">
        <f>AVERAGE('R1'!M304,'R2'!M304,'R3'!M304)</f>
        <v>0.51897248557373299</v>
      </c>
      <c r="G304">
        <f>AVERAGE('R1'!N304,'R2'!N304,'R3'!N304)</f>
        <v>-0.71968720596978175</v>
      </c>
      <c r="H304">
        <f>AVERAGE('R1'!O304,'R2'!O304,'R3'!O304)</f>
        <v>-0.30439709422571293</v>
      </c>
      <c r="I304">
        <f t="shared" si="8"/>
        <v>2272.259985555555</v>
      </c>
      <c r="K304">
        <f>_xlfn.STDEV.S('R1'!L304,'R2'!L304,'R3'!L304)</f>
        <v>2.7564159560887645E-3</v>
      </c>
      <c r="L304">
        <f>_xlfn.STDEV.S('R1'!M304,'R2'!M304,'R3'!M304)</f>
        <v>6.3310983852646347E-3</v>
      </c>
      <c r="M304">
        <f>_xlfn.STDEV.S('R1'!N304,'R2'!N304,'R3'!N304)</f>
        <v>5.9806348074089863E-3</v>
      </c>
      <c r="N304">
        <f>_xlfn.STDEV.S('R1'!O304,'R2'!O304,'R3'!O304)</f>
        <v>5.1417323455562091E-3</v>
      </c>
    </row>
    <row r="305" spans="1:14" x14ac:dyDescent="0.25">
      <c r="A305">
        <f>-'R1'!H305</f>
        <v>-8</v>
      </c>
      <c r="B305">
        <f>DEGREES(ATAN(-SIN(RADIANS(('R1'!I305)))/(COS(RADIANS(Sheet1!A305))*COS(RADIANS('R1'!I305)))))</f>
        <v>28.23290083045832</v>
      </c>
      <c r="C305">
        <f>AVERAGE('R1'!J305,'R2'!J305,'R3'!J305)</f>
        <v>1.18</v>
      </c>
      <c r="D305">
        <f>AVERAGE('R1'!K305,'R2'!K305,'R3'!K305)</f>
        <v>11.586253083333332</v>
      </c>
      <c r="E305">
        <f>AVERAGE('R1'!L305,'R2'!L305,'R3'!L305)</f>
        <v>1.7406012601156367</v>
      </c>
      <c r="F305">
        <f>AVERAGE('R1'!M305,'R2'!M305,'R3'!M305)</f>
        <v>0.47879288399628028</v>
      </c>
      <c r="G305">
        <f>AVERAGE('R1'!N305,'R2'!N305,'R3'!N305)</f>
        <v>-0.52453780708350128</v>
      </c>
      <c r="H305">
        <f>AVERAGE('R1'!O305,'R2'!O305,'R3'!O305)</f>
        <v>-0.11840654656332524</v>
      </c>
      <c r="I305">
        <f t="shared" si="8"/>
        <v>2278.6297730555552</v>
      </c>
      <c r="K305">
        <f>_xlfn.STDEV.S('R1'!L305,'R2'!L305,'R3'!L305)</f>
        <v>6.9324491305294859E-3</v>
      </c>
      <c r="L305">
        <f>_xlfn.STDEV.S('R1'!M305,'R2'!M305,'R3'!M305)</f>
        <v>1.8519251086417949E-3</v>
      </c>
      <c r="M305">
        <f>_xlfn.STDEV.S('R1'!N305,'R2'!N305,'R3'!N305)</f>
        <v>7.6290159448249894E-3</v>
      </c>
      <c r="N305">
        <f>_xlfn.STDEV.S('R1'!O305,'R2'!O305,'R3'!O305)</f>
        <v>7.2260611923291515E-3</v>
      </c>
    </row>
    <row r="306" spans="1:14" x14ac:dyDescent="0.25">
      <c r="A306">
        <f>-'R1'!H306</f>
        <v>-8</v>
      </c>
      <c r="B306">
        <f>DEGREES(ATAN(-SIN(RADIANS(('R1'!I306)))/(COS(RADIANS(Sheet1!A306))*COS(RADIANS('R1'!I306)))))</f>
        <v>24.208883875277589</v>
      </c>
      <c r="C306">
        <f>AVERAGE('R1'!J306,'R2'!J306,'R3'!J306)</f>
        <v>1.18</v>
      </c>
      <c r="D306">
        <f>AVERAGE('R1'!K306,'R2'!K306,'R3'!K306)</f>
        <v>11.578190583333333</v>
      </c>
      <c r="E306">
        <f>AVERAGE('R1'!L306,'R2'!L306,'R3'!L306)</f>
        <v>1.5273672981225497</v>
      </c>
      <c r="F306">
        <f>AVERAGE('R1'!M306,'R2'!M306,'R3'!M306)</f>
        <v>0.45153640403258261</v>
      </c>
      <c r="G306">
        <f>AVERAGE('R1'!N306,'R2'!N306,'R3'!N306)</f>
        <v>-0.37666175950592823</v>
      </c>
      <c r="H306">
        <f>AVERAGE('R1'!O306,'R2'!O306,'R3'!O306)</f>
        <v>5.2521503614626062E-2</v>
      </c>
      <c r="I306">
        <f t="shared" si="8"/>
        <v>2277.0441480555555</v>
      </c>
      <c r="K306">
        <f>_xlfn.STDEV.S('R1'!L306,'R2'!L306,'R3'!L306)</f>
        <v>5.1033003198010475E-3</v>
      </c>
      <c r="L306">
        <f>_xlfn.STDEV.S('R1'!M306,'R2'!M306,'R3'!M306)</f>
        <v>1.0904132394024492E-2</v>
      </c>
      <c r="M306">
        <f>_xlfn.STDEV.S('R1'!N306,'R2'!N306,'R3'!N306)</f>
        <v>1.1774477414777452E-2</v>
      </c>
      <c r="N306">
        <f>_xlfn.STDEV.S('R1'!O306,'R2'!O306,'R3'!O306)</f>
        <v>9.3857843376411922E-3</v>
      </c>
    </row>
    <row r="307" spans="1:14" x14ac:dyDescent="0.25">
      <c r="A307">
        <f>-'R1'!H307</f>
        <v>-8</v>
      </c>
      <c r="B307">
        <f>DEGREES(ATAN(-SIN(RADIANS(('R1'!I307)))/(COS(RADIANS(Sheet1!A307))*COS(RADIANS('R1'!I307)))))</f>
        <v>20.180761513231211</v>
      </c>
      <c r="C307">
        <f>AVERAGE('R1'!J307,'R2'!J307,'R3'!J307)</f>
        <v>1.18</v>
      </c>
      <c r="D307">
        <f>AVERAGE('R1'!K307,'R2'!K307,'R3'!K307)</f>
        <v>11.403535916666668</v>
      </c>
      <c r="E307">
        <f>AVERAGE('R1'!L307,'R2'!L307,'R3'!L307)</f>
        <v>1.2936159842647228</v>
      </c>
      <c r="F307">
        <f>AVERAGE('R1'!M307,'R2'!M307,'R3'!M307)</f>
        <v>0.44905546256210321</v>
      </c>
      <c r="G307">
        <f>AVERAGE('R1'!N307,'R2'!N307,'R3'!N307)</f>
        <v>-0.25040223105825932</v>
      </c>
      <c r="H307">
        <f>AVERAGE('R1'!O307,'R2'!O307,'R3'!O307)</f>
        <v>0.22566179078871118</v>
      </c>
      <c r="I307">
        <f t="shared" si="8"/>
        <v>2242.6953969444448</v>
      </c>
      <c r="K307">
        <f>_xlfn.STDEV.S('R1'!L307,'R2'!L307,'R3'!L307)</f>
        <v>4.7155971844597055E-3</v>
      </c>
      <c r="L307">
        <f>_xlfn.STDEV.S('R1'!M307,'R2'!M307,'R3'!M307)</f>
        <v>1.3910489416571071E-2</v>
      </c>
      <c r="M307">
        <f>_xlfn.STDEV.S('R1'!N307,'R2'!N307,'R3'!N307)</f>
        <v>6.5159710429739193E-3</v>
      </c>
      <c r="N307">
        <f>_xlfn.STDEV.S('R1'!O307,'R2'!O307,'R3'!O307)</f>
        <v>1.2423740206910618E-2</v>
      </c>
    </row>
    <row r="308" spans="1:14" x14ac:dyDescent="0.25">
      <c r="A308">
        <f>-'R1'!H308</f>
        <v>-8</v>
      </c>
      <c r="B308">
        <f>DEGREES(ATAN(-SIN(RADIANS(('R1'!I308)))/(COS(RADIANS(Sheet1!A308))*COS(RADIANS('R1'!I308)))))</f>
        <v>16.149081403494897</v>
      </c>
      <c r="C308">
        <f>AVERAGE('R1'!J308,'R2'!J308,'R3'!J308)</f>
        <v>1.18</v>
      </c>
      <c r="D308">
        <f>AVERAGE('R1'!K308,'R2'!K308,'R3'!K308)</f>
        <v>11.286616499999999</v>
      </c>
      <c r="E308">
        <f>AVERAGE('R1'!L308,'R2'!L308,'R3'!L308)</f>
        <v>1.0719890605631957</v>
      </c>
      <c r="F308">
        <f>AVERAGE('R1'!M308,'R2'!M308,'R3'!M308)</f>
        <v>0.45388723734407099</v>
      </c>
      <c r="G308">
        <f>AVERAGE('R1'!N308,'R2'!N308,'R3'!N308)</f>
        <v>-0.15869492671935045</v>
      </c>
      <c r="H308">
        <f>AVERAGE('R1'!O308,'R2'!O308,'R3'!O308)</f>
        <v>0.38488593924996167</v>
      </c>
      <c r="I308">
        <f t="shared" si="8"/>
        <v>2219.7012450000002</v>
      </c>
      <c r="K308">
        <f>_xlfn.STDEV.S('R1'!L308,'R2'!L308,'R3'!L308)</f>
        <v>6.9266620792113754E-3</v>
      </c>
      <c r="L308">
        <f>_xlfn.STDEV.S('R1'!M308,'R2'!M308,'R3'!M308)</f>
        <v>9.1338542860493668E-3</v>
      </c>
      <c r="M308">
        <f>_xlfn.STDEV.S('R1'!N308,'R2'!N308,'R3'!N308)</f>
        <v>8.7660648680416443E-3</v>
      </c>
      <c r="N308">
        <f>_xlfn.STDEV.S('R1'!O308,'R2'!O308,'R3'!O308)</f>
        <v>1.1405155619934097E-2</v>
      </c>
    </row>
    <row r="309" spans="1:14" x14ac:dyDescent="0.25">
      <c r="A309">
        <f>-'R1'!H309</f>
        <v>-8</v>
      </c>
      <c r="B309">
        <f>DEGREES(ATAN(-SIN(RADIANS(('R1'!I309)))/(COS(RADIANS(Sheet1!A309))*COS(RADIANS('R1'!I309)))))</f>
        <v>12.114463536188838</v>
      </c>
      <c r="C309">
        <f>AVERAGE('R1'!J309,'R2'!J309,'R3'!J309)</f>
        <v>1.18</v>
      </c>
      <c r="D309">
        <f>AVERAGE('R1'!K309,'R2'!K309,'R3'!K309)</f>
        <v>11.165898083333332</v>
      </c>
      <c r="E309">
        <f>AVERAGE('R1'!L309,'R2'!L309,'R3'!L309)</f>
        <v>0.82953012542215088</v>
      </c>
      <c r="F309">
        <f>AVERAGE('R1'!M309,'R2'!M309,'R3'!M309)</f>
        <v>0.49650682732923457</v>
      </c>
      <c r="G309">
        <f>AVERAGE('R1'!N309,'R2'!N309,'R3'!N309)</f>
        <v>-9.6112955407290965E-2</v>
      </c>
      <c r="H309">
        <f>AVERAGE('R1'!O309,'R2'!O309,'R3'!O309)</f>
        <v>0.53360894886385124</v>
      </c>
      <c r="I309">
        <f t="shared" si="8"/>
        <v>2195.9599563888887</v>
      </c>
      <c r="K309">
        <f>_xlfn.STDEV.S('R1'!L309,'R2'!L309,'R3'!L309)</f>
        <v>7.7008408010116195E-3</v>
      </c>
      <c r="L309">
        <f>_xlfn.STDEV.S('R1'!M309,'R2'!M309,'R3'!M309)</f>
        <v>9.4269230618921011E-3</v>
      </c>
      <c r="M309">
        <f>_xlfn.STDEV.S('R1'!N309,'R2'!N309,'R3'!N309)</f>
        <v>1.5559391230185075E-2</v>
      </c>
      <c r="N309">
        <f>_xlfn.STDEV.S('R1'!O309,'R2'!O309,'R3'!O309)</f>
        <v>5.1621186596016791E-3</v>
      </c>
    </row>
    <row r="310" spans="1:14" x14ac:dyDescent="0.25">
      <c r="A310">
        <f>-'R1'!H310</f>
        <v>-8</v>
      </c>
      <c r="B310">
        <f>DEGREES(ATAN(-SIN(RADIANS(('R1'!I310)))/(COS(RADIANS(Sheet1!A310))*COS(RADIANS('R1'!I310)))))</f>
        <v>8.0775879081011936</v>
      </c>
      <c r="C310">
        <f>AVERAGE('R1'!J310,'R2'!J310,'R3'!J310)</f>
        <v>1.18</v>
      </c>
      <c r="D310">
        <f>AVERAGE('R1'!K310,'R2'!K310,'R3'!K310)</f>
        <v>11.074634250000001</v>
      </c>
      <c r="E310">
        <f>AVERAGE('R1'!L310,'R2'!L310,'R3'!L310)</f>
        <v>0.55793346122140441</v>
      </c>
      <c r="F310">
        <f>AVERAGE('R1'!M310,'R2'!M310,'R3'!M310)</f>
        <v>0.54874513994067098</v>
      </c>
      <c r="G310">
        <f>AVERAGE('R1'!N310,'R2'!N310,'R3'!N310)</f>
        <v>-5.1899745514631057E-2</v>
      </c>
      <c r="H310">
        <f>AVERAGE('R1'!O310,'R2'!O310,'R3'!O310)</f>
        <v>0.6827542519631562</v>
      </c>
      <c r="I310">
        <f t="shared" si="8"/>
        <v>2178.0114025000003</v>
      </c>
      <c r="K310">
        <f>_xlfn.STDEV.S('R1'!L310,'R2'!L310,'R3'!L310)</f>
        <v>2.6394372039868501E-3</v>
      </c>
      <c r="L310">
        <f>_xlfn.STDEV.S('R1'!M310,'R2'!M310,'R3'!M310)</f>
        <v>1.5124712644628792E-2</v>
      </c>
      <c r="M310">
        <f>_xlfn.STDEV.S('R1'!N310,'R2'!N310,'R3'!N310)</f>
        <v>1.4746852799252469E-2</v>
      </c>
      <c r="N310">
        <f>_xlfn.STDEV.S('R1'!O310,'R2'!O310,'R3'!O310)</f>
        <v>4.6364246266251841E-3</v>
      </c>
    </row>
    <row r="311" spans="1:14" x14ac:dyDescent="0.25">
      <c r="A311">
        <f>-'R1'!H311</f>
        <v>-8</v>
      </c>
      <c r="B311">
        <f>DEGREES(ATAN(-SIN(RADIANS(('R1'!I311)))/(COS(RADIANS(Sheet1!A311))*COS(RADIANS('R1'!I311)))))</f>
        <v>4.0391808057079874</v>
      </c>
      <c r="C311">
        <f>AVERAGE('R1'!J311,'R2'!J311,'R3'!J311)</f>
        <v>1.18</v>
      </c>
      <c r="D311">
        <f>AVERAGE('R1'!K311,'R2'!K311,'R3'!K311)</f>
        <v>11.165371833333333</v>
      </c>
      <c r="E311">
        <f>AVERAGE('R1'!L311,'R2'!L311,'R3'!L311)</f>
        <v>0.27334721863576245</v>
      </c>
      <c r="F311">
        <f>AVERAGE('R1'!M311,'R2'!M311,'R3'!M311)</f>
        <v>0.59415145622161791</v>
      </c>
      <c r="G311">
        <f>AVERAGE('R1'!N311,'R2'!N311,'R3'!N311)</f>
        <v>-3.4468677481998174E-2</v>
      </c>
      <c r="H311">
        <f>AVERAGE('R1'!O311,'R2'!O311,'R3'!O311)</f>
        <v>0.82535139447613248</v>
      </c>
      <c r="I311">
        <f t="shared" si="8"/>
        <v>2195.8564605555553</v>
      </c>
      <c r="K311">
        <f>_xlfn.STDEV.S('R1'!L311,'R2'!L311,'R3'!L311)</f>
        <v>9.7193219738860078E-3</v>
      </c>
      <c r="L311">
        <f>_xlfn.STDEV.S('R1'!M311,'R2'!M311,'R3'!M311)</f>
        <v>1.6816683498353111E-2</v>
      </c>
      <c r="M311">
        <f>_xlfn.STDEV.S('R1'!N311,'R2'!N311,'R3'!N311)</f>
        <v>9.0490733101661874E-3</v>
      </c>
      <c r="N311">
        <f>_xlfn.STDEV.S('R1'!O311,'R2'!O311,'R3'!O311)</f>
        <v>5.9035050240920425E-3</v>
      </c>
    </row>
    <row r="312" spans="1:14" x14ac:dyDescent="0.25">
      <c r="A312">
        <f>-'R1'!H312</f>
        <v>-8</v>
      </c>
      <c r="B312">
        <f>DEGREES(ATAN(-SIN(RADIANS(('R1'!I312)))/(COS(RADIANS(Sheet1!A312))*COS(RADIANS('R1'!I312)))))</f>
        <v>0</v>
      </c>
      <c r="C312">
        <f>AVERAGE('R1'!J312,'R2'!J312,'R3'!J312)</f>
        <v>1.18</v>
      </c>
      <c r="D312">
        <f>AVERAGE('R1'!K312,'R2'!K312,'R3'!K312)</f>
        <v>11.205535416666669</v>
      </c>
      <c r="E312">
        <f>AVERAGE('R1'!L312,'R2'!L312,'R3'!L312)</f>
        <v>-5.8001271835157693E-2</v>
      </c>
      <c r="F312">
        <f>AVERAGE('R1'!M312,'R2'!M312,'R3'!M312)</f>
        <v>0.62366675896530988</v>
      </c>
      <c r="G312">
        <f>AVERAGE('R1'!N312,'R2'!N312,'R3'!N312)</f>
        <v>-2.9857499820135591E-2</v>
      </c>
      <c r="H312">
        <f>AVERAGE('R1'!O312,'R2'!O312,'R3'!O312)</f>
        <v>0.92074413810640987</v>
      </c>
      <c r="I312">
        <f t="shared" si="8"/>
        <v>2203.7552986111118</v>
      </c>
      <c r="K312">
        <f>_xlfn.STDEV.S('R1'!L312,'R2'!L312,'R3'!L312)</f>
        <v>7.7111168140030677E-3</v>
      </c>
      <c r="L312">
        <f>_xlfn.STDEV.S('R1'!M312,'R2'!M312,'R3'!M312)</f>
        <v>2.525074388284617E-2</v>
      </c>
      <c r="M312">
        <f>_xlfn.STDEV.S('R1'!N312,'R2'!N312,'R3'!N312)</f>
        <v>1.1699352505616403E-2</v>
      </c>
      <c r="N312">
        <f>_xlfn.STDEV.S('R1'!O312,'R2'!O312,'R3'!O312)</f>
        <v>8.7619227049468163E-3</v>
      </c>
    </row>
    <row r="313" spans="1:14" x14ac:dyDescent="0.25">
      <c r="A313">
        <f>-'R1'!H313</f>
        <v>-8</v>
      </c>
      <c r="B313">
        <f>DEGREES(ATAN(-SIN(RADIANS(('R1'!I313)))/(COS(RADIANS(Sheet1!A313))*COS(RADIANS('R1'!I313)))))</f>
        <v>-4.0391808057079874</v>
      </c>
      <c r="C313">
        <f>AVERAGE('R1'!J313,'R2'!J313,'R3'!J313)</f>
        <v>1.18</v>
      </c>
      <c r="D313">
        <f>AVERAGE('R1'!K313,'R2'!K313,'R3'!K313)</f>
        <v>11.246104000000001</v>
      </c>
      <c r="E313">
        <f>AVERAGE('R1'!L313,'R2'!L313,'R3'!L313)</f>
        <v>-0.37834169700585435</v>
      </c>
      <c r="F313">
        <f>AVERAGE('R1'!M313,'R2'!M313,'R3'!M313)</f>
        <v>0.57388939032082631</v>
      </c>
      <c r="G313">
        <f>AVERAGE('R1'!N313,'R2'!N313,'R3'!N313)</f>
        <v>-4.2998076780385669E-2</v>
      </c>
      <c r="H313">
        <f>AVERAGE('R1'!O313,'R2'!O313,'R3'!O313)</f>
        <v>0.75871961780976382</v>
      </c>
      <c r="I313">
        <f t="shared" si="8"/>
        <v>2211.7337866666671</v>
      </c>
      <c r="K313">
        <f>_xlfn.STDEV.S('R1'!L313,'R2'!L313,'R3'!L313)</f>
        <v>1.7438431149518331E-3</v>
      </c>
      <c r="L313">
        <f>_xlfn.STDEV.S('R1'!M313,'R2'!M313,'R3'!M313)</f>
        <v>1.1254227526569121E-3</v>
      </c>
      <c r="M313">
        <f>_xlfn.STDEV.S('R1'!N313,'R2'!N313,'R3'!N313)</f>
        <v>1.2011844382941526E-2</v>
      </c>
      <c r="N313">
        <f>_xlfn.STDEV.S('R1'!O313,'R2'!O313,'R3'!O313)</f>
        <v>7.9682049331920683E-3</v>
      </c>
    </row>
    <row r="314" spans="1:14" x14ac:dyDescent="0.25">
      <c r="A314">
        <f>-'R1'!H314</f>
        <v>-8</v>
      </c>
      <c r="B314">
        <f>DEGREES(ATAN(-SIN(RADIANS(('R1'!I314)))/(COS(RADIANS(Sheet1!A314))*COS(RADIANS('R1'!I314)))))</f>
        <v>-8.0775879081011936</v>
      </c>
      <c r="C314">
        <f>AVERAGE('R1'!J314,'R2'!J314,'R3'!J314)</f>
        <v>1.18</v>
      </c>
      <c r="D314">
        <f>AVERAGE('R1'!K314,'R2'!K314,'R3'!K314)</f>
        <v>11.309947583333333</v>
      </c>
      <c r="E314">
        <f>AVERAGE('R1'!L314,'R2'!L314,'R3'!L314)</f>
        <v>-0.64644729805263612</v>
      </c>
      <c r="F314">
        <f>AVERAGE('R1'!M314,'R2'!M314,'R3'!M314)</f>
        <v>0.52910280011112387</v>
      </c>
      <c r="G314">
        <f>AVERAGE('R1'!N314,'R2'!N314,'R3'!N314)</f>
        <v>-6.291376234583812E-2</v>
      </c>
      <c r="H314">
        <f>AVERAGE('R1'!O314,'R2'!O314,'R3'!O314)</f>
        <v>0.61781228522842868</v>
      </c>
      <c r="I314">
        <f t="shared" si="8"/>
        <v>2224.289691388889</v>
      </c>
      <c r="K314">
        <f>_xlfn.STDEV.S('R1'!L314,'R2'!L314,'R3'!L314)</f>
        <v>3.5512267516903625E-3</v>
      </c>
      <c r="L314">
        <f>_xlfn.STDEV.S('R1'!M314,'R2'!M314,'R3'!M314)</f>
        <v>1.3333561004601428E-2</v>
      </c>
      <c r="M314">
        <f>_xlfn.STDEV.S('R1'!N314,'R2'!N314,'R3'!N314)</f>
        <v>1.4195712769960293E-2</v>
      </c>
      <c r="N314">
        <f>_xlfn.STDEV.S('R1'!O314,'R2'!O314,'R3'!O314)</f>
        <v>7.618086629012393E-3</v>
      </c>
    </row>
    <row r="315" spans="1:14" x14ac:dyDescent="0.25">
      <c r="A315">
        <f>-'R1'!H315</f>
        <v>-8</v>
      </c>
      <c r="B315">
        <f>DEGREES(ATAN(-SIN(RADIANS(('R1'!I315)))/(COS(RADIANS(Sheet1!A315))*COS(RADIANS('R1'!I315)))))</f>
        <v>-12.114463536188838</v>
      </c>
      <c r="C315">
        <f>AVERAGE('R1'!J315,'R2'!J315,'R3'!J315)</f>
        <v>1.18</v>
      </c>
      <c r="D315">
        <f>AVERAGE('R1'!K315,'R2'!K315,'R3'!K315)</f>
        <v>11.318113916666666</v>
      </c>
      <c r="E315">
        <f>AVERAGE('R1'!L315,'R2'!L315,'R3'!L315)</f>
        <v>-0.90436015747532672</v>
      </c>
      <c r="F315">
        <f>AVERAGE('R1'!M315,'R2'!M315,'R3'!M315)</f>
        <v>0.50395694326942975</v>
      </c>
      <c r="G315">
        <f>AVERAGE('R1'!N315,'R2'!N315,'R3'!N315)</f>
        <v>-0.11745014182504739</v>
      </c>
      <c r="H315">
        <f>AVERAGE('R1'!O315,'R2'!O315,'R3'!O315)</f>
        <v>0.46156009558292838</v>
      </c>
      <c r="I315">
        <f t="shared" si="8"/>
        <v>2225.8957369444443</v>
      </c>
      <c r="K315">
        <f>_xlfn.STDEV.S('R1'!L315,'R2'!L315,'R3'!L315)</f>
        <v>3.4814626218294823E-3</v>
      </c>
      <c r="L315">
        <f>_xlfn.STDEV.S('R1'!M315,'R2'!M315,'R3'!M315)</f>
        <v>3.9794789933985369E-3</v>
      </c>
      <c r="M315">
        <f>_xlfn.STDEV.S('R1'!N315,'R2'!N315,'R3'!N315)</f>
        <v>7.8904927078856778E-3</v>
      </c>
      <c r="N315">
        <f>_xlfn.STDEV.S('R1'!O315,'R2'!O315,'R3'!O315)</f>
        <v>5.3548319363051489E-3</v>
      </c>
    </row>
    <row r="316" spans="1:14" x14ac:dyDescent="0.25">
      <c r="A316">
        <f>-'R1'!H316</f>
        <v>-8</v>
      </c>
      <c r="B316">
        <f>DEGREES(ATAN(-SIN(RADIANS(('R1'!I316)))/(COS(RADIANS(Sheet1!A316))*COS(RADIANS('R1'!I316)))))</f>
        <v>-16.149081403494897</v>
      </c>
      <c r="C316">
        <f>AVERAGE('R1'!J316,'R2'!J316,'R3'!J316)</f>
        <v>1.18</v>
      </c>
      <c r="D316">
        <f>AVERAGE('R1'!K316,'R2'!K316,'R3'!K316)</f>
        <v>11.362665583333333</v>
      </c>
      <c r="E316">
        <f>AVERAGE('R1'!L316,'R2'!L316,'R3'!L316)</f>
        <v>-1.1548061262892562</v>
      </c>
      <c r="F316">
        <f>AVERAGE('R1'!M316,'R2'!M316,'R3'!M316)</f>
        <v>0.48254511907491354</v>
      </c>
      <c r="G316">
        <f>AVERAGE('R1'!N316,'R2'!N316,'R3'!N316)</f>
        <v>-0.20415273727468899</v>
      </c>
      <c r="H316">
        <f>AVERAGE('R1'!O316,'R2'!O316,'R3'!O316)</f>
        <v>0.3201075193216687</v>
      </c>
      <c r="I316">
        <f t="shared" si="8"/>
        <v>2234.6575647222221</v>
      </c>
      <c r="K316">
        <f>_xlfn.STDEV.S('R1'!L316,'R2'!L316,'R3'!L316)</f>
        <v>4.5046596535939535E-3</v>
      </c>
      <c r="L316">
        <f>_xlfn.STDEV.S('R1'!M316,'R2'!M316,'R3'!M316)</f>
        <v>9.8323672915853078E-3</v>
      </c>
      <c r="M316">
        <f>_xlfn.STDEV.S('R1'!N316,'R2'!N316,'R3'!N316)</f>
        <v>5.2836112420930658E-3</v>
      </c>
      <c r="N316">
        <f>_xlfn.STDEV.S('R1'!O316,'R2'!O316,'R3'!O316)</f>
        <v>1.3931720779368692E-3</v>
      </c>
    </row>
    <row r="317" spans="1:14" x14ac:dyDescent="0.25">
      <c r="A317">
        <f>-'R1'!H317</f>
        <v>-8</v>
      </c>
      <c r="B317">
        <f>DEGREES(ATAN(-SIN(RADIANS(('R1'!I317)))/(COS(RADIANS(Sheet1!A317))*COS(RADIANS('R1'!I317)))))</f>
        <v>-20.180761513231211</v>
      </c>
      <c r="C317">
        <f>AVERAGE('R1'!J317,'R2'!J317,'R3'!J317)</f>
        <v>1.18</v>
      </c>
      <c r="D317">
        <f>AVERAGE('R1'!K317,'R2'!K317,'R3'!K317)</f>
        <v>11.412142583333335</v>
      </c>
      <c r="E317">
        <f>AVERAGE('R1'!L317,'R2'!L317,'R3'!L317)</f>
        <v>-1.3815317090558317</v>
      </c>
      <c r="F317">
        <f>AVERAGE('R1'!M317,'R2'!M317,'R3'!M317)</f>
        <v>0.49055150636517819</v>
      </c>
      <c r="G317">
        <f>AVERAGE('R1'!N317,'R2'!N317,'R3'!N317)</f>
        <v>-0.3261735592293713</v>
      </c>
      <c r="H317">
        <f>AVERAGE('R1'!O317,'R2'!O317,'R3'!O317)</f>
        <v>0.17977686107082383</v>
      </c>
      <c r="I317">
        <f t="shared" si="8"/>
        <v>2244.3880413888892</v>
      </c>
      <c r="K317">
        <f>_xlfn.STDEV.S('R1'!L317,'R2'!L317,'R3'!L317)</f>
        <v>7.8849877900121716E-3</v>
      </c>
      <c r="L317">
        <f>_xlfn.STDEV.S('R1'!M317,'R2'!M317,'R3'!M317)</f>
        <v>3.5729842327868059E-3</v>
      </c>
      <c r="M317">
        <f>_xlfn.STDEV.S('R1'!N317,'R2'!N317,'R3'!N317)</f>
        <v>1.8474330266905058E-2</v>
      </c>
      <c r="N317">
        <f>_xlfn.STDEV.S('R1'!O317,'R2'!O317,'R3'!O317)</f>
        <v>5.5131672250278273E-3</v>
      </c>
    </row>
    <row r="318" spans="1:14" x14ac:dyDescent="0.25">
      <c r="A318">
        <f>-'R1'!H318</f>
        <v>-8</v>
      </c>
      <c r="B318">
        <f>DEGREES(ATAN(-SIN(RADIANS(('R1'!I318)))/(COS(RADIANS(Sheet1!A318))*COS(RADIANS('R1'!I318)))))</f>
        <v>-24.208883875277589</v>
      </c>
      <c r="C318">
        <f>AVERAGE('R1'!J318,'R2'!J318,'R3'!J318)</f>
        <v>1.1816666666666666</v>
      </c>
      <c r="D318">
        <f>AVERAGE('R1'!K318,'R2'!K318,'R3'!K318)</f>
        <v>11.330124416666665</v>
      </c>
      <c r="E318">
        <f>AVERAGE('R1'!L318,'R2'!L318,'R3'!L318)</f>
        <v>-1.6319359138905689</v>
      </c>
      <c r="F318">
        <f>AVERAGE('R1'!M318,'R2'!M318,'R3'!M318)</f>
        <v>0.56057329198142902</v>
      </c>
      <c r="G318">
        <f>AVERAGE('R1'!N318,'R2'!N318,'R3'!N318)</f>
        <v>-0.50066087207758703</v>
      </c>
      <c r="H318">
        <f>AVERAGE('R1'!O318,'R2'!O318,'R3'!O318)</f>
        <v>2.9115320851781268E-3</v>
      </c>
      <c r="I318">
        <f t="shared" si="8"/>
        <v>2231.4050587268516</v>
      </c>
      <c r="K318">
        <f>_xlfn.STDEV.S('R1'!L318,'R2'!L318,'R3'!L318)</f>
        <v>7.4038436590330445E-3</v>
      </c>
      <c r="L318">
        <f>_xlfn.STDEV.S('R1'!M318,'R2'!M318,'R3'!M318)</f>
        <v>2.3547995131992395E-3</v>
      </c>
      <c r="M318">
        <f>_xlfn.STDEV.S('R1'!N318,'R2'!N318,'R3'!N318)</f>
        <v>4.307742151687239E-3</v>
      </c>
      <c r="N318">
        <f>_xlfn.STDEV.S('R1'!O318,'R2'!O318,'R3'!O318)</f>
        <v>5.8751274747188172E-3</v>
      </c>
    </row>
    <row r="319" spans="1:14" x14ac:dyDescent="0.25">
      <c r="A319">
        <f>-'R1'!H319</f>
        <v>-8</v>
      </c>
      <c r="B319">
        <f>DEGREES(ATAN(-SIN(RADIANS(('R1'!I319)))/(COS(RADIANS(Sheet1!A319))*COS(RADIANS('R1'!I319)))))</f>
        <v>-28.23290083045832</v>
      </c>
      <c r="C319">
        <f>AVERAGE('R1'!J319,'R2'!J319,'R3'!J319)</f>
        <v>1.18</v>
      </c>
      <c r="D319">
        <f>AVERAGE('R1'!K319,'R2'!K319,'R3'!K319)</f>
        <v>11.323622</v>
      </c>
      <c r="E319">
        <f>AVERAGE('R1'!L319,'R2'!L319,'R3'!L319)</f>
        <v>-1.9143727877419388</v>
      </c>
      <c r="F319">
        <f>AVERAGE('R1'!M319,'R2'!M319,'R3'!M319)</f>
        <v>0.65318934327445033</v>
      </c>
      <c r="G319">
        <f>AVERAGE('R1'!N319,'R2'!N319,'R3'!N319)</f>
        <v>-0.73087196231624174</v>
      </c>
      <c r="H319">
        <f>AVERAGE('R1'!O319,'R2'!O319,'R3'!O319)</f>
        <v>-0.19997091526183283</v>
      </c>
      <c r="I319">
        <f t="shared" si="8"/>
        <v>2226.9789933333332</v>
      </c>
      <c r="K319">
        <f>_xlfn.STDEV.S('R1'!L319,'R2'!L319,'R3'!L319)</f>
        <v>8.8899858988701792E-3</v>
      </c>
      <c r="L319">
        <f>_xlfn.STDEV.S('R1'!M319,'R2'!M319,'R3'!M319)</f>
        <v>6.5526394351102402E-3</v>
      </c>
      <c r="M319">
        <f>_xlfn.STDEV.S('R1'!N319,'R2'!N319,'R3'!N319)</f>
        <v>1.4120392727333691E-2</v>
      </c>
      <c r="N319">
        <f>_xlfn.STDEV.S('R1'!O319,'R2'!O319,'R3'!O319)</f>
        <v>1.4616269136943523E-3</v>
      </c>
    </row>
    <row r="320" spans="1:14" x14ac:dyDescent="0.25">
      <c r="A320">
        <f>-'R1'!H320</f>
        <v>-8</v>
      </c>
      <c r="B320">
        <f>DEGREES(ATAN(-SIN(RADIANS(('R1'!I320)))/(COS(RADIANS(Sheet1!A320))*COS(RADIANS('R1'!I320)))))</f>
        <v>-32.252347723135095</v>
      </c>
      <c r="C320">
        <f>AVERAGE('R1'!J320,'R2'!J320,'R3'!J320)</f>
        <v>1.18</v>
      </c>
      <c r="D320">
        <f>AVERAGE('R1'!K320,'R2'!K320,'R3'!K320)</f>
        <v>11.296915166666667</v>
      </c>
      <c r="E320">
        <f>AVERAGE('R1'!L320,'R2'!L320,'R3'!L320)</f>
        <v>-2.2683417271848465</v>
      </c>
      <c r="F320">
        <f>AVERAGE('R1'!M320,'R2'!M320,'R3'!M320)</f>
        <v>0.77567807153892188</v>
      </c>
      <c r="G320">
        <f>AVERAGE('R1'!N320,'R2'!N320,'R3'!N320)</f>
        <v>-1.0518634679786454</v>
      </c>
      <c r="H320">
        <f>AVERAGE('R1'!O320,'R2'!O320,'R3'!O320)</f>
        <v>-0.43268466527244348</v>
      </c>
      <c r="I320">
        <f t="shared" si="8"/>
        <v>2221.7266494444443</v>
      </c>
      <c r="K320">
        <f>_xlfn.STDEV.S('R1'!L320,'R2'!L320,'R3'!L320)</f>
        <v>1.9186701087978493E-2</v>
      </c>
      <c r="L320">
        <f>_xlfn.STDEV.S('R1'!M320,'R2'!M320,'R3'!M320)</f>
        <v>3.5369263741636368E-3</v>
      </c>
      <c r="M320">
        <f>_xlfn.STDEV.S('R1'!N320,'R2'!N320,'R3'!N320)</f>
        <v>1.1492296801031393E-2</v>
      </c>
      <c r="N320">
        <f>_xlfn.STDEV.S('R1'!O320,'R2'!O320,'R3'!O320)</f>
        <v>7.8922065436514734E-3</v>
      </c>
    </row>
    <row r="321" spans="1:14" x14ac:dyDescent="0.25">
      <c r="A321">
        <f>-'R1'!H321</f>
        <v>-8</v>
      </c>
      <c r="B321">
        <f>DEGREES(ATAN(-SIN(RADIANS(('R1'!I321)))/(COS(RADIANS(Sheet1!A321))*COS(RADIANS('R1'!I321)))))</f>
        <v>-36.2668517150396</v>
      </c>
      <c r="C321">
        <f>AVERAGE('R1'!J321,'R2'!J321,'R3'!J321)</f>
        <v>1.18</v>
      </c>
      <c r="D321">
        <f>AVERAGE('R1'!K321,'R2'!K321,'R3'!K321)</f>
        <v>11.253970083333334</v>
      </c>
      <c r="E321">
        <f>AVERAGE('R1'!L321,'R2'!L321,'R3'!L321)</f>
        <v>-2.7669134584896042</v>
      </c>
      <c r="F321">
        <f>AVERAGE('R1'!M321,'R2'!M321,'R3'!M321)</f>
        <v>0.93176385765736525</v>
      </c>
      <c r="G321">
        <f>AVERAGE('R1'!N321,'R2'!N321,'R3'!N321)</f>
        <v>-1.5266886076632318</v>
      </c>
      <c r="H321">
        <f>AVERAGE('R1'!O321,'R2'!O321,'R3'!O321)</f>
        <v>-0.72623585382707312</v>
      </c>
      <c r="I321">
        <f t="shared" si="8"/>
        <v>2213.2807830555557</v>
      </c>
      <c r="K321">
        <f>_xlfn.STDEV.S('R1'!L321,'R2'!L321,'R3'!L321)</f>
        <v>3.0810772483051745E-2</v>
      </c>
      <c r="L321">
        <f>_xlfn.STDEV.S('R1'!M321,'R2'!M321,'R3'!M321)</f>
        <v>1.3929534552913479E-2</v>
      </c>
      <c r="M321">
        <f>_xlfn.STDEV.S('R1'!N321,'R2'!N321,'R3'!N321)</f>
        <v>2.9895837779127042E-2</v>
      </c>
      <c r="N321">
        <f>_xlfn.STDEV.S('R1'!O321,'R2'!O321,'R3'!O321)</f>
        <v>1.1045732953229021E-2</v>
      </c>
    </row>
    <row r="322" spans="1:14" x14ac:dyDescent="0.25">
      <c r="A322">
        <f>-'R1'!H322</f>
        <v>-8</v>
      </c>
      <c r="B322">
        <f>DEGREES(ATAN(-SIN(RADIANS(('R1'!I322)))/(COS(RADIANS(Sheet1!A322))*COS(RADIANS('R1'!I322)))))</f>
        <v>-40.276138588852518</v>
      </c>
      <c r="C322">
        <f>AVERAGE('R1'!J322,'R2'!J322,'R3'!J322)</f>
        <v>1.1824999999999999</v>
      </c>
      <c r="D322">
        <f>AVERAGE('R1'!K322,'R2'!K322,'R3'!K322)</f>
        <v>11.296531833333333</v>
      </c>
      <c r="E322">
        <f>AVERAGE('R1'!L322,'R2'!L322,'R3'!L322)</f>
        <v>-3.4430052798196997</v>
      </c>
      <c r="F322">
        <f>AVERAGE('R1'!M322,'R2'!M322,'R3'!M322)</f>
        <v>1.1448023255825721</v>
      </c>
      <c r="G322">
        <f>AVERAGE('R1'!N322,'R2'!N322,'R3'!N322)</f>
        <v>-2.1847047322431252</v>
      </c>
      <c r="H322">
        <f>AVERAGE('R1'!O322,'R2'!O322,'R3'!O322)</f>
        <v>-1.1024633401617603</v>
      </c>
      <c r="I322">
        <f t="shared" si="8"/>
        <v>2226.3581488194441</v>
      </c>
      <c r="K322">
        <f>_xlfn.STDEV.S('R1'!L322,'R2'!L322,'R3'!L322)</f>
        <v>7.9868444421440046E-2</v>
      </c>
      <c r="L322">
        <f>_xlfn.STDEV.S('R1'!M322,'R2'!M322,'R3'!M322)</f>
        <v>5.8016774622129934E-3</v>
      </c>
      <c r="M322">
        <f>_xlfn.STDEV.S('R1'!N322,'R2'!N322,'R3'!N322)</f>
        <v>7.6624216893190697E-2</v>
      </c>
      <c r="N322">
        <f>_xlfn.STDEV.S('R1'!O322,'R2'!O322,'R3'!O322)</f>
        <v>2.6815014528560312E-2</v>
      </c>
    </row>
    <row r="323" spans="1:14" x14ac:dyDescent="0.25">
      <c r="A323">
        <f>-'R1'!H323</f>
        <v>-8</v>
      </c>
      <c r="B323">
        <f>DEGREES(ATAN(-SIN(RADIANS(('R1'!I323)))/(COS(RADIANS(Sheet1!A323))*COS(RADIANS('R1'!I323)))))</f>
        <v>-44.280037446618948</v>
      </c>
      <c r="C323">
        <f>AVERAGE('R1'!J323,'R2'!J323,'R3'!J323)</f>
        <v>1.18</v>
      </c>
      <c r="D323">
        <f>AVERAGE('R1'!K323,'R2'!K323,'R3'!K323)</f>
        <v>11.343994583333332</v>
      </c>
      <c r="E323">
        <f>AVERAGE('R1'!L323,'R2'!L323,'R3'!L323)</f>
        <v>-4.5865825782460954</v>
      </c>
      <c r="F323">
        <f>AVERAGE('R1'!M323,'R2'!M323,'R3'!M323)</f>
        <v>1.5471346454388997</v>
      </c>
      <c r="G323">
        <f>AVERAGE('R1'!N323,'R2'!N323,'R3'!N323)</f>
        <v>-3.3264310420346335</v>
      </c>
      <c r="H323">
        <f>AVERAGE('R1'!O323,'R2'!O323,'R3'!O323)</f>
        <v>-1.7267665980431952</v>
      </c>
      <c r="I323">
        <f t="shared" ref="I323:I386" si="9">10^5*C323*D323*0.003/1.8</f>
        <v>2230.9856013888884</v>
      </c>
      <c r="K323">
        <f>_xlfn.STDEV.S('R1'!L323,'R2'!L323,'R3'!L323)</f>
        <v>5.4032610655027895E-2</v>
      </c>
      <c r="L323">
        <f>_xlfn.STDEV.S('R1'!M323,'R2'!M323,'R3'!M323)</f>
        <v>6.5291019241053103E-3</v>
      </c>
      <c r="M323">
        <f>_xlfn.STDEV.S('R1'!N323,'R2'!N323,'R3'!N323)</f>
        <v>5.153642701496388E-2</v>
      </c>
      <c r="N323">
        <f>_xlfn.STDEV.S('R1'!O323,'R2'!O323,'R3'!O323)</f>
        <v>1.7410632414916437E-2</v>
      </c>
    </row>
    <row r="324" spans="1:14" x14ac:dyDescent="0.25">
      <c r="A324">
        <f>-'R1'!H324</f>
        <v>-12</v>
      </c>
      <c r="B324">
        <f>DEGREES(ATAN(-SIN(RADIANS(('R1'!I324)))/(COS(RADIANS(Sheet1!A324))*COS(RADIANS('R1'!I324)))))</f>
        <v>44.632773428056808</v>
      </c>
      <c r="C324">
        <f>AVERAGE('R1'!J324,'R2'!J324,'R3'!J324)</f>
        <v>1.18</v>
      </c>
      <c r="D324">
        <f>AVERAGE('R1'!K324,'R2'!K324,'R3'!K324)</f>
        <v>11.407441583333332</v>
      </c>
      <c r="E324">
        <f>AVERAGE('R1'!L324,'R2'!L324,'R3'!L324)</f>
        <v>2.8047234853296885</v>
      </c>
      <c r="F324">
        <f>AVERAGE('R1'!M324,'R2'!M324,'R3'!M324)</f>
        <v>1.0569916945888578</v>
      </c>
      <c r="G324">
        <f>AVERAGE('R1'!N324,'R2'!N324,'R3'!N324)</f>
        <v>-1.6107808937529613</v>
      </c>
      <c r="H324">
        <f>AVERAGE('R1'!O324,'R2'!O324,'R3'!O324)</f>
        <v>-1.0870197528855519</v>
      </c>
      <c r="I324">
        <f t="shared" si="9"/>
        <v>2243.4635113888885</v>
      </c>
      <c r="K324">
        <f>_xlfn.STDEV.S('R1'!L324,'R2'!L324,'R3'!L324)</f>
        <v>3.3476645534288949E-3</v>
      </c>
      <c r="L324">
        <f>_xlfn.STDEV.S('R1'!M324,'R2'!M324,'R3'!M324)</f>
        <v>8.9924143089273306E-3</v>
      </c>
      <c r="M324">
        <f>_xlfn.STDEV.S('R1'!N324,'R2'!N324,'R3'!N324)</f>
        <v>6.180066495563249E-3</v>
      </c>
      <c r="N324">
        <f>_xlfn.STDEV.S('R1'!O324,'R2'!O324,'R3'!O324)</f>
        <v>6.1438459881695976E-3</v>
      </c>
    </row>
    <row r="325" spans="1:14" x14ac:dyDescent="0.25">
      <c r="A325">
        <f>-'R1'!H325</f>
        <v>-12</v>
      </c>
      <c r="B325">
        <f>DEGREES(ATAN(-SIN(RADIANS(('R1'!I325)))/(COS(RADIANS(Sheet1!A325))*COS(RADIANS('R1'!I325)))))</f>
        <v>40.624498244732152</v>
      </c>
      <c r="C325">
        <f>AVERAGE('R1'!J325,'R2'!J325,'R3'!J325)</f>
        <v>1.18</v>
      </c>
      <c r="D325">
        <f>AVERAGE('R1'!K325,'R2'!K325,'R3'!K325)</f>
        <v>11.456523249999998</v>
      </c>
      <c r="E325">
        <f>AVERAGE('R1'!L325,'R2'!L325,'R3'!L325)</f>
        <v>2.4356889400727222</v>
      </c>
      <c r="F325">
        <f>AVERAGE('R1'!M325,'R2'!M325,'R3'!M325)</f>
        <v>0.95126025661630875</v>
      </c>
      <c r="G325">
        <f>AVERAGE('R1'!N325,'R2'!N325,'R3'!N325)</f>
        <v>-1.2348786129795528</v>
      </c>
      <c r="H325">
        <f>AVERAGE('R1'!O325,'R2'!O325,'R3'!O325)</f>
        <v>-0.8119131455191857</v>
      </c>
      <c r="I325">
        <f t="shared" si="9"/>
        <v>2253.1162391666667</v>
      </c>
      <c r="K325">
        <f>_xlfn.STDEV.S('R1'!L325,'R2'!L325,'R3'!L325)</f>
        <v>1.8171872241853751E-2</v>
      </c>
      <c r="L325">
        <f>_xlfn.STDEV.S('R1'!M325,'R2'!M325,'R3'!M325)</f>
        <v>1.1554365712048785E-2</v>
      </c>
      <c r="M325">
        <f>_xlfn.STDEV.S('R1'!N325,'R2'!N325,'R3'!N325)</f>
        <v>1.7420930792850897E-2</v>
      </c>
      <c r="N325">
        <f>_xlfn.STDEV.S('R1'!O325,'R2'!O325,'R3'!O325)</f>
        <v>5.6235924865237329E-3</v>
      </c>
    </row>
    <row r="326" spans="1:14" x14ac:dyDescent="0.25">
      <c r="A326">
        <f>-'R1'!H326</f>
        <v>-12</v>
      </c>
      <c r="B326">
        <f>DEGREES(ATAN(-SIN(RADIANS(('R1'!I326)))/(COS(RADIANS(Sheet1!A326))*COS(RADIANS('R1'!I326)))))</f>
        <v>36.604002006988381</v>
      </c>
      <c r="C326">
        <f>AVERAGE('R1'!J326,'R2'!J326,'R3'!J326)</f>
        <v>1.1816666666666666</v>
      </c>
      <c r="D326">
        <f>AVERAGE('R1'!K326,'R2'!K326,'R3'!K326)</f>
        <v>11.457296916666666</v>
      </c>
      <c r="E326">
        <f>AVERAGE('R1'!L326,'R2'!L326,'R3'!L326)</f>
        <v>2.1298602570445158</v>
      </c>
      <c r="F326">
        <f>AVERAGE('R1'!M326,'R2'!M326,'R3'!M326)</f>
        <v>0.86178455224264194</v>
      </c>
      <c r="G326">
        <f>AVERAGE('R1'!N326,'R2'!N326,'R3'!N326)</f>
        <v>-0.94578702845734564</v>
      </c>
      <c r="H326">
        <f>AVERAGE('R1'!O326,'R2'!O326,'R3'!O326)</f>
        <v>-0.57551526432257216</v>
      </c>
      <c r="I326">
        <f t="shared" si="9"/>
        <v>2256.4509760879628</v>
      </c>
      <c r="K326">
        <f>_xlfn.STDEV.S('R1'!L326,'R2'!L326,'R3'!L326)</f>
        <v>1.0553647350407983E-2</v>
      </c>
      <c r="L326">
        <f>_xlfn.STDEV.S('R1'!M326,'R2'!M326,'R3'!M326)</f>
        <v>9.0075682996826299E-3</v>
      </c>
      <c r="M326">
        <f>_xlfn.STDEV.S('R1'!N326,'R2'!N326,'R3'!N326)</f>
        <v>1.5534930536575129E-2</v>
      </c>
      <c r="N326">
        <f>_xlfn.STDEV.S('R1'!O326,'R2'!O326,'R3'!O326)</f>
        <v>3.8673574430303629E-3</v>
      </c>
    </row>
    <row r="327" spans="1:14" x14ac:dyDescent="0.25">
      <c r="A327">
        <f>-'R1'!H327</f>
        <v>-12</v>
      </c>
      <c r="B327">
        <f>DEGREES(ATAN(-SIN(RADIANS(('R1'!I327)))/(COS(RADIANS(Sheet1!A327))*COS(RADIANS('R1'!I327)))))</f>
        <v>32.571632726288172</v>
      </c>
      <c r="C327">
        <f>AVERAGE('R1'!J327,'R2'!J327,'R3'!J327)</f>
        <v>1.1808333333333332</v>
      </c>
      <c r="D327">
        <f>AVERAGE('R1'!K327,'R2'!K327,'R3'!K327)</f>
        <v>11.506592666666668</v>
      </c>
      <c r="E327">
        <f>AVERAGE('R1'!L327,'R2'!L327,'R3'!L327)</f>
        <v>1.8768210126480838</v>
      </c>
      <c r="F327">
        <f>AVERAGE('R1'!M327,'R2'!M327,'R3'!M327)</f>
        <v>0.80158186499394901</v>
      </c>
      <c r="G327">
        <f>AVERAGE('R1'!N327,'R2'!N327,'R3'!N327)</f>
        <v>-0.72494470434707037</v>
      </c>
      <c r="H327">
        <f>AVERAGE('R1'!O327,'R2'!O327,'R3'!O327)</f>
        <v>-0.37796239410539106</v>
      </c>
      <c r="I327">
        <f t="shared" si="9"/>
        <v>2264.5613623148151</v>
      </c>
      <c r="K327">
        <f>_xlfn.STDEV.S('R1'!L327,'R2'!L327,'R3'!L327)</f>
        <v>8.8151871343486749E-3</v>
      </c>
      <c r="L327">
        <f>_xlfn.STDEV.S('R1'!M327,'R2'!M327,'R3'!M327)</f>
        <v>3.379456817477752E-3</v>
      </c>
      <c r="M327">
        <f>_xlfn.STDEV.S('R1'!N327,'R2'!N327,'R3'!N327)</f>
        <v>1.2948418948893261E-2</v>
      </c>
      <c r="N327">
        <f>_xlfn.STDEV.S('R1'!O327,'R2'!O327,'R3'!O327)</f>
        <v>3.271864223909922E-3</v>
      </c>
    </row>
    <row r="328" spans="1:14" x14ac:dyDescent="0.25">
      <c r="A328">
        <f>-'R1'!H328</f>
        <v>-12</v>
      </c>
      <c r="B328">
        <f>DEGREES(ATAN(-SIN(RADIANS(('R1'!I328)))/(COS(RADIANS(Sheet1!A328))*COS(RADIANS('R1'!I328)))))</f>
        <v>28.527978326363606</v>
      </c>
      <c r="C328">
        <f>AVERAGE('R1'!J328,'R2'!J328,'R3'!J328)</f>
        <v>1.18</v>
      </c>
      <c r="D328">
        <f>AVERAGE('R1'!K328,'R2'!K328,'R3'!K328)</f>
        <v>11.536183916666667</v>
      </c>
      <c r="E328">
        <f>AVERAGE('R1'!L328,'R2'!L328,'R3'!L328)</f>
        <v>1.6497296911867052</v>
      </c>
      <c r="F328">
        <f>AVERAGE('R1'!M328,'R2'!M328,'R3'!M328)</f>
        <v>0.75500478084816935</v>
      </c>
      <c r="G328">
        <f>AVERAGE('R1'!N328,'R2'!N328,'R3'!N328)</f>
        <v>-0.54607394355866545</v>
      </c>
      <c r="H328">
        <f>AVERAGE('R1'!O328,'R2'!O328,'R3'!O328)</f>
        <v>-0.1913837225792647</v>
      </c>
      <c r="I328">
        <f t="shared" si="9"/>
        <v>2268.7828369444446</v>
      </c>
      <c r="K328">
        <f>_xlfn.STDEV.S('R1'!L328,'R2'!L328,'R3'!L328)</f>
        <v>1.0071321225257808E-2</v>
      </c>
      <c r="L328">
        <f>_xlfn.STDEV.S('R1'!M328,'R2'!M328,'R3'!M328)</f>
        <v>1.3915310504562959E-3</v>
      </c>
      <c r="M328">
        <f>_xlfn.STDEV.S('R1'!N328,'R2'!N328,'R3'!N328)</f>
        <v>9.6145005155182789E-3</v>
      </c>
      <c r="N328">
        <f>_xlfn.STDEV.S('R1'!O328,'R2'!O328,'R3'!O328)</f>
        <v>6.369066067205156E-3</v>
      </c>
    </row>
    <row r="329" spans="1:14" x14ac:dyDescent="0.25">
      <c r="A329">
        <f>-'R1'!H329</f>
        <v>-12</v>
      </c>
      <c r="B329">
        <f>DEGREES(ATAN(-SIN(RADIANS(('R1'!I329)))/(COS(RADIANS(Sheet1!A329))*COS(RADIANS('R1'!I329)))))</f>
        <v>24.473858605038014</v>
      </c>
      <c r="C329">
        <f>AVERAGE('R1'!J329,'R2'!J329,'R3'!J329)</f>
        <v>1.18</v>
      </c>
      <c r="D329">
        <f>AVERAGE('R1'!K329,'R2'!K329,'R3'!K329)</f>
        <v>11.559833583333335</v>
      </c>
      <c r="E329">
        <f>AVERAGE('R1'!L329,'R2'!L329,'R3'!L329)</f>
        <v>1.4506717978787307</v>
      </c>
      <c r="F329">
        <f>AVERAGE('R1'!M329,'R2'!M329,'R3'!M329)</f>
        <v>0.71771383106553044</v>
      </c>
      <c r="G329">
        <f>AVERAGE('R1'!N329,'R2'!N329,'R3'!N329)</f>
        <v>-0.41525394963990991</v>
      </c>
      <c r="H329">
        <f>AVERAGE('R1'!O329,'R2'!O329,'R3'!O329)</f>
        <v>-1.6463223739048394E-2</v>
      </c>
      <c r="I329">
        <f t="shared" si="9"/>
        <v>2273.4339380555557</v>
      </c>
      <c r="K329">
        <f>_xlfn.STDEV.S('R1'!L329,'R2'!L329,'R3'!L329)</f>
        <v>5.7931889598214284E-3</v>
      </c>
      <c r="L329">
        <f>_xlfn.STDEV.S('R1'!M329,'R2'!M329,'R3'!M329)</f>
        <v>1.1108444747071594E-2</v>
      </c>
      <c r="M329">
        <f>_xlfn.STDEV.S('R1'!N329,'R2'!N329,'R3'!N329)</f>
        <v>1.1423038646443541E-2</v>
      </c>
      <c r="N329">
        <f>_xlfn.STDEV.S('R1'!O329,'R2'!O329,'R3'!O329)</f>
        <v>7.9263098606791507E-3</v>
      </c>
    </row>
    <row r="330" spans="1:14" x14ac:dyDescent="0.25">
      <c r="A330">
        <f>-'R1'!H330</f>
        <v>-12</v>
      </c>
      <c r="B330">
        <f>DEGREES(ATAN(-SIN(RADIANS(('R1'!I330)))/(COS(RADIANS(Sheet1!A330))*COS(RADIANS('R1'!I330)))))</f>
        <v>20.410311753659691</v>
      </c>
      <c r="C330">
        <f>AVERAGE('R1'!J330,'R2'!J330,'R3'!J330)</f>
        <v>1.18</v>
      </c>
      <c r="D330">
        <f>AVERAGE('R1'!K330,'R2'!K330,'R3'!K330)</f>
        <v>11.604697833333333</v>
      </c>
      <c r="E330">
        <f>AVERAGE('R1'!L330,'R2'!L330,'R3'!L330)</f>
        <v>1.2413860174723217</v>
      </c>
      <c r="F330">
        <f>AVERAGE('R1'!M330,'R2'!M330,'R3'!M330)</f>
        <v>0.69595546482994397</v>
      </c>
      <c r="G330">
        <f>AVERAGE('R1'!N330,'R2'!N330,'R3'!N330)</f>
        <v>-0.29544543700959042</v>
      </c>
      <c r="H330">
        <f>AVERAGE('R1'!O330,'R2'!O330,'R3'!O330)</f>
        <v>0.15026216946753854</v>
      </c>
      <c r="I330">
        <f t="shared" si="9"/>
        <v>2282.2572405555552</v>
      </c>
      <c r="K330">
        <f>_xlfn.STDEV.S('R1'!L330,'R2'!L330,'R3'!L330)</f>
        <v>6.3404506678517653E-3</v>
      </c>
      <c r="L330">
        <f>_xlfn.STDEV.S('R1'!M330,'R2'!M330,'R3'!M330)</f>
        <v>1.2452262137491243E-2</v>
      </c>
      <c r="M330">
        <f>_xlfn.STDEV.S('R1'!N330,'R2'!N330,'R3'!N330)</f>
        <v>8.6196814970108809E-3</v>
      </c>
      <c r="N330">
        <f>_xlfn.STDEV.S('R1'!O330,'R2'!O330,'R3'!O330)</f>
        <v>6.288124674466951E-3</v>
      </c>
    </row>
    <row r="331" spans="1:14" x14ac:dyDescent="0.25">
      <c r="A331">
        <f>-'R1'!H331</f>
        <v>-12</v>
      </c>
      <c r="B331">
        <f>DEGREES(ATAN(-SIN(RADIANS(('R1'!I331)))/(COS(RADIANS(Sheet1!A331))*COS(RADIANS('R1'!I331)))))</f>
        <v>16.338575476506957</v>
      </c>
      <c r="C331">
        <f>AVERAGE('R1'!J331,'R2'!J331,'R3'!J331)</f>
        <v>1.18</v>
      </c>
      <c r="D331">
        <f>AVERAGE('R1'!K331,'R2'!K331,'R3'!K331)</f>
        <v>11.612922333333332</v>
      </c>
      <c r="E331">
        <f>AVERAGE('R1'!L331,'R2'!L331,'R3'!L331)</f>
        <v>1.0142484717032894</v>
      </c>
      <c r="F331">
        <f>AVERAGE('R1'!M331,'R2'!M331,'R3'!M331)</f>
        <v>0.70685669733821943</v>
      </c>
      <c r="G331">
        <f>AVERAGE('R1'!N331,'R2'!N331,'R3'!N331)</f>
        <v>-0.20119856152190971</v>
      </c>
      <c r="H331">
        <f>AVERAGE('R1'!O331,'R2'!O331,'R3'!O331)</f>
        <v>0.2932212790419948</v>
      </c>
      <c r="I331">
        <f t="shared" si="9"/>
        <v>2283.8747255555554</v>
      </c>
      <c r="K331">
        <f>_xlfn.STDEV.S('R1'!L331,'R2'!L331,'R3'!L331)</f>
        <v>4.3021751886044386E-3</v>
      </c>
      <c r="L331">
        <f>_xlfn.STDEV.S('R1'!M331,'R2'!M331,'R3'!M331)</f>
        <v>1.0089022376072414E-2</v>
      </c>
      <c r="M331">
        <f>_xlfn.STDEV.S('R1'!N331,'R2'!N331,'R3'!N331)</f>
        <v>6.7556729690696126E-3</v>
      </c>
      <c r="N331">
        <f>_xlfn.STDEV.S('R1'!O331,'R2'!O331,'R3'!O331)</f>
        <v>4.7325682212578241E-3</v>
      </c>
    </row>
    <row r="332" spans="1:14" x14ac:dyDescent="0.25">
      <c r="A332">
        <f>-'R1'!H332</f>
        <v>-12</v>
      </c>
      <c r="B332">
        <f>DEGREES(ATAN(-SIN(RADIANS(('R1'!I332)))/(COS(RADIANS(Sheet1!A332))*COS(RADIANS('R1'!I332)))))</f>
        <v>12.260062948059348</v>
      </c>
      <c r="C332">
        <f>AVERAGE('R1'!J332,'R2'!J332,'R3'!J332)</f>
        <v>1.1808333333333332</v>
      </c>
      <c r="D332">
        <f>AVERAGE('R1'!K332,'R2'!K332,'R3'!K332)</f>
        <v>11.640484333333333</v>
      </c>
      <c r="E332">
        <f>AVERAGE('R1'!L332,'R2'!L332,'R3'!L332)</f>
        <v>0.7798816500542799</v>
      </c>
      <c r="F332">
        <f>AVERAGE('R1'!M332,'R2'!M332,'R3'!M332)</f>
        <v>0.75279153428396572</v>
      </c>
      <c r="G332">
        <f>AVERAGE('R1'!N332,'R2'!N332,'R3'!N332)</f>
        <v>-0.13480894862110546</v>
      </c>
      <c r="H332">
        <f>AVERAGE('R1'!O332,'R2'!O332,'R3'!O332)</f>
        <v>0.42105651463378613</v>
      </c>
      <c r="I332">
        <f t="shared" si="9"/>
        <v>2290.9119861574072</v>
      </c>
      <c r="K332">
        <f>_xlfn.STDEV.S('R1'!L332,'R2'!L332,'R3'!L332)</f>
        <v>3.6587661168671474E-3</v>
      </c>
      <c r="L332">
        <f>_xlfn.STDEV.S('R1'!M332,'R2'!M332,'R3'!M332)</f>
        <v>1.3987064268395549E-2</v>
      </c>
      <c r="M332">
        <f>_xlfn.STDEV.S('R1'!N332,'R2'!N332,'R3'!N332)</f>
        <v>6.4887042473949384E-3</v>
      </c>
      <c r="N332">
        <f>_xlfn.STDEV.S('R1'!O332,'R2'!O332,'R3'!O332)</f>
        <v>3.9113798726960764E-3</v>
      </c>
    </row>
    <row r="333" spans="1:14" x14ac:dyDescent="0.25">
      <c r="A333">
        <f>-'R1'!H333</f>
        <v>-12</v>
      </c>
      <c r="B333">
        <f>DEGREES(ATAN(-SIN(RADIANS(('R1'!I333)))/(COS(RADIANS(Sheet1!A333))*COS(RADIANS('R1'!I333)))))</f>
        <v>8.1763340518815415</v>
      </c>
      <c r="C333">
        <f>AVERAGE('R1'!J333,'R2'!J333,'R3'!J333)</f>
        <v>1.18</v>
      </c>
      <c r="D333">
        <f>AVERAGE('R1'!K333,'R2'!K333,'R3'!K333)</f>
        <v>11.616169333333332</v>
      </c>
      <c r="E333">
        <f>AVERAGE('R1'!L333,'R2'!L333,'R3'!L333)</f>
        <v>0.53081291156612986</v>
      </c>
      <c r="F333">
        <f>AVERAGE('R1'!M333,'R2'!M333,'R3'!M333)</f>
        <v>0.80498669697610448</v>
      </c>
      <c r="G333">
        <f>AVERAGE('R1'!N333,'R2'!N333,'R3'!N333)</f>
        <v>-9.3035617720866992E-2</v>
      </c>
      <c r="H333">
        <f>AVERAGE('R1'!O333,'R2'!O333,'R3'!O333)</f>
        <v>0.53779549355870204</v>
      </c>
      <c r="I333">
        <f t="shared" si="9"/>
        <v>2284.5133022222217</v>
      </c>
      <c r="K333">
        <f>_xlfn.STDEV.S('R1'!L333,'R2'!L333,'R3'!L333)</f>
        <v>6.9541840319399337E-3</v>
      </c>
      <c r="L333">
        <f>_xlfn.STDEV.S('R1'!M333,'R2'!M333,'R3'!M333)</f>
        <v>3.3055085426675112E-3</v>
      </c>
      <c r="M333">
        <f>_xlfn.STDEV.S('R1'!N333,'R2'!N333,'R3'!N333)</f>
        <v>5.5833662998168773E-3</v>
      </c>
      <c r="N333">
        <f>_xlfn.STDEV.S('R1'!O333,'R2'!O333,'R3'!O333)</f>
        <v>5.6948291968514407E-3</v>
      </c>
    </row>
    <row r="334" spans="1:14" x14ac:dyDescent="0.25">
      <c r="A334">
        <f>-'R1'!H334</f>
        <v>-12</v>
      </c>
      <c r="B334">
        <f>DEGREES(ATAN(-SIN(RADIANS(('R1'!I334)))/(COS(RADIANS(Sheet1!A334))*COS(RADIANS('R1'!I334)))))</f>
        <v>4.0890625478299265</v>
      </c>
      <c r="C334">
        <f>AVERAGE('R1'!J334,'R2'!J334,'R3'!J334)</f>
        <v>1.18</v>
      </c>
      <c r="D334">
        <f>AVERAGE('R1'!K334,'R2'!K334,'R3'!K334)</f>
        <v>11.540853416666666</v>
      </c>
      <c r="E334">
        <f>AVERAGE('R1'!L334,'R2'!L334,'R3'!L334)</f>
        <v>0.26709702897535742</v>
      </c>
      <c r="F334">
        <f>AVERAGE('R1'!M334,'R2'!M334,'R3'!M334)</f>
        <v>0.8707659805515483</v>
      </c>
      <c r="G334">
        <f>AVERAGE('R1'!N334,'R2'!N334,'R3'!N334)</f>
        <v>-7.6331815536133066E-2</v>
      </c>
      <c r="H334">
        <f>AVERAGE('R1'!O334,'R2'!O334,'R3'!O334)</f>
        <v>0.63898998575345045</v>
      </c>
      <c r="I334">
        <f t="shared" si="9"/>
        <v>2269.7011719444445</v>
      </c>
      <c r="K334">
        <f>_xlfn.STDEV.S('R1'!L334,'R2'!L334,'R3'!L334)</f>
        <v>7.0775223441361884E-3</v>
      </c>
      <c r="L334">
        <f>_xlfn.STDEV.S('R1'!M334,'R2'!M334,'R3'!M334)</f>
        <v>4.0230390443465333E-3</v>
      </c>
      <c r="M334">
        <f>_xlfn.STDEV.S('R1'!N334,'R2'!N334,'R3'!N334)</f>
        <v>1.0455480027271124E-2</v>
      </c>
      <c r="N334">
        <f>_xlfn.STDEV.S('R1'!O334,'R2'!O334,'R3'!O334)</f>
        <v>4.0102497259198603E-3</v>
      </c>
    </row>
    <row r="335" spans="1:14" x14ac:dyDescent="0.25">
      <c r="A335">
        <f>-'R1'!H335</f>
        <v>-12</v>
      </c>
      <c r="B335">
        <f>DEGREES(ATAN(-SIN(RADIANS(('R1'!I335)))/(COS(RADIANS(Sheet1!A335))*COS(RADIANS('R1'!I335)))))</f>
        <v>0</v>
      </c>
      <c r="C335">
        <f>AVERAGE('R1'!J335,'R2'!J335,'R3'!J335)</f>
        <v>1.18</v>
      </c>
      <c r="D335">
        <f>AVERAGE('R1'!K335,'R2'!K335,'R3'!K335)</f>
        <v>11.511797416666667</v>
      </c>
      <c r="E335">
        <f>AVERAGE('R1'!L335,'R2'!L335,'R3'!L335)</f>
        <v>-3.8052688872732686E-2</v>
      </c>
      <c r="F335">
        <f>AVERAGE('R1'!M335,'R2'!M335,'R3'!M335)</f>
        <v>0.91731913686313282</v>
      </c>
      <c r="G335">
        <f>AVERAGE('R1'!N335,'R2'!N335,'R3'!N335)</f>
        <v>-7.2481477757913623E-2</v>
      </c>
      <c r="H335">
        <f>AVERAGE('R1'!O335,'R2'!O335,'R3'!O335)</f>
        <v>0.73449012752693499</v>
      </c>
      <c r="I335">
        <f t="shared" si="9"/>
        <v>2263.9868252777778</v>
      </c>
      <c r="K335">
        <f>_xlfn.STDEV.S('R1'!L335,'R2'!L335,'R3'!L335)</f>
        <v>5.5603653760816184E-3</v>
      </c>
      <c r="L335">
        <f>_xlfn.STDEV.S('R1'!M335,'R2'!M335,'R3'!M335)</f>
        <v>6.9813595180086849E-3</v>
      </c>
      <c r="M335">
        <f>_xlfn.STDEV.S('R1'!N335,'R2'!N335,'R3'!N335)</f>
        <v>1.0515456307864808E-2</v>
      </c>
      <c r="N335">
        <f>_xlfn.STDEV.S('R1'!O335,'R2'!O335,'R3'!O335)</f>
        <v>8.2462589317517203E-3</v>
      </c>
    </row>
    <row r="336" spans="1:14" x14ac:dyDescent="0.25">
      <c r="A336">
        <f>-'R1'!H336</f>
        <v>-12</v>
      </c>
      <c r="B336">
        <f>DEGREES(ATAN(-SIN(RADIANS(('R1'!I336)))/(COS(RADIANS(Sheet1!A336))*COS(RADIANS('R1'!I336)))))</f>
        <v>-4.0890625478299265</v>
      </c>
      <c r="C336">
        <f>AVERAGE('R1'!J336,'R2'!J336,'R3'!J336)</f>
        <v>1.18</v>
      </c>
      <c r="D336">
        <f>AVERAGE('R1'!K336,'R2'!K336,'R3'!K336)</f>
        <v>11.450097999999999</v>
      </c>
      <c r="E336">
        <f>AVERAGE('R1'!L336,'R2'!L336,'R3'!L336)</f>
        <v>-0.33181046074471837</v>
      </c>
      <c r="F336">
        <f>AVERAGE('R1'!M336,'R2'!M336,'R3'!M336)</f>
        <v>0.84659903462643415</v>
      </c>
      <c r="G336">
        <f>AVERAGE('R1'!N336,'R2'!N336,'R3'!N336)</f>
        <v>-7.5930260482810222E-2</v>
      </c>
      <c r="H336">
        <f>AVERAGE('R1'!O336,'R2'!O336,'R3'!O336)</f>
        <v>0.60643342014182566</v>
      </c>
      <c r="I336">
        <f t="shared" si="9"/>
        <v>2251.8526066666664</v>
      </c>
      <c r="K336">
        <f>_xlfn.STDEV.S('R1'!L336,'R2'!L336,'R3'!L336)</f>
        <v>2.4311262781432578E-4</v>
      </c>
      <c r="L336">
        <f>_xlfn.STDEV.S('R1'!M336,'R2'!M336,'R3'!M336)</f>
        <v>7.7113225692455791E-3</v>
      </c>
      <c r="M336">
        <f>_xlfn.STDEV.S('R1'!N336,'R2'!N336,'R3'!N336)</f>
        <v>9.2124220417064678E-3</v>
      </c>
      <c r="N336">
        <f>_xlfn.STDEV.S('R1'!O336,'R2'!O336,'R3'!O336)</f>
        <v>6.3440695658268011E-3</v>
      </c>
    </row>
    <row r="337" spans="1:14" x14ac:dyDescent="0.25">
      <c r="A337">
        <f>-'R1'!H337</f>
        <v>-12</v>
      </c>
      <c r="B337">
        <f>DEGREES(ATAN(-SIN(RADIANS(('R1'!I337)))/(COS(RADIANS(Sheet1!A337))*COS(RADIANS('R1'!I337)))))</f>
        <v>-8.1763340518815415</v>
      </c>
      <c r="C337">
        <f>AVERAGE('R1'!J337,'R2'!J337,'R3'!J337)</f>
        <v>1.18</v>
      </c>
      <c r="D337">
        <f>AVERAGE('R1'!K337,'R2'!K337,'R3'!K337)</f>
        <v>11.348419416666667</v>
      </c>
      <c r="E337">
        <f>AVERAGE('R1'!L337,'R2'!L337,'R3'!L337)</f>
        <v>-0.59101116290806377</v>
      </c>
      <c r="F337">
        <f>AVERAGE('R1'!M337,'R2'!M337,'R3'!M337)</f>
        <v>0.78688048278836076</v>
      </c>
      <c r="G337">
        <f>AVERAGE('R1'!N337,'R2'!N337,'R3'!N337)</f>
        <v>-0.10615402467794828</v>
      </c>
      <c r="H337">
        <f>AVERAGE('R1'!O337,'R2'!O337,'R3'!O337)</f>
        <v>0.48798124911946478</v>
      </c>
      <c r="I337">
        <f t="shared" si="9"/>
        <v>2231.8558186111109</v>
      </c>
      <c r="K337">
        <f>_xlfn.STDEV.S('R1'!L337,'R2'!L337,'R3'!L337)</f>
        <v>1.4267441488719857E-4</v>
      </c>
      <c r="L337">
        <f>_xlfn.STDEV.S('R1'!M337,'R2'!M337,'R3'!M337)</f>
        <v>8.0657366718713316E-3</v>
      </c>
      <c r="M337">
        <f>_xlfn.STDEV.S('R1'!N337,'R2'!N337,'R3'!N337)</f>
        <v>4.9780872741661949E-3</v>
      </c>
      <c r="N337">
        <f>_xlfn.STDEV.S('R1'!O337,'R2'!O337,'R3'!O337)</f>
        <v>6.6677668482119585E-3</v>
      </c>
    </row>
    <row r="338" spans="1:14" x14ac:dyDescent="0.25">
      <c r="A338">
        <f>-'R1'!H338</f>
        <v>-12</v>
      </c>
      <c r="B338">
        <f>DEGREES(ATAN(-SIN(RADIANS(('R1'!I338)))/(COS(RADIANS(Sheet1!A338))*COS(RADIANS('R1'!I338)))))</f>
        <v>-12.260062948059348</v>
      </c>
      <c r="C338">
        <f>AVERAGE('R1'!J338,'R2'!J338,'R3'!J338)</f>
        <v>1.18</v>
      </c>
      <c r="D338">
        <f>AVERAGE('R1'!K338,'R2'!K338,'R3'!K338)</f>
        <v>11.357073083333333</v>
      </c>
      <c r="E338">
        <f>AVERAGE('R1'!L338,'R2'!L338,'R3'!L338)</f>
        <v>-0.83330858574256694</v>
      </c>
      <c r="F338">
        <f>AVERAGE('R1'!M338,'R2'!M338,'R3'!M338)</f>
        <v>0.74750197445794908</v>
      </c>
      <c r="G338">
        <f>AVERAGE('R1'!N338,'R2'!N338,'R3'!N338)</f>
        <v>-0.15943924778509985</v>
      </c>
      <c r="H338">
        <f>AVERAGE('R1'!O338,'R2'!O338,'R3'!O338)</f>
        <v>0.36694837267815944</v>
      </c>
      <c r="I338">
        <f t="shared" si="9"/>
        <v>2233.5577063888891</v>
      </c>
      <c r="K338">
        <f>_xlfn.STDEV.S('R1'!L338,'R2'!L338,'R3'!L338)</f>
        <v>8.6043799724532747E-3</v>
      </c>
      <c r="L338">
        <f>_xlfn.STDEV.S('R1'!M338,'R2'!M338,'R3'!M338)</f>
        <v>6.7738499761951926E-3</v>
      </c>
      <c r="M338">
        <f>_xlfn.STDEV.S('R1'!N338,'R2'!N338,'R3'!N338)</f>
        <v>1.439668120890185E-2</v>
      </c>
      <c r="N338">
        <f>_xlfn.STDEV.S('R1'!O338,'R2'!O338,'R3'!O338)</f>
        <v>7.5057146817243525E-3</v>
      </c>
    </row>
    <row r="339" spans="1:14" x14ac:dyDescent="0.25">
      <c r="A339">
        <f>-'R1'!H339</f>
        <v>-12</v>
      </c>
      <c r="B339">
        <f>DEGREES(ATAN(-SIN(RADIANS(('R1'!I339)))/(COS(RADIANS(Sheet1!A339))*COS(RADIANS('R1'!I339)))))</f>
        <v>-16.338575476506957</v>
      </c>
      <c r="C339">
        <f>AVERAGE('R1'!J339,'R2'!J339,'R3'!J339)</f>
        <v>1.18</v>
      </c>
      <c r="D339">
        <f>AVERAGE('R1'!K339,'R2'!K339,'R3'!K339)</f>
        <v>11.224852750000002</v>
      </c>
      <c r="E339">
        <f>AVERAGE('R1'!L339,'R2'!L339,'R3'!L339)</f>
        <v>-1.0788086888845771</v>
      </c>
      <c r="F339">
        <f>AVERAGE('R1'!M339,'R2'!M339,'R3'!M339)</f>
        <v>0.72735917191287325</v>
      </c>
      <c r="G339">
        <f>AVERAGE('R1'!N339,'R2'!N339,'R3'!N339)</f>
        <v>-0.24738093278921791</v>
      </c>
      <c r="H339">
        <f>AVERAGE('R1'!O339,'R2'!O339,'R3'!O339)</f>
        <v>0.24236678240994614</v>
      </c>
      <c r="I339">
        <f t="shared" si="9"/>
        <v>2207.554374166667</v>
      </c>
      <c r="K339">
        <f>_xlfn.STDEV.S('R1'!L339,'R2'!L339,'R3'!L339)</f>
        <v>4.5035898912832942E-3</v>
      </c>
      <c r="L339">
        <f>_xlfn.STDEV.S('R1'!M339,'R2'!M339,'R3'!M339)</f>
        <v>5.9085184238043369E-3</v>
      </c>
      <c r="M339">
        <f>_xlfn.STDEV.S('R1'!N339,'R2'!N339,'R3'!N339)</f>
        <v>1.0638593687599878E-2</v>
      </c>
      <c r="N339">
        <f>_xlfn.STDEV.S('R1'!O339,'R2'!O339,'R3'!O339)</f>
        <v>3.4464580821194322E-3</v>
      </c>
    </row>
    <row r="340" spans="1:14" x14ac:dyDescent="0.25">
      <c r="A340">
        <f>-'R1'!H340</f>
        <v>-12</v>
      </c>
      <c r="B340">
        <f>DEGREES(ATAN(-SIN(RADIANS(('R1'!I340)))/(COS(RADIANS(Sheet1!A340))*COS(RADIANS('R1'!I340)))))</f>
        <v>-20.410311753659691</v>
      </c>
      <c r="C340">
        <f>AVERAGE('R1'!J340,'R2'!J340,'R3'!J340)</f>
        <v>1.18</v>
      </c>
      <c r="D340">
        <f>AVERAGE('R1'!K340,'R2'!K340,'R3'!K340)</f>
        <v>11.120703916666665</v>
      </c>
      <c r="E340">
        <f>AVERAGE('R1'!L340,'R2'!L340,'R3'!L340)</f>
        <v>-1.3160212186358358</v>
      </c>
      <c r="F340">
        <f>AVERAGE('R1'!M340,'R2'!M340,'R3'!M340)</f>
        <v>0.74422616537117392</v>
      </c>
      <c r="G340">
        <f>AVERAGE('R1'!N340,'R2'!N340,'R3'!N340)</f>
        <v>-0.36485206229607686</v>
      </c>
      <c r="H340">
        <f>AVERAGE('R1'!O340,'R2'!O340,'R3'!O340)</f>
        <v>0.10132184155821662</v>
      </c>
      <c r="I340">
        <f t="shared" si="9"/>
        <v>2187.0717702777774</v>
      </c>
      <c r="K340">
        <f>_xlfn.STDEV.S('R1'!L340,'R2'!L340,'R3'!L340)</f>
        <v>1.113740861761175E-2</v>
      </c>
      <c r="L340">
        <f>_xlfn.STDEV.S('R1'!M340,'R2'!M340,'R3'!M340)</f>
        <v>7.2317101687905949E-3</v>
      </c>
      <c r="M340">
        <f>_xlfn.STDEV.S('R1'!N340,'R2'!N340,'R3'!N340)</f>
        <v>5.4437609717208381E-3</v>
      </c>
      <c r="N340">
        <f>_xlfn.STDEV.S('R1'!O340,'R2'!O340,'R3'!O340)</f>
        <v>2.2934766633574007E-3</v>
      </c>
    </row>
    <row r="341" spans="1:14" x14ac:dyDescent="0.25">
      <c r="A341">
        <f>-'R1'!H341</f>
        <v>-12</v>
      </c>
      <c r="B341">
        <f>DEGREES(ATAN(-SIN(RADIANS(('R1'!I341)))/(COS(RADIANS(Sheet1!A341))*COS(RADIANS('R1'!I341)))))</f>
        <v>-24.473858605038014</v>
      </c>
      <c r="C341">
        <f>AVERAGE('R1'!J341,'R2'!J341,'R3'!J341)</f>
        <v>1.18</v>
      </c>
      <c r="D341">
        <f>AVERAGE('R1'!K341,'R2'!K341,'R3'!K341)</f>
        <v>11.063715166666668</v>
      </c>
      <c r="E341">
        <f>AVERAGE('R1'!L341,'R2'!L341,'R3'!L341)</f>
        <v>-1.5395119561817143</v>
      </c>
      <c r="F341">
        <f>AVERAGE('R1'!M341,'R2'!M341,'R3'!M341)</f>
        <v>0.81370261814472522</v>
      </c>
      <c r="G341">
        <f>AVERAGE('R1'!N341,'R2'!N341,'R3'!N341)</f>
        <v>-0.52101539022374344</v>
      </c>
      <c r="H341">
        <f>AVERAGE('R1'!O341,'R2'!O341,'R3'!O341)</f>
        <v>-6.8893269569847218E-2</v>
      </c>
      <c r="I341">
        <f t="shared" si="9"/>
        <v>2175.8639827777779</v>
      </c>
      <c r="K341">
        <f>_xlfn.STDEV.S('R1'!L341,'R2'!L341,'R3'!L341)</f>
        <v>1.0451079835093392E-2</v>
      </c>
      <c r="L341">
        <f>_xlfn.STDEV.S('R1'!M341,'R2'!M341,'R3'!M341)</f>
        <v>8.764166265962688E-3</v>
      </c>
      <c r="M341">
        <f>_xlfn.STDEV.S('R1'!N341,'R2'!N341,'R3'!N341)</f>
        <v>1.2341135566507002E-2</v>
      </c>
      <c r="N341">
        <f>_xlfn.STDEV.S('R1'!O341,'R2'!O341,'R3'!O341)</f>
        <v>4.8034185887914369E-3</v>
      </c>
    </row>
    <row r="342" spans="1:14" x14ac:dyDescent="0.25">
      <c r="A342">
        <f>-'R1'!H342</f>
        <v>-12</v>
      </c>
      <c r="B342">
        <f>DEGREES(ATAN(-SIN(RADIANS(('R1'!I342)))/(COS(RADIANS(Sheet1!A342))*COS(RADIANS('R1'!I342)))))</f>
        <v>-28.527978326363606</v>
      </c>
      <c r="C342">
        <f>AVERAGE('R1'!J342,'R2'!J342,'R3'!J342)</f>
        <v>1.18</v>
      </c>
      <c r="D342">
        <f>AVERAGE('R1'!K342,'R2'!K342,'R3'!K342)</f>
        <v>11.010985916666668</v>
      </c>
      <c r="E342">
        <f>AVERAGE('R1'!L342,'R2'!L342,'R3'!L342)</f>
        <v>-1.7977949949599328</v>
      </c>
      <c r="F342">
        <f>AVERAGE('R1'!M342,'R2'!M342,'R3'!M342)</f>
        <v>0.92277019372906377</v>
      </c>
      <c r="G342">
        <f>AVERAGE('R1'!N342,'R2'!N342,'R3'!N342)</f>
        <v>-0.73707471424088</v>
      </c>
      <c r="H342">
        <f>AVERAGE('R1'!O342,'R2'!O342,'R3'!O342)</f>
        <v>-0.27421870577118002</v>
      </c>
      <c r="I342">
        <f t="shared" si="9"/>
        <v>2165.4938969444443</v>
      </c>
      <c r="K342">
        <f>_xlfn.STDEV.S('R1'!L342,'R2'!L342,'R3'!L342)</f>
        <v>2.1122712410212633E-2</v>
      </c>
      <c r="L342">
        <f>_xlfn.STDEV.S('R1'!M342,'R2'!M342,'R3'!M342)</f>
        <v>1.3381761348559788E-2</v>
      </c>
      <c r="M342">
        <f>_xlfn.STDEV.S('R1'!N342,'R2'!N342,'R3'!N342)</f>
        <v>2.5636104170246341E-2</v>
      </c>
      <c r="N342">
        <f>_xlfn.STDEV.S('R1'!O342,'R2'!O342,'R3'!O342)</f>
        <v>8.8644722420943116E-3</v>
      </c>
    </row>
    <row r="343" spans="1:14" x14ac:dyDescent="0.25">
      <c r="A343">
        <f>-'R1'!H343</f>
        <v>-12</v>
      </c>
      <c r="B343">
        <f>DEGREES(ATAN(-SIN(RADIANS(('R1'!I343)))/(COS(RADIANS(Sheet1!A343))*COS(RADIANS('R1'!I343)))))</f>
        <v>-32.571632726288172</v>
      </c>
      <c r="C343">
        <f>AVERAGE('R1'!J343,'R2'!J343,'R3'!J343)</f>
        <v>1.1816666666666666</v>
      </c>
      <c r="D343">
        <f>AVERAGE('R1'!K343,'R2'!K343,'R3'!K343)</f>
        <v>11.025797750000001</v>
      </c>
      <c r="E343">
        <f>AVERAGE('R1'!L343,'R2'!L343,'R3'!L343)</f>
        <v>-2.0820916907265135</v>
      </c>
      <c r="F343">
        <f>AVERAGE('R1'!M343,'R2'!M343,'R3'!M343)</f>
        <v>1.0634658360347673</v>
      </c>
      <c r="G343">
        <f>AVERAGE('R1'!N343,'R2'!N343,'R3'!N343)</f>
        <v>-1.0182317662564886</v>
      </c>
      <c r="H343">
        <f>AVERAGE('R1'!O343,'R2'!O343,'R3'!O343)</f>
        <v>-0.49847336851913376</v>
      </c>
      <c r="I343">
        <f t="shared" si="9"/>
        <v>2171.4696124305556</v>
      </c>
      <c r="K343">
        <f>_xlfn.STDEV.S('R1'!L343,'R2'!L343,'R3'!L343)</f>
        <v>1.8072563659161264E-2</v>
      </c>
      <c r="L343">
        <f>_xlfn.STDEV.S('R1'!M343,'R2'!M343,'R3'!M343)</f>
        <v>1.4831418877836212E-2</v>
      </c>
      <c r="M343">
        <f>_xlfn.STDEV.S('R1'!N343,'R2'!N343,'R3'!N343)</f>
        <v>2.3372604498648645E-2</v>
      </c>
      <c r="N343">
        <f>_xlfn.STDEV.S('R1'!O343,'R2'!O343,'R3'!O343)</f>
        <v>5.9967157039071857E-3</v>
      </c>
    </row>
    <row r="344" spans="1:14" x14ac:dyDescent="0.25">
      <c r="A344">
        <f>-'R1'!H344</f>
        <v>-12</v>
      </c>
      <c r="B344">
        <f>DEGREES(ATAN(-SIN(RADIANS(('R1'!I344)))/(COS(RADIANS(Sheet1!A344))*COS(RADIANS('R1'!I344)))))</f>
        <v>-36.604002006988381</v>
      </c>
      <c r="C344">
        <f>AVERAGE('R1'!J344,'R2'!J344,'R3'!J344)</f>
        <v>1.18</v>
      </c>
      <c r="D344">
        <f>AVERAGE('R1'!K344,'R2'!K344,'R3'!K344)</f>
        <v>11.117923666666664</v>
      </c>
      <c r="E344">
        <f>AVERAGE('R1'!L344,'R2'!L344,'R3'!L344)</f>
        <v>-2.4922828004589701</v>
      </c>
      <c r="F344">
        <f>AVERAGE('R1'!M344,'R2'!M344,'R3'!M344)</f>
        <v>1.2498384354581378</v>
      </c>
      <c r="G344">
        <f>AVERAGE('R1'!N344,'R2'!N344,'R3'!N344)</f>
        <v>-1.4242548956385654</v>
      </c>
      <c r="H344">
        <f>AVERAGE('R1'!O344,'R2'!O344,'R3'!O344)</f>
        <v>-0.77248771343529177</v>
      </c>
      <c r="I344">
        <f t="shared" si="9"/>
        <v>2186.5249877777774</v>
      </c>
      <c r="K344">
        <f>_xlfn.STDEV.S('R1'!L344,'R2'!L344,'R3'!L344)</f>
        <v>4.9593896838305736E-3</v>
      </c>
      <c r="L344">
        <f>_xlfn.STDEV.S('R1'!M344,'R2'!M344,'R3'!M344)</f>
        <v>8.4412999657340459E-3</v>
      </c>
      <c r="M344">
        <f>_xlfn.STDEV.S('R1'!N344,'R2'!N344,'R3'!N344)</f>
        <v>1.0918306348535542E-2</v>
      </c>
      <c r="N344">
        <f>_xlfn.STDEV.S('R1'!O344,'R2'!O344,'R3'!O344)</f>
        <v>2.7579629812332662E-3</v>
      </c>
    </row>
    <row r="345" spans="1:14" x14ac:dyDescent="0.25">
      <c r="A345">
        <f>-'R1'!H345</f>
        <v>-12</v>
      </c>
      <c r="B345">
        <f>DEGREES(ATAN(-SIN(RADIANS(('R1'!I345)))/(COS(RADIANS(Sheet1!A345))*COS(RADIANS('R1'!I345)))))</f>
        <v>-40.624498244732152</v>
      </c>
      <c r="C345">
        <f>AVERAGE('R1'!J345,'R2'!J345,'R3'!J345)</f>
        <v>1.18</v>
      </c>
      <c r="D345">
        <f>AVERAGE('R1'!K345,'R2'!K345,'R3'!K345)</f>
        <v>11.145339166666668</v>
      </c>
      <c r="E345">
        <f>AVERAGE('R1'!L345,'R2'!L345,'R3'!L345)</f>
        <v>-3.0445516784848721</v>
      </c>
      <c r="F345">
        <f>AVERAGE('R1'!M345,'R2'!M345,'R3'!M345)</f>
        <v>1.5165813556978087</v>
      </c>
      <c r="G345">
        <f>AVERAGE('R1'!N345,'R2'!N345,'R3'!N345)</f>
        <v>-1.9978255670039722</v>
      </c>
      <c r="H345">
        <f>AVERAGE('R1'!O345,'R2'!O345,'R3'!O345)</f>
        <v>-1.1290052910309629</v>
      </c>
      <c r="I345">
        <f t="shared" si="9"/>
        <v>2191.916702777778</v>
      </c>
      <c r="K345">
        <f>_xlfn.STDEV.S('R1'!L345,'R2'!L345,'R3'!L345)</f>
        <v>4.8078368605189048E-2</v>
      </c>
      <c r="L345">
        <f>_xlfn.STDEV.S('R1'!M345,'R2'!M345,'R3'!M345)</f>
        <v>7.5093067808476932E-3</v>
      </c>
      <c r="M345">
        <f>_xlfn.STDEV.S('R1'!N345,'R2'!N345,'R3'!N345)</f>
        <v>4.516450777196316E-2</v>
      </c>
      <c r="N345">
        <f>_xlfn.STDEV.S('R1'!O345,'R2'!O345,'R3'!O345)</f>
        <v>2.1042659310659892E-2</v>
      </c>
    </row>
    <row r="346" spans="1:14" x14ac:dyDescent="0.25">
      <c r="A346">
        <f>-'R1'!H346</f>
        <v>-12</v>
      </c>
      <c r="B346">
        <f>DEGREES(ATAN(-SIN(RADIANS(('R1'!I346)))/(COS(RADIANS(Sheet1!A346))*COS(RADIANS('R1'!I346)))))</f>
        <v>-44.632773428056808</v>
      </c>
      <c r="C346">
        <f>AVERAGE('R1'!J346,'R2'!J346,'R3'!J346)</f>
        <v>1.1808333333333332</v>
      </c>
      <c r="D346">
        <f>AVERAGE('R1'!K346,'R2'!K346,'R3'!K346)</f>
        <v>11.194106083333333</v>
      </c>
      <c r="E346">
        <f>AVERAGE('R1'!L346,'R2'!L346,'R3'!L346)</f>
        <v>-3.8819437151467757</v>
      </c>
      <c r="F346">
        <f>AVERAGE('R1'!M346,'R2'!M346,'R3'!M346)</f>
        <v>1.9054018357245817</v>
      </c>
      <c r="G346">
        <f>AVERAGE('R1'!N346,'R2'!N346,'R3'!N346)</f>
        <v>-2.8965430369138034</v>
      </c>
      <c r="H346">
        <f>AVERAGE('R1'!O346,'R2'!O346,'R3'!O346)</f>
        <v>-1.6588754535146986</v>
      </c>
      <c r="I346">
        <f t="shared" si="9"/>
        <v>2203.0622666782406</v>
      </c>
      <c r="K346">
        <f>_xlfn.STDEV.S('R1'!L346,'R2'!L346,'R3'!L346)</f>
        <v>5.1327934324079935E-2</v>
      </c>
      <c r="L346">
        <f>_xlfn.STDEV.S('R1'!M346,'R2'!M346,'R3'!M346)</f>
        <v>1.263617820811434E-2</v>
      </c>
      <c r="M346">
        <f>_xlfn.STDEV.S('R1'!N346,'R2'!N346,'R3'!N346)</f>
        <v>4.9723583477203258E-2</v>
      </c>
      <c r="N346">
        <f>_xlfn.STDEV.S('R1'!O346,'R2'!O346,'R3'!O346)</f>
        <v>2.2891329704068888E-2</v>
      </c>
    </row>
    <row r="347" spans="1:14" x14ac:dyDescent="0.25">
      <c r="A347">
        <f>-'R1'!H347</f>
        <v>-16</v>
      </c>
      <c r="B347">
        <f>DEGREES(ATAN(-SIN(RADIANS(('R1'!I347)))/(COS(RADIANS(Sheet1!A347))*COS(RADIANS('R1'!I347)))))</f>
        <v>45.131634150601585</v>
      </c>
      <c r="C347">
        <f>AVERAGE('R1'!J347,'R2'!J347,'R3'!J347)</f>
        <v>1.18</v>
      </c>
      <c r="D347">
        <f>AVERAGE('R1'!K347,'R2'!K347,'R3'!K347)</f>
        <v>11.255451583333333</v>
      </c>
      <c r="E347">
        <f>AVERAGE('R1'!L347,'R2'!L347,'R3'!L347)</f>
        <v>2.593315106233343</v>
      </c>
      <c r="F347">
        <f>AVERAGE('R1'!M347,'R2'!M347,'R3'!M347)</f>
        <v>1.3697480370861408</v>
      </c>
      <c r="G347">
        <f>AVERAGE('R1'!N347,'R2'!N347,'R3'!N347)</f>
        <v>-1.5705658236683482</v>
      </c>
      <c r="H347">
        <f>AVERAGE('R1'!O347,'R2'!O347,'R3'!O347)</f>
        <v>-1.1402593995408943</v>
      </c>
      <c r="I347">
        <f t="shared" si="9"/>
        <v>2213.5721447222222</v>
      </c>
      <c r="K347">
        <f>_xlfn.STDEV.S('R1'!L347,'R2'!L347,'R3'!L347)</f>
        <v>7.2380751352158117E-3</v>
      </c>
      <c r="L347">
        <f>_xlfn.STDEV.S('R1'!M347,'R2'!M347,'R3'!M347)</f>
        <v>6.4581124800272734E-3</v>
      </c>
      <c r="M347">
        <f>_xlfn.STDEV.S('R1'!N347,'R2'!N347,'R3'!N347)</f>
        <v>9.5923528499277863E-3</v>
      </c>
      <c r="N347">
        <f>_xlfn.STDEV.S('R1'!O347,'R2'!O347,'R3'!O347)</f>
        <v>1.4085852285608515E-2</v>
      </c>
    </row>
    <row r="348" spans="1:14" x14ac:dyDescent="0.25">
      <c r="A348">
        <f>-'R1'!H348</f>
        <v>-16</v>
      </c>
      <c r="B348">
        <f>DEGREES(ATAN(-SIN(RADIANS(('R1'!I348)))/(COS(RADIANS(Sheet1!A348))*COS(RADIANS('R1'!I348)))))</f>
        <v>41.118191358294368</v>
      </c>
      <c r="C348">
        <f>AVERAGE('R1'!J348,'R2'!J348,'R3'!J348)</f>
        <v>1.1816666666666666</v>
      </c>
      <c r="D348">
        <f>AVERAGE('R1'!K348,'R2'!K348,'R3'!K348)</f>
        <v>11.280879249999998</v>
      </c>
      <c r="E348">
        <f>AVERAGE('R1'!L348,'R2'!L348,'R3'!L348)</f>
        <v>2.2846956047668541</v>
      </c>
      <c r="F348">
        <f>AVERAGE('R1'!M348,'R2'!M348,'R3'!M348)</f>
        <v>1.2431430400560182</v>
      </c>
      <c r="G348">
        <f>AVERAGE('R1'!N348,'R2'!N348,'R3'!N348)</f>
        <v>-1.2373003483390752</v>
      </c>
      <c r="H348">
        <f>AVERAGE('R1'!O348,'R2'!O348,'R3'!O348)</f>
        <v>-0.87712292414119319</v>
      </c>
      <c r="I348">
        <f t="shared" si="9"/>
        <v>2221.7064967361107</v>
      </c>
      <c r="K348">
        <f>_xlfn.STDEV.S('R1'!L348,'R2'!L348,'R3'!L348)</f>
        <v>2.5707797448081882E-3</v>
      </c>
      <c r="L348">
        <f>_xlfn.STDEV.S('R1'!M348,'R2'!M348,'R3'!M348)</f>
        <v>8.1168679825511861E-3</v>
      </c>
      <c r="M348">
        <f>_xlfn.STDEV.S('R1'!N348,'R2'!N348,'R3'!N348)</f>
        <v>7.1953199051032401E-3</v>
      </c>
      <c r="N348">
        <f>_xlfn.STDEV.S('R1'!O348,'R2'!O348,'R3'!O348)</f>
        <v>1.552685769746261E-2</v>
      </c>
    </row>
    <row r="349" spans="1:14" x14ac:dyDescent="0.25">
      <c r="A349">
        <f>-'R1'!H349</f>
        <v>-16</v>
      </c>
      <c r="B349">
        <f>DEGREES(ATAN(-SIN(RADIANS(('R1'!I349)))/(COS(RADIANS(Sheet1!A349))*COS(RADIANS('R1'!I349)))))</f>
        <v>37.082782431142171</v>
      </c>
      <c r="C349">
        <f>AVERAGE('R1'!J349,'R2'!J349,'R3'!J349)</f>
        <v>1.1824999999999999</v>
      </c>
      <c r="D349">
        <f>AVERAGE('R1'!K349,'R2'!K349,'R3'!K349)</f>
        <v>11.329569833333332</v>
      </c>
      <c r="E349">
        <f>AVERAGE('R1'!L349,'R2'!L349,'R3'!L349)</f>
        <v>2.0251607823975193</v>
      </c>
      <c r="F349">
        <f>AVERAGE('R1'!M349,'R2'!M349,'R3'!M349)</f>
        <v>1.1426368126852078</v>
      </c>
      <c r="G349">
        <f>AVERAGE('R1'!N349,'R2'!N349,'R3'!N349)</f>
        <v>-0.97822387685753054</v>
      </c>
      <c r="H349">
        <f>AVERAGE('R1'!O349,'R2'!O349,'R3'!O349)</f>
        <v>-0.65386356382193145</v>
      </c>
      <c r="I349">
        <f t="shared" si="9"/>
        <v>2232.8693879861107</v>
      </c>
      <c r="K349">
        <f>_xlfn.STDEV.S('R1'!L349,'R2'!L349,'R3'!L349)</f>
        <v>1.118583353674057E-2</v>
      </c>
      <c r="L349">
        <f>_xlfn.STDEV.S('R1'!M349,'R2'!M349,'R3'!M349)</f>
        <v>6.2450854321356962E-3</v>
      </c>
      <c r="M349">
        <f>_xlfn.STDEV.S('R1'!N349,'R2'!N349,'R3'!N349)</f>
        <v>6.5401870919513617E-3</v>
      </c>
      <c r="N349">
        <f>_xlfn.STDEV.S('R1'!O349,'R2'!O349,'R3'!O349)</f>
        <v>8.5703401371840567E-3</v>
      </c>
    </row>
    <row r="350" spans="1:14" x14ac:dyDescent="0.25">
      <c r="A350">
        <f>-'R1'!H350</f>
        <v>-16</v>
      </c>
      <c r="B350">
        <f>DEGREES(ATAN(-SIN(RADIANS(('R1'!I350)))/(COS(RADIANS(Sheet1!A350))*COS(RADIANS('R1'!I350)))))</f>
        <v>33.025931133441695</v>
      </c>
      <c r="C350">
        <f>AVERAGE('R1'!J350,'R2'!J350,'R3'!J350)</f>
        <v>1.18</v>
      </c>
      <c r="D350">
        <f>AVERAGE('R1'!K350,'R2'!K350,'R3'!K350)</f>
        <v>11.347342916666667</v>
      </c>
      <c r="E350">
        <f>AVERAGE('R1'!L350,'R2'!L350,'R3'!L350)</f>
        <v>1.7969462321839453</v>
      </c>
      <c r="F350">
        <f>AVERAGE('R1'!M350,'R2'!M350,'R3'!M350)</f>
        <v>1.0798176282907124</v>
      </c>
      <c r="G350">
        <f>AVERAGE('R1'!N350,'R2'!N350,'R3'!N350)</f>
        <v>-0.77812767436969654</v>
      </c>
      <c r="H350">
        <f>AVERAGE('R1'!O350,'R2'!O350,'R3'!O350)</f>
        <v>-0.46325645231033058</v>
      </c>
      <c r="I350">
        <f t="shared" si="9"/>
        <v>2231.644106944445</v>
      </c>
      <c r="K350">
        <f>_xlfn.STDEV.S('R1'!L350,'R2'!L350,'R3'!L350)</f>
        <v>9.9082208563571611E-3</v>
      </c>
      <c r="L350">
        <f>_xlfn.STDEV.S('R1'!M350,'R2'!M350,'R3'!M350)</f>
        <v>1.4730368227092581E-2</v>
      </c>
      <c r="M350">
        <f>_xlfn.STDEV.S('R1'!N350,'R2'!N350,'R3'!N350)</f>
        <v>3.1084285718773817E-3</v>
      </c>
      <c r="N350">
        <f>_xlfn.STDEV.S('R1'!O350,'R2'!O350,'R3'!O350)</f>
        <v>7.885242876991435E-3</v>
      </c>
    </row>
    <row r="351" spans="1:14" x14ac:dyDescent="0.25">
      <c r="A351">
        <f>-'R1'!H351</f>
        <v>-16</v>
      </c>
      <c r="B351">
        <f>DEGREES(ATAN(-SIN(RADIANS(('R1'!I351)))/(COS(RADIANS(Sheet1!A351))*COS(RADIANS('R1'!I351)))))</f>
        <v>28.948605633454871</v>
      </c>
      <c r="C351">
        <f>AVERAGE('R1'!J351,'R2'!J351,'R3'!J351)</f>
        <v>1.18</v>
      </c>
      <c r="D351">
        <f>AVERAGE('R1'!K351,'R2'!K351,'R3'!K351)</f>
        <v>11.376319833333334</v>
      </c>
      <c r="E351">
        <f>AVERAGE('R1'!L351,'R2'!L351,'R3'!L351)</f>
        <v>1.5914811441695471</v>
      </c>
      <c r="F351">
        <f>AVERAGE('R1'!M351,'R2'!M351,'R3'!M351)</f>
        <v>1.0062108045977272</v>
      </c>
      <c r="G351">
        <f>AVERAGE('R1'!N351,'R2'!N351,'R3'!N351)</f>
        <v>-0.60666859617312874</v>
      </c>
      <c r="H351">
        <f>AVERAGE('R1'!O351,'R2'!O351,'R3'!O351)</f>
        <v>-0.26915270751093329</v>
      </c>
      <c r="I351">
        <f t="shared" si="9"/>
        <v>2237.3429005555558</v>
      </c>
      <c r="K351">
        <f>_xlfn.STDEV.S('R1'!L351,'R2'!L351,'R3'!L351)</f>
        <v>1.4194953902307806E-2</v>
      </c>
      <c r="L351">
        <f>_xlfn.STDEV.S('R1'!M351,'R2'!M351,'R3'!M351)</f>
        <v>6.9534002544413215E-3</v>
      </c>
      <c r="M351">
        <f>_xlfn.STDEV.S('R1'!N351,'R2'!N351,'R3'!N351)</f>
        <v>1.0960910334807797E-2</v>
      </c>
      <c r="N351">
        <f>_xlfn.STDEV.S('R1'!O351,'R2'!O351,'R3'!O351)</f>
        <v>1.6161242028365649E-2</v>
      </c>
    </row>
    <row r="352" spans="1:14" x14ac:dyDescent="0.25">
      <c r="A352">
        <f>-'R1'!H352</f>
        <v>-16</v>
      </c>
      <c r="B352">
        <f>DEGREES(ATAN(-SIN(RADIANS(('R1'!I352)))/(COS(RADIANS(Sheet1!A352))*COS(RADIANS('R1'!I352)))))</f>
        <v>24.852211192112133</v>
      </c>
      <c r="C352">
        <f>AVERAGE('R1'!J352,'R2'!J352,'R3'!J352)</f>
        <v>1.18</v>
      </c>
      <c r="D352">
        <f>AVERAGE('R1'!K352,'R2'!K352,'R3'!K352)</f>
        <v>11.424238750000001</v>
      </c>
      <c r="E352">
        <f>AVERAGE('R1'!L352,'R2'!L352,'R3'!L352)</f>
        <v>1.3966478466450629</v>
      </c>
      <c r="F352">
        <f>AVERAGE('R1'!M352,'R2'!M352,'R3'!M352)</f>
        <v>0.97437901933872573</v>
      </c>
      <c r="G352">
        <f>AVERAGE('R1'!N352,'R2'!N352,'R3'!N352)</f>
        <v>-0.47727669570394909</v>
      </c>
      <c r="H352">
        <f>AVERAGE('R1'!O352,'R2'!O352,'R3'!O352)</f>
        <v>-9.372354613533064E-2</v>
      </c>
      <c r="I352">
        <f t="shared" si="9"/>
        <v>2246.7669541666669</v>
      </c>
      <c r="K352">
        <f>_xlfn.STDEV.S('R1'!L352,'R2'!L352,'R3'!L352)</f>
        <v>1.0283776023784734E-2</v>
      </c>
      <c r="L352">
        <f>_xlfn.STDEV.S('R1'!M352,'R2'!M352,'R3'!M352)</f>
        <v>4.2103827510332897E-3</v>
      </c>
      <c r="M352">
        <f>_xlfn.STDEV.S('R1'!N352,'R2'!N352,'R3'!N352)</f>
        <v>3.9144607740577786E-3</v>
      </c>
      <c r="N352">
        <f>_xlfn.STDEV.S('R1'!O352,'R2'!O352,'R3'!O352)</f>
        <v>5.6591104803926746E-3</v>
      </c>
    </row>
    <row r="353" spans="1:14" x14ac:dyDescent="0.25">
      <c r="A353">
        <f>-'R1'!H353</f>
        <v>-16</v>
      </c>
      <c r="B353">
        <f>DEGREES(ATAN(-SIN(RADIANS(('R1'!I353)))/(COS(RADIANS(Sheet1!A353))*COS(RADIANS('R1'!I353)))))</f>
        <v>20.738571475352053</v>
      </c>
      <c r="C353">
        <f>AVERAGE('R1'!J353,'R2'!J353,'R3'!J353)</f>
        <v>1.18</v>
      </c>
      <c r="D353">
        <f>AVERAGE('R1'!K353,'R2'!K353,'R3'!K353)</f>
        <v>11.423006749999999</v>
      </c>
      <c r="E353">
        <f>AVERAGE('R1'!L353,'R2'!L353,'R3'!L353)</f>
        <v>1.1887289288963041</v>
      </c>
      <c r="F353">
        <f>AVERAGE('R1'!M353,'R2'!M353,'R3'!M353)</f>
        <v>0.94735013463544859</v>
      </c>
      <c r="G353">
        <f>AVERAGE('R1'!N353,'R2'!N353,'R3'!N353)</f>
        <v>-0.36149071340090239</v>
      </c>
      <c r="H353">
        <f>AVERAGE('R1'!O353,'R2'!O353,'R3'!O353)</f>
        <v>6.8193850630842878E-2</v>
      </c>
      <c r="I353">
        <f t="shared" si="9"/>
        <v>2246.5246608333332</v>
      </c>
      <c r="K353">
        <f>_xlfn.STDEV.S('R1'!L353,'R2'!L353,'R3'!L353)</f>
        <v>3.0544279140161655E-3</v>
      </c>
      <c r="L353">
        <f>_xlfn.STDEV.S('R1'!M353,'R2'!M353,'R3'!M353)</f>
        <v>1.0071348267409765E-2</v>
      </c>
      <c r="M353">
        <f>_xlfn.STDEV.S('R1'!N353,'R2'!N353,'R3'!N353)</f>
        <v>7.4658859852725088E-3</v>
      </c>
      <c r="N353">
        <f>_xlfn.STDEV.S('R1'!O353,'R2'!O353,'R3'!O353)</f>
        <v>1.3165369729371274E-3</v>
      </c>
    </row>
    <row r="354" spans="1:14" x14ac:dyDescent="0.25">
      <c r="A354">
        <f>-'R1'!H354</f>
        <v>-16</v>
      </c>
      <c r="B354">
        <f>DEGREES(ATAN(-SIN(RADIANS(('R1'!I354)))/(COS(RADIANS(Sheet1!A354))*COS(RADIANS('R1'!I354)))))</f>
        <v>16.609898016932938</v>
      </c>
      <c r="C354">
        <f>AVERAGE('R1'!J354,'R2'!J354,'R3'!J354)</f>
        <v>1.18</v>
      </c>
      <c r="D354">
        <f>AVERAGE('R1'!K354,'R2'!K354,'R3'!K354)</f>
        <v>11.464416249999999</v>
      </c>
      <c r="E354">
        <f>AVERAGE('R1'!L354,'R2'!L354,'R3'!L354)</f>
        <v>0.96643722250608344</v>
      </c>
      <c r="F354">
        <f>AVERAGE('R1'!M354,'R2'!M354,'R3'!M354)</f>
        <v>0.958027025603852</v>
      </c>
      <c r="G354">
        <f>AVERAGE('R1'!N354,'R2'!N354,'R3'!N354)</f>
        <v>-0.26790716792454661</v>
      </c>
      <c r="H354">
        <f>AVERAGE('R1'!O354,'R2'!O354,'R3'!O354)</f>
        <v>0.19769683225872817</v>
      </c>
      <c r="I354">
        <f t="shared" si="9"/>
        <v>2254.6685291666668</v>
      </c>
      <c r="K354">
        <f>_xlfn.STDEV.S('R1'!L354,'R2'!L354,'R3'!L354)</f>
        <v>8.2385499199084129E-3</v>
      </c>
      <c r="L354">
        <f>_xlfn.STDEV.S('R1'!M354,'R2'!M354,'R3'!M354)</f>
        <v>4.842311057627554E-3</v>
      </c>
      <c r="M354">
        <f>_xlfn.STDEV.S('R1'!N354,'R2'!N354,'R3'!N354)</f>
        <v>1.0502854591008548E-2</v>
      </c>
      <c r="N354">
        <f>_xlfn.STDEV.S('R1'!O354,'R2'!O354,'R3'!O354)</f>
        <v>1.9155847119390289E-3</v>
      </c>
    </row>
    <row r="355" spans="1:14" x14ac:dyDescent="0.25">
      <c r="A355">
        <f>-'R1'!H355</f>
        <v>-16</v>
      </c>
      <c r="B355">
        <f>DEGREES(ATAN(-SIN(RADIANS(('R1'!I355)))/(COS(RADIANS(Sheet1!A355))*COS(RADIANS('R1'!I355)))))</f>
        <v>12.468747879350856</v>
      </c>
      <c r="C355">
        <f>AVERAGE('R1'!J355,'R2'!J355,'R3'!J355)</f>
        <v>1.18</v>
      </c>
      <c r="D355">
        <f>AVERAGE('R1'!K355,'R2'!K355,'R3'!K355)</f>
        <v>11.495158750000002</v>
      </c>
      <c r="E355">
        <f>AVERAGE('R1'!L355,'R2'!L355,'R3'!L355)</f>
        <v>0.74235401649246413</v>
      </c>
      <c r="F355">
        <f>AVERAGE('R1'!M355,'R2'!M355,'R3'!M355)</f>
        <v>0.99455195598400292</v>
      </c>
      <c r="G355">
        <f>AVERAGE('R1'!N355,'R2'!N355,'R3'!N355)</f>
        <v>-0.20067644754991143</v>
      </c>
      <c r="H355">
        <f>AVERAGE('R1'!O355,'R2'!O355,'R3'!O355)</f>
        <v>0.29740781518732434</v>
      </c>
      <c r="I355">
        <f t="shared" si="9"/>
        <v>2260.7145541666669</v>
      </c>
      <c r="K355">
        <f>_xlfn.STDEV.S('R1'!L355,'R2'!L355,'R3'!L355)</f>
        <v>7.2270526654843979E-3</v>
      </c>
      <c r="L355">
        <f>_xlfn.STDEV.S('R1'!M355,'R2'!M355,'R3'!M355)</f>
        <v>6.7550657098191464E-3</v>
      </c>
      <c r="M355">
        <f>_xlfn.STDEV.S('R1'!N355,'R2'!N355,'R3'!N355)</f>
        <v>9.2996697873026866E-3</v>
      </c>
      <c r="N355">
        <f>_xlfn.STDEV.S('R1'!O355,'R2'!O355,'R3'!O355)</f>
        <v>1.6412278906105056E-3</v>
      </c>
    </row>
    <row r="356" spans="1:14" x14ac:dyDescent="0.25">
      <c r="A356">
        <f>-'R1'!H356</f>
        <v>-16</v>
      </c>
      <c r="B356">
        <f>DEGREES(ATAN(-SIN(RADIANS(('R1'!I356)))/(COS(RADIANS(Sheet1!A356))*COS(RADIANS('R1'!I356)))))</f>
        <v>8.3179701536192301</v>
      </c>
      <c r="C356">
        <f>AVERAGE('R1'!J356,'R2'!J356,'R3'!J356)</f>
        <v>1.18</v>
      </c>
      <c r="D356">
        <f>AVERAGE('R1'!K356,'R2'!K356,'R3'!K356)</f>
        <v>11.518015583333332</v>
      </c>
      <c r="E356">
        <f>AVERAGE('R1'!L356,'R2'!L356,'R3'!L356)</f>
        <v>0.50538198459281913</v>
      </c>
      <c r="F356">
        <f>AVERAGE('R1'!M356,'R2'!M356,'R3'!M356)</f>
        <v>1.0523255181595554</v>
      </c>
      <c r="G356">
        <f>AVERAGE('R1'!N356,'R2'!N356,'R3'!N356)</f>
        <v>-0.16395796014882491</v>
      </c>
      <c r="H356">
        <f>AVERAGE('R1'!O356,'R2'!O356,'R3'!O356)</f>
        <v>0.39088786031761957</v>
      </c>
      <c r="I356">
        <f t="shared" si="9"/>
        <v>2265.2097313888885</v>
      </c>
      <c r="K356">
        <f>_xlfn.STDEV.S('R1'!L356,'R2'!L356,'R3'!L356)</f>
        <v>5.5215080977964884E-3</v>
      </c>
      <c r="L356">
        <f>_xlfn.STDEV.S('R1'!M356,'R2'!M356,'R3'!M356)</f>
        <v>1.4441713954910354E-2</v>
      </c>
      <c r="M356">
        <f>_xlfn.STDEV.S('R1'!N356,'R2'!N356,'R3'!N356)</f>
        <v>1.126824251951068E-2</v>
      </c>
      <c r="N356">
        <f>_xlfn.STDEV.S('R1'!O356,'R2'!O356,'R3'!O356)</f>
        <v>5.0813099084679215E-3</v>
      </c>
    </row>
    <row r="357" spans="1:14" x14ac:dyDescent="0.25">
      <c r="A357">
        <f>-'R1'!H357</f>
        <v>-16</v>
      </c>
      <c r="B357">
        <f>DEGREES(ATAN(-SIN(RADIANS(('R1'!I357)))/(COS(RADIANS(Sheet1!A357))*COS(RADIANS('R1'!I357)))))</f>
        <v>4.1606425592731879</v>
      </c>
      <c r="C357">
        <f>AVERAGE('R1'!J357,'R2'!J357,'R3'!J357)</f>
        <v>1.18</v>
      </c>
      <c r="D357">
        <f>AVERAGE('R1'!K357,'R2'!K357,'R3'!K357)</f>
        <v>11.563679166666667</v>
      </c>
      <c r="E357">
        <f>AVERAGE('R1'!L357,'R2'!L357,'R3'!L357)</f>
        <v>0.25894946164128929</v>
      </c>
      <c r="F357">
        <f>AVERAGE('R1'!M357,'R2'!M357,'R3'!M357)</f>
        <v>1.107134265088713</v>
      </c>
      <c r="G357">
        <f>AVERAGE('R1'!N357,'R2'!N357,'R3'!N357)</f>
        <v>-0.13675281438797413</v>
      </c>
      <c r="H357">
        <f>AVERAGE('R1'!O357,'R2'!O357,'R3'!O357)</f>
        <v>0.47816687902331251</v>
      </c>
      <c r="I357">
        <f t="shared" si="9"/>
        <v>2274.1902361111111</v>
      </c>
      <c r="K357">
        <f>_xlfn.STDEV.S('R1'!L357,'R2'!L357,'R3'!L357)</f>
        <v>1.2138482976905298E-3</v>
      </c>
      <c r="L357">
        <f>_xlfn.STDEV.S('R1'!M357,'R2'!M357,'R3'!M357)</f>
        <v>2.0067967914276671E-2</v>
      </c>
      <c r="M357">
        <f>_xlfn.STDEV.S('R1'!N357,'R2'!N357,'R3'!N357)</f>
        <v>1.7823748977117648E-2</v>
      </c>
      <c r="N357">
        <f>_xlfn.STDEV.S('R1'!O357,'R2'!O357,'R3'!O357)</f>
        <v>5.9517309864038836E-3</v>
      </c>
    </row>
    <row r="358" spans="1:14" x14ac:dyDescent="0.25">
      <c r="A358">
        <f>-'R1'!H358</f>
        <v>-16</v>
      </c>
      <c r="B358">
        <f>DEGREES(ATAN(-SIN(RADIANS(('R1'!I358)))/(COS(RADIANS(Sheet1!A358))*COS(RADIANS('R1'!I358)))))</f>
        <v>0</v>
      </c>
      <c r="C358">
        <f>AVERAGE('R1'!J358,'R2'!J358,'R3'!J358)</f>
        <v>1.1816666666666666</v>
      </c>
      <c r="D358">
        <f>AVERAGE('R1'!K358,'R2'!K358,'R3'!K358)</f>
        <v>11.567321083333335</v>
      </c>
      <c r="E358">
        <f>AVERAGE('R1'!L358,'R2'!L358,'R3'!L358)</f>
        <v>-1.7964082911586587E-2</v>
      </c>
      <c r="F358">
        <f>AVERAGE('R1'!M358,'R2'!M358,'R3'!M358)</f>
        <v>1.1744693169442373</v>
      </c>
      <c r="G358">
        <f>AVERAGE('R1'!N358,'R2'!N358,'R3'!N358)</f>
        <v>-0.14264695386709958</v>
      </c>
      <c r="H358">
        <f>AVERAGE('R1'!O358,'R2'!O358,'R3'!O358)</f>
        <v>0.56333507300043206</v>
      </c>
      <c r="I358">
        <f t="shared" si="9"/>
        <v>2278.1196244675934</v>
      </c>
      <c r="K358">
        <f>_xlfn.STDEV.S('R1'!L358,'R2'!L358,'R3'!L358)</f>
        <v>8.7619307187823854E-3</v>
      </c>
      <c r="L358">
        <f>_xlfn.STDEV.S('R1'!M358,'R2'!M358,'R3'!M358)</f>
        <v>1.3811420398514103E-2</v>
      </c>
      <c r="M358">
        <f>_xlfn.STDEV.S('R1'!N358,'R2'!N358,'R3'!N358)</f>
        <v>1.0856210452015151E-2</v>
      </c>
      <c r="N358">
        <f>_xlfn.STDEV.S('R1'!O358,'R2'!O358,'R3'!O358)</f>
        <v>2.4471123815417999E-3</v>
      </c>
    </row>
    <row r="359" spans="1:14" x14ac:dyDescent="0.25">
      <c r="A359">
        <f>-'R1'!H359</f>
        <v>-16</v>
      </c>
      <c r="B359">
        <f>DEGREES(ATAN(-SIN(RADIANS(('R1'!I359)))/(COS(RADIANS(Sheet1!A359))*COS(RADIANS('R1'!I359)))))</f>
        <v>-4.1606425592731879</v>
      </c>
      <c r="C359">
        <f>AVERAGE('R1'!J359,'R2'!J359,'R3'!J359)</f>
        <v>1.1833333333333333</v>
      </c>
      <c r="D359">
        <f>AVERAGE('R1'!K359,'R2'!K359,'R3'!K359)</f>
        <v>11.586968333333331</v>
      </c>
      <c r="E359">
        <f>AVERAGE('R1'!L359,'R2'!L359,'R3'!L359)</f>
        <v>-0.29310577523075582</v>
      </c>
      <c r="F359">
        <f>AVERAGE('R1'!M359,'R2'!M359,'R3'!M359)</f>
        <v>1.0943284603841861</v>
      </c>
      <c r="G359">
        <f>AVERAGE('R1'!N359,'R2'!N359,'R3'!N359)</f>
        <v>-0.14888125262675375</v>
      </c>
      <c r="H359">
        <f>AVERAGE('R1'!O359,'R2'!O359,'R3'!O359)</f>
        <v>0.45317771787941336</v>
      </c>
      <c r="I359">
        <f t="shared" si="9"/>
        <v>2285.2076435185177</v>
      </c>
      <c r="K359">
        <f>_xlfn.STDEV.S('R1'!L359,'R2'!L359,'R3'!L359)</f>
        <v>8.7642853035003934E-3</v>
      </c>
      <c r="L359">
        <f>_xlfn.STDEV.S('R1'!M359,'R2'!M359,'R3'!M359)</f>
        <v>2.1719437220501975E-2</v>
      </c>
      <c r="M359">
        <f>_xlfn.STDEV.S('R1'!N359,'R2'!N359,'R3'!N359)</f>
        <v>1.4228793832728032E-2</v>
      </c>
      <c r="N359">
        <f>_xlfn.STDEV.S('R1'!O359,'R2'!O359,'R3'!O359)</f>
        <v>6.3613181417966156E-3</v>
      </c>
    </row>
    <row r="360" spans="1:14" x14ac:dyDescent="0.25">
      <c r="A360">
        <f>-'R1'!H360</f>
        <v>-16</v>
      </c>
      <c r="B360">
        <f>DEGREES(ATAN(-SIN(RADIANS(('R1'!I360)))/(COS(RADIANS(Sheet1!A360))*COS(RADIANS('R1'!I360)))))</f>
        <v>-8.3179701536192301</v>
      </c>
      <c r="C360">
        <f>AVERAGE('R1'!J360,'R2'!J360,'R3'!J360)</f>
        <v>1.18</v>
      </c>
      <c r="D360">
        <f>AVERAGE('R1'!K360,'R2'!K360,'R3'!K360)</f>
        <v>11.602077</v>
      </c>
      <c r="E360">
        <f>AVERAGE('R1'!L360,'R2'!L360,'R3'!L360)</f>
        <v>-0.54253155476757309</v>
      </c>
      <c r="F360">
        <f>AVERAGE('R1'!M360,'R2'!M360,'R3'!M360)</f>
        <v>1.0378459239915572</v>
      </c>
      <c r="G360">
        <f>AVERAGE('R1'!N360,'R2'!N360,'R3'!N360)</f>
        <v>-0.17934065306876615</v>
      </c>
      <c r="H360">
        <f>AVERAGE('R1'!O360,'R2'!O360,'R3'!O360)</f>
        <v>0.34855698075537928</v>
      </c>
      <c r="I360">
        <f t="shared" si="9"/>
        <v>2281.7418099999995</v>
      </c>
      <c r="K360">
        <f>_xlfn.STDEV.S('R1'!L360,'R2'!L360,'R3'!L360)</f>
        <v>8.0293783432429048E-3</v>
      </c>
      <c r="L360">
        <f>_xlfn.STDEV.S('R1'!M360,'R2'!M360,'R3'!M360)</f>
        <v>1.9597647671798766E-3</v>
      </c>
      <c r="M360">
        <f>_xlfn.STDEV.S('R1'!N360,'R2'!N360,'R3'!N360)</f>
        <v>3.501734226455301E-3</v>
      </c>
      <c r="N360">
        <f>_xlfn.STDEV.S('R1'!O360,'R2'!O360,'R3'!O360)</f>
        <v>5.4467157036630501E-3</v>
      </c>
    </row>
    <row r="361" spans="1:14" x14ac:dyDescent="0.25">
      <c r="A361">
        <f>-'R1'!H361</f>
        <v>-16</v>
      </c>
      <c r="B361">
        <f>DEGREES(ATAN(-SIN(RADIANS(('R1'!I361)))/(COS(RADIANS(Sheet1!A361))*COS(RADIANS('R1'!I361)))))</f>
        <v>-12.468747879350856</v>
      </c>
      <c r="C361">
        <f>AVERAGE('R1'!J361,'R2'!J361,'R3'!J361)</f>
        <v>1.18</v>
      </c>
      <c r="D361">
        <f>AVERAGE('R1'!K361,'R2'!K361,'R3'!K361)</f>
        <v>11.446028750000002</v>
      </c>
      <c r="E361">
        <f>AVERAGE('R1'!L361,'R2'!L361,'R3'!L361)</f>
        <v>-0.78236752621627925</v>
      </c>
      <c r="F361">
        <f>AVERAGE('R1'!M361,'R2'!M361,'R3'!M361)</f>
        <v>0.99178652393396671</v>
      </c>
      <c r="G361">
        <f>AVERAGE('R1'!N361,'R2'!N361,'R3'!N361)</f>
        <v>-0.22344826644628246</v>
      </c>
      <c r="H361">
        <f>AVERAGE('R1'!O361,'R2'!O361,'R3'!O361)</f>
        <v>0.25265308596595554</v>
      </c>
      <c r="I361">
        <f t="shared" si="9"/>
        <v>2251.0523208333339</v>
      </c>
      <c r="K361">
        <f>_xlfn.STDEV.S('R1'!L361,'R2'!L361,'R3'!L361)</f>
        <v>1.3793638939582728E-3</v>
      </c>
      <c r="L361">
        <f>_xlfn.STDEV.S('R1'!M361,'R2'!M361,'R3'!M361)</f>
        <v>7.1296431013925139E-3</v>
      </c>
      <c r="M361">
        <f>_xlfn.STDEV.S('R1'!N361,'R2'!N361,'R3'!N361)</f>
        <v>1.2569620585655012E-2</v>
      </c>
      <c r="N361">
        <f>_xlfn.STDEV.S('R1'!O361,'R2'!O361,'R3'!O361)</f>
        <v>2.6300302505663921E-3</v>
      </c>
    </row>
    <row r="362" spans="1:14" x14ac:dyDescent="0.25">
      <c r="A362">
        <f>-'R1'!H362</f>
        <v>-16</v>
      </c>
      <c r="B362">
        <f>DEGREES(ATAN(-SIN(RADIANS(('R1'!I362)))/(COS(RADIANS(Sheet1!A362))*COS(RADIANS('R1'!I362)))))</f>
        <v>-16.609898016932938</v>
      </c>
      <c r="C362">
        <f>AVERAGE('R1'!J362,'R2'!J362,'R3'!J362)</f>
        <v>1.18</v>
      </c>
      <c r="D362">
        <f>AVERAGE('R1'!K362,'R2'!K362,'R3'!K362)</f>
        <v>11.348948166666666</v>
      </c>
      <c r="E362">
        <f>AVERAGE('R1'!L362,'R2'!L362,'R3'!L362)</f>
        <v>-1.0311385826499995</v>
      </c>
      <c r="F362">
        <f>AVERAGE('R1'!M362,'R2'!M362,'R3'!M362)</f>
        <v>0.96005989376737633</v>
      </c>
      <c r="G362">
        <f>AVERAGE('R1'!N362,'R2'!N362,'R3'!N362)</f>
        <v>-0.30805017950162866</v>
      </c>
      <c r="H362">
        <f>AVERAGE('R1'!O362,'R2'!O362,'R3'!O362)</f>
        <v>0.15214252546304724</v>
      </c>
      <c r="I362">
        <f t="shared" si="9"/>
        <v>2231.9598061111114</v>
      </c>
      <c r="K362">
        <f>_xlfn.STDEV.S('R1'!L362,'R2'!L362,'R3'!L362)</f>
        <v>1.0275908321935081E-2</v>
      </c>
      <c r="L362">
        <f>_xlfn.STDEV.S('R1'!M362,'R2'!M362,'R3'!M362)</f>
        <v>6.5603364055576308E-3</v>
      </c>
      <c r="M362">
        <f>_xlfn.STDEV.S('R1'!N362,'R2'!N362,'R3'!N362)</f>
        <v>8.5681760489520788E-3</v>
      </c>
      <c r="N362">
        <f>_xlfn.STDEV.S('R1'!O362,'R2'!O362,'R3'!O362)</f>
        <v>5.6991966978809129E-3</v>
      </c>
    </row>
    <row r="363" spans="1:14" x14ac:dyDescent="0.25">
      <c r="A363">
        <f>-'R1'!H363</f>
        <v>-16</v>
      </c>
      <c r="B363">
        <f>DEGREES(ATAN(-SIN(RADIANS(('R1'!I363)))/(COS(RADIANS(Sheet1!A363))*COS(RADIANS('R1'!I363)))))</f>
        <v>-20.738571475352053</v>
      </c>
      <c r="C363">
        <f>AVERAGE('R1'!J363,'R2'!J363,'R3'!J363)</f>
        <v>1.18</v>
      </c>
      <c r="D363">
        <f>AVERAGE('R1'!K363,'R2'!K363,'R3'!K363)</f>
        <v>11.251871833333333</v>
      </c>
      <c r="E363">
        <f>AVERAGE('R1'!L363,'R2'!L363,'R3'!L363)</f>
        <v>-1.2577151156535853</v>
      </c>
      <c r="F363">
        <f>AVERAGE('R1'!M363,'R2'!M363,'R3'!M363)</f>
        <v>0.9806839605373886</v>
      </c>
      <c r="G363">
        <f>AVERAGE('R1'!N363,'R2'!N363,'R3'!N363)</f>
        <v>-0.41814841800645847</v>
      </c>
      <c r="H363">
        <f>AVERAGE('R1'!O363,'R2'!O363,'R3'!O363)</f>
        <v>1.6198295692590261E-2</v>
      </c>
      <c r="I363">
        <f t="shared" si="9"/>
        <v>2212.868127222222</v>
      </c>
      <c r="K363">
        <f>_xlfn.STDEV.S('R1'!L363,'R2'!L363,'R3'!L363)</f>
        <v>3.6981249114122197E-3</v>
      </c>
      <c r="L363">
        <f>_xlfn.STDEV.S('R1'!M363,'R2'!M363,'R3'!M363)</f>
        <v>2.338453928570957E-3</v>
      </c>
      <c r="M363">
        <f>_xlfn.STDEV.S('R1'!N363,'R2'!N363,'R3'!N363)</f>
        <v>4.4303834634896525E-3</v>
      </c>
      <c r="N363">
        <f>_xlfn.STDEV.S('R1'!O363,'R2'!O363,'R3'!O363)</f>
        <v>4.7376959633431553E-3</v>
      </c>
    </row>
    <row r="364" spans="1:14" x14ac:dyDescent="0.25">
      <c r="A364">
        <f>-'R1'!H364</f>
        <v>-16</v>
      </c>
      <c r="B364">
        <f>DEGREES(ATAN(-SIN(RADIANS(('R1'!I364)))/(COS(RADIANS(Sheet1!A364))*COS(RADIANS('R1'!I364)))))</f>
        <v>-24.852211192112133</v>
      </c>
      <c r="C364">
        <f>AVERAGE('R1'!J364,'R2'!J364,'R3'!J364)</f>
        <v>1.18</v>
      </c>
      <c r="D364">
        <f>AVERAGE('R1'!K364,'R2'!K364,'R3'!K364)</f>
        <v>11.156058916666666</v>
      </c>
      <c r="E364">
        <f>AVERAGE('R1'!L364,'R2'!L364,'R3'!L364)</f>
        <v>-1.4794121892752135</v>
      </c>
      <c r="F364">
        <f>AVERAGE('R1'!M364,'R2'!M364,'R3'!M364)</f>
        <v>1.0549531968991985</v>
      </c>
      <c r="G364">
        <f>AVERAGE('R1'!N364,'R2'!N364,'R3'!N364)</f>
        <v>-0.57920065121759645</v>
      </c>
      <c r="H364">
        <f>AVERAGE('R1'!O364,'R2'!O364,'R3'!O364)</f>
        <v>-0.16384564350417744</v>
      </c>
      <c r="I364">
        <f t="shared" si="9"/>
        <v>2194.0249202777773</v>
      </c>
      <c r="K364">
        <f>_xlfn.STDEV.S('R1'!L364,'R2'!L364,'R3'!L364)</f>
        <v>1.6437306583499595E-2</v>
      </c>
      <c r="L364">
        <f>_xlfn.STDEV.S('R1'!M364,'R2'!M364,'R3'!M364)</f>
        <v>7.6373925076577637E-3</v>
      </c>
      <c r="M364">
        <f>_xlfn.STDEV.S('R1'!N364,'R2'!N364,'R3'!N364)</f>
        <v>1.2162461662725931E-2</v>
      </c>
      <c r="N364">
        <f>_xlfn.STDEV.S('R1'!O364,'R2'!O364,'R3'!O364)</f>
        <v>7.4848891462411804E-3</v>
      </c>
    </row>
    <row r="365" spans="1:14" x14ac:dyDescent="0.25">
      <c r="A365">
        <f>-'R1'!H365</f>
        <v>-16</v>
      </c>
      <c r="B365">
        <f>DEGREES(ATAN(-SIN(RADIANS(('R1'!I365)))/(COS(RADIANS(Sheet1!A365))*COS(RADIANS('R1'!I365)))))</f>
        <v>-28.948605633454871</v>
      </c>
      <c r="C365">
        <f>AVERAGE('R1'!J365,'R2'!J365,'R3'!J365)</f>
        <v>1.18</v>
      </c>
      <c r="D365">
        <f>AVERAGE('R1'!K365,'R2'!K365,'R3'!K365)</f>
        <v>11.227318333333335</v>
      </c>
      <c r="E365">
        <f>AVERAGE('R1'!L365,'R2'!L365,'R3'!L365)</f>
        <v>-1.7037051678381321</v>
      </c>
      <c r="F365">
        <f>AVERAGE('R1'!M365,'R2'!M365,'R3'!M365)</f>
        <v>1.1676684545567653</v>
      </c>
      <c r="G365">
        <f>AVERAGE('R1'!N365,'R2'!N365,'R3'!N365)</f>
        <v>-0.76681762358146521</v>
      </c>
      <c r="H365">
        <f>AVERAGE('R1'!O365,'R2'!O365,'R3'!O365)</f>
        <v>-0.35370927560298887</v>
      </c>
      <c r="I365">
        <f t="shared" si="9"/>
        <v>2208.0392722222223</v>
      </c>
      <c r="K365">
        <f>_xlfn.STDEV.S('R1'!L365,'R2'!L365,'R3'!L365)</f>
        <v>8.511470345967484E-3</v>
      </c>
      <c r="L365">
        <f>_xlfn.STDEV.S('R1'!M365,'R2'!M365,'R3'!M365)</f>
        <v>4.9626688308014155E-3</v>
      </c>
      <c r="M365">
        <f>_xlfn.STDEV.S('R1'!N365,'R2'!N365,'R3'!N365)</f>
        <v>1.2199706395802781E-2</v>
      </c>
      <c r="N365">
        <f>_xlfn.STDEV.S('R1'!O365,'R2'!O365,'R3'!O365)</f>
        <v>2.8977719724782962E-3</v>
      </c>
    </row>
    <row r="366" spans="1:14" x14ac:dyDescent="0.25">
      <c r="A366">
        <f>-'R1'!H366</f>
        <v>-16</v>
      </c>
      <c r="B366">
        <f>DEGREES(ATAN(-SIN(RADIANS(('R1'!I366)))/(COS(RADIANS(Sheet1!A366))*COS(RADIANS('R1'!I366)))))</f>
        <v>-33.025931133441695</v>
      </c>
      <c r="C366">
        <f>AVERAGE('R1'!J366,'R2'!J366,'R3'!J366)</f>
        <v>1.18</v>
      </c>
      <c r="D366">
        <f>AVERAGE('R1'!K366,'R2'!K366,'R3'!K366)</f>
        <v>11.282434500000001</v>
      </c>
      <c r="E366">
        <f>AVERAGE('R1'!L366,'R2'!L366,'R3'!L366)</f>
        <v>-1.9606307170018786</v>
      </c>
      <c r="F366">
        <f>AVERAGE('R1'!M366,'R2'!M366,'R3'!M366)</f>
        <v>1.310438979885802</v>
      </c>
      <c r="G366">
        <f>AVERAGE('R1'!N366,'R2'!N366,'R3'!N366)</f>
        <v>-1.0244963837863121</v>
      </c>
      <c r="H366">
        <f>AVERAGE('R1'!O366,'R2'!O366,'R3'!O366)</f>
        <v>-0.56677380428642943</v>
      </c>
      <c r="I366">
        <f t="shared" si="9"/>
        <v>2218.8787850000003</v>
      </c>
      <c r="K366">
        <f>_xlfn.STDEV.S('R1'!L366,'R2'!L366,'R3'!L366)</f>
        <v>1.7994008100629632E-2</v>
      </c>
      <c r="L366">
        <f>_xlfn.STDEV.S('R1'!M366,'R2'!M366,'R3'!M366)</f>
        <v>1.7804474290066902E-2</v>
      </c>
      <c r="M366">
        <f>_xlfn.STDEV.S('R1'!N366,'R2'!N366,'R3'!N366)</f>
        <v>8.1019627250012577E-3</v>
      </c>
      <c r="N366">
        <f>_xlfn.STDEV.S('R1'!O366,'R2'!O366,'R3'!O366)</f>
        <v>4.693560873490309E-3</v>
      </c>
    </row>
    <row r="367" spans="1:14" x14ac:dyDescent="0.25">
      <c r="A367">
        <f>-'R1'!H367</f>
        <v>-16</v>
      </c>
      <c r="B367">
        <f>DEGREES(ATAN(-SIN(RADIANS(('R1'!I367)))/(COS(RADIANS(Sheet1!A367))*COS(RADIANS('R1'!I367)))))</f>
        <v>-37.082782431142171</v>
      </c>
      <c r="C367">
        <f>AVERAGE('R1'!J367,'R2'!J367,'R3'!J367)</f>
        <v>1.18</v>
      </c>
      <c r="D367">
        <f>AVERAGE('R1'!K367,'R2'!K367,'R3'!K367)</f>
        <v>11.323282166666667</v>
      </c>
      <c r="E367">
        <f>AVERAGE('R1'!L367,'R2'!L367,'R3'!L367)</f>
        <v>-2.2871389547416983</v>
      </c>
      <c r="F367">
        <f>AVERAGE('R1'!M367,'R2'!M367,'R3'!M367)</f>
        <v>1.5019682097585187</v>
      </c>
      <c r="G367">
        <f>AVERAGE('R1'!N367,'R2'!N367,'R3'!N367)</f>
        <v>-1.3711527070892744</v>
      </c>
      <c r="H367">
        <f>AVERAGE('R1'!O367,'R2'!O367,'R3'!O367)</f>
        <v>-0.82513742689377512</v>
      </c>
      <c r="I367">
        <f t="shared" si="9"/>
        <v>2226.9121594444446</v>
      </c>
      <c r="K367">
        <f>_xlfn.STDEV.S('R1'!L367,'R2'!L367,'R3'!L367)</f>
        <v>2.3512576639011674E-2</v>
      </c>
      <c r="L367">
        <f>_xlfn.STDEV.S('R1'!M367,'R2'!M367,'R3'!M367)</f>
        <v>5.9827816553914758E-3</v>
      </c>
      <c r="M367">
        <f>_xlfn.STDEV.S('R1'!N367,'R2'!N367,'R3'!N367)</f>
        <v>2.2653083048969437E-2</v>
      </c>
      <c r="N367">
        <f>_xlfn.STDEV.S('R1'!O367,'R2'!O367,'R3'!O367)</f>
        <v>6.3799034041210978E-3</v>
      </c>
    </row>
    <row r="368" spans="1:14" x14ac:dyDescent="0.25">
      <c r="A368">
        <f>-'R1'!H368</f>
        <v>-16</v>
      </c>
      <c r="B368">
        <f>DEGREES(ATAN(-SIN(RADIANS(('R1'!I368)))/(COS(RADIANS(Sheet1!A368))*COS(RADIANS('R1'!I368)))))</f>
        <v>-41.118191358294368</v>
      </c>
      <c r="C368">
        <f>AVERAGE('R1'!J368,'R2'!J368,'R3'!J368)</f>
        <v>1.18</v>
      </c>
      <c r="D368">
        <f>AVERAGE('R1'!K368,'R2'!K368,'R3'!K368)</f>
        <v>11.387312250000001</v>
      </c>
      <c r="E368">
        <f>AVERAGE('R1'!L368,'R2'!L368,'R3'!L368)</f>
        <v>-2.7282852974178748</v>
      </c>
      <c r="F368">
        <f>AVERAGE('R1'!M368,'R2'!M368,'R3'!M368)</f>
        <v>1.7510085564540587</v>
      </c>
      <c r="G368">
        <f>AVERAGE('R1'!N368,'R2'!N368,'R3'!N368)</f>
        <v>-1.8424032509294117</v>
      </c>
      <c r="H368">
        <f>AVERAGE('R1'!O368,'R2'!O368,'R3'!O368)</f>
        <v>-1.1420159120986133</v>
      </c>
      <c r="I368">
        <f t="shared" si="9"/>
        <v>2239.5047425000002</v>
      </c>
      <c r="K368">
        <f>_xlfn.STDEV.S('R1'!L368,'R2'!L368,'R3'!L368)</f>
        <v>4.1196841242765889E-2</v>
      </c>
      <c r="L368">
        <f>_xlfn.STDEV.S('R1'!M368,'R2'!M368,'R3'!M368)</f>
        <v>7.8698394416910344E-3</v>
      </c>
      <c r="M368">
        <f>_xlfn.STDEV.S('R1'!N368,'R2'!N368,'R3'!N368)</f>
        <v>3.8399411603354111E-2</v>
      </c>
      <c r="N368">
        <f>_xlfn.STDEV.S('R1'!O368,'R2'!O368,'R3'!O368)</f>
        <v>1.7706492045954082E-2</v>
      </c>
    </row>
    <row r="369" spans="1:14" x14ac:dyDescent="0.25">
      <c r="A369">
        <f>-'R1'!H369</f>
        <v>-16</v>
      </c>
      <c r="B369">
        <f>DEGREES(ATAN(-SIN(RADIANS(('R1'!I369)))/(COS(RADIANS(Sheet1!A369))*COS(RADIANS('R1'!I369)))))</f>
        <v>-45.131634150601585</v>
      </c>
      <c r="C369">
        <f>AVERAGE('R1'!J369,'R2'!J369,'R3'!J369)</f>
        <v>1.18</v>
      </c>
      <c r="D369">
        <f>AVERAGE('R1'!K369,'R2'!K369,'R3'!K369)</f>
        <v>11.4075015</v>
      </c>
      <c r="E369">
        <f>AVERAGE('R1'!L369,'R2'!L369,'R3'!L369)</f>
        <v>-3.3183885701907894</v>
      </c>
      <c r="F369">
        <f>AVERAGE('R1'!M369,'R2'!M369,'R3'!M369)</f>
        <v>2.1059500353691694</v>
      </c>
      <c r="G369">
        <f>AVERAGE('R1'!N369,'R2'!N369,'R3'!N369)</f>
        <v>-2.5183976988853654</v>
      </c>
      <c r="H369">
        <f>AVERAGE('R1'!O369,'R2'!O369,'R3'!O369)</f>
        <v>-1.58009204998916</v>
      </c>
      <c r="I369">
        <f t="shared" si="9"/>
        <v>2243.4752950000002</v>
      </c>
      <c r="K369">
        <f>_xlfn.STDEV.S('R1'!L369,'R2'!L369,'R3'!L369)</f>
        <v>4.9600208670478804E-2</v>
      </c>
      <c r="L369">
        <f>_xlfn.STDEV.S('R1'!M369,'R2'!M369,'R3'!M369)</f>
        <v>9.0822012863219347E-3</v>
      </c>
      <c r="M369">
        <f>_xlfn.STDEV.S('R1'!N369,'R2'!N369,'R3'!N369)</f>
        <v>4.6015919245496653E-2</v>
      </c>
      <c r="N369">
        <f>_xlfn.STDEV.S('R1'!O369,'R2'!O369,'R3'!O369)</f>
        <v>2.0398073170697664E-2</v>
      </c>
    </row>
    <row r="370" spans="1:14" x14ac:dyDescent="0.25">
      <c r="A370">
        <f>-'R1'!H370</f>
        <v>-20</v>
      </c>
      <c r="B370">
        <f>DEGREES(ATAN(-SIN(RADIANS(('R1'!I370)))/(COS(RADIANS(Sheet1!A370))*COS(RADIANS('R1'!I370)))))</f>
        <v>45.781668962964282</v>
      </c>
      <c r="C370">
        <f>AVERAGE('R1'!J370,'R2'!J370,'R3'!J370)</f>
        <v>1.18</v>
      </c>
      <c r="D370">
        <f>AVERAGE('R1'!K370,'R2'!K370,'R3'!K370)</f>
        <v>11.465245000000001</v>
      </c>
      <c r="E370">
        <f>AVERAGE('R1'!L370,'R2'!L370,'R3'!L370)</f>
        <v>2.4456817723399644</v>
      </c>
      <c r="F370">
        <f>AVERAGE('R1'!M370,'R2'!M370,'R3'!M370)</f>
        <v>1.6006796032073929</v>
      </c>
      <c r="G370">
        <f>AVERAGE('R1'!N370,'R2'!N370,'R3'!N370)</f>
        <v>-1.5559779608443784</v>
      </c>
      <c r="H370">
        <f>AVERAGE('R1'!O370,'R2'!O370,'R3'!O370)</f>
        <v>-1.1981973884861021</v>
      </c>
      <c r="I370">
        <f t="shared" si="9"/>
        <v>2254.8315166666671</v>
      </c>
      <c r="K370">
        <f>_xlfn.STDEV.S('R1'!L370,'R2'!L370,'R3'!L370)</f>
        <v>2.3616849752501633E-2</v>
      </c>
      <c r="L370">
        <f>_xlfn.STDEV.S('R1'!M370,'R2'!M370,'R3'!M370)</f>
        <v>7.2550235271594266E-4</v>
      </c>
      <c r="M370">
        <f>_xlfn.STDEV.S('R1'!N370,'R2'!N370,'R3'!N370)</f>
        <v>1.9058003305531469E-2</v>
      </c>
      <c r="N370">
        <f>_xlfn.STDEV.S('R1'!O370,'R2'!O370,'R3'!O370)</f>
        <v>6.7028064908167574E-3</v>
      </c>
    </row>
    <row r="371" spans="1:14" x14ac:dyDescent="0.25">
      <c r="A371">
        <f>-'R1'!H371</f>
        <v>-20</v>
      </c>
      <c r="B371">
        <f>DEGREES(ATAN(-SIN(RADIANS(('R1'!I371)))/(COS(RADIANS(Sheet1!A371))*COS(RADIANS('R1'!I371)))))</f>
        <v>41.763297417742614</v>
      </c>
      <c r="C371">
        <f>AVERAGE('R1'!J371,'R2'!J371,'R3'!J371)</f>
        <v>1.1808333333333332</v>
      </c>
      <c r="D371">
        <f>AVERAGE('R1'!K371,'R2'!K371,'R3'!K371)</f>
        <v>11.501062833333334</v>
      </c>
      <c r="E371">
        <f>AVERAGE('R1'!L371,'R2'!L371,'R3'!L371)</f>
        <v>2.1725573745723632</v>
      </c>
      <c r="F371">
        <f>AVERAGE('R1'!M371,'R2'!M371,'R3'!M371)</f>
        <v>1.479305562248286</v>
      </c>
      <c r="G371">
        <f>AVERAGE('R1'!N371,'R2'!N371,'R3'!N371)</f>
        <v>-1.255353611626405</v>
      </c>
      <c r="H371">
        <f>AVERAGE('R1'!O371,'R2'!O371,'R3'!O371)</f>
        <v>-0.95853367572913051</v>
      </c>
      <c r="I371">
        <f t="shared" si="9"/>
        <v>2263.4730603935182</v>
      </c>
      <c r="K371">
        <f>_xlfn.STDEV.S('R1'!L371,'R2'!L371,'R3'!L371)</f>
        <v>1.9429942078427874E-2</v>
      </c>
      <c r="L371">
        <f>_xlfn.STDEV.S('R1'!M371,'R2'!M371,'R3'!M371)</f>
        <v>7.3195037836847714E-3</v>
      </c>
      <c r="M371">
        <f>_xlfn.STDEV.S('R1'!N371,'R2'!N371,'R3'!N371)</f>
        <v>2.169333994111566E-2</v>
      </c>
      <c r="N371">
        <f>_xlfn.STDEV.S('R1'!O371,'R2'!O371,'R3'!O371)</f>
        <v>5.1752487945890711E-3</v>
      </c>
    </row>
    <row r="372" spans="1:14" x14ac:dyDescent="0.25">
      <c r="A372">
        <f>-'R1'!H372</f>
        <v>-20</v>
      </c>
      <c r="B372">
        <f>DEGREES(ATAN(-SIN(RADIANS(('R1'!I372)))/(COS(RADIANS(Sheet1!A372))*COS(RADIANS('R1'!I372)))))</f>
        <v>37.710134449764993</v>
      </c>
      <c r="C372">
        <f>AVERAGE('R1'!J372,'R2'!J372,'R3'!J372)</f>
        <v>1.18</v>
      </c>
      <c r="D372">
        <f>AVERAGE('R1'!K372,'R2'!K372,'R3'!K372)</f>
        <v>11.51802625</v>
      </c>
      <c r="E372">
        <f>AVERAGE('R1'!L372,'R2'!L372,'R3'!L372)</f>
        <v>1.9423388738194254</v>
      </c>
      <c r="F372">
        <f>AVERAGE('R1'!M372,'R2'!M372,'R3'!M372)</f>
        <v>1.3867432451232033</v>
      </c>
      <c r="G372">
        <f>AVERAGE('R1'!N372,'R2'!N372,'R3'!N372)</f>
        <v>-1.0204528126775212</v>
      </c>
      <c r="H372">
        <f>AVERAGE('R1'!O372,'R2'!O372,'R3'!O372)</f>
        <v>-0.75155716796513283</v>
      </c>
      <c r="I372">
        <f t="shared" si="9"/>
        <v>2265.2118291666666</v>
      </c>
      <c r="K372">
        <f>_xlfn.STDEV.S('R1'!L372,'R2'!L372,'R3'!L372)</f>
        <v>8.3729521422849021E-3</v>
      </c>
      <c r="L372">
        <f>_xlfn.STDEV.S('R1'!M372,'R2'!M372,'R3'!M372)</f>
        <v>1.1102902722043824E-2</v>
      </c>
      <c r="M372">
        <f>_xlfn.STDEV.S('R1'!N372,'R2'!N372,'R3'!N372)</f>
        <v>1.1239182654378252E-2</v>
      </c>
      <c r="N372">
        <f>_xlfn.STDEV.S('R1'!O372,'R2'!O372,'R3'!O372)</f>
        <v>1.0342134278755488E-3</v>
      </c>
    </row>
    <row r="373" spans="1:14" x14ac:dyDescent="0.25">
      <c r="A373">
        <f>-'R1'!H373</f>
        <v>-20</v>
      </c>
      <c r="B373">
        <f>DEGREES(ATAN(-SIN(RADIANS(('R1'!I373)))/(COS(RADIANS(Sheet1!A373))*COS(RADIANS('R1'!I373)))))</f>
        <v>33.622796746730245</v>
      </c>
      <c r="C373">
        <f>AVERAGE('R1'!J373,'R2'!J373,'R3'!J373)</f>
        <v>1.1808333333333332</v>
      </c>
      <c r="D373">
        <f>AVERAGE('R1'!K373,'R2'!K373,'R3'!K373)</f>
        <v>11.565927333333333</v>
      </c>
      <c r="E373">
        <f>AVERAGE('R1'!L373,'R2'!L373,'R3'!L373)</f>
        <v>1.7422900691519374</v>
      </c>
      <c r="F373">
        <f>AVERAGE('R1'!M373,'R2'!M373,'R3'!M373)</f>
        <v>1.3123920714177588</v>
      </c>
      <c r="G373">
        <f>AVERAGE('R1'!N373,'R2'!N373,'R3'!N373)</f>
        <v>-0.83762322315783599</v>
      </c>
      <c r="H373">
        <f>AVERAGE('R1'!O373,'R2'!O373,'R3'!O373)</f>
        <v>-0.56478249136645242</v>
      </c>
      <c r="I373">
        <f t="shared" si="9"/>
        <v>2276.2387543518516</v>
      </c>
      <c r="K373">
        <f>_xlfn.STDEV.S('R1'!L373,'R2'!L373,'R3'!L373)</f>
        <v>3.8420043512210917E-3</v>
      </c>
      <c r="L373">
        <f>_xlfn.STDEV.S('R1'!M373,'R2'!M373,'R3'!M373)</f>
        <v>6.5182405590589456E-3</v>
      </c>
      <c r="M373">
        <f>_xlfn.STDEV.S('R1'!N373,'R2'!N373,'R3'!N373)</f>
        <v>6.9162227746102489E-3</v>
      </c>
      <c r="N373">
        <f>_xlfn.STDEV.S('R1'!O373,'R2'!O373,'R3'!O373)</f>
        <v>7.933525411068492E-3</v>
      </c>
    </row>
    <row r="374" spans="1:14" x14ac:dyDescent="0.25">
      <c r="A374">
        <f>-'R1'!H374</f>
        <v>-20</v>
      </c>
      <c r="B374">
        <f>DEGREES(ATAN(-SIN(RADIANS(('R1'!I374)))/(COS(RADIANS(Sheet1!A374))*COS(RADIANS('R1'!I374)))))</f>
        <v>29.502629281345779</v>
      </c>
      <c r="C374">
        <f>AVERAGE('R1'!J374,'R2'!J374,'R3'!J374)</f>
        <v>1.1833333333333333</v>
      </c>
      <c r="D374">
        <f>AVERAGE('R1'!K374,'R2'!K374,'R3'!K374)</f>
        <v>11.490734333333334</v>
      </c>
      <c r="E374">
        <f>AVERAGE('R1'!L374,'R2'!L374,'R3'!L374)</f>
        <v>1.5581289003406786</v>
      </c>
      <c r="F374">
        <f>AVERAGE('R1'!M374,'R2'!M374,'R3'!M374)</f>
        <v>1.246365966129338</v>
      </c>
      <c r="G374">
        <f>AVERAGE('R1'!N374,'R2'!N374,'R3'!N374)</f>
        <v>-0.68520231856755964</v>
      </c>
      <c r="H374">
        <f>AVERAGE('R1'!O374,'R2'!O374,'R3'!O374)</f>
        <v>-0.37761132624466126</v>
      </c>
      <c r="I374">
        <f t="shared" si="9"/>
        <v>2266.2281601851851</v>
      </c>
      <c r="K374">
        <f>_xlfn.STDEV.S('R1'!L374,'R2'!L374,'R3'!L374)</f>
        <v>2.8921471097510675E-3</v>
      </c>
      <c r="L374">
        <f>_xlfn.STDEV.S('R1'!M374,'R2'!M374,'R3'!M374)</f>
        <v>1.9025314508488336E-3</v>
      </c>
      <c r="M374">
        <f>_xlfn.STDEV.S('R1'!N374,'R2'!N374,'R3'!N374)</f>
        <v>6.0811438299385552E-3</v>
      </c>
      <c r="N374">
        <f>_xlfn.STDEV.S('R1'!O374,'R2'!O374,'R3'!O374)</f>
        <v>8.1835710677412975E-3</v>
      </c>
    </row>
    <row r="375" spans="1:14" x14ac:dyDescent="0.25">
      <c r="A375">
        <f>-'R1'!H375</f>
        <v>-20</v>
      </c>
      <c r="B375">
        <f>DEGREES(ATAN(-SIN(RADIANS(('R1'!I375)))/(COS(RADIANS(Sheet1!A375))*COS(RADIANS('R1'!I375)))))</f>
        <v>25.351709771061881</v>
      </c>
      <c r="C375">
        <f>AVERAGE('R1'!J375,'R2'!J375,'R3'!J375)</f>
        <v>1.18</v>
      </c>
      <c r="D375">
        <f>AVERAGE('R1'!K375,'R2'!K375,'R3'!K375)</f>
        <v>11.454328666666667</v>
      </c>
      <c r="E375">
        <f>AVERAGE('R1'!L375,'R2'!L375,'R3'!L375)</f>
        <v>1.3775581499056158</v>
      </c>
      <c r="F375">
        <f>AVERAGE('R1'!M375,'R2'!M375,'R3'!M375)</f>
        <v>1.2151182217734366</v>
      </c>
      <c r="G375">
        <f>AVERAGE('R1'!N375,'R2'!N375,'R3'!N375)</f>
        <v>-0.56993520323991709</v>
      </c>
      <c r="H375">
        <f>AVERAGE('R1'!O375,'R2'!O375,'R3'!O375)</f>
        <v>-0.20521054876898645</v>
      </c>
      <c r="I375">
        <f t="shared" si="9"/>
        <v>2252.6846377777779</v>
      </c>
      <c r="K375">
        <f>_xlfn.STDEV.S('R1'!L375,'R2'!L375,'R3'!L375)</f>
        <v>8.8686870363982317E-3</v>
      </c>
      <c r="L375">
        <f>_xlfn.STDEV.S('R1'!M375,'R2'!M375,'R3'!M375)</f>
        <v>7.5244541032267066E-3</v>
      </c>
      <c r="M375">
        <f>_xlfn.STDEV.S('R1'!N375,'R2'!N375,'R3'!N375)</f>
        <v>4.3762482193283637E-3</v>
      </c>
      <c r="N375">
        <f>_xlfn.STDEV.S('R1'!O375,'R2'!O375,'R3'!O375)</f>
        <v>1.0528203054056034E-2</v>
      </c>
    </row>
    <row r="376" spans="1:14" x14ac:dyDescent="0.25">
      <c r="A376">
        <f>-'R1'!H376</f>
        <v>-20</v>
      </c>
      <c r="B376">
        <f>DEGREES(ATAN(-SIN(RADIANS(('R1'!I376)))/(COS(RADIANS(Sheet1!A376))*COS(RADIANS('R1'!I376)))))</f>
        <v>21.172832185162978</v>
      </c>
      <c r="C376">
        <f>AVERAGE('R1'!J376,'R2'!J376,'R3'!J376)</f>
        <v>1.18</v>
      </c>
      <c r="D376">
        <f>AVERAGE('R1'!K376,'R2'!K376,'R3'!K376)</f>
        <v>11.430081666666666</v>
      </c>
      <c r="E376">
        <f>AVERAGE('R1'!L376,'R2'!L376,'R3'!L376)</f>
        <v>1.1692290517804327</v>
      </c>
      <c r="F376">
        <f>AVERAGE('R1'!M376,'R2'!M376,'R3'!M376)</f>
        <v>1.2044020885147306</v>
      </c>
      <c r="G376">
        <f>AVERAGE('R1'!N376,'R2'!N376,'R3'!N376)</f>
        <v>-0.46373106438613593</v>
      </c>
      <c r="H376">
        <f>AVERAGE('R1'!O376,'R2'!O376,'R3'!O376)</f>
        <v>-4.6761851463450244E-2</v>
      </c>
      <c r="I376">
        <f t="shared" si="9"/>
        <v>2247.916061111111</v>
      </c>
      <c r="K376">
        <f>_xlfn.STDEV.S('R1'!L376,'R2'!L376,'R3'!L376)</f>
        <v>3.8423461587872489E-3</v>
      </c>
      <c r="L376">
        <f>_xlfn.STDEV.S('R1'!M376,'R2'!M376,'R3'!M376)</f>
        <v>5.8711123790439268E-3</v>
      </c>
      <c r="M376">
        <f>_xlfn.STDEV.S('R1'!N376,'R2'!N376,'R3'!N376)</f>
        <v>1.0134480023203335E-2</v>
      </c>
      <c r="N376">
        <f>_xlfn.STDEV.S('R1'!O376,'R2'!O376,'R3'!O376)</f>
        <v>3.422145269578613E-3</v>
      </c>
    </row>
    <row r="377" spans="1:14" x14ac:dyDescent="0.25">
      <c r="A377">
        <f>-'R1'!H377</f>
        <v>-20</v>
      </c>
      <c r="B377">
        <f>DEGREES(ATAN(-SIN(RADIANS(('R1'!I377)))/(COS(RADIANS(Sheet1!A377))*COS(RADIANS('R1'!I377)))))</f>
        <v>16.969467099429082</v>
      </c>
      <c r="C377">
        <f>AVERAGE('R1'!J377,'R2'!J377,'R3'!J377)</f>
        <v>1.1816666666666666</v>
      </c>
      <c r="D377">
        <f>AVERAGE('R1'!K377,'R2'!K377,'R3'!K377)</f>
        <v>11.342343083333333</v>
      </c>
      <c r="E377">
        <f>AVERAGE('R1'!L377,'R2'!L377,'R3'!L377)</f>
        <v>0.9439441889863639</v>
      </c>
      <c r="F377">
        <f>AVERAGE('R1'!M377,'R2'!M377,'R3'!M377)</f>
        <v>1.2152421895826961</v>
      </c>
      <c r="G377">
        <f>AVERAGE('R1'!N377,'R2'!N377,'R3'!N377)</f>
        <v>-0.37057424048954518</v>
      </c>
      <c r="H377">
        <f>AVERAGE('R1'!O377,'R2'!O377,'R3'!O377)</f>
        <v>6.5032527692432604E-2</v>
      </c>
      <c r="I377">
        <f t="shared" si="9"/>
        <v>2233.8114572453705</v>
      </c>
      <c r="K377">
        <f>_xlfn.STDEV.S('R1'!L377,'R2'!L377,'R3'!L377)</f>
        <v>6.4385964906668531E-3</v>
      </c>
      <c r="L377">
        <f>_xlfn.STDEV.S('R1'!M377,'R2'!M377,'R3'!M377)</f>
        <v>6.4035746907960649E-3</v>
      </c>
      <c r="M377">
        <f>_xlfn.STDEV.S('R1'!N377,'R2'!N377,'R3'!N377)</f>
        <v>7.52471867755059E-3</v>
      </c>
      <c r="N377">
        <f>_xlfn.STDEV.S('R1'!O377,'R2'!O377,'R3'!O377)</f>
        <v>2.0594776433568601E-3</v>
      </c>
    </row>
    <row r="378" spans="1:14" x14ac:dyDescent="0.25">
      <c r="A378">
        <f>-'R1'!H378</f>
        <v>-20</v>
      </c>
      <c r="B378">
        <f>DEGREES(ATAN(-SIN(RADIANS(('R1'!I378)))/(COS(RADIANS(Sheet1!A378))*COS(RADIANS('R1'!I378)))))</f>
        <v>12.745697846757086</v>
      </c>
      <c r="C378">
        <f>AVERAGE('R1'!J378,'R2'!J378,'R3'!J378)</f>
        <v>1.1808333333333332</v>
      </c>
      <c r="D378">
        <f>AVERAGE('R1'!K378,'R2'!K378,'R3'!K378)</f>
        <v>11.3746825</v>
      </c>
      <c r="E378">
        <f>AVERAGE('R1'!L378,'R2'!L378,'R3'!L378)</f>
        <v>0.72458070470590974</v>
      </c>
      <c r="F378">
        <f>AVERAGE('R1'!M378,'R2'!M378,'R3'!M378)</f>
        <v>1.2380852551731301</v>
      </c>
      <c r="G378">
        <f>AVERAGE('R1'!N378,'R2'!N378,'R3'!N378)</f>
        <v>-0.30116546917993353</v>
      </c>
      <c r="H378">
        <f>AVERAGE('R1'!O378,'R2'!O378,'R3'!O378)</f>
        <v>0.15377214204722831</v>
      </c>
      <c r="I378">
        <f t="shared" si="9"/>
        <v>2238.6007086805553</v>
      </c>
      <c r="K378">
        <f>_xlfn.STDEV.S('R1'!L378,'R2'!L378,'R3'!L378)</f>
        <v>3.7346881660960218E-3</v>
      </c>
      <c r="L378">
        <f>_xlfn.STDEV.S('R1'!M378,'R2'!M378,'R3'!M378)</f>
        <v>1.0674697125700197E-2</v>
      </c>
      <c r="M378">
        <f>_xlfn.STDEV.S('R1'!N378,'R2'!N378,'R3'!N378)</f>
        <v>9.8556690386557809E-3</v>
      </c>
      <c r="N378">
        <f>_xlfn.STDEV.S('R1'!O378,'R2'!O378,'R3'!O378)</f>
        <v>3.3848408419403092E-3</v>
      </c>
    </row>
    <row r="379" spans="1:14" x14ac:dyDescent="0.25">
      <c r="A379">
        <f>-'R1'!H379</f>
        <v>-20</v>
      </c>
      <c r="B379">
        <f>DEGREES(ATAN(-SIN(RADIANS(('R1'!I379)))/(COS(RADIANS(Sheet1!A379))*COS(RADIANS('R1'!I379)))))</f>
        <v>8.5061328568771426</v>
      </c>
      <c r="C379">
        <f>AVERAGE('R1'!J379,'R2'!J379,'R3'!J379)</f>
        <v>1.18</v>
      </c>
      <c r="D379">
        <f>AVERAGE('R1'!K379,'R2'!K379,'R3'!K379)</f>
        <v>11.438413249999998</v>
      </c>
      <c r="E379">
        <f>AVERAGE('R1'!L379,'R2'!L379,'R3'!L379)</f>
        <v>0.49538211064117005</v>
      </c>
      <c r="F379">
        <f>AVERAGE('R1'!M379,'R2'!M379,'R3'!M379)</f>
        <v>1.2831799952969016</v>
      </c>
      <c r="G379">
        <f>AVERAGE('R1'!N379,'R2'!N379,'R3'!N379)</f>
        <v>-0.25608719312754175</v>
      </c>
      <c r="H379">
        <f>AVERAGE('R1'!O379,'R2'!O379,'R3'!O379)</f>
        <v>0.2345072432053856</v>
      </c>
      <c r="I379">
        <f t="shared" si="9"/>
        <v>2249.554605833333</v>
      </c>
      <c r="K379">
        <f>_xlfn.STDEV.S('R1'!L379,'R2'!L379,'R3'!L379)</f>
        <v>5.5488649605268973E-3</v>
      </c>
      <c r="L379">
        <f>_xlfn.STDEV.S('R1'!M379,'R2'!M379,'R3'!M379)</f>
        <v>1.1897753578803721E-2</v>
      </c>
      <c r="M379">
        <f>_xlfn.STDEV.S('R1'!N379,'R2'!N379,'R3'!N379)</f>
        <v>6.7571122669563589E-3</v>
      </c>
      <c r="N379">
        <f>_xlfn.STDEV.S('R1'!O379,'R2'!O379,'R3'!O379)</f>
        <v>2.8391485156748085E-3</v>
      </c>
    </row>
    <row r="380" spans="1:14" x14ac:dyDescent="0.25">
      <c r="A380">
        <f>-'R1'!H380</f>
        <v>-20</v>
      </c>
      <c r="B380">
        <f>DEGREES(ATAN(-SIN(RADIANS(('R1'!I380)))/(COS(RADIANS(Sheet1!A380))*COS(RADIANS('R1'!I380)))))</f>
        <v>4.2557962016512016</v>
      </c>
      <c r="C380">
        <f>AVERAGE('R1'!J380,'R2'!J380,'R3'!J380)</f>
        <v>1.18</v>
      </c>
      <c r="D380">
        <f>AVERAGE('R1'!K380,'R2'!K380,'R3'!K380)</f>
        <v>11.372526416666666</v>
      </c>
      <c r="E380">
        <f>AVERAGE('R1'!L380,'R2'!L380,'R3'!L380)</f>
        <v>0.26078938009329095</v>
      </c>
      <c r="F380">
        <f>AVERAGE('R1'!M380,'R2'!M380,'R3'!M380)</f>
        <v>1.3493621198099426</v>
      </c>
      <c r="G380">
        <f>AVERAGE('R1'!N380,'R2'!N380,'R3'!N380)</f>
        <v>-0.24270705604741358</v>
      </c>
      <c r="H380">
        <f>AVERAGE('R1'!O380,'R2'!O380,'R3'!O380)</f>
        <v>0.30275772680723018</v>
      </c>
      <c r="I380">
        <f t="shared" si="9"/>
        <v>2236.5968619444443</v>
      </c>
      <c r="K380">
        <f>_xlfn.STDEV.S('R1'!L380,'R2'!L380,'R3'!L380)</f>
        <v>7.8341122519765029E-3</v>
      </c>
      <c r="L380">
        <f>_xlfn.STDEV.S('R1'!M380,'R2'!M380,'R3'!M380)</f>
        <v>9.842457398661051E-3</v>
      </c>
      <c r="M380">
        <f>_xlfn.STDEV.S('R1'!N380,'R2'!N380,'R3'!N380)</f>
        <v>4.0152110229263642E-3</v>
      </c>
      <c r="N380">
        <f>_xlfn.STDEV.S('R1'!O380,'R2'!O380,'R3'!O380)</f>
        <v>9.8010483678944924E-3</v>
      </c>
    </row>
    <row r="381" spans="1:14" x14ac:dyDescent="0.25">
      <c r="A381">
        <f>-'R1'!H381</f>
        <v>-20</v>
      </c>
      <c r="B381">
        <f>DEGREES(ATAN(-SIN(RADIANS(('R1'!I381)))/(COS(RADIANS(Sheet1!A381))*COS(RADIANS('R1'!I381)))))</f>
        <v>0</v>
      </c>
      <c r="C381">
        <f>AVERAGE('R1'!J381,'R2'!J381,'R3'!J381)</f>
        <v>1.18</v>
      </c>
      <c r="D381">
        <f>AVERAGE('R1'!K381,'R2'!K381,'R3'!K381)</f>
        <v>11.350925166666668</v>
      </c>
      <c r="E381">
        <f>AVERAGE('R1'!L381,'R2'!L381,'R3'!L381)</f>
        <v>-2.1481466588772302E-3</v>
      </c>
      <c r="F381">
        <f>AVERAGE('R1'!M381,'R2'!M381,'R3'!M381)</f>
        <v>1.4132720665788578</v>
      </c>
      <c r="G381">
        <f>AVERAGE('R1'!N381,'R2'!N381,'R3'!N381)</f>
        <v>-0.24333908027867537</v>
      </c>
      <c r="H381">
        <f>AVERAGE('R1'!O381,'R2'!O381,'R3'!O381)</f>
        <v>0.39974559955667061</v>
      </c>
      <c r="I381">
        <f t="shared" si="9"/>
        <v>2232.3486161111114</v>
      </c>
      <c r="K381">
        <f>_xlfn.STDEV.S('R1'!L381,'R2'!L381,'R3'!L381)</f>
        <v>2.7072842874746152E-3</v>
      </c>
      <c r="L381">
        <f>_xlfn.STDEV.S('R1'!M381,'R2'!M381,'R3'!M381)</f>
        <v>1.072833521381023E-2</v>
      </c>
      <c r="M381">
        <f>_xlfn.STDEV.S('R1'!N381,'R2'!N381,'R3'!N381)</f>
        <v>1.105404774287177E-2</v>
      </c>
      <c r="N381">
        <f>_xlfn.STDEV.S('R1'!O381,'R2'!O381,'R3'!O381)</f>
        <v>7.8548252187656958E-3</v>
      </c>
    </row>
    <row r="382" spans="1:14" x14ac:dyDescent="0.25">
      <c r="A382">
        <f>-'R1'!H382</f>
        <v>-20</v>
      </c>
      <c r="B382">
        <f>DEGREES(ATAN(-SIN(RADIANS(('R1'!I382)))/(COS(RADIANS(Sheet1!A382))*COS(RADIANS('R1'!I382)))))</f>
        <v>-4.2557962016512016</v>
      </c>
      <c r="C382">
        <f>AVERAGE('R1'!J382,'R2'!J382,'R3'!J382)</f>
        <v>1.18</v>
      </c>
      <c r="D382">
        <f>AVERAGE('R1'!K382,'R2'!K382,'R3'!K382)</f>
        <v>11.315708083333334</v>
      </c>
      <c r="E382">
        <f>AVERAGE('R1'!L382,'R2'!L382,'R3'!L382)</f>
        <v>-0.26521167981125904</v>
      </c>
      <c r="F382">
        <f>AVERAGE('R1'!M382,'R2'!M382,'R3'!M382)</f>
        <v>1.3390190192623308</v>
      </c>
      <c r="G382">
        <f>AVERAGE('R1'!N382,'R2'!N382,'R3'!N382)</f>
        <v>-0.25094210004691891</v>
      </c>
      <c r="H382">
        <f>AVERAGE('R1'!O382,'R2'!O382,'R3'!O382)</f>
        <v>0.30370141791895794</v>
      </c>
      <c r="I382">
        <f t="shared" si="9"/>
        <v>2225.4225897222223</v>
      </c>
      <c r="K382">
        <f>_xlfn.STDEV.S('R1'!L382,'R2'!L382,'R3'!L382)</f>
        <v>5.6062076969724357E-3</v>
      </c>
      <c r="L382">
        <f>_xlfn.STDEV.S('R1'!M382,'R2'!M382,'R3'!M382)</f>
        <v>7.2406337330225426E-3</v>
      </c>
      <c r="M382">
        <f>_xlfn.STDEV.S('R1'!N382,'R2'!N382,'R3'!N382)</f>
        <v>4.3844844328151528E-3</v>
      </c>
      <c r="N382">
        <f>_xlfn.STDEV.S('R1'!O382,'R2'!O382,'R3'!O382)</f>
        <v>2.8408622023375625E-3</v>
      </c>
    </row>
    <row r="383" spans="1:14" x14ac:dyDescent="0.25">
      <c r="A383">
        <f>-'R1'!H383</f>
        <v>-20</v>
      </c>
      <c r="B383">
        <f>DEGREES(ATAN(-SIN(RADIANS(('R1'!I383)))/(COS(RADIANS(Sheet1!A383))*COS(RADIANS('R1'!I383)))))</f>
        <v>-8.5061328568771426</v>
      </c>
      <c r="C383">
        <f>AVERAGE('R1'!J383,'R2'!J383,'R3'!J383)</f>
        <v>1.18</v>
      </c>
      <c r="D383">
        <f>AVERAGE('R1'!K383,'R2'!K383,'R3'!K383)</f>
        <v>11.266971666666668</v>
      </c>
      <c r="E383">
        <f>AVERAGE('R1'!L383,'R2'!L383,'R3'!L383)</f>
        <v>-0.51705161129141342</v>
      </c>
      <c r="F383">
        <f>AVERAGE('R1'!M383,'R2'!M383,'R3'!M383)</f>
        <v>1.2753337819965453</v>
      </c>
      <c r="G383">
        <f>AVERAGE('R1'!N383,'R2'!N383,'R3'!N383)</f>
        <v>-0.2729695799305793</v>
      </c>
      <c r="H383">
        <f>AVERAGE('R1'!O383,'R2'!O383,'R3'!O383)</f>
        <v>0.21117147567894531</v>
      </c>
      <c r="I383">
        <f t="shared" si="9"/>
        <v>2215.8377611111118</v>
      </c>
      <c r="K383">
        <f>_xlfn.STDEV.S('R1'!L383,'R2'!L383,'R3'!L383)</f>
        <v>1.1644809805806986E-2</v>
      </c>
      <c r="L383">
        <f>_xlfn.STDEV.S('R1'!M383,'R2'!M383,'R3'!M383)</f>
        <v>4.549017686791253E-3</v>
      </c>
      <c r="M383">
        <f>_xlfn.STDEV.S('R1'!N383,'R2'!N383,'R3'!N383)</f>
        <v>3.4381843123612696E-3</v>
      </c>
      <c r="N383">
        <f>_xlfn.STDEV.S('R1'!O383,'R2'!O383,'R3'!O383)</f>
        <v>2.9128138081071014E-3</v>
      </c>
    </row>
    <row r="384" spans="1:14" x14ac:dyDescent="0.25">
      <c r="A384">
        <f>-'R1'!H384</f>
        <v>-20</v>
      </c>
      <c r="B384">
        <f>DEGREES(ATAN(-SIN(RADIANS(('R1'!I384)))/(COS(RADIANS(Sheet1!A384))*COS(RADIANS('R1'!I384)))))</f>
        <v>-12.745697846757086</v>
      </c>
      <c r="C384">
        <f>AVERAGE('R1'!J384,'R2'!J384,'R3'!J384)</f>
        <v>1.18</v>
      </c>
      <c r="D384">
        <f>AVERAGE('R1'!K384,'R2'!K384,'R3'!K384)</f>
        <v>11.256810333333334</v>
      </c>
      <c r="E384">
        <f>AVERAGE('R1'!L384,'R2'!L384,'R3'!L384)</f>
        <v>-0.75707202782095173</v>
      </c>
      <c r="F384">
        <f>AVERAGE('R1'!M384,'R2'!M384,'R3'!M384)</f>
        <v>1.2273654441243302</v>
      </c>
      <c r="G384">
        <f>AVERAGE('R1'!N384,'R2'!N384,'R3'!N384)</f>
        <v>-0.32108292722617449</v>
      </c>
      <c r="H384">
        <f>AVERAGE('R1'!O384,'R2'!O384,'R3'!O384)</f>
        <v>0.12686032650082166</v>
      </c>
      <c r="I384">
        <f t="shared" si="9"/>
        <v>2213.8393655555556</v>
      </c>
      <c r="K384">
        <f>_xlfn.STDEV.S('R1'!L384,'R2'!L384,'R3'!L384)</f>
        <v>1.0891829160334819E-2</v>
      </c>
      <c r="L384">
        <f>_xlfn.STDEV.S('R1'!M384,'R2'!M384,'R3'!M384)</f>
        <v>5.4928984240557449E-3</v>
      </c>
      <c r="M384">
        <f>_xlfn.STDEV.S('R1'!N384,'R2'!N384,'R3'!N384)</f>
        <v>6.1673908553384017E-3</v>
      </c>
      <c r="N384">
        <f>_xlfn.STDEV.S('R1'!O384,'R2'!O384,'R3'!O384)</f>
        <v>3.7249801082735378E-3</v>
      </c>
    </row>
    <row r="385" spans="1:14" x14ac:dyDescent="0.25">
      <c r="A385">
        <f>-'R1'!H385</f>
        <v>-20</v>
      </c>
      <c r="B385">
        <f>DEGREES(ATAN(-SIN(RADIANS(('R1'!I385)))/(COS(RADIANS(Sheet1!A385))*COS(RADIANS('R1'!I385)))))</f>
        <v>-16.969467099429082</v>
      </c>
      <c r="C385">
        <f>AVERAGE('R1'!J385,'R2'!J385,'R3'!J385)</f>
        <v>1.18</v>
      </c>
      <c r="D385">
        <f>AVERAGE('R1'!K385,'R2'!K385,'R3'!K385)</f>
        <v>11.123068249999998</v>
      </c>
      <c r="E385">
        <f>AVERAGE('R1'!L385,'R2'!L385,'R3'!L385)</f>
        <v>-0.99623261468057744</v>
      </c>
      <c r="F385">
        <f>AVERAGE('R1'!M385,'R2'!M385,'R3'!M385)</f>
        <v>1.1911879843820463</v>
      </c>
      <c r="G385">
        <f>AVERAGE('R1'!N385,'R2'!N385,'R3'!N385)</f>
        <v>-0.3962391795889067</v>
      </c>
      <c r="H385">
        <f>AVERAGE('R1'!O385,'R2'!O385,'R3'!O385)</f>
        <v>3.9116293983444093E-2</v>
      </c>
      <c r="I385">
        <f t="shared" si="9"/>
        <v>2187.5367558333328</v>
      </c>
      <c r="K385">
        <f>_xlfn.STDEV.S('R1'!L385,'R2'!L385,'R3'!L385)</f>
        <v>5.6511458407750067E-3</v>
      </c>
      <c r="L385">
        <f>_xlfn.STDEV.S('R1'!M385,'R2'!M385,'R3'!M385)</f>
        <v>5.4265908170834497E-3</v>
      </c>
      <c r="M385">
        <f>_xlfn.STDEV.S('R1'!N385,'R2'!N385,'R3'!N385)</f>
        <v>8.3897341143693155E-3</v>
      </c>
      <c r="N385">
        <f>_xlfn.STDEV.S('R1'!O385,'R2'!O385,'R3'!O385)</f>
        <v>5.0109028263315728E-3</v>
      </c>
    </row>
    <row r="386" spans="1:14" x14ac:dyDescent="0.25">
      <c r="A386">
        <f>-'R1'!H386</f>
        <v>-20</v>
      </c>
      <c r="B386">
        <f>DEGREES(ATAN(-SIN(RADIANS(('R1'!I386)))/(COS(RADIANS(Sheet1!A386))*COS(RADIANS('R1'!I386)))))</f>
        <v>-21.172832185162978</v>
      </c>
      <c r="C386">
        <f>AVERAGE('R1'!J386,'R2'!J386,'R3'!J386)</f>
        <v>1.18</v>
      </c>
      <c r="D386">
        <f>AVERAGE('R1'!K386,'R2'!K386,'R3'!K386)</f>
        <v>11.045519416666666</v>
      </c>
      <c r="E386">
        <f>AVERAGE('R1'!L386,'R2'!L386,'R3'!L386)</f>
        <v>-1.2270413774479563</v>
      </c>
      <c r="F386">
        <f>AVERAGE('R1'!M386,'R2'!M386,'R3'!M386)</f>
        <v>1.214374524817033</v>
      </c>
      <c r="G386">
        <f>AVERAGE('R1'!N386,'R2'!N386,'R3'!N386)</f>
        <v>-0.51410812758827651</v>
      </c>
      <c r="H386">
        <f>AVERAGE('R1'!O386,'R2'!O386,'R3'!O386)</f>
        <v>-9.4395854485024092E-2</v>
      </c>
      <c r="I386">
        <f t="shared" si="9"/>
        <v>2172.2854852777778</v>
      </c>
      <c r="K386">
        <f>_xlfn.STDEV.S('R1'!L386,'R2'!L386,'R3'!L386)</f>
        <v>9.0228309498670591E-3</v>
      </c>
      <c r="L386">
        <f>_xlfn.STDEV.S('R1'!M386,'R2'!M386,'R3'!M386)</f>
        <v>1.6113290340247347E-2</v>
      </c>
      <c r="M386">
        <f>_xlfn.STDEV.S('R1'!N386,'R2'!N386,'R3'!N386)</f>
        <v>1.2064522127310627E-2</v>
      </c>
      <c r="N386">
        <f>_xlfn.STDEV.S('R1'!O386,'R2'!O386,'R3'!O386)</f>
        <v>3.0169070074228571E-3</v>
      </c>
    </row>
    <row r="387" spans="1:14" x14ac:dyDescent="0.25">
      <c r="A387">
        <f>-'R1'!H387</f>
        <v>-20</v>
      </c>
      <c r="B387">
        <f>DEGREES(ATAN(-SIN(RADIANS(('R1'!I387)))/(COS(RADIANS(Sheet1!A387))*COS(RADIANS('R1'!I387)))))</f>
        <v>-25.351709771061881</v>
      </c>
      <c r="C387">
        <f>AVERAGE('R1'!J387,'R2'!J387,'R3'!J387)</f>
        <v>1.18</v>
      </c>
      <c r="D387">
        <f>AVERAGE('R1'!K387,'R2'!K387,'R3'!K387)</f>
        <v>11.043565583333333</v>
      </c>
      <c r="E387">
        <f>AVERAGE('R1'!L387,'R2'!L387,'R3'!L387)</f>
        <v>-1.4322117561269112</v>
      </c>
      <c r="F387">
        <f>AVERAGE('R1'!M387,'R2'!M387,'R3'!M387)</f>
        <v>1.2920131158433865</v>
      </c>
      <c r="G387">
        <f>AVERAGE('R1'!N387,'R2'!N387,'R3'!N387)</f>
        <v>-0.65866345901955847</v>
      </c>
      <c r="H387">
        <f>AVERAGE('R1'!O387,'R2'!O387,'R3'!O387)</f>
        <v>-0.25986552567909943</v>
      </c>
      <c r="I387">
        <f t="shared" ref="I387:I450" si="10">10^5*C387*D387*0.003/1.8</f>
        <v>2171.9012313888888</v>
      </c>
      <c r="K387">
        <f>_xlfn.STDEV.S('R1'!L387,'R2'!L387,'R3'!L387)</f>
        <v>6.738215202963113E-3</v>
      </c>
      <c r="L387">
        <f>_xlfn.STDEV.S('R1'!M387,'R2'!M387,'R3'!M387)</f>
        <v>1.6527125936286323E-2</v>
      </c>
      <c r="M387">
        <f>_xlfn.STDEV.S('R1'!N387,'R2'!N387,'R3'!N387)</f>
        <v>1.5912160312574159E-2</v>
      </c>
      <c r="N387">
        <f>_xlfn.STDEV.S('R1'!O387,'R2'!O387,'R3'!O387)</f>
        <v>1.7545974114873118E-3</v>
      </c>
    </row>
    <row r="388" spans="1:14" x14ac:dyDescent="0.25">
      <c r="A388">
        <f>-'R1'!H388</f>
        <v>-20</v>
      </c>
      <c r="B388">
        <f>DEGREES(ATAN(-SIN(RADIANS(('R1'!I388)))/(COS(RADIANS(Sheet1!A388))*COS(RADIANS('R1'!I388)))))</f>
        <v>-29.502629281345779</v>
      </c>
      <c r="C388">
        <f>AVERAGE('R1'!J388,'R2'!J388,'R3'!J388)</f>
        <v>1.18</v>
      </c>
      <c r="D388">
        <f>AVERAGE('R1'!K388,'R2'!K388,'R3'!K388)</f>
        <v>11.008567249999999</v>
      </c>
      <c r="E388">
        <f>AVERAGE('R1'!L388,'R2'!L388,'R3'!L388)</f>
        <v>-1.6483633319510742</v>
      </c>
      <c r="F388">
        <f>AVERAGE('R1'!M388,'R2'!M388,'R3'!M388)</f>
        <v>1.397323609463281</v>
      </c>
      <c r="G388">
        <f>AVERAGE('R1'!N388,'R2'!N388,'R3'!N388)</f>
        <v>-0.84582511534996963</v>
      </c>
      <c r="H388">
        <f>AVERAGE('R1'!O388,'R2'!O388,'R3'!O388)</f>
        <v>-0.45294327134142165</v>
      </c>
      <c r="I388">
        <f t="shared" si="10"/>
        <v>2165.0182258333334</v>
      </c>
      <c r="K388">
        <f>_xlfn.STDEV.S('R1'!L388,'R2'!L388,'R3'!L388)</f>
        <v>1.3499835603237474E-2</v>
      </c>
      <c r="L388">
        <f>_xlfn.STDEV.S('R1'!M388,'R2'!M388,'R3'!M388)</f>
        <v>8.5704292531010549E-3</v>
      </c>
      <c r="M388">
        <f>_xlfn.STDEV.S('R1'!N388,'R2'!N388,'R3'!N388)</f>
        <v>9.3738804987000442E-3</v>
      </c>
      <c r="N388">
        <f>_xlfn.STDEV.S('R1'!O388,'R2'!O388,'R3'!O388)</f>
        <v>5.0924746144425615E-3</v>
      </c>
    </row>
    <row r="389" spans="1:14" x14ac:dyDescent="0.25">
      <c r="A389">
        <f>-'R1'!H389</f>
        <v>-20</v>
      </c>
      <c r="B389">
        <f>DEGREES(ATAN(-SIN(RADIANS(('R1'!I389)))/(COS(RADIANS(Sheet1!A389))*COS(RADIANS('R1'!I389)))))</f>
        <v>-33.622796746730245</v>
      </c>
      <c r="C389">
        <f>AVERAGE('R1'!J389,'R2'!J389,'R3'!J389)</f>
        <v>1.18</v>
      </c>
      <c r="D389">
        <f>AVERAGE('R1'!K389,'R2'!K389,'R3'!K389)</f>
        <v>11.061621916666667</v>
      </c>
      <c r="E389">
        <f>AVERAGE('R1'!L389,'R2'!L389,'R3'!L389)</f>
        <v>-1.8722298269855564</v>
      </c>
      <c r="F389">
        <f>AVERAGE('R1'!M389,'R2'!M389,'R3'!M389)</f>
        <v>1.5316119929430476</v>
      </c>
      <c r="G389">
        <f>AVERAGE('R1'!N389,'R2'!N389,'R3'!N389)</f>
        <v>-1.067148433774503</v>
      </c>
      <c r="H389">
        <f>AVERAGE('R1'!O389,'R2'!O389,'R3'!O389)</f>
        <v>-0.65969632174810089</v>
      </c>
      <c r="I389">
        <f t="shared" si="10"/>
        <v>2175.4523102777775</v>
      </c>
      <c r="K389">
        <f>_xlfn.STDEV.S('R1'!L389,'R2'!L389,'R3'!L389)</f>
        <v>2.6077163184760509E-2</v>
      </c>
      <c r="L389">
        <f>_xlfn.STDEV.S('R1'!M389,'R2'!M389,'R3'!M389)</f>
        <v>1.1733972417642131E-2</v>
      </c>
      <c r="M389">
        <f>_xlfn.STDEV.S('R1'!N389,'R2'!N389,'R3'!N389)</f>
        <v>1.5032891667887129E-2</v>
      </c>
      <c r="N389">
        <f>_xlfn.STDEV.S('R1'!O389,'R2'!O389,'R3'!O389)</f>
        <v>8.1392669629371389E-3</v>
      </c>
    </row>
    <row r="390" spans="1:14" x14ac:dyDescent="0.25">
      <c r="A390">
        <f>-'R1'!H390</f>
        <v>-20</v>
      </c>
      <c r="B390">
        <f>DEGREES(ATAN(-SIN(RADIANS(('R1'!I390)))/(COS(RADIANS(Sheet1!A390))*COS(RADIANS('R1'!I390)))))</f>
        <v>-37.710134449764993</v>
      </c>
      <c r="C390">
        <f>AVERAGE('R1'!J390,'R2'!J390,'R3'!J390)</f>
        <v>1.18</v>
      </c>
      <c r="D390">
        <f>AVERAGE('R1'!K390,'R2'!K390,'R3'!K390)</f>
        <v>11.131901666666666</v>
      </c>
      <c r="E390">
        <f>AVERAGE('R1'!L390,'R2'!L390,'R3'!L390)</f>
        <v>-2.1340428825283229</v>
      </c>
      <c r="F390">
        <f>AVERAGE('R1'!M390,'R2'!M390,'R3'!M390)</f>
        <v>1.7060527874028668</v>
      </c>
      <c r="G390">
        <f>AVERAGE('R1'!N390,'R2'!N390,'R3'!N390)</f>
        <v>-1.3444434738986859</v>
      </c>
      <c r="H390">
        <f>AVERAGE('R1'!O390,'R2'!O390,'R3'!O390)</f>
        <v>-0.89397026866800633</v>
      </c>
      <c r="I390">
        <f t="shared" si="10"/>
        <v>2189.2739944444443</v>
      </c>
      <c r="K390">
        <f>_xlfn.STDEV.S('R1'!L390,'R2'!L390,'R3'!L390)</f>
        <v>2.7719968882874542E-2</v>
      </c>
      <c r="L390">
        <f>_xlfn.STDEV.S('R1'!M390,'R2'!M390,'R3'!M390)</f>
        <v>3.248200423053205E-3</v>
      </c>
      <c r="M390">
        <f>_xlfn.STDEV.S('R1'!N390,'R2'!N390,'R3'!N390)</f>
        <v>2.1613056854062999E-2</v>
      </c>
      <c r="N390">
        <f>_xlfn.STDEV.S('R1'!O390,'R2'!O390,'R3'!O390)</f>
        <v>5.6741275839291222E-3</v>
      </c>
    </row>
    <row r="391" spans="1:14" x14ac:dyDescent="0.25">
      <c r="A391">
        <f>-'R1'!H391</f>
        <v>-20</v>
      </c>
      <c r="B391">
        <f>DEGREES(ATAN(-SIN(RADIANS(('R1'!I391)))/(COS(RADIANS(Sheet1!A391))*COS(RADIANS('R1'!I391)))))</f>
        <v>-41.763297417742614</v>
      </c>
      <c r="C391">
        <f>AVERAGE('R1'!J391,'R2'!J391,'R3'!J391)</f>
        <v>1.1808333333333332</v>
      </c>
      <c r="D391">
        <f>AVERAGE('R1'!K391,'R2'!K391,'R3'!K391)</f>
        <v>11.143367583333335</v>
      </c>
      <c r="E391">
        <f>AVERAGE('R1'!L391,'R2'!L391,'R3'!L391)</f>
        <v>-2.4848585974256481</v>
      </c>
      <c r="F391">
        <f>AVERAGE('R1'!M391,'R2'!M391,'R3'!M391)</f>
        <v>1.9328771322187972</v>
      </c>
      <c r="G391">
        <f>AVERAGE('R1'!N391,'R2'!N391,'R3'!N391)</f>
        <v>-1.7503407364284049</v>
      </c>
      <c r="H391">
        <f>AVERAGE('R1'!O391,'R2'!O391,'R3'!O391)</f>
        <v>-1.1874118105228082</v>
      </c>
      <c r="I391">
        <f t="shared" si="10"/>
        <v>2193.0766479976851</v>
      </c>
      <c r="K391">
        <f>_xlfn.STDEV.S('R1'!L391,'R2'!L391,'R3'!L391)</f>
        <v>4.0896976357881344E-2</v>
      </c>
      <c r="L391">
        <f>_xlfn.STDEV.S('R1'!M391,'R2'!M391,'R3'!M391)</f>
        <v>9.0032993578406714E-3</v>
      </c>
      <c r="M391">
        <f>_xlfn.STDEV.S('R1'!N391,'R2'!N391,'R3'!N391)</f>
        <v>3.3125213977690922E-2</v>
      </c>
      <c r="N391">
        <f>_xlfn.STDEV.S('R1'!O391,'R2'!O391,'R3'!O391)</f>
        <v>1.8482368164073924E-2</v>
      </c>
    </row>
    <row r="392" spans="1:14" x14ac:dyDescent="0.25">
      <c r="A392">
        <f>-'R1'!H392</f>
        <v>-20</v>
      </c>
      <c r="B392">
        <f>DEGREES(ATAN(-SIN(RADIANS(('R1'!I392)))/(COS(RADIANS(Sheet1!A392))*COS(RADIANS('R1'!I392)))))</f>
        <v>-45.781668962964282</v>
      </c>
      <c r="C392">
        <f>AVERAGE('R1'!J392,'R2'!J392,'R3'!J392)</f>
        <v>1.18</v>
      </c>
      <c r="D392">
        <f>AVERAGE('R1'!K392,'R2'!K392,'R3'!K392)</f>
        <v>11.198228666666665</v>
      </c>
      <c r="E392">
        <f>AVERAGE('R1'!L392,'R2'!L392,'R3'!L392)</f>
        <v>-2.9628151113896664</v>
      </c>
      <c r="F392">
        <f>AVERAGE('R1'!M392,'R2'!M392,'R3'!M392)</f>
        <v>2.2236461201287785</v>
      </c>
      <c r="G392">
        <f>AVERAGE('R1'!N392,'R2'!N392,'R3'!N392)</f>
        <v>-2.2981047166254016</v>
      </c>
      <c r="H392">
        <f>AVERAGE('R1'!O392,'R2'!O392,'R3'!O392)</f>
        <v>-1.5559798599040098</v>
      </c>
      <c r="I392">
        <f t="shared" si="10"/>
        <v>2202.318304444444</v>
      </c>
      <c r="K392">
        <f>_xlfn.STDEV.S('R1'!L392,'R2'!L392,'R3'!L392)</f>
        <v>4.3875086134146091E-2</v>
      </c>
      <c r="L392">
        <f>_xlfn.STDEV.S('R1'!M392,'R2'!M392,'R3'!M392)</f>
        <v>3.3891858807312074E-3</v>
      </c>
      <c r="M392">
        <f>_xlfn.STDEV.S('R1'!N392,'R2'!N392,'R3'!N392)</f>
        <v>3.6417746511343517E-2</v>
      </c>
      <c r="N392">
        <f>_xlfn.STDEV.S('R1'!O392,'R2'!O392,'R3'!O392)</f>
        <v>1.6502040411983256E-2</v>
      </c>
    </row>
    <row r="393" spans="1:14" x14ac:dyDescent="0.25">
      <c r="A393">
        <f>-'R1'!H393</f>
        <v>-24</v>
      </c>
      <c r="B393">
        <f>DEGREES(ATAN(-SIN(RADIANS(('R1'!I393)))/(COS(RADIANS(Sheet1!A393))*COS(RADIANS('R1'!I393)))))</f>
        <v>46.589384435425394</v>
      </c>
      <c r="C393">
        <f>AVERAGE('R1'!J393,'R2'!J393,'R3'!J393)</f>
        <v>1.1824999999999999</v>
      </c>
      <c r="D393">
        <f>AVERAGE('R1'!K393,'R2'!K393,'R3'!K393)</f>
        <v>11.232637833333333</v>
      </c>
      <c r="E393">
        <f>AVERAGE('R1'!L393,'R2'!L393,'R3'!L393)</f>
        <v>2.3199705538762303</v>
      </c>
      <c r="F393">
        <f>AVERAGE('R1'!M393,'R2'!M393,'R3'!M393)</f>
        <v>1.7943291902895506</v>
      </c>
      <c r="G393">
        <f>AVERAGE('R1'!N393,'R2'!N393,'R3'!N393)</f>
        <v>-1.5549889318528809</v>
      </c>
      <c r="H393">
        <f>AVERAGE('R1'!O393,'R2'!O393,'R3'!O393)</f>
        <v>-1.2566793383577863</v>
      </c>
      <c r="I393">
        <f t="shared" si="10"/>
        <v>2213.7657063194442</v>
      </c>
      <c r="K393">
        <f>_xlfn.STDEV.S('R1'!L393,'R2'!L393,'R3'!L393)</f>
        <v>2.2867697186244387E-2</v>
      </c>
      <c r="L393">
        <f>_xlfn.STDEV.S('R1'!M393,'R2'!M393,'R3'!M393)</f>
        <v>5.3848724921584353E-3</v>
      </c>
      <c r="M393">
        <f>_xlfn.STDEV.S('R1'!N393,'R2'!N393,'R3'!N393)</f>
        <v>1.8989890811498482E-2</v>
      </c>
      <c r="N393">
        <f>_xlfn.STDEV.S('R1'!O393,'R2'!O393,'R3'!O393)</f>
        <v>1.3541999814407112E-2</v>
      </c>
    </row>
    <row r="394" spans="1:14" x14ac:dyDescent="0.25">
      <c r="A394">
        <f>-'R1'!H394</f>
        <v>-24</v>
      </c>
      <c r="B394">
        <f>DEGREES(ATAN(-SIN(RADIANS(('R1'!I394)))/(COS(RADIANS(Sheet1!A394))*COS(RADIANS('R1'!I394)))))</f>
        <v>42.567751063132313</v>
      </c>
      <c r="C394">
        <f>AVERAGE('R1'!J394,'R2'!J394,'R3'!J394)</f>
        <v>1.18</v>
      </c>
      <c r="D394">
        <f>AVERAGE('R1'!K394,'R2'!K394,'R3'!K394)</f>
        <v>11.281314333333333</v>
      </c>
      <c r="E394">
        <f>AVERAGE('R1'!L394,'R2'!L394,'R3'!L394)</f>
        <v>2.1044087827550504</v>
      </c>
      <c r="F394">
        <f>AVERAGE('R1'!M394,'R2'!M394,'R3'!M394)</f>
        <v>1.6829806059000907</v>
      </c>
      <c r="G394">
        <f>AVERAGE('R1'!N394,'R2'!N394,'R3'!N394)</f>
        <v>-1.3023166240741377</v>
      </c>
      <c r="H394">
        <f>AVERAGE('R1'!O394,'R2'!O394,'R3'!O394)</f>
        <v>-1.0548495816106938</v>
      </c>
      <c r="I394">
        <f t="shared" si="10"/>
        <v>2218.6584855555552</v>
      </c>
      <c r="K394">
        <f>_xlfn.STDEV.S('R1'!L394,'R2'!L394,'R3'!L394)</f>
        <v>1.9622143633419575E-2</v>
      </c>
      <c r="L394">
        <f>_xlfn.STDEV.S('R1'!M394,'R2'!M394,'R3'!M394)</f>
        <v>1.6453052238995342E-3</v>
      </c>
      <c r="M394">
        <f>_xlfn.STDEV.S('R1'!N394,'R2'!N394,'R3'!N394)</f>
        <v>1.8075813275592767E-2</v>
      </c>
      <c r="N394">
        <f>_xlfn.STDEV.S('R1'!O394,'R2'!O394,'R3'!O394)</f>
        <v>5.6809282681597618E-3</v>
      </c>
    </row>
    <row r="395" spans="1:14" x14ac:dyDescent="0.25">
      <c r="A395">
        <f>-'R1'!H395</f>
        <v>-24</v>
      </c>
      <c r="B395">
        <f>DEGREES(ATAN(-SIN(RADIANS(('R1'!I395)))/(COS(RADIANS(Sheet1!A395))*COS(RADIANS('R1'!I395)))))</f>
        <v>38.495223358359183</v>
      </c>
      <c r="C395">
        <f>AVERAGE('R1'!J395,'R2'!J395,'R3'!J395)</f>
        <v>1.18</v>
      </c>
      <c r="D395">
        <f>AVERAGE('R1'!K395,'R2'!K395,'R3'!K395)</f>
        <v>11.339631583333334</v>
      </c>
      <c r="E395">
        <f>AVERAGE('R1'!L395,'R2'!L395,'R3'!L395)</f>
        <v>1.896741929453307</v>
      </c>
      <c r="F395">
        <f>AVERAGE('R1'!M395,'R2'!M395,'R3'!M395)</f>
        <v>1.5833728850853142</v>
      </c>
      <c r="G395">
        <f>AVERAGE('R1'!N395,'R2'!N395,'R3'!N395)</f>
        <v>-1.081746361154851</v>
      </c>
      <c r="H395">
        <f>AVERAGE('R1'!O395,'R2'!O395,'R3'!O395)</f>
        <v>-0.85394344430146785</v>
      </c>
      <c r="I395">
        <f t="shared" si="10"/>
        <v>2230.1275447222224</v>
      </c>
      <c r="K395">
        <f>_xlfn.STDEV.S('R1'!L395,'R2'!L395,'R3'!L395)</f>
        <v>9.691641529564244E-3</v>
      </c>
      <c r="L395">
        <f>_xlfn.STDEV.S('R1'!M395,'R2'!M395,'R3'!M395)</f>
        <v>4.7821892154055121E-3</v>
      </c>
      <c r="M395">
        <f>_xlfn.STDEV.S('R1'!N395,'R2'!N395,'R3'!N395)</f>
        <v>1.3934433107583114E-2</v>
      </c>
      <c r="N395">
        <f>_xlfn.STDEV.S('R1'!O395,'R2'!O395,'R3'!O395)</f>
        <v>3.6523202285234898E-3</v>
      </c>
    </row>
    <row r="396" spans="1:14" x14ac:dyDescent="0.25">
      <c r="A396">
        <f>-'R1'!H396</f>
        <v>-24</v>
      </c>
      <c r="B396">
        <f>DEGREES(ATAN(-SIN(RADIANS(('R1'!I396)))/(COS(RADIANS(Sheet1!A396))*COS(RADIANS('R1'!I396)))))</f>
        <v>34.372309890771753</v>
      </c>
      <c r="C396">
        <f>AVERAGE('R1'!J396,'R2'!J396,'R3'!J396)</f>
        <v>1.18</v>
      </c>
      <c r="D396">
        <f>AVERAGE('R1'!K396,'R2'!K396,'R3'!K396)</f>
        <v>11.346125333333333</v>
      </c>
      <c r="E396">
        <f>AVERAGE('R1'!L396,'R2'!L396,'R3'!L396)</f>
        <v>1.7237880063154372</v>
      </c>
      <c r="F396">
        <f>AVERAGE('R1'!M396,'R2'!M396,'R3'!M396)</f>
        <v>1.5122440497312457</v>
      </c>
      <c r="G396">
        <f>AVERAGE('R1'!N396,'R2'!N396,'R3'!N396)</f>
        <v>-0.91831743635417595</v>
      </c>
      <c r="H396">
        <f>AVERAGE('R1'!O396,'R2'!O396,'R3'!O396)</f>
        <v>-0.67593051632163126</v>
      </c>
      <c r="I396">
        <f t="shared" si="10"/>
        <v>2231.4046488888889</v>
      </c>
      <c r="K396">
        <f>_xlfn.STDEV.S('R1'!L396,'R2'!L396,'R3'!L396)</f>
        <v>9.0651184307941803E-3</v>
      </c>
      <c r="L396">
        <f>_xlfn.STDEV.S('R1'!M396,'R2'!M396,'R3'!M396)</f>
        <v>9.2387570001744058E-3</v>
      </c>
      <c r="M396">
        <f>_xlfn.STDEV.S('R1'!N396,'R2'!N396,'R3'!N396)</f>
        <v>1.3400285752747227E-2</v>
      </c>
      <c r="N396">
        <f>_xlfn.STDEV.S('R1'!O396,'R2'!O396,'R3'!O396)</f>
        <v>2.3742734498627496E-3</v>
      </c>
    </row>
    <row r="397" spans="1:14" x14ac:dyDescent="0.25">
      <c r="A397">
        <f>-'R1'!H397</f>
        <v>-24</v>
      </c>
      <c r="B397">
        <f>DEGREES(ATAN(-SIN(RADIANS(('R1'!I397)))/(COS(RADIANS(Sheet1!A397))*COS(RADIANS('R1'!I397)))))</f>
        <v>30.200622081370245</v>
      </c>
      <c r="C397">
        <f>AVERAGE('R1'!J397,'R2'!J397,'R3'!J397)</f>
        <v>1.18</v>
      </c>
      <c r="D397">
        <f>AVERAGE('R1'!K397,'R2'!K397,'R3'!K397)</f>
        <v>11.394003916666668</v>
      </c>
      <c r="E397">
        <f>AVERAGE('R1'!L397,'R2'!L397,'R3'!L397)</f>
        <v>1.5596702510838709</v>
      </c>
      <c r="F397">
        <f>AVERAGE('R1'!M397,'R2'!M397,'R3'!M397)</f>
        <v>1.4592773551163443</v>
      </c>
      <c r="G397">
        <f>AVERAGE('R1'!N397,'R2'!N397,'R3'!N397)</f>
        <v>-0.78650082052651937</v>
      </c>
      <c r="H397">
        <f>AVERAGE('R1'!O397,'R2'!O397,'R3'!O397)</f>
        <v>-0.50521465716584346</v>
      </c>
      <c r="I397">
        <f t="shared" si="10"/>
        <v>2240.8207702777777</v>
      </c>
      <c r="K397">
        <f>_xlfn.STDEV.S('R1'!L397,'R2'!L397,'R3'!L397)</f>
        <v>7.6151663608340185E-3</v>
      </c>
      <c r="L397">
        <f>_xlfn.STDEV.S('R1'!M397,'R2'!M397,'R3'!M397)</f>
        <v>2.8093266501461552E-3</v>
      </c>
      <c r="M397">
        <f>_xlfn.STDEV.S('R1'!N397,'R2'!N397,'R3'!N397)</f>
        <v>8.4524079416032367E-3</v>
      </c>
      <c r="N397">
        <f>_xlfn.STDEV.S('R1'!O397,'R2'!O397,'R3'!O397)</f>
        <v>6.1140911196007359E-3</v>
      </c>
    </row>
    <row r="398" spans="1:14" x14ac:dyDescent="0.25">
      <c r="A398">
        <f>-'R1'!H398</f>
        <v>-24</v>
      </c>
      <c r="B398">
        <f>DEGREES(ATAN(-SIN(RADIANS(('R1'!I398)))/(COS(RADIANS(Sheet1!A398))*COS(RADIANS('R1'!I398)))))</f>
        <v>25.982912809070061</v>
      </c>
      <c r="C398">
        <f>AVERAGE('R1'!J398,'R2'!J398,'R3'!J398)</f>
        <v>1.1824999999999999</v>
      </c>
      <c r="D398">
        <f>AVERAGE('R1'!K398,'R2'!K398,'R3'!K398)</f>
        <v>11.413059166666669</v>
      </c>
      <c r="E398">
        <f>AVERAGE('R1'!L398,'R2'!L398,'R3'!L398)</f>
        <v>1.3814358492464625</v>
      </c>
      <c r="F398">
        <f>AVERAGE('R1'!M398,'R2'!M398,'R3'!M398)</f>
        <v>1.4301000087190487</v>
      </c>
      <c r="G398">
        <f>AVERAGE('R1'!N398,'R2'!N398,'R3'!N398)</f>
        <v>-0.67993327147868587</v>
      </c>
      <c r="H398">
        <f>AVERAGE('R1'!O398,'R2'!O398,'R3'!O398)</f>
        <v>-0.33972951669398704</v>
      </c>
      <c r="I398">
        <f t="shared" si="10"/>
        <v>2249.3237440972225</v>
      </c>
      <c r="K398">
        <f>_xlfn.STDEV.S('R1'!L398,'R2'!L398,'R3'!L398)</f>
        <v>5.583889346605528E-3</v>
      </c>
      <c r="L398">
        <f>_xlfn.STDEV.S('R1'!M398,'R2'!M398,'R3'!M398)</f>
        <v>7.3953288235374401E-3</v>
      </c>
      <c r="M398">
        <f>_xlfn.STDEV.S('R1'!N398,'R2'!N398,'R3'!N398)</f>
        <v>7.5770446113058859E-3</v>
      </c>
      <c r="N398">
        <f>_xlfn.STDEV.S('R1'!O398,'R2'!O398,'R3'!O398)</f>
        <v>6.490070265151587E-3</v>
      </c>
    </row>
    <row r="399" spans="1:14" x14ac:dyDescent="0.25">
      <c r="A399">
        <f>-'R1'!H399</f>
        <v>-24</v>
      </c>
      <c r="B399">
        <f>DEGREES(ATAN(-SIN(RADIANS(('R1'!I399)))/(COS(RADIANS(Sheet1!A399))*COS(RADIANS('R1'!I399)))))</f>
        <v>21.723080079379415</v>
      </c>
      <c r="C399">
        <f>AVERAGE('R1'!J399,'R2'!J399,'R3'!J399)</f>
        <v>1.1808333333333332</v>
      </c>
      <c r="D399">
        <f>AVERAGE('R1'!K399,'R2'!K399,'R3'!K399)</f>
        <v>11.440473916666667</v>
      </c>
      <c r="E399">
        <f>AVERAGE('R1'!L399,'R2'!L399,'R3'!L399)</f>
        <v>1.1816479501545001</v>
      </c>
      <c r="F399">
        <f>AVERAGE('R1'!M399,'R2'!M399,'R3'!M399)</f>
        <v>1.4324670233891057</v>
      </c>
      <c r="G399">
        <f>AVERAGE('R1'!N399,'R2'!N399,'R3'!N399)</f>
        <v>-0.58459361130657994</v>
      </c>
      <c r="H399">
        <f>AVERAGE('R1'!O399,'R2'!O399,'R3'!O399)</f>
        <v>-0.20105672074625622</v>
      </c>
      <c r="I399">
        <f t="shared" si="10"/>
        <v>2251.5488249884256</v>
      </c>
      <c r="K399">
        <f>_xlfn.STDEV.S('R1'!L399,'R2'!L399,'R3'!L399)</f>
        <v>6.606228725217031E-3</v>
      </c>
      <c r="L399">
        <f>_xlfn.STDEV.S('R1'!M399,'R2'!M399,'R3'!M399)</f>
        <v>1.5631562851897714E-2</v>
      </c>
      <c r="M399">
        <f>_xlfn.STDEV.S('R1'!N399,'R2'!N399,'R3'!N399)</f>
        <v>1.1344813438646134E-2</v>
      </c>
      <c r="N399">
        <f>_xlfn.STDEV.S('R1'!O399,'R2'!O399,'R3'!O399)</f>
        <v>8.8065350903990623E-3</v>
      </c>
    </row>
    <row r="400" spans="1:14" x14ac:dyDescent="0.25">
      <c r="A400">
        <f>-'R1'!H400</f>
        <v>-24</v>
      </c>
      <c r="B400">
        <f>DEGREES(ATAN(-SIN(RADIANS(('R1'!I400)))/(COS(RADIANS(Sheet1!A400))*COS(RADIANS('R1'!I400)))))</f>
        <v>17.426129149372727</v>
      </c>
      <c r="C400">
        <f>AVERAGE('R1'!J400,'R2'!J400,'R3'!J400)</f>
        <v>1.1833333333333333</v>
      </c>
      <c r="D400">
        <f>AVERAGE('R1'!K400,'R2'!K400,'R3'!K400)</f>
        <v>11.468592333333333</v>
      </c>
      <c r="E400">
        <f>AVERAGE('R1'!L400,'R2'!L400,'R3'!L400)</f>
        <v>0.95473445998976691</v>
      </c>
      <c r="F400">
        <f>AVERAGE('R1'!M400,'R2'!M400,'R3'!M400)</f>
        <v>1.4342133170173383</v>
      </c>
      <c r="G400">
        <f>AVERAGE('R1'!N400,'R2'!N400,'R3'!N400)</f>
        <v>-0.48413052609100315</v>
      </c>
      <c r="H400">
        <f>AVERAGE('R1'!O400,'R2'!O400,'R3'!O400)</f>
        <v>-8.6966712075885189E-2</v>
      </c>
      <c r="I400">
        <f t="shared" si="10"/>
        <v>2261.8612657407407</v>
      </c>
      <c r="K400">
        <f>_xlfn.STDEV.S('R1'!L400,'R2'!L400,'R3'!L400)</f>
        <v>1.0223277355753593E-3</v>
      </c>
      <c r="L400">
        <f>_xlfn.STDEV.S('R1'!M400,'R2'!M400,'R3'!M400)</f>
        <v>1.1099557522319286E-3</v>
      </c>
      <c r="M400">
        <f>_xlfn.STDEV.S('R1'!N400,'R2'!N400,'R3'!N400)</f>
        <v>6.2176688695496172E-3</v>
      </c>
      <c r="N400">
        <f>_xlfn.STDEV.S('R1'!O400,'R2'!O400,'R3'!O400)</f>
        <v>2.4083966304701584E-3</v>
      </c>
    </row>
    <row r="401" spans="1:14" x14ac:dyDescent="0.25">
      <c r="A401">
        <f>-'R1'!H401</f>
        <v>-24</v>
      </c>
      <c r="B401">
        <f>DEGREES(ATAN(-SIN(RADIANS(('R1'!I401)))/(COS(RADIANS(Sheet1!A401))*COS(RADIANS('R1'!I401)))))</f>
        <v>13.09808863151425</v>
      </c>
      <c r="C401">
        <f>AVERAGE('R1'!J401,'R2'!J401,'R3'!J401)</f>
        <v>1.1833333333333333</v>
      </c>
      <c r="D401">
        <f>AVERAGE('R1'!K401,'R2'!K401,'R3'!K401)</f>
        <v>11.491867749999999</v>
      </c>
      <c r="E401">
        <f>AVERAGE('R1'!L401,'R2'!L401,'R3'!L401)</f>
        <v>0.74561851179793681</v>
      </c>
      <c r="F401">
        <f>AVERAGE('R1'!M401,'R2'!M401,'R3'!M401)</f>
        <v>1.460243742037667</v>
      </c>
      <c r="G401">
        <f>AVERAGE('R1'!N401,'R2'!N401,'R3'!N401)</f>
        <v>-0.42382335496518558</v>
      </c>
      <c r="H401">
        <f>AVERAGE('R1'!O401,'R2'!O401,'R3'!O401)</f>
        <v>-6.9961547283550691E-3</v>
      </c>
      <c r="I401">
        <f t="shared" si="10"/>
        <v>2266.4516951388887</v>
      </c>
      <c r="K401">
        <f>_xlfn.STDEV.S('R1'!L401,'R2'!L401,'R3'!L401)</f>
        <v>8.5075480365648902E-3</v>
      </c>
      <c r="L401">
        <f>_xlfn.STDEV.S('R1'!M401,'R2'!M401,'R3'!M401)</f>
        <v>9.3124948036930316E-3</v>
      </c>
      <c r="M401">
        <f>_xlfn.STDEV.S('R1'!N401,'R2'!N401,'R3'!N401)</f>
        <v>9.1379736940129346E-3</v>
      </c>
      <c r="N401">
        <f>_xlfn.STDEV.S('R1'!O401,'R2'!O401,'R3'!O401)</f>
        <v>4.0694319413790616E-3</v>
      </c>
    </row>
    <row r="402" spans="1:14" x14ac:dyDescent="0.25">
      <c r="A402">
        <f>-'R1'!H402</f>
        <v>-24</v>
      </c>
      <c r="B402">
        <f>DEGREES(ATAN(-SIN(RADIANS(('R1'!I402)))/(COS(RADIANS(Sheet1!A402))*COS(RADIANS('R1'!I402)))))</f>
        <v>8.7458791850141893</v>
      </c>
      <c r="C402">
        <f>AVERAGE('R1'!J402,'R2'!J402,'R3'!J402)</f>
        <v>1.1833333333333333</v>
      </c>
      <c r="D402">
        <f>AVERAGE('R1'!K402,'R2'!K402,'R3'!K402)</f>
        <v>11.515952750000002</v>
      </c>
      <c r="E402">
        <f>AVERAGE('R1'!L402,'R2'!L402,'R3'!L402)</f>
        <v>0.52111817562673968</v>
      </c>
      <c r="F402">
        <f>AVERAGE('R1'!M402,'R2'!M402,'R3'!M402)</f>
        <v>1.5075260144641527</v>
      </c>
      <c r="G402">
        <f>AVERAGE('R1'!N402,'R2'!N402,'R3'!N402)</f>
        <v>-0.38392484127102328</v>
      </c>
      <c r="H402">
        <f>AVERAGE('R1'!O402,'R2'!O402,'R3'!O402)</f>
        <v>6.9518638899294313E-2</v>
      </c>
      <c r="I402">
        <f t="shared" si="10"/>
        <v>2271.2017923611115</v>
      </c>
      <c r="K402">
        <f>_xlfn.STDEV.S('R1'!L402,'R2'!L402,'R3'!L402)</f>
        <v>2.4692767283886305E-3</v>
      </c>
      <c r="L402">
        <f>_xlfn.STDEV.S('R1'!M402,'R2'!M402,'R3'!M402)</f>
        <v>4.7045643381883719E-3</v>
      </c>
      <c r="M402">
        <f>_xlfn.STDEV.S('R1'!N402,'R2'!N402,'R3'!N402)</f>
        <v>1.327553229500902E-3</v>
      </c>
      <c r="N402">
        <f>_xlfn.STDEV.S('R1'!O402,'R2'!O402,'R3'!O402)</f>
        <v>4.8924732346102458E-3</v>
      </c>
    </row>
    <row r="403" spans="1:14" x14ac:dyDescent="0.25">
      <c r="A403">
        <f>-'R1'!H403</f>
        <v>-24</v>
      </c>
      <c r="B403">
        <f>DEGREES(ATAN(-SIN(RADIANS(('R1'!I403)))/(COS(RADIANS(Sheet1!A403))*COS(RADIANS('R1'!I403)))))</f>
        <v>4.3771372039965373</v>
      </c>
      <c r="C403">
        <f>AVERAGE('R1'!J403,'R2'!J403,'R3'!J403)</f>
        <v>1.1808333333333332</v>
      </c>
      <c r="D403">
        <f>AVERAGE('R1'!K403,'R2'!K403,'R3'!K403)</f>
        <v>11.5796165</v>
      </c>
      <c r="E403">
        <f>AVERAGE('R1'!L403,'R2'!L403,'R3'!L403)</f>
        <v>0.28104436666767013</v>
      </c>
      <c r="F403">
        <f>AVERAGE('R1'!M403,'R2'!M403,'R3'!M403)</f>
        <v>1.5714152693919283</v>
      </c>
      <c r="G403">
        <f>AVERAGE('R1'!N403,'R2'!N403,'R3'!N403)</f>
        <v>-0.36862589414277891</v>
      </c>
      <c r="H403">
        <f>AVERAGE('R1'!O403,'R2'!O403,'R3'!O403)</f>
        <v>0.14526430526276513</v>
      </c>
      <c r="I403">
        <f t="shared" si="10"/>
        <v>2278.9328584027776</v>
      </c>
      <c r="K403">
        <f>_xlfn.STDEV.S('R1'!L403,'R2'!L403,'R3'!L403)</f>
        <v>5.1516563148183816E-3</v>
      </c>
      <c r="L403">
        <f>_xlfn.STDEV.S('R1'!M403,'R2'!M403,'R3'!M403)</f>
        <v>1.6875620792403782E-2</v>
      </c>
      <c r="M403">
        <f>_xlfn.STDEV.S('R1'!N403,'R2'!N403,'R3'!N403)</f>
        <v>1.0224245128487882E-2</v>
      </c>
      <c r="N403">
        <f>_xlfn.STDEV.S('R1'!O403,'R2'!O403,'R3'!O403)</f>
        <v>4.3082698344242025E-3</v>
      </c>
    </row>
    <row r="404" spans="1:14" x14ac:dyDescent="0.25">
      <c r="A404">
        <f>-'R1'!H404</f>
        <v>-24</v>
      </c>
      <c r="B404">
        <f>DEGREES(ATAN(-SIN(RADIANS(('R1'!I404)))/(COS(RADIANS(Sheet1!A404))*COS(RADIANS('R1'!I404)))))</f>
        <v>0</v>
      </c>
      <c r="C404">
        <f>AVERAGE('R1'!J404,'R2'!J404,'R3'!J404)</f>
        <v>1.18</v>
      </c>
      <c r="D404">
        <f>AVERAGE('R1'!K404,'R2'!K404,'R3'!K404)</f>
        <v>11.587825583333334</v>
      </c>
      <c r="E404">
        <f>AVERAGE('R1'!L404,'R2'!L404,'R3'!L404)</f>
        <v>1.5856593518213429E-2</v>
      </c>
      <c r="F404">
        <f>AVERAGE('R1'!M404,'R2'!M404,'R3'!M404)</f>
        <v>1.6771663354342483</v>
      </c>
      <c r="G404">
        <f>AVERAGE('R1'!N404,'R2'!N404,'R3'!N404)</f>
        <v>-0.38950179550320813</v>
      </c>
      <c r="H404">
        <f>AVERAGE('R1'!O404,'R2'!O404,'R3'!O404)</f>
        <v>0.22101615055675319</v>
      </c>
      <c r="I404">
        <f t="shared" si="10"/>
        <v>2278.9390313888894</v>
      </c>
      <c r="K404">
        <f>_xlfn.STDEV.S('R1'!L404,'R2'!L404,'R3'!L404)</f>
        <v>3.8448205145137468E-3</v>
      </c>
      <c r="L404">
        <f>_xlfn.STDEV.S('R1'!M404,'R2'!M404,'R3'!M404)</f>
        <v>1.3326229042379407E-3</v>
      </c>
      <c r="M404">
        <f>_xlfn.STDEV.S('R1'!N404,'R2'!N404,'R3'!N404)</f>
        <v>3.6972812187738677E-3</v>
      </c>
      <c r="N404">
        <f>_xlfn.STDEV.S('R1'!O404,'R2'!O404,'R3'!O404)</f>
        <v>4.700905420547124E-3</v>
      </c>
    </row>
    <row r="405" spans="1:14" x14ac:dyDescent="0.25">
      <c r="A405">
        <f>-'R1'!H405</f>
        <v>-24</v>
      </c>
      <c r="B405">
        <f>DEGREES(ATAN(-SIN(RADIANS(('R1'!I405)))/(COS(RADIANS(Sheet1!A405))*COS(RADIANS('R1'!I405)))))</f>
        <v>-4.3771372039965373</v>
      </c>
      <c r="C405">
        <f>AVERAGE('R1'!J405,'R2'!J405,'R3'!J405)</f>
        <v>1.18</v>
      </c>
      <c r="D405">
        <f>AVERAGE('R1'!K405,'R2'!K405,'R3'!K405)</f>
        <v>11.621167666666667</v>
      </c>
      <c r="E405">
        <f>AVERAGE('R1'!L405,'R2'!L405,'R3'!L405)</f>
        <v>-0.25686958755791028</v>
      </c>
      <c r="F405">
        <f>AVERAGE('R1'!M405,'R2'!M405,'R3'!M405)</f>
        <v>1.5865212234319521</v>
      </c>
      <c r="G405">
        <f>AVERAGE('R1'!N405,'R2'!N405,'R3'!N405)</f>
        <v>-0.38252583227128473</v>
      </c>
      <c r="H405">
        <f>AVERAGE('R1'!O405,'R2'!O405,'R3'!O405)</f>
        <v>0.15186773410968354</v>
      </c>
      <c r="I405">
        <f t="shared" si="10"/>
        <v>2285.4963077777779</v>
      </c>
      <c r="K405">
        <f>_xlfn.STDEV.S('R1'!L405,'R2'!L405,'R3'!L405)</f>
        <v>6.0951544286090807E-3</v>
      </c>
      <c r="L405">
        <f>_xlfn.STDEV.S('R1'!M405,'R2'!M405,'R3'!M405)</f>
        <v>6.7829813409446358E-3</v>
      </c>
      <c r="M405">
        <f>_xlfn.STDEV.S('R1'!N405,'R2'!N405,'R3'!N405)</f>
        <v>1.5588758043442153E-3</v>
      </c>
      <c r="N405">
        <f>_xlfn.STDEV.S('R1'!O405,'R2'!O405,'R3'!O405)</f>
        <v>4.2743255730563661E-3</v>
      </c>
    </row>
    <row r="406" spans="1:14" x14ac:dyDescent="0.25">
      <c r="A406">
        <f>-'R1'!H406</f>
        <v>-24</v>
      </c>
      <c r="B406">
        <f>DEGREES(ATAN(-SIN(RADIANS(('R1'!I406)))/(COS(RADIANS(Sheet1!A406))*COS(RADIANS('R1'!I406)))))</f>
        <v>-8.7458791850141893</v>
      </c>
      <c r="C406">
        <f>AVERAGE('R1'!J406,'R2'!J406,'R3'!J406)</f>
        <v>1.1808333333333332</v>
      </c>
      <c r="D406">
        <f>AVERAGE('R1'!K406,'R2'!K406,'R3'!K406)</f>
        <v>11.661030666666667</v>
      </c>
      <c r="E406">
        <f>AVERAGE('R1'!L406,'R2'!L406,'R3'!L406)</f>
        <v>-0.50381014426433113</v>
      </c>
      <c r="F406">
        <f>AVERAGE('R1'!M406,'R2'!M406,'R3'!M406)</f>
        <v>1.5076159662366482</v>
      </c>
      <c r="G406">
        <f>AVERAGE('R1'!N406,'R2'!N406,'R3'!N406)</f>
        <v>-0.3930898611779714</v>
      </c>
      <c r="H406">
        <f>AVERAGE('R1'!O406,'R2'!O406,'R3'!O406)</f>
        <v>7.4047441624401314E-2</v>
      </c>
      <c r="I406">
        <f t="shared" si="10"/>
        <v>2294.9556187037033</v>
      </c>
      <c r="K406">
        <f>_xlfn.STDEV.S('R1'!L406,'R2'!L406,'R3'!L406)</f>
        <v>5.5522122591510452E-3</v>
      </c>
      <c r="L406">
        <f>_xlfn.STDEV.S('R1'!M406,'R2'!M406,'R3'!M406)</f>
        <v>1.4103544819152771E-2</v>
      </c>
      <c r="M406">
        <f>_xlfn.STDEV.S('R1'!N406,'R2'!N406,'R3'!N406)</f>
        <v>1.6086432280848675E-2</v>
      </c>
      <c r="N406">
        <f>_xlfn.STDEV.S('R1'!O406,'R2'!O406,'R3'!O406)</f>
        <v>5.9196132800265989E-3</v>
      </c>
    </row>
    <row r="407" spans="1:14" x14ac:dyDescent="0.25">
      <c r="A407">
        <f>-'R1'!H407</f>
        <v>-24</v>
      </c>
      <c r="B407">
        <f>DEGREES(ATAN(-SIN(RADIANS(('R1'!I407)))/(COS(RADIANS(Sheet1!A407))*COS(RADIANS('R1'!I407)))))</f>
        <v>-13.09808863151425</v>
      </c>
      <c r="C407">
        <f>AVERAGE('R1'!J407,'R2'!J407,'R3'!J407)</f>
        <v>1.1833333333333333</v>
      </c>
      <c r="D407">
        <f>AVERAGE('R1'!K407,'R2'!K407,'R3'!K407)</f>
        <v>11.646474500000002</v>
      </c>
      <c r="E407">
        <f>AVERAGE('R1'!L407,'R2'!L407,'R3'!L407)</f>
        <v>-0.75721477112107427</v>
      </c>
      <c r="F407">
        <f>AVERAGE('R1'!M407,'R2'!M407,'R3'!M407)</f>
        <v>1.4619552006788072</v>
      </c>
      <c r="G407">
        <f>AVERAGE('R1'!N407,'R2'!N407,'R3'!N407)</f>
        <v>-0.4480915392992621</v>
      </c>
      <c r="H407">
        <f>AVERAGE('R1'!O407,'R2'!O407,'R3'!O407)</f>
        <v>-2.8556653785688724E-2</v>
      </c>
      <c r="I407">
        <f t="shared" si="10"/>
        <v>2296.9435819444448</v>
      </c>
      <c r="K407">
        <f>_xlfn.STDEV.S('R1'!L407,'R2'!L407,'R3'!L407)</f>
        <v>6.8491401235019336E-3</v>
      </c>
      <c r="L407">
        <f>_xlfn.STDEV.S('R1'!M407,'R2'!M407,'R3'!M407)</f>
        <v>7.28160688465441E-3</v>
      </c>
      <c r="M407">
        <f>_xlfn.STDEV.S('R1'!N407,'R2'!N407,'R3'!N407)</f>
        <v>3.577655493916968E-3</v>
      </c>
      <c r="N407">
        <f>_xlfn.STDEV.S('R1'!O407,'R2'!O407,'R3'!O407)</f>
        <v>5.7725258514890656E-3</v>
      </c>
    </row>
    <row r="408" spans="1:14" x14ac:dyDescent="0.25">
      <c r="A408">
        <f>-'R1'!H408</f>
        <v>-24</v>
      </c>
      <c r="B408">
        <f>DEGREES(ATAN(-SIN(RADIANS(('R1'!I408)))/(COS(RADIANS(Sheet1!A408))*COS(RADIANS('R1'!I408)))))</f>
        <v>-17.426129149372727</v>
      </c>
      <c r="C408">
        <f>AVERAGE('R1'!J408,'R2'!J408,'R3'!J408)</f>
        <v>1.18</v>
      </c>
      <c r="D408">
        <f>AVERAGE('R1'!K408,'R2'!K408,'R3'!K408)</f>
        <v>11.706143833333334</v>
      </c>
      <c r="E408">
        <f>AVERAGE('R1'!L408,'R2'!L408,'R3'!L408)</f>
        <v>-1.0097694310659777</v>
      </c>
      <c r="F408">
        <f>AVERAGE('R1'!M408,'R2'!M408,'R3'!M408)</f>
        <v>1.4347045844885675</v>
      </c>
      <c r="G408">
        <f>AVERAGE('R1'!N408,'R2'!N408,'R3'!N408)</f>
        <v>-0.52947038949317315</v>
      </c>
      <c r="H408">
        <f>AVERAGE('R1'!O408,'R2'!O408,'R3'!O408)</f>
        <v>-0.11891657066625784</v>
      </c>
      <c r="I408">
        <f t="shared" si="10"/>
        <v>2302.2082872222222</v>
      </c>
      <c r="K408">
        <f>_xlfn.STDEV.S('R1'!L408,'R2'!L408,'R3'!L408)</f>
        <v>6.1497591734812288E-3</v>
      </c>
      <c r="L408">
        <f>_xlfn.STDEV.S('R1'!M408,'R2'!M408,'R3'!M408)</f>
        <v>1.7848480418456495E-2</v>
      </c>
      <c r="M408">
        <f>_xlfn.STDEV.S('R1'!N408,'R2'!N408,'R3'!N408)</f>
        <v>1.149897113653495E-2</v>
      </c>
      <c r="N408">
        <f>_xlfn.STDEV.S('R1'!O408,'R2'!O408,'R3'!O408)</f>
        <v>7.0375762646312781E-3</v>
      </c>
    </row>
    <row r="409" spans="1:14" x14ac:dyDescent="0.25">
      <c r="A409">
        <f>-'R1'!H409</f>
        <v>-24</v>
      </c>
      <c r="B409">
        <f>DEGREES(ATAN(-SIN(RADIANS(('R1'!I409)))/(COS(RADIANS(Sheet1!A409))*COS(RADIANS('R1'!I409)))))</f>
        <v>-21.723080079379415</v>
      </c>
      <c r="C409">
        <f>AVERAGE('R1'!J409,'R2'!J409,'R3'!J409)</f>
        <v>1.18</v>
      </c>
      <c r="D409">
        <f>AVERAGE('R1'!K409,'R2'!K409,'R3'!K409)</f>
        <v>11.649975416666669</v>
      </c>
      <c r="E409">
        <f>AVERAGE('R1'!L409,'R2'!L409,'R3'!L409)</f>
        <v>-1.2269491655101312</v>
      </c>
      <c r="F409">
        <f>AVERAGE('R1'!M409,'R2'!M409,'R3'!M409)</f>
        <v>1.444973254973249</v>
      </c>
      <c r="G409">
        <f>AVERAGE('R1'!N409,'R2'!N409,'R3'!N409)</f>
        <v>-0.63420180438791685</v>
      </c>
      <c r="H409">
        <f>AVERAGE('R1'!O409,'R2'!O409,'R3'!O409)</f>
        <v>-0.23808739816436178</v>
      </c>
      <c r="I409">
        <f t="shared" si="10"/>
        <v>2291.1618319444451</v>
      </c>
      <c r="K409">
        <f>_xlfn.STDEV.S('R1'!L409,'R2'!L409,'R3'!L409)</f>
        <v>6.3397336174025581E-3</v>
      </c>
      <c r="L409">
        <f>_xlfn.STDEV.S('R1'!M409,'R2'!M409,'R3'!M409)</f>
        <v>1.0821364439231826E-2</v>
      </c>
      <c r="M409">
        <f>_xlfn.STDEV.S('R1'!N409,'R2'!N409,'R3'!N409)</f>
        <v>9.2452651398624869E-3</v>
      </c>
      <c r="N409">
        <f>_xlfn.STDEV.S('R1'!O409,'R2'!O409,'R3'!O409)</f>
        <v>7.8674739572178482E-3</v>
      </c>
    </row>
    <row r="410" spans="1:14" x14ac:dyDescent="0.25">
      <c r="A410">
        <f>-'R1'!H410</f>
        <v>-24</v>
      </c>
      <c r="B410">
        <f>DEGREES(ATAN(-SIN(RADIANS(('R1'!I410)))/(COS(RADIANS(Sheet1!A410))*COS(RADIANS('R1'!I410)))))</f>
        <v>-25.982912809070061</v>
      </c>
      <c r="C410">
        <f>AVERAGE('R1'!J410,'R2'!J410,'R3'!J410)</f>
        <v>1.18</v>
      </c>
      <c r="D410">
        <f>AVERAGE('R1'!K410,'R2'!K410,'R3'!K410)</f>
        <v>11.573599333333334</v>
      </c>
      <c r="E410">
        <f>AVERAGE('R1'!L410,'R2'!L410,'R3'!L410)</f>
        <v>-1.4300522390661754</v>
      </c>
      <c r="F410">
        <f>AVERAGE('R1'!M410,'R2'!M410,'R3'!M410)</f>
        <v>1.5006442311119426</v>
      </c>
      <c r="G410">
        <f>AVERAGE('R1'!N410,'R2'!N410,'R3'!N410)</f>
        <v>-0.76328489532405286</v>
      </c>
      <c r="H410">
        <f>AVERAGE('R1'!O410,'R2'!O410,'R3'!O410)</f>
        <v>-0.39977795129531257</v>
      </c>
      <c r="I410">
        <f t="shared" si="10"/>
        <v>2276.1412022222225</v>
      </c>
      <c r="K410">
        <f>_xlfn.STDEV.S('R1'!L410,'R2'!L410,'R3'!L410)</f>
        <v>9.3006838578011709E-3</v>
      </c>
      <c r="L410">
        <f>_xlfn.STDEV.S('R1'!M410,'R2'!M410,'R3'!M410)</f>
        <v>1.5968084430204293E-2</v>
      </c>
      <c r="M410">
        <f>_xlfn.STDEV.S('R1'!N410,'R2'!N410,'R3'!N410)</f>
        <v>7.1893719757256062E-3</v>
      </c>
      <c r="N410">
        <f>_xlfn.STDEV.S('R1'!O410,'R2'!O410,'R3'!O410)</f>
        <v>4.1343258527888737E-3</v>
      </c>
    </row>
    <row r="411" spans="1:14" x14ac:dyDescent="0.25">
      <c r="A411">
        <f>-'R1'!H411</f>
        <v>-24</v>
      </c>
      <c r="B411">
        <f>DEGREES(ATAN(-SIN(RADIANS(('R1'!I411)))/(COS(RADIANS(Sheet1!A411))*COS(RADIANS('R1'!I411)))))</f>
        <v>-30.200622081370245</v>
      </c>
      <c r="C411">
        <f>AVERAGE('R1'!J411,'R2'!J411,'R3'!J411)</f>
        <v>1.18</v>
      </c>
      <c r="D411">
        <f>AVERAGE('R1'!K411,'R2'!K411,'R3'!K411)</f>
        <v>11.459957916666667</v>
      </c>
      <c r="E411">
        <f>AVERAGE('R1'!L411,'R2'!L411,'R3'!L411)</f>
        <v>-1.6150325804088428</v>
      </c>
      <c r="F411">
        <f>AVERAGE('R1'!M411,'R2'!M411,'R3'!M411)</f>
        <v>1.5869855427507444</v>
      </c>
      <c r="G411">
        <f>AVERAGE('R1'!N411,'R2'!N411,'R3'!N411)</f>
        <v>-0.91219185568887207</v>
      </c>
      <c r="H411">
        <f>AVERAGE('R1'!O411,'R2'!O411,'R3'!O411)</f>
        <v>-0.56881221643962698</v>
      </c>
      <c r="I411">
        <f t="shared" si="10"/>
        <v>2253.7917236111111</v>
      </c>
      <c r="K411">
        <f>_xlfn.STDEV.S('R1'!L411,'R2'!L411,'R3'!L411)</f>
        <v>7.9101092882395158E-3</v>
      </c>
      <c r="L411">
        <f>_xlfn.STDEV.S('R1'!M411,'R2'!M411,'R3'!M411)</f>
        <v>1.0434843877346753E-2</v>
      </c>
      <c r="M411">
        <f>_xlfn.STDEV.S('R1'!N411,'R2'!N411,'R3'!N411)</f>
        <v>5.0226171279678994E-3</v>
      </c>
      <c r="N411">
        <f>_xlfn.STDEV.S('R1'!O411,'R2'!O411,'R3'!O411)</f>
        <v>1.8028185947466468E-3</v>
      </c>
    </row>
    <row r="412" spans="1:14" x14ac:dyDescent="0.25">
      <c r="A412">
        <f>-'R1'!H412</f>
        <v>-24</v>
      </c>
      <c r="B412">
        <f>DEGREES(ATAN(-SIN(RADIANS(('R1'!I412)))/(COS(RADIANS(Sheet1!A412))*COS(RADIANS('R1'!I412)))))</f>
        <v>-34.372309890771753</v>
      </c>
      <c r="C412">
        <f>AVERAGE('R1'!J412,'R2'!J412,'R3'!J412)</f>
        <v>1.18</v>
      </c>
      <c r="D412">
        <f>AVERAGE('R1'!K412,'R2'!K412,'R3'!K412)</f>
        <v>11.222969416666666</v>
      </c>
      <c r="E412">
        <f>AVERAGE('R1'!L412,'R2'!L412,'R3'!L412)</f>
        <v>-1.8252122894298397</v>
      </c>
      <c r="F412">
        <f>AVERAGE('R1'!M412,'R2'!M412,'R3'!M412)</f>
        <v>1.7088052710513466</v>
      </c>
      <c r="G412">
        <f>AVERAGE('R1'!N412,'R2'!N412,'R3'!N412)</f>
        <v>-1.1187051537142321</v>
      </c>
      <c r="H412">
        <f>AVERAGE('R1'!O412,'R2'!O412,'R3'!O412)</f>
        <v>-0.77292830587480654</v>
      </c>
      <c r="I412">
        <f t="shared" si="10"/>
        <v>2207.183985277778</v>
      </c>
      <c r="K412">
        <f>_xlfn.STDEV.S('R1'!L412,'R2'!L412,'R3'!L412)</f>
        <v>9.1066742069871431E-3</v>
      </c>
      <c r="L412">
        <f>_xlfn.STDEV.S('R1'!M412,'R2'!M412,'R3'!M412)</f>
        <v>7.321574411634473E-3</v>
      </c>
      <c r="M412">
        <f>_xlfn.STDEV.S('R1'!N412,'R2'!N412,'R3'!N412)</f>
        <v>6.5554165730833799E-3</v>
      </c>
      <c r="N412">
        <f>_xlfn.STDEV.S('R1'!O412,'R2'!O412,'R3'!O412)</f>
        <v>3.796477914529456E-3</v>
      </c>
    </row>
    <row r="413" spans="1:14" x14ac:dyDescent="0.25">
      <c r="A413">
        <f>-'R1'!H413</f>
        <v>-24</v>
      </c>
      <c r="B413">
        <f>DEGREES(ATAN(-SIN(RADIANS(('R1'!I413)))/(COS(RADIANS(Sheet1!A413))*COS(RADIANS('R1'!I413)))))</f>
        <v>-38.495223358359183</v>
      </c>
      <c r="C413">
        <f>AVERAGE('R1'!J413,'R2'!J413,'R3'!J413)</f>
        <v>1.18</v>
      </c>
      <c r="D413">
        <f>AVERAGE('R1'!K413,'R2'!K413,'R3'!K413)</f>
        <v>11.109522916666668</v>
      </c>
      <c r="E413">
        <f>AVERAGE('R1'!L413,'R2'!L413,'R3'!L413)</f>
        <v>-2.0575117089025539</v>
      </c>
      <c r="F413">
        <f>AVERAGE('R1'!M413,'R2'!M413,'R3'!M413)</f>
        <v>1.8545211494221157</v>
      </c>
      <c r="G413">
        <f>AVERAGE('R1'!N413,'R2'!N413,'R3'!N413)</f>
        <v>-1.3718361388282505</v>
      </c>
      <c r="H413">
        <f>AVERAGE('R1'!O413,'R2'!O413,'R3'!O413)</f>
        <v>-0.99004006192761329</v>
      </c>
      <c r="I413">
        <f t="shared" si="10"/>
        <v>2184.8728402777779</v>
      </c>
      <c r="K413">
        <f>_xlfn.STDEV.S('R1'!L413,'R2'!L413,'R3'!L413)</f>
        <v>1.8383295269993966E-2</v>
      </c>
      <c r="L413">
        <f>_xlfn.STDEV.S('R1'!M413,'R2'!M413,'R3'!M413)</f>
        <v>3.5882615489895484E-3</v>
      </c>
      <c r="M413">
        <f>_xlfn.STDEV.S('R1'!N413,'R2'!N413,'R3'!N413)</f>
        <v>2.0095864041739363E-2</v>
      </c>
      <c r="N413">
        <f>_xlfn.STDEV.S('R1'!O413,'R2'!O413,'R3'!O413)</f>
        <v>1.5860914343144032E-3</v>
      </c>
    </row>
    <row r="414" spans="1:14" x14ac:dyDescent="0.25">
      <c r="A414">
        <f>-'R1'!H414</f>
        <v>-24</v>
      </c>
      <c r="B414">
        <f>DEGREES(ATAN(-SIN(RADIANS(('R1'!I414)))/(COS(RADIANS(Sheet1!A414))*COS(RADIANS('R1'!I414)))))</f>
        <v>-42.567751063132313</v>
      </c>
      <c r="C414">
        <f>AVERAGE('R1'!J414,'R2'!J414,'R3'!J414)</f>
        <v>1.18</v>
      </c>
      <c r="D414">
        <f>AVERAGE('R1'!K414,'R2'!K414,'R3'!K414)</f>
        <v>11.058142583333334</v>
      </c>
      <c r="E414">
        <f>AVERAGE('R1'!L414,'R2'!L414,'R3'!L414)</f>
        <v>-2.3490856131682998</v>
      </c>
      <c r="F414">
        <f>AVERAGE('R1'!M414,'R2'!M414,'R3'!M414)</f>
        <v>2.058450675589389</v>
      </c>
      <c r="G414">
        <f>AVERAGE('R1'!N414,'R2'!N414,'R3'!N414)</f>
        <v>-1.7035466959119088</v>
      </c>
      <c r="H414">
        <f>AVERAGE('R1'!O414,'R2'!O414,'R3'!O414)</f>
        <v>-1.2527335082948821</v>
      </c>
      <c r="I414">
        <f t="shared" si="10"/>
        <v>2174.7680413888893</v>
      </c>
      <c r="K414">
        <f>_xlfn.STDEV.S('R1'!L414,'R2'!L414,'R3'!L414)</f>
        <v>2.8357721749380217E-2</v>
      </c>
      <c r="L414">
        <f>_xlfn.STDEV.S('R1'!M414,'R2'!M414,'R3'!M414)</f>
        <v>4.3697110713350248E-3</v>
      </c>
      <c r="M414">
        <f>_xlfn.STDEV.S('R1'!N414,'R2'!N414,'R3'!N414)</f>
        <v>3.2193305395368903E-2</v>
      </c>
      <c r="N414">
        <f>_xlfn.STDEV.S('R1'!O414,'R2'!O414,'R3'!O414)</f>
        <v>9.2773502745475012E-3</v>
      </c>
    </row>
    <row r="415" spans="1:14" x14ac:dyDescent="0.25">
      <c r="A415">
        <f>-'R1'!H415</f>
        <v>-24</v>
      </c>
      <c r="B415">
        <f>DEGREES(ATAN(-SIN(RADIANS(('R1'!I415)))/(COS(RADIANS(Sheet1!A415))*COS(RADIANS('R1'!I415)))))</f>
        <v>-46.589384435425394</v>
      </c>
      <c r="C415">
        <f>AVERAGE('R1'!J415,'R2'!J415,'R3'!J415)</f>
        <v>1.18</v>
      </c>
      <c r="D415">
        <f>AVERAGE('R1'!K415,'R2'!K415,'R3'!K415)</f>
        <v>10.938097833333336</v>
      </c>
      <c r="E415">
        <f>AVERAGE('R1'!L415,'R2'!L415,'R3'!L415)</f>
        <v>-2.7279924756226208</v>
      </c>
      <c r="F415">
        <f>AVERAGE('R1'!M415,'R2'!M415,'R3'!M415)</f>
        <v>2.3227161121357649</v>
      </c>
      <c r="G415">
        <f>AVERAGE('R1'!N415,'R2'!N415,'R3'!N415)</f>
        <v>-2.1749045142081802</v>
      </c>
      <c r="H415">
        <f>AVERAGE('R1'!O415,'R2'!O415,'R3'!O415)</f>
        <v>-1.5691147731377579</v>
      </c>
      <c r="I415">
        <f t="shared" si="10"/>
        <v>2151.1592405555562</v>
      </c>
      <c r="K415">
        <f>_xlfn.STDEV.S('R1'!L415,'R2'!L415,'R3'!L415)</f>
        <v>3.7270525542561397E-2</v>
      </c>
      <c r="L415">
        <f>_xlfn.STDEV.S('R1'!M415,'R2'!M415,'R3'!M415)</f>
        <v>1.1796449846732579E-2</v>
      </c>
      <c r="M415">
        <f>_xlfn.STDEV.S('R1'!N415,'R2'!N415,'R3'!N415)</f>
        <v>3.9300790731665057E-2</v>
      </c>
      <c r="N415">
        <f>_xlfn.STDEV.S('R1'!O415,'R2'!O415,'R3'!O415)</f>
        <v>1.5463565886524569E-2</v>
      </c>
    </row>
    <row r="416" spans="1:14" x14ac:dyDescent="0.25">
      <c r="A416">
        <f>-'R1'!H416</f>
        <v>-28</v>
      </c>
      <c r="B416">
        <f>DEGREES(ATAN(-SIN(RADIANS(('R1'!I416)))/(COS(RADIANS(Sheet1!A416))*COS(RADIANS('R1'!I416)))))</f>
        <v>47.562731505879128</v>
      </c>
      <c r="C416">
        <f>AVERAGE('R1'!J416,'R2'!J416,'R3'!J416)</f>
        <v>1.18</v>
      </c>
      <c r="D416">
        <f>AVERAGE('R1'!K416,'R2'!K416,'R3'!K416)</f>
        <v>11.065179749999999</v>
      </c>
      <c r="E416">
        <f>AVERAGE('R1'!L416,'R2'!L416,'R3'!L416)</f>
        <v>2.2594535197020291</v>
      </c>
      <c r="F416">
        <f>AVERAGE('R1'!M416,'R2'!M416,'R3'!M416)</f>
        <v>1.9747344457563962</v>
      </c>
      <c r="G416">
        <f>AVERAGE('R1'!N416,'R2'!N416,'R3'!N416)</f>
        <v>-1.614211522664373</v>
      </c>
      <c r="H416">
        <f>AVERAGE('R1'!O416,'R2'!O416,'R3'!O416)</f>
        <v>-1.3474845846089358</v>
      </c>
      <c r="I416">
        <f t="shared" si="10"/>
        <v>2176.1520174999996</v>
      </c>
      <c r="K416">
        <f>_xlfn.STDEV.S('R1'!L416,'R2'!L416,'R3'!L416)</f>
        <v>2.0835460765211283E-2</v>
      </c>
      <c r="L416">
        <f>_xlfn.STDEV.S('R1'!M416,'R2'!M416,'R3'!M416)</f>
        <v>8.5714518207547601E-3</v>
      </c>
      <c r="M416">
        <f>_xlfn.STDEV.S('R1'!N416,'R2'!N416,'R3'!N416)</f>
        <v>1.4701392663391268E-2</v>
      </c>
      <c r="N416">
        <f>_xlfn.STDEV.S('R1'!O416,'R2'!O416,'R3'!O416)</f>
        <v>1.0039168076031366E-2</v>
      </c>
    </row>
    <row r="417" spans="1:14" x14ac:dyDescent="0.25">
      <c r="A417">
        <f>-'R1'!H417</f>
        <v>-28</v>
      </c>
      <c r="B417">
        <f>DEGREES(ATAN(-SIN(RADIANS(('R1'!I417)))/(COS(RADIANS(Sheet1!A417))*COS(RADIANS('R1'!I417)))))</f>
        <v>43.541410263843531</v>
      </c>
      <c r="C417">
        <f>AVERAGE('R1'!J417,'R2'!J417,'R3'!J417)</f>
        <v>1.1833333333333333</v>
      </c>
      <c r="D417">
        <f>AVERAGE('R1'!K417,'R2'!K417,'R3'!K417)</f>
        <v>11.107633</v>
      </c>
      <c r="E417">
        <f>AVERAGE('R1'!L417,'R2'!L417,'R3'!L417)</f>
        <v>2.0619778461093925</v>
      </c>
      <c r="F417">
        <f>AVERAGE('R1'!M417,'R2'!M417,'R3'!M417)</f>
        <v>1.8489790769480117</v>
      </c>
      <c r="G417">
        <f>AVERAGE('R1'!N417,'R2'!N417,'R3'!N417)</f>
        <v>-1.3656541112475686</v>
      </c>
      <c r="H417">
        <f>AVERAGE('R1'!O417,'R2'!O417,'R3'!O417)</f>
        <v>-1.1473036300691206</v>
      </c>
      <c r="I417">
        <f t="shared" si="10"/>
        <v>2190.6720638888887</v>
      </c>
      <c r="K417">
        <f>_xlfn.STDEV.S('R1'!L417,'R2'!L417,'R3'!L417)</f>
        <v>1.5392788805952634E-2</v>
      </c>
      <c r="L417">
        <f>_xlfn.STDEV.S('R1'!M417,'R2'!M417,'R3'!M417)</f>
        <v>5.8058874766376018E-3</v>
      </c>
      <c r="M417">
        <f>_xlfn.STDEV.S('R1'!N417,'R2'!N417,'R3'!N417)</f>
        <v>1.3297421229095776E-2</v>
      </c>
      <c r="N417">
        <f>_xlfn.STDEV.S('R1'!O417,'R2'!O417,'R3'!O417)</f>
        <v>6.20280109716619E-3</v>
      </c>
    </row>
    <row r="418" spans="1:14" x14ac:dyDescent="0.25">
      <c r="A418">
        <f>-'R1'!H418</f>
        <v>-28</v>
      </c>
      <c r="B418">
        <f>DEGREES(ATAN(-SIN(RADIANS(('R1'!I418)))/(COS(RADIANS(Sheet1!A418))*COS(RADIANS('R1'!I418)))))</f>
        <v>39.449608335498439</v>
      </c>
      <c r="C418">
        <f>AVERAGE('R1'!J418,'R2'!J418,'R3'!J418)</f>
        <v>1.1808333333333332</v>
      </c>
      <c r="D418">
        <f>AVERAGE('R1'!K418,'R2'!K418,'R3'!K418)</f>
        <v>11.163126</v>
      </c>
      <c r="E418">
        <f>AVERAGE('R1'!L418,'R2'!L418,'R3'!L418)</f>
        <v>1.8880228352287649</v>
      </c>
      <c r="F418">
        <f>AVERAGE('R1'!M418,'R2'!M418,'R3'!M418)</f>
        <v>1.7588348840237071</v>
      </c>
      <c r="G418">
        <f>AVERAGE('R1'!N418,'R2'!N418,'R3'!N418)</f>
        <v>-1.1740321123415833</v>
      </c>
      <c r="H418">
        <f>AVERAGE('R1'!O418,'R2'!O418,'R3'!O418)</f>
        <v>-0.97024385154969339</v>
      </c>
      <c r="I418">
        <f t="shared" si="10"/>
        <v>2196.9652141666666</v>
      </c>
      <c r="K418">
        <f>_xlfn.STDEV.S('R1'!L418,'R2'!L418,'R3'!L418)</f>
        <v>1.395512336849427E-2</v>
      </c>
      <c r="L418">
        <f>_xlfn.STDEV.S('R1'!M418,'R2'!M418,'R3'!M418)</f>
        <v>4.9300179039241934E-3</v>
      </c>
      <c r="M418">
        <f>_xlfn.STDEV.S('R1'!N418,'R2'!N418,'R3'!N418)</f>
        <v>1.1441256850396687E-2</v>
      </c>
      <c r="N418">
        <f>_xlfn.STDEV.S('R1'!O418,'R2'!O418,'R3'!O418)</f>
        <v>9.3493132954619862E-3</v>
      </c>
    </row>
    <row r="419" spans="1:14" x14ac:dyDescent="0.25">
      <c r="A419">
        <f>-'R1'!H419</f>
        <v>-28</v>
      </c>
      <c r="B419">
        <f>DEGREES(ATAN(-SIN(RADIANS(('R1'!I419)))/(COS(RADIANS(Sheet1!A419))*COS(RADIANS('R1'!I419)))))</f>
        <v>35.287360012327973</v>
      </c>
      <c r="C419">
        <f>AVERAGE('R1'!J419,'R2'!J419,'R3'!J419)</f>
        <v>1.18</v>
      </c>
      <c r="D419">
        <f>AVERAGE('R1'!K419,'R2'!K419,'R3'!K419)</f>
        <v>11.231456250000001</v>
      </c>
      <c r="E419">
        <f>AVERAGE('R1'!L419,'R2'!L419,'R3'!L419)</f>
        <v>1.7323400365157697</v>
      </c>
      <c r="F419">
        <f>AVERAGE('R1'!M419,'R2'!M419,'R3'!M419)</f>
        <v>1.6906773467877301</v>
      </c>
      <c r="G419">
        <f>AVERAGE('R1'!N419,'R2'!N419,'R3'!N419)</f>
        <v>-1.0264667301700034</v>
      </c>
      <c r="H419">
        <f>AVERAGE('R1'!O419,'R2'!O419,'R3'!O419)</f>
        <v>-0.80085592993166055</v>
      </c>
      <c r="I419">
        <f t="shared" si="10"/>
        <v>2208.8530625000003</v>
      </c>
      <c r="K419">
        <f>_xlfn.STDEV.S('R1'!L419,'R2'!L419,'R3'!L419)</f>
        <v>1.2230025052464439E-2</v>
      </c>
      <c r="L419">
        <f>_xlfn.STDEV.S('R1'!M419,'R2'!M419,'R3'!M419)</f>
        <v>2.2006818759311791E-3</v>
      </c>
      <c r="M419">
        <f>_xlfn.STDEV.S('R1'!N419,'R2'!N419,'R3'!N419)</f>
        <v>1.1419639304984824E-2</v>
      </c>
      <c r="N419">
        <f>_xlfn.STDEV.S('R1'!O419,'R2'!O419,'R3'!O419)</f>
        <v>4.9902173793097164E-3</v>
      </c>
    </row>
    <row r="420" spans="1:14" x14ac:dyDescent="0.25">
      <c r="A420">
        <f>-'R1'!H420</f>
        <v>-28</v>
      </c>
      <c r="B420">
        <f>DEGREES(ATAN(-SIN(RADIANS(('R1'!I420)))/(COS(RADIANS(Sheet1!A420))*COS(RADIANS('R1'!I420)))))</f>
        <v>31.056274317680661</v>
      </c>
      <c r="C420">
        <f>AVERAGE('R1'!J420,'R2'!J420,'R3'!J420)</f>
        <v>1.18</v>
      </c>
      <c r="D420">
        <f>AVERAGE('R1'!K420,'R2'!K420,'R3'!K420)</f>
        <v>11.254352500000001</v>
      </c>
      <c r="E420">
        <f>AVERAGE('R1'!L420,'R2'!L420,'R3'!L420)</f>
        <v>1.5831934064761757</v>
      </c>
      <c r="F420">
        <f>AVERAGE('R1'!M420,'R2'!M420,'R3'!M420)</f>
        <v>1.6576497219524324</v>
      </c>
      <c r="G420">
        <f>AVERAGE('R1'!N420,'R2'!N420,'R3'!N420)</f>
        <v>-0.9167558981532089</v>
      </c>
      <c r="H420">
        <f>AVERAGE('R1'!O420,'R2'!O420,'R3'!O420)</f>
        <v>-0.64438765069875903</v>
      </c>
      <c r="I420">
        <f t="shared" si="10"/>
        <v>2213.3559916666668</v>
      </c>
      <c r="K420">
        <f>_xlfn.STDEV.S('R1'!L420,'R2'!L420,'R3'!L420)</f>
        <v>9.8916299400617289E-3</v>
      </c>
      <c r="L420">
        <f>_xlfn.STDEV.S('R1'!M420,'R2'!M420,'R3'!M420)</f>
        <v>1.2798492429632892E-3</v>
      </c>
      <c r="M420">
        <f>_xlfn.STDEV.S('R1'!N420,'R2'!N420,'R3'!N420)</f>
        <v>9.713990041190888E-3</v>
      </c>
      <c r="N420">
        <f>_xlfn.STDEV.S('R1'!O420,'R2'!O420,'R3'!O420)</f>
        <v>8.3376716528241936E-3</v>
      </c>
    </row>
    <row r="421" spans="1:14" x14ac:dyDescent="0.25">
      <c r="A421">
        <f>-'R1'!H421</f>
        <v>-28</v>
      </c>
      <c r="B421">
        <f>DEGREES(ATAN(-SIN(RADIANS(('R1'!I421)))/(COS(RADIANS(Sheet1!A421))*COS(RADIANS('R1'!I421)))))</f>
        <v>26.759647654377044</v>
      </c>
      <c r="C421">
        <f>AVERAGE('R1'!J421,'R2'!J421,'R3'!J421)</f>
        <v>1.1816666666666666</v>
      </c>
      <c r="D421">
        <f>AVERAGE('R1'!K421,'R2'!K421,'R3'!K421)</f>
        <v>11.279151416666666</v>
      </c>
      <c r="E421">
        <f>AVERAGE('R1'!L421,'R2'!L421,'R3'!L421)</f>
        <v>1.4170108207006571</v>
      </c>
      <c r="F421">
        <f>AVERAGE('R1'!M421,'R2'!M421,'R3'!M421)</f>
        <v>1.6335545042887516</v>
      </c>
      <c r="G421">
        <f>AVERAGE('R1'!N421,'R2'!N421,'R3'!N421)</f>
        <v>-0.81448572892303572</v>
      </c>
      <c r="H421">
        <f>AVERAGE('R1'!O421,'R2'!O421,'R3'!O421)</f>
        <v>-0.49288969004352984</v>
      </c>
      <c r="I421">
        <f t="shared" si="10"/>
        <v>2221.3662095601853</v>
      </c>
      <c r="K421">
        <f>_xlfn.STDEV.S('R1'!L421,'R2'!L421,'R3'!L421)</f>
        <v>8.2952793403042822E-3</v>
      </c>
      <c r="L421">
        <f>_xlfn.STDEV.S('R1'!M421,'R2'!M421,'R3'!M421)</f>
        <v>5.4900431292874451E-4</v>
      </c>
      <c r="M421">
        <f>_xlfn.STDEV.S('R1'!N421,'R2'!N421,'R3'!N421)</f>
        <v>3.1906420648708661E-3</v>
      </c>
      <c r="N421">
        <f>_xlfn.STDEV.S('R1'!O421,'R2'!O421,'R3'!O421)</f>
        <v>9.1947168335380983E-3</v>
      </c>
    </row>
    <row r="422" spans="1:14" x14ac:dyDescent="0.25">
      <c r="A422">
        <f>-'R1'!H422</f>
        <v>-28</v>
      </c>
      <c r="B422">
        <f>DEGREES(ATAN(-SIN(RADIANS(('R1'!I422)))/(COS(RADIANS(Sheet1!A422))*COS(RADIANS('R1'!I422)))))</f>
        <v>22.402523646885253</v>
      </c>
      <c r="C422">
        <f>AVERAGE('R1'!J422,'R2'!J422,'R3'!J422)</f>
        <v>1.1808333333333332</v>
      </c>
      <c r="D422">
        <f>AVERAGE('R1'!K422,'R2'!K422,'R3'!K422)</f>
        <v>11.33847875</v>
      </c>
      <c r="E422">
        <f>AVERAGE('R1'!L422,'R2'!L422,'R3'!L422)</f>
        <v>1.2184809394743541</v>
      </c>
      <c r="F422">
        <f>AVERAGE('R1'!M422,'R2'!M422,'R3'!M422)</f>
        <v>1.6350872029712249</v>
      </c>
      <c r="G422">
        <f>AVERAGE('R1'!N422,'R2'!N422,'R3'!N422)</f>
        <v>-0.7201390800106523</v>
      </c>
      <c r="H422">
        <f>AVERAGE('R1'!O422,'R2'!O422,'R3'!O422)</f>
        <v>-0.36922521264644553</v>
      </c>
      <c r="I422">
        <f t="shared" si="10"/>
        <v>2231.4756095486105</v>
      </c>
      <c r="K422">
        <f>_xlfn.STDEV.S('R1'!L422,'R2'!L422,'R3'!L422)</f>
        <v>2.7151083229014915E-3</v>
      </c>
      <c r="L422">
        <f>_xlfn.STDEV.S('R1'!M422,'R2'!M422,'R3'!M422)</f>
        <v>8.3661438672937381E-3</v>
      </c>
      <c r="M422">
        <f>_xlfn.STDEV.S('R1'!N422,'R2'!N422,'R3'!N422)</f>
        <v>8.033901349227688E-3</v>
      </c>
      <c r="N422">
        <f>_xlfn.STDEV.S('R1'!O422,'R2'!O422,'R3'!O422)</f>
        <v>2.5514251117726879E-3</v>
      </c>
    </row>
    <row r="423" spans="1:14" x14ac:dyDescent="0.25">
      <c r="A423">
        <f>-'R1'!H423</f>
        <v>-28</v>
      </c>
      <c r="B423">
        <f>DEGREES(ATAN(-SIN(RADIANS(('R1'!I423)))/(COS(RADIANS(Sheet1!A423))*COS(RADIANS('R1'!I423)))))</f>
        <v>17.991683837765329</v>
      </c>
      <c r="C423">
        <f>AVERAGE('R1'!J423,'R2'!J423,'R3'!J423)</f>
        <v>1.1833333333333333</v>
      </c>
      <c r="D423">
        <f>AVERAGE('R1'!K423,'R2'!K423,'R3'!K423)</f>
        <v>11.336481916666665</v>
      </c>
      <c r="E423">
        <f>AVERAGE('R1'!L423,'R2'!L423,'R3'!L423)</f>
        <v>1.0079753021832427</v>
      </c>
      <c r="F423">
        <f>AVERAGE('R1'!M423,'R2'!M423,'R3'!M423)</f>
        <v>1.6562346871891844</v>
      </c>
      <c r="G423">
        <f>AVERAGE('R1'!N423,'R2'!N423,'R3'!N423)</f>
        <v>-0.64131684931608246</v>
      </c>
      <c r="H423">
        <f>AVERAGE('R1'!O423,'R2'!O423,'R3'!O423)</f>
        <v>-0.27062378545776805</v>
      </c>
      <c r="I423">
        <f t="shared" si="10"/>
        <v>2235.8061557870369</v>
      </c>
      <c r="K423">
        <f>_xlfn.STDEV.S('R1'!L423,'R2'!L423,'R3'!L423)</f>
        <v>2.0633281212824039E-3</v>
      </c>
      <c r="L423">
        <f>_xlfn.STDEV.S('R1'!M423,'R2'!M423,'R3'!M423)</f>
        <v>1.0153373875229025E-2</v>
      </c>
      <c r="M423">
        <f>_xlfn.STDEV.S('R1'!N423,'R2'!N423,'R3'!N423)</f>
        <v>1.3363147056415956E-2</v>
      </c>
      <c r="N423">
        <f>_xlfn.STDEV.S('R1'!O423,'R2'!O423,'R3'!O423)</f>
        <v>5.0519461783734062E-3</v>
      </c>
    </row>
    <row r="424" spans="1:14" x14ac:dyDescent="0.25">
      <c r="A424">
        <f>-'R1'!H424</f>
        <v>-28</v>
      </c>
      <c r="B424">
        <f>DEGREES(ATAN(-SIN(RADIANS(('R1'!I424)))/(COS(RADIANS(Sheet1!A424))*COS(RADIANS('R1'!I424)))))</f>
        <v>13.535556072482301</v>
      </c>
      <c r="C424">
        <f>AVERAGE('R1'!J424,'R2'!J424,'R3'!J424)</f>
        <v>1.18</v>
      </c>
      <c r="D424">
        <f>AVERAGE('R1'!K424,'R2'!K424,'R3'!K424)</f>
        <v>11.386075750000002</v>
      </c>
      <c r="E424">
        <f>AVERAGE('R1'!L424,'R2'!L424,'R3'!L424)</f>
        <v>0.79480003215842887</v>
      </c>
      <c r="F424">
        <f>AVERAGE('R1'!M424,'R2'!M424,'R3'!M424)</f>
        <v>1.6881895797663322</v>
      </c>
      <c r="G424">
        <f>AVERAGE('R1'!N424,'R2'!N424,'R3'!N424)</f>
        <v>-0.58224056733247176</v>
      </c>
      <c r="H424">
        <f>AVERAGE('R1'!O424,'R2'!O424,'R3'!O424)</f>
        <v>-0.18971077605639652</v>
      </c>
      <c r="I424">
        <f t="shared" si="10"/>
        <v>2239.2615641666671</v>
      </c>
      <c r="K424">
        <f>_xlfn.STDEV.S('R1'!L424,'R2'!L424,'R3'!L424)</f>
        <v>5.4999209516240176E-3</v>
      </c>
      <c r="L424">
        <f>_xlfn.STDEV.S('R1'!M424,'R2'!M424,'R3'!M424)</f>
        <v>2.1203631915717065E-3</v>
      </c>
      <c r="M424">
        <f>_xlfn.STDEV.S('R1'!N424,'R2'!N424,'R3'!N424)</f>
        <v>1.3475393245563681E-3</v>
      </c>
      <c r="N424">
        <f>_xlfn.STDEV.S('R1'!O424,'R2'!O424,'R3'!O424)</f>
        <v>6.5207612876985802E-3</v>
      </c>
    </row>
    <row r="425" spans="1:14" x14ac:dyDescent="0.25">
      <c r="A425">
        <f>-'R1'!H425</f>
        <v>-28</v>
      </c>
      <c r="B425">
        <f>DEGREES(ATAN(-SIN(RADIANS(('R1'!I425)))/(COS(RADIANS(Sheet1!A425))*COS(RADIANS('R1'!I425)))))</f>
        <v>9.0440332369115684</v>
      </c>
      <c r="C425">
        <f>AVERAGE('R1'!J425,'R2'!J425,'R3'!J425)</f>
        <v>1.18</v>
      </c>
      <c r="D425">
        <f>AVERAGE('R1'!K425,'R2'!K425,'R3'!K425)</f>
        <v>11.435668916666666</v>
      </c>
      <c r="E425">
        <f>AVERAGE('R1'!L425,'R2'!L425,'R3'!L425)</f>
        <v>0.57124696682909837</v>
      </c>
      <c r="F425">
        <f>AVERAGE('R1'!M425,'R2'!M425,'R3'!M425)</f>
        <v>1.7315639980627608</v>
      </c>
      <c r="G425">
        <f>AVERAGE('R1'!N425,'R2'!N425,'R3'!N425)</f>
        <v>-0.54687237518705867</v>
      </c>
      <c r="H425">
        <f>AVERAGE('R1'!O425,'R2'!O425,'R3'!O425)</f>
        <v>-0.10764227062767907</v>
      </c>
      <c r="I425">
        <f t="shared" si="10"/>
        <v>2249.0148869444442</v>
      </c>
      <c r="K425">
        <f>_xlfn.STDEV.S('R1'!L425,'R2'!L425,'R3'!L425)</f>
        <v>2.2436961699424619E-3</v>
      </c>
      <c r="L425">
        <f>_xlfn.STDEV.S('R1'!M425,'R2'!M425,'R3'!M425)</f>
        <v>1.5300468987798894E-2</v>
      </c>
      <c r="M425">
        <f>_xlfn.STDEV.S('R1'!N425,'R2'!N425,'R3'!N425)</f>
        <v>1.2087301636544213E-2</v>
      </c>
      <c r="N425">
        <f>_xlfn.STDEV.S('R1'!O425,'R2'!O425,'R3'!O425)</f>
        <v>9.846563265287097E-3</v>
      </c>
    </row>
    <row r="426" spans="1:14" x14ac:dyDescent="0.25">
      <c r="A426">
        <f>-'R1'!H426</f>
        <v>-28</v>
      </c>
      <c r="B426">
        <f>DEGREES(ATAN(-SIN(RADIANS(('R1'!I426)))/(COS(RADIANS(Sheet1!A426))*COS(RADIANS('R1'!I426)))))</f>
        <v>4.5282031595057557</v>
      </c>
      <c r="C426">
        <f>AVERAGE('R1'!J426,'R2'!J426,'R3'!J426)</f>
        <v>1.18</v>
      </c>
      <c r="D426">
        <f>AVERAGE('R1'!K426,'R2'!K426,'R3'!K426)</f>
        <v>11.436433666666668</v>
      </c>
      <c r="E426">
        <f>AVERAGE('R1'!L426,'R2'!L426,'R3'!L426)</f>
        <v>0.32211686559150227</v>
      </c>
      <c r="F426">
        <f>AVERAGE('R1'!M426,'R2'!M426,'R3'!M426)</f>
        <v>1.8225771429618007</v>
      </c>
      <c r="G426">
        <f>AVERAGE('R1'!N426,'R2'!N426,'R3'!N426)</f>
        <v>-0.54614907686321201</v>
      </c>
      <c r="H426">
        <f>AVERAGE('R1'!O426,'R2'!O426,'R3'!O426)</f>
        <v>-3.6015193201467573E-2</v>
      </c>
      <c r="I426">
        <f t="shared" si="10"/>
        <v>2249.1652877777778</v>
      </c>
      <c r="K426">
        <f>_xlfn.STDEV.S('R1'!L426,'R2'!L426,'R3'!L426)</f>
        <v>4.2969720210681329E-3</v>
      </c>
      <c r="L426">
        <f>_xlfn.STDEV.S('R1'!M426,'R2'!M426,'R3'!M426)</f>
        <v>1.2100111825153484E-2</v>
      </c>
      <c r="M426">
        <f>_xlfn.STDEV.S('R1'!N426,'R2'!N426,'R3'!N426)</f>
        <v>1.1728273220033525E-2</v>
      </c>
      <c r="N426">
        <f>_xlfn.STDEV.S('R1'!O426,'R2'!O426,'R3'!O426)</f>
        <v>9.1193780659111195E-3</v>
      </c>
    </row>
    <row r="427" spans="1:14" x14ac:dyDescent="0.25">
      <c r="A427">
        <f>-'R1'!H427</f>
        <v>-28</v>
      </c>
      <c r="B427">
        <f>DEGREES(ATAN(-SIN(RADIANS(('R1'!I427)))/(COS(RADIANS(Sheet1!A427))*COS(RADIANS('R1'!I427)))))</f>
        <v>0</v>
      </c>
      <c r="C427">
        <f>AVERAGE('R1'!J427,'R2'!J427,'R3'!J427)</f>
        <v>1.18</v>
      </c>
      <c r="D427">
        <f>AVERAGE('R1'!K427,'R2'!K427,'R3'!K427)</f>
        <v>11.473645749999998</v>
      </c>
      <c r="E427">
        <f>AVERAGE('R1'!L427,'R2'!L427,'R3'!L427)</f>
        <v>3.6589331023731658E-2</v>
      </c>
      <c r="F427">
        <f>AVERAGE('R1'!M427,'R2'!M427,'R3'!M427)</f>
        <v>1.9441068560349688</v>
      </c>
      <c r="G427">
        <f>AVERAGE('R1'!N427,'R2'!N427,'R3'!N427)</f>
        <v>-0.57161861580546736</v>
      </c>
      <c r="H427">
        <f>AVERAGE('R1'!O427,'R2'!O427,'R3'!O427)</f>
        <v>5.4181154301493444E-2</v>
      </c>
      <c r="I427">
        <f t="shared" si="10"/>
        <v>2256.4836641666661</v>
      </c>
      <c r="K427">
        <f>_xlfn.STDEV.S('R1'!L427,'R2'!L427,'R3'!L427)</f>
        <v>1.1934421079228964E-2</v>
      </c>
      <c r="L427">
        <f>_xlfn.STDEV.S('R1'!M427,'R2'!M427,'R3'!M427)</f>
        <v>1.188404989271951E-2</v>
      </c>
      <c r="M427">
        <f>_xlfn.STDEV.S('R1'!N427,'R2'!N427,'R3'!N427)</f>
        <v>1.2121130586371829E-2</v>
      </c>
      <c r="N427">
        <f>_xlfn.STDEV.S('R1'!O427,'R2'!O427,'R3'!O427)</f>
        <v>9.2275442468104131E-3</v>
      </c>
    </row>
    <row r="428" spans="1:14" x14ac:dyDescent="0.25">
      <c r="A428">
        <f>-'R1'!H428</f>
        <v>-28</v>
      </c>
      <c r="B428">
        <f>DEGREES(ATAN(-SIN(RADIANS(('R1'!I428)))/(COS(RADIANS(Sheet1!A428))*COS(RADIANS('R1'!I428)))))</f>
        <v>-4.5282031595057557</v>
      </c>
      <c r="C428">
        <f>AVERAGE('R1'!J428,'R2'!J428,'R3'!J428)</f>
        <v>1.18</v>
      </c>
      <c r="D428">
        <f>AVERAGE('R1'!K428,'R2'!K428,'R3'!K428)</f>
        <v>11.496585749999999</v>
      </c>
      <c r="E428">
        <f>AVERAGE('R1'!L428,'R2'!L428,'R3'!L428)</f>
        <v>-0.26139718486080238</v>
      </c>
      <c r="F428">
        <f>AVERAGE('R1'!M428,'R2'!M428,'R3'!M428)</f>
        <v>1.8546910218073513</v>
      </c>
      <c r="G428">
        <f>AVERAGE('R1'!N428,'R2'!N428,'R3'!N428)</f>
        <v>-0.56614720274053498</v>
      </c>
      <c r="H428">
        <f>AVERAGE('R1'!O428,'R2'!O428,'R3'!O428)</f>
        <v>-1.9084546298773337E-2</v>
      </c>
      <c r="I428">
        <f t="shared" si="10"/>
        <v>2260.9951974999999</v>
      </c>
      <c r="K428">
        <f>_xlfn.STDEV.S('R1'!L428,'R2'!L428,'R3'!L428)</f>
        <v>4.2943791989469684E-3</v>
      </c>
      <c r="L428">
        <f>_xlfn.STDEV.S('R1'!M428,'R2'!M428,'R3'!M428)</f>
        <v>2.0168230426119763E-2</v>
      </c>
      <c r="M428">
        <f>_xlfn.STDEV.S('R1'!N428,'R2'!N428,'R3'!N428)</f>
        <v>1.9875277903917552E-2</v>
      </c>
      <c r="N428">
        <f>_xlfn.STDEV.S('R1'!O428,'R2'!O428,'R3'!O428)</f>
        <v>1.0804378046363958E-2</v>
      </c>
    </row>
    <row r="429" spans="1:14" x14ac:dyDescent="0.25">
      <c r="A429">
        <f>-'R1'!H429</f>
        <v>-28</v>
      </c>
      <c r="B429">
        <f>DEGREES(ATAN(-SIN(RADIANS(('R1'!I429)))/(COS(RADIANS(Sheet1!A429))*COS(RADIANS('R1'!I429)))))</f>
        <v>-9.0440332369115684</v>
      </c>
      <c r="C429">
        <f>AVERAGE('R1'!J429,'R2'!J429,'R3'!J429)</f>
        <v>1.18</v>
      </c>
      <c r="D429">
        <f>AVERAGE('R1'!K429,'R2'!K429,'R3'!K429)</f>
        <v>11.512651916666668</v>
      </c>
      <c r="E429">
        <f>AVERAGE('R1'!L429,'R2'!L429,'R3'!L429)</f>
        <v>-0.5338383143986164</v>
      </c>
      <c r="F429">
        <f>AVERAGE('R1'!M429,'R2'!M429,'R3'!M429)</f>
        <v>1.761950537911714</v>
      </c>
      <c r="G429">
        <f>AVERAGE('R1'!N429,'R2'!N429,'R3'!N429)</f>
        <v>-0.5641087535875029</v>
      </c>
      <c r="H429">
        <f>AVERAGE('R1'!O429,'R2'!O429,'R3'!O429)</f>
        <v>-0.10437142401069251</v>
      </c>
      <c r="I429">
        <f t="shared" si="10"/>
        <v>2264.1548769444448</v>
      </c>
      <c r="K429">
        <f>_xlfn.STDEV.S('R1'!L429,'R2'!L429,'R3'!L429)</f>
        <v>5.8316112847867623E-3</v>
      </c>
      <c r="L429">
        <f>_xlfn.STDEV.S('R1'!M429,'R2'!M429,'R3'!M429)</f>
        <v>7.8754020396474052E-3</v>
      </c>
      <c r="M429">
        <f>_xlfn.STDEV.S('R1'!N429,'R2'!N429,'R3'!N429)</f>
        <v>4.4511624316301212E-3</v>
      </c>
      <c r="N429">
        <f>_xlfn.STDEV.S('R1'!O429,'R2'!O429,'R3'!O429)</f>
        <v>2.3772522109965109E-3</v>
      </c>
    </row>
    <row r="430" spans="1:14" x14ac:dyDescent="0.25">
      <c r="A430">
        <f>-'R1'!H430</f>
        <v>-28</v>
      </c>
      <c r="B430">
        <f>DEGREES(ATAN(-SIN(RADIANS(('R1'!I430)))/(COS(RADIANS(Sheet1!A430))*COS(RADIANS('R1'!I430)))))</f>
        <v>-13.535556072482301</v>
      </c>
      <c r="C430">
        <f>AVERAGE('R1'!J430,'R2'!J430,'R3'!J430)</f>
        <v>1.18</v>
      </c>
      <c r="D430">
        <f>AVERAGE('R1'!K430,'R2'!K430,'R3'!K430)</f>
        <v>11.557724166666667</v>
      </c>
      <c r="E430">
        <f>AVERAGE('R1'!L430,'R2'!L430,'R3'!L430)</f>
        <v>-0.77514309803422055</v>
      </c>
      <c r="F430">
        <f>AVERAGE('R1'!M430,'R2'!M430,'R3'!M430)</f>
        <v>1.7006079647711807</v>
      </c>
      <c r="G430">
        <f>AVERAGE('R1'!N430,'R2'!N430,'R3'!N430)</f>
        <v>-0.59908064838311248</v>
      </c>
      <c r="H430">
        <f>AVERAGE('R1'!O430,'R2'!O430,'R3'!O430)</f>
        <v>-0.19639295544270652</v>
      </c>
      <c r="I430">
        <f t="shared" si="10"/>
        <v>2273.0190861111109</v>
      </c>
      <c r="K430">
        <f>_xlfn.STDEV.S('R1'!L430,'R2'!L430,'R3'!L430)</f>
        <v>4.5727444075109851E-3</v>
      </c>
      <c r="L430">
        <f>_xlfn.STDEV.S('R1'!M430,'R2'!M430,'R3'!M430)</f>
        <v>1.6474512208129828E-3</v>
      </c>
      <c r="M430">
        <f>_xlfn.STDEV.S('R1'!N430,'R2'!N430,'R3'!N430)</f>
        <v>3.4792338412977155E-3</v>
      </c>
      <c r="N430">
        <f>_xlfn.STDEV.S('R1'!O430,'R2'!O430,'R3'!O430)</f>
        <v>8.5811174314098862E-3</v>
      </c>
    </row>
    <row r="431" spans="1:14" x14ac:dyDescent="0.25">
      <c r="A431">
        <f>-'R1'!H431</f>
        <v>-28</v>
      </c>
      <c r="B431">
        <f>DEGREES(ATAN(-SIN(RADIANS(('R1'!I431)))/(COS(RADIANS(Sheet1!A431))*COS(RADIANS('R1'!I431)))))</f>
        <v>-17.991683837765329</v>
      </c>
      <c r="C431">
        <f>AVERAGE('R1'!J431,'R2'!J431,'R3'!J431)</f>
        <v>1.18</v>
      </c>
      <c r="D431">
        <f>AVERAGE('R1'!K431,'R2'!K431,'R3'!K431)</f>
        <v>11.570890166666667</v>
      </c>
      <c r="E431">
        <f>AVERAGE('R1'!L431,'R2'!L431,'R3'!L431)</f>
        <v>-1.0254306212809441</v>
      </c>
      <c r="F431">
        <f>AVERAGE('R1'!M431,'R2'!M431,'R3'!M431)</f>
        <v>1.6587629284586221</v>
      </c>
      <c r="G431">
        <f>AVERAGE('R1'!N431,'R2'!N431,'R3'!N431)</f>
        <v>-0.68081587053953674</v>
      </c>
      <c r="H431">
        <f>AVERAGE('R1'!O431,'R2'!O431,'R3'!O431)</f>
        <v>-0.28822522492521491</v>
      </c>
      <c r="I431">
        <f t="shared" si="10"/>
        <v>2275.6083994444443</v>
      </c>
      <c r="K431">
        <f>_xlfn.STDEV.S('R1'!L431,'R2'!L431,'R3'!L431)</f>
        <v>7.9292957630374833E-3</v>
      </c>
      <c r="L431">
        <f>_xlfn.STDEV.S('R1'!M431,'R2'!M431,'R3'!M431)</f>
        <v>6.3389928856258651E-3</v>
      </c>
      <c r="M431">
        <f>_xlfn.STDEV.S('R1'!N431,'R2'!N431,'R3'!N431)</f>
        <v>6.1502466297642033E-3</v>
      </c>
      <c r="N431">
        <f>_xlfn.STDEV.S('R1'!O431,'R2'!O431,'R3'!O431)</f>
        <v>4.8666105696651722E-3</v>
      </c>
    </row>
    <row r="432" spans="1:14" x14ac:dyDescent="0.25">
      <c r="A432">
        <f>-'R1'!H432</f>
        <v>-28</v>
      </c>
      <c r="B432">
        <f>DEGREES(ATAN(-SIN(RADIANS(('R1'!I432)))/(COS(RADIANS(Sheet1!A432))*COS(RADIANS('R1'!I432)))))</f>
        <v>-22.402523646885253</v>
      </c>
      <c r="C432">
        <f>AVERAGE('R1'!J432,'R2'!J432,'R3'!J432)</f>
        <v>1.18</v>
      </c>
      <c r="D432">
        <f>AVERAGE('R1'!K432,'R2'!K432,'R3'!K432)</f>
        <v>11.600708750000001</v>
      </c>
      <c r="E432">
        <f>AVERAGE('R1'!L432,'R2'!L432,'R3'!L432)</f>
        <v>-1.2587261148828983</v>
      </c>
      <c r="F432">
        <f>AVERAGE('R1'!M432,'R2'!M432,'R3'!M432)</f>
        <v>1.6692588426259285</v>
      </c>
      <c r="G432">
        <f>AVERAGE('R1'!N432,'R2'!N432,'R3'!N432)</f>
        <v>-0.77974115908851205</v>
      </c>
      <c r="H432">
        <f>AVERAGE('R1'!O432,'R2'!O432,'R3'!O432)</f>
        <v>-0.41141314551307673</v>
      </c>
      <c r="I432">
        <f t="shared" si="10"/>
        <v>2281.4727208333338</v>
      </c>
      <c r="K432">
        <f>_xlfn.STDEV.S('R1'!L432,'R2'!L432,'R3'!L432)</f>
        <v>7.8757688647437263E-3</v>
      </c>
      <c r="L432">
        <f>_xlfn.STDEV.S('R1'!M432,'R2'!M432,'R3'!M432)</f>
        <v>6.2212714340942263E-3</v>
      </c>
      <c r="M432">
        <f>_xlfn.STDEV.S('R1'!N432,'R2'!N432,'R3'!N432)</f>
        <v>5.6135210041615407E-3</v>
      </c>
      <c r="N432">
        <f>_xlfn.STDEV.S('R1'!O432,'R2'!O432,'R3'!O432)</f>
        <v>3.7557670271227222E-3</v>
      </c>
    </row>
    <row r="433" spans="1:14" x14ac:dyDescent="0.25">
      <c r="A433">
        <f>-'R1'!H433</f>
        <v>-28</v>
      </c>
      <c r="B433">
        <f>DEGREES(ATAN(-SIN(RADIANS(('R1'!I433)))/(COS(RADIANS(Sheet1!A433))*COS(RADIANS('R1'!I433)))))</f>
        <v>-26.759647654377044</v>
      </c>
      <c r="C433">
        <f>AVERAGE('R1'!J433,'R2'!J433,'R3'!J433)</f>
        <v>1.18</v>
      </c>
      <c r="D433">
        <f>AVERAGE('R1'!K433,'R2'!K433,'R3'!K433)</f>
        <v>11.629393666666665</v>
      </c>
      <c r="E433">
        <f>AVERAGE('R1'!L433,'R2'!L433,'R3'!L433)</f>
        <v>-1.4474102949923389</v>
      </c>
      <c r="F433">
        <f>AVERAGE('R1'!M433,'R2'!M433,'R3'!M433)</f>
        <v>1.7009718181994489</v>
      </c>
      <c r="G433">
        <f>AVERAGE('R1'!N433,'R2'!N433,'R3'!N433)</f>
        <v>-0.88735030979041085</v>
      </c>
      <c r="H433">
        <f>AVERAGE('R1'!O433,'R2'!O433,'R3'!O433)</f>
        <v>-0.55182370497760846</v>
      </c>
      <c r="I433">
        <f t="shared" si="10"/>
        <v>2287.1140877777775</v>
      </c>
      <c r="K433">
        <f>_xlfn.STDEV.S('R1'!L433,'R2'!L433,'R3'!L433)</f>
        <v>6.44845842509594E-3</v>
      </c>
      <c r="L433">
        <f>_xlfn.STDEV.S('R1'!M433,'R2'!M433,'R3'!M433)</f>
        <v>1.1378544585272203E-2</v>
      </c>
      <c r="M433">
        <f>_xlfn.STDEV.S('R1'!N433,'R2'!N433,'R3'!N433)</f>
        <v>4.1888967092660132E-3</v>
      </c>
      <c r="N433">
        <f>_xlfn.STDEV.S('R1'!O433,'R2'!O433,'R3'!O433)</f>
        <v>9.8827054828586336E-3</v>
      </c>
    </row>
    <row r="434" spans="1:14" x14ac:dyDescent="0.25">
      <c r="A434">
        <f>-'R1'!H434</f>
        <v>-28</v>
      </c>
      <c r="B434">
        <f>DEGREES(ATAN(-SIN(RADIANS(('R1'!I434)))/(COS(RADIANS(Sheet1!A434))*COS(RADIANS('R1'!I434)))))</f>
        <v>-31.056274317680661</v>
      </c>
      <c r="C434">
        <f>AVERAGE('R1'!J434,'R2'!J434,'R3'!J434)</f>
        <v>1.18</v>
      </c>
      <c r="D434">
        <f>AVERAGE('R1'!K434,'R2'!K434,'R3'!K434)</f>
        <v>11.549190333333334</v>
      </c>
      <c r="E434">
        <f>AVERAGE('R1'!L434,'R2'!L434,'R3'!L434)</f>
        <v>-1.6272236540857687</v>
      </c>
      <c r="F434">
        <f>AVERAGE('R1'!M434,'R2'!M434,'R3'!M434)</f>
        <v>1.7651274871467042</v>
      </c>
      <c r="G434">
        <f>AVERAGE('R1'!N434,'R2'!N434,'R3'!N434)</f>
        <v>-1.0250691709381672</v>
      </c>
      <c r="H434">
        <f>AVERAGE('R1'!O434,'R2'!O434,'R3'!O434)</f>
        <v>-0.71126389981967264</v>
      </c>
      <c r="I434">
        <f t="shared" si="10"/>
        <v>2271.3407655555557</v>
      </c>
      <c r="K434">
        <f>_xlfn.STDEV.S('R1'!L434,'R2'!L434,'R3'!L434)</f>
        <v>1.2594365635212268E-2</v>
      </c>
      <c r="L434">
        <f>_xlfn.STDEV.S('R1'!M434,'R2'!M434,'R3'!M434)</f>
        <v>1.4900927657352323E-3</v>
      </c>
      <c r="M434">
        <f>_xlfn.STDEV.S('R1'!N434,'R2'!N434,'R3'!N434)</f>
        <v>9.9855031591631858E-3</v>
      </c>
      <c r="N434">
        <f>_xlfn.STDEV.S('R1'!O434,'R2'!O434,'R3'!O434)</f>
        <v>8.8190017279871878E-3</v>
      </c>
    </row>
    <row r="435" spans="1:14" x14ac:dyDescent="0.25">
      <c r="A435">
        <f>-'R1'!H435</f>
        <v>-28</v>
      </c>
      <c r="B435">
        <f>DEGREES(ATAN(-SIN(RADIANS(('R1'!I435)))/(COS(RADIANS(Sheet1!A435))*COS(RADIANS('R1'!I435)))))</f>
        <v>-35.287360012327973</v>
      </c>
      <c r="C435">
        <f>AVERAGE('R1'!J435,'R2'!J435,'R3'!J435)</f>
        <v>1.18</v>
      </c>
      <c r="D435">
        <f>AVERAGE('R1'!K435,'R2'!K435,'R3'!K435)</f>
        <v>11.521802666666666</v>
      </c>
      <c r="E435">
        <f>AVERAGE('R1'!L435,'R2'!L435,'R3'!L435)</f>
        <v>-1.8188810073426362</v>
      </c>
      <c r="F435">
        <f>AVERAGE('R1'!M435,'R2'!M435,'R3'!M435)</f>
        <v>1.8650274222287724</v>
      </c>
      <c r="G435">
        <f>AVERAGE('R1'!N435,'R2'!N435,'R3'!N435)</f>
        <v>-1.2084472356229401</v>
      </c>
      <c r="H435">
        <f>AVERAGE('R1'!O435,'R2'!O435,'R3'!O435)</f>
        <v>-0.9001368593727973</v>
      </c>
      <c r="I435">
        <f t="shared" si="10"/>
        <v>2265.9545244444448</v>
      </c>
      <c r="K435">
        <f>_xlfn.STDEV.S('R1'!L435,'R2'!L435,'R3'!L435)</f>
        <v>1.934530594700842E-2</v>
      </c>
      <c r="L435">
        <f>_xlfn.STDEV.S('R1'!M435,'R2'!M435,'R3'!M435)</f>
        <v>1.2529106740040681E-2</v>
      </c>
      <c r="M435">
        <f>_xlfn.STDEV.S('R1'!N435,'R2'!N435,'R3'!N435)</f>
        <v>2.5274375566736819E-2</v>
      </c>
      <c r="N435">
        <f>_xlfn.STDEV.S('R1'!O435,'R2'!O435,'R3'!O435)</f>
        <v>1.5999963314879434E-2</v>
      </c>
    </row>
    <row r="436" spans="1:14" x14ac:dyDescent="0.25">
      <c r="A436">
        <f>-'R1'!H436</f>
        <v>-28</v>
      </c>
      <c r="B436">
        <f>DEGREES(ATAN(-SIN(RADIANS(('R1'!I436)))/(COS(RADIANS(Sheet1!A436))*COS(RADIANS('R1'!I436)))))</f>
        <v>-39.449608335498439</v>
      </c>
      <c r="C436">
        <f>AVERAGE('R1'!J436,'R2'!J436,'R3'!J436)</f>
        <v>1.18</v>
      </c>
      <c r="D436">
        <f>AVERAGE('R1'!K436,'R2'!K436,'R3'!K436)</f>
        <v>11.498504249999998</v>
      </c>
      <c r="E436">
        <f>AVERAGE('R1'!L436,'R2'!L436,'R3'!L436)</f>
        <v>-2.0170233582596211</v>
      </c>
      <c r="F436">
        <f>AVERAGE('R1'!M436,'R2'!M436,'R3'!M436)</f>
        <v>1.9873676019594202</v>
      </c>
      <c r="G436">
        <f>AVERAGE('R1'!N436,'R2'!N436,'R3'!N436)</f>
        <v>-1.4193366627190007</v>
      </c>
      <c r="H436">
        <f>AVERAGE('R1'!O436,'R2'!O436,'R3'!O436)</f>
        <v>-1.0910062272197323</v>
      </c>
      <c r="I436">
        <f t="shared" si="10"/>
        <v>2261.3725024999999</v>
      </c>
      <c r="K436">
        <f>_xlfn.STDEV.S('R1'!L436,'R2'!L436,'R3'!L436)</f>
        <v>3.2099970992593659E-2</v>
      </c>
      <c r="L436">
        <f>_xlfn.STDEV.S('R1'!M436,'R2'!M436,'R3'!M436)</f>
        <v>1.3788621115777718E-2</v>
      </c>
      <c r="M436">
        <f>_xlfn.STDEV.S('R1'!N436,'R2'!N436,'R3'!N436)</f>
        <v>3.9856809189698715E-2</v>
      </c>
      <c r="N436">
        <f>_xlfn.STDEV.S('R1'!O436,'R2'!O436,'R3'!O436)</f>
        <v>1.7902515204998842E-2</v>
      </c>
    </row>
    <row r="437" spans="1:14" x14ac:dyDescent="0.25">
      <c r="A437">
        <f>-'R1'!H437</f>
        <v>-28</v>
      </c>
      <c r="B437">
        <f>DEGREES(ATAN(-SIN(RADIANS(('R1'!I437)))/(COS(RADIANS(Sheet1!A437))*COS(RADIANS('R1'!I437)))))</f>
        <v>-43.541410263843531</v>
      </c>
      <c r="C437">
        <f>AVERAGE('R1'!J437,'R2'!J437,'R3'!J437)</f>
        <v>1.18</v>
      </c>
      <c r="D437">
        <f>AVERAGE('R1'!K437,'R2'!K437,'R3'!K437)</f>
        <v>11.435462000000001</v>
      </c>
      <c r="E437">
        <f>AVERAGE('R1'!L437,'R2'!L437,'R3'!L437)</f>
        <v>-2.261619954063772</v>
      </c>
      <c r="F437">
        <f>AVERAGE('R1'!M437,'R2'!M437,'R3'!M437)</f>
        <v>2.1610539177940482</v>
      </c>
      <c r="G437">
        <f>AVERAGE('R1'!N437,'R2'!N437,'R3'!N437)</f>
        <v>-1.7165281719611716</v>
      </c>
      <c r="H437">
        <f>AVERAGE('R1'!O437,'R2'!O437,'R3'!O437)</f>
        <v>-1.321504049397304</v>
      </c>
      <c r="I437">
        <f t="shared" si="10"/>
        <v>2248.9741933333335</v>
      </c>
      <c r="K437">
        <f>_xlfn.STDEV.S('R1'!L437,'R2'!L437,'R3'!L437)</f>
        <v>2.544682574767115E-2</v>
      </c>
      <c r="L437">
        <f>_xlfn.STDEV.S('R1'!M437,'R2'!M437,'R3'!M437)</f>
        <v>1.4253492624110686E-2</v>
      </c>
      <c r="M437">
        <f>_xlfn.STDEV.S('R1'!N437,'R2'!N437,'R3'!N437)</f>
        <v>4.1048670835743956E-2</v>
      </c>
      <c r="N437">
        <f>_xlfn.STDEV.S('R1'!O437,'R2'!O437,'R3'!O437)</f>
        <v>1.7241496678353833E-2</v>
      </c>
    </row>
    <row r="438" spans="1:14" x14ac:dyDescent="0.25">
      <c r="A438">
        <f>-'R1'!H438</f>
        <v>-28</v>
      </c>
      <c r="B438">
        <f>DEGREES(ATAN(-SIN(RADIANS(('R1'!I438)))/(COS(RADIANS(Sheet1!A438))*COS(RADIANS('R1'!I438)))))</f>
        <v>-47.562731505879128</v>
      </c>
      <c r="C438">
        <f>AVERAGE('R1'!J438,'R2'!J438,'R3'!J438)</f>
        <v>1.18</v>
      </c>
      <c r="D438">
        <f>AVERAGE('R1'!K438,'R2'!K438,'R3'!K438)</f>
        <v>11.488039666666666</v>
      </c>
      <c r="E438">
        <f>AVERAGE('R1'!L438,'R2'!L438,'R3'!L438)</f>
        <v>-2.5905138982761979</v>
      </c>
      <c r="F438">
        <f>AVERAGE('R1'!M438,'R2'!M438,'R3'!M438)</f>
        <v>2.4187724880945249</v>
      </c>
      <c r="G438">
        <f>AVERAGE('R1'!N438,'R2'!N438,'R3'!N438)</f>
        <v>-2.12814974747908</v>
      </c>
      <c r="H438">
        <f>AVERAGE('R1'!O438,'R2'!O438,'R3'!O438)</f>
        <v>-1.6160116270694929</v>
      </c>
      <c r="I438">
        <f t="shared" si="10"/>
        <v>2259.3144677777777</v>
      </c>
      <c r="K438">
        <f>_xlfn.STDEV.S('R1'!L438,'R2'!L438,'R3'!L438)</f>
        <v>4.1316957548296035E-2</v>
      </c>
      <c r="L438">
        <f>_xlfn.STDEV.S('R1'!M438,'R2'!M438,'R3'!M438)</f>
        <v>2.9891651227818027E-2</v>
      </c>
      <c r="M438">
        <f>_xlfn.STDEV.S('R1'!N438,'R2'!N438,'R3'!N438)</f>
        <v>6.1620819359227169E-2</v>
      </c>
      <c r="N438">
        <f>_xlfn.STDEV.S('R1'!O438,'R2'!O438,'R3'!O438)</f>
        <v>2.7481339322116681E-2</v>
      </c>
    </row>
    <row r="439" spans="1:14" x14ac:dyDescent="0.25">
      <c r="A439">
        <f>-'R1'!H439</f>
        <v>-32</v>
      </c>
      <c r="B439">
        <f>DEGREES(ATAN(-SIN(RADIANS(('R1'!I439)))/(COS(RADIANS(Sheet1!A439))*COS(RADIANS('R1'!I439)))))</f>
        <v>48.711059881009497</v>
      </c>
      <c r="C439">
        <f>AVERAGE('R1'!J439,'R2'!J439,'R3'!J439)</f>
        <v>1.18</v>
      </c>
      <c r="D439">
        <f>AVERAGE('R1'!K439,'R2'!K439,'R3'!K439)</f>
        <v>11.405858583333332</v>
      </c>
      <c r="E439">
        <f>AVERAGE('R1'!L439,'R2'!L439,'R3'!L439)</f>
        <v>2.2532862675562195</v>
      </c>
      <c r="F439">
        <f>AVERAGE('R1'!M439,'R2'!M439,'R3'!M439)</f>
        <v>2.150307702524882</v>
      </c>
      <c r="G439">
        <f>AVERAGE('R1'!N439,'R2'!N439,'R3'!N439)</f>
        <v>-1.7229826073523971</v>
      </c>
      <c r="H439">
        <f>AVERAGE('R1'!O439,'R2'!O439,'R3'!O439)</f>
        <v>-1.4613181276010838</v>
      </c>
      <c r="I439">
        <f t="shared" si="10"/>
        <v>2243.1521880555551</v>
      </c>
      <c r="K439">
        <f>_xlfn.STDEV.S('R1'!L439,'R2'!L439,'R3'!L439)</f>
        <v>2.1265447102178585E-2</v>
      </c>
      <c r="L439">
        <f>_xlfn.STDEV.S('R1'!M439,'R2'!M439,'R3'!M439)</f>
        <v>1.2731978162236698E-2</v>
      </c>
      <c r="M439">
        <f>_xlfn.STDEV.S('R1'!N439,'R2'!N439,'R3'!N439)</f>
        <v>2.3576443890106328E-2</v>
      </c>
      <c r="N439">
        <f>_xlfn.STDEV.S('R1'!O439,'R2'!O439,'R3'!O439)</f>
        <v>7.8218692979273464E-3</v>
      </c>
    </row>
    <row r="440" spans="1:14" x14ac:dyDescent="0.25">
      <c r="A440">
        <f>-'R1'!H440</f>
        <v>-32</v>
      </c>
      <c r="B440">
        <f>DEGREES(ATAN(-SIN(RADIANS(('R1'!I440)))/(COS(RADIANS(Sheet1!A440))*COS(RADIANS('R1'!I440)))))</f>
        <v>44.69611169166604</v>
      </c>
      <c r="C440">
        <f>AVERAGE('R1'!J440,'R2'!J440,'R3'!J440)</f>
        <v>1.18</v>
      </c>
      <c r="D440">
        <f>AVERAGE('R1'!K440,'R2'!K440,'R3'!K440)</f>
        <v>11.382564333333335</v>
      </c>
      <c r="E440">
        <f>AVERAGE('R1'!L440,'R2'!L440,'R3'!L440)</f>
        <v>2.0634658526419742</v>
      </c>
      <c r="F440">
        <f>AVERAGE('R1'!M440,'R2'!M440,'R3'!M440)</f>
        <v>2.0166653861046808</v>
      </c>
      <c r="G440">
        <f>AVERAGE('R1'!N440,'R2'!N440,'R3'!N440)</f>
        <v>-1.4747241009047649</v>
      </c>
      <c r="H440">
        <f>AVERAGE('R1'!O440,'R2'!O440,'R3'!O440)</f>
        <v>-1.26239295550335</v>
      </c>
      <c r="I440">
        <f t="shared" si="10"/>
        <v>2238.5709855555556</v>
      </c>
      <c r="K440">
        <f>_xlfn.STDEV.S('R1'!L440,'R2'!L440,'R3'!L440)</f>
        <v>1.4361826036980293E-2</v>
      </c>
      <c r="L440">
        <f>_xlfn.STDEV.S('R1'!M440,'R2'!M440,'R3'!M440)</f>
        <v>1.3757781335165598E-3</v>
      </c>
      <c r="M440">
        <f>_xlfn.STDEV.S('R1'!N440,'R2'!N440,'R3'!N440)</f>
        <v>1.1823643837518077E-2</v>
      </c>
      <c r="N440">
        <f>_xlfn.STDEV.S('R1'!O440,'R2'!O440,'R3'!O440)</f>
        <v>2.4309756044106914E-3</v>
      </c>
    </row>
    <row r="441" spans="1:14" x14ac:dyDescent="0.25">
      <c r="A441">
        <f>-'R1'!H441</f>
        <v>-32</v>
      </c>
      <c r="B441">
        <f>DEGREES(ATAN(-SIN(RADIANS(('R1'!I441)))/(COS(RADIANS(Sheet1!A441))*COS(RADIANS('R1'!I441)))))</f>
        <v>40.587432696870117</v>
      </c>
      <c r="C441">
        <f>AVERAGE('R1'!J441,'R2'!J441,'R3'!J441)</f>
        <v>1.1808333333333332</v>
      </c>
      <c r="D441">
        <f>AVERAGE('R1'!K441,'R2'!K441,'R3'!K441)</f>
        <v>11.348123999999999</v>
      </c>
      <c r="E441">
        <f>AVERAGE('R1'!L441,'R2'!L441,'R3'!L441)</f>
        <v>1.9135353119275507</v>
      </c>
      <c r="F441">
        <f>AVERAGE('R1'!M441,'R2'!M441,'R3'!M441)</f>
        <v>1.9313229883748126</v>
      </c>
      <c r="G441">
        <f>AVERAGE('R1'!N441,'R2'!N441,'R3'!N441)</f>
        <v>-1.3023123068467473</v>
      </c>
      <c r="H441">
        <f>AVERAGE('R1'!O441,'R2'!O441,'R3'!O441)</f>
        <v>-1.1001550066437911</v>
      </c>
      <c r="I441">
        <f t="shared" si="10"/>
        <v>2233.3738483333327</v>
      </c>
      <c r="K441">
        <f>_xlfn.STDEV.S('R1'!L441,'R2'!L441,'R3'!L441)</f>
        <v>9.8509902163340223E-3</v>
      </c>
      <c r="L441">
        <f>_xlfn.STDEV.S('R1'!M441,'R2'!M441,'R3'!M441)</f>
        <v>8.4253597862151107E-3</v>
      </c>
      <c r="M441">
        <f>_xlfn.STDEV.S('R1'!N441,'R2'!N441,'R3'!N441)</f>
        <v>1.4902775977881208E-2</v>
      </c>
      <c r="N441">
        <f>_xlfn.STDEV.S('R1'!O441,'R2'!O441,'R3'!O441)</f>
        <v>8.3336642551766135E-3</v>
      </c>
    </row>
    <row r="442" spans="1:14" x14ac:dyDescent="0.25">
      <c r="A442">
        <f>-'R1'!H442</f>
        <v>-32</v>
      </c>
      <c r="B442">
        <f>DEGREES(ATAN(-SIN(RADIANS(('R1'!I442)))/(COS(RADIANS(Sheet1!A442))*COS(RADIANS('R1'!I442)))))</f>
        <v>36.383993076218225</v>
      </c>
      <c r="C442">
        <f>AVERAGE('R1'!J442,'R2'!J442,'R3'!J442)</f>
        <v>1.18</v>
      </c>
      <c r="D442">
        <f>AVERAGE('R1'!K442,'R2'!K442,'R3'!K442)</f>
        <v>11.316454583333334</v>
      </c>
      <c r="E442">
        <f>AVERAGE('R1'!L442,'R2'!L442,'R3'!L442)</f>
        <v>1.7801922669296655</v>
      </c>
      <c r="F442">
        <f>AVERAGE('R1'!M442,'R2'!M442,'R3'!M442)</f>
        <v>1.8822026569798924</v>
      </c>
      <c r="G442">
        <f>AVERAGE('R1'!N442,'R2'!N442,'R3'!N442)</f>
        <v>-1.17897633493308</v>
      </c>
      <c r="H442">
        <f>AVERAGE('R1'!O442,'R2'!O442,'R3'!O442)</f>
        <v>-0.95173351103955817</v>
      </c>
      <c r="I442">
        <f t="shared" si="10"/>
        <v>2225.5694013888888</v>
      </c>
      <c r="K442">
        <f>_xlfn.STDEV.S('R1'!L442,'R2'!L442,'R3'!L442)</f>
        <v>1.4381462158704337E-2</v>
      </c>
      <c r="L442">
        <f>_xlfn.STDEV.S('R1'!M442,'R2'!M442,'R3'!M442)</f>
        <v>1.0934606233442463E-2</v>
      </c>
      <c r="M442">
        <f>_xlfn.STDEV.S('R1'!N442,'R2'!N442,'R3'!N442)</f>
        <v>1.8638732243764819E-2</v>
      </c>
      <c r="N442">
        <f>_xlfn.STDEV.S('R1'!O442,'R2'!O442,'R3'!O442)</f>
        <v>6.8850579315160761E-3</v>
      </c>
    </row>
    <row r="443" spans="1:14" x14ac:dyDescent="0.25">
      <c r="A443">
        <f>-'R1'!H443</f>
        <v>-32</v>
      </c>
      <c r="B443">
        <f>DEGREES(ATAN(-SIN(RADIANS(('R1'!I443)))/(COS(RADIANS(Sheet1!A443))*COS(RADIANS('R1'!I443)))))</f>
        <v>32.086900972819144</v>
      </c>
      <c r="C443">
        <f>AVERAGE('R1'!J443,'R2'!J443,'R3'!J443)</f>
        <v>1.18</v>
      </c>
      <c r="D443">
        <f>AVERAGE('R1'!K443,'R2'!K443,'R3'!K443)</f>
        <v>11.386556499999999</v>
      </c>
      <c r="E443">
        <f>AVERAGE('R1'!L443,'R2'!L443,'R3'!L443)</f>
        <v>1.6407622426469324</v>
      </c>
      <c r="F443">
        <f>AVERAGE('R1'!M443,'R2'!M443,'R3'!M443)</f>
        <v>1.8602721844558261</v>
      </c>
      <c r="G443">
        <f>AVERAGE('R1'!N443,'R2'!N443,'R3'!N443)</f>
        <v>-1.08147710131328</v>
      </c>
      <c r="H443">
        <f>AVERAGE('R1'!O443,'R2'!O443,'R3'!O443)</f>
        <v>-0.81325149818431564</v>
      </c>
      <c r="I443">
        <f t="shared" si="10"/>
        <v>2239.3561116666665</v>
      </c>
      <c r="K443">
        <f>_xlfn.STDEV.S('R1'!L443,'R2'!L443,'R3'!L443)</f>
        <v>1.6164594828611035E-2</v>
      </c>
      <c r="L443">
        <f>_xlfn.STDEV.S('R1'!M443,'R2'!M443,'R3'!M443)</f>
        <v>9.2628144068168435E-3</v>
      </c>
      <c r="M443">
        <f>_xlfn.STDEV.S('R1'!N443,'R2'!N443,'R3'!N443)</f>
        <v>1.6846241548467152E-2</v>
      </c>
      <c r="N443">
        <f>_xlfn.STDEV.S('R1'!O443,'R2'!O443,'R3'!O443)</f>
        <v>4.3867886710590408E-3</v>
      </c>
    </row>
    <row r="444" spans="1:14" x14ac:dyDescent="0.25">
      <c r="A444">
        <f>-'R1'!H444</f>
        <v>-32</v>
      </c>
      <c r="B444">
        <f>DEGREES(ATAN(-SIN(RADIANS(('R1'!I444)))/(COS(RADIANS(Sheet1!A444))*COS(RADIANS('R1'!I444)))))</f>
        <v>27.699654729206667</v>
      </c>
      <c r="C444">
        <f>AVERAGE('R1'!J444,'R2'!J444,'R3'!J444)</f>
        <v>1.18</v>
      </c>
      <c r="D444">
        <f>AVERAGE('R1'!K444,'R2'!K444,'R3'!K444)</f>
        <v>11.368738083333334</v>
      </c>
      <c r="E444">
        <f>AVERAGE('R1'!L444,'R2'!L444,'R3'!L444)</f>
        <v>1.4759917063755843</v>
      </c>
      <c r="F444">
        <f>AVERAGE('R1'!M444,'R2'!M444,'R3'!M444)</f>
        <v>1.8565327506916738</v>
      </c>
      <c r="G444">
        <f>AVERAGE('R1'!N444,'R2'!N444,'R3'!N444)</f>
        <v>-0.99463324866060054</v>
      </c>
      <c r="H444">
        <f>AVERAGE('R1'!O444,'R2'!O444,'R3'!O444)</f>
        <v>-0.67798724964232182</v>
      </c>
      <c r="I444">
        <f t="shared" si="10"/>
        <v>2235.8518230555555</v>
      </c>
      <c r="K444">
        <f>_xlfn.STDEV.S('R1'!L444,'R2'!L444,'R3'!L444)</f>
        <v>1.049659697889938E-2</v>
      </c>
      <c r="L444">
        <f>_xlfn.STDEV.S('R1'!M444,'R2'!M444,'R3'!M444)</f>
        <v>2.0557093032700448E-2</v>
      </c>
      <c r="M444">
        <f>_xlfn.STDEV.S('R1'!N444,'R2'!N444,'R3'!N444)</f>
        <v>2.0309906887694761E-2</v>
      </c>
      <c r="N444">
        <f>_xlfn.STDEV.S('R1'!O444,'R2'!O444,'R3'!O444)</f>
        <v>9.6789330767109751E-3</v>
      </c>
    </row>
    <row r="445" spans="1:14" x14ac:dyDescent="0.25">
      <c r="A445">
        <f>-'R1'!H445</f>
        <v>-32</v>
      </c>
      <c r="B445">
        <f>DEGREES(ATAN(-SIN(RADIANS(('R1'!I445)))/(COS(RADIANS(Sheet1!A445))*COS(RADIANS('R1'!I445)))))</f>
        <v>23.228324501561271</v>
      </c>
      <c r="C445">
        <f>AVERAGE('R1'!J445,'R2'!J445,'R3'!J445)</f>
        <v>1.1808333333333332</v>
      </c>
      <c r="D445">
        <f>AVERAGE('R1'!K445,'R2'!K445,'R3'!K445)</f>
        <v>11.303001249999999</v>
      </c>
      <c r="E445">
        <f>AVERAGE('R1'!L445,'R2'!L445,'R3'!L445)</f>
        <v>1.2765242345154493</v>
      </c>
      <c r="F445">
        <f>AVERAGE('R1'!M445,'R2'!M445,'R3'!M445)</f>
        <v>1.8532274954977279</v>
      </c>
      <c r="G445">
        <f>AVERAGE('R1'!N445,'R2'!N445,'R3'!N445)</f>
        <v>-0.8938303586205093</v>
      </c>
      <c r="H445">
        <f>AVERAGE('R1'!O445,'R2'!O445,'R3'!O445)</f>
        <v>-0.55315947790730358</v>
      </c>
      <c r="I445">
        <f t="shared" si="10"/>
        <v>2224.4934404513883</v>
      </c>
      <c r="K445">
        <f>_xlfn.STDEV.S('R1'!L445,'R2'!L445,'R3'!L445)</f>
        <v>2.8027784370313982E-3</v>
      </c>
      <c r="L445">
        <f>_xlfn.STDEV.S('R1'!M445,'R2'!M445,'R3'!M445)</f>
        <v>8.8638021212500973E-3</v>
      </c>
      <c r="M445">
        <f>_xlfn.STDEV.S('R1'!N445,'R2'!N445,'R3'!N445)</f>
        <v>5.7901334734656628E-3</v>
      </c>
      <c r="N445">
        <f>_xlfn.STDEV.S('R1'!O445,'R2'!O445,'R3'!O445)</f>
        <v>6.2920623912498764E-3</v>
      </c>
    </row>
    <row r="446" spans="1:14" x14ac:dyDescent="0.25">
      <c r="A446">
        <f>-'R1'!H446</f>
        <v>-32</v>
      </c>
      <c r="B446">
        <f>DEGREES(ATAN(-SIN(RADIANS(('R1'!I446)))/(COS(RADIANS(Sheet1!A446))*COS(RADIANS('R1'!I446)))))</f>
        <v>18.681627509923402</v>
      </c>
      <c r="C446">
        <f>AVERAGE('R1'!J446,'R2'!J446,'R3'!J446)</f>
        <v>1.18</v>
      </c>
      <c r="D446">
        <f>AVERAGE('R1'!K446,'R2'!K446,'R3'!K446)</f>
        <v>11.295994083333333</v>
      </c>
      <c r="E446">
        <f>AVERAGE('R1'!L446,'R2'!L446,'R3'!L446)</f>
        <v>1.0672937480925255</v>
      </c>
      <c r="F446">
        <f>AVERAGE('R1'!M446,'R2'!M446,'R3'!M446)</f>
        <v>1.8779487907130452</v>
      </c>
      <c r="G446">
        <f>AVERAGE('R1'!N446,'R2'!N446,'R3'!N446)</f>
        <v>-0.82077064693495705</v>
      </c>
      <c r="H446">
        <f>AVERAGE('R1'!O446,'R2'!O446,'R3'!O446)</f>
        <v>-0.4575474390785757</v>
      </c>
      <c r="I446">
        <f t="shared" si="10"/>
        <v>2221.5455030555559</v>
      </c>
      <c r="K446">
        <f>_xlfn.STDEV.S('R1'!L446,'R2'!L446,'R3'!L446)</f>
        <v>6.4714070953556376E-3</v>
      </c>
      <c r="L446">
        <f>_xlfn.STDEV.S('R1'!M446,'R2'!M446,'R3'!M446)</f>
        <v>4.6211539100983511E-3</v>
      </c>
      <c r="M446">
        <f>_xlfn.STDEV.S('R1'!N446,'R2'!N446,'R3'!N446)</f>
        <v>1.6146954239157889E-3</v>
      </c>
      <c r="N446">
        <f>_xlfn.STDEV.S('R1'!O446,'R2'!O446,'R3'!O446)</f>
        <v>7.9232434826418657E-3</v>
      </c>
    </row>
    <row r="447" spans="1:14" x14ac:dyDescent="0.25">
      <c r="A447">
        <f>-'R1'!H447</f>
        <v>-32</v>
      </c>
      <c r="B447">
        <f>DEGREES(ATAN(-SIN(RADIANS(('R1'!I447)))/(COS(RADIANS(Sheet1!A447))*COS(RADIANS('R1'!I447)))))</f>
        <v>14.070864136056453</v>
      </c>
      <c r="C447">
        <f>AVERAGE('R1'!J447,'R2'!J447,'R3'!J447)</f>
        <v>1.18</v>
      </c>
      <c r="D447">
        <f>AVERAGE('R1'!K447,'R2'!K447,'R3'!K447)</f>
        <v>11.228446750000002</v>
      </c>
      <c r="E447">
        <f>AVERAGE('R1'!L447,'R2'!L447,'R3'!L447)</f>
        <v>0.83573475224940597</v>
      </c>
      <c r="F447">
        <f>AVERAGE('R1'!M447,'R2'!M447,'R3'!M447)</f>
        <v>1.9281131797718609</v>
      </c>
      <c r="G447">
        <f>AVERAGE('R1'!N447,'R2'!N447,'R3'!N447)</f>
        <v>-0.76874745017236668</v>
      </c>
      <c r="H447">
        <f>AVERAGE('R1'!O447,'R2'!O447,'R3'!O447)</f>
        <v>-0.3700376218637389</v>
      </c>
      <c r="I447">
        <f t="shared" si="10"/>
        <v>2208.2611941666669</v>
      </c>
      <c r="K447">
        <f>_xlfn.STDEV.S('R1'!L447,'R2'!L447,'R3'!L447)</f>
        <v>6.1439645996546523E-3</v>
      </c>
      <c r="L447">
        <f>_xlfn.STDEV.S('R1'!M447,'R2'!M447,'R3'!M447)</f>
        <v>6.2882032608803772E-3</v>
      </c>
      <c r="M447">
        <f>_xlfn.STDEV.S('R1'!N447,'R2'!N447,'R3'!N447)</f>
        <v>4.0707896848565768E-3</v>
      </c>
      <c r="N447">
        <f>_xlfn.STDEV.S('R1'!O447,'R2'!O447,'R3'!O447)</f>
        <v>5.4321093835738923E-3</v>
      </c>
    </row>
    <row r="448" spans="1:14" x14ac:dyDescent="0.25">
      <c r="A448">
        <f>-'R1'!H448</f>
        <v>-32</v>
      </c>
      <c r="B448">
        <f>DEGREES(ATAN(-SIN(RADIANS(('R1'!I448)))/(COS(RADIANS(Sheet1!A448))*COS(RADIANS('R1'!I448)))))</f>
        <v>9.4096915772201388</v>
      </c>
      <c r="C448">
        <f>AVERAGE('R1'!J448,'R2'!J448,'R3'!J448)</f>
        <v>1.18</v>
      </c>
      <c r="D448">
        <f>AVERAGE('R1'!K448,'R2'!K448,'R3'!K448)</f>
        <v>11.234392666666666</v>
      </c>
      <c r="E448">
        <f>AVERAGE('R1'!L448,'R2'!L448,'R3'!L448)</f>
        <v>0.61058057385636288</v>
      </c>
      <c r="F448">
        <f>AVERAGE('R1'!M448,'R2'!M448,'R3'!M448)</f>
        <v>2.0049910761374226</v>
      </c>
      <c r="G448">
        <f>AVERAGE('R1'!N448,'R2'!N448,'R3'!N448)</f>
        <v>-0.75612372313029186</v>
      </c>
      <c r="H448">
        <f>AVERAGE('R1'!O448,'R2'!O448,'R3'!O448)</f>
        <v>-0.29595037696126947</v>
      </c>
      <c r="I448">
        <f t="shared" si="10"/>
        <v>2209.4305577777777</v>
      </c>
      <c r="K448">
        <f>_xlfn.STDEV.S('R1'!L448,'R2'!L448,'R3'!L448)</f>
        <v>6.1926494425548805E-3</v>
      </c>
      <c r="L448">
        <f>_xlfn.STDEV.S('R1'!M448,'R2'!M448,'R3'!M448)</f>
        <v>1.9399185542944772E-2</v>
      </c>
      <c r="M448">
        <f>_xlfn.STDEV.S('R1'!N448,'R2'!N448,'R3'!N448)</f>
        <v>1.5820557931350766E-2</v>
      </c>
      <c r="N448">
        <f>_xlfn.STDEV.S('R1'!O448,'R2'!O448,'R3'!O448)</f>
        <v>4.7701061738486079E-3</v>
      </c>
    </row>
    <row r="449" spans="1:14" x14ac:dyDescent="0.25">
      <c r="A449">
        <f>-'R1'!H449</f>
        <v>-32</v>
      </c>
      <c r="B449">
        <f>DEGREES(ATAN(-SIN(RADIANS(('R1'!I449)))/(COS(RADIANS(Sheet1!A449))*COS(RADIANS('R1'!I449)))))</f>
        <v>4.7137278648813155</v>
      </c>
      <c r="C449">
        <f>AVERAGE('R1'!J449,'R2'!J449,'R3'!J449)</f>
        <v>1.18</v>
      </c>
      <c r="D449">
        <f>AVERAGE('R1'!K449,'R2'!K449,'R3'!K449)</f>
        <v>11.313121166666667</v>
      </c>
      <c r="E449">
        <f>AVERAGE('R1'!L449,'R2'!L449,'R3'!L449)</f>
        <v>0.37180476037046811</v>
      </c>
      <c r="F449">
        <f>AVERAGE('R1'!M449,'R2'!M449,'R3'!M449)</f>
        <v>2.11143821436846</v>
      </c>
      <c r="G449">
        <f>AVERAGE('R1'!N449,'R2'!N449,'R3'!N449)</f>
        <v>-0.7794549844960037</v>
      </c>
      <c r="H449">
        <f>AVERAGE('R1'!O449,'R2'!O449,'R3'!O449)</f>
        <v>-0.23236492119036392</v>
      </c>
      <c r="I449">
        <f t="shared" si="10"/>
        <v>2224.9138294444447</v>
      </c>
      <c r="K449">
        <f>_xlfn.STDEV.S('R1'!L449,'R2'!L449,'R3'!L449)</f>
        <v>6.2154327092385506E-3</v>
      </c>
      <c r="L449">
        <f>_xlfn.STDEV.S('R1'!M449,'R2'!M449,'R3'!M449)</f>
        <v>1.5780653266282575E-2</v>
      </c>
      <c r="M449">
        <f>_xlfn.STDEV.S('R1'!N449,'R2'!N449,'R3'!N449)</f>
        <v>1.4697840478281928E-2</v>
      </c>
      <c r="N449">
        <f>_xlfn.STDEV.S('R1'!O449,'R2'!O449,'R3'!O449)</f>
        <v>8.7246140145925879E-3</v>
      </c>
    </row>
    <row r="450" spans="1:14" x14ac:dyDescent="0.25">
      <c r="A450">
        <f>-'R1'!H450</f>
        <v>-32</v>
      </c>
      <c r="B450">
        <f>DEGREES(ATAN(-SIN(RADIANS(('R1'!I450)))/(COS(RADIANS(Sheet1!A450))*COS(RADIANS('R1'!I450)))))</f>
        <v>0</v>
      </c>
      <c r="C450">
        <f>AVERAGE('R1'!J450,'R2'!J450,'R3'!J450)</f>
        <v>1.1808333333333332</v>
      </c>
      <c r="D450">
        <f>AVERAGE('R1'!K450,'R2'!K450,'R3'!K450)</f>
        <v>11.330204</v>
      </c>
      <c r="E450">
        <f>AVERAGE('R1'!L450,'R2'!L450,'R3'!L450)</f>
        <v>5.5510062680797556E-2</v>
      </c>
      <c r="F450">
        <f>AVERAGE('R1'!M450,'R2'!M450,'R3'!M450)</f>
        <v>2.2830941681155159</v>
      </c>
      <c r="G450">
        <f>AVERAGE('R1'!N450,'R2'!N450,'R3'!N450)</f>
        <v>-0.83597647546005582</v>
      </c>
      <c r="H450">
        <f>AVERAGE('R1'!O450,'R2'!O450,'R3'!O450)</f>
        <v>-0.15897182707222293</v>
      </c>
      <c r="I450">
        <f t="shared" si="10"/>
        <v>2229.8470927777771</v>
      </c>
      <c r="K450">
        <f>_xlfn.STDEV.S('R1'!L450,'R2'!L450,'R3'!L450)</f>
        <v>1.580706724291912E-2</v>
      </c>
      <c r="L450">
        <f>_xlfn.STDEV.S('R1'!M450,'R2'!M450,'R3'!M450)</f>
        <v>1.7969561136323659E-2</v>
      </c>
      <c r="M450">
        <f>_xlfn.STDEV.S('R1'!N450,'R2'!N450,'R3'!N450)</f>
        <v>1.5445466660120118E-2</v>
      </c>
      <c r="N450">
        <f>_xlfn.STDEV.S('R1'!O450,'R2'!O450,'R3'!O450)</f>
        <v>3.8496008951916256E-3</v>
      </c>
    </row>
    <row r="451" spans="1:14" x14ac:dyDescent="0.25">
      <c r="A451">
        <f>-'R1'!H451</f>
        <v>-32</v>
      </c>
      <c r="B451">
        <f>DEGREES(ATAN(-SIN(RADIANS(('R1'!I451)))/(COS(RADIANS(Sheet1!A451))*COS(RADIANS('R1'!I451)))))</f>
        <v>-4.7137278648813155</v>
      </c>
      <c r="C451">
        <f>AVERAGE('R1'!J451,'R2'!J451,'R3'!J451)</f>
        <v>1.1833333333333333</v>
      </c>
      <c r="D451">
        <f>AVERAGE('R1'!K451,'R2'!K451,'R3'!K451)</f>
        <v>11.371931333333331</v>
      </c>
      <c r="E451">
        <f>AVERAGE('R1'!L451,'R2'!L451,'R3'!L451)</f>
        <v>-0.2794645243250593</v>
      </c>
      <c r="F451">
        <f>AVERAGE('R1'!M451,'R2'!M451,'R3'!M451)</f>
        <v>2.1830222137426407</v>
      </c>
      <c r="G451">
        <f>AVERAGE('R1'!N451,'R2'!N451,'R3'!N451)</f>
        <v>-0.81655035206791882</v>
      </c>
      <c r="H451">
        <f>AVERAGE('R1'!O451,'R2'!O451,'R3'!O451)</f>
        <v>-0.21829235654614357</v>
      </c>
      <c r="I451">
        <f t="shared" ref="I451:I514" si="11">10^5*C451*D451*0.003/1.8</f>
        <v>2242.7975685185179</v>
      </c>
      <c r="K451">
        <f>_xlfn.STDEV.S('R1'!L451,'R2'!L451,'R3'!L451)</f>
        <v>3.3455705981758834E-3</v>
      </c>
      <c r="L451">
        <f>_xlfn.STDEV.S('R1'!M451,'R2'!M451,'R3'!M451)</f>
        <v>2.0660330954890834E-2</v>
      </c>
      <c r="M451">
        <f>_xlfn.STDEV.S('R1'!N451,'R2'!N451,'R3'!N451)</f>
        <v>1.5113063685725679E-2</v>
      </c>
      <c r="N451">
        <f>_xlfn.STDEV.S('R1'!O451,'R2'!O451,'R3'!O451)</f>
        <v>1.0570833920517938E-2</v>
      </c>
    </row>
    <row r="452" spans="1:14" x14ac:dyDescent="0.25">
      <c r="A452">
        <f>-'R1'!H452</f>
        <v>-32</v>
      </c>
      <c r="B452">
        <f>DEGREES(ATAN(-SIN(RADIANS(('R1'!I452)))/(COS(RADIANS(Sheet1!A452))*COS(RADIANS('R1'!I452)))))</f>
        <v>-9.4096915772201388</v>
      </c>
      <c r="C452">
        <f>AVERAGE('R1'!J452,'R2'!J452,'R3'!J452)</f>
        <v>1.1808333333333332</v>
      </c>
      <c r="D452">
        <f>AVERAGE('R1'!K452,'R2'!K452,'R3'!K452)</f>
        <v>11.426276166666668</v>
      </c>
      <c r="E452">
        <f>AVERAGE('R1'!L452,'R2'!L452,'R3'!L452)</f>
        <v>-0.55153879789629345</v>
      </c>
      <c r="F452">
        <f>AVERAGE('R1'!M452,'R2'!M452,'R3'!M452)</f>
        <v>2.0527907259474563</v>
      </c>
      <c r="G452">
        <f>AVERAGE('R1'!N452,'R2'!N452,'R3'!N452)</f>
        <v>-0.79101060538997636</v>
      </c>
      <c r="H452">
        <f>AVERAGE('R1'!O452,'R2'!O452,'R3'!O452)</f>
        <v>-0.29742644087949494</v>
      </c>
      <c r="I452">
        <f t="shared" si="11"/>
        <v>2248.7546289120369</v>
      </c>
      <c r="K452">
        <f>_xlfn.STDEV.S('R1'!L452,'R2'!L452,'R3'!L452)</f>
        <v>5.7246227938442893E-3</v>
      </c>
      <c r="L452">
        <f>_xlfn.STDEV.S('R1'!M452,'R2'!M452,'R3'!M452)</f>
        <v>2.3217150358645126E-2</v>
      </c>
      <c r="M452">
        <f>_xlfn.STDEV.S('R1'!N452,'R2'!N452,'R3'!N452)</f>
        <v>1.9167043448640106E-2</v>
      </c>
      <c r="N452">
        <f>_xlfn.STDEV.S('R1'!O452,'R2'!O452,'R3'!O452)</f>
        <v>6.4449158576496569E-3</v>
      </c>
    </row>
    <row r="453" spans="1:14" x14ac:dyDescent="0.25">
      <c r="A453">
        <f>-'R1'!H453</f>
        <v>-32</v>
      </c>
      <c r="B453">
        <f>DEGREES(ATAN(-SIN(RADIANS(('R1'!I453)))/(COS(RADIANS(Sheet1!A453))*COS(RADIANS('R1'!I453)))))</f>
        <v>-14.070864136056453</v>
      </c>
      <c r="C453">
        <f>AVERAGE('R1'!J453,'R2'!J453,'R3'!J453)</f>
        <v>1.18</v>
      </c>
      <c r="D453">
        <f>AVERAGE('R1'!K453,'R2'!K453,'R3'!K453)</f>
        <v>11.3542285</v>
      </c>
      <c r="E453">
        <f>AVERAGE('R1'!L453,'R2'!L453,'R3'!L453)</f>
        <v>-0.82042821543084565</v>
      </c>
      <c r="F453">
        <f>AVERAGE('R1'!M453,'R2'!M453,'R3'!M453)</f>
        <v>1.9708133411016675</v>
      </c>
      <c r="G453">
        <f>AVERAGE('R1'!N453,'R2'!N453,'R3'!N453)</f>
        <v>-0.81869138991329649</v>
      </c>
      <c r="H453">
        <f>AVERAGE('R1'!O453,'R2'!O453,'R3'!O453)</f>
        <v>-0.39116682636823158</v>
      </c>
      <c r="I453">
        <f t="shared" si="11"/>
        <v>2232.9982716666668</v>
      </c>
      <c r="K453">
        <f>_xlfn.STDEV.S('R1'!L453,'R2'!L453,'R3'!L453)</f>
        <v>1.2223165134544339E-2</v>
      </c>
      <c r="L453">
        <f>_xlfn.STDEV.S('R1'!M453,'R2'!M453,'R3'!M453)</f>
        <v>1.9905365835730805E-2</v>
      </c>
      <c r="M453">
        <f>_xlfn.STDEV.S('R1'!N453,'R2'!N453,'R3'!N453)</f>
        <v>2.251054798050646E-2</v>
      </c>
      <c r="N453">
        <f>_xlfn.STDEV.S('R1'!O453,'R2'!O453,'R3'!O453)</f>
        <v>9.5291239114181619E-3</v>
      </c>
    </row>
    <row r="454" spans="1:14" x14ac:dyDescent="0.25">
      <c r="A454">
        <f>-'R1'!H454</f>
        <v>-32</v>
      </c>
      <c r="B454">
        <f>DEGREES(ATAN(-SIN(RADIANS(('R1'!I454)))/(COS(RADIANS(Sheet1!A454))*COS(RADIANS('R1'!I454)))))</f>
        <v>-18.681627509923402</v>
      </c>
      <c r="C454">
        <f>AVERAGE('R1'!J454,'R2'!J454,'R3'!J454)</f>
        <v>1.18</v>
      </c>
      <c r="D454">
        <f>AVERAGE('R1'!K454,'R2'!K454,'R3'!K454)</f>
        <v>11.344378000000001</v>
      </c>
      <c r="E454">
        <f>AVERAGE('R1'!L454,'R2'!L454,'R3'!L454)</f>
        <v>-1.0638574849866231</v>
      </c>
      <c r="F454">
        <f>AVERAGE('R1'!M454,'R2'!M454,'R3'!M454)</f>
        <v>1.9244781428282545</v>
      </c>
      <c r="G454">
        <f>AVERAGE('R1'!N454,'R2'!N454,'R3'!N454)</f>
        <v>-0.89125681191081407</v>
      </c>
      <c r="H454">
        <f>AVERAGE('R1'!O454,'R2'!O454,'R3'!O454)</f>
        <v>-0.4809179625176907</v>
      </c>
      <c r="I454">
        <f t="shared" si="11"/>
        <v>2231.0610066666668</v>
      </c>
      <c r="K454">
        <f>_xlfn.STDEV.S('R1'!L454,'R2'!L454,'R3'!L454)</f>
        <v>1.7882681318240345E-2</v>
      </c>
      <c r="L454">
        <f>_xlfn.STDEV.S('R1'!M454,'R2'!M454,'R3'!M454)</f>
        <v>8.7334181375554095E-3</v>
      </c>
      <c r="M454">
        <f>_xlfn.STDEV.S('R1'!N454,'R2'!N454,'R3'!N454)</f>
        <v>1.6926934748098081E-2</v>
      </c>
      <c r="N454">
        <f>_xlfn.STDEV.S('R1'!O454,'R2'!O454,'R3'!O454)</f>
        <v>5.0561564337314319E-3</v>
      </c>
    </row>
    <row r="455" spans="1:14" x14ac:dyDescent="0.25">
      <c r="A455">
        <f>-'R1'!H455</f>
        <v>-32</v>
      </c>
      <c r="B455">
        <f>DEGREES(ATAN(-SIN(RADIANS(('R1'!I455)))/(COS(RADIANS(Sheet1!A455))*COS(RADIANS('R1'!I455)))))</f>
        <v>-23.228324501561271</v>
      </c>
      <c r="C455">
        <f>AVERAGE('R1'!J455,'R2'!J455,'R3'!J455)</f>
        <v>1.18</v>
      </c>
      <c r="D455">
        <f>AVERAGE('R1'!K455,'R2'!K455,'R3'!K455)</f>
        <v>11.30777975</v>
      </c>
      <c r="E455">
        <f>AVERAGE('R1'!L455,'R2'!L455,'R3'!L455)</f>
        <v>-1.2990152546296463</v>
      </c>
      <c r="F455">
        <f>AVERAGE('R1'!M455,'R2'!M455,'R3'!M455)</f>
        <v>1.8995690420876941</v>
      </c>
      <c r="G455">
        <f>AVERAGE('R1'!N455,'R2'!N455,'R3'!N455)</f>
        <v>-0.96946081302863629</v>
      </c>
      <c r="H455">
        <f>AVERAGE('R1'!O455,'R2'!O455,'R3'!O455)</f>
        <v>-0.58781170338965139</v>
      </c>
      <c r="I455">
        <f t="shared" si="11"/>
        <v>2223.8633508333337</v>
      </c>
      <c r="K455">
        <f>_xlfn.STDEV.S('R1'!L455,'R2'!L455,'R3'!L455)</f>
        <v>1.0067841907023437E-2</v>
      </c>
      <c r="L455">
        <f>_xlfn.STDEV.S('R1'!M455,'R2'!M455,'R3'!M455)</f>
        <v>4.8930553815999247E-3</v>
      </c>
      <c r="M455">
        <f>_xlfn.STDEV.S('R1'!N455,'R2'!N455,'R3'!N455)</f>
        <v>1.3451261260586126E-2</v>
      </c>
      <c r="N455">
        <f>_xlfn.STDEV.S('R1'!O455,'R2'!O455,'R3'!O455)</f>
        <v>7.1428410640664314E-3</v>
      </c>
    </row>
    <row r="456" spans="1:14" x14ac:dyDescent="0.25">
      <c r="A456">
        <f>-'R1'!H456</f>
        <v>-32</v>
      </c>
      <c r="B456">
        <f>DEGREES(ATAN(-SIN(RADIANS(('R1'!I456)))/(COS(RADIANS(Sheet1!A456))*COS(RADIANS('R1'!I456)))))</f>
        <v>-27.699654729206667</v>
      </c>
      <c r="C456">
        <f>AVERAGE('R1'!J456,'R2'!J456,'R3'!J456)</f>
        <v>1.18</v>
      </c>
      <c r="D456">
        <f>AVERAGE('R1'!K456,'R2'!K456,'R3'!K456)</f>
        <v>11.268914333333333</v>
      </c>
      <c r="E456">
        <f>AVERAGE('R1'!L456,'R2'!L456,'R3'!L456)</f>
        <v>-1.494135042777275</v>
      </c>
      <c r="F456">
        <f>AVERAGE('R1'!M456,'R2'!M456,'R3'!M456)</f>
        <v>1.9156447302398811</v>
      </c>
      <c r="G456">
        <f>AVERAGE('R1'!N456,'R2'!N456,'R3'!N456)</f>
        <v>-1.0683279437007098</v>
      </c>
      <c r="H456">
        <f>AVERAGE('R1'!O456,'R2'!O456,'R3'!O456)</f>
        <v>-0.72401042117380821</v>
      </c>
      <c r="I456">
        <f t="shared" si="11"/>
        <v>2216.2198188888888</v>
      </c>
      <c r="K456">
        <f>_xlfn.STDEV.S('R1'!L456,'R2'!L456,'R3'!L456)</f>
        <v>1.552890021110751E-2</v>
      </c>
      <c r="L456">
        <f>_xlfn.STDEV.S('R1'!M456,'R2'!M456,'R3'!M456)</f>
        <v>1.3582552555181428E-2</v>
      </c>
      <c r="M456">
        <f>_xlfn.STDEV.S('R1'!N456,'R2'!N456,'R3'!N456)</f>
        <v>2.3334650968672127E-2</v>
      </c>
      <c r="N456">
        <f>_xlfn.STDEV.S('R1'!O456,'R2'!O456,'R3'!O456)</f>
        <v>3.0649109222821175E-3</v>
      </c>
    </row>
    <row r="457" spans="1:14" x14ac:dyDescent="0.25">
      <c r="A457">
        <f>-'R1'!H457</f>
        <v>-32</v>
      </c>
      <c r="B457">
        <f>DEGREES(ATAN(-SIN(RADIANS(('R1'!I457)))/(COS(RADIANS(Sheet1!A457))*COS(RADIANS('R1'!I457)))))</f>
        <v>-32.086900972819144</v>
      </c>
      <c r="C457">
        <f>AVERAGE('R1'!J457,'R2'!J457,'R3'!J457)</f>
        <v>1.18</v>
      </c>
      <c r="D457">
        <f>AVERAGE('R1'!K457,'R2'!K457,'R3'!K457)</f>
        <v>11.257542333333333</v>
      </c>
      <c r="E457">
        <f>AVERAGE('R1'!L457,'R2'!L457,'R3'!L457)</f>
        <v>-1.6621140438335535</v>
      </c>
      <c r="F457">
        <f>AVERAGE('R1'!M457,'R2'!M457,'R3'!M457)</f>
        <v>1.9626374186216815</v>
      </c>
      <c r="G457">
        <f>AVERAGE('R1'!N457,'R2'!N457,'R3'!N457)</f>
        <v>-1.1947820657882549</v>
      </c>
      <c r="H457">
        <f>AVERAGE('R1'!O457,'R2'!O457,'R3'!O457)</f>
        <v>-0.870696356253852</v>
      </c>
      <c r="I457">
        <f t="shared" si="11"/>
        <v>2213.9833255555554</v>
      </c>
      <c r="K457">
        <f>_xlfn.STDEV.S('R1'!L457,'R2'!L457,'R3'!L457)</f>
        <v>2.712004235964964E-2</v>
      </c>
      <c r="L457">
        <f>_xlfn.STDEV.S('R1'!M457,'R2'!M457,'R3'!M457)</f>
        <v>1.40197567944895E-2</v>
      </c>
      <c r="M457">
        <f>_xlfn.STDEV.S('R1'!N457,'R2'!N457,'R3'!N457)</f>
        <v>1.8844760054854217E-2</v>
      </c>
      <c r="N457">
        <f>_xlfn.STDEV.S('R1'!O457,'R2'!O457,'R3'!O457)</f>
        <v>4.6146432167428354E-3</v>
      </c>
    </row>
    <row r="458" spans="1:14" x14ac:dyDescent="0.25">
      <c r="A458">
        <f>-'R1'!H458</f>
        <v>-32</v>
      </c>
      <c r="B458">
        <f>DEGREES(ATAN(-SIN(RADIANS(('R1'!I458)))/(COS(RADIANS(Sheet1!A458))*COS(RADIANS('R1'!I458)))))</f>
        <v>-36.383993076218225</v>
      </c>
      <c r="C458">
        <f>AVERAGE('R1'!J458,'R2'!J458,'R3'!J458)</f>
        <v>1.18</v>
      </c>
      <c r="D458">
        <f>AVERAGE('R1'!K458,'R2'!K458,'R3'!K458)</f>
        <v>11.217864416666666</v>
      </c>
      <c r="E458">
        <f>AVERAGE('R1'!L458,'R2'!L458,'R3'!L458)</f>
        <v>-1.8414019754362734</v>
      </c>
      <c r="F458">
        <f>AVERAGE('R1'!M458,'R2'!M458,'R3'!M458)</f>
        <v>2.0370818599762317</v>
      </c>
      <c r="G458">
        <f>AVERAGE('R1'!N458,'R2'!N458,'R3'!N458)</f>
        <v>-1.3458675628455623</v>
      </c>
      <c r="H458">
        <f>AVERAGE('R1'!O458,'R2'!O458,'R3'!O458)</f>
        <v>-1.0316039709726184</v>
      </c>
      <c r="I458">
        <f t="shared" si="11"/>
        <v>2206.1800019444445</v>
      </c>
      <c r="K458">
        <f>_xlfn.STDEV.S('R1'!L458,'R2'!L458,'R3'!L458)</f>
        <v>2.1602182085180426E-2</v>
      </c>
      <c r="L458">
        <f>_xlfn.STDEV.S('R1'!M458,'R2'!M458,'R3'!M458)</f>
        <v>1.5599447166655227E-2</v>
      </c>
      <c r="M458">
        <f>_xlfn.STDEV.S('R1'!N458,'R2'!N458,'R3'!N458)</f>
        <v>3.3537436559649123E-2</v>
      </c>
      <c r="N458">
        <f>_xlfn.STDEV.S('R1'!O458,'R2'!O458,'R3'!O458)</f>
        <v>9.1066530870815565E-3</v>
      </c>
    </row>
    <row r="459" spans="1:14" x14ac:dyDescent="0.25">
      <c r="A459">
        <f>-'R1'!H459</f>
        <v>-32</v>
      </c>
      <c r="B459">
        <f>DEGREES(ATAN(-SIN(RADIANS(('R1'!I459)))/(COS(RADIANS(Sheet1!A459))*COS(RADIANS('R1'!I459)))))</f>
        <v>-40.587432696870117</v>
      </c>
      <c r="C459">
        <f>AVERAGE('R1'!J459,'R2'!J459,'R3'!J459)</f>
        <v>1.18</v>
      </c>
      <c r="D459">
        <f>AVERAGE('R1'!K459,'R2'!K459,'R3'!K459)</f>
        <v>11.224727166666668</v>
      </c>
      <c r="E459">
        <f>AVERAGE('R1'!L459,'R2'!L459,'R3'!L459)</f>
        <v>-2.0449346779753745</v>
      </c>
      <c r="F459">
        <f>AVERAGE('R1'!M459,'R2'!M459,'R3'!M459)</f>
        <v>2.1511148602466008</v>
      </c>
      <c r="G459">
        <f>AVERAGE('R1'!N459,'R2'!N459,'R3'!N459)</f>
        <v>-1.564710134135767</v>
      </c>
      <c r="H459">
        <f>AVERAGE('R1'!O459,'R2'!O459,'R3'!O459)</f>
        <v>-1.2227371140371919</v>
      </c>
      <c r="I459">
        <f t="shared" si="11"/>
        <v>2207.5296761111113</v>
      </c>
      <c r="K459">
        <f>_xlfn.STDEV.S('R1'!L459,'R2'!L459,'R3'!L459)</f>
        <v>2.6754688672816031E-2</v>
      </c>
      <c r="L459">
        <f>_xlfn.STDEV.S('R1'!M459,'R2'!M459,'R3'!M459)</f>
        <v>1.4378344365161963E-2</v>
      </c>
      <c r="M459">
        <f>_xlfn.STDEV.S('R1'!N459,'R2'!N459,'R3'!N459)</f>
        <v>4.6098523589398609E-2</v>
      </c>
      <c r="N459">
        <f>_xlfn.STDEV.S('R1'!O459,'R2'!O459,'R3'!O459)</f>
        <v>1.0277745555260558E-2</v>
      </c>
    </row>
    <row r="460" spans="1:14" x14ac:dyDescent="0.25">
      <c r="A460">
        <f>-'R1'!H460</f>
        <v>-32</v>
      </c>
      <c r="B460">
        <f>DEGREES(ATAN(-SIN(RADIANS(('R1'!I460)))/(COS(RADIANS(Sheet1!A460))*COS(RADIANS('R1'!I460)))))</f>
        <v>-44.69611169166604</v>
      </c>
      <c r="C460">
        <f>AVERAGE('R1'!J460,'R2'!J460,'R3'!J460)</f>
        <v>1.18</v>
      </c>
      <c r="D460">
        <f>AVERAGE('R1'!K460,'R2'!K460,'R3'!K460)</f>
        <v>11.298120083333336</v>
      </c>
      <c r="E460">
        <f>AVERAGE('R1'!L460,'R2'!L460,'R3'!L460)</f>
        <v>-2.2741419195534598</v>
      </c>
      <c r="F460">
        <f>AVERAGE('R1'!M460,'R2'!M460,'R3'!M460)</f>
        <v>2.3049556437730097</v>
      </c>
      <c r="G460">
        <f>AVERAGE('R1'!N460,'R2'!N460,'R3'!N460)</f>
        <v>-1.8271461234359923</v>
      </c>
      <c r="H460">
        <f>AVERAGE('R1'!O460,'R2'!O460,'R3'!O460)</f>
        <v>-1.4351388950548654</v>
      </c>
      <c r="I460">
        <f t="shared" si="11"/>
        <v>2221.9636163888895</v>
      </c>
      <c r="K460">
        <f>_xlfn.STDEV.S('R1'!L460,'R2'!L460,'R3'!L460)</f>
        <v>2.9664680218729911E-2</v>
      </c>
      <c r="L460">
        <f>_xlfn.STDEV.S('R1'!M460,'R2'!M460,'R3'!M460)</f>
        <v>1.3502126891342106E-2</v>
      </c>
      <c r="M460">
        <f>_xlfn.STDEV.S('R1'!N460,'R2'!N460,'R3'!N460)</f>
        <v>4.5087135408579539E-2</v>
      </c>
      <c r="N460">
        <f>_xlfn.STDEV.S('R1'!O460,'R2'!O460,'R3'!O460)</f>
        <v>1.4362346149128633E-2</v>
      </c>
    </row>
    <row r="461" spans="1:14" x14ac:dyDescent="0.25">
      <c r="A461">
        <f>-'R1'!H461</f>
        <v>-32</v>
      </c>
      <c r="B461">
        <f>DEGREES(ATAN(-SIN(RADIANS(('R1'!I461)))/(COS(RADIANS(Sheet1!A461))*COS(RADIANS('R1'!I461)))))</f>
        <v>-48.711059881009497</v>
      </c>
      <c r="C461">
        <f>AVERAGE('R1'!J461,'R2'!J461,'R3'!J461)</f>
        <v>1.18</v>
      </c>
      <c r="D461">
        <f>AVERAGE('R1'!K461,'R2'!K461,'R3'!K461)</f>
        <v>11.313433333333331</v>
      </c>
      <c r="E461">
        <f>AVERAGE('R1'!L461,'R2'!L461,'R3'!L461)</f>
        <v>-2.5696799469905374</v>
      </c>
      <c r="F461">
        <f>AVERAGE('R1'!M461,'R2'!M461,'R3'!M461)</f>
        <v>2.5499992758062406</v>
      </c>
      <c r="G461">
        <f>AVERAGE('R1'!N461,'R2'!N461,'R3'!N461)</f>
        <v>-2.23182418033754</v>
      </c>
      <c r="H461">
        <f>AVERAGE('R1'!O461,'R2'!O461,'R3'!O461)</f>
        <v>-1.7139930895626998</v>
      </c>
      <c r="I461">
        <f t="shared" si="11"/>
        <v>2224.9752222222219</v>
      </c>
      <c r="K461">
        <f>_xlfn.STDEV.S('R1'!L461,'R2'!L461,'R3'!L461)</f>
        <v>2.7175815910348736E-2</v>
      </c>
      <c r="L461">
        <f>_xlfn.STDEV.S('R1'!M461,'R2'!M461,'R3'!M461)</f>
        <v>1.6650086026022973E-2</v>
      </c>
      <c r="M461">
        <f>_xlfn.STDEV.S('R1'!N461,'R2'!N461,'R3'!N461)</f>
        <v>3.721271033880353E-2</v>
      </c>
      <c r="N461">
        <f>_xlfn.STDEV.S('R1'!O461,'R2'!O461,'R3'!O461)</f>
        <v>2.0729439069559603E-2</v>
      </c>
    </row>
    <row r="462" spans="1:14" x14ac:dyDescent="0.25">
      <c r="A462">
        <f>-'R1'!H462</f>
        <v>-36</v>
      </c>
      <c r="B462">
        <f>DEGREES(ATAN(-SIN(RADIANS(('R1'!I462)))/(COS(RADIANS(Sheet1!A462))*COS(RADIANS('R1'!I462)))))</f>
        <v>50.045016920059574</v>
      </c>
      <c r="C462">
        <f>AVERAGE('R1'!J462,'R2'!J462,'R3'!J462)</f>
        <v>1.18</v>
      </c>
      <c r="D462">
        <f>AVERAGE('R1'!K462,'R2'!K462,'R3'!K462)</f>
        <v>11.378706583333333</v>
      </c>
      <c r="E462">
        <f>AVERAGE('R1'!L462,'R2'!L462,'R3'!L462)</f>
        <v>2.3284807425855369</v>
      </c>
      <c r="F462">
        <f>AVERAGE('R1'!M462,'R2'!M462,'R3'!M462)</f>
        <v>2.3457015126973237</v>
      </c>
      <c r="G462">
        <f>AVERAGE('R1'!N462,'R2'!N462,'R3'!N462)</f>
        <v>-1.9228021032153624</v>
      </c>
      <c r="H462">
        <f>AVERAGE('R1'!O462,'R2'!O462,'R3'!O462)</f>
        <v>-1.6033231274189064</v>
      </c>
      <c r="I462">
        <f t="shared" si="11"/>
        <v>2237.8122947222223</v>
      </c>
      <c r="K462">
        <f>_xlfn.STDEV.S('R1'!L462,'R2'!L462,'R3'!L462)</f>
        <v>2.267308692550812E-2</v>
      </c>
      <c r="L462">
        <f>_xlfn.STDEV.S('R1'!M462,'R2'!M462,'R3'!M462)</f>
        <v>1.2968863890111464E-2</v>
      </c>
      <c r="M462">
        <f>_xlfn.STDEV.S('R1'!N462,'R2'!N462,'R3'!N462)</f>
        <v>3.0479145221834595E-2</v>
      </c>
      <c r="N462">
        <f>_xlfn.STDEV.S('R1'!O462,'R2'!O462,'R3'!O462)</f>
        <v>1.6915010322480068E-2</v>
      </c>
    </row>
    <row r="463" spans="1:14" x14ac:dyDescent="0.25">
      <c r="A463">
        <f>-'R1'!H463</f>
        <v>-36</v>
      </c>
      <c r="B463">
        <f>DEGREES(ATAN(-SIN(RADIANS(('R1'!I463)))/(COS(RADIANS(Sheet1!A463))*COS(RADIANS('R1'!I463)))))</f>
        <v>46.045688589723383</v>
      </c>
      <c r="C463">
        <f>AVERAGE('R1'!J463,'R2'!J463,'R3'!J463)</f>
        <v>1.1808333333333332</v>
      </c>
      <c r="D463">
        <f>AVERAGE('R1'!K463,'R2'!K463,'R3'!K463)</f>
        <v>11.313747833333332</v>
      </c>
      <c r="E463">
        <f>AVERAGE('R1'!L463,'R2'!L463,'R3'!L463)</f>
        <v>2.1515785445717022</v>
      </c>
      <c r="F463">
        <f>AVERAGE('R1'!M463,'R2'!M463,'R3'!M463)</f>
        <v>2.2219420679224702</v>
      </c>
      <c r="G463">
        <f>AVERAGE('R1'!N463,'R2'!N463,'R3'!N463)</f>
        <v>-1.6866821251366393</v>
      </c>
      <c r="H463">
        <f>AVERAGE('R1'!O463,'R2'!O463,'R3'!O463)</f>
        <v>-1.4192569439329177</v>
      </c>
      <c r="I463">
        <f t="shared" si="11"/>
        <v>2226.6084277546288</v>
      </c>
      <c r="K463">
        <f>_xlfn.STDEV.S('R1'!L463,'R2'!L463,'R3'!L463)</f>
        <v>1.4803724387949316E-2</v>
      </c>
      <c r="L463">
        <f>_xlfn.STDEV.S('R1'!M463,'R2'!M463,'R3'!M463)</f>
        <v>1.053991552810562E-2</v>
      </c>
      <c r="M463">
        <f>_xlfn.STDEV.S('R1'!N463,'R2'!N463,'R3'!N463)</f>
        <v>1.9802135616688483E-2</v>
      </c>
      <c r="N463">
        <f>_xlfn.STDEV.S('R1'!O463,'R2'!O463,'R3'!O463)</f>
        <v>8.8124407705976165E-3</v>
      </c>
    </row>
    <row r="464" spans="1:14" x14ac:dyDescent="0.25">
      <c r="A464">
        <f>-'R1'!H464</f>
        <v>-36</v>
      </c>
      <c r="B464">
        <f>DEGREES(ATAN(-SIN(RADIANS(('R1'!I464)))/(COS(RADIANS(Sheet1!A464))*COS(RADIANS('R1'!I464)))))</f>
        <v>41.925613925819086</v>
      </c>
      <c r="C464">
        <f>AVERAGE('R1'!J464,'R2'!J464,'R3'!J464)</f>
        <v>1.1816666666666666</v>
      </c>
      <c r="D464">
        <f>AVERAGE('R1'!K464,'R2'!K464,'R3'!K464)</f>
        <v>11.257969000000001</v>
      </c>
      <c r="E464">
        <f>AVERAGE('R1'!L464,'R2'!L464,'R3'!L464)</f>
        <v>2.0011736590250853</v>
      </c>
      <c r="F464">
        <f>AVERAGE('R1'!M464,'R2'!M464,'R3'!M464)</f>
        <v>2.1368286159431111</v>
      </c>
      <c r="G464">
        <f>AVERAGE('R1'!N464,'R2'!N464,'R3'!N464)</f>
        <v>-1.5110940524234249</v>
      </c>
      <c r="H464">
        <f>AVERAGE('R1'!O464,'R2'!O464,'R3'!O464)</f>
        <v>-1.2608403871634926</v>
      </c>
      <c r="I464">
        <f t="shared" si="11"/>
        <v>2217.1944502777783</v>
      </c>
      <c r="K464">
        <f>_xlfn.STDEV.S('R1'!L464,'R2'!L464,'R3'!L464)</f>
        <v>1.1970060358427733E-2</v>
      </c>
      <c r="L464">
        <f>_xlfn.STDEV.S('R1'!M464,'R2'!M464,'R3'!M464)</f>
        <v>4.6257399524011764E-3</v>
      </c>
      <c r="M464">
        <f>_xlfn.STDEV.S('R1'!N464,'R2'!N464,'R3'!N464)</f>
        <v>1.4854461966961836E-2</v>
      </c>
      <c r="N464">
        <f>_xlfn.STDEV.S('R1'!O464,'R2'!O464,'R3'!O464)</f>
        <v>5.6382964839107675E-3</v>
      </c>
    </row>
    <row r="465" spans="1:14" x14ac:dyDescent="0.25">
      <c r="A465">
        <f>-'R1'!H465</f>
        <v>-36</v>
      </c>
      <c r="B465">
        <f>DEGREES(ATAN(-SIN(RADIANS(('R1'!I465)))/(COS(RADIANS(Sheet1!A465))*COS(RADIANS('R1'!I465)))))</f>
        <v>37.681815805789164</v>
      </c>
      <c r="C465">
        <f>AVERAGE('R1'!J465,'R2'!J465,'R3'!J465)</f>
        <v>1.18</v>
      </c>
      <c r="D465">
        <f>AVERAGE('R1'!K465,'R2'!K465,'R3'!K465)</f>
        <v>11.254781666666668</v>
      </c>
      <c r="E465">
        <f>AVERAGE('R1'!L465,'R2'!L465,'R3'!L465)</f>
        <v>1.862629853326367</v>
      </c>
      <c r="F465">
        <f>AVERAGE('R1'!M465,'R2'!M465,'R3'!M465)</f>
        <v>2.1009228322667393</v>
      </c>
      <c r="G465">
        <f>AVERAGE('R1'!N465,'R2'!N465,'R3'!N465)</f>
        <v>-1.3908854533428141</v>
      </c>
      <c r="H465">
        <f>AVERAGE('R1'!O465,'R2'!O465,'R3'!O465)</f>
        <v>-1.1227473196588411</v>
      </c>
      <c r="I465">
        <f t="shared" si="11"/>
        <v>2213.4403944444448</v>
      </c>
      <c r="K465">
        <f>_xlfn.STDEV.S('R1'!L465,'R2'!L465,'R3'!L465)</f>
        <v>1.7188911194151738E-2</v>
      </c>
      <c r="L465">
        <f>_xlfn.STDEV.S('R1'!M465,'R2'!M465,'R3'!M465)</f>
        <v>2.3968730907901342E-2</v>
      </c>
      <c r="M465">
        <f>_xlfn.STDEV.S('R1'!N465,'R2'!N465,'R3'!N465)</f>
        <v>3.0367850681008415E-2</v>
      </c>
      <c r="N465">
        <f>_xlfn.STDEV.S('R1'!O465,'R2'!O465,'R3'!O465)</f>
        <v>1.2031782211592599E-2</v>
      </c>
    </row>
    <row r="466" spans="1:14" x14ac:dyDescent="0.25">
      <c r="A466">
        <f>-'R1'!H466</f>
        <v>-36</v>
      </c>
      <c r="B466">
        <f>DEGREES(ATAN(-SIN(RADIANS(('R1'!I466)))/(COS(RADIANS(Sheet1!A466))*COS(RADIANS('R1'!I466)))))</f>
        <v>33.314077817276932</v>
      </c>
      <c r="C466">
        <f>AVERAGE('R1'!J466,'R2'!J466,'R3'!J466)</f>
        <v>1.18</v>
      </c>
      <c r="D466">
        <f>AVERAGE('R1'!K466,'R2'!K466,'R3'!K466)</f>
        <v>11.185061750000001</v>
      </c>
      <c r="E466">
        <f>AVERAGE('R1'!L466,'R2'!L466,'R3'!L466)</f>
        <v>1.7230896932210118</v>
      </c>
      <c r="F466">
        <f>AVERAGE('R1'!M466,'R2'!M466,'R3'!M466)</f>
        <v>2.0894821054625616</v>
      </c>
      <c r="G466">
        <f>AVERAGE('R1'!N466,'R2'!N466,'R3'!N466)</f>
        <v>-1.2988018578266958</v>
      </c>
      <c r="H466">
        <f>AVERAGE('R1'!O466,'R2'!O466,'R3'!O466)</f>
        <v>-0.99167068059465457</v>
      </c>
      <c r="I466">
        <f t="shared" si="11"/>
        <v>2199.7288108333337</v>
      </c>
      <c r="K466">
        <f>_xlfn.STDEV.S('R1'!L466,'R2'!L466,'R3'!L466)</f>
        <v>1.7031073026326806E-2</v>
      </c>
      <c r="L466">
        <f>_xlfn.STDEV.S('R1'!M466,'R2'!M466,'R3'!M466)</f>
        <v>1.9572953402973416E-2</v>
      </c>
      <c r="M466">
        <f>_xlfn.STDEV.S('R1'!N466,'R2'!N466,'R3'!N466)</f>
        <v>2.7605473887114044E-2</v>
      </c>
      <c r="N466">
        <f>_xlfn.STDEV.S('R1'!O466,'R2'!O466,'R3'!O466)</f>
        <v>1.0324014804462503E-2</v>
      </c>
    </row>
    <row r="467" spans="1:14" x14ac:dyDescent="0.25">
      <c r="A467">
        <f>-'R1'!H467</f>
        <v>-36</v>
      </c>
      <c r="B467">
        <f>DEGREES(ATAN(-SIN(RADIANS(('R1'!I467)))/(COS(RADIANS(Sheet1!A467))*COS(RADIANS('R1'!I467)))))</f>
        <v>28.825436554649738</v>
      </c>
      <c r="C467">
        <f>AVERAGE('R1'!J467,'R2'!J467,'R3'!J467)</f>
        <v>1.18</v>
      </c>
      <c r="D467">
        <f>AVERAGE('R1'!K467,'R2'!K467,'R3'!K467)</f>
        <v>11.218499166666668</v>
      </c>
      <c r="E467">
        <f>AVERAGE('R1'!L467,'R2'!L467,'R3'!L467)</f>
        <v>1.5565769290099354</v>
      </c>
      <c r="F467">
        <f>AVERAGE('R1'!M467,'R2'!M467,'R3'!M467)</f>
        <v>2.0854080059511042</v>
      </c>
      <c r="G467">
        <f>AVERAGE('R1'!N467,'R2'!N467,'R3'!N467)</f>
        <v>-1.2089996466330204</v>
      </c>
      <c r="H467">
        <f>AVERAGE('R1'!O467,'R2'!O467,'R3'!O467)</f>
        <v>-0.86453598072700977</v>
      </c>
      <c r="I467">
        <f t="shared" si="11"/>
        <v>2206.3048361111114</v>
      </c>
      <c r="K467">
        <f>_xlfn.STDEV.S('R1'!L467,'R2'!L467,'R3'!L467)</f>
        <v>4.3982405362927319E-3</v>
      </c>
      <c r="L467">
        <f>_xlfn.STDEV.S('R1'!M467,'R2'!M467,'R3'!M467)</f>
        <v>1.2185162644238993E-2</v>
      </c>
      <c r="M467">
        <f>_xlfn.STDEV.S('R1'!N467,'R2'!N467,'R3'!N467)</f>
        <v>1.3775156427375281E-2</v>
      </c>
      <c r="N467">
        <f>_xlfn.STDEV.S('R1'!O467,'R2'!O467,'R3'!O467)</f>
        <v>8.6650456071175001E-3</v>
      </c>
    </row>
    <row r="468" spans="1:14" x14ac:dyDescent="0.25">
      <c r="A468">
        <f>-'R1'!H468</f>
        <v>-36</v>
      </c>
      <c r="B468">
        <f>DEGREES(ATAN(-SIN(RADIANS(('R1'!I468)))/(COS(RADIANS(Sheet1!A468))*COS(RADIANS('R1'!I468)))))</f>
        <v>24.22259689172926</v>
      </c>
      <c r="C468">
        <f>AVERAGE('R1'!J468,'R2'!J468,'R3'!J468)</f>
        <v>1.18</v>
      </c>
      <c r="D468">
        <f>AVERAGE('R1'!K468,'R2'!K468,'R3'!K468)</f>
        <v>11.280118250000001</v>
      </c>
      <c r="E468">
        <f>AVERAGE('R1'!L468,'R2'!L468,'R3'!L468)</f>
        <v>1.3581710327956873</v>
      </c>
      <c r="F468">
        <f>AVERAGE('R1'!M468,'R2'!M468,'R3'!M468)</f>
        <v>2.1084910952950771</v>
      </c>
      <c r="G468">
        <f>AVERAGE('R1'!N468,'R2'!N468,'R3'!N468)</f>
        <v>-1.1279879922048941</v>
      </c>
      <c r="H468">
        <f>AVERAGE('R1'!O468,'R2'!O468,'R3'!O468)</f>
        <v>-0.75349697899900592</v>
      </c>
      <c r="I468">
        <f t="shared" si="11"/>
        <v>2218.4232558333333</v>
      </c>
      <c r="K468">
        <f>_xlfn.STDEV.S('R1'!L468,'R2'!L468,'R3'!L468)</f>
        <v>3.5133620028716377E-3</v>
      </c>
      <c r="L468">
        <f>_xlfn.STDEV.S('R1'!M468,'R2'!M468,'R3'!M468)</f>
        <v>1.543163973041105E-2</v>
      </c>
      <c r="M468">
        <f>_xlfn.STDEV.S('R1'!N468,'R2'!N468,'R3'!N468)</f>
        <v>1.5547938427513917E-2</v>
      </c>
      <c r="N468">
        <f>_xlfn.STDEV.S('R1'!O468,'R2'!O468,'R3'!O468)</f>
        <v>6.2743174297741613E-3</v>
      </c>
    </row>
    <row r="469" spans="1:14" x14ac:dyDescent="0.25">
      <c r="A469">
        <f>-'R1'!H469</f>
        <v>-36</v>
      </c>
      <c r="B469">
        <f>DEGREES(ATAN(-SIN(RADIANS(('R1'!I469)))/(COS(RADIANS(Sheet1!A469))*COS(RADIANS('R1'!I469)))))</f>
        <v>19.516199251096932</v>
      </c>
      <c r="C469">
        <f>AVERAGE('R1'!J469,'R2'!J469,'R3'!J469)</f>
        <v>1.18</v>
      </c>
      <c r="D469">
        <f>AVERAGE('R1'!K469,'R2'!K469,'R3'!K469)</f>
        <v>11.296265166666666</v>
      </c>
      <c r="E469">
        <f>AVERAGE('R1'!L469,'R2'!L469,'R3'!L469)</f>
        <v>1.1599032540031946</v>
      </c>
      <c r="F469">
        <f>AVERAGE('R1'!M469,'R2'!M469,'R3'!M469)</f>
        <v>2.1688606507132135</v>
      </c>
      <c r="G469">
        <f>AVERAGE('R1'!N469,'R2'!N469,'R3'!N469)</f>
        <v>-1.0859119228042902</v>
      </c>
      <c r="H469">
        <f>AVERAGE('R1'!O469,'R2'!O469,'R3'!O469)</f>
        <v>-0.67641528873225987</v>
      </c>
      <c r="I469">
        <f t="shared" si="11"/>
        <v>2221.5988161111109</v>
      </c>
      <c r="K469">
        <f>_xlfn.STDEV.S('R1'!L469,'R2'!L469,'R3'!L469)</f>
        <v>4.4173903344573015E-3</v>
      </c>
      <c r="L469">
        <f>_xlfn.STDEV.S('R1'!M469,'R2'!M469,'R3'!M469)</f>
        <v>1.07744682510789E-2</v>
      </c>
      <c r="M469">
        <f>_xlfn.STDEV.S('R1'!N469,'R2'!N469,'R3'!N469)</f>
        <v>1.0967353029788738E-2</v>
      </c>
      <c r="N469">
        <f>_xlfn.STDEV.S('R1'!O469,'R2'!O469,'R3'!O469)</f>
        <v>4.4932054887334618E-3</v>
      </c>
    </row>
    <row r="470" spans="1:14" x14ac:dyDescent="0.25">
      <c r="A470">
        <f>-'R1'!H470</f>
        <v>-36</v>
      </c>
      <c r="B470">
        <f>DEGREES(ATAN(-SIN(RADIANS(('R1'!I470)))/(COS(RADIANS(Sheet1!A470))*COS(RADIANS('R1'!I470)))))</f>
        <v>14.720865361542916</v>
      </c>
      <c r="C470">
        <f>AVERAGE('R1'!J470,'R2'!J470,'R3'!J470)</f>
        <v>1.18</v>
      </c>
      <c r="D470">
        <f>AVERAGE('R1'!K470,'R2'!K470,'R3'!K470)</f>
        <v>11.345605916666665</v>
      </c>
      <c r="E470">
        <f>AVERAGE('R1'!L470,'R2'!L470,'R3'!L470)</f>
        <v>0.92064939065091667</v>
      </c>
      <c r="F470">
        <f>AVERAGE('R1'!M470,'R2'!M470,'R3'!M470)</f>
        <v>2.2240957624707769</v>
      </c>
      <c r="G470">
        <f>AVERAGE('R1'!N470,'R2'!N470,'R3'!N470)</f>
        <v>-1.0350963850135104</v>
      </c>
      <c r="H470">
        <f>AVERAGE('R1'!O470,'R2'!O470,'R3'!O470)</f>
        <v>-0.58619233391976777</v>
      </c>
      <c r="I470">
        <f t="shared" si="11"/>
        <v>2231.3024969444441</v>
      </c>
      <c r="K470">
        <f>_xlfn.STDEV.S('R1'!L470,'R2'!L470,'R3'!L470)</f>
        <v>2.2825465969721829E-3</v>
      </c>
      <c r="L470">
        <f>_xlfn.STDEV.S('R1'!M470,'R2'!M470,'R3'!M470)</f>
        <v>9.3642575742200525E-3</v>
      </c>
      <c r="M470">
        <f>_xlfn.STDEV.S('R1'!N470,'R2'!N470,'R3'!N470)</f>
        <v>8.0316816398176786E-3</v>
      </c>
      <c r="N470">
        <f>_xlfn.STDEV.S('R1'!O470,'R2'!O470,'R3'!O470)</f>
        <v>8.7179547078954072E-3</v>
      </c>
    </row>
    <row r="471" spans="1:14" x14ac:dyDescent="0.25">
      <c r="A471">
        <f>-'R1'!H471</f>
        <v>-36</v>
      </c>
      <c r="B471">
        <f>DEGREES(ATAN(-SIN(RADIANS(('R1'!I471)))/(COS(RADIANS(Sheet1!A471))*COS(RADIANS('R1'!I471)))))</f>
        <v>9.8549609037615156</v>
      </c>
      <c r="C471">
        <f>AVERAGE('R1'!J471,'R2'!J471,'R3'!J471)</f>
        <v>1.18</v>
      </c>
      <c r="D471">
        <f>AVERAGE('R1'!K471,'R2'!K471,'R3'!K471)</f>
        <v>11.392158666666667</v>
      </c>
      <c r="E471">
        <f>AVERAGE('R1'!L471,'R2'!L471,'R3'!L471)</f>
        <v>0.68046050006499215</v>
      </c>
      <c r="F471">
        <f>AVERAGE('R1'!M471,'R2'!M471,'R3'!M471)</f>
        <v>2.3431108331397374</v>
      </c>
      <c r="G471">
        <f>AVERAGE('R1'!N471,'R2'!N471,'R3'!N471)</f>
        <v>-1.0495623193582568</v>
      </c>
      <c r="H471">
        <f>AVERAGE('R1'!O471,'R2'!O471,'R3'!O471)</f>
        <v>-0.52426286277080847</v>
      </c>
      <c r="I471">
        <f t="shared" si="11"/>
        <v>2240.4578711111112</v>
      </c>
      <c r="K471">
        <f>_xlfn.STDEV.S('R1'!L471,'R2'!L471,'R3'!L471)</f>
        <v>1.4847811846283766E-2</v>
      </c>
      <c r="L471">
        <f>_xlfn.STDEV.S('R1'!M471,'R2'!M471,'R3'!M471)</f>
        <v>2.4300918227917155E-2</v>
      </c>
      <c r="M471">
        <f>_xlfn.STDEV.S('R1'!N471,'R2'!N471,'R3'!N471)</f>
        <v>2.1501750658713781E-2</v>
      </c>
      <c r="N471">
        <f>_xlfn.STDEV.S('R1'!O471,'R2'!O471,'R3'!O471)</f>
        <v>3.5276123629522744E-3</v>
      </c>
    </row>
    <row r="472" spans="1:14" x14ac:dyDescent="0.25">
      <c r="A472">
        <f>-'R1'!H472</f>
        <v>-36</v>
      </c>
      <c r="B472">
        <f>DEGREES(ATAN(-SIN(RADIANS(('R1'!I472)))/(COS(RADIANS(Sheet1!A472))*COS(RADIANS('R1'!I472)))))</f>
        <v>4.940042441862353</v>
      </c>
      <c r="C472">
        <f>AVERAGE('R1'!J472,'R2'!J472,'R3'!J472)</f>
        <v>1.18</v>
      </c>
      <c r="D472">
        <f>AVERAGE('R1'!K472,'R2'!K472,'R3'!K472)</f>
        <v>11.407012583333334</v>
      </c>
      <c r="E472">
        <f>AVERAGE('R1'!L472,'R2'!L472,'R3'!L472)</f>
        <v>0.41167816810127716</v>
      </c>
      <c r="F472">
        <f>AVERAGE('R1'!M472,'R2'!M472,'R3'!M472)</f>
        <v>2.5057853344745662</v>
      </c>
      <c r="G472">
        <f>AVERAGE('R1'!N472,'R2'!N472,'R3'!N472)</f>
        <v>-1.1058651257293814</v>
      </c>
      <c r="H472">
        <f>AVERAGE('R1'!O472,'R2'!O472,'R3'!O472)</f>
        <v>-0.46389307082335168</v>
      </c>
      <c r="I472">
        <f t="shared" si="11"/>
        <v>2243.3791413888889</v>
      </c>
      <c r="K472">
        <f>_xlfn.STDEV.S('R1'!L472,'R2'!L472,'R3'!L472)</f>
        <v>9.4105545566491172E-3</v>
      </c>
      <c r="L472">
        <f>_xlfn.STDEV.S('R1'!M472,'R2'!M472,'R3'!M472)</f>
        <v>1.7473626056796202E-2</v>
      </c>
      <c r="M472">
        <f>_xlfn.STDEV.S('R1'!N472,'R2'!N472,'R3'!N472)</f>
        <v>1.965249849849135E-2</v>
      </c>
      <c r="N472">
        <f>_xlfn.STDEV.S('R1'!O472,'R2'!O472,'R3'!O472)</f>
        <v>4.9269142482103595E-3</v>
      </c>
    </row>
    <row r="473" spans="1:14" x14ac:dyDescent="0.25">
      <c r="A473">
        <f>-'R1'!H473</f>
        <v>-36</v>
      </c>
      <c r="B473">
        <f>DEGREES(ATAN(-SIN(RADIANS(('R1'!I473)))/(COS(RADIANS(Sheet1!A473))*COS(RADIANS('R1'!I473)))))</f>
        <v>0</v>
      </c>
      <c r="C473">
        <f>AVERAGE('R1'!J473,'R2'!J473,'R3'!J473)</f>
        <v>1.18</v>
      </c>
      <c r="D473">
        <f>AVERAGE('R1'!K473,'R2'!K473,'R3'!K473)</f>
        <v>11.449368333333334</v>
      </c>
      <c r="E473">
        <f>AVERAGE('R1'!L473,'R2'!L473,'R3'!L473)</f>
        <v>7.2841657264795509E-2</v>
      </c>
      <c r="F473">
        <f>AVERAGE('R1'!M473,'R2'!M473,'R3'!M473)</f>
        <v>2.7339528054894084</v>
      </c>
      <c r="G473">
        <f>AVERAGE('R1'!N473,'R2'!N473,'R3'!N473)</f>
        <v>-1.1963130919309932</v>
      </c>
      <c r="H473">
        <f>AVERAGE('R1'!O473,'R2'!O473,'R3'!O473)</f>
        <v>-0.4032847313943953</v>
      </c>
      <c r="I473">
        <f t="shared" si="11"/>
        <v>2251.7091055555557</v>
      </c>
      <c r="K473">
        <f>_xlfn.STDEV.S('R1'!L473,'R2'!L473,'R3'!L473)</f>
        <v>1.4043133657637702E-2</v>
      </c>
      <c r="L473">
        <f>_xlfn.STDEV.S('R1'!M473,'R2'!M473,'R3'!M473)</f>
        <v>2.6287048632419204E-2</v>
      </c>
      <c r="M473">
        <f>_xlfn.STDEV.S('R1'!N473,'R2'!N473,'R3'!N473)</f>
        <v>2.0392365366762946E-2</v>
      </c>
      <c r="N473">
        <f>_xlfn.STDEV.S('R1'!O473,'R2'!O473,'R3'!O473)</f>
        <v>5.1298702313989347E-3</v>
      </c>
    </row>
    <row r="474" spans="1:14" x14ac:dyDescent="0.25">
      <c r="A474">
        <f>-'R1'!H474</f>
        <v>-36</v>
      </c>
      <c r="B474">
        <f>DEGREES(ATAN(-SIN(RADIANS(('R1'!I474)))/(COS(RADIANS(Sheet1!A474))*COS(RADIANS('R1'!I474)))))</f>
        <v>-4.940042441862353</v>
      </c>
      <c r="C474">
        <f>AVERAGE('R1'!J474,'R2'!J474,'R3'!J474)</f>
        <v>1.18</v>
      </c>
      <c r="D474">
        <f>AVERAGE('R1'!K474,'R2'!K474,'R3'!K474)</f>
        <v>11.476411416666666</v>
      </c>
      <c r="E474">
        <f>AVERAGE('R1'!L474,'R2'!L474,'R3'!L474)</f>
        <v>-0.2806296321227551</v>
      </c>
      <c r="F474">
        <f>AVERAGE('R1'!M474,'R2'!M474,'R3'!M474)</f>
        <v>2.6050350125980573</v>
      </c>
      <c r="G474">
        <f>AVERAGE('R1'!N474,'R2'!N474,'R3'!N474)</f>
        <v>-1.1561766595544656</v>
      </c>
      <c r="H474">
        <f>AVERAGE('R1'!O474,'R2'!O474,'R3'!O474)</f>
        <v>-0.4497849567021685</v>
      </c>
      <c r="I474">
        <f t="shared" si="11"/>
        <v>2257.027578611111</v>
      </c>
      <c r="K474">
        <f>_xlfn.STDEV.S('R1'!L474,'R2'!L474,'R3'!L474)</f>
        <v>6.8318402478849414E-3</v>
      </c>
      <c r="L474">
        <f>_xlfn.STDEV.S('R1'!M474,'R2'!M474,'R3'!M474)</f>
        <v>4.6282484094137188E-3</v>
      </c>
      <c r="M474">
        <f>_xlfn.STDEV.S('R1'!N474,'R2'!N474,'R3'!N474)</f>
        <v>7.4415431063404296E-3</v>
      </c>
      <c r="N474">
        <f>_xlfn.STDEV.S('R1'!O474,'R2'!O474,'R3'!O474)</f>
        <v>5.8153018414041071E-3</v>
      </c>
    </row>
    <row r="475" spans="1:14" x14ac:dyDescent="0.25">
      <c r="A475">
        <f>-'R1'!H475</f>
        <v>-36</v>
      </c>
      <c r="B475">
        <f>DEGREES(ATAN(-SIN(RADIANS(('R1'!I475)))/(COS(RADIANS(Sheet1!A475))*COS(RADIANS('R1'!I475)))))</f>
        <v>-9.8549609037615156</v>
      </c>
      <c r="C475">
        <f>AVERAGE('R1'!J475,'R2'!J475,'R3'!J475)</f>
        <v>1.18</v>
      </c>
      <c r="D475">
        <f>AVERAGE('R1'!K475,'R2'!K475,'R3'!K475)</f>
        <v>11.5058585</v>
      </c>
      <c r="E475">
        <f>AVERAGE('R1'!L475,'R2'!L475,'R3'!L475)</f>
        <v>-0.59446967022401009</v>
      </c>
      <c r="F475">
        <f>AVERAGE('R1'!M475,'R2'!M475,'R3'!M475)</f>
        <v>2.4322527532358689</v>
      </c>
      <c r="G475">
        <f>AVERAGE('R1'!N475,'R2'!N475,'R3'!N475)</f>
        <v>-1.113229011559288</v>
      </c>
      <c r="H475">
        <f>AVERAGE('R1'!O475,'R2'!O475,'R3'!O475)</f>
        <v>-0.52833016298646329</v>
      </c>
      <c r="I475">
        <f t="shared" si="11"/>
        <v>2262.8188383333336</v>
      </c>
      <c r="K475">
        <f>_xlfn.STDEV.S('R1'!L475,'R2'!L475,'R3'!L475)</f>
        <v>1.1824896087216739E-2</v>
      </c>
      <c r="L475">
        <f>_xlfn.STDEV.S('R1'!M475,'R2'!M475,'R3'!M475)</f>
        <v>1.7402929620621271E-2</v>
      </c>
      <c r="M475">
        <f>_xlfn.STDEV.S('R1'!N475,'R2'!N475,'R3'!N475)</f>
        <v>1.4522112539988629E-2</v>
      </c>
      <c r="N475">
        <f>_xlfn.STDEV.S('R1'!O475,'R2'!O475,'R3'!O475)</f>
        <v>4.2942308169576972E-3</v>
      </c>
    </row>
    <row r="476" spans="1:14" x14ac:dyDescent="0.25">
      <c r="A476">
        <f>-'R1'!H476</f>
        <v>-36</v>
      </c>
      <c r="B476">
        <f>DEGREES(ATAN(-SIN(RADIANS(('R1'!I476)))/(COS(RADIANS(Sheet1!A476))*COS(RADIANS('R1'!I476)))))</f>
        <v>-14.720865361542916</v>
      </c>
      <c r="C476">
        <f>AVERAGE('R1'!J476,'R2'!J476,'R3'!J476)</f>
        <v>1.18</v>
      </c>
      <c r="D476">
        <f>AVERAGE('R1'!K476,'R2'!K476,'R3'!K476)</f>
        <v>11.556465333333334</v>
      </c>
      <c r="E476">
        <f>AVERAGE('R1'!L476,'R2'!L476,'R3'!L476)</f>
        <v>-0.86416104101191549</v>
      </c>
      <c r="F476">
        <f>AVERAGE('R1'!M476,'R2'!M476,'R3'!M476)</f>
        <v>2.3083531686291821</v>
      </c>
      <c r="G476">
        <f>AVERAGE('R1'!N476,'R2'!N476,'R3'!N476)</f>
        <v>-1.1054296669597485</v>
      </c>
      <c r="H476">
        <f>AVERAGE('R1'!O476,'R2'!O476,'R3'!O476)</f>
        <v>-0.60266456313529471</v>
      </c>
      <c r="I476">
        <f t="shared" si="11"/>
        <v>2272.7715155555557</v>
      </c>
      <c r="K476">
        <f>_xlfn.STDEV.S('R1'!L476,'R2'!L476,'R3'!L476)</f>
        <v>1.650349985658342E-2</v>
      </c>
      <c r="L476">
        <f>_xlfn.STDEV.S('R1'!M476,'R2'!M476,'R3'!M476)</f>
        <v>2.1629515963501933E-2</v>
      </c>
      <c r="M476">
        <f>_xlfn.STDEV.S('R1'!N476,'R2'!N476,'R3'!N476)</f>
        <v>2.8159872284339676E-2</v>
      </c>
      <c r="N476">
        <f>_xlfn.STDEV.S('R1'!O476,'R2'!O476,'R3'!O476)</f>
        <v>1.275290797558244E-2</v>
      </c>
    </row>
    <row r="477" spans="1:14" x14ac:dyDescent="0.25">
      <c r="A477">
        <f>-'R1'!H477</f>
        <v>-36</v>
      </c>
      <c r="B477">
        <f>DEGREES(ATAN(-SIN(RADIANS(('R1'!I477)))/(COS(RADIANS(Sheet1!A477))*COS(RADIANS('R1'!I477)))))</f>
        <v>-19.516199251096932</v>
      </c>
      <c r="C477">
        <f>AVERAGE('R1'!J477,'R2'!J477,'R3'!J477)</f>
        <v>1.18</v>
      </c>
      <c r="D477">
        <f>AVERAGE('R1'!K477,'R2'!K477,'R3'!K477)</f>
        <v>11.556968249999999</v>
      </c>
      <c r="E477">
        <f>AVERAGE('R1'!L477,'R2'!L477,'R3'!L477)</f>
        <v>-1.1309324271752927</v>
      </c>
      <c r="F477">
        <f>AVERAGE('R1'!M477,'R2'!M477,'R3'!M477)</f>
        <v>2.2388648160114974</v>
      </c>
      <c r="G477">
        <f>AVERAGE('R1'!N477,'R2'!N477,'R3'!N477)</f>
        <v>-1.162654162940461</v>
      </c>
      <c r="H477">
        <f>AVERAGE('R1'!O477,'R2'!O477,'R3'!O477)</f>
        <v>-0.69504182539449533</v>
      </c>
      <c r="I477">
        <f t="shared" si="11"/>
        <v>2272.8704224999997</v>
      </c>
      <c r="K477">
        <f>_xlfn.STDEV.S('R1'!L477,'R2'!L477,'R3'!L477)</f>
        <v>1.5941002213614098E-2</v>
      </c>
      <c r="L477">
        <f>_xlfn.STDEV.S('R1'!M477,'R2'!M477,'R3'!M477)</f>
        <v>1.4628253103294735E-2</v>
      </c>
      <c r="M477">
        <f>_xlfn.STDEV.S('R1'!N477,'R2'!N477,'R3'!N477)</f>
        <v>1.5575493994678141E-2</v>
      </c>
      <c r="N477">
        <f>_xlfn.STDEV.S('R1'!O477,'R2'!O477,'R3'!O477)</f>
        <v>2.500574949515973E-3</v>
      </c>
    </row>
    <row r="478" spans="1:14" x14ac:dyDescent="0.25">
      <c r="A478">
        <f>-'R1'!H478</f>
        <v>-36</v>
      </c>
      <c r="B478">
        <f>DEGREES(ATAN(-SIN(RADIANS(('R1'!I478)))/(COS(RADIANS(Sheet1!A478))*COS(RADIANS('R1'!I478)))))</f>
        <v>-24.22259689172926</v>
      </c>
      <c r="C478">
        <f>AVERAGE('R1'!J478,'R2'!J478,'R3'!J478)</f>
        <v>1.18</v>
      </c>
      <c r="D478">
        <f>AVERAGE('R1'!K478,'R2'!K478,'R3'!K478)</f>
        <v>11.591109166666667</v>
      </c>
      <c r="E478">
        <f>AVERAGE('R1'!L478,'R2'!L478,'R3'!L478)</f>
        <v>-1.3575127553129545</v>
      </c>
      <c r="F478">
        <f>AVERAGE('R1'!M478,'R2'!M478,'R3'!M478)</f>
        <v>2.1835322271366295</v>
      </c>
      <c r="G478">
        <f>AVERAGE('R1'!N478,'R2'!N478,'R3'!N478)</f>
        <v>-1.2302394095215725</v>
      </c>
      <c r="H478">
        <f>AVERAGE('R1'!O478,'R2'!O478,'R3'!O478)</f>
        <v>-0.7967380273354161</v>
      </c>
      <c r="I478">
        <f t="shared" si="11"/>
        <v>2279.5848027777779</v>
      </c>
      <c r="K478">
        <f>_xlfn.STDEV.S('R1'!L478,'R2'!L478,'R3'!L478)</f>
        <v>1.6832146610037766E-2</v>
      </c>
      <c r="L478">
        <f>_xlfn.STDEV.S('R1'!M478,'R2'!M478,'R3'!M478)</f>
        <v>8.2080204602877731E-3</v>
      </c>
      <c r="M478">
        <f>_xlfn.STDEV.S('R1'!N478,'R2'!N478,'R3'!N478)</f>
        <v>1.5041198818572656E-2</v>
      </c>
      <c r="N478">
        <f>_xlfn.STDEV.S('R1'!O478,'R2'!O478,'R3'!O478)</f>
        <v>9.8369685485865804E-3</v>
      </c>
    </row>
    <row r="479" spans="1:14" x14ac:dyDescent="0.25">
      <c r="A479">
        <f>-'R1'!H479</f>
        <v>-36</v>
      </c>
      <c r="B479">
        <f>DEGREES(ATAN(-SIN(RADIANS(('R1'!I479)))/(COS(RADIANS(Sheet1!A479))*COS(RADIANS('R1'!I479)))))</f>
        <v>-28.825436554649738</v>
      </c>
      <c r="C479">
        <f>AVERAGE('R1'!J479,'R2'!J479,'R3'!J479)</f>
        <v>1.18</v>
      </c>
      <c r="D479">
        <f>AVERAGE('R1'!K479,'R2'!K479,'R3'!K479)</f>
        <v>11.622394166666666</v>
      </c>
      <c r="E479">
        <f>AVERAGE('R1'!L479,'R2'!L479,'R3'!L479)</f>
        <v>-1.552029801290139</v>
      </c>
      <c r="F479">
        <f>AVERAGE('R1'!M479,'R2'!M479,'R3'!M479)</f>
        <v>2.1777780261206927</v>
      </c>
      <c r="G479">
        <f>AVERAGE('R1'!N479,'R2'!N479,'R3'!N479)</f>
        <v>-1.3008187431853124</v>
      </c>
      <c r="H479">
        <f>AVERAGE('R1'!O479,'R2'!O479,'R3'!O479)</f>
        <v>-0.91799658987358101</v>
      </c>
      <c r="I479">
        <f t="shared" si="11"/>
        <v>2285.7375194444444</v>
      </c>
      <c r="K479">
        <f>_xlfn.STDEV.S('R1'!L479,'R2'!L479,'R3'!L479)</f>
        <v>1.979955052534689E-2</v>
      </c>
      <c r="L479">
        <f>_xlfn.STDEV.S('R1'!M479,'R2'!M479,'R3'!M479)</f>
        <v>1.1482462975220386E-2</v>
      </c>
      <c r="M479">
        <f>_xlfn.STDEV.S('R1'!N479,'R2'!N479,'R3'!N479)</f>
        <v>2.5769196638876321E-2</v>
      </c>
      <c r="N479">
        <f>_xlfn.STDEV.S('R1'!O479,'R2'!O479,'R3'!O479)</f>
        <v>1.2798900823827886E-2</v>
      </c>
    </row>
    <row r="480" spans="1:14" x14ac:dyDescent="0.25">
      <c r="A480">
        <f>-'R1'!H480</f>
        <v>-36</v>
      </c>
      <c r="B480">
        <f>DEGREES(ATAN(-SIN(RADIANS(('R1'!I480)))/(COS(RADIANS(Sheet1!A480))*COS(RADIANS('R1'!I480)))))</f>
        <v>-33.314077817276932</v>
      </c>
      <c r="C480">
        <f>AVERAGE('R1'!J480,'R2'!J480,'R3'!J480)</f>
        <v>1.18</v>
      </c>
      <c r="D480">
        <f>AVERAGE('R1'!K480,'R2'!K480,'R3'!K480)</f>
        <v>11.527439333333334</v>
      </c>
      <c r="E480">
        <f>AVERAGE('R1'!L480,'R2'!L480,'R3'!L480)</f>
        <v>-1.7363539296245618</v>
      </c>
      <c r="F480">
        <f>AVERAGE('R1'!M480,'R2'!M480,'R3'!M480)</f>
        <v>2.2005988457522445</v>
      </c>
      <c r="G480">
        <f>AVERAGE('R1'!N480,'R2'!N480,'R3'!N480)</f>
        <v>-1.4116196260367699</v>
      </c>
      <c r="H480">
        <f>AVERAGE('R1'!O480,'R2'!O480,'R3'!O480)</f>
        <v>-1.0582789461055868</v>
      </c>
      <c r="I480">
        <f t="shared" si="11"/>
        <v>2267.0630688888891</v>
      </c>
      <c r="K480">
        <f>_xlfn.STDEV.S('R1'!L480,'R2'!L480,'R3'!L480)</f>
        <v>1.9348800719590838E-2</v>
      </c>
      <c r="L480">
        <f>_xlfn.STDEV.S('R1'!M480,'R2'!M480,'R3'!M480)</f>
        <v>1.0418504774079861E-2</v>
      </c>
      <c r="M480">
        <f>_xlfn.STDEV.S('R1'!N480,'R2'!N480,'R3'!N480)</f>
        <v>1.870013431235799E-2</v>
      </c>
      <c r="N480">
        <f>_xlfn.STDEV.S('R1'!O480,'R2'!O480,'R3'!O480)</f>
        <v>9.8111529286701131E-3</v>
      </c>
    </row>
    <row r="481" spans="1:14" x14ac:dyDescent="0.25">
      <c r="A481">
        <f>-'R1'!H481</f>
        <v>-36</v>
      </c>
      <c r="B481">
        <f>DEGREES(ATAN(-SIN(RADIANS(('R1'!I481)))/(COS(RADIANS(Sheet1!A481))*COS(RADIANS('R1'!I481)))))</f>
        <v>-37.681815805789164</v>
      </c>
      <c r="C481">
        <f>AVERAGE('R1'!J481,'R2'!J481,'R3'!J481)</f>
        <v>1.18</v>
      </c>
      <c r="D481">
        <f>AVERAGE('R1'!K481,'R2'!K481,'R3'!K481)</f>
        <v>11.490648166666666</v>
      </c>
      <c r="E481">
        <f>AVERAGE('R1'!L481,'R2'!L481,'R3'!L481)</f>
        <v>-1.9156866773412453</v>
      </c>
      <c r="F481">
        <f>AVERAGE('R1'!M481,'R2'!M481,'R3'!M481)</f>
        <v>2.2546829307460277</v>
      </c>
      <c r="G481">
        <f>AVERAGE('R1'!N481,'R2'!N481,'R3'!N481)</f>
        <v>-1.5523080716936744</v>
      </c>
      <c r="H481">
        <f>AVERAGE('R1'!O481,'R2'!O481,'R3'!O481)</f>
        <v>-1.2070031779168888</v>
      </c>
      <c r="I481">
        <f t="shared" si="11"/>
        <v>2259.8274727777775</v>
      </c>
      <c r="K481">
        <f>_xlfn.STDEV.S('R1'!L481,'R2'!L481,'R3'!L481)</f>
        <v>2.0266444261179281E-2</v>
      </c>
      <c r="L481">
        <f>_xlfn.STDEV.S('R1'!M481,'R2'!M481,'R3'!M481)</f>
        <v>1.5112652940630198E-2</v>
      </c>
      <c r="M481">
        <f>_xlfn.STDEV.S('R1'!N481,'R2'!N481,'R3'!N481)</f>
        <v>2.7355822912971128E-2</v>
      </c>
      <c r="N481">
        <f>_xlfn.STDEV.S('R1'!O481,'R2'!O481,'R3'!O481)</f>
        <v>1.7655150733944074E-2</v>
      </c>
    </row>
    <row r="482" spans="1:14" x14ac:dyDescent="0.25">
      <c r="A482">
        <f>-'R1'!H482</f>
        <v>-36</v>
      </c>
      <c r="B482">
        <f>DEGREES(ATAN(-SIN(RADIANS(('R1'!I482)))/(COS(RADIANS(Sheet1!A482))*COS(RADIANS('R1'!I482)))))</f>
        <v>-41.925613925819086</v>
      </c>
      <c r="C482">
        <f>AVERAGE('R1'!J482,'R2'!J482,'R3'!J482)</f>
        <v>1.18</v>
      </c>
      <c r="D482">
        <f>AVERAGE('R1'!K482,'R2'!K482,'R3'!K482)</f>
        <v>11.4151735</v>
      </c>
      <c r="E482">
        <f>AVERAGE('R1'!L482,'R2'!L482,'R3'!L482)</f>
        <v>-2.107504257272883</v>
      </c>
      <c r="F482">
        <f>AVERAGE('R1'!M482,'R2'!M482,'R3'!M482)</f>
        <v>2.3354303171609776</v>
      </c>
      <c r="G482">
        <f>AVERAGE('R1'!N482,'R2'!N482,'R3'!N482)</f>
        <v>-1.7394879508946239</v>
      </c>
      <c r="H482">
        <f>AVERAGE('R1'!O482,'R2'!O482,'R3'!O482)</f>
        <v>-1.3712809676189275</v>
      </c>
      <c r="I482">
        <f t="shared" si="11"/>
        <v>2244.9841216666664</v>
      </c>
      <c r="K482">
        <f>_xlfn.STDEV.S('R1'!L482,'R2'!L482,'R3'!L482)</f>
        <v>1.2994896153711718E-2</v>
      </c>
      <c r="L482">
        <f>_xlfn.STDEV.S('R1'!M482,'R2'!M482,'R3'!M482)</f>
        <v>3.8071714362049786E-3</v>
      </c>
      <c r="M482">
        <f>_xlfn.STDEV.S('R1'!N482,'R2'!N482,'R3'!N482)</f>
        <v>1.0420864651622308E-2</v>
      </c>
      <c r="N482">
        <f>_xlfn.STDEV.S('R1'!O482,'R2'!O482,'R3'!O482)</f>
        <v>7.4496209825587762E-3</v>
      </c>
    </row>
    <row r="483" spans="1:14" x14ac:dyDescent="0.25">
      <c r="A483">
        <f>-'R1'!H483</f>
        <v>-36</v>
      </c>
      <c r="B483">
        <f>DEGREES(ATAN(-SIN(RADIANS(('R1'!I483)))/(COS(RADIANS(Sheet1!A483))*COS(RADIANS('R1'!I483)))))</f>
        <v>-46.045688589723383</v>
      </c>
      <c r="C483">
        <f>AVERAGE('R1'!J483,'R2'!J483,'R3'!J483)</f>
        <v>1.18</v>
      </c>
      <c r="D483">
        <f>AVERAGE('R1'!K483,'R2'!K483,'R3'!K483)</f>
        <v>11.276283416666667</v>
      </c>
      <c r="E483">
        <f>AVERAGE('R1'!L483,'R2'!L483,'R3'!L483)</f>
        <v>-2.3584054231325955</v>
      </c>
      <c r="F483">
        <f>AVERAGE('R1'!M483,'R2'!M483,'R3'!M483)</f>
        <v>2.5058655510888621</v>
      </c>
      <c r="G483">
        <f>AVERAGE('R1'!N483,'R2'!N483,'R3'!N483)</f>
        <v>-2.050590323105403</v>
      </c>
      <c r="H483">
        <f>AVERAGE('R1'!O483,'R2'!O483,'R3'!O483)</f>
        <v>-1.6013396202362635</v>
      </c>
      <c r="I483">
        <f t="shared" si="11"/>
        <v>2217.6690719444446</v>
      </c>
      <c r="K483">
        <f>_xlfn.STDEV.S('R1'!L483,'R2'!L483,'R3'!L483)</f>
        <v>2.0324800384909563E-2</v>
      </c>
      <c r="L483">
        <f>_xlfn.STDEV.S('R1'!M483,'R2'!M483,'R3'!M483)</f>
        <v>1.8791925683545357E-2</v>
      </c>
      <c r="M483">
        <f>_xlfn.STDEV.S('R1'!N483,'R2'!N483,'R3'!N483)</f>
        <v>4.1749188070149969E-2</v>
      </c>
      <c r="N483">
        <f>_xlfn.STDEV.S('R1'!O483,'R2'!O483,'R3'!O483)</f>
        <v>1.5511262511964807E-2</v>
      </c>
    </row>
    <row r="484" spans="1:14" x14ac:dyDescent="0.25">
      <c r="A484">
        <f>-'R1'!H484</f>
        <v>-36</v>
      </c>
      <c r="B484">
        <f>DEGREES(ATAN(-SIN(RADIANS(('R1'!I484)))/(COS(RADIANS(Sheet1!A484))*COS(RADIANS('R1'!I484)))))</f>
        <v>-50.045016920059574</v>
      </c>
      <c r="C484">
        <f>AVERAGE('R1'!J484,'R2'!J484,'R3'!J484)</f>
        <v>1.18</v>
      </c>
      <c r="D484">
        <f>AVERAGE('R1'!K484,'R2'!K484,'R3'!K484)</f>
        <v>11.287649250000001</v>
      </c>
      <c r="E484">
        <f>AVERAGE('R1'!L484,'R2'!L484,'R3'!L484)</f>
        <v>-2.629619023056279</v>
      </c>
      <c r="F484">
        <f>AVERAGE('R1'!M484,'R2'!M484,'R3'!M484)</f>
        <v>2.7234264935558872</v>
      </c>
      <c r="G484">
        <f>AVERAGE('R1'!N484,'R2'!N484,'R3'!N484)</f>
        <v>-2.4179471154001537</v>
      </c>
      <c r="H484">
        <f>AVERAGE('R1'!O484,'R2'!O484,'R3'!O484)</f>
        <v>-1.8518975112210196</v>
      </c>
      <c r="I484">
        <f t="shared" si="11"/>
        <v>2219.9043525000002</v>
      </c>
      <c r="K484">
        <f>_xlfn.STDEV.S('R1'!L484,'R2'!L484,'R3'!L484)</f>
        <v>3.1115221041000084E-2</v>
      </c>
      <c r="L484">
        <f>_xlfn.STDEV.S('R1'!M484,'R2'!M484,'R3'!M484)</f>
        <v>2.3354699323015423E-2</v>
      </c>
      <c r="M484">
        <f>_xlfn.STDEV.S('R1'!N484,'R2'!N484,'R3'!N484)</f>
        <v>5.5897703231783058E-2</v>
      </c>
      <c r="N484">
        <f>_xlfn.STDEV.S('R1'!O484,'R2'!O484,'R3'!O484)</f>
        <v>2.5353765288751277E-2</v>
      </c>
    </row>
    <row r="485" spans="1:14" x14ac:dyDescent="0.25">
      <c r="A485">
        <f>-'R1'!H485</f>
        <v>-40</v>
      </c>
      <c r="B485">
        <f>DEGREES(ATAN(-SIN(RADIANS(('R1'!I485)))/(COS(RADIANS(Sheet1!A485))*COS(RADIANS('R1'!I485)))))</f>
        <v>51.576359961556868</v>
      </c>
      <c r="C485">
        <f>AVERAGE('R1'!J485,'R2'!J485,'R3'!J485)</f>
        <v>1.18</v>
      </c>
      <c r="D485">
        <f>AVERAGE('R1'!K485,'R2'!K485,'R3'!K485)</f>
        <v>11.241774416666667</v>
      </c>
      <c r="E485">
        <f>AVERAGE('R1'!L485,'R2'!L485,'R3'!L485)</f>
        <v>2.48069322235582</v>
      </c>
      <c r="F485">
        <f>AVERAGE('R1'!M485,'R2'!M485,'R3'!M485)</f>
        <v>2.6003507983423546</v>
      </c>
      <c r="G485">
        <f>AVERAGE('R1'!N485,'R2'!N485,'R3'!N485)</f>
        <v>-2.2363323738034482</v>
      </c>
      <c r="H485">
        <f>AVERAGE('R1'!O485,'R2'!O485,'R3'!O485)</f>
        <v>-1.8003518698859897</v>
      </c>
      <c r="I485">
        <f t="shared" si="11"/>
        <v>2210.8823019444444</v>
      </c>
      <c r="K485">
        <f>_xlfn.STDEV.S('R1'!L485,'R2'!L485,'R3'!L485)</f>
        <v>1.7820096255876515E-2</v>
      </c>
      <c r="L485">
        <f>_xlfn.STDEV.S('R1'!M485,'R2'!M485,'R3'!M485)</f>
        <v>1.576898792637868E-2</v>
      </c>
      <c r="M485">
        <f>_xlfn.STDEV.S('R1'!N485,'R2'!N485,'R3'!N485)</f>
        <v>1.394136530293571E-2</v>
      </c>
      <c r="N485">
        <f>_xlfn.STDEV.S('R1'!O485,'R2'!O485,'R3'!O485)</f>
        <v>2.3961768946731544E-3</v>
      </c>
    </row>
    <row r="486" spans="1:14" x14ac:dyDescent="0.25">
      <c r="A486">
        <f>-'R1'!H486</f>
        <v>-40</v>
      </c>
      <c r="B486">
        <f>DEGREES(ATAN(-SIN(RADIANS(('R1'!I486)))/(COS(RADIANS(Sheet1!A486))*COS(RADIANS('R1'!I486)))))</f>
        <v>47.605913955135343</v>
      </c>
      <c r="C486">
        <f>AVERAGE('R1'!J486,'R2'!J486,'R3'!J486)</f>
        <v>1.18</v>
      </c>
      <c r="D486">
        <f>AVERAGE('R1'!K486,'R2'!K486,'R3'!K486)</f>
        <v>11.273566833333334</v>
      </c>
      <c r="E486">
        <f>AVERAGE('R1'!L486,'R2'!L486,'R3'!L486)</f>
        <v>2.3027184140229306</v>
      </c>
      <c r="F486">
        <f>AVERAGE('R1'!M486,'R2'!M486,'R3'!M486)</f>
        <v>2.4736042698893534</v>
      </c>
      <c r="G486">
        <f>AVERAGE('R1'!N486,'R2'!N486,'R3'!N486)</f>
        <v>-1.9928024024846123</v>
      </c>
      <c r="H486">
        <f>AVERAGE('R1'!O486,'R2'!O486,'R3'!O486)</f>
        <v>-1.6166506489255419</v>
      </c>
      <c r="I486">
        <f t="shared" si="11"/>
        <v>2217.1348105555553</v>
      </c>
      <c r="K486">
        <f>_xlfn.STDEV.S('R1'!L486,'R2'!L486,'R3'!L486)</f>
        <v>3.1551856622670141E-2</v>
      </c>
      <c r="L486">
        <f>_xlfn.STDEV.S('R1'!M486,'R2'!M486,'R3'!M486)</f>
        <v>1.8351669173967668E-2</v>
      </c>
      <c r="M486">
        <f>_xlfn.STDEV.S('R1'!N486,'R2'!N486,'R3'!N486)</f>
        <v>3.8694740769866044E-2</v>
      </c>
      <c r="N486">
        <f>_xlfn.STDEV.S('R1'!O486,'R2'!O486,'R3'!O486)</f>
        <v>1.9495332200289778E-2</v>
      </c>
    </row>
    <row r="487" spans="1:14" x14ac:dyDescent="0.25">
      <c r="A487">
        <f>-'R1'!H487</f>
        <v>-40</v>
      </c>
      <c r="B487">
        <f>DEGREES(ATAN(-SIN(RADIANS(('R1'!I487)))/(COS(RADIANS(Sheet1!A487))*COS(RADIANS('R1'!I487)))))</f>
        <v>43.48399800633365</v>
      </c>
      <c r="C487">
        <f>AVERAGE('R1'!J487,'R2'!J487,'R3'!J487)</f>
        <v>1.18</v>
      </c>
      <c r="D487">
        <f>AVERAGE('R1'!K487,'R2'!K487,'R3'!K487)</f>
        <v>11.342553416666668</v>
      </c>
      <c r="E487">
        <f>AVERAGE('R1'!L487,'R2'!L487,'R3'!L487)</f>
        <v>2.1299686215558249</v>
      </c>
      <c r="F487">
        <f>AVERAGE('R1'!M487,'R2'!M487,'R3'!M487)</f>
        <v>2.379251642926087</v>
      </c>
      <c r="G487">
        <f>AVERAGE('R1'!N487,'R2'!N487,'R3'!N487)</f>
        <v>-1.7877010855953035</v>
      </c>
      <c r="H487">
        <f>AVERAGE('R1'!O487,'R2'!O487,'R3'!O487)</f>
        <v>-1.4514908507688282</v>
      </c>
      <c r="I487">
        <f t="shared" si="11"/>
        <v>2230.7021719444447</v>
      </c>
      <c r="K487">
        <f>_xlfn.STDEV.S('R1'!L487,'R2'!L487,'R3'!L487)</f>
        <v>9.39824426074631E-3</v>
      </c>
      <c r="L487">
        <f>_xlfn.STDEV.S('R1'!M487,'R2'!M487,'R3'!M487)</f>
        <v>5.4272082065043355E-3</v>
      </c>
      <c r="M487">
        <f>_xlfn.STDEV.S('R1'!N487,'R2'!N487,'R3'!N487)</f>
        <v>1.043474081999542E-2</v>
      </c>
      <c r="N487">
        <f>_xlfn.STDEV.S('R1'!O487,'R2'!O487,'R3'!O487)</f>
        <v>7.1725776578446211E-3</v>
      </c>
    </row>
    <row r="488" spans="1:14" x14ac:dyDescent="0.25">
      <c r="A488">
        <f>-'R1'!H488</f>
        <v>-40</v>
      </c>
      <c r="B488">
        <f>DEGREES(ATAN(-SIN(RADIANS(('R1'!I488)))/(COS(RADIANS(Sheet1!A488))*COS(RADIANS('R1'!I488)))))</f>
        <v>39.204435233296593</v>
      </c>
      <c r="C488">
        <f>AVERAGE('R1'!J488,'R2'!J488,'R3'!J488)</f>
        <v>1.18</v>
      </c>
      <c r="D488">
        <f>AVERAGE('R1'!K488,'R2'!K488,'R3'!K488)</f>
        <v>11.36062675</v>
      </c>
      <c r="E488">
        <f>AVERAGE('R1'!L488,'R2'!L488,'R3'!L488)</f>
        <v>1.9789553387693681</v>
      </c>
      <c r="F488">
        <f>AVERAGE('R1'!M488,'R2'!M488,'R3'!M488)</f>
        <v>2.3439432306846224</v>
      </c>
      <c r="G488">
        <f>AVERAGE('R1'!N488,'R2'!N488,'R3'!N488)</f>
        <v>-1.6576878613169963</v>
      </c>
      <c r="H488">
        <f>AVERAGE('R1'!O488,'R2'!O488,'R3'!O488)</f>
        <v>-1.3164279667783614</v>
      </c>
      <c r="I488">
        <f t="shared" si="11"/>
        <v>2234.2565941666667</v>
      </c>
      <c r="K488">
        <f>_xlfn.STDEV.S('R1'!L488,'R2'!L488,'R3'!L488)</f>
        <v>6.9337825169440009E-3</v>
      </c>
      <c r="L488">
        <f>_xlfn.STDEV.S('R1'!M488,'R2'!M488,'R3'!M488)</f>
        <v>1.9085969197198037E-2</v>
      </c>
      <c r="M488">
        <f>_xlfn.STDEV.S('R1'!N488,'R2'!N488,'R3'!N488)</f>
        <v>2.1725750009949616E-2</v>
      </c>
      <c r="N488">
        <f>_xlfn.STDEV.S('R1'!O488,'R2'!O488,'R3'!O488)</f>
        <v>1.0441833693527289E-2</v>
      </c>
    </row>
    <row r="489" spans="1:14" x14ac:dyDescent="0.25">
      <c r="A489">
        <f>-'R1'!H489</f>
        <v>-40</v>
      </c>
      <c r="B489">
        <f>DEGREES(ATAN(-SIN(RADIANS(('R1'!I489)))/(COS(RADIANS(Sheet1!A489))*COS(RADIANS('R1'!I489)))))</f>
        <v>34.764413107862225</v>
      </c>
      <c r="C489">
        <f>AVERAGE('R1'!J489,'R2'!J489,'R3'!J489)</f>
        <v>1.18</v>
      </c>
      <c r="D489">
        <f>AVERAGE('R1'!K489,'R2'!K489,'R3'!K489)</f>
        <v>11.402270416666667</v>
      </c>
      <c r="E489">
        <f>AVERAGE('R1'!L489,'R2'!L489,'R3'!L489)</f>
        <v>1.8257323846031202</v>
      </c>
      <c r="F489">
        <f>AVERAGE('R1'!M489,'R2'!M489,'R3'!M489)</f>
        <v>2.3557641830719196</v>
      </c>
      <c r="G489">
        <f>AVERAGE('R1'!N489,'R2'!N489,'R3'!N489)</f>
        <v>-1.5734513449162284</v>
      </c>
      <c r="H489">
        <f>AVERAGE('R1'!O489,'R2'!O489,'R3'!O489)</f>
        <v>-1.1982118227945218</v>
      </c>
      <c r="I489">
        <f t="shared" si="11"/>
        <v>2242.446515277778</v>
      </c>
      <c r="K489">
        <f>_xlfn.STDEV.S('R1'!L489,'R2'!L489,'R3'!L489)</f>
        <v>9.1261467246409218E-3</v>
      </c>
      <c r="L489">
        <f>_xlfn.STDEV.S('R1'!M489,'R2'!M489,'R3'!M489)</f>
        <v>2.4314343256430972E-2</v>
      </c>
      <c r="M489">
        <f>_xlfn.STDEV.S('R1'!N489,'R2'!N489,'R3'!N489)</f>
        <v>2.6915148793297816E-2</v>
      </c>
      <c r="N489">
        <f>_xlfn.STDEV.S('R1'!O489,'R2'!O489,'R3'!O489)</f>
        <v>2.0507202740637806E-3</v>
      </c>
    </row>
    <row r="490" spans="1:14" x14ac:dyDescent="0.25">
      <c r="A490">
        <f>-'R1'!H490</f>
        <v>-40</v>
      </c>
      <c r="B490">
        <f>DEGREES(ATAN(-SIN(RADIANS(('R1'!I490)))/(COS(RADIANS(Sheet1!A490))*COS(RADIANS('R1'!I490)))))</f>
        <v>30.165358572591657</v>
      </c>
      <c r="C490">
        <f>AVERAGE('R1'!J490,'R2'!J490,'R3'!J490)</f>
        <v>1.18</v>
      </c>
      <c r="D490">
        <f>AVERAGE('R1'!K490,'R2'!K490,'R3'!K490)</f>
        <v>11.343619833333335</v>
      </c>
      <c r="E490">
        <f>AVERAGE('R1'!L490,'R2'!L490,'R3'!L490)</f>
        <v>1.6642266065548352</v>
      </c>
      <c r="F490">
        <f>AVERAGE('R1'!M490,'R2'!M490,'R3'!M490)</f>
        <v>2.3853571605213379</v>
      </c>
      <c r="G490">
        <f>AVERAGE('R1'!N490,'R2'!N490,'R3'!N490)</f>
        <v>-1.5086394483398584</v>
      </c>
      <c r="H490">
        <f>AVERAGE('R1'!O490,'R2'!O490,'R3'!O490)</f>
        <v>-1.0937365205069127</v>
      </c>
      <c r="I490">
        <f t="shared" si="11"/>
        <v>2230.9119005555558</v>
      </c>
      <c r="K490">
        <f>_xlfn.STDEV.S('R1'!L490,'R2'!L490,'R3'!L490)</f>
        <v>9.5242395029760951E-3</v>
      </c>
      <c r="L490">
        <f>_xlfn.STDEV.S('R1'!M490,'R2'!M490,'R3'!M490)</f>
        <v>1.8405469659816969E-2</v>
      </c>
      <c r="M490">
        <f>_xlfn.STDEV.S('R1'!N490,'R2'!N490,'R3'!N490)</f>
        <v>1.7950561242463574E-2</v>
      </c>
      <c r="N490">
        <f>_xlfn.STDEV.S('R1'!O490,'R2'!O490,'R3'!O490)</f>
        <v>1.0696723165619074E-2</v>
      </c>
    </row>
    <row r="491" spans="1:14" x14ac:dyDescent="0.25">
      <c r="A491">
        <f>-'R1'!H491</f>
        <v>-40</v>
      </c>
      <c r="B491">
        <f>DEGREES(ATAN(-SIN(RADIANS(('R1'!I491)))/(COS(RADIANS(Sheet1!A491))*COS(RADIANS('R1'!I491)))))</f>
        <v>25.413766880049252</v>
      </c>
      <c r="C491">
        <f>AVERAGE('R1'!J491,'R2'!J491,'R3'!J491)</f>
        <v>1.18</v>
      </c>
      <c r="D491">
        <f>AVERAGE('R1'!K491,'R2'!K491,'R3'!K491)</f>
        <v>11.294864416666668</v>
      </c>
      <c r="E491">
        <f>AVERAGE('R1'!L491,'R2'!L491,'R3'!L491)</f>
        <v>1.4771276147927443</v>
      </c>
      <c r="F491">
        <f>AVERAGE('R1'!M491,'R2'!M491,'R3'!M491)</f>
        <v>2.444334742788282</v>
      </c>
      <c r="G491">
        <f>AVERAGE('R1'!N491,'R2'!N491,'R3'!N491)</f>
        <v>-1.4604484363337609</v>
      </c>
      <c r="H491">
        <f>AVERAGE('R1'!O491,'R2'!O491,'R3'!O491)</f>
        <v>-1.0054696936323013</v>
      </c>
      <c r="I491">
        <f t="shared" si="11"/>
        <v>2221.3233352777784</v>
      </c>
      <c r="K491">
        <f>_xlfn.STDEV.S('R1'!L491,'R2'!L491,'R3'!L491)</f>
        <v>1.3490022413447994E-2</v>
      </c>
      <c r="L491">
        <f>_xlfn.STDEV.S('R1'!M491,'R2'!M491,'R3'!M491)</f>
        <v>1.3006241703540273E-2</v>
      </c>
      <c r="M491">
        <f>_xlfn.STDEV.S('R1'!N491,'R2'!N491,'R3'!N491)</f>
        <v>1.4362138020070473E-2</v>
      </c>
      <c r="N491">
        <f>_xlfn.STDEV.S('R1'!O491,'R2'!O491,'R3'!O491)</f>
        <v>5.9492094246210523E-3</v>
      </c>
    </row>
    <row r="492" spans="1:14" x14ac:dyDescent="0.25">
      <c r="A492">
        <f>-'R1'!H492</f>
        <v>-40</v>
      </c>
      <c r="B492">
        <f>DEGREES(ATAN(-SIN(RADIANS(('R1'!I492)))/(COS(RADIANS(Sheet1!A492))*COS(RADIANS('R1'!I492)))))</f>
        <v>20.5218555971705</v>
      </c>
      <c r="C492">
        <f>AVERAGE('R1'!J492,'R2'!J492,'R3'!J492)</f>
        <v>1.18</v>
      </c>
      <c r="D492">
        <f>AVERAGE('R1'!K492,'R2'!K492,'R3'!K492)</f>
        <v>11.285047916666668</v>
      </c>
      <c r="E492">
        <f>AVERAGE('R1'!L492,'R2'!L492,'R3'!L492)</f>
        <v>1.2699674154367848</v>
      </c>
      <c r="F492">
        <f>AVERAGE('R1'!M492,'R2'!M492,'R3'!M492)</f>
        <v>2.5180781486652002</v>
      </c>
      <c r="G492">
        <f>AVERAGE('R1'!N492,'R2'!N492,'R3'!N492)</f>
        <v>-1.4251342421440834</v>
      </c>
      <c r="H492">
        <f>AVERAGE('R1'!O492,'R2'!O492,'R3'!O492)</f>
        <v>-0.92313982503354552</v>
      </c>
      <c r="I492">
        <f t="shared" si="11"/>
        <v>2219.392756944445</v>
      </c>
      <c r="K492">
        <f>_xlfn.STDEV.S('R1'!L492,'R2'!L492,'R3'!L492)</f>
        <v>8.5056009321221263E-3</v>
      </c>
      <c r="L492">
        <f>_xlfn.STDEV.S('R1'!M492,'R2'!M492,'R3'!M492)</f>
        <v>1.4473512659173998E-2</v>
      </c>
      <c r="M492">
        <f>_xlfn.STDEV.S('R1'!N492,'R2'!N492,'R3'!N492)</f>
        <v>1.3485439200700347E-2</v>
      </c>
      <c r="N492">
        <f>_xlfn.STDEV.S('R1'!O492,'R2'!O492,'R3'!O492)</f>
        <v>7.3076631291219907E-3</v>
      </c>
    </row>
    <row r="493" spans="1:14" x14ac:dyDescent="0.25">
      <c r="A493">
        <f>-'R1'!H493</f>
        <v>-40</v>
      </c>
      <c r="B493">
        <f>DEGREES(ATAN(-SIN(RADIANS(('R1'!I493)))/(COS(RADIANS(Sheet1!A493))*COS(RADIANS('R1'!I493)))))</f>
        <v>15.507892018560797</v>
      </c>
      <c r="C493">
        <f>AVERAGE('R1'!J493,'R2'!J493,'R3'!J493)</f>
        <v>1.18</v>
      </c>
      <c r="D493">
        <f>AVERAGE('R1'!K493,'R2'!K493,'R3'!K493)</f>
        <v>11.226704416666665</v>
      </c>
      <c r="E493">
        <f>AVERAGE('R1'!L493,'R2'!L493,'R3'!L493)</f>
        <v>1.0286614804693974</v>
      </c>
      <c r="F493">
        <f>AVERAGE('R1'!M493,'R2'!M493,'R3'!M493)</f>
        <v>2.6237155232343006</v>
      </c>
      <c r="G493">
        <f>AVERAGE('R1'!N493,'R2'!N493,'R3'!N493)</f>
        <v>-1.4051999673241189</v>
      </c>
      <c r="H493">
        <f>AVERAGE('R1'!O493,'R2'!O493,'R3'!O493)</f>
        <v>-0.84610159557193343</v>
      </c>
      <c r="I493">
        <f t="shared" si="11"/>
        <v>2207.9185352777777</v>
      </c>
      <c r="K493">
        <f>_xlfn.STDEV.S('R1'!L493,'R2'!L493,'R3'!L493)</f>
        <v>1.6102039055749241E-2</v>
      </c>
      <c r="L493">
        <f>_xlfn.STDEV.S('R1'!M493,'R2'!M493,'R3'!M493)</f>
        <v>7.8556946837713328E-3</v>
      </c>
      <c r="M493">
        <f>_xlfn.STDEV.S('R1'!N493,'R2'!N493,'R3'!N493)</f>
        <v>8.9838137725308381E-3</v>
      </c>
      <c r="N493">
        <f>_xlfn.STDEV.S('R1'!O493,'R2'!O493,'R3'!O493)</f>
        <v>1.4967648828488195E-2</v>
      </c>
    </row>
    <row r="494" spans="1:14" x14ac:dyDescent="0.25">
      <c r="A494">
        <f>-'R1'!H494</f>
        <v>-40</v>
      </c>
      <c r="B494">
        <f>DEGREES(ATAN(-SIN(RADIANS(('R1'!I494)))/(COS(RADIANS(Sheet1!A494))*COS(RADIANS('R1'!I494)))))</f>
        <v>10.396047080877794</v>
      </c>
      <c r="C494">
        <f>AVERAGE('R1'!J494,'R2'!J494,'R3'!J494)</f>
        <v>1.18</v>
      </c>
      <c r="D494">
        <f>AVERAGE('R1'!K494,'R2'!K494,'R3'!K494)</f>
        <v>11.269673666666668</v>
      </c>
      <c r="E494">
        <f>AVERAGE('R1'!L494,'R2'!L494,'R3'!L494)</f>
        <v>0.77952733025274112</v>
      </c>
      <c r="F494">
        <f>AVERAGE('R1'!M494,'R2'!M494,'R3'!M494)</f>
        <v>2.7754897945632084</v>
      </c>
      <c r="G494">
        <f>AVERAGE('R1'!N494,'R2'!N494,'R3'!N494)</f>
        <v>-1.4435509493856491</v>
      </c>
      <c r="H494">
        <f>AVERAGE('R1'!O494,'R2'!O494,'R3'!O494)</f>
        <v>-0.79252172180562475</v>
      </c>
      <c r="I494">
        <f t="shared" si="11"/>
        <v>2216.369154444445</v>
      </c>
      <c r="K494">
        <f>_xlfn.STDEV.S('R1'!L494,'R2'!L494,'R3'!L494)</f>
        <v>5.4410183769800545E-3</v>
      </c>
      <c r="L494">
        <f>_xlfn.STDEV.S('R1'!M494,'R2'!M494,'R3'!M494)</f>
        <v>1.7114039298192499E-2</v>
      </c>
      <c r="M494">
        <f>_xlfn.STDEV.S('R1'!N494,'R2'!N494,'R3'!N494)</f>
        <v>1.6830565126479031E-2</v>
      </c>
      <c r="N494">
        <f>_xlfn.STDEV.S('R1'!O494,'R2'!O494,'R3'!O494)</f>
        <v>9.0110867574727284E-3</v>
      </c>
    </row>
    <row r="495" spans="1:14" x14ac:dyDescent="0.25">
      <c r="A495">
        <f>-'R1'!H495</f>
        <v>-40</v>
      </c>
      <c r="B495">
        <f>DEGREES(ATAN(-SIN(RADIANS(('R1'!I495)))/(COS(RADIANS(Sheet1!A495))*COS(RADIANS('R1'!I495)))))</f>
        <v>5.2156742986237852</v>
      </c>
      <c r="C495">
        <f>AVERAGE('R1'!J495,'R2'!J495,'R3'!J495)</f>
        <v>1.18</v>
      </c>
      <c r="D495">
        <f>AVERAGE('R1'!K495,'R2'!K495,'R3'!K495)</f>
        <v>11.342995416666668</v>
      </c>
      <c r="E495">
        <f>AVERAGE('R1'!L495,'R2'!L495,'R3'!L495)</f>
        <v>0.47113597659720102</v>
      </c>
      <c r="F495">
        <f>AVERAGE('R1'!M495,'R2'!M495,'R3'!M495)</f>
        <v>3.0205201710757996</v>
      </c>
      <c r="G495">
        <f>AVERAGE('R1'!N495,'R2'!N495,'R3'!N495)</f>
        <v>-1.5531210393084829</v>
      </c>
      <c r="H495">
        <f>AVERAGE('R1'!O495,'R2'!O495,'R3'!O495)</f>
        <v>-0.74943236436539395</v>
      </c>
      <c r="I495">
        <f t="shared" si="11"/>
        <v>2230.7890986111111</v>
      </c>
      <c r="K495">
        <f>_xlfn.STDEV.S('R1'!L495,'R2'!L495,'R3'!L495)</f>
        <v>2.2940401661408218E-3</v>
      </c>
      <c r="L495">
        <f>_xlfn.STDEV.S('R1'!M495,'R2'!M495,'R3'!M495)</f>
        <v>1.7040154125451023E-2</v>
      </c>
      <c r="M495">
        <f>_xlfn.STDEV.S('R1'!N495,'R2'!N495,'R3'!N495)</f>
        <v>1.8377702848228129E-2</v>
      </c>
      <c r="N495">
        <f>_xlfn.STDEV.S('R1'!O495,'R2'!O495,'R3'!O495)</f>
        <v>3.2332266029036381E-3</v>
      </c>
    </row>
    <row r="496" spans="1:14" x14ac:dyDescent="0.25">
      <c r="A496">
        <f>-'R1'!H496</f>
        <v>-40</v>
      </c>
      <c r="B496">
        <f>DEGREES(ATAN(-SIN(RADIANS(('R1'!I496)))/(COS(RADIANS(Sheet1!A496))*COS(RADIANS('R1'!I496)))))</f>
        <v>0</v>
      </c>
      <c r="C496">
        <f>AVERAGE('R1'!J496,'R2'!J496,'R3'!J496)</f>
        <v>1.18</v>
      </c>
      <c r="D496">
        <f>AVERAGE('R1'!K496,'R2'!K496,'R3'!K496)</f>
        <v>11.357949416666665</v>
      </c>
      <c r="E496">
        <f>AVERAGE('R1'!L496,'R2'!L496,'R3'!L496)</f>
        <v>9.9626030819427294E-2</v>
      </c>
      <c r="F496">
        <f>AVERAGE('R1'!M496,'R2'!M496,'R3'!M496)</f>
        <v>3.3411508506698193</v>
      </c>
      <c r="G496">
        <f>AVERAGE('R1'!N496,'R2'!N496,'R3'!N496)</f>
        <v>-1.7142705147091917</v>
      </c>
      <c r="H496">
        <f>AVERAGE('R1'!O496,'R2'!O496,'R3'!O496)</f>
        <v>-0.71765862702722127</v>
      </c>
      <c r="I496">
        <f t="shared" si="11"/>
        <v>2233.7300519444439</v>
      </c>
      <c r="K496">
        <f>_xlfn.STDEV.S('R1'!L496,'R2'!L496,'R3'!L496)</f>
        <v>9.2739756253528705E-3</v>
      </c>
      <c r="L496">
        <f>_xlfn.STDEV.S('R1'!M496,'R2'!M496,'R3'!M496)</f>
        <v>3.5330724081683251E-2</v>
      </c>
      <c r="M496">
        <f>_xlfn.STDEV.S('R1'!N496,'R2'!N496,'R3'!N496)</f>
        <v>2.4048187692988509E-2</v>
      </c>
      <c r="N496">
        <f>_xlfn.STDEV.S('R1'!O496,'R2'!O496,'R3'!O496)</f>
        <v>8.519607214818507E-3</v>
      </c>
    </row>
    <row r="497" spans="1:14" x14ac:dyDescent="0.25">
      <c r="A497">
        <f>-'R1'!H497</f>
        <v>-40</v>
      </c>
      <c r="B497">
        <f>DEGREES(ATAN(-SIN(RADIANS(('R1'!I497)))/(COS(RADIANS(Sheet1!A497))*COS(RADIANS('R1'!I497)))))</f>
        <v>-5.2156742986237852</v>
      </c>
      <c r="C497">
        <f>AVERAGE('R1'!J497,'R2'!J497,'R3'!J497)</f>
        <v>1.18</v>
      </c>
      <c r="D497">
        <f>AVERAGE('R1'!K497,'R2'!K497,'R3'!K497)</f>
        <v>11.399367833333335</v>
      </c>
      <c r="E497">
        <f>AVERAGE('R1'!L497,'R2'!L497,'R3'!L497)</f>
        <v>-0.29695680096413563</v>
      </c>
      <c r="F497">
        <f>AVERAGE('R1'!M497,'R2'!M497,'R3'!M497)</f>
        <v>3.194686481681039</v>
      </c>
      <c r="G497">
        <f>AVERAGE('R1'!N497,'R2'!N497,'R3'!N497)</f>
        <v>-1.6526465483648114</v>
      </c>
      <c r="H497">
        <f>AVERAGE('R1'!O497,'R2'!O497,'R3'!O497)</f>
        <v>-0.74602164448136554</v>
      </c>
      <c r="I497">
        <f t="shared" si="11"/>
        <v>2241.8756738888892</v>
      </c>
      <c r="K497">
        <f>_xlfn.STDEV.S('R1'!L497,'R2'!L497,'R3'!L497)</f>
        <v>1.4190872520300279E-2</v>
      </c>
      <c r="L497">
        <f>_xlfn.STDEV.S('R1'!M497,'R2'!M497,'R3'!M497)</f>
        <v>8.1013907786620983E-3</v>
      </c>
      <c r="M497">
        <f>_xlfn.STDEV.S('R1'!N497,'R2'!N497,'R3'!N497)</f>
        <v>9.9190103168694151E-3</v>
      </c>
      <c r="N497">
        <f>_xlfn.STDEV.S('R1'!O497,'R2'!O497,'R3'!O497)</f>
        <v>3.4880499149906679E-3</v>
      </c>
    </row>
    <row r="498" spans="1:14" x14ac:dyDescent="0.25">
      <c r="A498">
        <f>-'R1'!H498</f>
        <v>-40</v>
      </c>
      <c r="B498">
        <f>DEGREES(ATAN(-SIN(RADIANS(('R1'!I498)))/(COS(RADIANS(Sheet1!A498))*COS(RADIANS('R1'!I498)))))</f>
        <v>-10.396047080877794</v>
      </c>
      <c r="C498">
        <f>AVERAGE('R1'!J498,'R2'!J498,'R3'!J498)</f>
        <v>1.18</v>
      </c>
      <c r="D498">
        <f>AVERAGE('R1'!K498,'R2'!K498,'R3'!K498)</f>
        <v>11.448767583333334</v>
      </c>
      <c r="E498">
        <f>AVERAGE('R1'!L498,'R2'!L498,'R3'!L498)</f>
        <v>-0.63910078313836172</v>
      </c>
      <c r="F498">
        <f>AVERAGE('R1'!M498,'R2'!M498,'R3'!M498)</f>
        <v>2.9794466469661636</v>
      </c>
      <c r="G498">
        <f>AVERAGE('R1'!N498,'R2'!N498,'R3'!N498)</f>
        <v>-1.5855793831373564</v>
      </c>
      <c r="H498">
        <f>AVERAGE('R1'!O498,'R2'!O498,'R3'!O498)</f>
        <v>-0.81692951451725027</v>
      </c>
      <c r="I498">
        <f t="shared" si="11"/>
        <v>2251.5909580555558</v>
      </c>
      <c r="K498">
        <f>_xlfn.STDEV.S('R1'!L498,'R2'!L498,'R3'!L498)</f>
        <v>1.4164919313806448E-2</v>
      </c>
      <c r="L498">
        <f>_xlfn.STDEV.S('R1'!M498,'R2'!M498,'R3'!M498)</f>
        <v>6.1386938061811997E-3</v>
      </c>
      <c r="M498">
        <f>_xlfn.STDEV.S('R1'!N498,'R2'!N498,'R3'!N498)</f>
        <v>1.2962922098741069E-2</v>
      </c>
      <c r="N498">
        <f>_xlfn.STDEV.S('R1'!O498,'R2'!O498,'R3'!O498)</f>
        <v>4.0847344765949324E-3</v>
      </c>
    </row>
    <row r="499" spans="1:14" x14ac:dyDescent="0.25">
      <c r="A499">
        <f>-'R1'!H499</f>
        <v>-40</v>
      </c>
      <c r="B499">
        <f>DEGREES(ATAN(-SIN(RADIANS(('R1'!I499)))/(COS(RADIANS(Sheet1!A499))*COS(RADIANS('R1'!I499)))))</f>
        <v>-15.507892018560797</v>
      </c>
      <c r="C499">
        <f>AVERAGE('R1'!J499,'R2'!J499,'R3'!J499)</f>
        <v>1.18</v>
      </c>
      <c r="D499">
        <f>AVERAGE('R1'!K499,'R2'!K499,'R3'!K499)</f>
        <v>11.453273666666666</v>
      </c>
      <c r="E499">
        <f>AVERAGE('R1'!L499,'R2'!L499,'R3'!L499)</f>
        <v>-0.93187901266016082</v>
      </c>
      <c r="F499">
        <f>AVERAGE('R1'!M499,'R2'!M499,'R3'!M499)</f>
        <v>2.7692369652795499</v>
      </c>
      <c r="G499">
        <f>AVERAGE('R1'!N499,'R2'!N499,'R3'!N499)</f>
        <v>-1.5168575285009291</v>
      </c>
      <c r="H499">
        <f>AVERAGE('R1'!O499,'R2'!O499,'R3'!O499)</f>
        <v>-0.86564942159827718</v>
      </c>
      <c r="I499">
        <f t="shared" si="11"/>
        <v>2252.4771544444443</v>
      </c>
      <c r="K499">
        <f>_xlfn.STDEV.S('R1'!L499,'R2'!L499,'R3'!L499)</f>
        <v>7.9885697592802854E-3</v>
      </c>
      <c r="L499">
        <f>_xlfn.STDEV.S('R1'!M499,'R2'!M499,'R3'!M499)</f>
        <v>5.8526154435129306E-3</v>
      </c>
      <c r="M499">
        <f>_xlfn.STDEV.S('R1'!N499,'R2'!N499,'R3'!N499)</f>
        <v>5.1111162012410444E-3</v>
      </c>
      <c r="N499">
        <f>_xlfn.STDEV.S('R1'!O499,'R2'!O499,'R3'!O499)</f>
        <v>2.0458422849690236E-3</v>
      </c>
    </row>
    <row r="500" spans="1:14" x14ac:dyDescent="0.25">
      <c r="A500">
        <f>-'R1'!H500</f>
        <v>-40</v>
      </c>
      <c r="B500">
        <f>DEGREES(ATAN(-SIN(RADIANS(('R1'!I500)))/(COS(RADIANS(Sheet1!A500))*COS(RADIANS('R1'!I500)))))</f>
        <v>-20.5218555971705</v>
      </c>
      <c r="C500">
        <f>AVERAGE('R1'!J500,'R2'!J500,'R3'!J500)</f>
        <v>1.18</v>
      </c>
      <c r="D500">
        <f>AVERAGE('R1'!K500,'R2'!K500,'R3'!K500)</f>
        <v>11.494343916666667</v>
      </c>
      <c r="E500">
        <f>AVERAGE('R1'!L500,'R2'!L500,'R3'!L500)</f>
        <v>-1.205963373313389</v>
      </c>
      <c r="F500">
        <f>AVERAGE('R1'!M500,'R2'!M500,'R3'!M500)</f>
        <v>2.6726233070686565</v>
      </c>
      <c r="G500">
        <f>AVERAGE('R1'!N500,'R2'!N500,'R3'!N500)</f>
        <v>-1.5630898246788696</v>
      </c>
      <c r="H500">
        <f>AVERAGE('R1'!O500,'R2'!O500,'R3'!O500)</f>
        <v>-0.95904299613350563</v>
      </c>
      <c r="I500">
        <f t="shared" si="11"/>
        <v>2260.5543036111112</v>
      </c>
      <c r="K500">
        <f>_xlfn.STDEV.S('R1'!L500,'R2'!L500,'R3'!L500)</f>
        <v>9.3347477052930367E-3</v>
      </c>
      <c r="L500">
        <f>_xlfn.STDEV.S('R1'!M500,'R2'!M500,'R3'!M500)</f>
        <v>4.4170893073127125E-2</v>
      </c>
      <c r="M500">
        <f>_xlfn.STDEV.S('R1'!N500,'R2'!N500,'R3'!N500)</f>
        <v>4.1125986031169307E-2</v>
      </c>
      <c r="N500">
        <f>_xlfn.STDEV.S('R1'!O500,'R2'!O500,'R3'!O500)</f>
        <v>1.789903721904635E-2</v>
      </c>
    </row>
    <row r="501" spans="1:14" x14ac:dyDescent="0.25">
      <c r="A501">
        <f>-'R1'!H501</f>
        <v>-40</v>
      </c>
      <c r="B501">
        <f>DEGREES(ATAN(-SIN(RADIANS(('R1'!I501)))/(COS(RADIANS(Sheet1!A501))*COS(RADIANS('R1'!I501)))))</f>
        <v>-25.413766880049252</v>
      </c>
      <c r="C501">
        <f>AVERAGE('R1'!J501,'R2'!J501,'R3'!J501)</f>
        <v>1.18</v>
      </c>
      <c r="D501">
        <f>AVERAGE('R1'!K501,'R2'!K501,'R3'!K501)</f>
        <v>11.486355166666668</v>
      </c>
      <c r="E501">
        <f>AVERAGE('R1'!L501,'R2'!L501,'R3'!L501)</f>
        <v>-1.4474921924975768</v>
      </c>
      <c r="F501">
        <f>AVERAGE('R1'!M501,'R2'!M501,'R3'!M501)</f>
        <v>2.5822870665026461</v>
      </c>
      <c r="G501">
        <f>AVERAGE('R1'!N501,'R2'!N501,'R3'!N501)</f>
        <v>-1.591830449990544</v>
      </c>
      <c r="H501">
        <f>AVERAGE('R1'!O501,'R2'!O501,'R3'!O501)</f>
        <v>-1.0516845760217128</v>
      </c>
      <c r="I501">
        <f t="shared" si="11"/>
        <v>2258.983182777778</v>
      </c>
      <c r="K501">
        <f>_xlfn.STDEV.S('R1'!L501,'R2'!L501,'R3'!L501)</f>
        <v>1.3927963970622995E-2</v>
      </c>
      <c r="L501">
        <f>_xlfn.STDEV.S('R1'!M501,'R2'!M501,'R3'!M501)</f>
        <v>9.0936981623501532E-3</v>
      </c>
      <c r="M501">
        <f>_xlfn.STDEV.S('R1'!N501,'R2'!N501,'R3'!N501)</f>
        <v>1.1555093853864586E-2</v>
      </c>
      <c r="N501">
        <f>_xlfn.STDEV.S('R1'!O501,'R2'!O501,'R3'!O501)</f>
        <v>2.0494824961530627E-3</v>
      </c>
    </row>
    <row r="502" spans="1:14" x14ac:dyDescent="0.25">
      <c r="A502">
        <f>-'R1'!H502</f>
        <v>-40</v>
      </c>
      <c r="B502">
        <f>DEGREES(ATAN(-SIN(RADIANS(('R1'!I502)))/(COS(RADIANS(Sheet1!A502))*COS(RADIANS('R1'!I502)))))</f>
        <v>-30.165358572591657</v>
      </c>
      <c r="C502">
        <f>AVERAGE('R1'!J502,'R2'!J502,'R3'!J502)</f>
        <v>1.18</v>
      </c>
      <c r="D502">
        <f>AVERAGE('R1'!K502,'R2'!K502,'R3'!K502)</f>
        <v>11.43319775</v>
      </c>
      <c r="E502">
        <f>AVERAGE('R1'!L502,'R2'!L502,'R3'!L502)</f>
        <v>-1.6529157096804064</v>
      </c>
      <c r="F502">
        <f>AVERAGE('R1'!M502,'R2'!M502,'R3'!M502)</f>
        <v>2.5349053822384002</v>
      </c>
      <c r="G502">
        <f>AVERAGE('R1'!N502,'R2'!N502,'R3'!N502)</f>
        <v>-1.6537132569218638</v>
      </c>
      <c r="H502">
        <f>AVERAGE('R1'!O502,'R2'!O502,'R3'!O502)</f>
        <v>-1.1623130582077461</v>
      </c>
      <c r="I502">
        <f t="shared" si="11"/>
        <v>2248.5288908333332</v>
      </c>
      <c r="K502">
        <f>_xlfn.STDEV.S('R1'!L502,'R2'!L502,'R3'!L502)</f>
        <v>7.9756697263326532E-3</v>
      </c>
      <c r="L502">
        <f>_xlfn.STDEV.S('R1'!M502,'R2'!M502,'R3'!M502)</f>
        <v>9.8946397506386469E-3</v>
      </c>
      <c r="M502">
        <f>_xlfn.STDEV.S('R1'!N502,'R2'!N502,'R3'!N502)</f>
        <v>1.4490071497973192E-2</v>
      </c>
      <c r="N502">
        <f>_xlfn.STDEV.S('R1'!O502,'R2'!O502,'R3'!O502)</f>
        <v>6.2648484909034697E-3</v>
      </c>
    </row>
    <row r="503" spans="1:14" x14ac:dyDescent="0.25">
      <c r="A503">
        <f>-'R1'!H503</f>
        <v>-40</v>
      </c>
      <c r="B503">
        <f>DEGREES(ATAN(-SIN(RADIANS(('R1'!I503)))/(COS(RADIANS(Sheet1!A503))*COS(RADIANS('R1'!I503)))))</f>
        <v>-34.764413107862225</v>
      </c>
      <c r="C503">
        <f>AVERAGE('R1'!J503,'R2'!J503,'R3'!J503)</f>
        <v>1.18</v>
      </c>
      <c r="D503">
        <f>AVERAGE('R1'!K503,'R2'!K503,'R3'!K503)</f>
        <v>11.405984833333333</v>
      </c>
      <c r="E503">
        <f>AVERAGE('R1'!L503,'R2'!L503,'R3'!L503)</f>
        <v>-1.8429262595882865</v>
      </c>
      <c r="F503">
        <f>AVERAGE('R1'!M503,'R2'!M503,'R3'!M503)</f>
        <v>2.5300040203321061</v>
      </c>
      <c r="G503">
        <f>AVERAGE('R1'!N503,'R2'!N503,'R3'!N503)</f>
        <v>-1.7534898813022177</v>
      </c>
      <c r="H503">
        <f>AVERAGE('R1'!O503,'R2'!O503,'R3'!O503)</f>
        <v>-1.2885341349448163</v>
      </c>
      <c r="I503">
        <f t="shared" si="11"/>
        <v>2243.1770172222223</v>
      </c>
      <c r="K503">
        <f>_xlfn.STDEV.S('R1'!L503,'R2'!L503,'R3'!L503)</f>
        <v>2.6691865093000141E-2</v>
      </c>
      <c r="L503">
        <f>_xlfn.STDEV.S('R1'!M503,'R2'!M503,'R3'!M503)</f>
        <v>3.1643937997634868E-2</v>
      </c>
      <c r="M503">
        <f>_xlfn.STDEV.S('R1'!N503,'R2'!N503,'R3'!N503)</f>
        <v>4.0964469214447574E-2</v>
      </c>
      <c r="N503">
        <f>_xlfn.STDEV.S('R1'!O503,'R2'!O503,'R3'!O503)</f>
        <v>2.2438875536430435E-2</v>
      </c>
    </row>
    <row r="504" spans="1:14" x14ac:dyDescent="0.25">
      <c r="A504">
        <f>-'R1'!H504</f>
        <v>-40</v>
      </c>
      <c r="B504">
        <f>DEGREES(ATAN(-SIN(RADIANS(('R1'!I504)))/(COS(RADIANS(Sheet1!A504))*COS(RADIANS('R1'!I504)))))</f>
        <v>-39.204435233296593</v>
      </c>
      <c r="C504">
        <f>AVERAGE('R1'!J504,'R2'!J504,'R3'!J504)</f>
        <v>1.18</v>
      </c>
      <c r="D504">
        <f>AVERAGE('R1'!K504,'R2'!K504,'R3'!K504)</f>
        <v>11.337187249999999</v>
      </c>
      <c r="E504">
        <f>AVERAGE('R1'!L504,'R2'!L504,'R3'!L504)</f>
        <v>-2.0272801017339002</v>
      </c>
      <c r="F504">
        <f>AVERAGE('R1'!M504,'R2'!M504,'R3'!M504)</f>
        <v>2.561394183487451</v>
      </c>
      <c r="G504">
        <f>AVERAGE('R1'!N504,'R2'!N504,'R3'!N504)</f>
        <v>-1.8959390636275355</v>
      </c>
      <c r="H504">
        <f>AVERAGE('R1'!O504,'R2'!O504,'R3'!O504)</f>
        <v>-1.4272655939890413</v>
      </c>
      <c r="I504">
        <f t="shared" si="11"/>
        <v>2229.6468258333334</v>
      </c>
      <c r="K504">
        <f>_xlfn.STDEV.S('R1'!L504,'R2'!L504,'R3'!L504)</f>
        <v>2.9270020668779789E-2</v>
      </c>
      <c r="L504">
        <f>_xlfn.STDEV.S('R1'!M504,'R2'!M504,'R3'!M504)</f>
        <v>2.0767046312177594E-2</v>
      </c>
      <c r="M504">
        <f>_xlfn.STDEV.S('R1'!N504,'R2'!N504,'R3'!N504)</f>
        <v>3.8158275864745968E-2</v>
      </c>
      <c r="N504">
        <f>_xlfn.STDEV.S('R1'!O504,'R2'!O504,'R3'!O504)</f>
        <v>1.7345329227021727E-2</v>
      </c>
    </row>
    <row r="505" spans="1:14" x14ac:dyDescent="0.25">
      <c r="A505">
        <f>-'R1'!H505</f>
        <v>-40</v>
      </c>
      <c r="B505">
        <f>DEGREES(ATAN(-SIN(RADIANS(('R1'!I505)))/(COS(RADIANS(Sheet1!A505))*COS(RADIANS('R1'!I505)))))</f>
        <v>-43.48399800633365</v>
      </c>
      <c r="C505">
        <f>AVERAGE('R1'!J505,'R2'!J505,'R3'!J505)</f>
        <v>1.18</v>
      </c>
      <c r="D505">
        <f>AVERAGE('R1'!K505,'R2'!K505,'R3'!K505)</f>
        <v>11.308694416666667</v>
      </c>
      <c r="E505">
        <f>AVERAGE('R1'!L505,'R2'!L505,'R3'!L505)</f>
        <v>-2.2532013076131019</v>
      </c>
      <c r="F505">
        <f>AVERAGE('R1'!M505,'R2'!M505,'R3'!M505)</f>
        <v>2.6520131346032874</v>
      </c>
      <c r="G505">
        <f>AVERAGE('R1'!N505,'R2'!N505,'R3'!N505)</f>
        <v>-2.1088811074095446</v>
      </c>
      <c r="H505">
        <f>AVERAGE('R1'!O505,'R2'!O505,'R3'!O505)</f>
        <v>-1.61099659523588</v>
      </c>
      <c r="I505">
        <f t="shared" si="11"/>
        <v>2224.0432352777775</v>
      </c>
      <c r="K505">
        <f>_xlfn.STDEV.S('R1'!L505,'R2'!L505,'R3'!L505)</f>
        <v>2.083946100600656E-2</v>
      </c>
      <c r="L505">
        <f>_xlfn.STDEV.S('R1'!M505,'R2'!M505,'R3'!M505)</f>
        <v>1.6365595962236787E-2</v>
      </c>
      <c r="M505">
        <f>_xlfn.STDEV.S('R1'!N505,'R2'!N505,'R3'!N505)</f>
        <v>3.8699708060110485E-2</v>
      </c>
      <c r="N505">
        <f>_xlfn.STDEV.S('R1'!O505,'R2'!O505,'R3'!O505)</f>
        <v>1.2739298005078937E-2</v>
      </c>
    </row>
    <row r="506" spans="1:14" x14ac:dyDescent="0.25">
      <c r="A506">
        <f>-'R1'!H506</f>
        <v>-40</v>
      </c>
      <c r="B506">
        <f>DEGREES(ATAN(-SIN(RADIANS(('R1'!I506)))/(COS(RADIANS(Sheet1!A506))*COS(RADIANS('R1'!I506)))))</f>
        <v>-47.605913955135343</v>
      </c>
      <c r="C506">
        <f>AVERAGE('R1'!J506,'R2'!J506,'R3'!J506)</f>
        <v>1.18</v>
      </c>
      <c r="D506">
        <f>AVERAGE('R1'!K506,'R2'!K506,'R3'!K506)</f>
        <v>11.345452</v>
      </c>
      <c r="E506">
        <f>AVERAGE('R1'!L506,'R2'!L506,'R3'!L506)</f>
        <v>-2.4885351848529536</v>
      </c>
      <c r="F506">
        <f>AVERAGE('R1'!M506,'R2'!M506,'R3'!M506)</f>
        <v>2.7936808757199039</v>
      </c>
      <c r="G506">
        <f>AVERAGE('R1'!N506,'R2'!N506,'R3'!N506)</f>
        <v>-2.3828091885457905</v>
      </c>
      <c r="H506">
        <f>AVERAGE('R1'!O506,'R2'!O506,'R3'!O506)</f>
        <v>-1.8176187608287038</v>
      </c>
      <c r="I506">
        <f t="shared" si="11"/>
        <v>2231.2722266666665</v>
      </c>
      <c r="K506">
        <f>_xlfn.STDEV.S('R1'!L506,'R2'!L506,'R3'!L506)</f>
        <v>3.5345469707191726E-2</v>
      </c>
      <c r="L506">
        <f>_xlfn.STDEV.S('R1'!M506,'R2'!M506,'R3'!M506)</f>
        <v>2.7026979987858142E-2</v>
      </c>
      <c r="M506">
        <f>_xlfn.STDEV.S('R1'!N506,'R2'!N506,'R3'!N506)</f>
        <v>7.2299794721479974E-2</v>
      </c>
      <c r="N506">
        <f>_xlfn.STDEV.S('R1'!O506,'R2'!O506,'R3'!O506)</f>
        <v>2.0742983768455386E-2</v>
      </c>
    </row>
    <row r="507" spans="1:14" x14ac:dyDescent="0.25">
      <c r="A507">
        <f>-'R1'!H507</f>
        <v>-40</v>
      </c>
      <c r="B507">
        <f>DEGREES(ATAN(-SIN(RADIANS(('R1'!I507)))/(COS(RADIANS(Sheet1!A507))*COS(RADIANS('R1'!I507)))))</f>
        <v>-51.576359961556868</v>
      </c>
      <c r="C507">
        <f>AVERAGE('R1'!J507,'R2'!J507,'R3'!J507)</f>
        <v>1.18</v>
      </c>
      <c r="D507">
        <f>AVERAGE('R1'!K507,'R2'!K507,'R3'!K507)</f>
        <v>11.363747416666667</v>
      </c>
      <c r="E507">
        <f>AVERAGE('R1'!L507,'R2'!L507,'R3'!L507)</f>
        <v>-2.7779282185291172</v>
      </c>
      <c r="F507">
        <f>AVERAGE('R1'!M507,'R2'!M507,'R3'!M507)</f>
        <v>3.0343962442503423</v>
      </c>
      <c r="G507">
        <f>AVERAGE('R1'!N507,'R2'!N507,'R3'!N507)</f>
        <v>-2.7933925474455115</v>
      </c>
      <c r="H507">
        <f>AVERAGE('R1'!O507,'R2'!O507,'R3'!O507)</f>
        <v>-2.084307164067023</v>
      </c>
      <c r="I507">
        <f t="shared" si="11"/>
        <v>2234.8703252777782</v>
      </c>
      <c r="K507">
        <f>_xlfn.STDEV.S('R1'!L507,'R2'!L507,'R3'!L507)</f>
        <v>5.4509640626829614E-2</v>
      </c>
      <c r="L507">
        <f>_xlfn.STDEV.S('R1'!M507,'R2'!M507,'R3'!M507)</f>
        <v>2.7920765565019288E-2</v>
      </c>
      <c r="M507">
        <f>_xlfn.STDEV.S('R1'!N507,'R2'!N507,'R3'!N507)</f>
        <v>7.9255907367190334E-2</v>
      </c>
      <c r="N507">
        <f>_xlfn.STDEV.S('R1'!O507,'R2'!O507,'R3'!O507)</f>
        <v>3.3849261032822507E-2</v>
      </c>
    </row>
    <row r="508" spans="1:14" x14ac:dyDescent="0.25">
      <c r="A508">
        <f>-'R1'!H508</f>
        <v>-44</v>
      </c>
      <c r="B508">
        <f>DEGREES(ATAN(-SIN(RADIANS(('R1'!I508)))/(COS(RADIANS(Sheet1!A508))*COS(RADIANS('R1'!I508)))))</f>
        <v>53.317641506405714</v>
      </c>
      <c r="C508">
        <f>AVERAGE('R1'!J508,'R2'!J508,'R3'!J508)</f>
        <v>1.18</v>
      </c>
      <c r="D508">
        <f>AVERAGE('R1'!K508,'R2'!K508,'R3'!K508)</f>
        <v>11.432653833333333</v>
      </c>
      <c r="E508">
        <f>AVERAGE('R1'!L508,'R2'!L508,'R3'!L508)</f>
        <v>2.7008208758500794</v>
      </c>
      <c r="F508">
        <f>AVERAGE('R1'!M508,'R2'!M508,'R3'!M508)</f>
        <v>2.9460233717734798</v>
      </c>
      <c r="G508">
        <f>AVERAGE('R1'!N508,'R2'!N508,'R3'!N508)</f>
        <v>-2.6870166986937734</v>
      </c>
      <c r="H508">
        <f>AVERAGE('R1'!O508,'R2'!O508,'R3'!O508)</f>
        <v>-2.0792329206676654</v>
      </c>
      <c r="I508">
        <f t="shared" si="11"/>
        <v>2248.4219205555555</v>
      </c>
      <c r="K508">
        <f>_xlfn.STDEV.S('R1'!L508,'R2'!L508,'R3'!L508)</f>
        <v>3.4792185899392598E-2</v>
      </c>
      <c r="L508">
        <f>_xlfn.STDEV.S('R1'!M508,'R2'!M508,'R3'!M508)</f>
        <v>6.6950824776987579E-3</v>
      </c>
      <c r="M508">
        <f>_xlfn.STDEV.S('R1'!N508,'R2'!N508,'R3'!N508)</f>
        <v>3.54016373922202E-2</v>
      </c>
      <c r="N508">
        <f>_xlfn.STDEV.S('R1'!O508,'R2'!O508,'R3'!O508)</f>
        <v>1.4193571858181743E-2</v>
      </c>
    </row>
    <row r="509" spans="1:14" x14ac:dyDescent="0.25">
      <c r="A509">
        <f>-'R1'!H509</f>
        <v>-44</v>
      </c>
      <c r="B509">
        <f>DEGREES(ATAN(-SIN(RADIANS(('R1'!I509)))/(COS(RADIANS(Sheet1!A509))*COS(RADIANS('R1'!I509)))))</f>
        <v>49.394314915379752</v>
      </c>
      <c r="C509">
        <f>AVERAGE('R1'!J509,'R2'!J509,'R3'!J509)</f>
        <v>1.18</v>
      </c>
      <c r="D509">
        <f>AVERAGE('R1'!K509,'R2'!K509,'R3'!K509)</f>
        <v>11.458319833333334</v>
      </c>
      <c r="E509">
        <f>AVERAGE('R1'!L509,'R2'!L509,'R3'!L509)</f>
        <v>2.496837128294922</v>
      </c>
      <c r="F509">
        <f>AVERAGE('R1'!M509,'R2'!M509,'R3'!M509)</f>
        <v>2.8124114054161589</v>
      </c>
      <c r="G509">
        <f>AVERAGE('R1'!N509,'R2'!N509,'R3'!N509)</f>
        <v>-2.4092032951497031</v>
      </c>
      <c r="H509">
        <f>AVERAGE('R1'!O509,'R2'!O509,'R3'!O509)</f>
        <v>-1.8809216897812167</v>
      </c>
      <c r="I509">
        <f t="shared" si="11"/>
        <v>2253.4695672222224</v>
      </c>
      <c r="K509">
        <f>_xlfn.STDEV.S('R1'!L509,'R2'!L509,'R3'!L509)</f>
        <v>2.995852850103085E-2</v>
      </c>
      <c r="L509">
        <f>_xlfn.STDEV.S('R1'!M509,'R2'!M509,'R3'!M509)</f>
        <v>9.5912012908490381E-3</v>
      </c>
      <c r="M509">
        <f>_xlfn.STDEV.S('R1'!N509,'R2'!N509,'R3'!N509)</f>
        <v>3.1615853018429944E-2</v>
      </c>
      <c r="N509">
        <f>_xlfn.STDEV.S('R1'!O509,'R2'!O509,'R3'!O509)</f>
        <v>1.3533926940332166E-2</v>
      </c>
    </row>
    <row r="510" spans="1:14" x14ac:dyDescent="0.25">
      <c r="A510">
        <f>-'R1'!H510</f>
        <v>-44</v>
      </c>
      <c r="B510">
        <f>DEGREES(ATAN(-SIN(RADIANS(('R1'!I510)))/(COS(RADIANS(Sheet1!A510))*COS(RADIANS('R1'!I510)))))</f>
        <v>45.285419134418312</v>
      </c>
      <c r="C510">
        <f>AVERAGE('R1'!J510,'R2'!J510,'R3'!J510)</f>
        <v>1.18</v>
      </c>
      <c r="D510">
        <f>AVERAGE('R1'!K510,'R2'!K510,'R3'!K510)</f>
        <v>11.48734125</v>
      </c>
      <c r="E510">
        <f>AVERAGE('R1'!L510,'R2'!L510,'R3'!L510)</f>
        <v>2.3039170786957968</v>
      </c>
      <c r="F510">
        <f>AVERAGE('R1'!M510,'R2'!M510,'R3'!M510)</f>
        <v>2.7212985576134527</v>
      </c>
      <c r="G510">
        <f>AVERAGE('R1'!N510,'R2'!N510,'R3'!N510)</f>
        <v>-2.186397425304428</v>
      </c>
      <c r="H510">
        <f>AVERAGE('R1'!O510,'R2'!O510,'R3'!O510)</f>
        <v>-1.7064521550430218</v>
      </c>
      <c r="I510">
        <f t="shared" si="11"/>
        <v>2259.1771125</v>
      </c>
      <c r="K510">
        <f>_xlfn.STDEV.S('R1'!L510,'R2'!L510,'R3'!L510)</f>
        <v>3.0187263445347414E-2</v>
      </c>
      <c r="L510">
        <f>_xlfn.STDEV.S('R1'!M510,'R2'!M510,'R3'!M510)</f>
        <v>1.9649987898298301E-2</v>
      </c>
      <c r="M510">
        <f>_xlfn.STDEV.S('R1'!N510,'R2'!N510,'R3'!N510)</f>
        <v>3.7399639428094621E-2</v>
      </c>
      <c r="N510">
        <f>_xlfn.STDEV.S('R1'!O510,'R2'!O510,'R3'!O510)</f>
        <v>1.9162050480007169E-2</v>
      </c>
    </row>
    <row r="511" spans="1:14" x14ac:dyDescent="0.25">
      <c r="A511">
        <f>-'R1'!H511</f>
        <v>-44</v>
      </c>
      <c r="B511">
        <f>DEGREES(ATAN(-SIN(RADIANS(('R1'!I511)))/(COS(RADIANS(Sheet1!A511))*COS(RADIANS('R1'!I511)))))</f>
        <v>40.979886989205063</v>
      </c>
      <c r="C511">
        <f>AVERAGE('R1'!J511,'R2'!J511,'R3'!J511)</f>
        <v>1.18</v>
      </c>
      <c r="D511">
        <f>AVERAGE('R1'!K511,'R2'!K511,'R3'!K511)</f>
        <v>11.53537775</v>
      </c>
      <c r="E511">
        <f>AVERAGE('R1'!L511,'R2'!L511,'R3'!L511)</f>
        <v>2.1521518165389413</v>
      </c>
      <c r="F511">
        <f>AVERAGE('R1'!M511,'R2'!M511,'R3'!M511)</f>
        <v>2.7035832282252135</v>
      </c>
      <c r="G511">
        <f>AVERAGE('R1'!N511,'R2'!N511,'R3'!N511)</f>
        <v>-2.0669830121432997</v>
      </c>
      <c r="H511">
        <f>AVERAGE('R1'!O511,'R2'!O511,'R3'!O511)</f>
        <v>-1.5884518993351129</v>
      </c>
      <c r="I511">
        <f t="shared" si="11"/>
        <v>2268.6242908333334</v>
      </c>
      <c r="K511">
        <f>_xlfn.STDEV.S('R1'!L511,'R2'!L511,'R3'!L511)</f>
        <v>2.4766364817853763E-2</v>
      </c>
      <c r="L511">
        <f>_xlfn.STDEV.S('R1'!M511,'R2'!M511,'R3'!M511)</f>
        <v>3.5171171729885216E-2</v>
      </c>
      <c r="M511">
        <f>_xlfn.STDEV.S('R1'!N511,'R2'!N511,'R3'!N511)</f>
        <v>4.5059537773691941E-2</v>
      </c>
      <c r="N511">
        <f>_xlfn.STDEV.S('R1'!O511,'R2'!O511,'R3'!O511)</f>
        <v>1.5775852964597947E-2</v>
      </c>
    </row>
    <row r="512" spans="1:14" x14ac:dyDescent="0.25">
      <c r="A512">
        <f>-'R1'!H512</f>
        <v>-44</v>
      </c>
      <c r="B512">
        <f>DEGREES(ATAN(-SIN(RADIANS(('R1'!I512)))/(COS(RADIANS(Sheet1!A512))*COS(RADIANS('R1'!I512)))))</f>
        <v>36.470444456761925</v>
      </c>
      <c r="C512">
        <f>AVERAGE('R1'!J512,'R2'!J512,'R3'!J512)</f>
        <v>1.18</v>
      </c>
      <c r="D512">
        <f>AVERAGE('R1'!K512,'R2'!K512,'R3'!K512)</f>
        <v>11.547290833333333</v>
      </c>
      <c r="E512">
        <f>AVERAGE('R1'!L512,'R2'!L512,'R3'!L512)</f>
        <v>1.9899673327378302</v>
      </c>
      <c r="F512">
        <f>AVERAGE('R1'!M512,'R2'!M512,'R3'!M512)</f>
        <v>2.7284126702531526</v>
      </c>
      <c r="G512">
        <f>AVERAGE('R1'!N512,'R2'!N512,'R3'!N512)</f>
        <v>-1.9842482476726451</v>
      </c>
      <c r="H512">
        <f>AVERAGE('R1'!O512,'R2'!O512,'R3'!O512)</f>
        <v>-1.4778155143637344</v>
      </c>
      <c r="I512">
        <f t="shared" si="11"/>
        <v>2270.9671972222222</v>
      </c>
      <c r="K512">
        <f>_xlfn.STDEV.S('R1'!L512,'R2'!L512,'R3'!L512)</f>
        <v>2.3807091666784328E-2</v>
      </c>
      <c r="L512">
        <f>_xlfn.STDEV.S('R1'!M512,'R2'!M512,'R3'!M512)</f>
        <v>3.7606450788890848E-2</v>
      </c>
      <c r="M512">
        <f>_xlfn.STDEV.S('R1'!N512,'R2'!N512,'R3'!N512)</f>
        <v>4.7270578676681149E-2</v>
      </c>
      <c r="N512">
        <f>_xlfn.STDEV.S('R1'!O512,'R2'!O512,'R3'!O512)</f>
        <v>2.0673055624330663E-2</v>
      </c>
    </row>
    <row r="513" spans="1:14" x14ac:dyDescent="0.25">
      <c r="A513">
        <f>-'R1'!H513</f>
        <v>-44</v>
      </c>
      <c r="B513">
        <f>DEGREES(ATAN(-SIN(RADIANS(('R1'!I513)))/(COS(RADIANS(Sheet1!A513))*COS(RADIANS('R1'!I513)))))</f>
        <v>31.755051399893443</v>
      </c>
      <c r="C513">
        <f>AVERAGE('R1'!J513,'R2'!J513,'R3'!J513)</f>
        <v>1.18</v>
      </c>
      <c r="D513">
        <f>AVERAGE('R1'!K513,'R2'!K513,'R3'!K513)</f>
        <v>11.57985</v>
      </c>
      <c r="E513">
        <f>AVERAGE('R1'!L513,'R2'!L513,'R3'!L513)</f>
        <v>1.8227285658887977</v>
      </c>
      <c r="F513">
        <f>AVERAGE('R1'!M513,'R2'!M513,'R3'!M513)</f>
        <v>2.794983150705574</v>
      </c>
      <c r="G513">
        <f>AVERAGE('R1'!N513,'R2'!N513,'R3'!N513)</f>
        <v>-1.9427758555950092</v>
      </c>
      <c r="H513">
        <f>AVERAGE('R1'!O513,'R2'!O513,'R3'!O513)</f>
        <v>-1.3920705566285001</v>
      </c>
      <c r="I513">
        <f t="shared" si="11"/>
        <v>2277.3705000000004</v>
      </c>
      <c r="K513">
        <f>_xlfn.STDEV.S('R1'!L513,'R2'!L513,'R3'!L513)</f>
        <v>8.5377567460479375E-3</v>
      </c>
      <c r="L513">
        <f>_xlfn.STDEV.S('R1'!M513,'R2'!M513,'R3'!M513)</f>
        <v>1.9561783873525154E-2</v>
      </c>
      <c r="M513">
        <f>_xlfn.STDEV.S('R1'!N513,'R2'!N513,'R3'!N513)</f>
        <v>2.1996245619667471E-2</v>
      </c>
      <c r="N513">
        <f>_xlfn.STDEV.S('R1'!O513,'R2'!O513,'R3'!O513)</f>
        <v>2.6179229315503008E-3</v>
      </c>
    </row>
    <row r="514" spans="1:14" x14ac:dyDescent="0.25">
      <c r="A514">
        <f>-'R1'!H514</f>
        <v>-44</v>
      </c>
      <c r="B514">
        <f>DEGREES(ATAN(-SIN(RADIANS(('R1'!I514)))/(COS(RADIANS(Sheet1!A514))*COS(RADIANS('R1'!I514)))))</f>
        <v>26.838414444764965</v>
      </c>
      <c r="C514">
        <f>AVERAGE('R1'!J514,'R2'!J514,'R3'!J514)</f>
        <v>1.1733333333333331</v>
      </c>
      <c r="D514">
        <f>AVERAGE('R1'!K514,'R2'!K514,'R3'!K514)</f>
        <v>11.616527749999998</v>
      </c>
      <c r="E514">
        <f>AVERAGE('R1'!L514,'R2'!L514,'R3'!L514)</f>
        <v>1.6228081816677191</v>
      </c>
      <c r="F514">
        <f>AVERAGE('R1'!M514,'R2'!M514,'R3'!M514)</f>
        <v>2.8613352547263715</v>
      </c>
      <c r="G514">
        <f>AVERAGE('R1'!N514,'R2'!N514,'R3'!N514)</f>
        <v>-1.8896781587849805</v>
      </c>
      <c r="H514">
        <f>AVERAGE('R1'!O514,'R2'!O514,'R3'!O514)</f>
        <v>-1.296794728979614</v>
      </c>
      <c r="I514">
        <f t="shared" si="11"/>
        <v>2271.676537777777</v>
      </c>
      <c r="K514">
        <f>_xlfn.STDEV.S('R1'!L514,'R2'!L514,'R3'!L514)</f>
        <v>1.3373700491741703E-2</v>
      </c>
      <c r="L514">
        <f>_xlfn.STDEV.S('R1'!M514,'R2'!M514,'R3'!M514)</f>
        <v>4.51496294104278E-2</v>
      </c>
      <c r="M514">
        <f>_xlfn.STDEV.S('R1'!N514,'R2'!N514,'R3'!N514)</f>
        <v>4.788945581187317E-2</v>
      </c>
      <c r="N514">
        <f>_xlfn.STDEV.S('R1'!O514,'R2'!O514,'R3'!O514)</f>
        <v>2.0747532181143617E-2</v>
      </c>
    </row>
    <row r="515" spans="1:14" x14ac:dyDescent="0.25">
      <c r="A515">
        <f>-'R1'!H515</f>
        <v>-44</v>
      </c>
      <c r="B515">
        <f>DEGREES(ATAN(-SIN(RADIANS(('R1'!I515)))/(COS(RADIANS(Sheet1!A515))*COS(RADIANS('R1'!I515)))))</f>
        <v>21.733362927744114</v>
      </c>
      <c r="C515">
        <f>AVERAGE('R1'!J515,'R2'!J515,'R3'!J515)</f>
        <v>1.1783333333333335</v>
      </c>
      <c r="D515">
        <f>AVERAGE('R1'!K515,'R2'!K515,'R3'!K515)</f>
        <v>11.499074666666667</v>
      </c>
      <c r="E515">
        <f>AVERAGE('R1'!L515,'R2'!L515,'R3'!L515)</f>
        <v>1.4063516181681635</v>
      </c>
      <c r="F515">
        <f>AVERAGE('R1'!M515,'R2'!M515,'R3'!M515)</f>
        <v>3.008308940160985</v>
      </c>
      <c r="G515">
        <f>AVERAGE('R1'!N515,'R2'!N515,'R3'!N515)</f>
        <v>-1.9049153611647636</v>
      </c>
      <c r="H515">
        <f>AVERAGE('R1'!O515,'R2'!O515,'R3'!O515)</f>
        <v>-1.2381795500487371</v>
      </c>
      <c r="I515">
        <f t="shared" ref="I515:I530" si="12">10^5*C515*D515*0.003/1.8</f>
        <v>2258.2904970370373</v>
      </c>
      <c r="K515">
        <f>_xlfn.STDEV.S('R1'!L515,'R2'!L515,'R3'!L515)</f>
        <v>1.2187694932806291E-2</v>
      </c>
      <c r="L515">
        <f>_xlfn.STDEV.S('R1'!M515,'R2'!M515,'R3'!M515)</f>
        <v>4.8056571364941153E-2</v>
      </c>
      <c r="M515">
        <f>_xlfn.STDEV.S('R1'!N515,'R2'!N515,'R3'!N515)</f>
        <v>4.7176146045944098E-2</v>
      </c>
      <c r="N515">
        <f>_xlfn.STDEV.S('R1'!O515,'R2'!O515,'R3'!O515)</f>
        <v>1.9985196541144026E-2</v>
      </c>
    </row>
    <row r="516" spans="1:14" x14ac:dyDescent="0.25">
      <c r="A516">
        <f>-'R1'!H516</f>
        <v>-44</v>
      </c>
      <c r="B516">
        <f>DEGREES(ATAN(-SIN(RADIANS(('R1'!I516)))/(COS(RADIANS(Sheet1!A516))*COS(RADIANS('R1'!I516)))))</f>
        <v>16.461798422084197</v>
      </c>
      <c r="C516">
        <f>AVERAGE('R1'!J516,'R2'!J516,'R3'!J516)</f>
        <v>1.1791666666666665</v>
      </c>
      <c r="D516">
        <f>AVERAGE('R1'!K516,'R2'!K516,'R3'!K516)</f>
        <v>11.465508333333332</v>
      </c>
      <c r="E516">
        <f>AVERAGE('R1'!L516,'R2'!L516,'R3'!L516)</f>
        <v>1.1713237357651762</v>
      </c>
      <c r="F516">
        <f>AVERAGE('R1'!M516,'R2'!M516,'R3'!M516)</f>
        <v>3.1693621954131483</v>
      </c>
      <c r="G516">
        <f>AVERAGE('R1'!N516,'R2'!N516,'R3'!N516)</f>
        <v>-1.941506157501341</v>
      </c>
      <c r="H516">
        <f>AVERAGE('R1'!O516,'R2'!O516,'R3'!O516)</f>
        <v>-1.1895302658146116</v>
      </c>
      <c r="I516">
        <f t="shared" si="12"/>
        <v>2253.2908738425922</v>
      </c>
      <c r="K516">
        <f>_xlfn.STDEV.S('R1'!L516,'R2'!L516,'R3'!L516)</f>
        <v>1.0071479674994251E-2</v>
      </c>
      <c r="L516">
        <f>_xlfn.STDEV.S('R1'!M516,'R2'!M516,'R3'!M516)</f>
        <v>2.1401126747637195E-2</v>
      </c>
      <c r="M516">
        <f>_xlfn.STDEV.S('R1'!N516,'R2'!N516,'R3'!N516)</f>
        <v>2.5216786254715982E-2</v>
      </c>
      <c r="N516">
        <f>_xlfn.STDEV.S('R1'!O516,'R2'!O516,'R3'!O516)</f>
        <v>3.6775707154220777E-3</v>
      </c>
    </row>
    <row r="517" spans="1:14" x14ac:dyDescent="0.25">
      <c r="A517">
        <f>-'R1'!H517</f>
        <v>-44</v>
      </c>
      <c r="B517">
        <f>DEGREES(ATAN(-SIN(RADIANS(('R1'!I517)))/(COS(RADIANS(Sheet1!A517))*COS(RADIANS('R1'!I517)))))</f>
        <v>11.054892671059431</v>
      </c>
      <c r="C517">
        <f>AVERAGE('R1'!J517,'R2'!J517,'R3'!J517)</f>
        <v>1.18</v>
      </c>
      <c r="D517">
        <f>AVERAGE('R1'!K517,'R2'!K517,'R3'!K517)</f>
        <v>11.32256325</v>
      </c>
      <c r="E517">
        <f>AVERAGE('R1'!L517,'R2'!L517,'R3'!L517)</f>
        <v>0.89067182357976848</v>
      </c>
      <c r="F517">
        <f>AVERAGE('R1'!M517,'R2'!M517,'R3'!M517)</f>
        <v>3.4405606135255571</v>
      </c>
      <c r="G517">
        <f>AVERAGE('R1'!N517,'R2'!N517,'R3'!N517)</f>
        <v>-2.0639092452267405</v>
      </c>
      <c r="H517">
        <f>AVERAGE('R1'!O517,'R2'!O517,'R3'!O517)</f>
        <v>-1.1645004521879141</v>
      </c>
      <c r="I517">
        <f t="shared" si="12"/>
        <v>2226.7707725</v>
      </c>
      <c r="K517">
        <f>_xlfn.STDEV.S('R1'!L517,'R2'!L517,'R3'!L517)</f>
        <v>1.1334700943681008E-2</v>
      </c>
      <c r="L517">
        <f>_xlfn.STDEV.S('R1'!M517,'R2'!M517,'R3'!M517)</f>
        <v>3.408458611480894E-2</v>
      </c>
      <c r="M517">
        <f>_xlfn.STDEV.S('R1'!N517,'R2'!N517,'R3'!N517)</f>
        <v>3.0401797368605623E-2</v>
      </c>
      <c r="N517">
        <f>_xlfn.STDEV.S('R1'!O517,'R2'!O517,'R3'!O517)</f>
        <v>3.8766319876923474E-3</v>
      </c>
    </row>
    <row r="518" spans="1:14" x14ac:dyDescent="0.25">
      <c r="A518">
        <f>-'R1'!H518</f>
        <v>-44</v>
      </c>
      <c r="B518">
        <f>DEGREES(ATAN(-SIN(RADIANS(('R1'!I518)))/(COS(RADIANS(Sheet1!A518))*COS(RADIANS('R1'!I518)))))</f>
        <v>5.5522607339018597</v>
      </c>
      <c r="C518">
        <f>AVERAGE('R1'!J518,'R2'!J518,'R3'!J518)</f>
        <v>1.18</v>
      </c>
      <c r="D518">
        <f>AVERAGE('R1'!K518,'R2'!K518,'R3'!K518)</f>
        <v>11.208258583333333</v>
      </c>
      <c r="E518">
        <f>AVERAGE('R1'!L518,'R2'!L518,'R3'!L518)</f>
        <v>0.55753118996058337</v>
      </c>
      <c r="F518">
        <f>AVERAGE('R1'!M518,'R2'!M518,'R3'!M518)</f>
        <v>3.7730428570558598</v>
      </c>
      <c r="G518">
        <f>AVERAGE('R1'!N518,'R2'!N518,'R3'!N518)</f>
        <v>-2.2355574132860103</v>
      </c>
      <c r="H518">
        <f>AVERAGE('R1'!O518,'R2'!O518,'R3'!O518)</f>
        <v>-1.1439816002250958</v>
      </c>
      <c r="I518">
        <f t="shared" si="12"/>
        <v>2204.2908547222223</v>
      </c>
      <c r="K518">
        <f>_xlfn.STDEV.S('R1'!L518,'R2'!L518,'R3'!L518)</f>
        <v>1.9047188905537686E-2</v>
      </c>
      <c r="L518">
        <f>_xlfn.STDEV.S('R1'!M518,'R2'!M518,'R3'!M518)</f>
        <v>2.1584603431649887E-2</v>
      </c>
      <c r="M518">
        <f>_xlfn.STDEV.S('R1'!N518,'R2'!N518,'R3'!N518)</f>
        <v>2.1495114227578559E-2</v>
      </c>
      <c r="N518">
        <f>_xlfn.STDEV.S('R1'!O518,'R2'!O518,'R3'!O518)</f>
        <v>1.5565887476093224E-2</v>
      </c>
    </row>
    <row r="519" spans="1:14" x14ac:dyDescent="0.25">
      <c r="A519">
        <f>-'R1'!H519</f>
        <v>-44</v>
      </c>
      <c r="B519">
        <f>DEGREES(ATAN(-SIN(RADIANS(('R1'!I519)))/(COS(RADIANS(Sheet1!A519))*COS(RADIANS('R1'!I519)))))</f>
        <v>0</v>
      </c>
      <c r="C519">
        <f>AVERAGE('R1'!J519,'R2'!J519,'R3'!J519)</f>
        <v>1.1783333333333335</v>
      </c>
      <c r="D519">
        <f>AVERAGE('R1'!K519,'R2'!K519,'R3'!K519)</f>
        <v>11.2242485</v>
      </c>
      <c r="E519">
        <f>AVERAGE('R1'!L519,'R2'!L519,'R3'!L519)</f>
        <v>0.1391570036616836</v>
      </c>
      <c r="F519">
        <f>AVERAGE('R1'!M519,'R2'!M519,'R3'!M519)</f>
        <v>4.2162487881153448</v>
      </c>
      <c r="G519">
        <f>AVERAGE('R1'!N519,'R2'!N519,'R3'!N519)</f>
        <v>-2.4783447719734806</v>
      </c>
      <c r="H519">
        <f>AVERAGE('R1'!O519,'R2'!O519,'R3'!O519)</f>
        <v>-1.1404727527485496</v>
      </c>
      <c r="I519">
        <f t="shared" si="12"/>
        <v>2204.3176915277777</v>
      </c>
      <c r="K519">
        <f>_xlfn.STDEV.S('R1'!L519,'R2'!L519,'R3'!L519)</f>
        <v>4.889807152205332E-3</v>
      </c>
      <c r="L519">
        <f>_xlfn.STDEV.S('R1'!M519,'R2'!M519,'R3'!M519)</f>
        <v>3.0846284433111555E-2</v>
      </c>
      <c r="M519">
        <f>_xlfn.STDEV.S('R1'!N519,'R2'!N519,'R3'!N519)</f>
        <v>2.4583343685929095E-2</v>
      </c>
      <c r="N519">
        <f>_xlfn.STDEV.S('R1'!O519,'R2'!O519,'R3'!O519)</f>
        <v>9.0197727326654029E-3</v>
      </c>
    </row>
    <row r="520" spans="1:14" x14ac:dyDescent="0.25">
      <c r="A520">
        <f>-'R1'!H520</f>
        <v>-44</v>
      </c>
      <c r="B520">
        <f>DEGREES(ATAN(-SIN(RADIANS(('R1'!I520)))/(COS(RADIANS(Sheet1!A520))*COS(RADIANS('R1'!I520)))))</f>
        <v>-5.5522607339018597</v>
      </c>
      <c r="C520">
        <f>AVERAGE('R1'!J520,'R2'!J520,'R3'!J520)</f>
        <v>1.1791666666666665</v>
      </c>
      <c r="D520">
        <f>AVERAGE('R1'!K520,'R2'!K520,'R3'!K520)</f>
        <v>11.172746916666666</v>
      </c>
      <c r="E520">
        <f>AVERAGE('R1'!L520,'R2'!L520,'R3'!L520)</f>
        <v>-0.31650548752026447</v>
      </c>
      <c r="F520">
        <f>AVERAGE('R1'!M520,'R2'!M520,'R3'!M520)</f>
        <v>4.0913062475530468</v>
      </c>
      <c r="G520">
        <f>AVERAGE('R1'!N520,'R2'!N520,'R3'!N520)</f>
        <v>-2.4330150245276538</v>
      </c>
      <c r="H520">
        <f>AVERAGE('R1'!O520,'R2'!O520,'R3'!O520)</f>
        <v>-1.1681659493645327</v>
      </c>
      <c r="I520">
        <f t="shared" si="12"/>
        <v>2195.7551232060182</v>
      </c>
      <c r="K520">
        <f>_xlfn.STDEV.S('R1'!L520,'R2'!L520,'R3'!L520)</f>
        <v>1.4976439032374318E-2</v>
      </c>
      <c r="L520">
        <f>_xlfn.STDEV.S('R1'!M520,'R2'!M520,'R3'!M520)</f>
        <v>2.0039275819514649E-2</v>
      </c>
      <c r="M520">
        <f>_xlfn.STDEV.S('R1'!N520,'R2'!N520,'R3'!N520)</f>
        <v>1.8605851248995466E-2</v>
      </c>
      <c r="N520">
        <f>_xlfn.STDEV.S('R1'!O520,'R2'!O520,'R3'!O520)</f>
        <v>1.0276922768672491E-2</v>
      </c>
    </row>
    <row r="521" spans="1:14" x14ac:dyDescent="0.25">
      <c r="A521">
        <f>-'R1'!H521</f>
        <v>-44</v>
      </c>
      <c r="B521">
        <f>DEGREES(ATAN(-SIN(RADIANS(('R1'!I521)))/(COS(RADIANS(Sheet1!A521))*COS(RADIANS('R1'!I521)))))</f>
        <v>-11.054892671059431</v>
      </c>
      <c r="C521">
        <f>AVERAGE('R1'!J521,'R2'!J521,'R3'!J521)</f>
        <v>1.18</v>
      </c>
      <c r="D521">
        <f>AVERAGE('R1'!K521,'R2'!K521,'R3'!K521)</f>
        <v>11.217541333333335</v>
      </c>
      <c r="E521">
        <f>AVERAGE('R1'!L521,'R2'!L521,'R3'!L521)</f>
        <v>-0.70863068866120005</v>
      </c>
      <c r="F521">
        <f>AVERAGE('R1'!M521,'R2'!M521,'R3'!M521)</f>
        <v>3.7343642269249453</v>
      </c>
      <c r="G521">
        <f>AVERAGE('R1'!N521,'R2'!N521,'R3'!N521)</f>
        <v>-2.2652980194830961</v>
      </c>
      <c r="H521">
        <f>AVERAGE('R1'!O521,'R2'!O521,'R3'!O521)</f>
        <v>-1.2002381784348612</v>
      </c>
      <c r="I521">
        <f t="shared" si="12"/>
        <v>2206.1164622222227</v>
      </c>
      <c r="K521">
        <f>_xlfn.STDEV.S('R1'!L521,'R2'!L521,'R3'!L521)</f>
        <v>1.0209852357195402E-2</v>
      </c>
      <c r="L521">
        <f>_xlfn.STDEV.S('R1'!M521,'R2'!M521,'R3'!M521)</f>
        <v>3.6867575227824495E-2</v>
      </c>
      <c r="M521">
        <f>_xlfn.STDEV.S('R1'!N521,'R2'!N521,'R3'!N521)</f>
        <v>3.2586857279697581E-2</v>
      </c>
      <c r="N521">
        <f>_xlfn.STDEV.S('R1'!O521,'R2'!O521,'R3'!O521)</f>
        <v>1.8608254209331734E-2</v>
      </c>
    </row>
    <row r="522" spans="1:14" x14ac:dyDescent="0.25">
      <c r="A522">
        <f>-'R1'!H522</f>
        <v>-44</v>
      </c>
      <c r="B522">
        <f>DEGREES(ATAN(-SIN(RADIANS(('R1'!I522)))/(COS(RADIANS(Sheet1!A522))*COS(RADIANS('R1'!I522)))))</f>
        <v>-16.461798422084197</v>
      </c>
      <c r="C522">
        <f>AVERAGE('R1'!J522,'R2'!J522,'R3'!J522)</f>
        <v>1.18</v>
      </c>
      <c r="D522">
        <f>AVERAGE('R1'!K522,'R2'!K522,'R3'!K522)</f>
        <v>11.300835416666667</v>
      </c>
      <c r="E522">
        <f>AVERAGE('R1'!L522,'R2'!L522,'R3'!L522)</f>
        <v>-1.0409644011486681</v>
      </c>
      <c r="F522">
        <f>AVERAGE('R1'!M522,'R2'!M522,'R3'!M522)</f>
        <v>3.4547094519805372</v>
      </c>
      <c r="G522">
        <f>AVERAGE('R1'!N522,'R2'!N522,'R3'!N522)</f>
        <v>-2.1666381671504311</v>
      </c>
      <c r="H522">
        <f>AVERAGE('R1'!O522,'R2'!O522,'R3'!O522)</f>
        <v>-1.2430115826986079</v>
      </c>
      <c r="I522">
        <f t="shared" si="12"/>
        <v>2222.4976319444445</v>
      </c>
      <c r="K522">
        <f>_xlfn.STDEV.S('R1'!L522,'R2'!L522,'R3'!L522)</f>
        <v>1.2312220405783565E-2</v>
      </c>
      <c r="L522">
        <f>_xlfn.STDEV.S('R1'!M522,'R2'!M522,'R3'!M522)</f>
        <v>2.7249589850152547E-2</v>
      </c>
      <c r="M522">
        <f>_xlfn.STDEV.S('R1'!N522,'R2'!N522,'R3'!N522)</f>
        <v>3.0908580684537376E-2</v>
      </c>
      <c r="N522">
        <f>_xlfn.STDEV.S('R1'!O522,'R2'!O522,'R3'!O522)</f>
        <v>8.8468709205282922E-3</v>
      </c>
    </row>
    <row r="523" spans="1:14" x14ac:dyDescent="0.25">
      <c r="A523">
        <f>-'R1'!H523</f>
        <v>-44</v>
      </c>
      <c r="B523">
        <f>DEGREES(ATAN(-SIN(RADIANS(('R1'!I523)))/(COS(RADIANS(Sheet1!A523))*COS(RADIANS('R1'!I523)))))</f>
        <v>-21.733362927744114</v>
      </c>
      <c r="C523">
        <f>AVERAGE('R1'!J523,'R2'!J523,'R3'!J523)</f>
        <v>1.1775</v>
      </c>
      <c r="D523">
        <f>AVERAGE('R1'!K523,'R2'!K523,'R3'!K523)</f>
        <v>11.329127916666666</v>
      </c>
      <c r="E523">
        <f>AVERAGE('R1'!L523,'R2'!L523,'R3'!L523)</f>
        <v>-1.3279161340880055</v>
      </c>
      <c r="F523">
        <f>AVERAGE('R1'!M523,'R2'!M523,'R3'!M523)</f>
        <v>3.2674908163371152</v>
      </c>
      <c r="G523">
        <f>AVERAGE('R1'!N523,'R2'!N523,'R3'!N523)</f>
        <v>-2.1366799687408462</v>
      </c>
      <c r="H523">
        <f>AVERAGE('R1'!O523,'R2'!O523,'R3'!O523)</f>
        <v>-1.3093205256602474</v>
      </c>
      <c r="I523">
        <f t="shared" si="12"/>
        <v>2223.3413536458329</v>
      </c>
      <c r="K523">
        <f>_xlfn.STDEV.S('R1'!L523,'R2'!L523,'R3'!L523)</f>
        <v>1.3556913530657771E-2</v>
      </c>
      <c r="L523">
        <f>_xlfn.STDEV.S('R1'!M523,'R2'!M523,'R3'!M523)</f>
        <v>3.835108533729565E-2</v>
      </c>
      <c r="M523">
        <f>_xlfn.STDEV.S('R1'!N523,'R2'!N523,'R3'!N523)</f>
        <v>3.1882136139445051E-2</v>
      </c>
      <c r="N523">
        <f>_xlfn.STDEV.S('R1'!O523,'R2'!O523,'R3'!O523)</f>
        <v>2.0269215875562036E-2</v>
      </c>
    </row>
    <row r="524" spans="1:14" x14ac:dyDescent="0.25">
      <c r="A524">
        <f>-'R1'!H524</f>
        <v>-44</v>
      </c>
      <c r="B524">
        <f>DEGREES(ATAN(-SIN(RADIANS(('R1'!I524)))/(COS(RADIANS(Sheet1!A524))*COS(RADIANS('R1'!I524)))))</f>
        <v>-26.838414444764965</v>
      </c>
      <c r="C524">
        <f>AVERAGE('R1'!J524,'R2'!J524,'R3'!J524)</f>
        <v>1.1791666666666665</v>
      </c>
      <c r="D524">
        <f>AVERAGE('R1'!K524,'R2'!K524,'R3'!K524)</f>
        <v>11.356748333333334</v>
      </c>
      <c r="E524">
        <f>AVERAGE('R1'!L524,'R2'!L524,'R3'!L524)</f>
        <v>-1.5760512080930049</v>
      </c>
      <c r="F524">
        <f>AVERAGE('R1'!M524,'R2'!M524,'R3'!M524)</f>
        <v>3.1098090485047307</v>
      </c>
      <c r="G524">
        <f>AVERAGE('R1'!N524,'R2'!N524,'R3'!N524)</f>
        <v>-2.115526838331935</v>
      </c>
      <c r="H524">
        <f>AVERAGE('R1'!O524,'R2'!O524,'R3'!O524)</f>
        <v>-1.3782109352337379</v>
      </c>
      <c r="I524">
        <f t="shared" si="12"/>
        <v>2231.9165127314809</v>
      </c>
      <c r="K524">
        <f>_xlfn.STDEV.S('R1'!L524,'R2'!L524,'R3'!L524)</f>
        <v>2.2481909624042878E-2</v>
      </c>
      <c r="L524">
        <f>_xlfn.STDEV.S('R1'!M524,'R2'!M524,'R3'!M524)</f>
        <v>1.0282312521524025E-2</v>
      </c>
      <c r="M524">
        <f>_xlfn.STDEV.S('R1'!N524,'R2'!N524,'R3'!N524)</f>
        <v>1.950531836418307E-2</v>
      </c>
      <c r="N524">
        <f>_xlfn.STDEV.S('R1'!O524,'R2'!O524,'R3'!O524)</f>
        <v>1.5390242179809164E-2</v>
      </c>
    </row>
    <row r="525" spans="1:14" x14ac:dyDescent="0.25">
      <c r="A525">
        <f>-'R1'!H525</f>
        <v>-44</v>
      </c>
      <c r="B525">
        <f>DEGREES(ATAN(-SIN(RADIANS(('R1'!I525)))/(COS(RADIANS(Sheet1!A525))*COS(RADIANS('R1'!I525)))))</f>
        <v>-31.755051399893443</v>
      </c>
      <c r="C525">
        <f>AVERAGE('R1'!J525,'R2'!J525,'R3'!J525)</f>
        <v>1.18</v>
      </c>
      <c r="D525">
        <f>AVERAGE('R1'!K525,'R2'!K525,'R3'!K525)</f>
        <v>11.331610500000002</v>
      </c>
      <c r="E525">
        <f>AVERAGE('R1'!L525,'R2'!L525,'R3'!L525)</f>
        <v>-1.7945247052709441</v>
      </c>
      <c r="F525">
        <f>AVERAGE('R1'!M525,'R2'!M525,'R3'!M525)</f>
        <v>3.0314366757185165</v>
      </c>
      <c r="G525">
        <f>AVERAGE('R1'!N525,'R2'!N525,'R3'!N525)</f>
        <v>-2.1717466179887417</v>
      </c>
      <c r="H525">
        <f>AVERAGE('R1'!O525,'R2'!O525,'R3'!O525)</f>
        <v>-1.4835201337623793</v>
      </c>
      <c r="I525">
        <f t="shared" si="12"/>
        <v>2228.5500650000004</v>
      </c>
      <c r="K525">
        <f>_xlfn.STDEV.S('R1'!L525,'R2'!L525,'R3'!L525)</f>
        <v>2.2362629184350558E-2</v>
      </c>
      <c r="L525">
        <f>_xlfn.STDEV.S('R1'!M525,'R2'!M525,'R3'!M525)</f>
        <v>2.2664804319251327E-2</v>
      </c>
      <c r="M525">
        <f>_xlfn.STDEV.S('R1'!N525,'R2'!N525,'R3'!N525)</f>
        <v>3.5093349157644359E-2</v>
      </c>
      <c r="N525">
        <f>_xlfn.STDEV.S('R1'!O525,'R2'!O525,'R3'!O525)</f>
        <v>1.475063425763707E-2</v>
      </c>
    </row>
    <row r="526" spans="1:14" x14ac:dyDescent="0.25">
      <c r="A526">
        <f>-'R1'!H526</f>
        <v>-44</v>
      </c>
      <c r="B526">
        <f>DEGREES(ATAN(-SIN(RADIANS(('R1'!I526)))/(COS(RADIANS(Sheet1!A526))*COS(RADIANS('R1'!I526)))))</f>
        <v>-36.470444456761925</v>
      </c>
      <c r="C526">
        <f>AVERAGE('R1'!J526,'R2'!J526,'R3'!J526)</f>
        <v>1.1791666666666665</v>
      </c>
      <c r="D526">
        <f>AVERAGE('R1'!K526,'R2'!K526,'R3'!K526)</f>
        <v>11.269397583333332</v>
      </c>
      <c r="E526">
        <f>AVERAGE('R1'!L526,'R2'!L526,'R3'!L526)</f>
        <v>-2.0114207800842778</v>
      </c>
      <c r="F526">
        <f>AVERAGE('R1'!M526,'R2'!M526,'R3'!M526)</f>
        <v>3.0002354767623451</v>
      </c>
      <c r="G526">
        <f>AVERAGE('R1'!N526,'R2'!N526,'R3'!N526)</f>
        <v>-2.2604140575258929</v>
      </c>
      <c r="H526">
        <f>AVERAGE('R1'!O526,'R2'!O526,'R3'!O526)</f>
        <v>-1.6071544798104063</v>
      </c>
      <c r="I526">
        <f t="shared" si="12"/>
        <v>2214.7496639467586</v>
      </c>
      <c r="K526">
        <f>_xlfn.STDEV.S('R1'!L526,'R2'!L526,'R3'!L526)</f>
        <v>2.5744641075602356E-2</v>
      </c>
      <c r="L526">
        <f>_xlfn.STDEV.S('R1'!M526,'R2'!M526,'R3'!M526)</f>
        <v>2.8512533173016684E-2</v>
      </c>
      <c r="M526">
        <f>_xlfn.STDEV.S('R1'!N526,'R2'!N526,'R3'!N526)</f>
        <v>4.0206684056047187E-2</v>
      </c>
      <c r="N526">
        <f>_xlfn.STDEV.S('R1'!O526,'R2'!O526,'R3'!O526)</f>
        <v>2.3634436656942717E-2</v>
      </c>
    </row>
    <row r="527" spans="1:14" x14ac:dyDescent="0.25">
      <c r="A527">
        <f>-'R1'!H527</f>
        <v>-44</v>
      </c>
      <c r="B527">
        <f>DEGREES(ATAN(-SIN(RADIANS(('R1'!I527)))/(COS(RADIANS(Sheet1!A527))*COS(RADIANS('R1'!I527)))))</f>
        <v>-40.979886989205063</v>
      </c>
      <c r="C527">
        <f>AVERAGE('R1'!J527,'R2'!J527,'R3'!J527)</f>
        <v>1.18</v>
      </c>
      <c r="D527">
        <f>AVERAGE('R1'!K527,'R2'!K527,'R3'!K527)</f>
        <v>11.256822416666667</v>
      </c>
      <c r="E527">
        <f>AVERAGE('R1'!L527,'R2'!L527,'R3'!L527)</f>
        <v>-2.2202925057803253</v>
      </c>
      <c r="F527">
        <f>AVERAGE('R1'!M527,'R2'!M527,'R3'!M527)</f>
        <v>3.019456282714303</v>
      </c>
      <c r="G527">
        <f>AVERAGE('R1'!N527,'R2'!N527,'R3'!N527)</f>
        <v>-2.4019542619196472</v>
      </c>
      <c r="H527">
        <f>AVERAGE('R1'!O527,'R2'!O527,'R3'!O527)</f>
        <v>-1.7472422101141907</v>
      </c>
      <c r="I527">
        <f t="shared" si="12"/>
        <v>2213.8417419444445</v>
      </c>
      <c r="K527">
        <f>_xlfn.STDEV.S('R1'!L527,'R2'!L527,'R3'!L527)</f>
        <v>1.970442181410521E-2</v>
      </c>
      <c r="L527">
        <f>_xlfn.STDEV.S('R1'!M527,'R2'!M527,'R3'!M527)</f>
        <v>8.0683451706608962E-3</v>
      </c>
      <c r="M527">
        <f>_xlfn.STDEV.S('R1'!N527,'R2'!N527,'R3'!N527)</f>
        <v>2.5108928172438403E-2</v>
      </c>
      <c r="N527">
        <f>_xlfn.STDEV.S('R1'!O527,'R2'!O527,'R3'!O527)</f>
        <v>1.0192514282412477E-2</v>
      </c>
    </row>
    <row r="528" spans="1:14" x14ac:dyDescent="0.25">
      <c r="A528">
        <f>-'R1'!H528</f>
        <v>-44</v>
      </c>
      <c r="B528">
        <f>DEGREES(ATAN(-SIN(RADIANS(('R1'!I528)))/(COS(RADIANS(Sheet1!A528))*COS(RADIANS('R1'!I528)))))</f>
        <v>-45.285419134418312</v>
      </c>
      <c r="C528">
        <f>AVERAGE('R1'!J528,'R2'!J528,'R3'!J528)</f>
        <v>1.18</v>
      </c>
      <c r="D528">
        <f>AVERAGE('R1'!K528,'R2'!K528,'R3'!K528)</f>
        <v>11.229809416666667</v>
      </c>
      <c r="E528">
        <f>AVERAGE('R1'!L528,'R2'!L528,'R3'!L528)</f>
        <v>-2.4684735354851477</v>
      </c>
      <c r="F528">
        <f>AVERAGE('R1'!M528,'R2'!M528,'R3'!M528)</f>
        <v>3.1086804218938187</v>
      </c>
      <c r="G528">
        <f>AVERAGE('R1'!N528,'R2'!N528,'R3'!N528)</f>
        <v>-2.639454940993919</v>
      </c>
      <c r="H528">
        <f>AVERAGE('R1'!O528,'R2'!O528,'R3'!O528)</f>
        <v>-1.9376721796762559</v>
      </c>
      <c r="I528">
        <f t="shared" si="12"/>
        <v>2208.5291852777777</v>
      </c>
      <c r="K528">
        <f>_xlfn.STDEV.S('R1'!L528,'R2'!L528,'R3'!L528)</f>
        <v>3.8638441770623463E-2</v>
      </c>
      <c r="L528">
        <f>_xlfn.STDEV.S('R1'!M528,'R2'!M528,'R3'!M528)</f>
        <v>3.9409301793044839E-2</v>
      </c>
      <c r="M528">
        <f>_xlfn.STDEV.S('R1'!N528,'R2'!N528,'R3'!N528)</f>
        <v>6.2156569006271714E-2</v>
      </c>
      <c r="N528">
        <f>_xlfn.STDEV.S('R1'!O528,'R2'!O528,'R3'!O528)</f>
        <v>3.144169203600012E-2</v>
      </c>
    </row>
    <row r="529" spans="1:14" x14ac:dyDescent="0.25">
      <c r="A529">
        <f>-'R1'!H529</f>
        <v>-44</v>
      </c>
      <c r="B529">
        <f>DEGREES(ATAN(-SIN(RADIANS(('R1'!I529)))/(COS(RADIANS(Sheet1!A529))*COS(RADIANS('R1'!I529)))))</f>
        <v>-49.394314915379752</v>
      </c>
      <c r="C529">
        <f>AVERAGE('R1'!J529,'R2'!J529,'R3'!J529)</f>
        <v>1.1808333333333332</v>
      </c>
      <c r="D529">
        <f>AVERAGE('R1'!K529,'R2'!K529,'R3'!K529)</f>
        <v>11.229173333333334</v>
      </c>
      <c r="E529">
        <f>AVERAGE('R1'!L529,'R2'!L529,'R3'!L529)</f>
        <v>-2.73002065537244</v>
      </c>
      <c r="F529">
        <f>AVERAGE('R1'!M529,'R2'!M529,'R3'!M529)</f>
        <v>3.2546042767622048</v>
      </c>
      <c r="G529">
        <f>AVERAGE('R1'!N529,'R2'!N529,'R3'!N529)</f>
        <v>-2.9532503144679816</v>
      </c>
      <c r="H529">
        <f>AVERAGE('R1'!O529,'R2'!O529,'R3'!O529)</f>
        <v>-2.1585233587403367</v>
      </c>
      <c r="I529">
        <f t="shared" si="12"/>
        <v>2209.9636962962963</v>
      </c>
      <c r="K529">
        <f>_xlfn.STDEV.S('R1'!L529,'R2'!L529,'R3'!L529)</f>
        <v>6.1953991374441526E-2</v>
      </c>
      <c r="L529">
        <f>_xlfn.STDEV.S('R1'!M529,'R2'!M529,'R3'!M529)</f>
        <v>4.2921571864228653E-2</v>
      </c>
      <c r="M529">
        <f>_xlfn.STDEV.S('R1'!N529,'R2'!N529,'R3'!N529)</f>
        <v>7.9119467459711657E-2</v>
      </c>
      <c r="N529">
        <f>_xlfn.STDEV.S('R1'!O529,'R2'!O529,'R3'!O529)</f>
        <v>4.6937939222918404E-2</v>
      </c>
    </row>
    <row r="530" spans="1:14" x14ac:dyDescent="0.25">
      <c r="A530">
        <f>-'R1'!H530</f>
        <v>-44</v>
      </c>
      <c r="B530">
        <f>DEGREES(ATAN(-SIN(RADIANS(('R1'!I530)))/(COS(RADIANS(Sheet1!A530))*COS(RADIANS('R1'!I530)))))</f>
        <v>-53.317641506405714</v>
      </c>
      <c r="C530">
        <f>AVERAGE('R1'!J530,'R2'!J530,'R3'!J530)</f>
        <v>1.18</v>
      </c>
      <c r="D530">
        <f>AVERAGE('R1'!K530,'R2'!K530,'R3'!K530)</f>
        <v>11.307200750000002</v>
      </c>
      <c r="E530">
        <f>AVERAGE('R1'!L530,'R2'!L530,'R3'!L530)</f>
        <v>-3.0958190945891801</v>
      </c>
      <c r="F530">
        <f>AVERAGE('R1'!M530,'R2'!M530,'R3'!M530)</f>
        <v>3.5996713989939977</v>
      </c>
      <c r="G530">
        <f>AVERAGE('R1'!N530,'R2'!N530,'R3'!N530)</f>
        <v>-3.52588152324727</v>
      </c>
      <c r="H530">
        <f>AVERAGE('R1'!O530,'R2'!O530,'R3'!O530)</f>
        <v>-2.4840234154029255</v>
      </c>
      <c r="I530">
        <f t="shared" si="12"/>
        <v>2223.7494808333336</v>
      </c>
      <c r="K530">
        <f>_xlfn.STDEV.S('R1'!L530,'R2'!L530,'R3'!L530)</f>
        <v>0.10736682202224364</v>
      </c>
      <c r="L530">
        <f>_xlfn.STDEV.S('R1'!M530,'R2'!M530,'R3'!M530)</f>
        <v>0.10446791139804584</v>
      </c>
      <c r="M530">
        <f>_xlfn.STDEV.S('R1'!N530,'R2'!N530,'R3'!N530)</f>
        <v>0.1825142062795008</v>
      </c>
      <c r="N530">
        <f>_xlfn.STDEV.S('R1'!O530,'R2'!O530,'R3'!O530)</f>
        <v>6.8919583826996922E-2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633-1505-404B-AFA1-30D578B7A5AC}">
  <dimension ref="A1:O530"/>
  <sheetViews>
    <sheetView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18.781487500000001</v>
      </c>
      <c r="B2">
        <v>-107.33135025</v>
      </c>
      <c r="C2">
        <v>-115.0878755</v>
      </c>
      <c r="D2">
        <v>51.635777249999997</v>
      </c>
      <c r="E2">
        <v>-55.274719500000003</v>
      </c>
      <c r="F2">
        <v>1.2667809999999999</v>
      </c>
      <c r="G2">
        <v>86.459598499999998</v>
      </c>
      <c r="H2">
        <v>-44</v>
      </c>
      <c r="I2">
        <v>-44</v>
      </c>
      <c r="J2">
        <v>1.18</v>
      </c>
      <c r="K2">
        <v>12.0164285</v>
      </c>
      <c r="L2">
        <v>2.393356494744368</v>
      </c>
      <c r="M2">
        <v>-2.842060928608571</v>
      </c>
      <c r="N2">
        <v>-2.5339983980925398</v>
      </c>
      <c r="O2">
        <v>-2.0108801713057152</v>
      </c>
    </row>
    <row r="3" spans="1:15" x14ac:dyDescent="0.25">
      <c r="A3">
        <v>19.187829499999999</v>
      </c>
      <c r="B3">
        <v>-103.30102525</v>
      </c>
      <c r="C3">
        <v>-111.52380574999999</v>
      </c>
      <c r="D3">
        <v>58.201524749999997</v>
      </c>
      <c r="E3">
        <v>-50.01046075</v>
      </c>
      <c r="F3">
        <v>1.2180569999999999</v>
      </c>
      <c r="G3">
        <v>87.300235750000013</v>
      </c>
      <c r="H3">
        <v>-44</v>
      </c>
      <c r="I3">
        <v>-40</v>
      </c>
      <c r="J3">
        <v>1.18</v>
      </c>
      <c r="K3">
        <v>12.078989999999999</v>
      </c>
      <c r="L3">
        <v>2.277137628870066</v>
      </c>
      <c r="M3">
        <v>-2.8135499029068942</v>
      </c>
      <c r="N3">
        <v>-2.392115414051077</v>
      </c>
      <c r="O3">
        <v>-1.8924532860469709</v>
      </c>
    </row>
    <row r="4" spans="1:15" x14ac:dyDescent="0.25">
      <c r="A4">
        <v>19.774750749999999</v>
      </c>
      <c r="B4">
        <v>-99.222722750000003</v>
      </c>
      <c r="C4">
        <v>-105.658878</v>
      </c>
      <c r="D4">
        <v>63.894678249999998</v>
      </c>
      <c r="E4">
        <v>-44.121629749999997</v>
      </c>
      <c r="F4">
        <v>1.2667984999999999</v>
      </c>
      <c r="G4">
        <v>87.900649999999999</v>
      </c>
      <c r="H4">
        <v>-44</v>
      </c>
      <c r="I4">
        <v>-36</v>
      </c>
      <c r="J4">
        <v>1.18</v>
      </c>
      <c r="K4">
        <v>12.1176315</v>
      </c>
      <c r="L4">
        <v>2.1508769662251281</v>
      </c>
      <c r="M4">
        <v>-2.7970685420738381</v>
      </c>
      <c r="N4">
        <v>-2.2639069419442208</v>
      </c>
      <c r="O4">
        <v>-1.7783199909130269</v>
      </c>
    </row>
    <row r="5" spans="1:15" x14ac:dyDescent="0.25">
      <c r="A5">
        <v>19.187830000000002</v>
      </c>
      <c r="B5">
        <v>-94.472694749999988</v>
      </c>
      <c r="C5">
        <v>-96.275001500000002</v>
      </c>
      <c r="D5">
        <v>69.986432750000006</v>
      </c>
      <c r="E5">
        <v>-37.474387</v>
      </c>
      <c r="F5">
        <v>1.36423725</v>
      </c>
      <c r="G5">
        <v>88.340959249999997</v>
      </c>
      <c r="H5">
        <v>-44</v>
      </c>
      <c r="I5">
        <v>-32</v>
      </c>
      <c r="J5">
        <v>1.18</v>
      </c>
      <c r="K5">
        <v>12.1415805</v>
      </c>
      <c r="L5">
        <v>1.9942123736434221</v>
      </c>
      <c r="M5">
        <v>-2.84043205633336</v>
      </c>
      <c r="N5">
        <v>-2.173013258154656</v>
      </c>
      <c r="O5">
        <v>-1.67079510338153</v>
      </c>
    </row>
    <row r="6" spans="1:15" x14ac:dyDescent="0.25">
      <c r="A6">
        <v>16.704698</v>
      </c>
      <c r="B6">
        <v>-91.353994499999999</v>
      </c>
      <c r="C6">
        <v>-87.658071500000005</v>
      </c>
      <c r="D6">
        <v>74.633606</v>
      </c>
      <c r="E6">
        <v>-33.994623249999997</v>
      </c>
      <c r="F6">
        <v>1.2668159999999999</v>
      </c>
      <c r="G6">
        <v>89.221584500000006</v>
      </c>
      <c r="H6">
        <v>-44</v>
      </c>
      <c r="I6">
        <v>-28</v>
      </c>
      <c r="J6">
        <v>1.18</v>
      </c>
      <c r="K6">
        <v>12.20966175</v>
      </c>
      <c r="L6">
        <v>1.880088989824902</v>
      </c>
      <c r="M6">
        <v>-2.9903416482174561</v>
      </c>
      <c r="N6">
        <v>-2.2198608167326852</v>
      </c>
      <c r="O6">
        <v>-1.6353088628225469</v>
      </c>
    </row>
    <row r="7" spans="1:15" x14ac:dyDescent="0.25">
      <c r="A7">
        <v>13.36375425</v>
      </c>
      <c r="B7">
        <v>-88.445672999999999</v>
      </c>
      <c r="C7">
        <v>-77.236550999999992</v>
      </c>
      <c r="D7">
        <v>78.541752000000002</v>
      </c>
      <c r="E7">
        <v>-30.2025705</v>
      </c>
      <c r="F7">
        <v>1.169368</v>
      </c>
      <c r="G7">
        <v>89.341667000000001</v>
      </c>
      <c r="H7">
        <v>-44</v>
      </c>
      <c r="I7">
        <v>-24</v>
      </c>
      <c r="J7">
        <v>1.18</v>
      </c>
      <c r="K7">
        <v>12.224753</v>
      </c>
      <c r="L7">
        <v>1.7211635265479921</v>
      </c>
      <c r="M7">
        <v>-3.172387191034725</v>
      </c>
      <c r="N7">
        <v>-2.2710692953239842</v>
      </c>
      <c r="O7">
        <v>-1.5959937872994741</v>
      </c>
    </row>
    <row r="8" spans="1:15" x14ac:dyDescent="0.25">
      <c r="A8">
        <v>9.8873785000000005</v>
      </c>
      <c r="B8">
        <v>-86.094198250000005</v>
      </c>
      <c r="C8">
        <v>-66.002964249999991</v>
      </c>
      <c r="D8">
        <v>82.172300500000006</v>
      </c>
      <c r="E8">
        <v>-26.053620250000002</v>
      </c>
      <c r="F8">
        <v>1.2181090000000001</v>
      </c>
      <c r="G8">
        <v>89.821999000000005</v>
      </c>
      <c r="H8">
        <v>-44</v>
      </c>
      <c r="I8">
        <v>-20</v>
      </c>
      <c r="J8">
        <v>1.18</v>
      </c>
      <c r="K8">
        <v>12.254633999999999</v>
      </c>
      <c r="L8">
        <v>1.5179561019223231</v>
      </c>
      <c r="M8">
        <v>-3.36570011193343</v>
      </c>
      <c r="N8">
        <v>-2.3177685165217841</v>
      </c>
      <c r="O8">
        <v>-1.545498798472045</v>
      </c>
    </row>
    <row r="9" spans="1:15" x14ac:dyDescent="0.25">
      <c r="A9">
        <v>5.1919952499999997</v>
      </c>
      <c r="B9">
        <v>-85.668228249999999</v>
      </c>
      <c r="C9">
        <v>-56.573970000000003</v>
      </c>
      <c r="D9">
        <v>85.331472250000004</v>
      </c>
      <c r="E9">
        <v>-23.689166</v>
      </c>
      <c r="F9">
        <v>1.3155570000000001</v>
      </c>
      <c r="G9">
        <v>90.742666249999999</v>
      </c>
      <c r="H9">
        <v>-44</v>
      </c>
      <c r="I9">
        <v>-16</v>
      </c>
      <c r="J9">
        <v>1.18</v>
      </c>
      <c r="K9">
        <v>12.31142975</v>
      </c>
      <c r="L9">
        <v>1.3022101079498301</v>
      </c>
      <c r="M9">
        <v>-3.6052583830798741</v>
      </c>
      <c r="N9">
        <v>-2.4126362548794691</v>
      </c>
      <c r="O9">
        <v>-1.5272087854640279</v>
      </c>
    </row>
    <row r="10" spans="1:15" x14ac:dyDescent="0.25">
      <c r="A10">
        <v>-1.2618925000000001</v>
      </c>
      <c r="B10">
        <v>-83.364545499999991</v>
      </c>
      <c r="C10">
        <v>-43.129755000000003</v>
      </c>
      <c r="D10">
        <v>86.996066999999996</v>
      </c>
      <c r="E10">
        <v>-20.432463500000001</v>
      </c>
      <c r="F10">
        <v>1.2668330000000001</v>
      </c>
      <c r="G10">
        <v>90.622619999999998</v>
      </c>
      <c r="H10">
        <v>-44</v>
      </c>
      <c r="I10">
        <v>-12</v>
      </c>
      <c r="J10">
        <v>1.18</v>
      </c>
      <c r="K10">
        <v>12.3065205</v>
      </c>
      <c r="L10">
        <v>0.97781458651651665</v>
      </c>
      <c r="M10">
        <v>-3.9797929440782438</v>
      </c>
      <c r="N10">
        <v>-2.594515005531703</v>
      </c>
      <c r="O10">
        <v>-1.5071191238557351</v>
      </c>
    </row>
    <row r="11" spans="1:15" x14ac:dyDescent="0.25">
      <c r="A11">
        <v>-8.3375039999999991</v>
      </c>
      <c r="B11">
        <v>-83.316552999999999</v>
      </c>
      <c r="C11">
        <v>-32.843580000000003</v>
      </c>
      <c r="D11">
        <v>88.573087749999999</v>
      </c>
      <c r="E11">
        <v>-18.871031250000001</v>
      </c>
      <c r="F11">
        <v>1.364298</v>
      </c>
      <c r="G11">
        <v>91.223064749999992</v>
      </c>
      <c r="H11">
        <v>-44</v>
      </c>
      <c r="I11">
        <v>-8</v>
      </c>
      <c r="J11">
        <v>1.18</v>
      </c>
      <c r="K11">
        <v>12.3411095</v>
      </c>
      <c r="L11">
        <v>0.62496711055253662</v>
      </c>
      <c r="M11">
        <v>-4.3841116023042366</v>
      </c>
      <c r="N11">
        <v>-2.8080306018095018</v>
      </c>
      <c r="O11">
        <v>-1.5161492797984659</v>
      </c>
    </row>
    <row r="12" spans="1:15" x14ac:dyDescent="0.25">
      <c r="A12">
        <v>-16.629941500000001</v>
      </c>
      <c r="B12">
        <v>-82.627384250000006</v>
      </c>
      <c r="C12">
        <v>-20.797926</v>
      </c>
      <c r="D12">
        <v>89.624403000000001</v>
      </c>
      <c r="E12">
        <v>-16.417350750000001</v>
      </c>
      <c r="F12">
        <v>1.36428075</v>
      </c>
      <c r="G12">
        <v>91.743423500000006</v>
      </c>
      <c r="H12">
        <v>-44</v>
      </c>
      <c r="I12">
        <v>-4</v>
      </c>
      <c r="J12">
        <v>1.18</v>
      </c>
      <c r="K12">
        <v>12.376792249999999</v>
      </c>
      <c r="L12">
        <v>0.1177861532261565</v>
      </c>
      <c r="M12">
        <v>-4.8813682546730739</v>
      </c>
      <c r="N12">
        <v>-3.065353046901437</v>
      </c>
      <c r="O12">
        <v>-1.5040798521128089</v>
      </c>
    </row>
    <row r="13" spans="1:15" x14ac:dyDescent="0.25">
      <c r="A13">
        <v>-25.282920000000001</v>
      </c>
      <c r="B13">
        <v>-82.723291500000002</v>
      </c>
      <c r="C13">
        <v>-10.601979999999999</v>
      </c>
      <c r="D13">
        <v>90.018642249999999</v>
      </c>
      <c r="E13">
        <v>-14.632856</v>
      </c>
      <c r="F13">
        <v>1.1693674999999999</v>
      </c>
      <c r="G13">
        <v>91.903625500000004</v>
      </c>
      <c r="H13">
        <v>-44</v>
      </c>
      <c r="I13">
        <v>0</v>
      </c>
      <c r="J13">
        <v>1.18</v>
      </c>
      <c r="K13">
        <v>12.4010835</v>
      </c>
      <c r="L13">
        <v>-0.3727760427223622</v>
      </c>
      <c r="M13">
        <v>-4.3886088589774008</v>
      </c>
      <c r="N13">
        <v>-2.7068713084624489</v>
      </c>
      <c r="O13">
        <v>-1.401729282092596</v>
      </c>
    </row>
    <row r="14" spans="1:15" x14ac:dyDescent="0.25">
      <c r="A14">
        <v>-36.549816</v>
      </c>
      <c r="B14">
        <v>-84.780729250000007</v>
      </c>
      <c r="C14">
        <v>-2.97757725</v>
      </c>
      <c r="D14">
        <v>89.974838500000004</v>
      </c>
      <c r="E14">
        <v>-16.328126749999999</v>
      </c>
      <c r="F14">
        <v>1.3642462500000001</v>
      </c>
      <c r="G14">
        <v>92.544128000000001</v>
      </c>
      <c r="H14">
        <v>-44</v>
      </c>
      <c r="I14">
        <v>4</v>
      </c>
      <c r="J14">
        <v>1.18</v>
      </c>
      <c r="K14">
        <v>12.43149975</v>
      </c>
      <c r="L14">
        <v>-0.75711182197310023</v>
      </c>
      <c r="M14">
        <v>-3.9424706555303248</v>
      </c>
      <c r="N14">
        <v>-2.456345622223739</v>
      </c>
      <c r="O14">
        <v>-1.3993648955222091</v>
      </c>
    </row>
    <row r="15" spans="1:15" x14ac:dyDescent="0.25">
      <c r="A15">
        <v>-46.6900245</v>
      </c>
      <c r="B15">
        <v>-84.504614000000004</v>
      </c>
      <c r="C15">
        <v>5.3754255000000004</v>
      </c>
      <c r="D15">
        <v>88.923656499999993</v>
      </c>
      <c r="E15">
        <v>-15.65894175</v>
      </c>
      <c r="F15">
        <v>1.3155049999999999</v>
      </c>
      <c r="G15">
        <v>92.704182000000003</v>
      </c>
      <c r="H15">
        <v>-44</v>
      </c>
      <c r="I15">
        <v>8</v>
      </c>
      <c r="J15">
        <v>1.18</v>
      </c>
      <c r="K15">
        <v>12.44572325</v>
      </c>
      <c r="L15">
        <v>-1.0426032088352779</v>
      </c>
      <c r="M15">
        <v>-3.4733959464950401</v>
      </c>
      <c r="N15">
        <v>-2.1704121301505102</v>
      </c>
      <c r="O15">
        <v>-1.3400935279515029</v>
      </c>
    </row>
    <row r="16" spans="1:15" x14ac:dyDescent="0.25">
      <c r="A16">
        <v>-58.182259500000001</v>
      </c>
      <c r="B16">
        <v>-85.758217000000002</v>
      </c>
      <c r="C16">
        <v>12.24151975</v>
      </c>
      <c r="D16">
        <v>88.047558000000009</v>
      </c>
      <c r="E16">
        <v>-17.131148249999999</v>
      </c>
      <c r="F16">
        <v>1.41296175</v>
      </c>
      <c r="G16">
        <v>93.024434749999998</v>
      </c>
      <c r="H16">
        <v>-44</v>
      </c>
      <c r="I16">
        <v>12</v>
      </c>
      <c r="J16">
        <v>1.18</v>
      </c>
      <c r="K16">
        <v>12.46088475</v>
      </c>
      <c r="L16">
        <v>-1.2842992758693359</v>
      </c>
      <c r="M16">
        <v>-3.169719686185041</v>
      </c>
      <c r="N16">
        <v>-2.0090579546434379</v>
      </c>
      <c r="O16">
        <v>-1.338348728903469</v>
      </c>
    </row>
    <row r="17" spans="1:15" x14ac:dyDescent="0.25">
      <c r="A17">
        <v>-68.637941250000011</v>
      </c>
      <c r="B17">
        <v>-87.527769000000006</v>
      </c>
      <c r="C17">
        <v>17.61693975</v>
      </c>
      <c r="D17">
        <v>86.558227500000001</v>
      </c>
      <c r="E17">
        <v>-19.361767749999999</v>
      </c>
      <c r="F17">
        <v>1.3642464999999999</v>
      </c>
      <c r="G17">
        <v>93.825019999999995</v>
      </c>
      <c r="H17">
        <v>-44</v>
      </c>
      <c r="I17">
        <v>16</v>
      </c>
      <c r="J17">
        <v>1.18</v>
      </c>
      <c r="K17">
        <v>12.518513499999999</v>
      </c>
      <c r="L17">
        <v>-1.468945854958684</v>
      </c>
      <c r="M17">
        <v>-2.9648383741238908</v>
      </c>
      <c r="N17">
        <v>-1.9277803225213921</v>
      </c>
      <c r="O17">
        <v>-1.35306455961269</v>
      </c>
    </row>
    <row r="18" spans="1:15" x14ac:dyDescent="0.25">
      <c r="A18">
        <v>-79.724567250000007</v>
      </c>
      <c r="B18">
        <v>-90.851520750000006</v>
      </c>
      <c r="C18">
        <v>21.456530000000001</v>
      </c>
      <c r="D18">
        <v>84.01757975000001</v>
      </c>
      <c r="E18">
        <v>-23.510717249999999</v>
      </c>
      <c r="F18">
        <v>1.36425525</v>
      </c>
      <c r="G18">
        <v>93.785034249999995</v>
      </c>
      <c r="H18">
        <v>-44</v>
      </c>
      <c r="I18">
        <v>20</v>
      </c>
      <c r="J18">
        <v>1.18</v>
      </c>
      <c r="K18">
        <v>12.515804749999999</v>
      </c>
      <c r="L18">
        <v>-1.637877402947493</v>
      </c>
      <c r="M18">
        <v>-2.8307371558515939</v>
      </c>
      <c r="N18">
        <v>-1.898808896052494</v>
      </c>
      <c r="O18">
        <v>-1.402694250553673</v>
      </c>
    </row>
    <row r="19" spans="1:15" x14ac:dyDescent="0.25">
      <c r="A19">
        <v>-91.081608000000003</v>
      </c>
      <c r="B19">
        <v>-95.6988585</v>
      </c>
      <c r="C19">
        <v>24.79923775</v>
      </c>
      <c r="D19">
        <v>79.637126749999993</v>
      </c>
      <c r="E19">
        <v>-29.756447999999999</v>
      </c>
      <c r="F19">
        <v>1.3642639999999999</v>
      </c>
      <c r="G19">
        <v>94.185337000000004</v>
      </c>
      <c r="H19">
        <v>-44</v>
      </c>
      <c r="I19">
        <v>24</v>
      </c>
      <c r="J19">
        <v>1.18</v>
      </c>
      <c r="K19">
        <v>12.5428795</v>
      </c>
      <c r="L19">
        <v>-1.821198244188059</v>
      </c>
      <c r="M19">
        <v>-2.7556240353827341</v>
      </c>
      <c r="N19">
        <v>-1.948019508490441</v>
      </c>
      <c r="O19">
        <v>-1.4892312148042759</v>
      </c>
    </row>
    <row r="20" spans="1:15" x14ac:dyDescent="0.25">
      <c r="A20">
        <v>-101.02169975</v>
      </c>
      <c r="B20">
        <v>-101.4777735</v>
      </c>
      <c r="C20">
        <v>27.374020999999999</v>
      </c>
      <c r="D20">
        <v>76.439397999999997</v>
      </c>
      <c r="E20">
        <v>-35.689892749999999</v>
      </c>
      <c r="F20">
        <v>1.4130037499999999</v>
      </c>
      <c r="G20">
        <v>95.065969249999995</v>
      </c>
      <c r="H20">
        <v>-44</v>
      </c>
      <c r="I20">
        <v>28</v>
      </c>
      <c r="J20">
        <v>1.18</v>
      </c>
      <c r="K20">
        <v>12.598960249999999</v>
      </c>
      <c r="L20">
        <v>-1.9584546264241831</v>
      </c>
      <c r="M20">
        <v>-2.7138155798023562</v>
      </c>
      <c r="N20">
        <v>-1.9944569564301331</v>
      </c>
      <c r="O20">
        <v>-1.5659457256223399</v>
      </c>
    </row>
    <row r="21" spans="1:15" x14ac:dyDescent="0.25">
      <c r="A21">
        <v>-109.99562825</v>
      </c>
      <c r="B21">
        <v>-107.09890525</v>
      </c>
      <c r="C21">
        <v>29.361597249999999</v>
      </c>
      <c r="D21">
        <v>71.620904999999993</v>
      </c>
      <c r="E21">
        <v>-43.273994250000001</v>
      </c>
      <c r="F21">
        <v>1.3642879999999999</v>
      </c>
      <c r="G21">
        <v>94.774802999999991</v>
      </c>
      <c r="H21">
        <v>-44</v>
      </c>
      <c r="I21">
        <v>32</v>
      </c>
      <c r="J21">
        <v>1.18</v>
      </c>
      <c r="K21">
        <v>12.58264325</v>
      </c>
      <c r="L21">
        <v>-2.1350318316797718</v>
      </c>
      <c r="M21">
        <v>-2.738101157854369</v>
      </c>
      <c r="N21">
        <v>-2.1150382790710198</v>
      </c>
      <c r="O21">
        <v>-1.6839144302955651</v>
      </c>
    </row>
    <row r="22" spans="1:15" x14ac:dyDescent="0.25">
      <c r="A22">
        <v>-118.151825</v>
      </c>
      <c r="B22">
        <v>-112.56116675</v>
      </c>
      <c r="C22">
        <v>30.355441500000001</v>
      </c>
      <c r="D22">
        <v>65.751054499999995</v>
      </c>
      <c r="E22">
        <v>-52.687205499999997</v>
      </c>
      <c r="F22">
        <v>1.3642879999999999</v>
      </c>
      <c r="G22">
        <v>95.295110749999992</v>
      </c>
      <c r="H22">
        <v>-44</v>
      </c>
      <c r="I22">
        <v>36</v>
      </c>
      <c r="J22">
        <v>1.18</v>
      </c>
      <c r="K22">
        <v>12.617637</v>
      </c>
      <c r="L22">
        <v>-2.3697750818103258</v>
      </c>
      <c r="M22">
        <v>-2.845296746625682</v>
      </c>
      <c r="N22">
        <v>-2.3613999872554841</v>
      </c>
      <c r="O22">
        <v>-1.8625000899541031</v>
      </c>
    </row>
    <row r="23" spans="1:15" x14ac:dyDescent="0.25">
      <c r="A23">
        <v>-124.86595525</v>
      </c>
      <c r="B23">
        <v>-119.08645249999999</v>
      </c>
      <c r="C23">
        <v>30.581277750000002</v>
      </c>
      <c r="D23">
        <v>59.662198250000003</v>
      </c>
      <c r="E23">
        <v>-62.948046499999997</v>
      </c>
      <c r="F23">
        <v>1.5104597500000001</v>
      </c>
      <c r="G23">
        <v>95.724281000000005</v>
      </c>
      <c r="H23">
        <v>-44</v>
      </c>
      <c r="I23">
        <v>40</v>
      </c>
      <c r="J23">
        <v>1.18</v>
      </c>
      <c r="K23">
        <v>12.63663</v>
      </c>
      <c r="L23">
        <v>-2.6335688152564911</v>
      </c>
      <c r="M23">
        <v>-3.028397352146845</v>
      </c>
      <c r="N23">
        <v>-2.6883675518229588</v>
      </c>
      <c r="O23">
        <v>-2.092125761785975</v>
      </c>
    </row>
    <row r="24" spans="1:15" x14ac:dyDescent="0.25">
      <c r="A24">
        <v>-126.84034925</v>
      </c>
      <c r="B24">
        <v>-121.9172725</v>
      </c>
      <c r="C24">
        <v>29.271317750000001</v>
      </c>
      <c r="D24">
        <v>53.310527749999999</v>
      </c>
      <c r="E24">
        <v>-71.4243965</v>
      </c>
      <c r="F24">
        <v>1.510464</v>
      </c>
      <c r="G24">
        <v>95.724281000000005</v>
      </c>
      <c r="H24">
        <v>-44</v>
      </c>
      <c r="I24">
        <v>44</v>
      </c>
      <c r="J24">
        <v>1.18</v>
      </c>
      <c r="K24">
        <v>12.636629750000001</v>
      </c>
      <c r="L24">
        <v>-2.948316432060841</v>
      </c>
      <c r="M24">
        <v>-3.309417922325999</v>
      </c>
      <c r="N24">
        <v>-3.1570120499143242</v>
      </c>
      <c r="O24">
        <v>-2.3774776210761162</v>
      </c>
    </row>
    <row r="25" spans="1:15" x14ac:dyDescent="0.25">
      <c r="A25">
        <v>33.001102500000002</v>
      </c>
      <c r="B25">
        <v>-119.23039025</v>
      </c>
      <c r="C25">
        <v>-125.96054650000001</v>
      </c>
      <c r="D25">
        <v>57.296813</v>
      </c>
      <c r="E25">
        <v>-49.252052249999998</v>
      </c>
      <c r="F25">
        <v>1.36429175</v>
      </c>
      <c r="G25">
        <v>96.621610750000002</v>
      </c>
      <c r="H25">
        <v>-40</v>
      </c>
      <c r="I25">
        <v>-44</v>
      </c>
      <c r="J25">
        <v>1.18</v>
      </c>
      <c r="K25">
        <v>12.70641775</v>
      </c>
      <c r="L25">
        <v>2.1674005387746158</v>
      </c>
      <c r="M25">
        <v>-2.406928237068136</v>
      </c>
      <c r="N25">
        <v>-1.9890075469904109</v>
      </c>
      <c r="O25">
        <v>-1.690158636133807</v>
      </c>
    </row>
    <row r="26" spans="1:15" x14ac:dyDescent="0.25">
      <c r="A26">
        <v>33.319312250000003</v>
      </c>
      <c r="B26">
        <v>-110.99328425</v>
      </c>
      <c r="C26">
        <v>-118.69705949999999</v>
      </c>
      <c r="D26">
        <v>64.086545749999999</v>
      </c>
      <c r="E26">
        <v>-41.221826499999999</v>
      </c>
      <c r="F26">
        <v>1.364279</v>
      </c>
      <c r="G26">
        <v>96.307037500000007</v>
      </c>
      <c r="H26">
        <v>-40</v>
      </c>
      <c r="I26">
        <v>-40</v>
      </c>
      <c r="J26">
        <v>1.18</v>
      </c>
      <c r="K26">
        <v>12.685421</v>
      </c>
      <c r="L26">
        <v>2.0648691813241049</v>
      </c>
      <c r="M26">
        <v>-2.3782056646695309</v>
      </c>
      <c r="N26">
        <v>-1.8681762947222891</v>
      </c>
      <c r="O26">
        <v>-1.578531898495469</v>
      </c>
    </row>
    <row r="27" spans="1:15" x14ac:dyDescent="0.25">
      <c r="A27">
        <v>34.086827999999997</v>
      </c>
      <c r="B27">
        <v>-105.19420825</v>
      </c>
      <c r="C27">
        <v>-111.47869300000001</v>
      </c>
      <c r="D27">
        <v>70.701146749999992</v>
      </c>
      <c r="E27">
        <v>-33.280824000000003</v>
      </c>
      <c r="F27">
        <v>1.51053825</v>
      </c>
      <c r="G27">
        <v>96.821745249999992</v>
      </c>
      <c r="H27">
        <v>-40</v>
      </c>
      <c r="I27">
        <v>-36</v>
      </c>
      <c r="J27">
        <v>1.18</v>
      </c>
      <c r="K27">
        <v>12.710009749999999</v>
      </c>
      <c r="L27">
        <v>1.939512323479553</v>
      </c>
      <c r="M27">
        <v>-2.3436553627704182</v>
      </c>
      <c r="N27">
        <v>-1.7335772967935601</v>
      </c>
      <c r="O27">
        <v>-1.463602147435241</v>
      </c>
    </row>
    <row r="28" spans="1:15" x14ac:dyDescent="0.25">
      <c r="A28">
        <v>32.912994249999997</v>
      </c>
      <c r="B28">
        <v>-95.685552749999999</v>
      </c>
      <c r="C28">
        <v>-97.493095499999995</v>
      </c>
      <c r="D28">
        <v>75.607330750000003</v>
      </c>
      <c r="E28">
        <v>-24.313739250000001</v>
      </c>
      <c r="F28">
        <v>1.2669760000000001</v>
      </c>
      <c r="G28">
        <v>95.106231750000006</v>
      </c>
      <c r="H28">
        <v>-40</v>
      </c>
      <c r="I28">
        <v>-32</v>
      </c>
      <c r="J28">
        <v>1.18</v>
      </c>
      <c r="K28">
        <v>12.61146025</v>
      </c>
      <c r="L28">
        <v>1.80428480339674</v>
      </c>
      <c r="M28">
        <v>-2.3700501810250101</v>
      </c>
      <c r="N28">
        <v>-1.6523304248405879</v>
      </c>
      <c r="O28">
        <v>-1.353946948129384</v>
      </c>
    </row>
    <row r="29" spans="1:15" x14ac:dyDescent="0.25">
      <c r="A29">
        <v>29.120585500000001</v>
      </c>
      <c r="B29">
        <v>-85.620235500000007</v>
      </c>
      <c r="C29">
        <v>-81.74803</v>
      </c>
      <c r="D29">
        <v>77.666162499999999</v>
      </c>
      <c r="E29">
        <v>-17.755721000000001</v>
      </c>
      <c r="F29">
        <v>1.120935</v>
      </c>
      <c r="G29">
        <v>91.103475500000002</v>
      </c>
      <c r="H29">
        <v>-40</v>
      </c>
      <c r="I29">
        <v>-28</v>
      </c>
      <c r="J29">
        <v>1.18</v>
      </c>
      <c r="K29">
        <v>12.349600000000001</v>
      </c>
      <c r="L29">
        <v>1.681648977196788</v>
      </c>
      <c r="M29">
        <v>-2.4767655411541138</v>
      </c>
      <c r="N29">
        <v>-1.651209344863739</v>
      </c>
      <c r="O29">
        <v>-1.286338000233447</v>
      </c>
    </row>
    <row r="30" spans="1:15" x14ac:dyDescent="0.25">
      <c r="A30">
        <v>26.32138175</v>
      </c>
      <c r="B30">
        <v>-77.072036749999995</v>
      </c>
      <c r="C30">
        <v>-67.266174500000005</v>
      </c>
      <c r="D30">
        <v>79.286960499999992</v>
      </c>
      <c r="E30">
        <v>-11.108479000000001</v>
      </c>
      <c r="F30">
        <v>1.0234589999999999</v>
      </c>
      <c r="G30">
        <v>88.381576749999994</v>
      </c>
      <c r="H30">
        <v>-40</v>
      </c>
      <c r="I30">
        <v>-24</v>
      </c>
      <c r="J30">
        <v>1.18</v>
      </c>
      <c r="K30">
        <v>12.16817925</v>
      </c>
      <c r="L30">
        <v>1.532696277995423</v>
      </c>
      <c r="M30">
        <v>-2.5607370558845388</v>
      </c>
      <c r="N30">
        <v>-1.6293732686631961</v>
      </c>
      <c r="O30">
        <v>-1.198689578450002</v>
      </c>
    </row>
    <row r="31" spans="1:15" x14ac:dyDescent="0.25">
      <c r="A31">
        <v>21.174508750000001</v>
      </c>
      <c r="B31">
        <v>-70.684423500000008</v>
      </c>
      <c r="C31">
        <v>-52.964785749999997</v>
      </c>
      <c r="D31">
        <v>79.155578750000004</v>
      </c>
      <c r="E31">
        <v>-6.8703042500000002</v>
      </c>
      <c r="F31">
        <v>0.97473849999999995</v>
      </c>
      <c r="G31">
        <v>84.819154999999995</v>
      </c>
      <c r="H31">
        <v>-40</v>
      </c>
      <c r="I31">
        <v>-20</v>
      </c>
      <c r="J31">
        <v>1.18</v>
      </c>
      <c r="K31">
        <v>11.92095175</v>
      </c>
      <c r="L31">
        <v>1.3490997244897589</v>
      </c>
      <c r="M31">
        <v>-2.7266462238296709</v>
      </c>
      <c r="N31">
        <v>-1.668479080784417</v>
      </c>
      <c r="O31">
        <v>-1.142747010519128</v>
      </c>
    </row>
    <row r="32" spans="1:15" x14ac:dyDescent="0.25">
      <c r="A32">
        <v>16.343664</v>
      </c>
      <c r="B32">
        <v>-68.088403749999998</v>
      </c>
      <c r="C32">
        <v>-41.731198499999998</v>
      </c>
      <c r="D32">
        <v>80.776346000000004</v>
      </c>
      <c r="E32">
        <v>-3.9258887499999999</v>
      </c>
      <c r="F32">
        <v>0.97474724999999995</v>
      </c>
      <c r="G32">
        <v>84.138698750000003</v>
      </c>
      <c r="H32">
        <v>-40</v>
      </c>
      <c r="I32">
        <v>-16</v>
      </c>
      <c r="J32">
        <v>1.18</v>
      </c>
      <c r="K32">
        <v>11.872481499999999</v>
      </c>
      <c r="L32">
        <v>1.13904675616576</v>
      </c>
      <c r="M32">
        <v>-2.919924490850788</v>
      </c>
      <c r="N32">
        <v>-1.727369340198269</v>
      </c>
      <c r="O32">
        <v>-1.0961364459722069</v>
      </c>
    </row>
    <row r="33" spans="1:15" x14ac:dyDescent="0.25">
      <c r="A33">
        <v>10.925859750000001</v>
      </c>
      <c r="B33">
        <v>-67.560571500000009</v>
      </c>
      <c r="C33">
        <v>-30.723184499999999</v>
      </c>
      <c r="D33">
        <v>83.448484750000006</v>
      </c>
      <c r="E33">
        <v>-0.98147300000000004</v>
      </c>
      <c r="F33">
        <v>0.97475599999999996</v>
      </c>
      <c r="G33">
        <v>85.339579000000001</v>
      </c>
      <c r="H33">
        <v>-40</v>
      </c>
      <c r="I33">
        <v>-12</v>
      </c>
      <c r="J33">
        <v>1.18</v>
      </c>
      <c r="K33">
        <v>11.957893500000001</v>
      </c>
      <c r="L33">
        <v>0.86478106708839031</v>
      </c>
      <c r="M33">
        <v>-3.1355562451865229</v>
      </c>
      <c r="N33">
        <v>-1.792380088834955</v>
      </c>
      <c r="O33">
        <v>-1.040607623106562</v>
      </c>
    </row>
    <row r="34" spans="1:15" x14ac:dyDescent="0.25">
      <c r="A34">
        <v>4.24395525</v>
      </c>
      <c r="B34">
        <v>-67.133419250000003</v>
      </c>
      <c r="C34">
        <v>-20.256549</v>
      </c>
      <c r="D34">
        <v>84.718900750000003</v>
      </c>
      <c r="E34">
        <v>0.67073524999999989</v>
      </c>
      <c r="F34">
        <v>0.97476399999999996</v>
      </c>
      <c r="G34">
        <v>85.739875999999995</v>
      </c>
      <c r="H34">
        <v>-40</v>
      </c>
      <c r="I34">
        <v>-8</v>
      </c>
      <c r="J34">
        <v>1.18</v>
      </c>
      <c r="K34">
        <v>11.9862275</v>
      </c>
      <c r="L34">
        <v>0.55216791306465818</v>
      </c>
      <c r="M34">
        <v>-3.4229579246189079</v>
      </c>
      <c r="N34">
        <v>-1.9176305504981701</v>
      </c>
      <c r="O34">
        <v>-1.006923679374806</v>
      </c>
    </row>
    <row r="35" spans="1:15" x14ac:dyDescent="0.25">
      <c r="A35">
        <v>-3.7846867500000001</v>
      </c>
      <c r="B35">
        <v>-67.042115999999993</v>
      </c>
      <c r="C35">
        <v>-9.2034212499999999</v>
      </c>
      <c r="D35">
        <v>85.682609499999998</v>
      </c>
      <c r="E35">
        <v>2.4593155000000002</v>
      </c>
      <c r="F35">
        <v>0.97477999999999998</v>
      </c>
      <c r="G35">
        <v>86.300269999999998</v>
      </c>
      <c r="H35">
        <v>-40</v>
      </c>
      <c r="I35">
        <v>-4</v>
      </c>
      <c r="J35">
        <v>1.18</v>
      </c>
      <c r="K35">
        <v>12.02578375</v>
      </c>
      <c r="L35">
        <v>0.1333905103913525</v>
      </c>
      <c r="M35">
        <v>-3.7636074257273679</v>
      </c>
      <c r="N35">
        <v>-2.066148264977282</v>
      </c>
      <c r="O35">
        <v>-0.96345976990077176</v>
      </c>
    </row>
    <row r="36" spans="1:15" x14ac:dyDescent="0.25">
      <c r="A36">
        <v>-13.021126499999999</v>
      </c>
      <c r="B36">
        <v>-67.142776499999997</v>
      </c>
      <c r="C36">
        <v>0.13570175000000001</v>
      </c>
      <c r="D36">
        <v>86.383521999999999</v>
      </c>
      <c r="E36">
        <v>2.9958757500000002</v>
      </c>
      <c r="F36">
        <v>1.02351825</v>
      </c>
      <c r="G36">
        <v>87.381078500000001</v>
      </c>
      <c r="H36">
        <v>-40</v>
      </c>
      <c r="I36">
        <v>0</v>
      </c>
      <c r="J36">
        <v>1.18</v>
      </c>
      <c r="K36">
        <v>12.09829025</v>
      </c>
      <c r="L36">
        <v>-0.30535604536380062</v>
      </c>
      <c r="M36">
        <v>-3.5643181020032619</v>
      </c>
      <c r="N36">
        <v>-1.959203562721697</v>
      </c>
      <c r="O36">
        <v>-0.95432268221424099</v>
      </c>
    </row>
    <row r="37" spans="1:15" x14ac:dyDescent="0.25">
      <c r="A37">
        <v>-22.663067999999999</v>
      </c>
      <c r="B37">
        <v>-68.285019000000005</v>
      </c>
      <c r="C37">
        <v>7.6792515000000003</v>
      </c>
      <c r="D37">
        <v>86.252134249999997</v>
      </c>
      <c r="E37">
        <v>2.7275892499999999</v>
      </c>
      <c r="F37">
        <v>1.1210027499999999</v>
      </c>
      <c r="G37">
        <v>87.421108000000004</v>
      </c>
      <c r="H37">
        <v>-40</v>
      </c>
      <c r="I37">
        <v>4</v>
      </c>
      <c r="J37">
        <v>1.18</v>
      </c>
      <c r="K37">
        <v>12.094268250000001</v>
      </c>
      <c r="L37">
        <v>-0.62947063350112031</v>
      </c>
      <c r="M37">
        <v>-3.2060949438498119</v>
      </c>
      <c r="N37">
        <v>-1.757102580605689</v>
      </c>
      <c r="O37">
        <v>-0.96663929614581279</v>
      </c>
    </row>
    <row r="38" spans="1:15" x14ac:dyDescent="0.25">
      <c r="A38">
        <v>-33.296238750000001</v>
      </c>
      <c r="B38">
        <v>-68.908949000000007</v>
      </c>
      <c r="C38">
        <v>15.629524999999999</v>
      </c>
      <c r="D38">
        <v>86.170004000000006</v>
      </c>
      <c r="E38">
        <v>2.5040079999999998</v>
      </c>
      <c r="F38">
        <v>1.0234747500000001</v>
      </c>
      <c r="G38">
        <v>88.061649250000002</v>
      </c>
      <c r="H38">
        <v>-40</v>
      </c>
      <c r="I38">
        <v>8</v>
      </c>
      <c r="J38">
        <v>1.18</v>
      </c>
      <c r="K38">
        <v>12.14587</v>
      </c>
      <c r="L38">
        <v>-0.91268542138559372</v>
      </c>
      <c r="M38">
        <v>-2.8929603259203902</v>
      </c>
      <c r="N38">
        <v>-1.5960764654391599</v>
      </c>
      <c r="O38">
        <v>-0.97240643703503826</v>
      </c>
    </row>
    <row r="39" spans="1:15" x14ac:dyDescent="0.25">
      <c r="A39">
        <v>-45.145916249999999</v>
      </c>
      <c r="B39">
        <v>-70.497341250000005</v>
      </c>
      <c r="C39">
        <v>22.2246275</v>
      </c>
      <c r="D39">
        <v>85.529281749999996</v>
      </c>
      <c r="E39">
        <v>0.26838400000000001</v>
      </c>
      <c r="F39">
        <v>1.02352625</v>
      </c>
      <c r="G39">
        <v>88.862244000000004</v>
      </c>
      <c r="H39">
        <v>-40</v>
      </c>
      <c r="I39">
        <v>12</v>
      </c>
      <c r="J39">
        <v>1.18</v>
      </c>
      <c r="K39">
        <v>12.20160475</v>
      </c>
      <c r="L39">
        <v>-1.159774362379687</v>
      </c>
      <c r="M39">
        <v>-2.6860294330364201</v>
      </c>
      <c r="N39">
        <v>-1.525217954916501</v>
      </c>
      <c r="O39">
        <v>-1.0130183668593891</v>
      </c>
    </row>
    <row r="40" spans="1:15" x14ac:dyDescent="0.25">
      <c r="A40">
        <v>-55.242022250000012</v>
      </c>
      <c r="B40">
        <v>-71.490255500000004</v>
      </c>
      <c r="C40">
        <v>27.7807955</v>
      </c>
      <c r="D40">
        <v>83.469917250000009</v>
      </c>
      <c r="E40">
        <v>-2.0521707500000002</v>
      </c>
      <c r="F40">
        <v>1.0721959999999999</v>
      </c>
      <c r="G40">
        <v>88.942299000000006</v>
      </c>
      <c r="H40">
        <v>-40</v>
      </c>
      <c r="I40">
        <v>16</v>
      </c>
      <c r="J40">
        <v>1.18</v>
      </c>
      <c r="K40">
        <v>12.203782500000001</v>
      </c>
      <c r="L40">
        <v>-1.3540587300849209</v>
      </c>
      <c r="M40">
        <v>-2.5273252325019042</v>
      </c>
      <c r="N40">
        <v>-1.484077126555795</v>
      </c>
      <c r="O40">
        <v>-1.0509562583110621</v>
      </c>
    </row>
    <row r="41" spans="1:15" x14ac:dyDescent="0.25">
      <c r="A41">
        <v>-66.785835249999991</v>
      </c>
      <c r="B41">
        <v>-75.136739750000004</v>
      </c>
      <c r="C41">
        <v>31.80110925</v>
      </c>
      <c r="D41">
        <v>81.060026000000008</v>
      </c>
      <c r="E41">
        <v>-6.7364677500000001</v>
      </c>
      <c r="F41">
        <v>1.0234574999999999</v>
      </c>
      <c r="G41">
        <v>89.662807749999999</v>
      </c>
      <c r="H41">
        <v>-40</v>
      </c>
      <c r="I41">
        <v>20</v>
      </c>
      <c r="J41">
        <v>1.18</v>
      </c>
      <c r="K41">
        <v>12.257085999999999</v>
      </c>
      <c r="L41">
        <v>-1.53504066681875</v>
      </c>
      <c r="M41">
        <v>-2.4320514528134369</v>
      </c>
      <c r="N41">
        <v>-1.5009899261038131</v>
      </c>
      <c r="O41">
        <v>-1.1208346261520159</v>
      </c>
    </row>
    <row r="42" spans="1:15" x14ac:dyDescent="0.25">
      <c r="A42">
        <v>-77.596338250000002</v>
      </c>
      <c r="B42">
        <v>-80.55848499999999</v>
      </c>
      <c r="C42">
        <v>36.0472775</v>
      </c>
      <c r="D42">
        <v>77.773837749999998</v>
      </c>
      <c r="E42">
        <v>-11.911502499999999</v>
      </c>
      <c r="F42">
        <v>1.1209690000000001</v>
      </c>
      <c r="G42">
        <v>90.023098000000005</v>
      </c>
      <c r="H42">
        <v>-40</v>
      </c>
      <c r="I42">
        <v>24</v>
      </c>
      <c r="J42">
        <v>1.18</v>
      </c>
      <c r="K42">
        <v>12.275240999999999</v>
      </c>
      <c r="L42">
        <v>-1.691939413521157</v>
      </c>
      <c r="M42">
        <v>-2.3573553778631768</v>
      </c>
      <c r="N42">
        <v>-1.517670884410169</v>
      </c>
      <c r="O42">
        <v>-1.1940019100330239</v>
      </c>
    </row>
    <row r="43" spans="1:15" x14ac:dyDescent="0.25">
      <c r="A43">
        <v>-88.642219499999996</v>
      </c>
      <c r="B43">
        <v>-88.289421000000004</v>
      </c>
      <c r="C43">
        <v>37.492783500000002</v>
      </c>
      <c r="D43">
        <v>73.39224225000001</v>
      </c>
      <c r="E43">
        <v>-20.6555255</v>
      </c>
      <c r="F43">
        <v>1.1209605</v>
      </c>
      <c r="G43">
        <v>90.383371499999996</v>
      </c>
      <c r="H43">
        <v>-40</v>
      </c>
      <c r="I43">
        <v>28</v>
      </c>
      <c r="J43">
        <v>1.18</v>
      </c>
      <c r="K43">
        <v>12.300089249999999</v>
      </c>
      <c r="L43">
        <v>-1.8601711625881261</v>
      </c>
      <c r="M43">
        <v>-2.3843769624497289</v>
      </c>
      <c r="N43">
        <v>-1.6375730983879559</v>
      </c>
      <c r="O43">
        <v>-1.321153610642559</v>
      </c>
    </row>
    <row r="44" spans="1:15" x14ac:dyDescent="0.25">
      <c r="A44">
        <v>-97.603696999999997</v>
      </c>
      <c r="B44">
        <v>-94.911170999999996</v>
      </c>
      <c r="C44">
        <v>40.338620249999998</v>
      </c>
      <c r="D44">
        <v>69.273514000000006</v>
      </c>
      <c r="E44">
        <v>-28.50730325</v>
      </c>
      <c r="F44">
        <v>1.02350125</v>
      </c>
      <c r="G44">
        <v>91.023842000000002</v>
      </c>
      <c r="H44">
        <v>-40</v>
      </c>
      <c r="I44">
        <v>32</v>
      </c>
      <c r="J44">
        <v>1.18</v>
      </c>
      <c r="K44">
        <v>12.3508265</v>
      </c>
      <c r="L44">
        <v>-2.036108165577426</v>
      </c>
      <c r="M44">
        <v>-2.4234283509149122</v>
      </c>
      <c r="N44">
        <v>-1.764358247301826</v>
      </c>
      <c r="O44">
        <v>-1.435891491845912</v>
      </c>
    </row>
    <row r="45" spans="1:15" x14ac:dyDescent="0.25">
      <c r="A45">
        <v>-106.08217999999999</v>
      </c>
      <c r="B45">
        <v>-102.44449625</v>
      </c>
      <c r="C45">
        <v>39.932082250000001</v>
      </c>
      <c r="D45">
        <v>63.521566499999999</v>
      </c>
      <c r="E45">
        <v>-39.169657000000001</v>
      </c>
      <c r="F45">
        <v>1.1697154999999999</v>
      </c>
      <c r="G45">
        <v>91.224077000000008</v>
      </c>
      <c r="H45">
        <v>-40</v>
      </c>
      <c r="I45">
        <v>36</v>
      </c>
      <c r="J45">
        <v>1.18</v>
      </c>
      <c r="K45">
        <v>12.354533</v>
      </c>
      <c r="L45">
        <v>-2.2431718677035319</v>
      </c>
      <c r="M45">
        <v>-2.549691791615444</v>
      </c>
      <c r="N45">
        <v>-2.003232904486469</v>
      </c>
      <c r="O45">
        <v>-1.6197574417821941</v>
      </c>
    </row>
    <row r="46" spans="1:15" x14ac:dyDescent="0.25">
      <c r="A46">
        <v>-113.75060275</v>
      </c>
      <c r="B46">
        <v>-109.5209485</v>
      </c>
      <c r="C46">
        <v>39.435201749999997</v>
      </c>
      <c r="D46">
        <v>57.216809249999997</v>
      </c>
      <c r="E46">
        <v>-50.501196749999998</v>
      </c>
      <c r="F46">
        <v>1.1697409999999999</v>
      </c>
      <c r="G46">
        <v>91.664324000000008</v>
      </c>
      <c r="H46">
        <v>-40</v>
      </c>
      <c r="I46">
        <v>40</v>
      </c>
      <c r="J46">
        <v>1.18</v>
      </c>
      <c r="K46">
        <v>12.38469325</v>
      </c>
      <c r="L46">
        <v>-2.5057967863712221</v>
      </c>
      <c r="M46">
        <v>-2.7274559159207161</v>
      </c>
      <c r="N46">
        <v>-2.325617610463214</v>
      </c>
      <c r="O46">
        <v>-1.845281854664786</v>
      </c>
    </row>
    <row r="47" spans="1:15" x14ac:dyDescent="0.25">
      <c r="A47">
        <v>-117.67148</v>
      </c>
      <c r="B47">
        <v>-115.08818650000001</v>
      </c>
      <c r="C47">
        <v>39.435221749999997</v>
      </c>
      <c r="D47">
        <v>50.682641750000002</v>
      </c>
      <c r="E47">
        <v>-61.29739</v>
      </c>
      <c r="F47">
        <v>1.1697360000000001</v>
      </c>
      <c r="G47">
        <v>92.505016250000011</v>
      </c>
      <c r="H47">
        <v>-40</v>
      </c>
      <c r="I47">
        <v>44</v>
      </c>
      <c r="J47">
        <v>1.18</v>
      </c>
      <c r="K47">
        <v>12.44208725</v>
      </c>
      <c r="L47">
        <v>-2.8522368548188011</v>
      </c>
      <c r="M47">
        <v>-3.0095667763092062</v>
      </c>
      <c r="N47">
        <v>-2.7922996884247722</v>
      </c>
      <c r="O47">
        <v>-2.1340359396208259</v>
      </c>
    </row>
    <row r="48" spans="1:15" x14ac:dyDescent="0.25">
      <c r="A48">
        <v>42.168633499999999</v>
      </c>
      <c r="B48">
        <v>-112.22531325</v>
      </c>
      <c r="C48">
        <v>-115.1781065</v>
      </c>
      <c r="D48">
        <v>53.617599499999997</v>
      </c>
      <c r="E48">
        <v>-35.779117499999998</v>
      </c>
      <c r="F48">
        <v>1.1697310000000001</v>
      </c>
      <c r="G48">
        <v>92.545105000000007</v>
      </c>
      <c r="H48">
        <v>-36</v>
      </c>
      <c r="I48">
        <v>-44</v>
      </c>
      <c r="J48">
        <v>1.18</v>
      </c>
      <c r="K48">
        <v>12.4448185</v>
      </c>
      <c r="L48">
        <v>2.019297243945616</v>
      </c>
      <c r="M48">
        <v>-2.1283489344256492</v>
      </c>
      <c r="N48">
        <v>-1.6468703498987101</v>
      </c>
      <c r="O48">
        <v>-1.474192040937423</v>
      </c>
    </row>
    <row r="49" spans="1:15" x14ac:dyDescent="0.25">
      <c r="A49">
        <v>43.523089249999998</v>
      </c>
      <c r="B49">
        <v>-105.124262</v>
      </c>
      <c r="C49">
        <v>-109.7192155</v>
      </c>
      <c r="D49">
        <v>60.84547225</v>
      </c>
      <c r="E49">
        <v>-27.347379750000002</v>
      </c>
      <c r="F49">
        <v>1.169726</v>
      </c>
      <c r="G49">
        <v>93.145557499999995</v>
      </c>
      <c r="H49">
        <v>-36</v>
      </c>
      <c r="I49">
        <v>-40</v>
      </c>
      <c r="J49">
        <v>1.18</v>
      </c>
      <c r="K49">
        <v>12.485640249999999</v>
      </c>
      <c r="L49">
        <v>1.913748217826998</v>
      </c>
      <c r="M49">
        <v>-2.072692516835239</v>
      </c>
      <c r="N49">
        <v>-1.5047611812939241</v>
      </c>
      <c r="O49">
        <v>-1.3561291988047059</v>
      </c>
    </row>
    <row r="50" spans="1:15" x14ac:dyDescent="0.25">
      <c r="A50">
        <v>44.742114999999998</v>
      </c>
      <c r="B50">
        <v>-95.596220000000002</v>
      </c>
      <c r="C50">
        <v>-99.0270005</v>
      </c>
      <c r="D50">
        <v>67.722928999999993</v>
      </c>
      <c r="E50">
        <v>-16.863474</v>
      </c>
      <c r="F50">
        <v>1.1209830000000001</v>
      </c>
      <c r="G50">
        <v>93.305698500000005</v>
      </c>
      <c r="H50">
        <v>-36</v>
      </c>
      <c r="I50">
        <v>-36</v>
      </c>
      <c r="J50">
        <v>1.18</v>
      </c>
      <c r="K50">
        <v>12.499808</v>
      </c>
      <c r="L50">
        <v>1.78711428568689</v>
      </c>
      <c r="M50">
        <v>-2.030130451687675</v>
      </c>
      <c r="N50">
        <v>-1.3694579851719451</v>
      </c>
      <c r="O50">
        <v>-1.2235595295930579</v>
      </c>
    </row>
    <row r="51" spans="1:15" x14ac:dyDescent="0.25">
      <c r="A51">
        <v>43.252252749999997</v>
      </c>
      <c r="B51">
        <v>-88.721305999999998</v>
      </c>
      <c r="C51">
        <v>-89.598005000000001</v>
      </c>
      <c r="D51">
        <v>73.987108250000006</v>
      </c>
      <c r="E51">
        <v>-10.483905249999999</v>
      </c>
      <c r="F51">
        <v>1.169713</v>
      </c>
      <c r="G51">
        <v>93.615093250000001</v>
      </c>
      <c r="H51">
        <v>-36</v>
      </c>
      <c r="I51">
        <v>-32</v>
      </c>
      <c r="J51">
        <v>1.18</v>
      </c>
      <c r="K51">
        <v>12.517470250000001</v>
      </c>
      <c r="L51">
        <v>1.688573371823074</v>
      </c>
      <c r="M51">
        <v>-2.0680999665937301</v>
      </c>
      <c r="N51">
        <v>-1.323144740354619</v>
      </c>
      <c r="O51">
        <v>-1.1481156439670579</v>
      </c>
    </row>
    <row r="52" spans="1:15" x14ac:dyDescent="0.25">
      <c r="A52">
        <v>41.942931250000001</v>
      </c>
      <c r="B52">
        <v>-79.38109399999999</v>
      </c>
      <c r="C52">
        <v>-76.018449500000003</v>
      </c>
      <c r="D52">
        <v>80.032207499999998</v>
      </c>
      <c r="E52">
        <v>-2.5429062500000001</v>
      </c>
      <c r="F52">
        <v>1.1697090000000001</v>
      </c>
      <c r="G52">
        <v>94.300950999999998</v>
      </c>
      <c r="H52">
        <v>-36</v>
      </c>
      <c r="I52">
        <v>-28</v>
      </c>
      <c r="J52">
        <v>1.18</v>
      </c>
      <c r="K52">
        <v>12.563819000000001</v>
      </c>
      <c r="L52">
        <v>1.569505755214756</v>
      </c>
      <c r="M52">
        <v>-2.1211436396871259</v>
      </c>
      <c r="N52">
        <v>-1.288599562505603</v>
      </c>
      <c r="O52">
        <v>-1.049372495901892</v>
      </c>
    </row>
    <row r="53" spans="1:15" x14ac:dyDescent="0.25">
      <c r="A53">
        <v>39.098611750000003</v>
      </c>
      <c r="B53">
        <v>-71.404163499999996</v>
      </c>
      <c r="C53">
        <v>-61.717053249999999</v>
      </c>
      <c r="D53">
        <v>84.588041500000003</v>
      </c>
      <c r="E53">
        <v>4.4267502500000004</v>
      </c>
      <c r="F53">
        <v>1.1209665</v>
      </c>
      <c r="G53">
        <v>94.169990250000012</v>
      </c>
      <c r="H53">
        <v>-36</v>
      </c>
      <c r="I53">
        <v>-24</v>
      </c>
      <c r="J53">
        <v>1.18</v>
      </c>
      <c r="K53">
        <v>12.558270500000001</v>
      </c>
      <c r="L53">
        <v>1.420204732670314</v>
      </c>
      <c r="M53">
        <v>-2.1975861881555949</v>
      </c>
      <c r="N53">
        <v>-1.2643274118538179</v>
      </c>
      <c r="O53">
        <v>-0.95349593071777772</v>
      </c>
    </row>
    <row r="54" spans="1:15" x14ac:dyDescent="0.25">
      <c r="A54">
        <v>35.622185500000001</v>
      </c>
      <c r="B54">
        <v>-67.128688999999994</v>
      </c>
      <c r="C54">
        <v>-49.761632749999997</v>
      </c>
      <c r="D54">
        <v>88.267721499999993</v>
      </c>
      <c r="E54">
        <v>9.7030905000000001</v>
      </c>
      <c r="F54">
        <v>1.1207352500000001</v>
      </c>
      <c r="G54">
        <v>94.575737000000004</v>
      </c>
      <c r="H54">
        <v>-36</v>
      </c>
      <c r="I54">
        <v>-20</v>
      </c>
      <c r="J54">
        <v>1.18</v>
      </c>
      <c r="K54">
        <v>12.5856365</v>
      </c>
      <c r="L54">
        <v>1.252929939946432</v>
      </c>
      <c r="M54">
        <v>-2.280324859898657</v>
      </c>
      <c r="N54">
        <v>-1.2454615442743571</v>
      </c>
      <c r="O54">
        <v>-0.87408450498193468</v>
      </c>
    </row>
    <row r="55" spans="1:15" x14ac:dyDescent="0.25">
      <c r="A55">
        <v>30.61073425</v>
      </c>
      <c r="B55">
        <v>-64.437193249999993</v>
      </c>
      <c r="C55">
        <v>-36.723454500000003</v>
      </c>
      <c r="D55">
        <v>91.59694300000001</v>
      </c>
      <c r="E55">
        <v>13.86156725</v>
      </c>
      <c r="F55">
        <v>1.2668275</v>
      </c>
      <c r="G55">
        <v>95.261682249999993</v>
      </c>
      <c r="H55">
        <v>-36</v>
      </c>
      <c r="I55">
        <v>-16</v>
      </c>
      <c r="J55">
        <v>1.18</v>
      </c>
      <c r="K55">
        <v>12.62193375</v>
      </c>
      <c r="L55">
        <v>1.0448653577301059</v>
      </c>
      <c r="M55">
        <v>-2.4213633024861911</v>
      </c>
      <c r="N55">
        <v>-1.263209504212266</v>
      </c>
      <c r="O55">
        <v>-0.80456570958301055</v>
      </c>
    </row>
    <row r="56" spans="1:15" x14ac:dyDescent="0.25">
      <c r="A56">
        <v>23.793301249999999</v>
      </c>
      <c r="B56">
        <v>-62.853853000000001</v>
      </c>
      <c r="C56">
        <v>-24.046192999999999</v>
      </c>
      <c r="D56">
        <v>93.086362750000006</v>
      </c>
      <c r="E56">
        <v>16.589188249999999</v>
      </c>
      <c r="F56">
        <v>1.0719289999999999</v>
      </c>
      <c r="G56">
        <v>95.107125999999994</v>
      </c>
      <c r="H56">
        <v>-36</v>
      </c>
      <c r="I56">
        <v>-12</v>
      </c>
      <c r="J56">
        <v>1.18</v>
      </c>
      <c r="K56">
        <v>12.624639500000001</v>
      </c>
      <c r="L56">
        <v>0.79679886775982545</v>
      </c>
      <c r="M56">
        <v>-2.5975773399560702</v>
      </c>
      <c r="N56">
        <v>-1.308009271310564</v>
      </c>
      <c r="O56">
        <v>-0.74163166213410603</v>
      </c>
    </row>
    <row r="57" spans="1:15" x14ac:dyDescent="0.25">
      <c r="A57">
        <v>16.388941750000001</v>
      </c>
      <c r="B57">
        <v>-62.565971249999997</v>
      </c>
      <c r="C57">
        <v>-12.090769249999999</v>
      </c>
      <c r="D57">
        <v>94.707142000000005</v>
      </c>
      <c r="E57">
        <v>18.69079425</v>
      </c>
      <c r="F57">
        <v>1.169395</v>
      </c>
      <c r="G57">
        <v>95.547441499999991</v>
      </c>
      <c r="H57">
        <v>-36</v>
      </c>
      <c r="I57">
        <v>-8</v>
      </c>
      <c r="J57">
        <v>1.18</v>
      </c>
      <c r="K57">
        <v>12.647639249999999</v>
      </c>
      <c r="L57">
        <v>0.5083754156452035</v>
      </c>
      <c r="M57">
        <v>-2.8074936631586351</v>
      </c>
      <c r="N57">
        <v>-1.3719734544175619</v>
      </c>
      <c r="O57">
        <v>-0.68721442090255191</v>
      </c>
    </row>
    <row r="58" spans="1:15" x14ac:dyDescent="0.25">
      <c r="A58">
        <v>7.8558597499999996</v>
      </c>
      <c r="B58">
        <v>-61.654350000000001</v>
      </c>
      <c r="C58">
        <v>0.13576225</v>
      </c>
      <c r="D58">
        <v>95.320457500000003</v>
      </c>
      <c r="E58">
        <v>21.06072275</v>
      </c>
      <c r="F58">
        <v>1.2181277500000001</v>
      </c>
      <c r="G58">
        <v>95.907757000000004</v>
      </c>
      <c r="H58">
        <v>-36</v>
      </c>
      <c r="I58">
        <v>-4</v>
      </c>
      <c r="J58">
        <v>1.18</v>
      </c>
      <c r="K58">
        <v>12.668498749999999</v>
      </c>
      <c r="L58">
        <v>0.1487661265149669</v>
      </c>
      <c r="M58">
        <v>-3.029532379188693</v>
      </c>
      <c r="N58">
        <v>-1.4445688292144909</v>
      </c>
      <c r="O58">
        <v>-0.61710407444493165</v>
      </c>
    </row>
    <row r="59" spans="1:15" x14ac:dyDescent="0.25">
      <c r="A59">
        <v>-1.0363067500000001</v>
      </c>
      <c r="B59">
        <v>-60.310908249999997</v>
      </c>
      <c r="C59">
        <v>10.976886500000001</v>
      </c>
      <c r="D59">
        <v>95.364303750000005</v>
      </c>
      <c r="E59">
        <v>23.117607750000001</v>
      </c>
      <c r="F59">
        <v>1.2181277500000001</v>
      </c>
      <c r="G59">
        <v>95.947851499999999</v>
      </c>
      <c r="H59">
        <v>-36</v>
      </c>
      <c r="I59">
        <v>0</v>
      </c>
      <c r="J59">
        <v>1.18</v>
      </c>
      <c r="K59">
        <v>12.67117925</v>
      </c>
      <c r="L59">
        <v>-0.2233523958446563</v>
      </c>
      <c r="M59">
        <v>-2.894081157565747</v>
      </c>
      <c r="N59">
        <v>-1.3539706677382219</v>
      </c>
      <c r="O59">
        <v>-0.5928876626015982</v>
      </c>
    </row>
    <row r="60" spans="1:15" x14ac:dyDescent="0.25">
      <c r="A60">
        <v>-13.021964000000001</v>
      </c>
      <c r="B60">
        <v>-62.230109249999998</v>
      </c>
      <c r="C60">
        <v>19.740320749999999</v>
      </c>
      <c r="D60">
        <v>95.670976749999994</v>
      </c>
      <c r="E60">
        <v>21.731445000000001</v>
      </c>
      <c r="F60">
        <v>1.2668517500000001</v>
      </c>
      <c r="G60">
        <v>96.588338999999991</v>
      </c>
      <c r="H60">
        <v>-36</v>
      </c>
      <c r="I60">
        <v>4</v>
      </c>
      <c r="J60">
        <v>1.18</v>
      </c>
      <c r="K60">
        <v>12.710694</v>
      </c>
      <c r="L60">
        <v>-0.55193020825470973</v>
      </c>
      <c r="M60">
        <v>-2.6601915564599969</v>
      </c>
      <c r="N60">
        <v>-1.2611145520789611</v>
      </c>
      <c r="O60">
        <v>-0.65522225200779383</v>
      </c>
    </row>
    <row r="61" spans="1:15" x14ac:dyDescent="0.25">
      <c r="A61">
        <v>-23.293850500000001</v>
      </c>
      <c r="B61">
        <v>-59.879089</v>
      </c>
      <c r="C61">
        <v>27.329284250000001</v>
      </c>
      <c r="D61">
        <v>91.772325749999993</v>
      </c>
      <c r="E61">
        <v>20.524143250000002</v>
      </c>
      <c r="F61">
        <v>1.169403</v>
      </c>
      <c r="G61">
        <v>93.506192999999996</v>
      </c>
      <c r="H61">
        <v>-36</v>
      </c>
      <c r="I61">
        <v>8</v>
      </c>
      <c r="J61">
        <v>1.18</v>
      </c>
      <c r="K61">
        <v>12.51010775</v>
      </c>
      <c r="L61">
        <v>-0.81508177076607613</v>
      </c>
      <c r="M61">
        <v>-2.4417418529714068</v>
      </c>
      <c r="N61">
        <v>-1.175145292291357</v>
      </c>
      <c r="O61">
        <v>-0.68844912424970905</v>
      </c>
    </row>
    <row r="62" spans="1:15" x14ac:dyDescent="0.25">
      <c r="A62">
        <v>-33.972077499999997</v>
      </c>
      <c r="B62">
        <v>-57.911907249999999</v>
      </c>
      <c r="C62">
        <v>33.56307675</v>
      </c>
      <c r="D62">
        <v>87.260421750000006</v>
      </c>
      <c r="E62">
        <v>17.975385750000001</v>
      </c>
      <c r="F62">
        <v>1.02321975</v>
      </c>
      <c r="G62">
        <v>90.263923500000004</v>
      </c>
      <c r="H62">
        <v>-36</v>
      </c>
      <c r="I62">
        <v>12</v>
      </c>
      <c r="J62">
        <v>1.18</v>
      </c>
      <c r="K62">
        <v>12.298593500000001</v>
      </c>
      <c r="L62">
        <v>-1.0566006767134299</v>
      </c>
      <c r="M62">
        <v>-2.2713366681602749</v>
      </c>
      <c r="N62">
        <v>-1.1310572944034969</v>
      </c>
      <c r="O62">
        <v>-0.73478710793881719</v>
      </c>
    </row>
    <row r="63" spans="1:15" x14ac:dyDescent="0.25">
      <c r="A63">
        <v>-43.568962999999997</v>
      </c>
      <c r="B63">
        <v>-57.096246499999999</v>
      </c>
      <c r="C63">
        <v>37.628597999999997</v>
      </c>
      <c r="D63">
        <v>82.704696499999997</v>
      </c>
      <c r="E63">
        <v>14.04048425</v>
      </c>
      <c r="F63">
        <v>1.0719527499999999</v>
      </c>
      <c r="G63">
        <v>87.662113000000005</v>
      </c>
      <c r="H63">
        <v>-36</v>
      </c>
      <c r="I63">
        <v>16</v>
      </c>
      <c r="J63">
        <v>1.18</v>
      </c>
      <c r="K63">
        <v>12.114573999999999</v>
      </c>
      <c r="L63">
        <v>-1.2613852955334119</v>
      </c>
      <c r="M63">
        <v>-2.1717686445386382</v>
      </c>
      <c r="N63">
        <v>-1.1437284005959441</v>
      </c>
      <c r="O63">
        <v>-0.79856750072955529</v>
      </c>
    </row>
    <row r="64" spans="1:15" x14ac:dyDescent="0.25">
      <c r="A64">
        <v>-52.129565249999999</v>
      </c>
      <c r="B64">
        <v>-57.767965250000003</v>
      </c>
      <c r="C64">
        <v>40.429284000000003</v>
      </c>
      <c r="D64">
        <v>76.221506000000005</v>
      </c>
      <c r="E64">
        <v>8.5852444999999999</v>
      </c>
      <c r="F64">
        <v>0.92578649999999996</v>
      </c>
      <c r="G64">
        <v>83.939567750000009</v>
      </c>
      <c r="H64">
        <v>-36</v>
      </c>
      <c r="I64">
        <v>20</v>
      </c>
      <c r="J64">
        <v>1.18</v>
      </c>
      <c r="K64">
        <v>11.861751249999999</v>
      </c>
      <c r="L64">
        <v>-1.4568893053329419</v>
      </c>
      <c r="M64">
        <v>-2.109050687838304</v>
      </c>
      <c r="N64">
        <v>-1.1861863275846349</v>
      </c>
      <c r="O64">
        <v>-0.87950439922717782</v>
      </c>
    </row>
    <row r="65" spans="1:15" x14ac:dyDescent="0.25">
      <c r="A65">
        <v>-62.4923985</v>
      </c>
      <c r="B65">
        <v>-64.437190999999999</v>
      </c>
      <c r="C65">
        <v>42.507258999999998</v>
      </c>
      <c r="D65">
        <v>72.147581000000002</v>
      </c>
      <c r="E65">
        <v>1.2072784999999999</v>
      </c>
      <c r="F65">
        <v>0.92580324999999997</v>
      </c>
      <c r="G65">
        <v>83.539255249999997</v>
      </c>
      <c r="H65">
        <v>-36</v>
      </c>
      <c r="I65">
        <v>24</v>
      </c>
      <c r="J65">
        <v>1.18</v>
      </c>
      <c r="K65">
        <v>11.83311325</v>
      </c>
      <c r="L65">
        <v>-1.6235824325953381</v>
      </c>
      <c r="M65">
        <v>-2.111977331472116</v>
      </c>
      <c r="N65">
        <v>-1.2730877424736251</v>
      </c>
      <c r="O65">
        <v>-0.9956481030378016</v>
      </c>
    </row>
    <row r="66" spans="1:15" x14ac:dyDescent="0.25">
      <c r="A66">
        <v>-72.900293250000004</v>
      </c>
      <c r="B66">
        <v>-72.838741499999998</v>
      </c>
      <c r="C66">
        <v>45.669327000000003</v>
      </c>
      <c r="D66">
        <v>69.309154500000005</v>
      </c>
      <c r="E66">
        <v>-6.3795702500000004</v>
      </c>
      <c r="F66">
        <v>0.97449300000000005</v>
      </c>
      <c r="G66">
        <v>85.220508499999994</v>
      </c>
      <c r="H66">
        <v>-36</v>
      </c>
      <c r="I66">
        <v>28</v>
      </c>
      <c r="J66">
        <v>1.18</v>
      </c>
      <c r="K66">
        <v>11.949470249999999</v>
      </c>
      <c r="L66">
        <v>-1.7833283495959931</v>
      </c>
      <c r="M66">
        <v>-2.137964171636956</v>
      </c>
      <c r="N66">
        <v>-1.377768949681869</v>
      </c>
      <c r="O66">
        <v>-1.110653424157015</v>
      </c>
    </row>
    <row r="67" spans="1:15" x14ac:dyDescent="0.25">
      <c r="A67">
        <v>-82.902679500000005</v>
      </c>
      <c r="B67">
        <v>-81.481426499999998</v>
      </c>
      <c r="C67">
        <v>46.79865375</v>
      </c>
      <c r="D67">
        <v>64.756887500000005</v>
      </c>
      <c r="E67">
        <v>-16.105065750000001</v>
      </c>
      <c r="F67">
        <v>0.97447550000000005</v>
      </c>
      <c r="G67">
        <v>85.78090825000001</v>
      </c>
      <c r="H67">
        <v>-36</v>
      </c>
      <c r="I67">
        <v>32</v>
      </c>
      <c r="J67">
        <v>1.18</v>
      </c>
      <c r="K67">
        <v>11.989149250000001</v>
      </c>
      <c r="L67">
        <v>-1.962642599724769</v>
      </c>
      <c r="M67">
        <v>-2.212863886271681</v>
      </c>
      <c r="N67">
        <v>-1.5417648565126649</v>
      </c>
      <c r="O67">
        <v>-1.258491220924103</v>
      </c>
    </row>
    <row r="68" spans="1:15" x14ac:dyDescent="0.25">
      <c r="A68">
        <v>-92.860011749999998</v>
      </c>
      <c r="B68">
        <v>-90.995502500000001</v>
      </c>
      <c r="C68">
        <v>47.792485249999999</v>
      </c>
      <c r="D68">
        <v>59.45538225</v>
      </c>
      <c r="E68">
        <v>-27.525830500000001</v>
      </c>
      <c r="F68">
        <v>0.97445800000000005</v>
      </c>
      <c r="G68">
        <v>86.821655249999992</v>
      </c>
      <c r="H68">
        <v>-36</v>
      </c>
      <c r="I68">
        <v>36</v>
      </c>
      <c r="J68">
        <v>1.18</v>
      </c>
      <c r="K68">
        <v>12.0624915</v>
      </c>
      <c r="L68">
        <v>-2.1839951864442448</v>
      </c>
      <c r="M68">
        <v>-2.3361467440907191</v>
      </c>
      <c r="N68">
        <v>-1.7755667602829091</v>
      </c>
      <c r="O68">
        <v>-1.44255176728632</v>
      </c>
    </row>
    <row r="69" spans="1:15" x14ac:dyDescent="0.25">
      <c r="A69">
        <v>-100.925005</v>
      </c>
      <c r="B69">
        <v>-99.764415749999998</v>
      </c>
      <c r="C69">
        <v>47.250433000000001</v>
      </c>
      <c r="D69">
        <v>53.018209749999997</v>
      </c>
      <c r="E69">
        <v>-39.928067249999998</v>
      </c>
      <c r="F69">
        <v>0.97445800000000005</v>
      </c>
      <c r="G69">
        <v>87.422089</v>
      </c>
      <c r="H69">
        <v>-36</v>
      </c>
      <c r="I69">
        <v>40</v>
      </c>
      <c r="J69">
        <v>1.18</v>
      </c>
      <c r="K69">
        <v>12.104602999999999</v>
      </c>
      <c r="L69">
        <v>-2.4525652456406069</v>
      </c>
      <c r="M69">
        <v>-2.52882581345844</v>
      </c>
      <c r="N69">
        <v>-2.1078841946254139</v>
      </c>
      <c r="O69">
        <v>-1.677019709382455</v>
      </c>
    </row>
    <row r="70" spans="1:15" x14ac:dyDescent="0.25">
      <c r="A70">
        <v>-106.51192275</v>
      </c>
      <c r="B70">
        <v>-107.00289325</v>
      </c>
      <c r="C70">
        <v>45.895260749999998</v>
      </c>
      <c r="D70">
        <v>47.015359750000002</v>
      </c>
      <c r="E70">
        <v>-51.616507499999997</v>
      </c>
      <c r="F70">
        <v>1.0719162499999999</v>
      </c>
      <c r="G70">
        <v>87.902495999999999</v>
      </c>
      <c r="H70">
        <v>-36</v>
      </c>
      <c r="I70">
        <v>44</v>
      </c>
      <c r="J70">
        <v>1.18</v>
      </c>
      <c r="K70">
        <v>12.131381749999999</v>
      </c>
      <c r="L70">
        <v>-2.764013074841412</v>
      </c>
      <c r="M70">
        <v>-2.793224449826619</v>
      </c>
      <c r="N70">
        <v>-2.530332436749104</v>
      </c>
      <c r="O70">
        <v>-1.955570111599676</v>
      </c>
    </row>
    <row r="71" spans="1:15" x14ac:dyDescent="0.25">
      <c r="A71">
        <v>50.024884249999999</v>
      </c>
      <c r="B71">
        <v>-105.41213999999999</v>
      </c>
      <c r="C71">
        <v>-104.52423075</v>
      </c>
      <c r="D71">
        <v>49.206215999999998</v>
      </c>
      <c r="E71">
        <v>-25.339824749999998</v>
      </c>
      <c r="F71">
        <v>1.0232177499999999</v>
      </c>
      <c r="G71">
        <v>89.023353999999998</v>
      </c>
      <c r="H71">
        <v>-32</v>
      </c>
      <c r="I71">
        <v>-44</v>
      </c>
      <c r="J71">
        <v>1.18</v>
      </c>
      <c r="K71">
        <v>12.212809999999999</v>
      </c>
      <c r="L71">
        <v>1.940908066432568</v>
      </c>
      <c r="M71">
        <v>-1.94179099211178</v>
      </c>
      <c r="N71">
        <v>-1.4362763962481959</v>
      </c>
      <c r="O71">
        <v>-1.3310884728939409</v>
      </c>
    </row>
    <row r="72" spans="1:15" x14ac:dyDescent="0.25">
      <c r="A72">
        <v>51.469676999999997</v>
      </c>
      <c r="B72">
        <v>-95.096435499999998</v>
      </c>
      <c r="C72">
        <v>-96.094541500000005</v>
      </c>
      <c r="D72">
        <v>56.698893249999998</v>
      </c>
      <c r="E72">
        <v>-14.3205695</v>
      </c>
      <c r="F72">
        <v>1.071968</v>
      </c>
      <c r="G72">
        <v>88.823207499999995</v>
      </c>
      <c r="H72">
        <v>-32</v>
      </c>
      <c r="I72">
        <v>-40</v>
      </c>
      <c r="J72">
        <v>1.18</v>
      </c>
      <c r="K72">
        <v>12.195524000000001</v>
      </c>
      <c r="L72">
        <v>1.8156217800857219</v>
      </c>
      <c r="M72">
        <v>-1.8676829907385111</v>
      </c>
      <c r="N72">
        <v>-1.2690780358576199</v>
      </c>
      <c r="O72">
        <v>-1.1893887589382139</v>
      </c>
    </row>
    <row r="73" spans="1:15" x14ac:dyDescent="0.25">
      <c r="A73">
        <v>51.785722749999998</v>
      </c>
      <c r="B73">
        <v>-85.260528749999992</v>
      </c>
      <c r="C73">
        <v>-86.259510000000006</v>
      </c>
      <c r="D73">
        <v>63.315220750000002</v>
      </c>
      <c r="E73">
        <v>-4.7735240000000001</v>
      </c>
      <c r="F73">
        <v>1.0232347500000001</v>
      </c>
      <c r="G73">
        <v>89.183494499999995</v>
      </c>
      <c r="H73">
        <v>-32</v>
      </c>
      <c r="I73">
        <v>-36</v>
      </c>
      <c r="J73">
        <v>1.18</v>
      </c>
      <c r="K73">
        <v>12.22391625</v>
      </c>
      <c r="L73">
        <v>1.704564527760597</v>
      </c>
      <c r="M73">
        <v>-1.834592079055158</v>
      </c>
      <c r="N73">
        <v>-1.1601914678070919</v>
      </c>
      <c r="O73">
        <v>-1.0715900386073789</v>
      </c>
    </row>
    <row r="74" spans="1:15" x14ac:dyDescent="0.25">
      <c r="A74">
        <v>51.695445999999997</v>
      </c>
      <c r="B74">
        <v>-74.704915999999997</v>
      </c>
      <c r="C74">
        <v>-73.988284999999991</v>
      </c>
      <c r="D74">
        <v>70.063028250000002</v>
      </c>
      <c r="E74">
        <v>4.4268014999999998</v>
      </c>
      <c r="F74">
        <v>1.1206927499999999</v>
      </c>
      <c r="G74">
        <v>89.783988999999991</v>
      </c>
      <c r="H74">
        <v>-32</v>
      </c>
      <c r="I74">
        <v>-32</v>
      </c>
      <c r="J74">
        <v>1.18</v>
      </c>
      <c r="K74">
        <v>12.258739500000001</v>
      </c>
      <c r="L74">
        <v>1.595520372486479</v>
      </c>
      <c r="M74">
        <v>-1.8377913722716279</v>
      </c>
      <c r="N74">
        <v>-1.083597679992077</v>
      </c>
      <c r="O74">
        <v>-0.95804309103433816</v>
      </c>
    </row>
    <row r="75" spans="1:15" x14ac:dyDescent="0.25">
      <c r="A75">
        <v>50.295816250000001</v>
      </c>
      <c r="B75">
        <v>-64.869010750000001</v>
      </c>
      <c r="C75">
        <v>-61.17568</v>
      </c>
      <c r="D75">
        <v>75.364858749999996</v>
      </c>
      <c r="E75">
        <v>12.430831</v>
      </c>
      <c r="F75">
        <v>1.0232985000000001</v>
      </c>
      <c r="G75">
        <v>89.824050999999997</v>
      </c>
      <c r="H75">
        <v>-32</v>
      </c>
      <c r="I75">
        <v>-28</v>
      </c>
      <c r="J75">
        <v>1.18</v>
      </c>
      <c r="K75">
        <v>12.268236249999999</v>
      </c>
      <c r="L75">
        <v>1.477356603791278</v>
      </c>
      <c r="M75">
        <v>-1.8585706696762141</v>
      </c>
      <c r="N75">
        <v>-1.025722770617655</v>
      </c>
      <c r="O75">
        <v>-0.8488159212712838</v>
      </c>
    </row>
    <row r="76" spans="1:15" x14ac:dyDescent="0.25">
      <c r="A76">
        <v>48.580170750000001</v>
      </c>
      <c r="B76">
        <v>-56.664423999999997</v>
      </c>
      <c r="C76">
        <v>-48.4984185</v>
      </c>
      <c r="D76">
        <v>80.140970249999995</v>
      </c>
      <c r="E76">
        <v>20.0771415</v>
      </c>
      <c r="F76">
        <v>1.0719765000000001</v>
      </c>
      <c r="G76">
        <v>90.464557750000012</v>
      </c>
      <c r="H76">
        <v>-32</v>
      </c>
      <c r="I76">
        <v>-24</v>
      </c>
      <c r="J76">
        <v>1.18</v>
      </c>
      <c r="K76">
        <v>12.30905375</v>
      </c>
      <c r="L76">
        <v>1.3360294098708849</v>
      </c>
      <c r="M76">
        <v>-1.882882366036787</v>
      </c>
      <c r="N76">
        <v>-0.96875549408045358</v>
      </c>
      <c r="O76">
        <v>-0.73838117674280646</v>
      </c>
    </row>
    <row r="77" spans="1:15" x14ac:dyDescent="0.25">
      <c r="A77">
        <v>44.607092999999999</v>
      </c>
      <c r="B77">
        <v>-51.626523249999998</v>
      </c>
      <c r="C77">
        <v>-36.227191750000003</v>
      </c>
      <c r="D77">
        <v>84.215965249999996</v>
      </c>
      <c r="E77">
        <v>25.487675500000002</v>
      </c>
      <c r="F77">
        <v>0.92603200000000008</v>
      </c>
      <c r="G77">
        <v>90.704750000000004</v>
      </c>
      <c r="H77">
        <v>-32</v>
      </c>
      <c r="I77">
        <v>-20</v>
      </c>
      <c r="J77">
        <v>1.18</v>
      </c>
      <c r="K77">
        <v>12.335610750000001</v>
      </c>
      <c r="L77">
        <v>1.1645136751008289</v>
      </c>
      <c r="M77">
        <v>-1.9569813807451579</v>
      </c>
      <c r="N77">
        <v>-0.93953624119796419</v>
      </c>
      <c r="O77">
        <v>-0.64615908493316643</v>
      </c>
    </row>
    <row r="78" spans="1:15" x14ac:dyDescent="0.25">
      <c r="A78">
        <v>39.460147999999997</v>
      </c>
      <c r="B78">
        <v>-48.075999250000002</v>
      </c>
      <c r="C78">
        <v>-23.279242</v>
      </c>
      <c r="D78">
        <v>87.020244999999989</v>
      </c>
      <c r="E78">
        <v>30.316913499999998</v>
      </c>
      <c r="F78">
        <v>0.92603200000000008</v>
      </c>
      <c r="G78">
        <v>90.984950749999996</v>
      </c>
      <c r="H78">
        <v>-32</v>
      </c>
      <c r="I78">
        <v>-16</v>
      </c>
      <c r="J78">
        <v>1.18</v>
      </c>
      <c r="K78">
        <v>12.35484475</v>
      </c>
      <c r="L78">
        <v>0.95062837783503829</v>
      </c>
      <c r="M78">
        <v>-2.0472194230335981</v>
      </c>
      <c r="N78">
        <v>-0.91938513845061798</v>
      </c>
      <c r="O78">
        <v>-0.55466853498927937</v>
      </c>
    </row>
    <row r="79" spans="1:15" x14ac:dyDescent="0.25">
      <c r="A79">
        <v>33.410173749999998</v>
      </c>
      <c r="B79">
        <v>-47.308318999999997</v>
      </c>
      <c r="C79">
        <v>-12.316343</v>
      </c>
      <c r="D79">
        <v>89.517801500000004</v>
      </c>
      <c r="E79">
        <v>32.463243499999997</v>
      </c>
      <c r="F79">
        <v>0.97477100000000005</v>
      </c>
      <c r="G79">
        <v>91.780220249999999</v>
      </c>
      <c r="H79">
        <v>-32</v>
      </c>
      <c r="I79">
        <v>-12</v>
      </c>
      <c r="J79">
        <v>1.18</v>
      </c>
      <c r="K79">
        <v>12.40594675</v>
      </c>
      <c r="L79">
        <v>0.73419731421320511</v>
      </c>
      <c r="M79">
        <v>-2.1972480481577632</v>
      </c>
      <c r="N79">
        <v>-0.95258199287635437</v>
      </c>
      <c r="O79">
        <v>-0.49438694276875422</v>
      </c>
    </row>
    <row r="80" spans="1:15" x14ac:dyDescent="0.25">
      <c r="A80">
        <v>26.6378725</v>
      </c>
      <c r="B80">
        <v>-46.06083675</v>
      </c>
      <c r="C80">
        <v>-0.90229624999999991</v>
      </c>
      <c r="D80">
        <v>90.470321750000011</v>
      </c>
      <c r="E80">
        <v>35.012037999999997</v>
      </c>
      <c r="F80">
        <v>0.92605674999999998</v>
      </c>
      <c r="G80">
        <v>91.820248000000007</v>
      </c>
      <c r="H80">
        <v>-32</v>
      </c>
      <c r="I80">
        <v>-8</v>
      </c>
      <c r="J80">
        <v>1.18</v>
      </c>
      <c r="K80">
        <v>12.41200725</v>
      </c>
      <c r="L80">
        <v>0.47081579716606298</v>
      </c>
      <c r="M80">
        <v>-2.3341605466047919</v>
      </c>
      <c r="N80">
        <v>-0.97121569255612339</v>
      </c>
      <c r="O80">
        <v>-0.41728142765677062</v>
      </c>
    </row>
    <row r="81" spans="1:15" x14ac:dyDescent="0.25">
      <c r="A81">
        <v>18.511049249999999</v>
      </c>
      <c r="B81">
        <v>-45.587360500000003</v>
      </c>
      <c r="C81">
        <v>9.3507324999999994</v>
      </c>
      <c r="D81">
        <v>91.115919250000005</v>
      </c>
      <c r="E81">
        <v>36.264079000000002</v>
      </c>
      <c r="F81">
        <v>0.974804</v>
      </c>
      <c r="G81">
        <v>92.284564999999986</v>
      </c>
      <c r="H81">
        <v>-32</v>
      </c>
      <c r="I81">
        <v>-4</v>
      </c>
      <c r="J81">
        <v>1.18</v>
      </c>
      <c r="K81">
        <v>12.440348500000001</v>
      </c>
      <c r="L81">
        <v>0.1683531548844443</v>
      </c>
      <c r="M81">
        <v>-2.5138282199055202</v>
      </c>
      <c r="N81">
        <v>-1.030186568980288</v>
      </c>
      <c r="O81">
        <v>-0.35106205559679959</v>
      </c>
    </row>
    <row r="82" spans="1:15" x14ac:dyDescent="0.25">
      <c r="A82">
        <v>9.6167245000000001</v>
      </c>
      <c r="B82">
        <v>-45.731395749999997</v>
      </c>
      <c r="C82">
        <v>19.288727250000001</v>
      </c>
      <c r="D82">
        <v>91.773046750000006</v>
      </c>
      <c r="E82">
        <v>37.158399000000003</v>
      </c>
      <c r="F82">
        <v>0.97479450000000001</v>
      </c>
      <c r="G82">
        <v>93.130394249999995</v>
      </c>
      <c r="H82">
        <v>-32</v>
      </c>
      <c r="I82">
        <v>0</v>
      </c>
      <c r="J82">
        <v>1.18</v>
      </c>
      <c r="K82">
        <v>12.497836250000001</v>
      </c>
      <c r="L82">
        <v>-0.1751704303451426</v>
      </c>
      <c r="M82">
        <v>-2.4903256896528152</v>
      </c>
      <c r="N82">
        <v>-1.013715202068513</v>
      </c>
      <c r="O82">
        <v>-0.34467554910962589</v>
      </c>
    </row>
    <row r="83" spans="1:15" x14ac:dyDescent="0.25">
      <c r="A83">
        <v>-0.76596025000000001</v>
      </c>
      <c r="B83">
        <v>-45.59373875</v>
      </c>
      <c r="C83">
        <v>28.368442000000002</v>
      </c>
      <c r="D83">
        <v>91.378793999999999</v>
      </c>
      <c r="E83">
        <v>36.979552499999997</v>
      </c>
      <c r="F83">
        <v>0.97478975000000001</v>
      </c>
      <c r="G83">
        <v>92.861074500000001</v>
      </c>
      <c r="H83">
        <v>-32</v>
      </c>
      <c r="I83">
        <v>4</v>
      </c>
      <c r="J83">
        <v>1.18</v>
      </c>
      <c r="K83">
        <v>12.479559999999999</v>
      </c>
      <c r="L83">
        <v>-0.48428610243151587</v>
      </c>
      <c r="M83">
        <v>-2.276862000398022</v>
      </c>
      <c r="N83">
        <v>-0.92895428262354685</v>
      </c>
      <c r="O83">
        <v>-0.40152834604721072</v>
      </c>
    </row>
    <row r="84" spans="1:15" x14ac:dyDescent="0.25">
      <c r="A84">
        <v>-11.5365375</v>
      </c>
      <c r="B84">
        <v>-46.025677999999999</v>
      </c>
      <c r="C84">
        <v>36.27366275</v>
      </c>
      <c r="D84">
        <v>91.203592499999999</v>
      </c>
      <c r="E84">
        <v>36.3982685</v>
      </c>
      <c r="F84">
        <v>0.87730750000000002</v>
      </c>
      <c r="G84">
        <v>93.38142049999999</v>
      </c>
      <c r="H84">
        <v>-32</v>
      </c>
      <c r="I84">
        <v>8</v>
      </c>
      <c r="J84">
        <v>1.18</v>
      </c>
      <c r="K84">
        <v>12.52144575</v>
      </c>
      <c r="L84">
        <v>-0.73351095168866443</v>
      </c>
      <c r="M84">
        <v>-2.105451934913229</v>
      </c>
      <c r="N84">
        <v>-0.87428928662498018</v>
      </c>
      <c r="O84">
        <v>-0.45504481180677792</v>
      </c>
    </row>
    <row r="85" spans="1:15" x14ac:dyDescent="0.25">
      <c r="A85">
        <v>-23.118189000000001</v>
      </c>
      <c r="B85">
        <v>-46.643178250000012</v>
      </c>
      <c r="C85">
        <v>43.139945750000003</v>
      </c>
      <c r="D85">
        <v>90.458944250000002</v>
      </c>
      <c r="E85">
        <v>33.62594825</v>
      </c>
      <c r="F85">
        <v>0.87729875000000002</v>
      </c>
      <c r="G85">
        <v>93.8272245</v>
      </c>
      <c r="H85">
        <v>-32</v>
      </c>
      <c r="I85">
        <v>12</v>
      </c>
      <c r="J85">
        <v>1.18</v>
      </c>
      <c r="K85">
        <v>12.551582</v>
      </c>
      <c r="L85">
        <v>-0.96717005792319077</v>
      </c>
      <c r="M85">
        <v>-2.001331321452136</v>
      </c>
      <c r="N85">
        <v>-0.87880481865544835</v>
      </c>
      <c r="O85">
        <v>-0.52195246677912832</v>
      </c>
    </row>
    <row r="86" spans="1:15" x14ac:dyDescent="0.25">
      <c r="A86">
        <v>-34.341500500000002</v>
      </c>
      <c r="B86">
        <v>-46.98224475</v>
      </c>
      <c r="C86">
        <v>48.876907500000002</v>
      </c>
      <c r="D86">
        <v>88.312518749999995</v>
      </c>
      <c r="E86">
        <v>29.869861749999998</v>
      </c>
      <c r="F86">
        <v>0.97476799999999997</v>
      </c>
      <c r="G86">
        <v>93.9873355</v>
      </c>
      <c r="H86">
        <v>-32</v>
      </c>
      <c r="I86">
        <v>16</v>
      </c>
      <c r="J86">
        <v>1.18</v>
      </c>
      <c r="K86">
        <v>12.555812</v>
      </c>
      <c r="L86">
        <v>-1.1798847095900731</v>
      </c>
      <c r="M86">
        <v>-1.9182246792336961</v>
      </c>
      <c r="N86">
        <v>-0.90909219178941369</v>
      </c>
      <c r="O86">
        <v>-0.59032740079443913</v>
      </c>
    </row>
    <row r="87" spans="1:15" x14ac:dyDescent="0.25">
      <c r="A87">
        <v>-46.461666749999999</v>
      </c>
      <c r="B87">
        <v>-51.818442500000003</v>
      </c>
      <c r="C87">
        <v>53.574871999999999</v>
      </c>
      <c r="D87">
        <v>85.465167750000006</v>
      </c>
      <c r="E87">
        <v>23.699146500000001</v>
      </c>
      <c r="F87">
        <v>0.97476799999999997</v>
      </c>
      <c r="G87">
        <v>94.547799999999995</v>
      </c>
      <c r="H87">
        <v>-32</v>
      </c>
      <c r="I87">
        <v>20</v>
      </c>
      <c r="J87">
        <v>1.18</v>
      </c>
      <c r="K87">
        <v>12.593583000000001</v>
      </c>
      <c r="L87">
        <v>-1.37340395615138</v>
      </c>
      <c r="M87">
        <v>-1.8847632029030621</v>
      </c>
      <c r="N87">
        <v>-0.97269170567581897</v>
      </c>
      <c r="O87">
        <v>-0.68800586499147065</v>
      </c>
    </row>
    <row r="88" spans="1:15" x14ac:dyDescent="0.25">
      <c r="A88">
        <v>-57.506246500000003</v>
      </c>
      <c r="B88">
        <v>-59.25534725</v>
      </c>
      <c r="C88">
        <v>57.911456000000001</v>
      </c>
      <c r="D88">
        <v>81.478835750000002</v>
      </c>
      <c r="E88">
        <v>16.00810225</v>
      </c>
      <c r="F88">
        <v>0.97476324999999997</v>
      </c>
      <c r="G88">
        <v>94.707947000000004</v>
      </c>
      <c r="H88">
        <v>-32</v>
      </c>
      <c r="I88">
        <v>24</v>
      </c>
      <c r="J88">
        <v>1.1825000000000001</v>
      </c>
      <c r="K88">
        <v>12.591081000000001</v>
      </c>
      <c r="L88">
        <v>-1.5515987802659461</v>
      </c>
      <c r="M88">
        <v>-1.8919635995991759</v>
      </c>
      <c r="N88">
        <v>-1.0580676022462301</v>
      </c>
      <c r="O88">
        <v>-0.79798350413434693</v>
      </c>
    </row>
    <row r="89" spans="1:15" x14ac:dyDescent="0.25">
      <c r="A89">
        <v>-69.584358500000008</v>
      </c>
      <c r="B89">
        <v>-69.762979250000001</v>
      </c>
      <c r="C89">
        <v>59.492517499999998</v>
      </c>
      <c r="D89">
        <v>76.222206</v>
      </c>
      <c r="E89">
        <v>5.1869984999999996</v>
      </c>
      <c r="F89">
        <v>0.97475875000000001</v>
      </c>
      <c r="G89">
        <v>94.988189750000004</v>
      </c>
      <c r="H89">
        <v>-32</v>
      </c>
      <c r="I89">
        <v>28</v>
      </c>
      <c r="J89">
        <v>1.18</v>
      </c>
      <c r="K89">
        <v>12.62318075</v>
      </c>
      <c r="L89">
        <v>-1.7242759880046521</v>
      </c>
      <c r="M89">
        <v>-1.9501423920344989</v>
      </c>
      <c r="N89">
        <v>-1.1996588211593739</v>
      </c>
      <c r="O89">
        <v>-0.9437870346999927</v>
      </c>
    </row>
    <row r="90" spans="1:15" x14ac:dyDescent="0.25">
      <c r="A90">
        <v>-81.932884250000001</v>
      </c>
      <c r="B90">
        <v>-81.853944999999996</v>
      </c>
      <c r="C90">
        <v>61.209138000000003</v>
      </c>
      <c r="D90">
        <v>70.483604499999998</v>
      </c>
      <c r="E90">
        <v>-7.7179399999999996</v>
      </c>
      <c r="F90">
        <v>1.0234892499999999</v>
      </c>
      <c r="G90">
        <v>95.708728500000007</v>
      </c>
      <c r="H90">
        <v>-32</v>
      </c>
      <c r="I90">
        <v>32</v>
      </c>
      <c r="J90">
        <v>1.18</v>
      </c>
      <c r="K90">
        <v>12.668205</v>
      </c>
      <c r="L90">
        <v>-1.929771451950377</v>
      </c>
      <c r="M90">
        <v>-2.0537474114780192</v>
      </c>
      <c r="N90">
        <v>-1.3943579276137279</v>
      </c>
      <c r="O90">
        <v>-1.1178428590240259</v>
      </c>
    </row>
    <row r="91" spans="1:15" x14ac:dyDescent="0.25">
      <c r="A91">
        <v>-93.289914999999993</v>
      </c>
      <c r="B91">
        <v>-93.657032000000001</v>
      </c>
      <c r="C91">
        <v>61.073599999999999</v>
      </c>
      <c r="D91">
        <v>64.088025250000001</v>
      </c>
      <c r="E91">
        <v>-21.19087275</v>
      </c>
      <c r="F91">
        <v>0.97475000000000001</v>
      </c>
      <c r="G91">
        <v>95.588661000000002</v>
      </c>
      <c r="H91">
        <v>-32</v>
      </c>
      <c r="I91">
        <v>36</v>
      </c>
      <c r="J91">
        <v>1.19</v>
      </c>
      <c r="K91">
        <v>12.610113999999999</v>
      </c>
      <c r="L91">
        <v>-2.1356650661978089</v>
      </c>
      <c r="M91">
        <v>-2.1824182365265181</v>
      </c>
      <c r="N91">
        <v>-1.615711851259491</v>
      </c>
      <c r="O91">
        <v>-1.3067031253165491</v>
      </c>
    </row>
    <row r="92" spans="1:15" x14ac:dyDescent="0.25">
      <c r="A92">
        <v>-101.88452725</v>
      </c>
      <c r="B92">
        <v>-103.34900275</v>
      </c>
      <c r="C92">
        <v>60.757427499999999</v>
      </c>
      <c r="D92">
        <v>56.90389725</v>
      </c>
      <c r="E92">
        <v>-34.931483499999999</v>
      </c>
      <c r="F92">
        <v>0.97476750000000001</v>
      </c>
      <c r="G92">
        <v>96.069072500000004</v>
      </c>
      <c r="H92">
        <v>-32</v>
      </c>
      <c r="I92">
        <v>40</v>
      </c>
      <c r="J92">
        <v>1.18</v>
      </c>
      <c r="K92">
        <v>12.695542</v>
      </c>
      <c r="L92">
        <v>-2.4029738443354409</v>
      </c>
      <c r="M92">
        <v>-2.367688275402291</v>
      </c>
      <c r="N92">
        <v>-1.935575353412549</v>
      </c>
      <c r="O92">
        <v>-1.5305477522131039</v>
      </c>
    </row>
    <row r="93" spans="1:15" x14ac:dyDescent="0.25">
      <c r="A93">
        <v>-109.53785499999999</v>
      </c>
      <c r="B93">
        <v>-112.36925524999999</v>
      </c>
      <c r="C93">
        <v>59.492622249999997</v>
      </c>
      <c r="D93">
        <v>49.36926175</v>
      </c>
      <c r="E93">
        <v>-48.850539249999997</v>
      </c>
      <c r="F93">
        <v>1.0235242499999999</v>
      </c>
      <c r="G93">
        <v>96.869647999999998</v>
      </c>
      <c r="H93">
        <v>-32</v>
      </c>
      <c r="I93">
        <v>44</v>
      </c>
      <c r="J93">
        <v>1.18</v>
      </c>
      <c r="K93">
        <v>12.745627750000001</v>
      </c>
      <c r="L93">
        <v>-2.7218774808560311</v>
      </c>
      <c r="M93">
        <v>-2.6044422052481009</v>
      </c>
      <c r="N93">
        <v>-2.346545485598003</v>
      </c>
      <c r="O93">
        <v>-1.803165296205421</v>
      </c>
    </row>
    <row r="94" spans="1:15" x14ac:dyDescent="0.25">
      <c r="A94">
        <v>62.983069499999999</v>
      </c>
      <c r="B94">
        <v>-110.737934</v>
      </c>
      <c r="C94">
        <v>-107.05743775000001</v>
      </c>
      <c r="D94">
        <v>49.985781750000001</v>
      </c>
      <c r="E94">
        <v>-20.477076</v>
      </c>
      <c r="F94">
        <v>1.0722715</v>
      </c>
      <c r="G94">
        <v>96.709609999999998</v>
      </c>
      <c r="H94">
        <v>-28</v>
      </c>
      <c r="I94">
        <v>-44</v>
      </c>
      <c r="J94">
        <v>1.18</v>
      </c>
      <c r="K94">
        <v>12.731737750000001</v>
      </c>
      <c r="L94">
        <v>1.9231084141621111</v>
      </c>
      <c r="M94">
        <v>-1.8177371202239661</v>
      </c>
      <c r="N94">
        <v>-1.3253657382525901</v>
      </c>
      <c r="O94">
        <v>-1.24372447084825</v>
      </c>
    </row>
    <row r="95" spans="1:15" x14ac:dyDescent="0.25">
      <c r="A95">
        <v>63.615200999999999</v>
      </c>
      <c r="B95">
        <v>-96.823715500000006</v>
      </c>
      <c r="C95">
        <v>-95.508047250000004</v>
      </c>
      <c r="D95">
        <v>56.816284500000002</v>
      </c>
      <c r="E95">
        <v>-7.4948779999999999</v>
      </c>
      <c r="F95">
        <v>1.0722799999999999</v>
      </c>
      <c r="G95">
        <v>94.748210999999998</v>
      </c>
      <c r="H95">
        <v>-28</v>
      </c>
      <c r="I95">
        <v>-40</v>
      </c>
      <c r="J95">
        <v>1.18</v>
      </c>
      <c r="K95">
        <v>12.600503</v>
      </c>
      <c r="L95">
        <v>1.7945365601754251</v>
      </c>
      <c r="M95">
        <v>-1.732705699809254</v>
      </c>
      <c r="N95">
        <v>-1.1530737216552189</v>
      </c>
      <c r="O95">
        <v>-1.096621507957358</v>
      </c>
    </row>
    <row r="96" spans="1:15" x14ac:dyDescent="0.25">
      <c r="A96">
        <v>61.086914</v>
      </c>
      <c r="B96">
        <v>-79.263023250000003</v>
      </c>
      <c r="C96">
        <v>-78.996028499999994</v>
      </c>
      <c r="D96">
        <v>61.471517749999997</v>
      </c>
      <c r="E96">
        <v>4.5609679999999999</v>
      </c>
      <c r="F96">
        <v>0.97481899999999999</v>
      </c>
      <c r="G96">
        <v>90.385072500000007</v>
      </c>
      <c r="H96">
        <v>-28</v>
      </c>
      <c r="I96">
        <v>-36</v>
      </c>
      <c r="J96">
        <v>1.18</v>
      </c>
      <c r="K96">
        <v>12.31026625</v>
      </c>
      <c r="L96">
        <v>1.6738130055402469</v>
      </c>
      <c r="M96">
        <v>-1.681603574862268</v>
      </c>
      <c r="N96">
        <v>-1.0254859349216741</v>
      </c>
      <c r="O96">
        <v>-0.95713950307367746</v>
      </c>
    </row>
    <row r="97" spans="1:15" x14ac:dyDescent="0.25">
      <c r="A97">
        <v>59.010023250000003</v>
      </c>
      <c r="B97">
        <v>-64.206193749999997</v>
      </c>
      <c r="C97">
        <v>-62.844928500000002</v>
      </c>
      <c r="D97">
        <v>66.120053999999996</v>
      </c>
      <c r="E97">
        <v>14.890248</v>
      </c>
      <c r="F97">
        <v>0.82856675000000002</v>
      </c>
      <c r="G97">
        <v>87.703193749999997</v>
      </c>
      <c r="H97">
        <v>-28</v>
      </c>
      <c r="I97">
        <v>-32</v>
      </c>
      <c r="J97">
        <v>1.18</v>
      </c>
      <c r="K97">
        <v>12.1344595</v>
      </c>
      <c r="L97">
        <v>1.5539567564182051</v>
      </c>
      <c r="M97">
        <v>-1.6620230639457689</v>
      </c>
      <c r="N97">
        <v>-0.92857979613892649</v>
      </c>
      <c r="O97">
        <v>-0.82066762601770815</v>
      </c>
    </row>
    <row r="98" spans="1:15" x14ac:dyDescent="0.25">
      <c r="A98">
        <v>56.346177249999997</v>
      </c>
      <c r="B98">
        <v>-51.400939000000001</v>
      </c>
      <c r="C98">
        <v>-48.002155000000002</v>
      </c>
      <c r="D98">
        <v>69.055804999999992</v>
      </c>
      <c r="E98">
        <v>22.939051500000001</v>
      </c>
      <c r="F98">
        <v>0.77986200000000006</v>
      </c>
      <c r="G98">
        <v>85.34155100000001</v>
      </c>
      <c r="H98">
        <v>-28</v>
      </c>
      <c r="I98">
        <v>-28</v>
      </c>
      <c r="J98">
        <v>1.18</v>
      </c>
      <c r="K98">
        <v>11.971835</v>
      </c>
      <c r="L98">
        <v>1.4364902573106371</v>
      </c>
      <c r="M98">
        <v>-1.658280878703855</v>
      </c>
      <c r="N98">
        <v>-0.85907671587747636</v>
      </c>
      <c r="O98">
        <v>-0.69494567569386989</v>
      </c>
    </row>
    <row r="99" spans="1:15" x14ac:dyDescent="0.25">
      <c r="A99">
        <v>51.876511499999999</v>
      </c>
      <c r="B99">
        <v>-41.367414500000002</v>
      </c>
      <c r="C99">
        <v>-34.377482999999998</v>
      </c>
      <c r="D99">
        <v>71.290533499999995</v>
      </c>
      <c r="E99">
        <v>29.020372500000001</v>
      </c>
      <c r="F99">
        <v>0.73105374999999995</v>
      </c>
      <c r="G99">
        <v>82.379394499999989</v>
      </c>
      <c r="H99">
        <v>-28</v>
      </c>
      <c r="I99">
        <v>-24</v>
      </c>
      <c r="J99">
        <v>1.18</v>
      </c>
      <c r="K99">
        <v>11.7637965</v>
      </c>
      <c r="L99">
        <v>1.28943224278977</v>
      </c>
      <c r="M99">
        <v>-1.6841692077804311</v>
      </c>
      <c r="N99">
        <v>-0.79768478231597095</v>
      </c>
      <c r="O99">
        <v>-0.57709663486454688</v>
      </c>
    </row>
    <row r="100" spans="1:15" x14ac:dyDescent="0.25">
      <c r="A100">
        <v>49.393317250000003</v>
      </c>
      <c r="B100">
        <v>-36.379001500000001</v>
      </c>
      <c r="C100">
        <v>-22.602518750000002</v>
      </c>
      <c r="D100">
        <v>76.943000500000011</v>
      </c>
      <c r="E100">
        <v>35.995993749999997</v>
      </c>
      <c r="F100">
        <v>0.77979299999999996</v>
      </c>
      <c r="G100">
        <v>84.420902500000011</v>
      </c>
      <c r="H100">
        <v>-28</v>
      </c>
      <c r="I100">
        <v>-20</v>
      </c>
      <c r="J100">
        <v>1.18</v>
      </c>
      <c r="K100">
        <v>11.906492500000001</v>
      </c>
      <c r="L100">
        <v>1.099389360666887</v>
      </c>
      <c r="M100">
        <v>-1.7304745360359299</v>
      </c>
      <c r="N100">
        <v>-0.73947463255696777</v>
      </c>
      <c r="O100">
        <v>-0.46224549543146393</v>
      </c>
    </row>
    <row r="101" spans="1:15" x14ac:dyDescent="0.25">
      <c r="A101">
        <v>45.871684000000002</v>
      </c>
      <c r="B101">
        <v>-33.499398249999999</v>
      </c>
      <c r="C101">
        <v>-12.406572000000001</v>
      </c>
      <c r="D101">
        <v>80.623615000000001</v>
      </c>
      <c r="E101">
        <v>40.825301500000002</v>
      </c>
      <c r="F101">
        <v>0.77981</v>
      </c>
      <c r="G101">
        <v>85.781885500000001</v>
      </c>
      <c r="H101">
        <v>-28</v>
      </c>
      <c r="I101">
        <v>-16</v>
      </c>
      <c r="J101">
        <v>1.18</v>
      </c>
      <c r="K101">
        <v>12.002970250000001</v>
      </c>
      <c r="L101">
        <v>0.91376613374436499</v>
      </c>
      <c r="M101">
        <v>-1.789378014204819</v>
      </c>
      <c r="N101">
        <v>-0.70489877378759069</v>
      </c>
      <c r="O101">
        <v>-0.37211348171857678</v>
      </c>
    </row>
    <row r="102" spans="1:15" x14ac:dyDescent="0.25">
      <c r="A102">
        <v>40.092574249999998</v>
      </c>
      <c r="B102">
        <v>-31.9089305</v>
      </c>
      <c r="C102">
        <v>-2.1655107500000002</v>
      </c>
      <c r="D102">
        <v>82.814504749999998</v>
      </c>
      <c r="E102">
        <v>43.642401499999998</v>
      </c>
      <c r="F102">
        <v>0.87728799999999996</v>
      </c>
      <c r="G102">
        <v>86.222259500000007</v>
      </c>
      <c r="H102">
        <v>-28</v>
      </c>
      <c r="I102">
        <v>-12</v>
      </c>
      <c r="J102">
        <v>1.18</v>
      </c>
      <c r="K102">
        <v>12.027153500000001</v>
      </c>
      <c r="L102">
        <v>0.6963998455037872</v>
      </c>
      <c r="M102">
        <v>-1.890662866797824</v>
      </c>
      <c r="N102">
        <v>-0.70172923947053578</v>
      </c>
      <c r="O102">
        <v>-0.29522579811016431</v>
      </c>
    </row>
    <row r="103" spans="1:15" x14ac:dyDescent="0.25">
      <c r="A103">
        <v>34.403767500000001</v>
      </c>
      <c r="B103">
        <v>-30.70722525</v>
      </c>
      <c r="C103">
        <v>7.5439109999999996</v>
      </c>
      <c r="D103">
        <v>84.873971499999996</v>
      </c>
      <c r="E103">
        <v>46.414770249999997</v>
      </c>
      <c r="F103">
        <v>0.97479274999999999</v>
      </c>
      <c r="G103">
        <v>87.263046500000002</v>
      </c>
      <c r="H103">
        <v>-28</v>
      </c>
      <c r="I103">
        <v>-8</v>
      </c>
      <c r="J103">
        <v>1.18</v>
      </c>
      <c r="K103">
        <v>12.093439249999999</v>
      </c>
      <c r="L103">
        <v>0.46311946636819318</v>
      </c>
      <c r="M103">
        <v>-1.99293227139443</v>
      </c>
      <c r="N103">
        <v>-0.70435968311414454</v>
      </c>
      <c r="O103">
        <v>-0.2165108168251004</v>
      </c>
    </row>
    <row r="104" spans="1:15" x14ac:dyDescent="0.25">
      <c r="A104">
        <v>26.63809225</v>
      </c>
      <c r="B104">
        <v>-30.179443750000001</v>
      </c>
      <c r="C104">
        <v>18.204722499999999</v>
      </c>
      <c r="D104">
        <v>85.837949499999993</v>
      </c>
      <c r="E104">
        <v>48.158686500000002</v>
      </c>
      <c r="F104">
        <v>0.92605349999999997</v>
      </c>
      <c r="G104">
        <v>87.903533999999993</v>
      </c>
      <c r="H104">
        <v>-28</v>
      </c>
      <c r="I104">
        <v>-4</v>
      </c>
      <c r="J104">
        <v>1.18</v>
      </c>
      <c r="K104">
        <v>12.141640499999999</v>
      </c>
      <c r="L104">
        <v>0.1557548550401491</v>
      </c>
      <c r="M104">
        <v>-2.142692241089406</v>
      </c>
      <c r="N104">
        <v>-0.7340478297330072</v>
      </c>
      <c r="O104">
        <v>-0.12768168181154091</v>
      </c>
    </row>
    <row r="105" spans="1:15" x14ac:dyDescent="0.25">
      <c r="A105">
        <v>19.549643249999999</v>
      </c>
      <c r="B105">
        <v>-28.836002749999999</v>
      </c>
      <c r="C105">
        <v>27.1038125</v>
      </c>
      <c r="D105">
        <v>86.232380000000006</v>
      </c>
      <c r="E105">
        <v>49.947304750000001</v>
      </c>
      <c r="F105">
        <v>0.97481899999999999</v>
      </c>
      <c r="G105">
        <v>88.3438515</v>
      </c>
      <c r="H105">
        <v>-28</v>
      </c>
      <c r="I105">
        <v>0</v>
      </c>
      <c r="J105">
        <v>1.18</v>
      </c>
      <c r="K105">
        <v>12.1689395</v>
      </c>
      <c r="L105">
        <v>-0.13835693342551089</v>
      </c>
      <c r="M105">
        <v>-2.1078721200803932</v>
      </c>
      <c r="N105">
        <v>-0.70339689550505968</v>
      </c>
      <c r="O105">
        <v>-0.10290249833461119</v>
      </c>
    </row>
    <row r="106" spans="1:15" x14ac:dyDescent="0.25">
      <c r="A106">
        <v>9.8876845000000007</v>
      </c>
      <c r="B106">
        <v>-29.50772525</v>
      </c>
      <c r="C106">
        <v>35.641525000000001</v>
      </c>
      <c r="D106">
        <v>86.626737500000004</v>
      </c>
      <c r="E106">
        <v>49.500173500000002</v>
      </c>
      <c r="F106">
        <v>0.92607974999999998</v>
      </c>
      <c r="G106">
        <v>89.184524500000009</v>
      </c>
      <c r="H106">
        <v>-28</v>
      </c>
      <c r="I106">
        <v>4</v>
      </c>
      <c r="J106">
        <v>1.18</v>
      </c>
      <c r="K106">
        <v>12.230721750000001</v>
      </c>
      <c r="L106">
        <v>-0.43422710756286809</v>
      </c>
      <c r="M106">
        <v>-1.9580882311495811</v>
      </c>
      <c r="N106">
        <v>-0.66910632431784023</v>
      </c>
      <c r="O106">
        <v>-0.18102281386448571</v>
      </c>
    </row>
    <row r="107" spans="1:15" x14ac:dyDescent="0.25">
      <c r="A107">
        <v>-0.45056049999999997</v>
      </c>
      <c r="B107">
        <v>-29.939543749999999</v>
      </c>
      <c r="C107">
        <v>42.688517750000003</v>
      </c>
      <c r="D107">
        <v>86.013349500000004</v>
      </c>
      <c r="E107">
        <v>47.89041125</v>
      </c>
      <c r="F107">
        <v>0.97481424999999999</v>
      </c>
      <c r="G107">
        <v>89.384706500000007</v>
      </c>
      <c r="H107">
        <v>-28</v>
      </c>
      <c r="I107">
        <v>8</v>
      </c>
      <c r="J107">
        <v>1.18</v>
      </c>
      <c r="K107">
        <v>12.2412115</v>
      </c>
      <c r="L107">
        <v>-0.68382511216420183</v>
      </c>
      <c r="M107">
        <v>-1.8380454983449279</v>
      </c>
      <c r="N107">
        <v>-0.6577871017260517</v>
      </c>
      <c r="O107">
        <v>-0.2563272241211666</v>
      </c>
    </row>
    <row r="108" spans="1:15" x14ac:dyDescent="0.25">
      <c r="A108">
        <v>-11.30900675</v>
      </c>
      <c r="B108">
        <v>-29.411763000000001</v>
      </c>
      <c r="C108">
        <v>50.051765500000002</v>
      </c>
      <c r="D108">
        <v>85.136966749999999</v>
      </c>
      <c r="E108">
        <v>45.520535500000001</v>
      </c>
      <c r="F108">
        <v>0.97481899999999999</v>
      </c>
      <c r="G108">
        <v>89.945140500000008</v>
      </c>
      <c r="H108">
        <v>-28</v>
      </c>
      <c r="I108">
        <v>12</v>
      </c>
      <c r="J108">
        <v>1.18</v>
      </c>
      <c r="K108">
        <v>12.279949</v>
      </c>
      <c r="L108">
        <v>-0.9313871226852205</v>
      </c>
      <c r="M108">
        <v>-1.7387020541875799</v>
      </c>
      <c r="N108">
        <v>-0.67430334018764215</v>
      </c>
      <c r="O108">
        <v>-0.32382275182312448</v>
      </c>
    </row>
    <row r="109" spans="1:15" x14ac:dyDescent="0.25">
      <c r="A109">
        <v>-20.680614250000001</v>
      </c>
      <c r="B109">
        <v>-29.075902750000001</v>
      </c>
      <c r="C109">
        <v>55.879106499999999</v>
      </c>
      <c r="D109">
        <v>82.989952000000002</v>
      </c>
      <c r="E109">
        <v>42.301008250000002</v>
      </c>
      <c r="F109">
        <v>0.92606500000000003</v>
      </c>
      <c r="G109">
        <v>90.7699815</v>
      </c>
      <c r="H109">
        <v>-28</v>
      </c>
      <c r="I109">
        <v>16</v>
      </c>
      <c r="J109">
        <v>1.18</v>
      </c>
      <c r="K109">
        <v>12.34008875</v>
      </c>
      <c r="L109">
        <v>-1.139629957427704</v>
      </c>
      <c r="M109">
        <v>-1.6681677197444169</v>
      </c>
      <c r="N109">
        <v>-0.72149889480745455</v>
      </c>
      <c r="O109">
        <v>-0.38411163320148661</v>
      </c>
    </row>
    <row r="110" spans="1:15" x14ac:dyDescent="0.25">
      <c r="A110">
        <v>-31.133561749999998</v>
      </c>
      <c r="B110">
        <v>-34.113808499999998</v>
      </c>
      <c r="C110">
        <v>59.402591000000001</v>
      </c>
      <c r="D110">
        <v>79.966604250000003</v>
      </c>
      <c r="E110">
        <v>35.593674750000012</v>
      </c>
      <c r="F110">
        <v>0.9748</v>
      </c>
      <c r="G110">
        <v>90.609893999999997</v>
      </c>
      <c r="H110">
        <v>-28</v>
      </c>
      <c r="I110">
        <v>20</v>
      </c>
      <c r="J110">
        <v>1.18</v>
      </c>
      <c r="K110">
        <v>12.32574075</v>
      </c>
      <c r="L110">
        <v>-1.3271694393485109</v>
      </c>
      <c r="M110">
        <v>-1.6723143924699819</v>
      </c>
      <c r="N110">
        <v>-0.80649217401939644</v>
      </c>
      <c r="O110">
        <v>-0.49251942178957142</v>
      </c>
    </row>
    <row r="111" spans="1:15" x14ac:dyDescent="0.25">
      <c r="A111">
        <v>-42.487622500000001</v>
      </c>
      <c r="B111">
        <v>-43.038093250000003</v>
      </c>
      <c r="C111">
        <v>62.88097175</v>
      </c>
      <c r="D111">
        <v>75.541055749999998</v>
      </c>
      <c r="E111">
        <v>26.426985500000001</v>
      </c>
      <c r="F111">
        <v>0.92589624999999998</v>
      </c>
      <c r="G111">
        <v>90.815320999999997</v>
      </c>
      <c r="H111">
        <v>-28</v>
      </c>
      <c r="I111">
        <v>24</v>
      </c>
      <c r="J111">
        <v>1.18</v>
      </c>
      <c r="K111">
        <v>12.343214250000001</v>
      </c>
      <c r="L111">
        <v>-1.5228926827421021</v>
      </c>
      <c r="M111">
        <v>-1.713818373612733</v>
      </c>
      <c r="N111">
        <v>-0.93060153609016782</v>
      </c>
      <c r="O111">
        <v>-0.63142036451055983</v>
      </c>
    </row>
    <row r="112" spans="1:15" x14ac:dyDescent="0.25">
      <c r="A112">
        <v>-53.526291000000001</v>
      </c>
      <c r="B112">
        <v>-53.641683749999999</v>
      </c>
      <c r="C112">
        <v>65.1848375</v>
      </c>
      <c r="D112">
        <v>70.370634249999995</v>
      </c>
      <c r="E112">
        <v>15.471651</v>
      </c>
      <c r="F112">
        <v>0.97463600000000006</v>
      </c>
      <c r="G112">
        <v>91.215566999999993</v>
      </c>
      <c r="H112">
        <v>-28</v>
      </c>
      <c r="I112">
        <v>28</v>
      </c>
      <c r="J112">
        <v>1.18</v>
      </c>
      <c r="K112">
        <v>12.367322250000001</v>
      </c>
      <c r="L112">
        <v>-1.719147584541771</v>
      </c>
      <c r="M112">
        <v>-1.795862528620757</v>
      </c>
      <c r="N112">
        <v>-1.0969480502168909</v>
      </c>
      <c r="O112">
        <v>-0.79002953310957058</v>
      </c>
    </row>
    <row r="113" spans="1:15" x14ac:dyDescent="0.25">
      <c r="A113">
        <v>-65.421024500000001</v>
      </c>
      <c r="B113">
        <v>-66.404376750000011</v>
      </c>
      <c r="C113">
        <v>66.856241250000011</v>
      </c>
      <c r="D113">
        <v>64.762037249999992</v>
      </c>
      <c r="E113">
        <v>3.04067825</v>
      </c>
      <c r="F113">
        <v>0.92582849999999994</v>
      </c>
      <c r="G113">
        <v>91.140839</v>
      </c>
      <c r="H113">
        <v>-28</v>
      </c>
      <c r="I113">
        <v>32</v>
      </c>
      <c r="J113">
        <v>1.18</v>
      </c>
      <c r="K113">
        <v>12.365547250000001</v>
      </c>
      <c r="L113">
        <v>-1.9184064281930091</v>
      </c>
      <c r="M113">
        <v>-1.9022710803713969</v>
      </c>
      <c r="N113">
        <v>-1.277751535523806</v>
      </c>
      <c r="O113">
        <v>-0.96934671144943252</v>
      </c>
    </row>
    <row r="114" spans="1:15" x14ac:dyDescent="0.25">
      <c r="A114">
        <v>-77.495979250000005</v>
      </c>
      <c r="B114">
        <v>-79.023122749999999</v>
      </c>
      <c r="C114">
        <v>65.817279749999997</v>
      </c>
      <c r="D114">
        <v>57.795101250000002</v>
      </c>
      <c r="E114">
        <v>-11.6884405</v>
      </c>
      <c r="F114">
        <v>1.02319775</v>
      </c>
      <c r="G114">
        <v>91.746596999999994</v>
      </c>
      <c r="H114">
        <v>-28</v>
      </c>
      <c r="I114">
        <v>36</v>
      </c>
      <c r="J114">
        <v>1.18</v>
      </c>
      <c r="K114">
        <v>12.400340249999999</v>
      </c>
      <c r="L114">
        <v>-2.152817861474285</v>
      </c>
      <c r="M114">
        <v>-2.055259690383143</v>
      </c>
      <c r="N114">
        <v>-1.553856286577185</v>
      </c>
      <c r="O114">
        <v>-1.1910121925986621</v>
      </c>
    </row>
    <row r="115" spans="1:15" x14ac:dyDescent="0.25">
      <c r="A115">
        <v>-88.039038000000005</v>
      </c>
      <c r="B115">
        <v>-91.018132999999992</v>
      </c>
      <c r="C115">
        <v>66.765932000000006</v>
      </c>
      <c r="D115">
        <v>51.175435999999998</v>
      </c>
      <c r="E115">
        <v>-25.875173749999998</v>
      </c>
      <c r="F115">
        <v>0.92575499999999999</v>
      </c>
      <c r="G115">
        <v>91.906747500000009</v>
      </c>
      <c r="H115">
        <v>-28</v>
      </c>
      <c r="I115">
        <v>40</v>
      </c>
      <c r="J115">
        <v>1.18</v>
      </c>
      <c r="K115">
        <v>12.41793225</v>
      </c>
      <c r="L115">
        <v>-2.432051164963521</v>
      </c>
      <c r="M115">
        <v>-2.23392202839814</v>
      </c>
      <c r="N115">
        <v>-1.850456746449199</v>
      </c>
      <c r="O115">
        <v>-1.4210785997128621</v>
      </c>
    </row>
    <row r="116" spans="1:15" x14ac:dyDescent="0.25">
      <c r="A116">
        <v>-98.041427499999998</v>
      </c>
      <c r="B116">
        <v>-102.24546024999999</v>
      </c>
      <c r="C116">
        <v>64.326655250000002</v>
      </c>
      <c r="D116">
        <v>43.020482000000001</v>
      </c>
      <c r="E116">
        <v>-41.980235</v>
      </c>
      <c r="F116">
        <v>0.97448899999999994</v>
      </c>
      <c r="G116">
        <v>92.106953000000004</v>
      </c>
      <c r="H116">
        <v>-28</v>
      </c>
      <c r="I116">
        <v>44</v>
      </c>
      <c r="J116">
        <v>1.18</v>
      </c>
      <c r="K116">
        <v>12.42826575</v>
      </c>
      <c r="L116">
        <v>-2.7917537091243569</v>
      </c>
      <c r="M116">
        <v>-2.497692967970178</v>
      </c>
      <c r="N116">
        <v>-2.3056176459263962</v>
      </c>
      <c r="O116">
        <v>-1.738624570423821</v>
      </c>
    </row>
    <row r="117" spans="1:15" x14ac:dyDescent="0.25">
      <c r="A117">
        <v>68.266010249999994</v>
      </c>
      <c r="B117">
        <v>-99.606563499999993</v>
      </c>
      <c r="C117">
        <v>-96.301192999999998</v>
      </c>
      <c r="D117">
        <v>43.411994</v>
      </c>
      <c r="E117">
        <v>-14.142119750000001</v>
      </c>
      <c r="F117">
        <v>0.97450599999999998</v>
      </c>
      <c r="G117">
        <v>93.147743500000004</v>
      </c>
      <c r="H117">
        <v>-24</v>
      </c>
      <c r="I117">
        <v>-44</v>
      </c>
      <c r="J117">
        <v>1.18</v>
      </c>
      <c r="K117">
        <v>12.499032250000001</v>
      </c>
      <c r="L117">
        <v>1.963545437389191</v>
      </c>
      <c r="M117">
        <v>-1.706431881339848</v>
      </c>
      <c r="N117">
        <v>-1.2801434069188791</v>
      </c>
      <c r="O117">
        <v>-1.180369344550847</v>
      </c>
    </row>
    <row r="118" spans="1:15" x14ac:dyDescent="0.25">
      <c r="A118">
        <v>70.839641749999998</v>
      </c>
      <c r="B118">
        <v>-83.389303249999998</v>
      </c>
      <c r="C118">
        <v>-82.994884499999998</v>
      </c>
      <c r="D118">
        <v>51.6914205</v>
      </c>
      <c r="E118">
        <v>1.25203825</v>
      </c>
      <c r="F118">
        <v>0.97452300000000003</v>
      </c>
      <c r="G118">
        <v>93.027683249999995</v>
      </c>
      <c r="H118">
        <v>-24</v>
      </c>
      <c r="I118">
        <v>-40</v>
      </c>
      <c r="J118">
        <v>1.18</v>
      </c>
      <c r="K118">
        <v>12.49088875</v>
      </c>
      <c r="L118">
        <v>1.821733654497363</v>
      </c>
      <c r="M118">
        <v>-1.5996361765252489</v>
      </c>
      <c r="N118">
        <v>-1.086821840427493</v>
      </c>
      <c r="O118">
        <v>-0.99670158800130038</v>
      </c>
    </row>
    <row r="119" spans="1:15" x14ac:dyDescent="0.25">
      <c r="A119">
        <v>71.742717749999997</v>
      </c>
      <c r="B119">
        <v>-70.338737500000008</v>
      </c>
      <c r="C119">
        <v>-71.461852999999991</v>
      </c>
      <c r="D119">
        <v>60.102227999999997</v>
      </c>
      <c r="E119">
        <v>13.906611249999999</v>
      </c>
      <c r="F119">
        <v>0.97453149999999999</v>
      </c>
      <c r="G119">
        <v>93.548097499999997</v>
      </c>
      <c r="H119">
        <v>-24</v>
      </c>
      <c r="I119">
        <v>-36</v>
      </c>
      <c r="J119">
        <v>1.18</v>
      </c>
      <c r="K119">
        <v>12.52614575</v>
      </c>
      <c r="L119">
        <v>1.688598998637947</v>
      </c>
      <c r="M119">
        <v>-1.5381069634251829</v>
      </c>
      <c r="N119">
        <v>-0.93910839075704167</v>
      </c>
      <c r="O119">
        <v>-0.84750692960340968</v>
      </c>
    </row>
    <row r="120" spans="1:15" x14ac:dyDescent="0.25">
      <c r="A120">
        <v>71.697456250000002</v>
      </c>
      <c r="B120">
        <v>-56.616443750000002</v>
      </c>
      <c r="C120">
        <v>-57.427439499999998</v>
      </c>
      <c r="D120">
        <v>67.286493250000007</v>
      </c>
      <c r="E120">
        <v>26.069313000000001</v>
      </c>
      <c r="F120">
        <v>0.92581424999999995</v>
      </c>
      <c r="G120">
        <v>93.948419749999999</v>
      </c>
      <c r="H120">
        <v>-24</v>
      </c>
      <c r="I120">
        <v>-32</v>
      </c>
      <c r="J120">
        <v>1.18</v>
      </c>
      <c r="K120">
        <v>12.556489750000001</v>
      </c>
      <c r="L120">
        <v>1.554007801260878</v>
      </c>
      <c r="M120">
        <v>-1.4911651534615671</v>
      </c>
      <c r="N120">
        <v>-0.8169197617758075</v>
      </c>
      <c r="O120">
        <v>-0.69738810105287319</v>
      </c>
    </row>
    <row r="121" spans="1:15" x14ac:dyDescent="0.25">
      <c r="A121">
        <v>70.072126249999997</v>
      </c>
      <c r="B121">
        <v>-44.237592499999998</v>
      </c>
      <c r="C121">
        <v>-41.731199500000002</v>
      </c>
      <c r="D121">
        <v>73.463207249999996</v>
      </c>
      <c r="E121">
        <v>36.398670000000003</v>
      </c>
      <c r="F121">
        <v>0.97453999999999996</v>
      </c>
      <c r="G121">
        <v>94.108573750000005</v>
      </c>
      <c r="H121">
        <v>-24</v>
      </c>
      <c r="I121">
        <v>-28</v>
      </c>
      <c r="J121">
        <v>1.18</v>
      </c>
      <c r="K121">
        <v>12.56400725</v>
      </c>
      <c r="L121">
        <v>1.408399284745492</v>
      </c>
      <c r="M121">
        <v>-1.4826687818486539</v>
      </c>
      <c r="N121">
        <v>-0.72696798468317469</v>
      </c>
      <c r="O121">
        <v>-0.55372675110006542</v>
      </c>
    </row>
    <row r="122" spans="1:15" x14ac:dyDescent="0.25">
      <c r="A122">
        <v>68.311359500000009</v>
      </c>
      <c r="B122">
        <v>-33.777946499999999</v>
      </c>
      <c r="C122">
        <v>-26.753081999999999</v>
      </c>
      <c r="D122">
        <v>78.982835749999992</v>
      </c>
      <c r="E122">
        <v>45.38655825</v>
      </c>
      <c r="F122">
        <v>1.1207035000000001</v>
      </c>
      <c r="G122">
        <v>94.709034000000003</v>
      </c>
      <c r="H122">
        <v>-24</v>
      </c>
      <c r="I122">
        <v>-24</v>
      </c>
      <c r="J122">
        <v>1.18</v>
      </c>
      <c r="K122">
        <v>12.59460975</v>
      </c>
      <c r="L122">
        <v>1.256610399617754</v>
      </c>
      <c r="M122">
        <v>-1.490501033988672</v>
      </c>
      <c r="N122">
        <v>-0.65195994816456959</v>
      </c>
      <c r="O122">
        <v>-0.41486124346553971</v>
      </c>
    </row>
    <row r="123" spans="1:15" x14ac:dyDescent="0.25">
      <c r="A123">
        <v>63.615788500000001</v>
      </c>
      <c r="B123">
        <v>-28.212261000000002</v>
      </c>
      <c r="C123">
        <v>-14.25628025</v>
      </c>
      <c r="D123">
        <v>83.713937749999999</v>
      </c>
      <c r="E123">
        <v>51.959808500000001</v>
      </c>
      <c r="F123">
        <v>1.1206985</v>
      </c>
      <c r="G123">
        <v>94.789092999999994</v>
      </c>
      <c r="H123">
        <v>-24</v>
      </c>
      <c r="I123">
        <v>-20</v>
      </c>
      <c r="J123">
        <v>1.18</v>
      </c>
      <c r="K123">
        <v>12.599997999999999</v>
      </c>
      <c r="L123">
        <v>1.063903867944646</v>
      </c>
      <c r="M123">
        <v>-1.5291588548774591</v>
      </c>
      <c r="N123">
        <v>-0.58514948245065124</v>
      </c>
      <c r="O123">
        <v>-0.30538735383348209</v>
      </c>
    </row>
    <row r="124" spans="1:15" x14ac:dyDescent="0.25">
      <c r="A124">
        <v>59.010566500000003</v>
      </c>
      <c r="B124">
        <v>-23.606178499999999</v>
      </c>
      <c r="C124">
        <v>-2.2557404999999999</v>
      </c>
      <c r="D124">
        <v>87.185783499999999</v>
      </c>
      <c r="E124">
        <v>57.862323750000002</v>
      </c>
      <c r="F124">
        <v>1.1207607500000001</v>
      </c>
      <c r="G124">
        <v>95.109367250000005</v>
      </c>
      <c r="H124">
        <v>-24</v>
      </c>
      <c r="I124">
        <v>-16</v>
      </c>
      <c r="J124">
        <v>1.18</v>
      </c>
      <c r="K124">
        <v>12.621517000000001</v>
      </c>
      <c r="L124">
        <v>0.8654328643880882</v>
      </c>
      <c r="M124">
        <v>-1.5650074972675141</v>
      </c>
      <c r="N124">
        <v>-0.52614432619591844</v>
      </c>
      <c r="O124">
        <v>-0.19848465553311581</v>
      </c>
    </row>
    <row r="125" spans="1:15" x14ac:dyDescent="0.25">
      <c r="A125">
        <v>52.870241249999999</v>
      </c>
      <c r="B125">
        <v>-22.4546575</v>
      </c>
      <c r="C125">
        <v>6.5501562500000006</v>
      </c>
      <c r="D125">
        <v>90.077359999999999</v>
      </c>
      <c r="E125">
        <v>60.545278499999988</v>
      </c>
      <c r="F125">
        <v>0.92596900000000004</v>
      </c>
      <c r="G125">
        <v>95.789890499999998</v>
      </c>
      <c r="H125">
        <v>-24</v>
      </c>
      <c r="I125">
        <v>-12</v>
      </c>
      <c r="J125">
        <v>1.18</v>
      </c>
      <c r="K125">
        <v>12.6801525</v>
      </c>
      <c r="L125">
        <v>0.67623509693520345</v>
      </c>
      <c r="M125">
        <v>-1.642897288642476</v>
      </c>
      <c r="N125">
        <v>-0.51456754469235289</v>
      </c>
      <c r="O125">
        <v>-0.12962710943560921</v>
      </c>
    </row>
    <row r="126" spans="1:15" x14ac:dyDescent="0.25">
      <c r="A126">
        <v>45.872033250000001</v>
      </c>
      <c r="B126">
        <v>-19.431915499999999</v>
      </c>
      <c r="C126">
        <v>18.566261749999999</v>
      </c>
      <c r="D126">
        <v>91.009075249999995</v>
      </c>
      <c r="E126">
        <v>63.988444250000001</v>
      </c>
      <c r="F126">
        <v>0.97477100000000005</v>
      </c>
      <c r="G126">
        <v>95.749880000000005</v>
      </c>
      <c r="H126">
        <v>-24</v>
      </c>
      <c r="I126">
        <v>-8</v>
      </c>
      <c r="J126">
        <v>1.18</v>
      </c>
      <c r="K126">
        <v>12.67421725</v>
      </c>
      <c r="L126">
        <v>0.4238655674111691</v>
      </c>
      <c r="M126">
        <v>-1.714390137287874</v>
      </c>
      <c r="N126">
        <v>-0.49305525573251963</v>
      </c>
      <c r="O126">
        <v>-2.185471583957467E-2</v>
      </c>
    </row>
    <row r="127" spans="1:15" x14ac:dyDescent="0.25">
      <c r="A127">
        <v>37.609665749999998</v>
      </c>
      <c r="B127">
        <v>-19.048075000000001</v>
      </c>
      <c r="C127">
        <v>28.188201500000002</v>
      </c>
      <c r="D127">
        <v>92.142425500000002</v>
      </c>
      <c r="E127">
        <v>65.553547250000008</v>
      </c>
      <c r="F127">
        <v>0.97477100000000005</v>
      </c>
      <c r="G127">
        <v>96.070133499999997</v>
      </c>
      <c r="H127">
        <v>-24</v>
      </c>
      <c r="I127">
        <v>-4</v>
      </c>
      <c r="J127">
        <v>1.18</v>
      </c>
      <c r="K127">
        <v>12.695612499999999</v>
      </c>
      <c r="L127">
        <v>0.15449140023663879</v>
      </c>
      <c r="M127">
        <v>-1.8232887234061641</v>
      </c>
      <c r="N127">
        <v>-0.50040783170074254</v>
      </c>
      <c r="O127">
        <v>5.8955362195349567E-2</v>
      </c>
    </row>
    <row r="128" spans="1:15" x14ac:dyDescent="0.25">
      <c r="A128">
        <v>29.663318</v>
      </c>
      <c r="B128">
        <v>-18.184435000000001</v>
      </c>
      <c r="C128">
        <v>37.177691250000002</v>
      </c>
      <c r="D128">
        <v>92.279815499999998</v>
      </c>
      <c r="E128">
        <v>66.3584575</v>
      </c>
      <c r="F128">
        <v>0.92603999999999997</v>
      </c>
      <c r="G128">
        <v>96.870782500000004</v>
      </c>
      <c r="H128">
        <v>-24</v>
      </c>
      <c r="I128">
        <v>0</v>
      </c>
      <c r="J128">
        <v>1.18</v>
      </c>
      <c r="K128">
        <v>12.752183499999999</v>
      </c>
      <c r="L128">
        <v>-0.12394822069656319</v>
      </c>
      <c r="M128">
        <v>-1.8222711651568799</v>
      </c>
      <c r="N128">
        <v>-0.50334225060321014</v>
      </c>
      <c r="O128">
        <v>7.9419560617477805E-2</v>
      </c>
    </row>
    <row r="129" spans="1:15" x14ac:dyDescent="0.25">
      <c r="A129">
        <v>19.685269999999999</v>
      </c>
      <c r="B129">
        <v>-17.27281425</v>
      </c>
      <c r="C129">
        <v>46.302762250000001</v>
      </c>
      <c r="D129">
        <v>91.666368500000004</v>
      </c>
      <c r="E129">
        <v>66.045467500000001</v>
      </c>
      <c r="F129">
        <v>0.97477975000000006</v>
      </c>
      <c r="G129">
        <v>96.590614500000001</v>
      </c>
      <c r="H129">
        <v>-24</v>
      </c>
      <c r="I129">
        <v>4</v>
      </c>
      <c r="J129">
        <v>1.18</v>
      </c>
      <c r="K129">
        <v>12.730307</v>
      </c>
      <c r="L129">
        <v>-0.41051042281005462</v>
      </c>
      <c r="M129">
        <v>-1.6801529576473631</v>
      </c>
      <c r="N129">
        <v>-0.47110085565478782</v>
      </c>
      <c r="O129">
        <v>3.5726162894174039E-3</v>
      </c>
    </row>
    <row r="130" spans="1:15" x14ac:dyDescent="0.25">
      <c r="A130">
        <v>10.113517999999999</v>
      </c>
      <c r="B130">
        <v>-16.649073999999999</v>
      </c>
      <c r="C130">
        <v>54.162899750000001</v>
      </c>
      <c r="D130">
        <v>91.096830499999996</v>
      </c>
      <c r="E130">
        <v>64.927587500000001</v>
      </c>
      <c r="F130">
        <v>1.0722765000000001</v>
      </c>
      <c r="G130">
        <v>97.151021999999998</v>
      </c>
      <c r="H130">
        <v>-24</v>
      </c>
      <c r="I130">
        <v>8</v>
      </c>
      <c r="J130">
        <v>1.18</v>
      </c>
      <c r="K130">
        <v>12.7610855</v>
      </c>
      <c r="L130">
        <v>-0.64593312234216893</v>
      </c>
      <c r="M130">
        <v>-1.5799556349538759</v>
      </c>
      <c r="N130">
        <v>-0.47252514547734109</v>
      </c>
      <c r="O130">
        <v>-6.3638363448344129E-2</v>
      </c>
    </row>
    <row r="131" spans="1:15" x14ac:dyDescent="0.25">
      <c r="A131">
        <v>0.54188099999999995</v>
      </c>
      <c r="B131">
        <v>-13.86623075</v>
      </c>
      <c r="C131">
        <v>58.996466750000003</v>
      </c>
      <c r="D131">
        <v>85.531995999999992</v>
      </c>
      <c r="E131">
        <v>59.919441249999998</v>
      </c>
      <c r="F131">
        <v>0.97480599999999995</v>
      </c>
      <c r="G131">
        <v>93.228216250000003</v>
      </c>
      <c r="H131">
        <v>-24</v>
      </c>
      <c r="I131">
        <v>12</v>
      </c>
      <c r="J131">
        <v>1.18</v>
      </c>
      <c r="K131">
        <v>12.50445725</v>
      </c>
      <c r="L131">
        <v>-0.87794043534052446</v>
      </c>
      <c r="M131">
        <v>-1.492870064463921</v>
      </c>
      <c r="N131">
        <v>-0.50026487731052849</v>
      </c>
      <c r="O131">
        <v>-0.1146903028504578</v>
      </c>
    </row>
    <row r="132" spans="1:15" x14ac:dyDescent="0.25">
      <c r="A132">
        <v>-9.508661</v>
      </c>
      <c r="B132">
        <v>-15.209672250000001</v>
      </c>
      <c r="C132">
        <v>61.752065000000002</v>
      </c>
      <c r="D132">
        <v>79.660480500000006</v>
      </c>
      <c r="E132">
        <v>52.138877000000001</v>
      </c>
      <c r="F132">
        <v>0.77983899999999995</v>
      </c>
      <c r="G132">
        <v>89.865753249999997</v>
      </c>
      <c r="H132">
        <v>-24</v>
      </c>
      <c r="I132">
        <v>16</v>
      </c>
      <c r="J132">
        <v>1.18</v>
      </c>
      <c r="K132">
        <v>12.28792075</v>
      </c>
      <c r="L132">
        <v>-1.1048081392977249</v>
      </c>
      <c r="M132">
        <v>-1.470822130200899</v>
      </c>
      <c r="N132">
        <v>-0.58489489384879623</v>
      </c>
      <c r="O132">
        <v>-0.20362459104611019</v>
      </c>
    </row>
    <row r="133" spans="1:15" x14ac:dyDescent="0.25">
      <c r="A133">
        <v>-18.293836249999998</v>
      </c>
      <c r="B133">
        <v>-19.14403575</v>
      </c>
      <c r="C133">
        <v>64.326971</v>
      </c>
      <c r="D133">
        <v>74.358533749999992</v>
      </c>
      <c r="E133">
        <v>44.626589750000001</v>
      </c>
      <c r="F133">
        <v>0.77983899999999995</v>
      </c>
      <c r="G133">
        <v>87.384000749999998</v>
      </c>
      <c r="H133">
        <v>-24</v>
      </c>
      <c r="I133">
        <v>20</v>
      </c>
      <c r="J133">
        <v>1.18</v>
      </c>
      <c r="K133">
        <v>12.11555325</v>
      </c>
      <c r="L133">
        <v>-1.3043047370162351</v>
      </c>
      <c r="M133">
        <v>-1.4760703404641831</v>
      </c>
      <c r="N133">
        <v>-0.67500347159357121</v>
      </c>
      <c r="O133">
        <v>-0.30782411171075452</v>
      </c>
    </row>
    <row r="134" spans="1:15" x14ac:dyDescent="0.25">
      <c r="A134">
        <v>-28.295044749999999</v>
      </c>
      <c r="B134">
        <v>-28.116301249999999</v>
      </c>
      <c r="C134">
        <v>64.733533750000007</v>
      </c>
      <c r="D134">
        <v>66.865730500000012</v>
      </c>
      <c r="E134">
        <v>33.3581705</v>
      </c>
      <c r="F134">
        <v>0.63361250000000002</v>
      </c>
      <c r="G134">
        <v>83.701276749999991</v>
      </c>
      <c r="H134">
        <v>-24</v>
      </c>
      <c r="I134">
        <v>24</v>
      </c>
      <c r="J134">
        <v>1.18</v>
      </c>
      <c r="K134">
        <v>11.865603</v>
      </c>
      <c r="L134">
        <v>-1.511089697513444</v>
      </c>
      <c r="M134">
        <v>-1.5428315933248711</v>
      </c>
      <c r="N134">
        <v>-0.81775861414289741</v>
      </c>
      <c r="O134">
        <v>-0.46843072286893361</v>
      </c>
    </row>
    <row r="135" spans="1:15" x14ac:dyDescent="0.25">
      <c r="A135">
        <v>-38.567766249999998</v>
      </c>
      <c r="B135">
        <v>-38.815849</v>
      </c>
      <c r="C135">
        <v>66.404962749999996</v>
      </c>
      <c r="D135">
        <v>61.300915750000001</v>
      </c>
      <c r="E135">
        <v>22.536895250000001</v>
      </c>
      <c r="F135">
        <v>0.58486299999999991</v>
      </c>
      <c r="G135">
        <v>83.58122075</v>
      </c>
      <c r="H135">
        <v>-24</v>
      </c>
      <c r="I135">
        <v>28</v>
      </c>
      <c r="J135">
        <v>1.18</v>
      </c>
      <c r="K135">
        <v>11.86051125</v>
      </c>
      <c r="L135">
        <v>-1.7144923071838549</v>
      </c>
      <c r="M135">
        <v>-1.635191603100244</v>
      </c>
      <c r="N135">
        <v>-0.99710425580423212</v>
      </c>
      <c r="O135">
        <v>-0.64152698849958556</v>
      </c>
    </row>
    <row r="136" spans="1:15" x14ac:dyDescent="0.25">
      <c r="A136">
        <v>-50.462500749999997</v>
      </c>
      <c r="B136">
        <v>-51.578539999999997</v>
      </c>
      <c r="C136">
        <v>68.84432975</v>
      </c>
      <c r="D136">
        <v>56.875340250000001</v>
      </c>
      <c r="E136">
        <v>10.597732000000001</v>
      </c>
      <c r="F136">
        <v>0.73108200000000001</v>
      </c>
      <c r="G136">
        <v>85.422629999999998</v>
      </c>
      <c r="H136">
        <v>-24</v>
      </c>
      <c r="I136">
        <v>32</v>
      </c>
      <c r="J136">
        <v>1.18</v>
      </c>
      <c r="K136">
        <v>11.98102525</v>
      </c>
      <c r="L136">
        <v>-1.936229288031692</v>
      </c>
      <c r="M136">
        <v>-1.760099269614456</v>
      </c>
      <c r="N136">
        <v>-1.214335478070353</v>
      </c>
      <c r="O136">
        <v>-0.83987636275309896</v>
      </c>
    </row>
    <row r="137" spans="1:15" x14ac:dyDescent="0.25">
      <c r="A137">
        <v>-62.267122000000001</v>
      </c>
      <c r="B137">
        <v>-63.909412500000002</v>
      </c>
      <c r="C137">
        <v>68.57329575</v>
      </c>
      <c r="D137">
        <v>50.390341999999997</v>
      </c>
      <c r="E137">
        <v>-3.65821475</v>
      </c>
      <c r="F137">
        <v>0.73107224999999998</v>
      </c>
      <c r="G137">
        <v>85.902981000000011</v>
      </c>
      <c r="H137">
        <v>-24</v>
      </c>
      <c r="I137">
        <v>36</v>
      </c>
      <c r="J137">
        <v>1.18</v>
      </c>
      <c r="K137">
        <v>12.01495175</v>
      </c>
      <c r="L137">
        <v>-2.201620751948306</v>
      </c>
      <c r="M137">
        <v>-1.923291151649795</v>
      </c>
      <c r="N137">
        <v>-1.5070685959709189</v>
      </c>
      <c r="O137">
        <v>-1.073892718858154</v>
      </c>
    </row>
    <row r="138" spans="1:15" x14ac:dyDescent="0.25">
      <c r="A138">
        <v>-74.297021749999999</v>
      </c>
      <c r="B138">
        <v>-76.432201250000006</v>
      </c>
      <c r="C138">
        <v>68.844389000000007</v>
      </c>
      <c r="D138">
        <v>43.6862335</v>
      </c>
      <c r="E138">
        <v>-18.46951975</v>
      </c>
      <c r="F138">
        <v>0.73107224999999998</v>
      </c>
      <c r="G138">
        <v>86.903735749999996</v>
      </c>
      <c r="H138">
        <v>-24</v>
      </c>
      <c r="I138">
        <v>40</v>
      </c>
      <c r="J138">
        <v>1.18</v>
      </c>
      <c r="K138">
        <v>12.08533325</v>
      </c>
      <c r="L138">
        <v>-2.5158830802297372</v>
      </c>
      <c r="M138">
        <v>-2.1112220282652832</v>
      </c>
      <c r="N138">
        <v>-1.8520621766986001</v>
      </c>
      <c r="O138">
        <v>-1.337470846466716</v>
      </c>
    </row>
    <row r="139" spans="1:15" x14ac:dyDescent="0.25">
      <c r="A139">
        <v>-85.200523250000003</v>
      </c>
      <c r="B139">
        <v>-88.283273499999993</v>
      </c>
      <c r="C139">
        <v>68.121593500000003</v>
      </c>
      <c r="D139">
        <v>35.930516249999997</v>
      </c>
      <c r="E139">
        <v>-34.753034749999998</v>
      </c>
      <c r="F139">
        <v>0.73108099999999998</v>
      </c>
      <c r="G139">
        <v>87.904500749999997</v>
      </c>
      <c r="H139">
        <v>-24</v>
      </c>
      <c r="I139">
        <v>44</v>
      </c>
      <c r="J139">
        <v>1.18</v>
      </c>
      <c r="K139">
        <v>12.1553085</v>
      </c>
      <c r="L139">
        <v>-2.9491533938078809</v>
      </c>
      <c r="M139">
        <v>-2.3892236036749859</v>
      </c>
      <c r="N139">
        <v>-2.359324230994551</v>
      </c>
      <c r="O139">
        <v>-1.6825360643696701</v>
      </c>
    </row>
    <row r="140" spans="1:15" x14ac:dyDescent="0.25">
      <c r="A140">
        <v>71.381917999999999</v>
      </c>
      <c r="B140">
        <v>-82.045867999999999</v>
      </c>
      <c r="C140">
        <v>-82.2894115</v>
      </c>
      <c r="D140">
        <v>35.755260499999999</v>
      </c>
      <c r="E140">
        <v>-7.3610412500000004</v>
      </c>
      <c r="F140">
        <v>0.68235899999999994</v>
      </c>
      <c r="G140">
        <v>88.299711000000002</v>
      </c>
      <c r="H140">
        <v>-20</v>
      </c>
      <c r="I140">
        <v>-44</v>
      </c>
      <c r="J140">
        <v>1.18</v>
      </c>
      <c r="K140">
        <v>12.186218</v>
      </c>
      <c r="L140">
        <v>2.054282186032407</v>
      </c>
      <c r="M140">
        <v>-1.5747382629476021</v>
      </c>
      <c r="N140">
        <v>-1.278807433011915</v>
      </c>
      <c r="O140">
        <v>-1.1075236821124661</v>
      </c>
    </row>
    <row r="141" spans="1:15" x14ac:dyDescent="0.25">
      <c r="A141">
        <v>74.000623750000003</v>
      </c>
      <c r="B141">
        <v>-68.899338</v>
      </c>
      <c r="C141">
        <v>-71.0558245</v>
      </c>
      <c r="D141">
        <v>44.299736250000002</v>
      </c>
      <c r="E141">
        <v>6.7521389999999997</v>
      </c>
      <c r="F141">
        <v>0.77984699999999996</v>
      </c>
      <c r="G141">
        <v>89.095092749999992</v>
      </c>
      <c r="H141">
        <v>-20</v>
      </c>
      <c r="I141">
        <v>-40</v>
      </c>
      <c r="J141">
        <v>1.18</v>
      </c>
      <c r="K141">
        <v>12.234656749999999</v>
      </c>
      <c r="L141">
        <v>1.890483203441659</v>
      </c>
      <c r="M141">
        <v>-1.475289827068015</v>
      </c>
      <c r="N141">
        <v>-1.0731529962994191</v>
      </c>
      <c r="O141">
        <v>-0.92215492599768156</v>
      </c>
    </row>
    <row r="142" spans="1:15" x14ac:dyDescent="0.25">
      <c r="A142">
        <v>74.858455500000005</v>
      </c>
      <c r="B142">
        <v>-54.985124499999998</v>
      </c>
      <c r="C142">
        <v>-58.198103000000003</v>
      </c>
      <c r="D142">
        <v>52.668943249999998</v>
      </c>
      <c r="E142">
        <v>20.435279000000001</v>
      </c>
      <c r="F142">
        <v>0.73110350000000002</v>
      </c>
      <c r="G142">
        <v>89.330073999999996</v>
      </c>
      <c r="H142">
        <v>-20</v>
      </c>
      <c r="I142">
        <v>-36</v>
      </c>
      <c r="J142">
        <v>1.18</v>
      </c>
      <c r="K142">
        <v>12.254293499999999</v>
      </c>
      <c r="L142">
        <v>1.727425424103235</v>
      </c>
      <c r="M142">
        <v>-1.3976253070056319</v>
      </c>
      <c r="N142">
        <v>-0.89445331111766713</v>
      </c>
      <c r="O142">
        <v>-0.74420280702284836</v>
      </c>
    </row>
    <row r="143" spans="1:15" x14ac:dyDescent="0.25">
      <c r="A143">
        <v>74.903632999999999</v>
      </c>
      <c r="B143">
        <v>-42.654252999999997</v>
      </c>
      <c r="C143">
        <v>-45.926878000000002</v>
      </c>
      <c r="D143">
        <v>59.85506625</v>
      </c>
      <c r="E143">
        <v>31.92733625</v>
      </c>
      <c r="F143">
        <v>0.77983500000000006</v>
      </c>
      <c r="G143">
        <v>89.845164999999994</v>
      </c>
      <c r="H143">
        <v>-20</v>
      </c>
      <c r="I143">
        <v>-32</v>
      </c>
      <c r="J143">
        <v>1.18</v>
      </c>
      <c r="K143">
        <v>12.2865035</v>
      </c>
      <c r="L143">
        <v>1.5853306060085059</v>
      </c>
      <c r="M143">
        <v>-1.344977956389104</v>
      </c>
      <c r="N143">
        <v>-0.75991449064775285</v>
      </c>
      <c r="O143">
        <v>-0.59134218073183409</v>
      </c>
    </row>
    <row r="144" spans="1:15" x14ac:dyDescent="0.25">
      <c r="A144">
        <v>73.774887250000006</v>
      </c>
      <c r="B144">
        <v>-31.13904475</v>
      </c>
      <c r="C144">
        <v>-31.3096785</v>
      </c>
      <c r="D144">
        <v>67.041204749999991</v>
      </c>
      <c r="E144">
        <v>42.614490500000002</v>
      </c>
      <c r="F144">
        <v>0.92605025000000007</v>
      </c>
      <c r="G144">
        <v>90.765625</v>
      </c>
      <c r="H144">
        <v>-20</v>
      </c>
      <c r="I144">
        <v>-28</v>
      </c>
      <c r="J144">
        <v>1.18</v>
      </c>
      <c r="K144">
        <v>12.339790499999999</v>
      </c>
      <c r="L144">
        <v>1.423161464035283</v>
      </c>
      <c r="M144">
        <v>-1.3296526770265451</v>
      </c>
      <c r="N144">
        <v>-0.65211316141396858</v>
      </c>
      <c r="O144">
        <v>-0.43541165385633751</v>
      </c>
    </row>
    <row r="145" spans="1:15" x14ac:dyDescent="0.25">
      <c r="A145">
        <v>71.607753750000001</v>
      </c>
      <c r="B145">
        <v>-19.815755500000002</v>
      </c>
      <c r="C145">
        <v>-15.790183750000001</v>
      </c>
      <c r="D145">
        <v>72.080224749999999</v>
      </c>
      <c r="E145">
        <v>52.407363750000002</v>
      </c>
      <c r="F145">
        <v>0.8773105000000001</v>
      </c>
      <c r="G145">
        <v>90.50664350000001</v>
      </c>
      <c r="H145">
        <v>-20</v>
      </c>
      <c r="I145">
        <v>-24</v>
      </c>
      <c r="J145">
        <v>1.18</v>
      </c>
      <c r="K145">
        <v>12.32534325</v>
      </c>
      <c r="L145">
        <v>1.2447790254052249</v>
      </c>
      <c r="M145">
        <v>-1.308872374754473</v>
      </c>
      <c r="N145">
        <v>-0.54264676754860419</v>
      </c>
      <c r="O145">
        <v>-0.26604051890509001</v>
      </c>
    </row>
    <row r="146" spans="1:15" x14ac:dyDescent="0.25">
      <c r="A146">
        <v>68.266672</v>
      </c>
      <c r="B146">
        <v>-13.77027075</v>
      </c>
      <c r="C146">
        <v>-3.6542995</v>
      </c>
      <c r="D146">
        <v>76.768771999999998</v>
      </c>
      <c r="E146">
        <v>59.561971749999998</v>
      </c>
      <c r="F146">
        <v>0.82857075000000002</v>
      </c>
      <c r="G146">
        <v>91.181810249999998</v>
      </c>
      <c r="H146">
        <v>-20</v>
      </c>
      <c r="I146">
        <v>-20</v>
      </c>
      <c r="J146">
        <v>1.18</v>
      </c>
      <c r="K146">
        <v>12.375017250000001</v>
      </c>
      <c r="L146">
        <v>1.053412359277905</v>
      </c>
      <c r="M146">
        <v>-1.326093825857281</v>
      </c>
      <c r="N146">
        <v>-0.46312617640207271</v>
      </c>
      <c r="O146">
        <v>-0.13972403624257571</v>
      </c>
    </row>
    <row r="147" spans="1:15" x14ac:dyDescent="0.25">
      <c r="A147">
        <v>63.571105250000002</v>
      </c>
      <c r="B147">
        <v>-8.9242872500000008</v>
      </c>
      <c r="C147">
        <v>7.4987967500000003</v>
      </c>
      <c r="D147">
        <v>80.449466749999999</v>
      </c>
      <c r="E147">
        <v>65.553993000000006</v>
      </c>
      <c r="F147">
        <v>0.92605775000000001</v>
      </c>
      <c r="G147">
        <v>91.627488999999997</v>
      </c>
      <c r="H147">
        <v>-20</v>
      </c>
      <c r="I147">
        <v>-16</v>
      </c>
      <c r="J147">
        <v>1.18</v>
      </c>
      <c r="K147">
        <v>12.3988385</v>
      </c>
      <c r="L147">
        <v>0.84614260983839817</v>
      </c>
      <c r="M147">
        <v>-1.3486804837963831</v>
      </c>
      <c r="N147">
        <v>-0.39344803182703919</v>
      </c>
      <c r="O147">
        <v>-2.4682447806934221E-2</v>
      </c>
    </row>
    <row r="148" spans="1:15" x14ac:dyDescent="0.25">
      <c r="A148">
        <v>57.701616250000001</v>
      </c>
      <c r="B148">
        <v>-5.6136647499999999</v>
      </c>
      <c r="C148">
        <v>17.25629825</v>
      </c>
      <c r="D148">
        <v>82.815662500000002</v>
      </c>
      <c r="E148">
        <v>69.757286249999993</v>
      </c>
      <c r="F148">
        <v>0.97480500000000003</v>
      </c>
      <c r="G148">
        <v>91.747615999999994</v>
      </c>
      <c r="H148">
        <v>-20</v>
      </c>
      <c r="I148">
        <v>-12</v>
      </c>
      <c r="J148">
        <v>1.18</v>
      </c>
      <c r="K148">
        <v>12.40371775</v>
      </c>
      <c r="L148">
        <v>0.63258233010861764</v>
      </c>
      <c r="M148">
        <v>-1.383084912549178</v>
      </c>
      <c r="N148">
        <v>-0.34393732794283638</v>
      </c>
      <c r="O148">
        <v>7.5810923099322872E-2</v>
      </c>
    </row>
    <row r="149" spans="1:15" x14ac:dyDescent="0.25">
      <c r="A149">
        <v>51.06457425</v>
      </c>
      <c r="B149">
        <v>-4.6540637499999997</v>
      </c>
      <c r="C149">
        <v>25.703771</v>
      </c>
      <c r="D149">
        <v>84.743677000000005</v>
      </c>
      <c r="E149">
        <v>71.993120000000005</v>
      </c>
      <c r="F149">
        <v>0.92608050000000008</v>
      </c>
      <c r="G149">
        <v>92.027801499999995</v>
      </c>
      <c r="H149">
        <v>-20</v>
      </c>
      <c r="I149">
        <v>-8</v>
      </c>
      <c r="J149">
        <v>1.18</v>
      </c>
      <c r="K149">
        <v>12.426166500000001</v>
      </c>
      <c r="L149">
        <v>0.41253737633556342</v>
      </c>
      <c r="M149">
        <v>-1.454425278250014</v>
      </c>
      <c r="N149">
        <v>-0.32597109748600078</v>
      </c>
      <c r="O149">
        <v>0.1561859258268036</v>
      </c>
    </row>
    <row r="150" spans="1:15" x14ac:dyDescent="0.25">
      <c r="A150">
        <v>43.614905999999998</v>
      </c>
      <c r="B150">
        <v>-4.6540637499999997</v>
      </c>
      <c r="C150">
        <v>33.699522250000001</v>
      </c>
      <c r="D150">
        <v>85.532399999999996</v>
      </c>
      <c r="E150">
        <v>72.93219775</v>
      </c>
      <c r="F150">
        <v>0.92608050000000008</v>
      </c>
      <c r="G150">
        <v>92.067870999999997</v>
      </c>
      <c r="H150">
        <v>-20</v>
      </c>
      <c r="I150">
        <v>-4</v>
      </c>
      <c r="J150">
        <v>1.18</v>
      </c>
      <c r="K150">
        <v>12.428900499999999</v>
      </c>
      <c r="L150">
        <v>0.16970010497643689</v>
      </c>
      <c r="M150">
        <v>-1.5440714818625569</v>
      </c>
      <c r="N150">
        <v>-0.32762494610940451</v>
      </c>
      <c r="O150">
        <v>0.2328098939195139</v>
      </c>
    </row>
    <row r="151" spans="1:15" x14ac:dyDescent="0.25">
      <c r="A151">
        <v>34.67518725</v>
      </c>
      <c r="B151">
        <v>-4.2702229999999997</v>
      </c>
      <c r="C151">
        <v>42.508396249999997</v>
      </c>
      <c r="D151">
        <v>85.707700500000001</v>
      </c>
      <c r="E151">
        <v>73.200496749999999</v>
      </c>
      <c r="F151">
        <v>0.97481600000000002</v>
      </c>
      <c r="G151">
        <v>92.187989999999999</v>
      </c>
      <c r="H151">
        <v>-20</v>
      </c>
      <c r="I151">
        <v>0</v>
      </c>
      <c r="J151">
        <v>1.18</v>
      </c>
      <c r="K151">
        <v>12.433767250000001</v>
      </c>
      <c r="L151">
        <v>-0.1350348054370458</v>
      </c>
      <c r="M151">
        <v>-1.5514236513247639</v>
      </c>
      <c r="N151">
        <v>-0.32739984219182272</v>
      </c>
      <c r="O151">
        <v>0.24531833740811859</v>
      </c>
    </row>
    <row r="152" spans="1:15" x14ac:dyDescent="0.25">
      <c r="A152">
        <v>27.044844000000001</v>
      </c>
      <c r="B152">
        <v>-2.7828425000000001</v>
      </c>
      <c r="C152">
        <v>50.775176999999999</v>
      </c>
      <c r="D152">
        <v>85.576307</v>
      </c>
      <c r="E152">
        <v>73.558237249999991</v>
      </c>
      <c r="F152">
        <v>0.92606849999999996</v>
      </c>
      <c r="G152">
        <v>92.828426500000006</v>
      </c>
      <c r="H152">
        <v>-20</v>
      </c>
      <c r="I152">
        <v>4</v>
      </c>
      <c r="J152">
        <v>1.18</v>
      </c>
      <c r="K152">
        <v>12.480650499999999</v>
      </c>
      <c r="L152">
        <v>-0.38631711136326008</v>
      </c>
      <c r="M152">
        <v>-1.4384426491464199</v>
      </c>
      <c r="N152">
        <v>-0.31372078463731817</v>
      </c>
      <c r="O152">
        <v>0.18240824482826881</v>
      </c>
    </row>
    <row r="153" spans="1:15" x14ac:dyDescent="0.25">
      <c r="A153">
        <v>18.330907</v>
      </c>
      <c r="B153">
        <v>-1.77526125</v>
      </c>
      <c r="C153">
        <v>57.686778750000002</v>
      </c>
      <c r="D153">
        <v>84.086526500000005</v>
      </c>
      <c r="E153">
        <v>71.501289499999999</v>
      </c>
      <c r="F153">
        <v>0.92606849999999996</v>
      </c>
      <c r="G153">
        <v>92.748432500000007</v>
      </c>
      <c r="H153">
        <v>-20</v>
      </c>
      <c r="I153">
        <v>8</v>
      </c>
      <c r="J153">
        <v>1.18</v>
      </c>
      <c r="K153">
        <v>12.47521875</v>
      </c>
      <c r="L153">
        <v>-0.62247890250069471</v>
      </c>
      <c r="M153">
        <v>-1.358067578106692</v>
      </c>
      <c r="N153">
        <v>-0.33606380056774959</v>
      </c>
      <c r="O153">
        <v>0.11628866573441581</v>
      </c>
    </row>
    <row r="154" spans="1:15" x14ac:dyDescent="0.25">
      <c r="A154">
        <v>9.8427240000000005</v>
      </c>
      <c r="B154">
        <v>0.192574</v>
      </c>
      <c r="C154">
        <v>64.82431824999999</v>
      </c>
      <c r="D154">
        <v>82.114722999999998</v>
      </c>
      <c r="E154">
        <v>69.131399250000001</v>
      </c>
      <c r="F154">
        <v>0.974804</v>
      </c>
      <c r="G154">
        <v>93.188820000000007</v>
      </c>
      <c r="H154">
        <v>-20</v>
      </c>
      <c r="I154">
        <v>12</v>
      </c>
      <c r="J154">
        <v>1.18</v>
      </c>
      <c r="K154">
        <v>12.501797</v>
      </c>
      <c r="L154">
        <v>-0.85757691859625618</v>
      </c>
      <c r="M154">
        <v>-1.277769580862248</v>
      </c>
      <c r="N154">
        <v>-0.37524554994159598</v>
      </c>
      <c r="O154">
        <v>6.3049063956495441E-2</v>
      </c>
    </row>
    <row r="155" spans="1:15" x14ac:dyDescent="0.25">
      <c r="A155">
        <v>0.58704449999999997</v>
      </c>
      <c r="B155">
        <v>-2.2070812499999999</v>
      </c>
      <c r="C155">
        <v>70.380615000000006</v>
      </c>
      <c r="D155">
        <v>80.176578500000005</v>
      </c>
      <c r="E155">
        <v>64.302019000000001</v>
      </c>
      <c r="F155">
        <v>0.97479199999999999</v>
      </c>
      <c r="G155">
        <v>93.989374249999997</v>
      </c>
      <c r="H155">
        <v>-20</v>
      </c>
      <c r="I155">
        <v>16</v>
      </c>
      <c r="J155">
        <v>1.18</v>
      </c>
      <c r="K155">
        <v>12.5559485</v>
      </c>
      <c r="L155">
        <v>-1.0718998680073439</v>
      </c>
      <c r="M155">
        <v>-1.2652501902006981</v>
      </c>
      <c r="N155">
        <v>-0.45594290460368919</v>
      </c>
      <c r="O155">
        <v>-2.7377755077895579E-2</v>
      </c>
    </row>
    <row r="156" spans="1:15" x14ac:dyDescent="0.25">
      <c r="A156">
        <v>-10.768337499999999</v>
      </c>
      <c r="B156">
        <v>-9.5960074999999989</v>
      </c>
      <c r="C156">
        <v>74.627010250000012</v>
      </c>
      <c r="D156">
        <v>75.269571249999998</v>
      </c>
      <c r="E156">
        <v>55.4929275</v>
      </c>
      <c r="F156">
        <v>0.97479199999999999</v>
      </c>
      <c r="G156">
        <v>93.709203500000001</v>
      </c>
      <c r="H156">
        <v>-20</v>
      </c>
      <c r="I156">
        <v>20</v>
      </c>
      <c r="J156">
        <v>1.18</v>
      </c>
      <c r="K156">
        <v>12.537023</v>
      </c>
      <c r="L156">
        <v>-1.3002988380040239</v>
      </c>
      <c r="M156">
        <v>-1.2922207394205361</v>
      </c>
      <c r="N156">
        <v>-0.58194824152893643</v>
      </c>
      <c r="O156">
        <v>-0.16990516826751051</v>
      </c>
    </row>
    <row r="157" spans="1:15" x14ac:dyDescent="0.25">
      <c r="A157">
        <v>-21.041062499999999</v>
      </c>
      <c r="B157">
        <v>-19.239995499999999</v>
      </c>
      <c r="C157">
        <v>78.105409500000007</v>
      </c>
      <c r="D157">
        <v>70.844589499999998</v>
      </c>
      <c r="E157">
        <v>46.236673250000003</v>
      </c>
      <c r="F157">
        <v>0.92604799999999998</v>
      </c>
      <c r="G157">
        <v>94.309688999999992</v>
      </c>
      <c r="H157">
        <v>-20</v>
      </c>
      <c r="I157">
        <v>24</v>
      </c>
      <c r="J157">
        <v>1.18</v>
      </c>
      <c r="K157">
        <v>12.58083175</v>
      </c>
      <c r="L157">
        <v>-1.493679401847724</v>
      </c>
      <c r="M157">
        <v>-1.3571654559924169</v>
      </c>
      <c r="N157">
        <v>-0.72425121127520076</v>
      </c>
      <c r="O157">
        <v>-0.31737921400908109</v>
      </c>
    </row>
    <row r="158" spans="1:15" x14ac:dyDescent="0.25">
      <c r="A158">
        <v>-33.791853000000003</v>
      </c>
      <c r="B158">
        <v>-32.866324499999997</v>
      </c>
      <c r="C158">
        <v>80.906200499999997</v>
      </c>
      <c r="D158">
        <v>65.710176500000003</v>
      </c>
      <c r="E158">
        <v>33.581964499999998</v>
      </c>
      <c r="F158">
        <v>0.974796</v>
      </c>
      <c r="G158">
        <v>94.750034499999998</v>
      </c>
      <c r="H158">
        <v>-20</v>
      </c>
      <c r="I158">
        <v>28</v>
      </c>
      <c r="J158">
        <v>1.18</v>
      </c>
      <c r="K158">
        <v>12.60718275</v>
      </c>
      <c r="L158">
        <v>-1.7141852019422119</v>
      </c>
      <c r="M158">
        <v>-1.473255082291099</v>
      </c>
      <c r="N158">
        <v>-0.91418420858416527</v>
      </c>
      <c r="O158">
        <v>-0.51268397922527931</v>
      </c>
    </row>
    <row r="159" spans="1:15" x14ac:dyDescent="0.25">
      <c r="A159">
        <v>-46.04703525</v>
      </c>
      <c r="B159">
        <v>-45.245172500000002</v>
      </c>
      <c r="C159">
        <v>82.125936499999995</v>
      </c>
      <c r="D159">
        <v>58.5295925</v>
      </c>
      <c r="E159">
        <v>19.496318250000002</v>
      </c>
      <c r="F159">
        <v>0.877332</v>
      </c>
      <c r="G159">
        <v>94.790085000000005</v>
      </c>
      <c r="H159">
        <v>-20</v>
      </c>
      <c r="I159">
        <v>32</v>
      </c>
      <c r="J159">
        <v>1.18</v>
      </c>
      <c r="K159">
        <v>12.616422500000001</v>
      </c>
      <c r="L159">
        <v>-1.967589880151301</v>
      </c>
      <c r="M159">
        <v>-1.593049298053391</v>
      </c>
      <c r="N159">
        <v>-1.1558488583289319</v>
      </c>
      <c r="O159">
        <v>-0.71419064587783954</v>
      </c>
    </row>
    <row r="160" spans="1:15" x14ac:dyDescent="0.25">
      <c r="A160">
        <v>-59.608830750000003</v>
      </c>
      <c r="B160">
        <v>-58.919486250000013</v>
      </c>
      <c r="C160">
        <v>82.848716749999994</v>
      </c>
      <c r="D160">
        <v>51.614231250000003</v>
      </c>
      <c r="E160">
        <v>3.9797482500000001</v>
      </c>
      <c r="F160">
        <v>0.877332</v>
      </c>
      <c r="G160">
        <v>95.430589499999996</v>
      </c>
      <c r="H160">
        <v>-20</v>
      </c>
      <c r="I160">
        <v>36</v>
      </c>
      <c r="J160">
        <v>1.18</v>
      </c>
      <c r="K160">
        <v>12.659372250000001</v>
      </c>
      <c r="L160">
        <v>-2.2525201556474612</v>
      </c>
      <c r="M160">
        <v>-1.7477346839386401</v>
      </c>
      <c r="N160">
        <v>-1.4460077262576261</v>
      </c>
      <c r="O160">
        <v>-0.95094360573744841</v>
      </c>
    </row>
    <row r="161" spans="1:15" x14ac:dyDescent="0.25">
      <c r="A161">
        <v>-72.629960749999995</v>
      </c>
      <c r="B161">
        <v>-71.826111249999997</v>
      </c>
      <c r="C161">
        <v>81.764568499999996</v>
      </c>
      <c r="D161">
        <v>42.843024999999997</v>
      </c>
      <c r="E161">
        <v>-13.606773</v>
      </c>
      <c r="F161">
        <v>0.974804</v>
      </c>
      <c r="G161">
        <v>95.5507755</v>
      </c>
      <c r="H161">
        <v>-20</v>
      </c>
      <c r="I161">
        <v>40</v>
      </c>
      <c r="J161">
        <v>1.18</v>
      </c>
      <c r="K161">
        <v>12.660894000000001</v>
      </c>
      <c r="L161">
        <v>-2.6337627921336351</v>
      </c>
      <c r="M161">
        <v>-1.956102717179405</v>
      </c>
      <c r="N161">
        <v>-1.8620930686694259</v>
      </c>
      <c r="O161">
        <v>-1.248738725788769</v>
      </c>
    </row>
    <row r="162" spans="1:15" x14ac:dyDescent="0.25">
      <c r="A162">
        <v>-85.786251249999992</v>
      </c>
      <c r="B162">
        <v>-85.644367000000003</v>
      </c>
      <c r="C162">
        <v>79.867246499999993</v>
      </c>
      <c r="D162">
        <v>33.126378000000003</v>
      </c>
      <c r="E162">
        <v>-33.503887249999998</v>
      </c>
      <c r="F162">
        <v>0.97480849999999997</v>
      </c>
      <c r="G162">
        <v>95.91094425</v>
      </c>
      <c r="H162">
        <v>-20</v>
      </c>
      <c r="I162">
        <v>44</v>
      </c>
      <c r="J162">
        <v>1.18</v>
      </c>
      <c r="K162">
        <v>12.684976000000001</v>
      </c>
      <c r="L162">
        <v>-3.1728776757716939</v>
      </c>
      <c r="M162">
        <v>-2.2749370973964291</v>
      </c>
      <c r="N162">
        <v>-2.4789430507456949</v>
      </c>
      <c r="O162">
        <v>-1.6605246471332671</v>
      </c>
    </row>
    <row r="163" spans="1:15" x14ac:dyDescent="0.25">
      <c r="A163">
        <v>83.979215750000009</v>
      </c>
      <c r="B163">
        <v>-79.1670625</v>
      </c>
      <c r="C163">
        <v>-85.898601249999999</v>
      </c>
      <c r="D163">
        <v>31.636567500000002</v>
      </c>
      <c r="E163">
        <v>-5.1750357499999993</v>
      </c>
      <c r="F163">
        <v>0.97481200000000001</v>
      </c>
      <c r="G163">
        <v>96.751668750000007</v>
      </c>
      <c r="H163">
        <v>-16</v>
      </c>
      <c r="I163">
        <v>-44</v>
      </c>
      <c r="J163">
        <v>1.18</v>
      </c>
      <c r="K163">
        <v>12.7410215</v>
      </c>
      <c r="L163">
        <v>2.1960334645910931</v>
      </c>
      <c r="M163">
        <v>-1.432354915936854</v>
      </c>
      <c r="N163">
        <v>-1.317630763917139</v>
      </c>
      <c r="O163">
        <v>-1.079511677497361</v>
      </c>
    </row>
    <row r="164" spans="1:15" x14ac:dyDescent="0.25">
      <c r="A164">
        <v>86.10133725</v>
      </c>
      <c r="B164">
        <v>-62.853851249999998</v>
      </c>
      <c r="C164">
        <v>-71.326511500000009</v>
      </c>
      <c r="D164">
        <v>41.4079695</v>
      </c>
      <c r="E164">
        <v>12.38643875</v>
      </c>
      <c r="F164">
        <v>0.97481200000000001</v>
      </c>
      <c r="G164">
        <v>96.511558750000006</v>
      </c>
      <c r="H164">
        <v>-16</v>
      </c>
      <c r="I164">
        <v>-40</v>
      </c>
      <c r="J164">
        <v>1.18</v>
      </c>
      <c r="K164">
        <v>12.72504075</v>
      </c>
      <c r="L164">
        <v>1.980818157916147</v>
      </c>
      <c r="M164">
        <v>-1.311852282458944</v>
      </c>
      <c r="N164">
        <v>-1.058499162240591</v>
      </c>
      <c r="O164">
        <v>-0.85641980799563622</v>
      </c>
    </row>
    <row r="165" spans="1:15" x14ac:dyDescent="0.25">
      <c r="A165">
        <v>86.959207750000004</v>
      </c>
      <c r="B165">
        <v>-47.644175500000003</v>
      </c>
      <c r="C165">
        <v>-57.431149499999997</v>
      </c>
      <c r="D165">
        <v>51.004100999999999</v>
      </c>
      <c r="E165">
        <v>27.858333500000001</v>
      </c>
      <c r="F165">
        <v>0.97480800000000001</v>
      </c>
      <c r="G165">
        <v>97.03194225</v>
      </c>
      <c r="H165">
        <v>-16</v>
      </c>
      <c r="I165">
        <v>-36</v>
      </c>
      <c r="J165">
        <v>1.18</v>
      </c>
      <c r="K165">
        <v>12.759651</v>
      </c>
      <c r="L165">
        <v>1.7960018164097289</v>
      </c>
      <c r="M165">
        <v>-1.22701967253003</v>
      </c>
      <c r="N165">
        <v>-0.86041936663579233</v>
      </c>
      <c r="O165">
        <v>-0.66561218956026547</v>
      </c>
    </row>
    <row r="166" spans="1:15" x14ac:dyDescent="0.25">
      <c r="A166">
        <v>82.489326250000005</v>
      </c>
      <c r="B166">
        <v>-33.154207249999999</v>
      </c>
      <c r="C166">
        <v>-41.686084999999999</v>
      </c>
      <c r="D166">
        <v>56.086981999999999</v>
      </c>
      <c r="E166">
        <v>38.635005</v>
      </c>
      <c r="F166">
        <v>0.82858399999999999</v>
      </c>
      <c r="G166">
        <v>92.508611500000001</v>
      </c>
      <c r="H166">
        <v>-16</v>
      </c>
      <c r="I166">
        <v>-32</v>
      </c>
      <c r="J166">
        <v>1.18</v>
      </c>
      <c r="K166">
        <v>12.4655425</v>
      </c>
      <c r="L166">
        <v>1.6327048414978791</v>
      </c>
      <c r="M166">
        <v>-1.173379932656667</v>
      </c>
      <c r="N166">
        <v>-0.70835266514509376</v>
      </c>
      <c r="O166">
        <v>-0.50290483206777759</v>
      </c>
    </row>
    <row r="167" spans="1:15" x14ac:dyDescent="0.25">
      <c r="A167">
        <v>78.064625000000007</v>
      </c>
      <c r="B167">
        <v>-20.391516249999999</v>
      </c>
      <c r="C167">
        <v>-26.031246500000002</v>
      </c>
      <c r="D167">
        <v>60.731684000000001</v>
      </c>
      <c r="E167">
        <v>47.891305000000003</v>
      </c>
      <c r="F167">
        <v>0.87731549999999991</v>
      </c>
      <c r="G167">
        <v>89.306236499999997</v>
      </c>
      <c r="H167">
        <v>-16</v>
      </c>
      <c r="I167">
        <v>-28</v>
      </c>
      <c r="J167">
        <v>1.18</v>
      </c>
      <c r="K167">
        <v>12.24252575</v>
      </c>
      <c r="L167">
        <v>1.4640161917986709</v>
      </c>
      <c r="M167">
        <v>-1.140933937485108</v>
      </c>
      <c r="N167">
        <v>-0.58246760861521696</v>
      </c>
      <c r="O167">
        <v>-0.3387870306088957</v>
      </c>
    </row>
    <row r="168" spans="1:15" x14ac:dyDescent="0.25">
      <c r="A168">
        <v>73.414245749999992</v>
      </c>
      <c r="B168">
        <v>-8.3485267499999996</v>
      </c>
      <c r="C168">
        <v>-9.2936505</v>
      </c>
      <c r="D168">
        <v>64.324758500000002</v>
      </c>
      <c r="E168">
        <v>56.700481250000003</v>
      </c>
      <c r="F168">
        <v>0.82857449999999999</v>
      </c>
      <c r="G168">
        <v>86.864483000000007</v>
      </c>
      <c r="H168">
        <v>-16</v>
      </c>
      <c r="I168">
        <v>-24</v>
      </c>
      <c r="J168">
        <v>1.18</v>
      </c>
      <c r="K168">
        <v>12.075742249999999</v>
      </c>
      <c r="L168">
        <v>1.262289965163067</v>
      </c>
      <c r="M168">
        <v>-1.1091467329393201</v>
      </c>
      <c r="N168">
        <v>-0.46036627556869192</v>
      </c>
      <c r="O168">
        <v>-0.1472633122304339</v>
      </c>
    </row>
    <row r="169" spans="1:15" x14ac:dyDescent="0.25">
      <c r="A169">
        <v>67.048064999999994</v>
      </c>
      <c r="B169">
        <v>-1.91920175</v>
      </c>
      <c r="C169">
        <v>2.5297672499999999</v>
      </c>
      <c r="D169">
        <v>65.551659000000001</v>
      </c>
      <c r="E169">
        <v>60.769680000000001</v>
      </c>
      <c r="F169">
        <v>0.73108499999999998</v>
      </c>
      <c r="G169">
        <v>83.261779750000002</v>
      </c>
      <c r="H169">
        <v>-16</v>
      </c>
      <c r="I169">
        <v>-20</v>
      </c>
      <c r="J169">
        <v>1.18</v>
      </c>
      <c r="K169">
        <v>11.827194</v>
      </c>
      <c r="L169">
        <v>1.0670362470826691</v>
      </c>
      <c r="M169">
        <v>-1.1158847989531371</v>
      </c>
      <c r="N169">
        <v>-0.3719916738930516</v>
      </c>
      <c r="O169">
        <v>-7.0417649897677164E-3</v>
      </c>
    </row>
    <row r="170" spans="1:15" x14ac:dyDescent="0.25">
      <c r="A170">
        <v>63.300573499999999</v>
      </c>
      <c r="B170">
        <v>3.5123297500000001</v>
      </c>
      <c r="C170">
        <v>12.784217249999999</v>
      </c>
      <c r="D170">
        <v>69.100913749999989</v>
      </c>
      <c r="E170">
        <v>67.029983250000001</v>
      </c>
      <c r="F170">
        <v>0.77982499999999999</v>
      </c>
      <c r="G170">
        <v>83.662134250000008</v>
      </c>
      <c r="H170">
        <v>-16</v>
      </c>
      <c r="I170">
        <v>-16</v>
      </c>
      <c r="J170">
        <v>1.18</v>
      </c>
      <c r="K170">
        <v>11.852361</v>
      </c>
      <c r="L170">
        <v>0.85793208755953398</v>
      </c>
      <c r="M170">
        <v>-1.113897178387913</v>
      </c>
      <c r="N170">
        <v>-0.28246794183319651</v>
      </c>
      <c r="O170">
        <v>0.1251528806022929</v>
      </c>
    </row>
    <row r="171" spans="1:15" x14ac:dyDescent="0.25">
      <c r="A171">
        <v>59.007498499999997</v>
      </c>
      <c r="B171">
        <v>6.6878475000000002</v>
      </c>
      <c r="C171">
        <v>21.818982999999999</v>
      </c>
      <c r="D171">
        <v>73.000713250000004</v>
      </c>
      <c r="E171">
        <v>72.038265249999995</v>
      </c>
      <c r="F171">
        <v>0.77982499999999999</v>
      </c>
      <c r="G171">
        <v>85.543561750000009</v>
      </c>
      <c r="H171">
        <v>-16</v>
      </c>
      <c r="I171">
        <v>-12</v>
      </c>
      <c r="J171">
        <v>1.18</v>
      </c>
      <c r="K171">
        <v>11.9861305</v>
      </c>
      <c r="L171">
        <v>0.64356094118111584</v>
      </c>
      <c r="M171">
        <v>-1.147576609599642</v>
      </c>
      <c r="N171">
        <v>-0.23372056022011981</v>
      </c>
      <c r="O171">
        <v>0.23318498261241641</v>
      </c>
    </row>
    <row r="172" spans="1:15" x14ac:dyDescent="0.25">
      <c r="A172">
        <v>52.867502999999999</v>
      </c>
      <c r="B172">
        <v>7.8425807499999998</v>
      </c>
      <c r="C172">
        <v>29.6792455</v>
      </c>
      <c r="D172">
        <v>74.928702999999999</v>
      </c>
      <c r="E172">
        <v>74.274093749999992</v>
      </c>
      <c r="F172">
        <v>0.82857424999999996</v>
      </c>
      <c r="G172">
        <v>85.983903999999995</v>
      </c>
      <c r="H172">
        <v>-16</v>
      </c>
      <c r="I172">
        <v>-8</v>
      </c>
      <c r="J172">
        <v>1.18</v>
      </c>
      <c r="K172">
        <v>12.01378525</v>
      </c>
      <c r="L172">
        <v>0.41771397105603331</v>
      </c>
      <c r="M172">
        <v>-1.208449266728308</v>
      </c>
      <c r="N172">
        <v>-0.21093718877216669</v>
      </c>
      <c r="O172">
        <v>0.32305794998678722</v>
      </c>
    </row>
    <row r="173" spans="1:15" x14ac:dyDescent="0.25">
      <c r="A173">
        <v>46.321134499999999</v>
      </c>
      <c r="B173">
        <v>8.1793897500000003</v>
      </c>
      <c r="C173">
        <v>37.675027999999998</v>
      </c>
      <c r="D173">
        <v>76.506145500000002</v>
      </c>
      <c r="E173">
        <v>76.152175999999997</v>
      </c>
      <c r="F173">
        <v>0.82858299999999996</v>
      </c>
      <c r="G173">
        <v>86.944637499999999</v>
      </c>
      <c r="H173">
        <v>-16</v>
      </c>
      <c r="I173">
        <v>-4</v>
      </c>
      <c r="J173">
        <v>1.18</v>
      </c>
      <c r="K173">
        <v>12.081365249999999</v>
      </c>
      <c r="L173">
        <v>0.16242647428019191</v>
      </c>
      <c r="M173">
        <v>-1.2837551625589421</v>
      </c>
      <c r="N173">
        <v>-0.2027818508672985</v>
      </c>
      <c r="O173">
        <v>0.41519340237953473</v>
      </c>
    </row>
    <row r="174" spans="1:15" x14ac:dyDescent="0.25">
      <c r="A174">
        <v>39.092462750000003</v>
      </c>
      <c r="B174">
        <v>8.6124272499999996</v>
      </c>
      <c r="C174">
        <v>45.444981499999997</v>
      </c>
      <c r="D174">
        <v>77.294864750000002</v>
      </c>
      <c r="E174">
        <v>77.001804250000006</v>
      </c>
      <c r="F174">
        <v>0.87733225000000004</v>
      </c>
      <c r="G174">
        <v>87.865318500000001</v>
      </c>
      <c r="H174">
        <v>-16</v>
      </c>
      <c r="I174">
        <v>0</v>
      </c>
      <c r="J174">
        <v>1.18</v>
      </c>
      <c r="K174">
        <v>12.14237325</v>
      </c>
      <c r="L174">
        <v>-0.1195013802912258</v>
      </c>
      <c r="M174">
        <v>-1.292254565857845</v>
      </c>
      <c r="N174">
        <v>-0.20439709896079711</v>
      </c>
      <c r="O174">
        <v>0.43228500483740839</v>
      </c>
    </row>
    <row r="175" spans="1:15" x14ac:dyDescent="0.25">
      <c r="A175">
        <v>32.097601249999997</v>
      </c>
      <c r="B175">
        <v>10.2964155</v>
      </c>
      <c r="C175">
        <v>53.214879000000003</v>
      </c>
      <c r="D175">
        <v>77.031959499999999</v>
      </c>
      <c r="E175">
        <v>77.314845750000003</v>
      </c>
      <c r="F175">
        <v>0.82859174999999996</v>
      </c>
      <c r="G175">
        <v>88.065471500000001</v>
      </c>
      <c r="H175">
        <v>-16</v>
      </c>
      <c r="I175">
        <v>4</v>
      </c>
      <c r="J175">
        <v>1.18</v>
      </c>
      <c r="K175">
        <v>12.159732</v>
      </c>
      <c r="L175">
        <v>-0.37629402637951631</v>
      </c>
      <c r="M175">
        <v>-1.189196605277083</v>
      </c>
      <c r="N175">
        <v>-0.1915743276128539</v>
      </c>
      <c r="O175">
        <v>0.36297519346393381</v>
      </c>
    </row>
    <row r="176" spans="1:15" x14ac:dyDescent="0.25">
      <c r="A176">
        <v>23.974802499999999</v>
      </c>
      <c r="B176">
        <v>11.49925275</v>
      </c>
      <c r="C176">
        <v>60.894471000000003</v>
      </c>
      <c r="D176">
        <v>76.33087175</v>
      </c>
      <c r="E176">
        <v>76.28638875</v>
      </c>
      <c r="F176">
        <v>0.92607249999999997</v>
      </c>
      <c r="G176">
        <v>88.90611650000001</v>
      </c>
      <c r="H176">
        <v>-16</v>
      </c>
      <c r="I176">
        <v>8</v>
      </c>
      <c r="J176">
        <v>1.1825000000000001</v>
      </c>
      <c r="K176">
        <v>12.198568</v>
      </c>
      <c r="L176">
        <v>-0.63056653387099493</v>
      </c>
      <c r="M176">
        <v>-1.1073123412859851</v>
      </c>
      <c r="N176">
        <v>-0.21554577158999819</v>
      </c>
      <c r="O176">
        <v>0.28712865337818871</v>
      </c>
    </row>
    <row r="177" spans="1:15" x14ac:dyDescent="0.25">
      <c r="A177">
        <v>15.44035925</v>
      </c>
      <c r="B177">
        <v>11.35491</v>
      </c>
      <c r="C177">
        <v>66.812309249999998</v>
      </c>
      <c r="D177">
        <v>74.227611999999993</v>
      </c>
      <c r="E177">
        <v>73.290436</v>
      </c>
      <c r="F177">
        <v>0.87733225000000004</v>
      </c>
      <c r="G177">
        <v>89.341295000000002</v>
      </c>
      <c r="H177">
        <v>-16</v>
      </c>
      <c r="I177">
        <v>12</v>
      </c>
      <c r="J177">
        <v>1.18</v>
      </c>
      <c r="K177">
        <v>12.2449525</v>
      </c>
      <c r="L177">
        <v>-0.85773039002952922</v>
      </c>
      <c r="M177">
        <v>-1.049754882513227</v>
      </c>
      <c r="N177">
        <v>-0.26799330077597311</v>
      </c>
      <c r="O177">
        <v>0.20904536910739679</v>
      </c>
    </row>
    <row r="178" spans="1:15" x14ac:dyDescent="0.25">
      <c r="A178">
        <v>6.5007492500000001</v>
      </c>
      <c r="B178">
        <v>7.3614377500000003</v>
      </c>
      <c r="C178">
        <v>71.329706000000002</v>
      </c>
      <c r="D178">
        <v>71.686169000000007</v>
      </c>
      <c r="E178">
        <v>67.835014000000001</v>
      </c>
      <c r="F178">
        <v>0.92606374999999996</v>
      </c>
      <c r="G178">
        <v>89.741562250000001</v>
      </c>
      <c r="H178">
        <v>-16</v>
      </c>
      <c r="I178">
        <v>16</v>
      </c>
      <c r="J178">
        <v>1.18</v>
      </c>
      <c r="K178">
        <v>12.269255749999999</v>
      </c>
      <c r="L178">
        <v>-1.0644349166106111</v>
      </c>
      <c r="M178">
        <v>-1.0561751908138159</v>
      </c>
      <c r="N178">
        <v>-0.35969006461902892</v>
      </c>
      <c r="O178">
        <v>9.860714214415145E-2</v>
      </c>
    </row>
    <row r="179" spans="1:15" x14ac:dyDescent="0.25">
      <c r="A179">
        <v>-3.1989627500000002</v>
      </c>
      <c r="B179">
        <v>1.299061</v>
      </c>
      <c r="C179">
        <v>76.750581750000009</v>
      </c>
      <c r="D179">
        <v>67.8301905</v>
      </c>
      <c r="E179">
        <v>60.94467925</v>
      </c>
      <c r="F179">
        <v>0.974804</v>
      </c>
      <c r="G179">
        <v>90.531646999999992</v>
      </c>
      <c r="H179">
        <v>-16</v>
      </c>
      <c r="I179">
        <v>20</v>
      </c>
      <c r="J179">
        <v>1.18</v>
      </c>
      <c r="K179">
        <v>12.320358000000001</v>
      </c>
      <c r="L179">
        <v>-1.291731724365234</v>
      </c>
      <c r="M179">
        <v>-1.074909000248957</v>
      </c>
      <c r="N179">
        <v>-0.478045607761244</v>
      </c>
      <c r="O179">
        <v>-3.1106733941275361E-2</v>
      </c>
    </row>
    <row r="180" spans="1:15" x14ac:dyDescent="0.25">
      <c r="A180">
        <v>-13.787077500000001</v>
      </c>
      <c r="B180">
        <v>-8.4924667500000002</v>
      </c>
      <c r="C180">
        <v>79.32549825000001</v>
      </c>
      <c r="D180">
        <v>62.966398499999997</v>
      </c>
      <c r="E180">
        <v>50.92560975</v>
      </c>
      <c r="F180">
        <v>0.92593749999999997</v>
      </c>
      <c r="G180">
        <v>90.651727999999991</v>
      </c>
      <c r="H180">
        <v>-16</v>
      </c>
      <c r="I180">
        <v>24</v>
      </c>
      <c r="J180">
        <v>1.18</v>
      </c>
      <c r="K180">
        <v>12.331973250000001</v>
      </c>
      <c r="L180">
        <v>-1.5002462705918309</v>
      </c>
      <c r="M180">
        <v>-1.151339136800456</v>
      </c>
      <c r="N180">
        <v>-0.64010580589809352</v>
      </c>
      <c r="O180">
        <v>-0.19440982683835081</v>
      </c>
    </row>
    <row r="181" spans="1:15" x14ac:dyDescent="0.25">
      <c r="A181">
        <v>-25.907088250000001</v>
      </c>
      <c r="B181">
        <v>-20.439496500000001</v>
      </c>
      <c r="C181">
        <v>81.90041325</v>
      </c>
      <c r="D181">
        <v>57.441672500000003</v>
      </c>
      <c r="E181">
        <v>38.982768999999998</v>
      </c>
      <c r="F181">
        <v>0.92585374999999992</v>
      </c>
      <c r="G181">
        <v>91.172033249999998</v>
      </c>
      <c r="H181">
        <v>-16</v>
      </c>
      <c r="I181">
        <v>28</v>
      </c>
      <c r="J181">
        <v>1.18</v>
      </c>
      <c r="K181">
        <v>12.3676835</v>
      </c>
      <c r="L181">
        <v>-1.734487649329348</v>
      </c>
      <c r="M181">
        <v>-1.253000912926131</v>
      </c>
      <c r="N181">
        <v>-0.83966970848280031</v>
      </c>
      <c r="O181">
        <v>-0.38772811639189109</v>
      </c>
    </row>
    <row r="182" spans="1:15" x14ac:dyDescent="0.25">
      <c r="A182">
        <v>-38.522711749999999</v>
      </c>
      <c r="B182">
        <v>-32.530467000000002</v>
      </c>
      <c r="C182">
        <v>84.159112749999991</v>
      </c>
      <c r="D182">
        <v>50.903479500000003</v>
      </c>
      <c r="E182">
        <v>25.125871499999999</v>
      </c>
      <c r="F182">
        <v>0.92579749999999994</v>
      </c>
      <c r="G182">
        <v>92.08721700000001</v>
      </c>
      <c r="H182">
        <v>-16</v>
      </c>
      <c r="I182">
        <v>32</v>
      </c>
      <c r="J182">
        <v>1.18</v>
      </c>
      <c r="K182">
        <v>12.430238749999999</v>
      </c>
      <c r="L182">
        <v>-2.022772013908209</v>
      </c>
      <c r="M182">
        <v>-1.3756377792819481</v>
      </c>
      <c r="N182">
        <v>-1.104089875936539</v>
      </c>
      <c r="O182">
        <v>-0.60104250341952181</v>
      </c>
    </row>
    <row r="183" spans="1:15" x14ac:dyDescent="0.25">
      <c r="A183">
        <v>-51.093283749999998</v>
      </c>
      <c r="B183">
        <v>-44.285575999999999</v>
      </c>
      <c r="C183">
        <v>84.023590249999998</v>
      </c>
      <c r="D183">
        <v>42.845745000000001</v>
      </c>
      <c r="E183">
        <v>9.1203915000000002</v>
      </c>
      <c r="F183">
        <v>0.97459399999999996</v>
      </c>
      <c r="G183">
        <v>91.937791500000003</v>
      </c>
      <c r="H183">
        <v>-16</v>
      </c>
      <c r="I183">
        <v>36</v>
      </c>
      <c r="J183">
        <v>1.18</v>
      </c>
      <c r="K183">
        <v>12.41671575</v>
      </c>
      <c r="L183">
        <v>-2.378460601642177</v>
      </c>
      <c r="M183">
        <v>-1.5337816438560059</v>
      </c>
      <c r="N183">
        <v>-1.45788041578093</v>
      </c>
      <c r="O183">
        <v>-0.85665049840365104</v>
      </c>
    </row>
    <row r="184" spans="1:15" x14ac:dyDescent="0.25">
      <c r="A184">
        <v>-65.195752999999996</v>
      </c>
      <c r="B184">
        <v>-58.151805750000001</v>
      </c>
      <c r="C184">
        <v>84.204282750000004</v>
      </c>
      <c r="D184">
        <v>34.213087999999999</v>
      </c>
      <c r="E184">
        <v>-9.6362690000000004</v>
      </c>
      <c r="F184">
        <v>0.92579749999999994</v>
      </c>
      <c r="G184">
        <v>92.388801999999998</v>
      </c>
      <c r="H184">
        <v>-16</v>
      </c>
      <c r="I184">
        <v>40</v>
      </c>
      <c r="J184">
        <v>1.18</v>
      </c>
      <c r="K184">
        <v>12.4507835</v>
      </c>
      <c r="L184">
        <v>-2.8711579888043368</v>
      </c>
      <c r="M184">
        <v>-1.775064791908092</v>
      </c>
      <c r="N184">
        <v>-1.960806648007958</v>
      </c>
      <c r="O184">
        <v>-1.203117298142738</v>
      </c>
    </row>
    <row r="185" spans="1:15" x14ac:dyDescent="0.25">
      <c r="A185">
        <v>-77.180591500000006</v>
      </c>
      <c r="B185">
        <v>-70.338735499999999</v>
      </c>
      <c r="C185">
        <v>82.261806499999992</v>
      </c>
      <c r="D185">
        <v>25.80379525</v>
      </c>
      <c r="E185">
        <v>-27.97195125</v>
      </c>
      <c r="F185">
        <v>0.92585249999999997</v>
      </c>
      <c r="G185">
        <v>92.989252499999992</v>
      </c>
      <c r="H185">
        <v>-16</v>
      </c>
      <c r="I185">
        <v>44</v>
      </c>
      <c r="J185">
        <v>1.18</v>
      </c>
      <c r="K185">
        <v>12.4915805</v>
      </c>
      <c r="L185">
        <v>-3.482283665934665</v>
      </c>
      <c r="M185">
        <v>-2.0997685263291328</v>
      </c>
      <c r="N185">
        <v>-2.641893549787087</v>
      </c>
      <c r="O185">
        <v>-1.6311755982830169</v>
      </c>
    </row>
    <row r="186" spans="1:15" x14ac:dyDescent="0.25">
      <c r="A186">
        <v>85.604963499999997</v>
      </c>
      <c r="B186">
        <v>-61.606366999999999</v>
      </c>
      <c r="C186">
        <v>-80.304362999999995</v>
      </c>
      <c r="D186">
        <v>22.519541499999999</v>
      </c>
      <c r="E186">
        <v>-1.6506565</v>
      </c>
      <c r="F186">
        <v>0.87718099999999999</v>
      </c>
      <c r="G186">
        <v>93.109341000000001</v>
      </c>
      <c r="H186">
        <v>-12</v>
      </c>
      <c r="I186">
        <v>-44</v>
      </c>
      <c r="J186">
        <v>1.1825000000000001</v>
      </c>
      <c r="K186">
        <v>12.489847749999999</v>
      </c>
      <c r="L186">
        <v>2.3939621712661978</v>
      </c>
      <c r="M186">
        <v>-1.213885363637291</v>
      </c>
      <c r="N186">
        <v>-1.367356107106058</v>
      </c>
      <c r="O186">
        <v>-1.0365014927977101</v>
      </c>
    </row>
    <row r="187" spans="1:15" x14ac:dyDescent="0.25">
      <c r="A187">
        <v>87.68187524999999</v>
      </c>
      <c r="B187">
        <v>-48.89165775</v>
      </c>
      <c r="C187">
        <v>-67.852674500000006</v>
      </c>
      <c r="D187">
        <v>32.863467999999997</v>
      </c>
      <c r="E187">
        <v>15.11417975</v>
      </c>
      <c r="F187">
        <v>0.68235699999999999</v>
      </c>
      <c r="G187">
        <v>93.709785499999995</v>
      </c>
      <c r="H187">
        <v>-12</v>
      </c>
      <c r="I187">
        <v>-40</v>
      </c>
      <c r="J187">
        <v>1.1825000000000001</v>
      </c>
      <c r="K187">
        <v>12.543592</v>
      </c>
      <c r="L187">
        <v>2.1165312129745248</v>
      </c>
      <c r="M187">
        <v>-1.1125459773674291</v>
      </c>
      <c r="N187">
        <v>-1.069556425283724</v>
      </c>
      <c r="O187">
        <v>-0.80362422800704159</v>
      </c>
    </row>
    <row r="188" spans="1:15" x14ac:dyDescent="0.25">
      <c r="A188">
        <v>87.727010750000005</v>
      </c>
      <c r="B188">
        <v>-35.169366750000002</v>
      </c>
      <c r="C188">
        <v>-54.363342500000002</v>
      </c>
      <c r="D188">
        <v>41.670874499999996</v>
      </c>
      <c r="E188">
        <v>29.915373750000001</v>
      </c>
      <c r="F188">
        <v>0.63361650000000003</v>
      </c>
      <c r="G188">
        <v>93.389552750000007</v>
      </c>
      <c r="H188">
        <v>-12</v>
      </c>
      <c r="I188">
        <v>-36</v>
      </c>
      <c r="J188">
        <v>1.18</v>
      </c>
      <c r="K188">
        <v>12.538475999999999</v>
      </c>
      <c r="L188">
        <v>1.902674000051447</v>
      </c>
      <c r="M188">
        <v>-1.028865413564962</v>
      </c>
      <c r="N188">
        <v>-0.84997165323744106</v>
      </c>
      <c r="O188">
        <v>-0.60791682301672589</v>
      </c>
    </row>
    <row r="189" spans="1:15" x14ac:dyDescent="0.25">
      <c r="A189">
        <v>87.456138499999994</v>
      </c>
      <c r="B189">
        <v>-20.919296249999999</v>
      </c>
      <c r="C189">
        <v>-39.159656499999997</v>
      </c>
      <c r="D189">
        <v>50.215375000000002</v>
      </c>
      <c r="E189">
        <v>44.224687500000002</v>
      </c>
      <c r="F189">
        <v>0.77983800000000003</v>
      </c>
      <c r="G189">
        <v>93.669753999999998</v>
      </c>
      <c r="H189">
        <v>-12</v>
      </c>
      <c r="I189">
        <v>-32</v>
      </c>
      <c r="J189">
        <v>1.18</v>
      </c>
      <c r="K189">
        <v>12.547530999999999</v>
      </c>
      <c r="L189">
        <v>1.7049378502375769</v>
      </c>
      <c r="M189">
        <v>-0.95786176469691797</v>
      </c>
      <c r="N189">
        <v>-0.66580163825532879</v>
      </c>
      <c r="O189">
        <v>-0.4149952802466349</v>
      </c>
    </row>
    <row r="190" spans="1:15" x14ac:dyDescent="0.25">
      <c r="A190">
        <v>86.462833500000002</v>
      </c>
      <c r="B190">
        <v>-9.9798477500000011</v>
      </c>
      <c r="C190">
        <v>-25.1740645</v>
      </c>
      <c r="D190">
        <v>57.489154999999997</v>
      </c>
      <c r="E190">
        <v>55.7168505</v>
      </c>
      <c r="F190">
        <v>0.82857800000000004</v>
      </c>
      <c r="G190">
        <v>94.27021775</v>
      </c>
      <c r="H190">
        <v>-12</v>
      </c>
      <c r="I190">
        <v>-28</v>
      </c>
      <c r="J190">
        <v>1.18</v>
      </c>
      <c r="K190">
        <v>12.58473525</v>
      </c>
      <c r="L190">
        <v>1.523142934694276</v>
      </c>
      <c r="M190">
        <v>-0.92053161288104934</v>
      </c>
      <c r="N190">
        <v>-0.52601928517168672</v>
      </c>
      <c r="O190">
        <v>-0.25110294557884288</v>
      </c>
    </row>
    <row r="191" spans="1:15" x14ac:dyDescent="0.25">
      <c r="A191">
        <v>83.573173249999996</v>
      </c>
      <c r="B191">
        <v>0.48112274999999999</v>
      </c>
      <c r="C191">
        <v>-10.286177</v>
      </c>
      <c r="D191">
        <v>62.966396500000002</v>
      </c>
      <c r="E191">
        <v>65.554504500000007</v>
      </c>
      <c r="F191">
        <v>0.82857800000000004</v>
      </c>
      <c r="G191">
        <v>93.990050999999994</v>
      </c>
      <c r="H191">
        <v>-12</v>
      </c>
      <c r="I191">
        <v>-24</v>
      </c>
      <c r="J191">
        <v>1.18</v>
      </c>
      <c r="K191">
        <v>12.565856999999999</v>
      </c>
      <c r="L191">
        <v>1.3321459192604641</v>
      </c>
      <c r="M191">
        <v>-0.88686534406756334</v>
      </c>
      <c r="N191">
        <v>-0.40358686441211988</v>
      </c>
      <c r="O191">
        <v>-8.133794684204336E-2</v>
      </c>
    </row>
    <row r="192" spans="1:15" x14ac:dyDescent="0.25">
      <c r="A192">
        <v>80.322362749999996</v>
      </c>
      <c r="B192">
        <v>7.9388025000000004</v>
      </c>
      <c r="C192">
        <v>3.5687519999999999</v>
      </c>
      <c r="D192">
        <v>68.487459250000001</v>
      </c>
      <c r="E192">
        <v>73.737666750000002</v>
      </c>
      <c r="F192">
        <v>0.87731800000000004</v>
      </c>
      <c r="G192">
        <v>94.470407499999993</v>
      </c>
      <c r="H192">
        <v>-12</v>
      </c>
      <c r="I192">
        <v>-20</v>
      </c>
      <c r="J192">
        <v>1.18</v>
      </c>
      <c r="K192">
        <v>12.59492975</v>
      </c>
      <c r="L192">
        <v>1.1290047860877639</v>
      </c>
      <c r="M192">
        <v>-0.89063279854298671</v>
      </c>
      <c r="N192">
        <v>-0.30496816224405199</v>
      </c>
      <c r="O192">
        <v>7.172989256478271E-2</v>
      </c>
    </row>
    <row r="193" spans="1:15" x14ac:dyDescent="0.25">
      <c r="A193">
        <v>75.762189750000005</v>
      </c>
      <c r="B193">
        <v>13.520034000000001</v>
      </c>
      <c r="C193">
        <v>16.398159</v>
      </c>
      <c r="D193">
        <v>72.650161999999995</v>
      </c>
      <c r="E193">
        <v>80.08742925</v>
      </c>
      <c r="F193">
        <v>0.82857800000000004</v>
      </c>
      <c r="G193">
        <v>94.790642000000005</v>
      </c>
      <c r="H193">
        <v>-12</v>
      </c>
      <c r="I193">
        <v>-16</v>
      </c>
      <c r="J193">
        <v>1.18</v>
      </c>
      <c r="K193">
        <v>12.619735</v>
      </c>
      <c r="L193">
        <v>0.91148269516103064</v>
      </c>
      <c r="M193">
        <v>-0.90789702022895435</v>
      </c>
      <c r="N193">
        <v>-0.22575351160641291</v>
      </c>
      <c r="O193">
        <v>0.2169850714194364</v>
      </c>
    </row>
    <row r="194" spans="1:15" x14ac:dyDescent="0.25">
      <c r="A194">
        <v>69.982965500000006</v>
      </c>
      <c r="B194">
        <v>17.8021855</v>
      </c>
      <c r="C194">
        <v>27.23991225</v>
      </c>
      <c r="D194">
        <v>75.498330999999993</v>
      </c>
      <c r="E194">
        <v>84.559085749999994</v>
      </c>
      <c r="F194">
        <v>0.87731749999999997</v>
      </c>
      <c r="G194">
        <v>94.950760000000002</v>
      </c>
      <c r="H194">
        <v>-12</v>
      </c>
      <c r="I194">
        <v>-12</v>
      </c>
      <c r="J194">
        <v>1.18</v>
      </c>
      <c r="K194">
        <v>12.6272115</v>
      </c>
      <c r="L194">
        <v>0.68898487351543392</v>
      </c>
      <c r="M194">
        <v>-0.93000282144364954</v>
      </c>
      <c r="N194">
        <v>-0.16750709849360149</v>
      </c>
      <c r="O194">
        <v>0.3488972898668572</v>
      </c>
    </row>
    <row r="195" spans="1:15" x14ac:dyDescent="0.25">
      <c r="A195">
        <v>63.616759000000002</v>
      </c>
      <c r="B195">
        <v>20.54468675</v>
      </c>
      <c r="C195">
        <v>37.133012000000001</v>
      </c>
      <c r="D195">
        <v>78.127407250000005</v>
      </c>
      <c r="E195">
        <v>88.04698175</v>
      </c>
      <c r="F195">
        <v>0.87731700000000001</v>
      </c>
      <c r="G195">
        <v>95.551216499999995</v>
      </c>
      <c r="H195">
        <v>-12</v>
      </c>
      <c r="I195">
        <v>-8</v>
      </c>
      <c r="J195">
        <v>1.18</v>
      </c>
      <c r="K195">
        <v>12.66744675</v>
      </c>
      <c r="L195">
        <v>0.44726417454141582</v>
      </c>
      <c r="M195">
        <v>-0.9725220017185604</v>
      </c>
      <c r="N195">
        <v>-0.12675972068389571</v>
      </c>
      <c r="O195">
        <v>0.47232216658968129</v>
      </c>
    </row>
    <row r="196" spans="1:15" x14ac:dyDescent="0.25">
      <c r="A196">
        <v>56.076644999999999</v>
      </c>
      <c r="B196">
        <v>21.506969250000001</v>
      </c>
      <c r="C196">
        <v>46.032284500000003</v>
      </c>
      <c r="D196">
        <v>79.047582750000004</v>
      </c>
      <c r="E196">
        <v>89.343794000000003</v>
      </c>
      <c r="F196">
        <v>1.0235380000000001</v>
      </c>
      <c r="G196">
        <v>95.631263999999987</v>
      </c>
      <c r="H196">
        <v>-12</v>
      </c>
      <c r="I196">
        <v>-4</v>
      </c>
      <c r="J196">
        <v>1.18</v>
      </c>
      <c r="K196">
        <v>12.663017249999999</v>
      </c>
      <c r="L196">
        <v>0.1807313552773025</v>
      </c>
      <c r="M196">
        <v>-1.0353653693793741</v>
      </c>
      <c r="N196">
        <v>-0.1131440821450609</v>
      </c>
      <c r="O196">
        <v>0.58926121090395134</v>
      </c>
    </row>
    <row r="197" spans="1:15" x14ac:dyDescent="0.25">
      <c r="A197">
        <v>47.994761500000003</v>
      </c>
      <c r="B197">
        <v>21.939996000000001</v>
      </c>
      <c r="C197">
        <v>54.028076249999998</v>
      </c>
      <c r="D197">
        <v>79.179035499999998</v>
      </c>
      <c r="E197">
        <v>89.880393749999996</v>
      </c>
      <c r="F197">
        <v>0.87731700000000001</v>
      </c>
      <c r="G197">
        <v>95.911466499999989</v>
      </c>
      <c r="H197">
        <v>-12</v>
      </c>
      <c r="I197">
        <v>0</v>
      </c>
      <c r="J197">
        <v>1.18</v>
      </c>
      <c r="K197">
        <v>12.691524749999999</v>
      </c>
      <c r="L197">
        <v>-0.1098538944285407</v>
      </c>
      <c r="M197">
        <v>-1.0423591713996589</v>
      </c>
      <c r="N197">
        <v>-0.1098337040589614</v>
      </c>
      <c r="O197">
        <v>0.62083031167110447</v>
      </c>
    </row>
    <row r="198" spans="1:15" x14ac:dyDescent="0.25">
      <c r="A198">
        <v>39.777410750000001</v>
      </c>
      <c r="B198">
        <v>22.85416275</v>
      </c>
      <c r="C198">
        <v>62.249737499999988</v>
      </c>
      <c r="D198">
        <v>79.135216</v>
      </c>
      <c r="E198">
        <v>89.835660999999988</v>
      </c>
      <c r="F198">
        <v>0.87731700000000001</v>
      </c>
      <c r="G198">
        <v>96.6320075</v>
      </c>
      <c r="H198">
        <v>-12</v>
      </c>
      <c r="I198">
        <v>4</v>
      </c>
      <c r="J198">
        <v>1.1825000000000001</v>
      </c>
      <c r="K198">
        <v>12.72613875</v>
      </c>
      <c r="L198">
        <v>-0.3840163509041038</v>
      </c>
      <c r="M198">
        <v>-0.96172430669554299</v>
      </c>
      <c r="N198">
        <v>-0.1161555056516281</v>
      </c>
      <c r="O198">
        <v>0.52018810168069918</v>
      </c>
    </row>
    <row r="199" spans="1:15" x14ac:dyDescent="0.25">
      <c r="A199">
        <v>30.657037500000001</v>
      </c>
      <c r="B199">
        <v>23.190961250000001</v>
      </c>
      <c r="C199">
        <v>68.935485999999997</v>
      </c>
      <c r="D199">
        <v>77.382499999999993</v>
      </c>
      <c r="E199">
        <v>87.957563250000007</v>
      </c>
      <c r="F199">
        <v>0.92605749999999998</v>
      </c>
      <c r="G199">
        <v>96.471860750000005</v>
      </c>
      <c r="H199">
        <v>-12</v>
      </c>
      <c r="I199">
        <v>8</v>
      </c>
      <c r="J199">
        <v>1.18</v>
      </c>
      <c r="K199">
        <v>12.725644000000001</v>
      </c>
      <c r="L199">
        <v>-0.62717653550567742</v>
      </c>
      <c r="M199">
        <v>-0.88789111908482099</v>
      </c>
      <c r="N199">
        <v>-0.1394996920513342</v>
      </c>
      <c r="O199">
        <v>0.42596833055939248</v>
      </c>
    </row>
    <row r="200" spans="1:15" x14ac:dyDescent="0.25">
      <c r="A200">
        <v>21.3109295</v>
      </c>
      <c r="B200">
        <v>22.273758000000001</v>
      </c>
      <c r="C200">
        <v>75.756751750000006</v>
      </c>
      <c r="D200">
        <v>75.147785499999998</v>
      </c>
      <c r="E200">
        <v>85.050983500000001</v>
      </c>
      <c r="F200">
        <v>0.97479800000000005</v>
      </c>
      <c r="G200">
        <v>96.912176500000001</v>
      </c>
      <c r="H200">
        <v>-12</v>
      </c>
      <c r="I200">
        <v>12</v>
      </c>
      <c r="J200">
        <v>1.18</v>
      </c>
      <c r="K200">
        <v>12.751693749999999</v>
      </c>
      <c r="L200">
        <v>-0.86069360362862934</v>
      </c>
      <c r="M200">
        <v>-0.83584528539651193</v>
      </c>
      <c r="N200">
        <v>-0.18751380569937071</v>
      </c>
      <c r="O200">
        <v>0.32908426289359588</v>
      </c>
    </row>
    <row r="201" spans="1:15" x14ac:dyDescent="0.25">
      <c r="A201">
        <v>10.520011500000001</v>
      </c>
      <c r="B201">
        <v>18.037772749999998</v>
      </c>
      <c r="C201">
        <v>79.55136675</v>
      </c>
      <c r="D201">
        <v>69.626724499999995</v>
      </c>
      <c r="E201">
        <v>77.806894249999999</v>
      </c>
      <c r="F201">
        <v>0.87731800000000004</v>
      </c>
      <c r="G201">
        <v>95.351012999999995</v>
      </c>
      <c r="H201">
        <v>-12</v>
      </c>
      <c r="I201">
        <v>16</v>
      </c>
      <c r="J201">
        <v>1.18</v>
      </c>
      <c r="K201">
        <v>12.654026</v>
      </c>
      <c r="L201">
        <v>-1.0866184799868071</v>
      </c>
      <c r="M201">
        <v>-0.81202805146271173</v>
      </c>
      <c r="N201">
        <v>-0.27613992180854979</v>
      </c>
      <c r="O201">
        <v>0.21099149727692221</v>
      </c>
    </row>
    <row r="202" spans="1:15" x14ac:dyDescent="0.25">
      <c r="A202">
        <v>-0.49561424999999998</v>
      </c>
      <c r="B202">
        <v>10.390484499999999</v>
      </c>
      <c r="C202">
        <v>80.003107249999999</v>
      </c>
      <c r="D202">
        <v>62.7911255</v>
      </c>
      <c r="E202">
        <v>66.448837499999996</v>
      </c>
      <c r="F202">
        <v>0.77983800000000003</v>
      </c>
      <c r="G202">
        <v>91.187910000000002</v>
      </c>
      <c r="H202">
        <v>-12</v>
      </c>
      <c r="I202">
        <v>20</v>
      </c>
      <c r="J202">
        <v>1.18</v>
      </c>
      <c r="K202">
        <v>12.37876675</v>
      </c>
      <c r="L202">
        <v>-1.308906501827966</v>
      </c>
      <c r="M202">
        <v>-0.85203247655312864</v>
      </c>
      <c r="N202">
        <v>-0.40225563066358111</v>
      </c>
      <c r="O202">
        <v>6.7771502525808852E-2</v>
      </c>
    </row>
    <row r="203" spans="1:15" x14ac:dyDescent="0.25">
      <c r="A203">
        <v>-12.255179</v>
      </c>
      <c r="B203">
        <v>0.86608099999999999</v>
      </c>
      <c r="C203">
        <v>80.6807175</v>
      </c>
      <c r="D203">
        <v>55.385891999999998</v>
      </c>
      <c r="E203">
        <v>54.24120525</v>
      </c>
      <c r="F203">
        <v>0.77983800000000003</v>
      </c>
      <c r="G203">
        <v>88.545944000000006</v>
      </c>
      <c r="H203">
        <v>-12</v>
      </c>
      <c r="I203">
        <v>24</v>
      </c>
      <c r="J203">
        <v>1.18</v>
      </c>
      <c r="K203">
        <v>12.196558749999999</v>
      </c>
      <c r="L203">
        <v>-1.5506216198582059</v>
      </c>
      <c r="M203">
        <v>-0.90962949179811359</v>
      </c>
      <c r="N203">
        <v>-0.57238130972444201</v>
      </c>
      <c r="O203">
        <v>-0.1080251491340498</v>
      </c>
    </row>
    <row r="204" spans="1:15" x14ac:dyDescent="0.25">
      <c r="A204">
        <v>-23.744408249999999</v>
      </c>
      <c r="B204">
        <v>-8.4444872500000017</v>
      </c>
      <c r="C204">
        <v>79.596538500000008</v>
      </c>
      <c r="D204">
        <v>46.841390500000003</v>
      </c>
      <c r="E204">
        <v>40.915657750000001</v>
      </c>
      <c r="F204">
        <v>0.63361650000000003</v>
      </c>
      <c r="G204">
        <v>85.023315249999996</v>
      </c>
      <c r="H204">
        <v>-12</v>
      </c>
      <c r="I204">
        <v>28</v>
      </c>
      <c r="J204">
        <v>1.18</v>
      </c>
      <c r="K204">
        <v>11.959652500000001</v>
      </c>
      <c r="L204">
        <v>-1.8126811524244419</v>
      </c>
      <c r="M204">
        <v>-0.96975299628344824</v>
      </c>
      <c r="N204">
        <v>-0.77368507589592839</v>
      </c>
      <c r="O204">
        <v>-0.29342026317387598</v>
      </c>
    </row>
    <row r="205" spans="1:15" x14ac:dyDescent="0.25">
      <c r="A205">
        <v>-35.639144000000002</v>
      </c>
      <c r="B205">
        <v>-19.192016250000002</v>
      </c>
      <c r="C205">
        <v>79.415845750000003</v>
      </c>
      <c r="D205">
        <v>39.085614999999997</v>
      </c>
      <c r="E205">
        <v>26.472196749999998</v>
      </c>
      <c r="F205">
        <v>0.68235699999999999</v>
      </c>
      <c r="G205">
        <v>83.462156500000006</v>
      </c>
      <c r="H205">
        <v>-12</v>
      </c>
      <c r="I205">
        <v>32</v>
      </c>
      <c r="J205">
        <v>1.18</v>
      </c>
      <c r="K205">
        <v>11.845029</v>
      </c>
      <c r="L205">
        <v>-2.1351096031016321</v>
      </c>
      <c r="M205">
        <v>-1.08145812358584</v>
      </c>
      <c r="N205">
        <v>-1.0575775195457351</v>
      </c>
      <c r="O205">
        <v>-0.52141003117454432</v>
      </c>
    </row>
    <row r="206" spans="1:15" x14ac:dyDescent="0.25">
      <c r="A206">
        <v>-48.660270750000002</v>
      </c>
      <c r="B206">
        <v>-31.954704249999999</v>
      </c>
      <c r="C206">
        <v>81.177631250000005</v>
      </c>
      <c r="D206">
        <v>32.293834500000003</v>
      </c>
      <c r="E206">
        <v>10.195353000000001</v>
      </c>
      <c r="F206">
        <v>0.63361650000000003</v>
      </c>
      <c r="G206">
        <v>85.333656500000004</v>
      </c>
      <c r="H206">
        <v>-12</v>
      </c>
      <c r="I206">
        <v>36</v>
      </c>
      <c r="J206">
        <v>1.18</v>
      </c>
      <c r="K206">
        <v>11.9816255</v>
      </c>
      <c r="L206">
        <v>-2.5709490340564729</v>
      </c>
      <c r="M206">
        <v>-1.272181349925438</v>
      </c>
      <c r="N206">
        <v>-1.487853847392149</v>
      </c>
      <c r="O206">
        <v>-0.81066929000244614</v>
      </c>
    </row>
    <row r="207" spans="1:15" x14ac:dyDescent="0.25">
      <c r="A207">
        <v>-59.563774000000002</v>
      </c>
      <c r="B207">
        <v>-41.118891750000003</v>
      </c>
      <c r="C207">
        <v>80.545196500000003</v>
      </c>
      <c r="D207">
        <v>23.924607000000002</v>
      </c>
      <c r="E207">
        <v>-5.9334435000000001</v>
      </c>
      <c r="F207">
        <v>0.63361650000000003</v>
      </c>
      <c r="G207">
        <v>86.009094000000005</v>
      </c>
      <c r="H207">
        <v>-12</v>
      </c>
      <c r="I207">
        <v>40</v>
      </c>
      <c r="J207">
        <v>1.18</v>
      </c>
      <c r="K207">
        <v>12.029303000000001</v>
      </c>
      <c r="L207">
        <v>-3.1551403374212819</v>
      </c>
      <c r="M207">
        <v>-1.464732221085572</v>
      </c>
      <c r="N207">
        <v>-2.0705349521106928</v>
      </c>
      <c r="O207">
        <v>-1.1479351243947631</v>
      </c>
    </row>
    <row r="208" spans="1:15" x14ac:dyDescent="0.25">
      <c r="A208">
        <v>-71.188173500000005</v>
      </c>
      <c r="B208">
        <v>-53.497739750000001</v>
      </c>
      <c r="C208">
        <v>79.586135999999996</v>
      </c>
      <c r="D208">
        <v>15.511561</v>
      </c>
      <c r="E208">
        <v>-24.626024000000001</v>
      </c>
      <c r="F208">
        <v>0.63361650000000003</v>
      </c>
      <c r="G208">
        <v>86.964602999999997</v>
      </c>
      <c r="H208">
        <v>-12</v>
      </c>
      <c r="I208">
        <v>44</v>
      </c>
      <c r="J208">
        <v>1.18</v>
      </c>
      <c r="K208">
        <v>12.096430249999999</v>
      </c>
      <c r="L208">
        <v>-3.997746452896958</v>
      </c>
      <c r="M208">
        <v>-1.8297127206080681</v>
      </c>
      <c r="N208">
        <v>-2.9589129048312381</v>
      </c>
      <c r="O208">
        <v>-1.669777884433729</v>
      </c>
    </row>
    <row r="209" spans="1:15" x14ac:dyDescent="0.25">
      <c r="A209">
        <v>83.737289250000003</v>
      </c>
      <c r="B209">
        <v>-45.868915250000001</v>
      </c>
      <c r="C209">
        <v>-76.334254999999999</v>
      </c>
      <c r="D209">
        <v>12.751030249999999</v>
      </c>
      <c r="E209">
        <v>-8.8934999999999986E-2</v>
      </c>
      <c r="F209">
        <v>0.63361650000000003</v>
      </c>
      <c r="G209">
        <v>88.085177999999999</v>
      </c>
      <c r="H209">
        <v>-8</v>
      </c>
      <c r="I209">
        <v>-44</v>
      </c>
      <c r="J209">
        <v>1.18</v>
      </c>
      <c r="K209">
        <v>12.174682750000001</v>
      </c>
      <c r="L209">
        <v>2.6236699468785361</v>
      </c>
      <c r="M209">
        <v>-0.96076555945535946</v>
      </c>
      <c r="N209">
        <v>-1.4452434648880761</v>
      </c>
      <c r="O209">
        <v>-1.0118713965946591</v>
      </c>
    </row>
    <row r="210" spans="1:15" x14ac:dyDescent="0.25">
      <c r="A210">
        <v>85.226965000000007</v>
      </c>
      <c r="B210">
        <v>-33.825927999999998</v>
      </c>
      <c r="C210">
        <v>-64.739751499999997</v>
      </c>
      <c r="D210">
        <v>22.16906625</v>
      </c>
      <c r="E210">
        <v>15.15889625</v>
      </c>
      <c r="F210">
        <v>0.73109749999999996</v>
      </c>
      <c r="G210">
        <v>88.405338</v>
      </c>
      <c r="H210">
        <v>-8</v>
      </c>
      <c r="I210">
        <v>-40</v>
      </c>
      <c r="J210">
        <v>1.18</v>
      </c>
      <c r="K210">
        <v>12.190174750000001</v>
      </c>
      <c r="L210">
        <v>2.3272583556496609</v>
      </c>
      <c r="M210">
        <v>-0.86889825929076114</v>
      </c>
      <c r="N210">
        <v>-1.1367015537714571</v>
      </c>
      <c r="O210">
        <v>-0.77612234332735885</v>
      </c>
    </row>
    <row r="211" spans="1:15" x14ac:dyDescent="0.25">
      <c r="A211">
        <v>86.214418499999994</v>
      </c>
      <c r="B211">
        <v>-21.015256999999998</v>
      </c>
      <c r="C211">
        <v>-51.2888175</v>
      </c>
      <c r="D211">
        <v>31.58674375</v>
      </c>
      <c r="E211">
        <v>31.122722249999999</v>
      </c>
      <c r="F211">
        <v>0.68235699999999999</v>
      </c>
      <c r="G211">
        <v>89.205753000000001</v>
      </c>
      <c r="H211">
        <v>-8</v>
      </c>
      <c r="I211">
        <v>-36</v>
      </c>
      <c r="J211">
        <v>1.18</v>
      </c>
      <c r="K211">
        <v>12.24906625</v>
      </c>
      <c r="L211">
        <v>2.0439233314936969</v>
      </c>
      <c r="M211">
        <v>-0.78188591242685601</v>
      </c>
      <c r="N211">
        <v>-0.86338696647689805</v>
      </c>
      <c r="O211">
        <v>-0.54752216062620052</v>
      </c>
    </row>
    <row r="212" spans="1:15" x14ac:dyDescent="0.25">
      <c r="A212">
        <v>86.033862999999997</v>
      </c>
      <c r="B212">
        <v>-8.8763070000000006</v>
      </c>
      <c r="C212">
        <v>-37.217236749999998</v>
      </c>
      <c r="D212">
        <v>40.083206250000003</v>
      </c>
      <c r="E212">
        <v>44.582418500000003</v>
      </c>
      <c r="F212">
        <v>0.73109749999999996</v>
      </c>
      <c r="G212">
        <v>89.485900999999998</v>
      </c>
      <c r="H212">
        <v>-8</v>
      </c>
      <c r="I212">
        <v>-32</v>
      </c>
      <c r="J212">
        <v>1.18</v>
      </c>
      <c r="K212">
        <v>12.26506575</v>
      </c>
      <c r="L212">
        <v>1.8224596132729221</v>
      </c>
      <c r="M212">
        <v>-0.72393175869556015</v>
      </c>
      <c r="N212">
        <v>-0.66396736658655964</v>
      </c>
      <c r="O212">
        <v>-0.35159149850158822</v>
      </c>
    </row>
    <row r="213" spans="1:15" x14ac:dyDescent="0.25">
      <c r="A213">
        <v>85.097124250000007</v>
      </c>
      <c r="B213">
        <v>1.39531475</v>
      </c>
      <c r="C213">
        <v>-24.086524499999999</v>
      </c>
      <c r="D213">
        <v>47.0952865</v>
      </c>
      <c r="E213">
        <v>56.342883999999998</v>
      </c>
      <c r="F213">
        <v>0.77983800000000003</v>
      </c>
      <c r="G213">
        <v>90.046184499999995</v>
      </c>
      <c r="H213">
        <v>-8</v>
      </c>
      <c r="I213">
        <v>-28</v>
      </c>
      <c r="J213">
        <v>1.18</v>
      </c>
      <c r="K213">
        <v>12.30036</v>
      </c>
      <c r="L213">
        <v>1.6130457989274301</v>
      </c>
      <c r="M213">
        <v>-0.6751390931604293</v>
      </c>
      <c r="N213">
        <v>-0.49792112333084382</v>
      </c>
      <c r="O213">
        <v>-0.17913503511507151</v>
      </c>
    </row>
    <row r="214" spans="1:15" x14ac:dyDescent="0.25">
      <c r="A214">
        <v>83.460971999999998</v>
      </c>
      <c r="B214">
        <v>11.018127</v>
      </c>
      <c r="C214">
        <v>-10.148847999999999</v>
      </c>
      <c r="D214">
        <v>53.312859250000002</v>
      </c>
      <c r="E214">
        <v>66.538271000000009</v>
      </c>
      <c r="F214">
        <v>0.82857800000000004</v>
      </c>
      <c r="G214">
        <v>90.726528000000002</v>
      </c>
      <c r="H214">
        <v>-8</v>
      </c>
      <c r="I214">
        <v>-24</v>
      </c>
      <c r="J214">
        <v>1.18</v>
      </c>
      <c r="K214">
        <v>12.343799000000001</v>
      </c>
      <c r="L214">
        <v>1.4161023709925029</v>
      </c>
      <c r="M214">
        <v>-0.63982030212498409</v>
      </c>
      <c r="N214">
        <v>-0.36591187998404229</v>
      </c>
      <c r="O214">
        <v>-5.9552620986050436E-3</v>
      </c>
    </row>
    <row r="215" spans="1:15" x14ac:dyDescent="0.25">
      <c r="A215">
        <v>80.125982000000008</v>
      </c>
      <c r="B215">
        <v>17.754095249999999</v>
      </c>
      <c r="C215">
        <v>3.1169885000000002</v>
      </c>
      <c r="D215">
        <v>58.441949749999999</v>
      </c>
      <c r="E215">
        <v>74.318958249999994</v>
      </c>
      <c r="F215">
        <v>0.731097</v>
      </c>
      <c r="G215">
        <v>90.811851500000003</v>
      </c>
      <c r="H215">
        <v>-8</v>
      </c>
      <c r="I215">
        <v>-20</v>
      </c>
      <c r="J215">
        <v>1.18</v>
      </c>
      <c r="K215">
        <v>12.356342250000001</v>
      </c>
      <c r="L215">
        <v>1.20548779378135</v>
      </c>
      <c r="M215">
        <v>-0.63689685912456473</v>
      </c>
      <c r="N215">
        <v>-0.2581801285971364</v>
      </c>
      <c r="O215">
        <v>0.1519133950290415</v>
      </c>
    </row>
    <row r="216" spans="1:15" x14ac:dyDescent="0.25">
      <c r="A216">
        <v>75.927847</v>
      </c>
      <c r="B216">
        <v>23.960809749999999</v>
      </c>
      <c r="C216">
        <v>16.172266749999999</v>
      </c>
      <c r="D216">
        <v>62.611911749999997</v>
      </c>
      <c r="E216">
        <v>80.534565000000001</v>
      </c>
      <c r="F216">
        <v>0.77983749999999996</v>
      </c>
      <c r="G216">
        <v>91.292127499999992</v>
      </c>
      <c r="H216">
        <v>-8</v>
      </c>
      <c r="I216">
        <v>-16</v>
      </c>
      <c r="J216">
        <v>1.18</v>
      </c>
      <c r="K216">
        <v>12.385904249999999</v>
      </c>
      <c r="L216">
        <v>0.9882639577068193</v>
      </c>
      <c r="M216">
        <v>-0.6391456873680641</v>
      </c>
      <c r="N216">
        <v>-0.1779210522694791</v>
      </c>
      <c r="O216">
        <v>0.31897116900744138</v>
      </c>
    </row>
    <row r="217" spans="1:15" x14ac:dyDescent="0.25">
      <c r="A217">
        <v>70.786350249999998</v>
      </c>
      <c r="B217">
        <v>28.435419750000001</v>
      </c>
      <c r="C217">
        <v>28.053019750000001</v>
      </c>
      <c r="D217">
        <v>66.507182999999998</v>
      </c>
      <c r="E217">
        <v>85.676975499999998</v>
      </c>
      <c r="F217">
        <v>0.92605850000000001</v>
      </c>
      <c r="G217">
        <v>92.177993999999998</v>
      </c>
      <c r="H217">
        <v>-8</v>
      </c>
      <c r="I217">
        <v>-12</v>
      </c>
      <c r="J217">
        <v>1.18</v>
      </c>
      <c r="K217">
        <v>12.43641</v>
      </c>
      <c r="L217">
        <v>0.74401617179358648</v>
      </c>
      <c r="M217">
        <v>-0.66291881834720612</v>
      </c>
      <c r="N217">
        <v>-0.11320166871169771</v>
      </c>
      <c r="O217">
        <v>0.47570116178674338</v>
      </c>
    </row>
    <row r="218" spans="1:15" x14ac:dyDescent="0.25">
      <c r="A218">
        <v>64.511299000000008</v>
      </c>
      <c r="B218">
        <v>30.504321999999998</v>
      </c>
      <c r="C218">
        <v>37.087814250000001</v>
      </c>
      <c r="D218">
        <v>68.224546500000002</v>
      </c>
      <c r="E218">
        <v>87.733934250000004</v>
      </c>
      <c r="F218">
        <v>0.82857800000000004</v>
      </c>
      <c r="G218">
        <v>91.977856000000003</v>
      </c>
      <c r="H218">
        <v>-8</v>
      </c>
      <c r="I218">
        <v>-8</v>
      </c>
      <c r="J218">
        <v>1.18</v>
      </c>
      <c r="K218">
        <v>12.42941175</v>
      </c>
      <c r="L218">
        <v>0.5084217487155045</v>
      </c>
      <c r="M218">
        <v>-0.69931439749284774</v>
      </c>
      <c r="N218">
        <v>-7.8712018210648702E-2</v>
      </c>
      <c r="O218">
        <v>0.61123900773385398</v>
      </c>
    </row>
    <row r="219" spans="1:15" x14ac:dyDescent="0.25">
      <c r="A219">
        <v>57.194169250000002</v>
      </c>
      <c r="B219">
        <v>31.61094525</v>
      </c>
      <c r="C219">
        <v>46.529175000000002</v>
      </c>
      <c r="D219">
        <v>69.977266499999999</v>
      </c>
      <c r="E219">
        <v>89.656767000000002</v>
      </c>
      <c r="F219">
        <v>0.77983650000000004</v>
      </c>
      <c r="G219">
        <v>92.503555250000005</v>
      </c>
      <c r="H219">
        <v>-8</v>
      </c>
      <c r="I219">
        <v>-4</v>
      </c>
      <c r="J219">
        <v>1.18</v>
      </c>
      <c r="K219">
        <v>12.4685145</v>
      </c>
      <c r="L219">
        <v>0.2108023560262757</v>
      </c>
      <c r="M219">
        <v>-0.75844444420417267</v>
      </c>
      <c r="N219">
        <v>-5.6286688811357649E-2</v>
      </c>
      <c r="O219">
        <v>0.75693782817318334</v>
      </c>
    </row>
    <row r="220" spans="1:15" x14ac:dyDescent="0.25">
      <c r="A220">
        <v>49.620194249999997</v>
      </c>
      <c r="B220">
        <v>32.380770750000003</v>
      </c>
      <c r="C220">
        <v>54.886358250000001</v>
      </c>
      <c r="D220">
        <v>70.503080499999996</v>
      </c>
      <c r="E220">
        <v>90.506422000000001</v>
      </c>
      <c r="F220">
        <v>0.87731800000000004</v>
      </c>
      <c r="G220">
        <v>92.909246500000009</v>
      </c>
      <c r="H220">
        <v>-8</v>
      </c>
      <c r="I220">
        <v>0</v>
      </c>
      <c r="J220">
        <v>1.18</v>
      </c>
      <c r="K220">
        <v>12.489447</v>
      </c>
      <c r="L220">
        <v>-0.1063477594869532</v>
      </c>
      <c r="M220">
        <v>-0.77004338703913955</v>
      </c>
      <c r="N220">
        <v>-4.8530220547048308E-2</v>
      </c>
      <c r="O220">
        <v>0.81049786384365763</v>
      </c>
    </row>
    <row r="221" spans="1:15" x14ac:dyDescent="0.25">
      <c r="A221">
        <v>41.312542000000001</v>
      </c>
      <c r="B221">
        <v>32.765683250000002</v>
      </c>
      <c r="C221">
        <v>62.475585000000002</v>
      </c>
      <c r="D221">
        <v>70.108718999999994</v>
      </c>
      <c r="E221">
        <v>90.103958250000005</v>
      </c>
      <c r="F221">
        <v>0.87731700000000001</v>
      </c>
      <c r="G221">
        <v>93.069351250000011</v>
      </c>
      <c r="H221">
        <v>-8</v>
      </c>
      <c r="I221">
        <v>4</v>
      </c>
      <c r="J221">
        <v>1.18</v>
      </c>
      <c r="K221">
        <v>12.500306500000001</v>
      </c>
      <c r="L221">
        <v>-0.39875416106535783</v>
      </c>
      <c r="M221">
        <v>-0.70372730790454174</v>
      </c>
      <c r="N221">
        <v>-5.5880328895566829E-2</v>
      </c>
      <c r="O221">
        <v>0.6815299804954803</v>
      </c>
    </row>
    <row r="222" spans="1:15" x14ac:dyDescent="0.25">
      <c r="A222">
        <v>32.503946499999998</v>
      </c>
      <c r="B222">
        <v>32.568674000000001</v>
      </c>
      <c r="C222">
        <v>69.161331000000004</v>
      </c>
      <c r="D222">
        <v>68.750364500000003</v>
      </c>
      <c r="E222">
        <v>88.762464499999993</v>
      </c>
      <c r="F222">
        <v>0.92605700000000002</v>
      </c>
      <c r="G222">
        <v>93.709811999999999</v>
      </c>
      <c r="H222">
        <v>-8</v>
      </c>
      <c r="I222">
        <v>8</v>
      </c>
      <c r="J222">
        <v>1.18</v>
      </c>
      <c r="K222">
        <v>12.54035375</v>
      </c>
      <c r="L222">
        <v>-0.65197485213639872</v>
      </c>
      <c r="M222">
        <v>-0.64350175285923217</v>
      </c>
      <c r="N222">
        <v>-8.8003389689819786E-2</v>
      </c>
      <c r="O222">
        <v>0.56221293521915094</v>
      </c>
    </row>
    <row r="223" spans="1:15" x14ac:dyDescent="0.25">
      <c r="A223">
        <v>22.8897315</v>
      </c>
      <c r="B223">
        <v>31.073015000000002</v>
      </c>
      <c r="C223">
        <v>75.485687249999998</v>
      </c>
      <c r="D223">
        <v>65.81456</v>
      </c>
      <c r="E223">
        <v>85.632311000000001</v>
      </c>
      <c r="F223">
        <v>0.77983599999999997</v>
      </c>
      <c r="G223">
        <v>93.629777500000003</v>
      </c>
      <c r="H223">
        <v>-8</v>
      </c>
      <c r="I223">
        <v>12</v>
      </c>
      <c r="J223">
        <v>1.18</v>
      </c>
      <c r="K223">
        <v>12.544825749999999</v>
      </c>
      <c r="L223">
        <v>-0.89677011966793807</v>
      </c>
      <c r="M223">
        <v>-0.59234426910641202</v>
      </c>
      <c r="N223">
        <v>-0.136371489684079</v>
      </c>
      <c r="O223">
        <v>0.44673844893032971</v>
      </c>
    </row>
    <row r="224" spans="1:15" x14ac:dyDescent="0.25">
      <c r="A224">
        <v>11.78343525</v>
      </c>
      <c r="B224">
        <v>26.89015375</v>
      </c>
      <c r="C224">
        <v>80.816215249999999</v>
      </c>
      <c r="D224">
        <v>61.870946000000004</v>
      </c>
      <c r="E224">
        <v>80.579336249999997</v>
      </c>
      <c r="F224">
        <v>0.97471774999999994</v>
      </c>
      <c r="G224">
        <v>94.070070250000001</v>
      </c>
      <c r="H224">
        <v>-8</v>
      </c>
      <c r="I224">
        <v>16</v>
      </c>
      <c r="J224">
        <v>1.18</v>
      </c>
      <c r="K224">
        <v>12.5613975</v>
      </c>
      <c r="L224">
        <v>-1.127219256660831</v>
      </c>
      <c r="M224">
        <v>-0.57120541057565266</v>
      </c>
      <c r="N224">
        <v>-0.22030118527255529</v>
      </c>
      <c r="O224">
        <v>0.29982205577246168</v>
      </c>
    </row>
    <row r="225" spans="1:15" x14ac:dyDescent="0.25">
      <c r="A225">
        <v>4.5544250000000022E-2</v>
      </c>
      <c r="B225">
        <v>20.346573500000002</v>
      </c>
      <c r="C225">
        <v>85.423959499999995</v>
      </c>
      <c r="D225">
        <v>57.532967499999998</v>
      </c>
      <c r="E225">
        <v>72.918607750000007</v>
      </c>
      <c r="F225">
        <v>0.97471774999999994</v>
      </c>
      <c r="G225">
        <v>94.630470000000003</v>
      </c>
      <c r="H225">
        <v>-8</v>
      </c>
      <c r="I225">
        <v>20</v>
      </c>
      <c r="J225">
        <v>1.18</v>
      </c>
      <c r="K225">
        <v>12.599145999999999</v>
      </c>
      <c r="L225">
        <v>-1.361204058040387</v>
      </c>
      <c r="M225">
        <v>-0.59287098057487242</v>
      </c>
      <c r="N225">
        <v>-0.34615519127987632</v>
      </c>
      <c r="O225">
        <v>0.1470301985375502</v>
      </c>
    </row>
    <row r="226" spans="1:15" x14ac:dyDescent="0.25">
      <c r="A226">
        <v>-13.20049</v>
      </c>
      <c r="B226">
        <v>10.775314249999999</v>
      </c>
      <c r="C226">
        <v>87.953702750000005</v>
      </c>
      <c r="D226">
        <v>51.267000000000003</v>
      </c>
      <c r="E226">
        <v>61.383968250000002</v>
      </c>
      <c r="F226">
        <v>0.87719824999999996</v>
      </c>
      <c r="G226">
        <v>94.630470000000003</v>
      </c>
      <c r="H226">
        <v>-8</v>
      </c>
      <c r="I226">
        <v>24</v>
      </c>
      <c r="J226">
        <v>1.18</v>
      </c>
      <c r="K226">
        <v>12.605705499999999</v>
      </c>
      <c r="L226">
        <v>-1.615985877802111</v>
      </c>
      <c r="M226">
        <v>-0.64684979557834676</v>
      </c>
      <c r="N226">
        <v>-0.53114049223707416</v>
      </c>
      <c r="O226">
        <v>-3.3387532941118327E-2</v>
      </c>
    </row>
    <row r="227" spans="1:15" x14ac:dyDescent="0.25">
      <c r="A227">
        <v>-26.0856365</v>
      </c>
      <c r="B227">
        <v>2.1648309999999999</v>
      </c>
      <c r="C227">
        <v>90.167228500000007</v>
      </c>
      <c r="D227">
        <v>44.431403000000003</v>
      </c>
      <c r="E227">
        <v>49.446954750000003</v>
      </c>
      <c r="F227">
        <v>0.97466549999999996</v>
      </c>
      <c r="G227">
        <v>94.630470000000003</v>
      </c>
      <c r="H227">
        <v>-8</v>
      </c>
      <c r="I227">
        <v>28</v>
      </c>
      <c r="J227">
        <v>1.18</v>
      </c>
      <c r="K227">
        <v>12.599152999999999</v>
      </c>
      <c r="L227">
        <v>-1.8931419450730571</v>
      </c>
      <c r="M227">
        <v>-0.68828826711675417</v>
      </c>
      <c r="N227">
        <v>-0.73580707097416342</v>
      </c>
      <c r="O227">
        <v>-0.21062565150236409</v>
      </c>
    </row>
    <row r="228" spans="1:15" x14ac:dyDescent="0.25">
      <c r="A228">
        <v>-41.493698250000001</v>
      </c>
      <c r="B228">
        <v>-9.6899239999999995</v>
      </c>
      <c r="C228">
        <v>92.335578749999996</v>
      </c>
      <c r="D228">
        <v>36.193629000000001</v>
      </c>
      <c r="E228">
        <v>32.681504250000003</v>
      </c>
      <c r="F228">
        <v>0.92580624999999994</v>
      </c>
      <c r="G228">
        <v>95.150861500000005</v>
      </c>
      <c r="H228">
        <v>-8</v>
      </c>
      <c r="I228">
        <v>32</v>
      </c>
      <c r="J228">
        <v>1.18</v>
      </c>
      <c r="K228">
        <v>12.637383</v>
      </c>
      <c r="L228">
        <v>-2.2966023934180839</v>
      </c>
      <c r="M228">
        <v>-0.78737784254292842</v>
      </c>
      <c r="N228">
        <v>-1.072032467666947</v>
      </c>
      <c r="O228">
        <v>-0.45504782807729938</v>
      </c>
    </row>
    <row r="229" spans="1:15" x14ac:dyDescent="0.25">
      <c r="A229">
        <v>-54.968078749999997</v>
      </c>
      <c r="B229">
        <v>-20.438029</v>
      </c>
      <c r="C229">
        <v>92.019361500000002</v>
      </c>
      <c r="D229">
        <v>26.728952499999998</v>
      </c>
      <c r="E229">
        <v>14.93148425</v>
      </c>
      <c r="F229">
        <v>0.87707950000000001</v>
      </c>
      <c r="G229">
        <v>94.750558499999997</v>
      </c>
      <c r="H229">
        <v>-8</v>
      </c>
      <c r="I229">
        <v>36</v>
      </c>
      <c r="J229">
        <v>1.18</v>
      </c>
      <c r="K229">
        <v>12.6137845</v>
      </c>
      <c r="L229">
        <v>-2.792773780424278</v>
      </c>
      <c r="M229">
        <v>-0.89613753959267828</v>
      </c>
      <c r="N229">
        <v>-1.5166264819518751</v>
      </c>
      <c r="O229">
        <v>-0.73300510597745205</v>
      </c>
    </row>
    <row r="230" spans="1:15" x14ac:dyDescent="0.25">
      <c r="A230">
        <v>-67.673812999999996</v>
      </c>
      <c r="B230">
        <v>-32.379711499999999</v>
      </c>
      <c r="C230">
        <v>91.432100249999991</v>
      </c>
      <c r="D230">
        <v>17.176640500000001</v>
      </c>
      <c r="E230">
        <v>-4.9073582499999997</v>
      </c>
      <c r="F230">
        <v>0.82835275000000008</v>
      </c>
      <c r="G230">
        <v>95.230920499999996</v>
      </c>
      <c r="H230">
        <v>-8</v>
      </c>
      <c r="I230">
        <v>40</v>
      </c>
      <c r="J230">
        <v>1.18</v>
      </c>
      <c r="K230">
        <v>12.649281500000001</v>
      </c>
      <c r="L230">
        <v>-3.5265424385691588</v>
      </c>
      <c r="M230">
        <v>-1.0983314666269139</v>
      </c>
      <c r="N230">
        <v>-2.2196520492815228</v>
      </c>
      <c r="O230">
        <v>-1.1271905110943841</v>
      </c>
    </row>
    <row r="231" spans="1:15" x14ac:dyDescent="0.25">
      <c r="A231">
        <v>-77.94653550000001</v>
      </c>
      <c r="B231">
        <v>-42.549354749999999</v>
      </c>
      <c r="C231">
        <v>89.489616249999997</v>
      </c>
      <c r="D231">
        <v>6.9670592500000001</v>
      </c>
      <c r="E231">
        <v>-24.269125249999998</v>
      </c>
      <c r="F231">
        <v>0.92580624999999994</v>
      </c>
      <c r="G231">
        <v>95.551164499999999</v>
      </c>
      <c r="H231">
        <v>-8</v>
      </c>
      <c r="I231">
        <v>44</v>
      </c>
      <c r="J231">
        <v>0.88500000000000001</v>
      </c>
      <c r="L231">
        <v>-4.6536967308922579</v>
      </c>
      <c r="M231">
        <v>-1.3760436477889679</v>
      </c>
      <c r="N231">
        <v>-3.330317244890419</v>
      </c>
      <c r="O231">
        <v>-1.7001525000083391</v>
      </c>
    </row>
    <row r="232" spans="1:15" x14ac:dyDescent="0.25">
      <c r="A232">
        <v>92.738718250000005</v>
      </c>
      <c r="B232">
        <v>-35.548264750000001</v>
      </c>
      <c r="C232">
        <v>-84.093997999999999</v>
      </c>
      <c r="D232">
        <v>1.79654125</v>
      </c>
      <c r="E232">
        <v>-1.0706945000000001</v>
      </c>
      <c r="F232">
        <v>0.77962600000000004</v>
      </c>
      <c r="G232">
        <v>95.671249500000002</v>
      </c>
      <c r="H232">
        <v>-4</v>
      </c>
      <c r="I232">
        <v>-44</v>
      </c>
      <c r="J232">
        <v>1.18</v>
      </c>
      <c r="K232">
        <v>12.6820045</v>
      </c>
      <c r="L232">
        <v>3.009964805464163</v>
      </c>
      <c r="M232">
        <v>-0.63564447220881637</v>
      </c>
      <c r="N232">
        <v>-1.6467251370271969</v>
      </c>
      <c r="O232">
        <v>-1.031526464509791</v>
      </c>
    </row>
    <row r="233" spans="1:15" x14ac:dyDescent="0.25">
      <c r="A233">
        <v>94.680181750000003</v>
      </c>
      <c r="B233">
        <v>-23.69882625</v>
      </c>
      <c r="C233">
        <v>-71.236280500000007</v>
      </c>
      <c r="D233">
        <v>14.153202500000001</v>
      </c>
      <c r="E233">
        <v>17.390258750000001</v>
      </c>
      <c r="F233">
        <v>0.87707950000000001</v>
      </c>
      <c r="G233">
        <v>96.471847499999996</v>
      </c>
      <c r="H233">
        <v>-4</v>
      </c>
      <c r="I233">
        <v>-40</v>
      </c>
      <c r="J233">
        <v>1.18</v>
      </c>
      <c r="K233">
        <v>12.728902250000001</v>
      </c>
      <c r="L233">
        <v>2.558204744286861</v>
      </c>
      <c r="M233">
        <v>-0.58361559451581013</v>
      </c>
      <c r="N233">
        <v>-1.2193475916579231</v>
      </c>
      <c r="O233">
        <v>-0.74540843430900972</v>
      </c>
    </row>
    <row r="234" spans="1:15" x14ac:dyDescent="0.25">
      <c r="A234">
        <v>94.635030999999998</v>
      </c>
      <c r="B234">
        <v>-10.6515685</v>
      </c>
      <c r="C234">
        <v>-56.0777055</v>
      </c>
      <c r="D234">
        <v>24.713327</v>
      </c>
      <c r="E234">
        <v>34.288745749999997</v>
      </c>
      <c r="F234">
        <v>0.82835275000000008</v>
      </c>
      <c r="G234">
        <v>96.231667000000002</v>
      </c>
      <c r="H234">
        <v>-4</v>
      </c>
      <c r="I234">
        <v>-36</v>
      </c>
      <c r="J234">
        <v>1.1875</v>
      </c>
      <c r="K234">
        <v>12.675998249999999</v>
      </c>
      <c r="L234">
        <v>2.227752525179906</v>
      </c>
      <c r="M234">
        <v>-0.52274745852348881</v>
      </c>
      <c r="N234">
        <v>-0.91562456535467462</v>
      </c>
      <c r="O234">
        <v>-0.5054226142379048</v>
      </c>
    </row>
    <row r="235" spans="1:15" x14ac:dyDescent="0.25">
      <c r="A235">
        <v>94.454430000000002</v>
      </c>
      <c r="B235">
        <v>2.2613405000000002</v>
      </c>
      <c r="C235">
        <v>-39.926606499999998</v>
      </c>
      <c r="D235">
        <v>34.528547000000003</v>
      </c>
      <c r="E235">
        <v>50.382543499999997</v>
      </c>
      <c r="F235">
        <v>0.87724650000000004</v>
      </c>
      <c r="G235">
        <v>96.712029000000001</v>
      </c>
      <c r="H235">
        <v>-4</v>
      </c>
      <c r="I235">
        <v>-32</v>
      </c>
      <c r="J235">
        <v>1.18</v>
      </c>
      <c r="K235">
        <v>12.74487025</v>
      </c>
      <c r="L235">
        <v>1.941510086475347</v>
      </c>
      <c r="M235">
        <v>-0.46618280203057771</v>
      </c>
      <c r="N235">
        <v>-0.66936630848396184</v>
      </c>
      <c r="O235">
        <v>-0.28475265840255831</v>
      </c>
    </row>
    <row r="236" spans="1:15" x14ac:dyDescent="0.25">
      <c r="A236">
        <v>90.875641000000002</v>
      </c>
      <c r="B236">
        <v>12.509636</v>
      </c>
      <c r="C236">
        <v>-25.038717500000001</v>
      </c>
      <c r="D236">
        <v>41.145056500000003</v>
      </c>
      <c r="E236">
        <v>61.172327000000003</v>
      </c>
      <c r="F236">
        <v>0.82835275000000008</v>
      </c>
      <c r="G236">
        <v>94.670503499999995</v>
      </c>
      <c r="H236">
        <v>-4</v>
      </c>
      <c r="I236">
        <v>-28</v>
      </c>
      <c r="J236">
        <v>1.18</v>
      </c>
      <c r="K236">
        <v>12.611664749999999</v>
      </c>
      <c r="L236">
        <v>1.718851674525989</v>
      </c>
      <c r="M236">
        <v>-0.42462248597164459</v>
      </c>
      <c r="N236">
        <v>-0.49673156506746341</v>
      </c>
      <c r="O236">
        <v>-0.10517447408094931</v>
      </c>
    </row>
    <row r="237" spans="1:15" x14ac:dyDescent="0.25">
      <c r="A237">
        <v>84.515798500000002</v>
      </c>
      <c r="B237">
        <v>20.1116575</v>
      </c>
      <c r="C237">
        <v>-10.782439249999999</v>
      </c>
      <c r="D237">
        <v>45.483032000000001</v>
      </c>
      <c r="E237">
        <v>68.452237999999994</v>
      </c>
      <c r="F237">
        <v>0.73099749999999997</v>
      </c>
      <c r="G237">
        <v>90.74758349999999</v>
      </c>
      <c r="H237">
        <v>-4</v>
      </c>
      <c r="I237">
        <v>-24</v>
      </c>
      <c r="J237">
        <v>1.18</v>
      </c>
      <c r="K237">
        <v>12.351940000000001</v>
      </c>
      <c r="L237">
        <v>1.49399464025409</v>
      </c>
      <c r="M237">
        <v>-0.3977302400236819</v>
      </c>
      <c r="N237">
        <v>-0.34952666735718979</v>
      </c>
      <c r="O237">
        <v>6.1674706765390233E-2</v>
      </c>
    </row>
    <row r="238" spans="1:15" x14ac:dyDescent="0.25">
      <c r="A238">
        <v>78.962701749999994</v>
      </c>
      <c r="B238">
        <v>26.318372249999999</v>
      </c>
      <c r="C238">
        <v>2.6652487499999999</v>
      </c>
      <c r="D238">
        <v>49.689556000000003</v>
      </c>
      <c r="E238">
        <v>74.224754249999989</v>
      </c>
      <c r="F238">
        <v>0.682257</v>
      </c>
      <c r="G238">
        <v>88.020448500000001</v>
      </c>
      <c r="H238">
        <v>-4</v>
      </c>
      <c r="I238">
        <v>-20</v>
      </c>
      <c r="J238">
        <v>1.18</v>
      </c>
      <c r="K238">
        <v>12.166784</v>
      </c>
      <c r="L238">
        <v>1.2773176489411051</v>
      </c>
      <c r="M238">
        <v>-0.39124325220052159</v>
      </c>
      <c r="N238">
        <v>-0.2309605823420354</v>
      </c>
      <c r="O238">
        <v>0.23118811386053811</v>
      </c>
    </row>
    <row r="239" spans="1:15" x14ac:dyDescent="0.25">
      <c r="A239">
        <v>71.784280749999994</v>
      </c>
      <c r="B239">
        <v>30.696752</v>
      </c>
      <c r="C239">
        <v>14.094263249999999</v>
      </c>
      <c r="D239">
        <v>51.267001999999998</v>
      </c>
      <c r="E239">
        <v>76.500185000000002</v>
      </c>
      <c r="F239">
        <v>0.58488899999999999</v>
      </c>
      <c r="G239">
        <v>84.498029500000001</v>
      </c>
      <c r="H239">
        <v>-4</v>
      </c>
      <c r="I239">
        <v>-16</v>
      </c>
      <c r="J239">
        <v>1.18</v>
      </c>
      <c r="K239">
        <v>11.925836</v>
      </c>
      <c r="L239">
        <v>1.0662694011510221</v>
      </c>
      <c r="M239">
        <v>-0.38019992152083648</v>
      </c>
      <c r="N239">
        <v>-0.14783148683634861</v>
      </c>
      <c r="O239">
        <v>0.40311786407019268</v>
      </c>
    </row>
    <row r="240" spans="1:15" x14ac:dyDescent="0.25">
      <c r="A240">
        <v>66.046215250000003</v>
      </c>
      <c r="B240">
        <v>33.727937750000002</v>
      </c>
      <c r="C240">
        <v>24.16648825</v>
      </c>
      <c r="D240">
        <v>53.720807999999998</v>
      </c>
      <c r="E240">
        <v>78.880100249999998</v>
      </c>
      <c r="F240">
        <v>0.53610625000000001</v>
      </c>
      <c r="G240">
        <v>83.247520250000008</v>
      </c>
      <c r="H240">
        <v>-4</v>
      </c>
      <c r="I240">
        <v>-12</v>
      </c>
      <c r="J240">
        <v>1.18</v>
      </c>
      <c r="K240">
        <v>11.840135999999999</v>
      </c>
      <c r="L240">
        <v>0.83871753915142688</v>
      </c>
      <c r="M240">
        <v>-0.40039302965914042</v>
      </c>
      <c r="N240">
        <v>-8.7465803126953678E-2</v>
      </c>
      <c r="O240">
        <v>0.56899781031742247</v>
      </c>
    </row>
    <row r="241" spans="1:15" x14ac:dyDescent="0.25">
      <c r="A241">
        <v>61.035183000000004</v>
      </c>
      <c r="B241">
        <v>36.711008749999998</v>
      </c>
      <c r="C241">
        <v>34.598754749999998</v>
      </c>
      <c r="D241">
        <v>56.700426999999998</v>
      </c>
      <c r="E241">
        <v>82.502144000000001</v>
      </c>
      <c r="F241">
        <v>0.633629</v>
      </c>
      <c r="G241">
        <v>85.173564749999997</v>
      </c>
      <c r="H241">
        <v>-4</v>
      </c>
      <c r="I241">
        <v>-8</v>
      </c>
      <c r="J241">
        <v>1.18</v>
      </c>
      <c r="K241">
        <v>11.97029025</v>
      </c>
      <c r="L241">
        <v>0.56428711524138675</v>
      </c>
      <c r="M241">
        <v>-0.42668634693764801</v>
      </c>
      <c r="N241">
        <v>-5.7036195001041901E-2</v>
      </c>
      <c r="O241">
        <v>0.74758789724465191</v>
      </c>
    </row>
    <row r="242" spans="1:15" x14ac:dyDescent="0.25">
      <c r="A242">
        <v>54.669859000000002</v>
      </c>
      <c r="B242">
        <v>38.34688775</v>
      </c>
      <c r="C242">
        <v>43.632292500000013</v>
      </c>
      <c r="D242">
        <v>58.190238999999998</v>
      </c>
      <c r="E242">
        <v>84.156661999999997</v>
      </c>
      <c r="F242">
        <v>0.58488899999999999</v>
      </c>
      <c r="G242">
        <v>85.808996500000006</v>
      </c>
      <c r="H242">
        <v>-4</v>
      </c>
      <c r="I242">
        <v>-4</v>
      </c>
      <c r="J242">
        <v>1.18</v>
      </c>
      <c r="K242">
        <v>12.018636750000001</v>
      </c>
      <c r="L242">
        <v>0.25564372037176658</v>
      </c>
      <c r="M242">
        <v>-0.45970154796687263</v>
      </c>
      <c r="N242">
        <v>-3.8283046213019332E-2</v>
      </c>
      <c r="O242">
        <v>0.93603208706698493</v>
      </c>
    </row>
    <row r="243" spans="1:15" x14ac:dyDescent="0.25">
      <c r="A243">
        <v>47.849911749999997</v>
      </c>
      <c r="B243">
        <v>39.453512250000003</v>
      </c>
      <c r="C243">
        <v>51.985016000000002</v>
      </c>
      <c r="D243">
        <v>58.799949499999997</v>
      </c>
      <c r="E243">
        <v>85.498154</v>
      </c>
      <c r="F243">
        <v>0.58488899999999999</v>
      </c>
      <c r="G243">
        <v>86.729515250000006</v>
      </c>
      <c r="H243">
        <v>-4</v>
      </c>
      <c r="I243">
        <v>0</v>
      </c>
      <c r="J243">
        <v>1.18</v>
      </c>
      <c r="K243">
        <v>12.0833695</v>
      </c>
      <c r="L243">
        <v>-9.8805938983499528E-2</v>
      </c>
      <c r="M243">
        <v>-0.46231574059973768</v>
      </c>
      <c r="N243">
        <v>-2.9427680942185772E-2</v>
      </c>
      <c r="O243">
        <v>1.0291731024738631</v>
      </c>
    </row>
    <row r="244" spans="1:15" x14ac:dyDescent="0.25">
      <c r="A244">
        <v>40.221005750000003</v>
      </c>
      <c r="B244">
        <v>39.498895500000003</v>
      </c>
      <c r="C244">
        <v>59.527597249999999</v>
      </c>
      <c r="D244">
        <v>59.102873750000001</v>
      </c>
      <c r="E244">
        <v>85.900602249999991</v>
      </c>
      <c r="F244">
        <v>0.58488899999999999</v>
      </c>
      <c r="G244">
        <v>87.765025999999992</v>
      </c>
      <c r="H244">
        <v>-4</v>
      </c>
      <c r="I244">
        <v>4</v>
      </c>
      <c r="J244">
        <v>1.18</v>
      </c>
      <c r="K244">
        <v>12.15577725</v>
      </c>
      <c r="L244">
        <v>-0.41929944847663531</v>
      </c>
      <c r="M244">
        <v>-0.42574816161783202</v>
      </c>
      <c r="N244">
        <v>-4.0487451870773988E-2</v>
      </c>
      <c r="O244">
        <v>0.85310492501289059</v>
      </c>
    </row>
    <row r="245" spans="1:15" x14ac:dyDescent="0.25">
      <c r="A245">
        <v>31.059346250000001</v>
      </c>
      <c r="B245">
        <v>39.25558375</v>
      </c>
      <c r="C245">
        <v>66.437868250000008</v>
      </c>
      <c r="D245">
        <v>57.215318750000002</v>
      </c>
      <c r="E245">
        <v>84.827409750000001</v>
      </c>
      <c r="F245">
        <v>0.58488899999999999</v>
      </c>
      <c r="G245">
        <v>87.925106</v>
      </c>
      <c r="H245">
        <v>-4</v>
      </c>
      <c r="I245">
        <v>8</v>
      </c>
      <c r="J245">
        <v>1.18</v>
      </c>
      <c r="K245">
        <v>12.166931999999999</v>
      </c>
      <c r="L245">
        <v>-0.71224542024372106</v>
      </c>
      <c r="M245">
        <v>-0.36158072863894047</v>
      </c>
      <c r="N245">
        <v>-6.2381872920217851E-2</v>
      </c>
      <c r="O245">
        <v>0.6960640405059717</v>
      </c>
    </row>
    <row r="246" spans="1:15" x14ac:dyDescent="0.25">
      <c r="A246">
        <v>22.16734825</v>
      </c>
      <c r="B246">
        <v>37.566619000000003</v>
      </c>
      <c r="C246">
        <v>72.580284250000005</v>
      </c>
      <c r="D246">
        <v>55.021329000000001</v>
      </c>
      <c r="E246">
        <v>82.859876999999997</v>
      </c>
      <c r="F246">
        <v>0.58488899999999999</v>
      </c>
      <c r="G246">
        <v>88.685501000000002</v>
      </c>
      <c r="H246">
        <v>-4</v>
      </c>
      <c r="I246">
        <v>12</v>
      </c>
      <c r="J246">
        <v>1.18</v>
      </c>
      <c r="K246">
        <v>12.219782</v>
      </c>
      <c r="L246">
        <v>-0.95131092593883726</v>
      </c>
      <c r="M246">
        <v>-0.32937914811147362</v>
      </c>
      <c r="N246">
        <v>-0.1099332305341815</v>
      </c>
      <c r="O246">
        <v>0.55257647060775594</v>
      </c>
    </row>
    <row r="247" spans="1:15" x14ac:dyDescent="0.25">
      <c r="A247">
        <v>11.330511749999999</v>
      </c>
      <c r="B247">
        <v>33.143685499999997</v>
      </c>
      <c r="C247">
        <v>78.040153750000002</v>
      </c>
      <c r="D247">
        <v>51.870553000000001</v>
      </c>
      <c r="E247">
        <v>78.119918749999997</v>
      </c>
      <c r="F247">
        <v>0.633629</v>
      </c>
      <c r="G247">
        <v>89.445889000000008</v>
      </c>
      <c r="H247">
        <v>-4</v>
      </c>
      <c r="I247">
        <v>16</v>
      </c>
      <c r="J247">
        <v>1.1850000000000001</v>
      </c>
      <c r="K247">
        <v>12.243192000000001</v>
      </c>
      <c r="L247">
        <v>-1.1937437886010469</v>
      </c>
      <c r="M247">
        <v>-0.33511143254381781</v>
      </c>
      <c r="N247">
        <v>-0.20268859472802889</v>
      </c>
      <c r="O247">
        <v>0.38659553953321901</v>
      </c>
    </row>
    <row r="248" spans="1:15" x14ac:dyDescent="0.25">
      <c r="A248">
        <v>-0.18013599999999999</v>
      </c>
      <c r="B248">
        <v>27.852188000000002</v>
      </c>
      <c r="C248">
        <v>81.562803500000001</v>
      </c>
      <c r="D248">
        <v>46.084740500000002</v>
      </c>
      <c r="E248">
        <v>70.741678249999993</v>
      </c>
      <c r="F248">
        <v>0.633629</v>
      </c>
      <c r="G248">
        <v>89.605974250000003</v>
      </c>
      <c r="H248">
        <v>-4</v>
      </c>
      <c r="I248">
        <v>20</v>
      </c>
      <c r="J248">
        <v>1.18</v>
      </c>
      <c r="K248">
        <v>12.2800875</v>
      </c>
      <c r="L248">
        <v>-1.4364762660381909</v>
      </c>
      <c r="M248">
        <v>-0.32037267390632929</v>
      </c>
      <c r="N248">
        <v>-0.33150095483796632</v>
      </c>
      <c r="O248">
        <v>0.23201218350186201</v>
      </c>
    </row>
    <row r="249" spans="1:15" x14ac:dyDescent="0.25">
      <c r="A249">
        <v>-12.5705685</v>
      </c>
      <c r="B249">
        <v>20.587097750000002</v>
      </c>
      <c r="C249">
        <v>85.491901249999998</v>
      </c>
      <c r="D249">
        <v>40.389858500000003</v>
      </c>
      <c r="E249">
        <v>60.7698745</v>
      </c>
      <c r="F249">
        <v>0.682369</v>
      </c>
      <c r="G249">
        <v>90.286315999999999</v>
      </c>
      <c r="H249">
        <v>-4</v>
      </c>
      <c r="I249">
        <v>24</v>
      </c>
      <c r="J249">
        <v>1.18</v>
      </c>
      <c r="K249">
        <v>12.3235975</v>
      </c>
      <c r="L249">
        <v>-1.7277017563548811</v>
      </c>
      <c r="M249">
        <v>-0.34884218450334042</v>
      </c>
      <c r="N249">
        <v>-0.52007507548450271</v>
      </c>
      <c r="O249">
        <v>5.8592404392876607E-2</v>
      </c>
    </row>
    <row r="250" spans="1:15" x14ac:dyDescent="0.25">
      <c r="A250">
        <v>-25.23124975</v>
      </c>
      <c r="B250">
        <v>12.50619275</v>
      </c>
      <c r="C250">
        <v>87.433875999999998</v>
      </c>
      <c r="D250">
        <v>33.33696175</v>
      </c>
      <c r="E250">
        <v>48.338659</v>
      </c>
      <c r="F250">
        <v>0.77984900000000001</v>
      </c>
      <c r="G250">
        <v>90.646502999999996</v>
      </c>
      <c r="H250">
        <v>-4</v>
      </c>
      <c r="I250">
        <v>28</v>
      </c>
      <c r="J250">
        <v>1.1850000000000001</v>
      </c>
      <c r="K250">
        <v>12.315662250000001</v>
      </c>
      <c r="L250">
        <v>-2.0596355897699672</v>
      </c>
      <c r="M250">
        <v>-0.38079440673492732</v>
      </c>
      <c r="N250">
        <v>-0.77343542222039197</v>
      </c>
      <c r="O250">
        <v>-0.1305634596504687</v>
      </c>
    </row>
    <row r="251" spans="1:15" x14ac:dyDescent="0.25">
      <c r="A251">
        <v>-39.063380250000002</v>
      </c>
      <c r="B251">
        <v>2.5496595000000002</v>
      </c>
      <c r="C251">
        <v>88.562931250000005</v>
      </c>
      <c r="D251">
        <v>25.4955435</v>
      </c>
      <c r="E251">
        <v>32.822002500000004</v>
      </c>
      <c r="F251">
        <v>0.58488899999999999</v>
      </c>
      <c r="G251">
        <v>90.966671000000005</v>
      </c>
      <c r="H251">
        <v>-4</v>
      </c>
      <c r="I251">
        <v>32</v>
      </c>
      <c r="J251">
        <v>1.18</v>
      </c>
      <c r="K251">
        <v>12.376971749999999</v>
      </c>
      <c r="L251">
        <v>-2.4987151415522</v>
      </c>
      <c r="M251">
        <v>-0.4492416565334324</v>
      </c>
      <c r="N251">
        <v>-1.1384206506113901</v>
      </c>
      <c r="O251">
        <v>-0.36891899942265027</v>
      </c>
    </row>
    <row r="252" spans="1:15" x14ac:dyDescent="0.25">
      <c r="A252">
        <v>-51.859229249999999</v>
      </c>
      <c r="B252">
        <v>-6.0917680000000001</v>
      </c>
      <c r="C252">
        <v>89.827470500000004</v>
      </c>
      <c r="D252">
        <v>16.515149999999998</v>
      </c>
      <c r="E252">
        <v>16.276858749999999</v>
      </c>
      <c r="F252">
        <v>0.682369</v>
      </c>
      <c r="G252">
        <v>91.727059999999994</v>
      </c>
      <c r="H252">
        <v>-4</v>
      </c>
      <c r="I252">
        <v>36</v>
      </c>
      <c r="J252">
        <v>1.1850000000000001</v>
      </c>
      <c r="K252">
        <v>12.396108999999999</v>
      </c>
      <c r="L252">
        <v>-3.1310680078252728</v>
      </c>
      <c r="M252">
        <v>-0.49958585549634532</v>
      </c>
      <c r="N252">
        <v>-1.6673575008297501</v>
      </c>
      <c r="O252">
        <v>-0.6554142689025646</v>
      </c>
    </row>
    <row r="253" spans="1:15" x14ac:dyDescent="0.25">
      <c r="A253">
        <v>-65.015520499999994</v>
      </c>
      <c r="B253">
        <v>-17.1253195</v>
      </c>
      <c r="C253">
        <v>89.556497250000007</v>
      </c>
      <c r="D253">
        <v>5.9577099999999996</v>
      </c>
      <c r="E253">
        <v>-3.3459262500000002</v>
      </c>
      <c r="F253">
        <v>0.633629</v>
      </c>
      <c r="G253">
        <v>91.847124000000008</v>
      </c>
      <c r="H253">
        <v>-4</v>
      </c>
      <c r="I253">
        <v>40</v>
      </c>
      <c r="J253">
        <v>1.1825000000000001</v>
      </c>
      <c r="K253">
        <v>12.42069425</v>
      </c>
      <c r="L253">
        <v>-4.0975180887259333</v>
      </c>
      <c r="M253">
        <v>-0.61191424808475325</v>
      </c>
      <c r="N253">
        <v>-2.5235411334301179</v>
      </c>
      <c r="O253">
        <v>-1.1055287762256101</v>
      </c>
    </row>
    <row r="254" spans="1:15" x14ac:dyDescent="0.25">
      <c r="A254">
        <v>-76.144306499999999</v>
      </c>
      <c r="B254">
        <v>-28.3023165</v>
      </c>
      <c r="C254">
        <v>88.207425999999998</v>
      </c>
      <c r="D254">
        <v>-4.6766232499999996</v>
      </c>
      <c r="E254">
        <v>-23.95683975</v>
      </c>
      <c r="F254">
        <v>0.58488899999999999</v>
      </c>
      <c r="G254">
        <v>92.367385999999996</v>
      </c>
      <c r="H254">
        <v>-4</v>
      </c>
      <c r="I254">
        <v>44</v>
      </c>
      <c r="J254">
        <v>1.18</v>
      </c>
      <c r="K254">
        <v>12.472512</v>
      </c>
      <c r="L254">
        <v>-5.8147117295708517</v>
      </c>
      <c r="M254">
        <v>-0.83582540387329629</v>
      </c>
      <c r="N254">
        <v>-4.1155333543172077</v>
      </c>
      <c r="O254">
        <v>-1.8683167852088041</v>
      </c>
    </row>
    <row r="255" spans="1:15" x14ac:dyDescent="0.25">
      <c r="A255">
        <v>90.547746500000002</v>
      </c>
      <c r="B255">
        <v>-20.339219499999999</v>
      </c>
      <c r="C255">
        <v>-80.599054499999994</v>
      </c>
      <c r="D255">
        <v>-9.65919375</v>
      </c>
      <c r="E255">
        <v>-0.98146975000000003</v>
      </c>
      <c r="F255">
        <v>0.682369</v>
      </c>
      <c r="G255">
        <v>92.967692999999997</v>
      </c>
      <c r="H255">
        <v>0</v>
      </c>
      <c r="I255">
        <v>-44</v>
      </c>
      <c r="J255">
        <v>1.18</v>
      </c>
      <c r="K255">
        <v>12.50662625</v>
      </c>
      <c r="L255">
        <v>3.4585616584462988</v>
      </c>
      <c r="M255">
        <v>-0.21568090825964181</v>
      </c>
      <c r="N255">
        <v>-1.8985667361492879</v>
      </c>
      <c r="O255">
        <v>-1.0336393498597169</v>
      </c>
    </row>
    <row r="256" spans="1:15" x14ac:dyDescent="0.25">
      <c r="A256">
        <v>91.811626499999988</v>
      </c>
      <c r="B256">
        <v>-8.6825702499999995</v>
      </c>
      <c r="C256">
        <v>-67.428979749999996</v>
      </c>
      <c r="D256">
        <v>2.9790302500000001</v>
      </c>
      <c r="E256">
        <v>17.439490249999999</v>
      </c>
      <c r="F256">
        <v>0.58488899999999999</v>
      </c>
      <c r="G256">
        <v>93.167800999999997</v>
      </c>
      <c r="H256">
        <v>0</v>
      </c>
      <c r="I256">
        <v>-40</v>
      </c>
      <c r="J256">
        <v>1.18</v>
      </c>
      <c r="K256">
        <v>12.526778999999999</v>
      </c>
      <c r="L256">
        <v>2.8694816961966132</v>
      </c>
      <c r="M256">
        <v>-0.21011907111214659</v>
      </c>
      <c r="N256">
        <v>-1.3646147894806591</v>
      </c>
      <c r="O256">
        <v>-0.69630111882412116</v>
      </c>
    </row>
    <row r="257" spans="1:15" x14ac:dyDescent="0.25">
      <c r="A257">
        <v>92.714397250000005</v>
      </c>
      <c r="B257">
        <v>2.9349617499999998</v>
      </c>
      <c r="C257">
        <v>-54.033391999999999</v>
      </c>
      <c r="D257">
        <v>13.669466</v>
      </c>
      <c r="E257">
        <v>34.16349975</v>
      </c>
      <c r="F257">
        <v>0.682369</v>
      </c>
      <c r="G257">
        <v>93.848147999999995</v>
      </c>
      <c r="H257">
        <v>0</v>
      </c>
      <c r="I257">
        <v>-36</v>
      </c>
      <c r="J257">
        <v>1.18</v>
      </c>
      <c r="K257">
        <v>12.566147750000001</v>
      </c>
      <c r="L257">
        <v>2.4575872127773271</v>
      </c>
      <c r="M257">
        <v>-0.17976355262809141</v>
      </c>
      <c r="N257">
        <v>-0.99955663675817008</v>
      </c>
      <c r="O257">
        <v>-0.43930150400496693</v>
      </c>
    </row>
    <row r="258" spans="1:15" x14ac:dyDescent="0.25">
      <c r="A258">
        <v>92.353286499999996</v>
      </c>
      <c r="B258">
        <v>12.75023075</v>
      </c>
      <c r="C258">
        <v>-39.557951000000003</v>
      </c>
      <c r="D258">
        <v>23.833902999999999</v>
      </c>
      <c r="E258">
        <v>48.562244499999998</v>
      </c>
      <c r="F258">
        <v>0.77984900000000001</v>
      </c>
      <c r="G258">
        <v>93.968208000000004</v>
      </c>
      <c r="H258">
        <v>0</v>
      </c>
      <c r="I258">
        <v>-32</v>
      </c>
      <c r="J258">
        <v>1.19</v>
      </c>
      <c r="K258">
        <v>12.514754999999999</v>
      </c>
      <c r="L258">
        <v>2.1287862592688418</v>
      </c>
      <c r="M258">
        <v>-0.17886149373576121</v>
      </c>
      <c r="N258">
        <v>-0.73276882964762513</v>
      </c>
      <c r="O258">
        <v>-0.2288938486317959</v>
      </c>
    </row>
    <row r="259" spans="1:15" x14ac:dyDescent="0.25">
      <c r="A259">
        <v>91.269963750000002</v>
      </c>
      <c r="B259">
        <v>22.228701000000001</v>
      </c>
      <c r="C259">
        <v>-25.573399500000001</v>
      </c>
      <c r="D259">
        <v>31.546902750000001</v>
      </c>
      <c r="E259">
        <v>61.261758749999998</v>
      </c>
      <c r="F259">
        <v>0.82858949999999998</v>
      </c>
      <c r="G259">
        <v>94.288376</v>
      </c>
      <c r="H259">
        <v>0</v>
      </c>
      <c r="I259">
        <v>-28</v>
      </c>
      <c r="J259">
        <v>1.18</v>
      </c>
      <c r="K259">
        <v>12.585960249999999</v>
      </c>
      <c r="L259">
        <v>1.856602139634872</v>
      </c>
      <c r="M259">
        <v>-0.14805007991271771</v>
      </c>
      <c r="N259">
        <v>-0.52477925462304054</v>
      </c>
      <c r="O259">
        <v>-3.9733162480102148E-2</v>
      </c>
    </row>
    <row r="260" spans="1:15" x14ac:dyDescent="0.25">
      <c r="A260">
        <v>89.690114999999992</v>
      </c>
      <c r="B260">
        <v>31.129802250000001</v>
      </c>
      <c r="C260">
        <v>-12.132706000000001</v>
      </c>
      <c r="D260">
        <v>38.467235250000002</v>
      </c>
      <c r="E260">
        <v>72.396192249999999</v>
      </c>
      <c r="F260">
        <v>0.82858949999999998</v>
      </c>
      <c r="G260">
        <v>95.00874300000001</v>
      </c>
      <c r="H260">
        <v>0</v>
      </c>
      <c r="I260">
        <v>-24</v>
      </c>
      <c r="J260">
        <v>1.18</v>
      </c>
      <c r="K260">
        <v>12.634369250000001</v>
      </c>
      <c r="L260">
        <v>1.618876870996562</v>
      </c>
      <c r="M260">
        <v>-0.1166137501290177</v>
      </c>
      <c r="N260">
        <v>-0.35952108443838182</v>
      </c>
      <c r="O260">
        <v>0.13786392981211501</v>
      </c>
    </row>
    <row r="261" spans="1:15" x14ac:dyDescent="0.25">
      <c r="A261">
        <v>86.214456249999998</v>
      </c>
      <c r="B261">
        <v>37.528971499999997</v>
      </c>
      <c r="C261">
        <v>1.310006</v>
      </c>
      <c r="D261">
        <v>44.475217499999999</v>
      </c>
      <c r="E261">
        <v>80.311027749999994</v>
      </c>
      <c r="F261">
        <v>0.82858949999999998</v>
      </c>
      <c r="G261">
        <v>94.928702999999999</v>
      </c>
      <c r="H261">
        <v>0</v>
      </c>
      <c r="I261">
        <v>-20</v>
      </c>
      <c r="J261">
        <v>1.18</v>
      </c>
      <c r="K261">
        <v>12.629002249999999</v>
      </c>
      <c r="L261">
        <v>1.394368076344302</v>
      </c>
      <c r="M261">
        <v>-0.1140479492121214</v>
      </c>
      <c r="N261">
        <v>-0.24006228511229349</v>
      </c>
      <c r="O261">
        <v>0.30534072202723977</v>
      </c>
    </row>
    <row r="262" spans="1:15" x14ac:dyDescent="0.25">
      <c r="A262">
        <v>82.10685724999999</v>
      </c>
      <c r="B262">
        <v>43.302659749999997</v>
      </c>
      <c r="C262">
        <v>13.913543750000001</v>
      </c>
      <c r="D262">
        <v>49.558099499999997</v>
      </c>
      <c r="E262">
        <v>86.750219250000001</v>
      </c>
      <c r="F262">
        <v>0.73110900000000001</v>
      </c>
      <c r="G262">
        <v>95.408942999999994</v>
      </c>
      <c r="H262">
        <v>0</v>
      </c>
      <c r="I262">
        <v>-16</v>
      </c>
      <c r="J262">
        <v>1.18</v>
      </c>
      <c r="K262">
        <v>12.66770975</v>
      </c>
      <c r="L262">
        <v>1.172920081625682</v>
      </c>
      <c r="M262">
        <v>-0.10750275692854069</v>
      </c>
      <c r="N262">
        <v>-0.14894123618447561</v>
      </c>
      <c r="O262">
        <v>0.47952128660572291</v>
      </c>
    </row>
    <row r="263" spans="1:15" x14ac:dyDescent="0.25">
      <c r="A263">
        <v>76.915937249999999</v>
      </c>
      <c r="B263">
        <v>48.114066999999999</v>
      </c>
      <c r="C263">
        <v>27.285038</v>
      </c>
      <c r="D263">
        <v>53.852258499999998</v>
      </c>
      <c r="E263">
        <v>91.758478249999996</v>
      </c>
      <c r="F263">
        <v>0.77984900000000001</v>
      </c>
      <c r="G263">
        <v>96.089297999999999</v>
      </c>
      <c r="H263">
        <v>0</v>
      </c>
      <c r="I263">
        <v>-12</v>
      </c>
      <c r="J263">
        <v>1.18</v>
      </c>
      <c r="K263">
        <v>12.70989475</v>
      </c>
      <c r="L263">
        <v>0.91810560143697384</v>
      </c>
      <c r="M263">
        <v>-0.106130889380204</v>
      </c>
      <c r="N263">
        <v>-8.0143147501639339E-2</v>
      </c>
      <c r="O263">
        <v>0.68297772934778689</v>
      </c>
    </row>
    <row r="264" spans="1:15" x14ac:dyDescent="0.25">
      <c r="A264">
        <v>69.878890999999996</v>
      </c>
      <c r="B264">
        <v>50.8049325</v>
      </c>
      <c r="C264">
        <v>38.668879750000002</v>
      </c>
      <c r="D264">
        <v>55.692610500000001</v>
      </c>
      <c r="E264">
        <v>93.681291999999999</v>
      </c>
      <c r="F264">
        <v>0.82858949999999998</v>
      </c>
      <c r="G264">
        <v>95.814704750000004</v>
      </c>
      <c r="H264">
        <v>0</v>
      </c>
      <c r="I264">
        <v>-8</v>
      </c>
      <c r="J264">
        <v>1.18</v>
      </c>
      <c r="K264">
        <v>12.688317250000001</v>
      </c>
      <c r="L264">
        <v>0.63769277191581164</v>
      </c>
      <c r="M264">
        <v>-9.9818355384856602E-2</v>
      </c>
      <c r="N264">
        <v>-4.3603339971448218E-2</v>
      </c>
      <c r="O264">
        <v>0.89715348752722501</v>
      </c>
    </row>
    <row r="265" spans="1:15" x14ac:dyDescent="0.25">
      <c r="A265">
        <v>62.483902999999998</v>
      </c>
      <c r="B265">
        <v>51.670906000000002</v>
      </c>
      <c r="C265">
        <v>48.110238750000001</v>
      </c>
      <c r="D265">
        <v>56.919513500000001</v>
      </c>
      <c r="E265">
        <v>94.620340249999998</v>
      </c>
      <c r="F265">
        <v>0.633629</v>
      </c>
      <c r="G265">
        <v>95.825809499999991</v>
      </c>
      <c r="H265">
        <v>0</v>
      </c>
      <c r="I265">
        <v>-4</v>
      </c>
      <c r="J265">
        <v>1.18</v>
      </c>
      <c r="K265">
        <v>12.702070000000001</v>
      </c>
      <c r="L265">
        <v>0.32129314070171727</v>
      </c>
      <c r="M265">
        <v>-0.1173309171776052</v>
      </c>
      <c r="N265">
        <v>-2.6965940111847601E-2</v>
      </c>
      <c r="O265">
        <v>1.1012529190820859</v>
      </c>
    </row>
    <row r="266" spans="1:15" x14ac:dyDescent="0.25">
      <c r="A266">
        <v>54.360956999999999</v>
      </c>
      <c r="B266">
        <v>52.829244500000001</v>
      </c>
      <c r="C266">
        <v>57.506425999999998</v>
      </c>
      <c r="D266">
        <v>57.182422500000001</v>
      </c>
      <c r="E266">
        <v>95.15694225</v>
      </c>
      <c r="F266">
        <v>0.82858949999999998</v>
      </c>
      <c r="G266">
        <v>95.991489000000001</v>
      </c>
      <c r="H266">
        <v>0</v>
      </c>
      <c r="I266">
        <v>0</v>
      </c>
      <c r="J266">
        <v>1.18</v>
      </c>
      <c r="K266">
        <v>12.70011925</v>
      </c>
      <c r="L266">
        <v>-7.568337997731131E-2</v>
      </c>
      <c r="M266">
        <v>-0.1047318084045776</v>
      </c>
      <c r="N266">
        <v>-2.0080207568711511E-2</v>
      </c>
      <c r="O266">
        <v>1.269600842123533</v>
      </c>
    </row>
    <row r="267" spans="1:15" x14ac:dyDescent="0.25">
      <c r="A267">
        <v>44.512313749999997</v>
      </c>
      <c r="B267">
        <v>52.821866749999998</v>
      </c>
      <c r="C267">
        <v>65.321520000000007</v>
      </c>
      <c r="D267">
        <v>56.0431575</v>
      </c>
      <c r="E267">
        <v>94.262609499999996</v>
      </c>
      <c r="F267">
        <v>0.82858949999999998</v>
      </c>
      <c r="G267">
        <v>95.945892000000001</v>
      </c>
      <c r="H267">
        <v>0</v>
      </c>
      <c r="I267">
        <v>4</v>
      </c>
      <c r="J267">
        <v>1.18</v>
      </c>
      <c r="K267">
        <v>12.697074750000001</v>
      </c>
      <c r="L267">
        <v>-0.45637889810794702</v>
      </c>
      <c r="M267">
        <v>-7.0649474820067393E-2</v>
      </c>
      <c r="N267">
        <v>-3.6934969621020219E-2</v>
      </c>
      <c r="O267">
        <v>1.049241893036772</v>
      </c>
    </row>
    <row r="268" spans="1:15" x14ac:dyDescent="0.25">
      <c r="A268">
        <v>34.856036000000003</v>
      </c>
      <c r="B268">
        <v>51.430347500000003</v>
      </c>
      <c r="C268">
        <v>72.413833499999996</v>
      </c>
      <c r="D268">
        <v>55.079161499999998</v>
      </c>
      <c r="E268">
        <v>93.457708499999995</v>
      </c>
      <c r="F268">
        <v>0.87732999999999994</v>
      </c>
      <c r="G268">
        <v>96.42622025</v>
      </c>
      <c r="H268">
        <v>0</v>
      </c>
      <c r="I268">
        <v>8</v>
      </c>
      <c r="J268">
        <v>1.18</v>
      </c>
      <c r="K268">
        <v>12.725849500000001</v>
      </c>
      <c r="L268">
        <v>-0.74644916402113293</v>
      </c>
      <c r="M268">
        <v>-7.2458439178850143E-2</v>
      </c>
      <c r="N268">
        <v>-5.9063144625850918E-2</v>
      </c>
      <c r="O268">
        <v>0.84013168872771149</v>
      </c>
    </row>
    <row r="269" spans="1:15" x14ac:dyDescent="0.25">
      <c r="A269">
        <v>23.747513250000001</v>
      </c>
      <c r="B269">
        <v>48.825536749999998</v>
      </c>
      <c r="C269">
        <v>78.918886499999999</v>
      </c>
      <c r="D269">
        <v>52.318629999999999</v>
      </c>
      <c r="E269">
        <v>90.685283749999996</v>
      </c>
      <c r="F269">
        <v>0.77984900000000001</v>
      </c>
      <c r="G269">
        <v>96.42622025</v>
      </c>
      <c r="H269">
        <v>0</v>
      </c>
      <c r="I269">
        <v>12</v>
      </c>
      <c r="J269">
        <v>1.18</v>
      </c>
      <c r="K269">
        <v>12.73233975</v>
      </c>
      <c r="L269">
        <v>-1.0142092843825821</v>
      </c>
      <c r="M269">
        <v>-6.4118994851631278E-2</v>
      </c>
      <c r="N269">
        <v>-0.1055684060094694</v>
      </c>
      <c r="O269">
        <v>0.6527362841282045</v>
      </c>
    </row>
    <row r="270" spans="1:15" x14ac:dyDescent="0.25">
      <c r="A270">
        <v>11.1062145</v>
      </c>
      <c r="B270">
        <v>43.726465249999997</v>
      </c>
      <c r="C270">
        <v>84.339763500000004</v>
      </c>
      <c r="D270">
        <v>48.068288500000001</v>
      </c>
      <c r="E270">
        <v>85.229856499999997</v>
      </c>
      <c r="F270">
        <v>0.77984900000000001</v>
      </c>
      <c r="G270">
        <v>96.626363749999996</v>
      </c>
      <c r="H270">
        <v>0</v>
      </c>
      <c r="I270">
        <v>16</v>
      </c>
      <c r="J270">
        <v>1.18</v>
      </c>
      <c r="K270">
        <v>12.745654249999999</v>
      </c>
      <c r="L270">
        <v>-1.266741165182129</v>
      </c>
      <c r="M270">
        <v>-7.5038193122964975E-2</v>
      </c>
      <c r="N270">
        <v>-0.19712788302935891</v>
      </c>
      <c r="O270">
        <v>0.46082217546573823</v>
      </c>
    </row>
    <row r="271" spans="1:15" x14ac:dyDescent="0.25">
      <c r="A271">
        <v>-1.30627575</v>
      </c>
      <c r="B271">
        <v>38.480501250000003</v>
      </c>
      <c r="C271">
        <v>87.908504500000006</v>
      </c>
      <c r="D271">
        <v>41.232690499999997</v>
      </c>
      <c r="E271">
        <v>76.599552000000003</v>
      </c>
      <c r="F271">
        <v>0.77984900000000001</v>
      </c>
      <c r="G271">
        <v>96.231666750000002</v>
      </c>
      <c r="H271">
        <v>0</v>
      </c>
      <c r="I271">
        <v>20</v>
      </c>
      <c r="J271">
        <v>1.18</v>
      </c>
      <c r="K271">
        <v>12.7193825</v>
      </c>
      <c r="L271">
        <v>-1.5379101782361251</v>
      </c>
      <c r="M271">
        <v>-4.7410277556378201E-2</v>
      </c>
      <c r="N271">
        <v>-0.33844866102921362</v>
      </c>
      <c r="O271">
        <v>0.30697033534923118</v>
      </c>
    </row>
    <row r="272" spans="1:15" x14ac:dyDescent="0.25">
      <c r="A272">
        <v>-12.972677750000001</v>
      </c>
      <c r="B272">
        <v>30.447695750000001</v>
      </c>
      <c r="C272">
        <v>86.462938500000007</v>
      </c>
      <c r="D272">
        <v>32.512918999999997</v>
      </c>
      <c r="E272">
        <v>62.513825750000002</v>
      </c>
      <c r="F272">
        <v>0.77984949999999997</v>
      </c>
      <c r="G272">
        <v>91.708299499999995</v>
      </c>
      <c r="H272">
        <v>0</v>
      </c>
      <c r="I272">
        <v>24</v>
      </c>
      <c r="J272">
        <v>1.18</v>
      </c>
      <c r="K272">
        <v>12.4143375</v>
      </c>
      <c r="L272">
        <v>-1.849062252399319</v>
      </c>
      <c r="M272">
        <v>-3.8382277100167977E-2</v>
      </c>
      <c r="N272">
        <v>-0.54289275958842542</v>
      </c>
      <c r="O272">
        <v>0.14797698937145901</v>
      </c>
    </row>
    <row r="273" spans="1:15" x14ac:dyDescent="0.25">
      <c r="A273">
        <v>-25.17960725</v>
      </c>
      <c r="B273">
        <v>22.222489750000001</v>
      </c>
      <c r="C273">
        <v>85.920852749999995</v>
      </c>
      <c r="D273">
        <v>23.749330499999999</v>
      </c>
      <c r="E273">
        <v>47.936211749999998</v>
      </c>
      <c r="F273">
        <v>0.682369</v>
      </c>
      <c r="G273">
        <v>88.786117500000003</v>
      </c>
      <c r="H273">
        <v>0</v>
      </c>
      <c r="I273">
        <v>28</v>
      </c>
      <c r="J273">
        <v>1.1875</v>
      </c>
      <c r="K273">
        <v>12.18139375</v>
      </c>
      <c r="L273">
        <v>-2.2484550635677518</v>
      </c>
      <c r="M273">
        <v>-3.0842108180207242E-2</v>
      </c>
      <c r="N273">
        <v>-0.8267363892903109</v>
      </c>
      <c r="O273">
        <v>-4.3720386003720628E-2</v>
      </c>
    </row>
    <row r="274" spans="1:15" x14ac:dyDescent="0.25">
      <c r="A274">
        <v>-36.713293749999998</v>
      </c>
      <c r="B274">
        <v>13.99728275</v>
      </c>
      <c r="C274">
        <v>84.02354425</v>
      </c>
      <c r="D274">
        <v>13.934110499999999</v>
      </c>
      <c r="E274">
        <v>32.061818500000001</v>
      </c>
      <c r="F274">
        <v>0.58484875000000003</v>
      </c>
      <c r="G274">
        <v>85.863941249999996</v>
      </c>
      <c r="H274">
        <v>0</v>
      </c>
      <c r="I274">
        <v>32</v>
      </c>
      <c r="J274">
        <v>1.18</v>
      </c>
      <c r="K274">
        <v>12.022494</v>
      </c>
      <c r="L274">
        <v>-2.7720055636176602</v>
      </c>
      <c r="M274">
        <v>1.5054838853475879E-3</v>
      </c>
      <c r="N274">
        <v>-1.235265763649023</v>
      </c>
      <c r="O274">
        <v>-0.27736515871444689</v>
      </c>
    </row>
    <row r="275" spans="1:15" x14ac:dyDescent="0.25">
      <c r="A275">
        <v>-47.251181500000001</v>
      </c>
      <c r="B275">
        <v>6.0125792499999999</v>
      </c>
      <c r="C275">
        <v>81.087234749999993</v>
      </c>
      <c r="D275">
        <v>3.6807110000000001</v>
      </c>
      <c r="E275">
        <v>14.756494249999999</v>
      </c>
      <c r="F275">
        <v>0.43857525000000003</v>
      </c>
      <c r="G275">
        <v>82.821670499999996</v>
      </c>
      <c r="H275">
        <v>0</v>
      </c>
      <c r="I275">
        <v>36</v>
      </c>
      <c r="J275">
        <v>1.18</v>
      </c>
      <c r="K275">
        <v>11.81661375</v>
      </c>
      <c r="L275">
        <v>-3.5121731570401979</v>
      </c>
      <c r="M275">
        <v>6.3747145109549097E-2</v>
      </c>
      <c r="N275">
        <v>-1.862733316412694</v>
      </c>
      <c r="O275">
        <v>-0.60819134233793259</v>
      </c>
    </row>
    <row r="276" spans="1:15" x14ac:dyDescent="0.25">
      <c r="A276">
        <v>-59.593244499999997</v>
      </c>
      <c r="B276">
        <v>-4.3661835</v>
      </c>
      <c r="C276">
        <v>82.442453499999999</v>
      </c>
      <c r="D276">
        <v>-5.4633442499999996</v>
      </c>
      <c r="E276">
        <v>-3.3013140000000001</v>
      </c>
      <c r="F276">
        <v>0.389901</v>
      </c>
      <c r="G276">
        <v>84.6630495</v>
      </c>
      <c r="H276">
        <v>0</v>
      </c>
      <c r="I276">
        <v>40</v>
      </c>
      <c r="J276">
        <v>1.1825000000000001</v>
      </c>
      <c r="K276">
        <v>11.938810999999999</v>
      </c>
      <c r="L276">
        <v>-4.8607566658312082</v>
      </c>
      <c r="M276">
        <v>3.7401589579777621E-2</v>
      </c>
      <c r="N276">
        <v>-3.010691902098499</v>
      </c>
      <c r="O276">
        <v>-1.1266827393700301</v>
      </c>
    </row>
    <row r="277" spans="1:15" x14ac:dyDescent="0.25">
      <c r="A277">
        <v>-70.908565499999995</v>
      </c>
      <c r="B277">
        <v>-14.29805075</v>
      </c>
      <c r="C277">
        <v>82.261756750000004</v>
      </c>
      <c r="D277">
        <v>-16.783395250000002</v>
      </c>
      <c r="E277">
        <v>-23.332266000000001</v>
      </c>
      <c r="F277">
        <v>0.58480850000000006</v>
      </c>
      <c r="G277">
        <v>85.78388425</v>
      </c>
      <c r="H277">
        <v>0</v>
      </c>
      <c r="I277">
        <v>44</v>
      </c>
      <c r="J277">
        <v>1.1825000000000001</v>
      </c>
      <c r="K277">
        <v>12.0042185</v>
      </c>
      <c r="L277">
        <v>-7.466995355087171</v>
      </c>
      <c r="M277">
        <v>0.12118085754442209</v>
      </c>
      <c r="N277">
        <v>-5.3194251390042524</v>
      </c>
      <c r="O277">
        <v>-2.1659907378454002</v>
      </c>
    </row>
    <row r="278" spans="1:15" x14ac:dyDescent="0.25">
      <c r="A278">
        <v>84.927701749999997</v>
      </c>
      <c r="B278">
        <v>-7.1010454999999997</v>
      </c>
      <c r="C278">
        <v>-75.567306500000001</v>
      </c>
      <c r="D278">
        <v>-20.498470000000001</v>
      </c>
      <c r="E278">
        <v>-1.3383689999999999</v>
      </c>
      <c r="F278">
        <v>0.58472800000000003</v>
      </c>
      <c r="G278">
        <v>86.904718500000001</v>
      </c>
      <c r="H278">
        <v>4</v>
      </c>
      <c r="I278">
        <v>-44</v>
      </c>
      <c r="J278">
        <v>1.1825000000000001</v>
      </c>
      <c r="K278">
        <v>12.08292675</v>
      </c>
      <c r="L278">
        <v>3.437133765592514</v>
      </c>
      <c r="M278">
        <v>0.28692283090161819</v>
      </c>
      <c r="N278">
        <v>-1.8898024401928331</v>
      </c>
      <c r="O278">
        <v>-1.041186552247197</v>
      </c>
    </row>
    <row r="279" spans="1:15" x14ac:dyDescent="0.25">
      <c r="A279">
        <v>86.914314500000003</v>
      </c>
      <c r="B279">
        <v>4.3290575000000002</v>
      </c>
      <c r="C279">
        <v>-63.972798500000003</v>
      </c>
      <c r="D279">
        <v>-9.3095392500000003</v>
      </c>
      <c r="E279">
        <v>15.959701000000001</v>
      </c>
      <c r="F279">
        <v>0.58476824999999999</v>
      </c>
      <c r="G279">
        <v>88.015361500000012</v>
      </c>
      <c r="H279">
        <v>4</v>
      </c>
      <c r="I279">
        <v>-40</v>
      </c>
      <c r="J279">
        <v>1.19</v>
      </c>
      <c r="K279">
        <v>12.121969249999999</v>
      </c>
      <c r="L279">
        <v>2.8685770138465569</v>
      </c>
      <c r="M279">
        <v>0.25926842424002638</v>
      </c>
      <c r="N279">
        <v>-1.36989801915561</v>
      </c>
      <c r="O279">
        <v>-0.70771306189986227</v>
      </c>
    </row>
    <row r="280" spans="1:15" x14ac:dyDescent="0.25">
      <c r="A280">
        <v>86.869163749999998</v>
      </c>
      <c r="B280">
        <v>13.6124785</v>
      </c>
      <c r="C280">
        <v>-50.709044499999997</v>
      </c>
      <c r="D280">
        <v>1.4897432500000001</v>
      </c>
      <c r="E280">
        <v>31.15939925</v>
      </c>
      <c r="F280">
        <v>0.53600175000000005</v>
      </c>
      <c r="G280">
        <v>88.050281249999998</v>
      </c>
      <c r="H280">
        <v>4</v>
      </c>
      <c r="I280">
        <v>-36</v>
      </c>
      <c r="J280">
        <v>1.1875</v>
      </c>
      <c r="K280">
        <v>12.140586750000001</v>
      </c>
      <c r="L280">
        <v>2.4669302505393649</v>
      </c>
      <c r="M280">
        <v>0.21737056255733389</v>
      </c>
      <c r="N280">
        <v>-1.0201171695111999</v>
      </c>
      <c r="O280">
        <v>-0.45088081724649048</v>
      </c>
    </row>
    <row r="281" spans="1:15" x14ac:dyDescent="0.25">
      <c r="A281">
        <v>87.185213250000004</v>
      </c>
      <c r="B281">
        <v>23.665508500000001</v>
      </c>
      <c r="C281">
        <v>-37.084373249999999</v>
      </c>
      <c r="D281">
        <v>10.689576750000001</v>
      </c>
      <c r="E281">
        <v>45.286176500000003</v>
      </c>
      <c r="F281">
        <v>0.58472800000000003</v>
      </c>
      <c r="G281">
        <v>88.780971500000007</v>
      </c>
      <c r="H281">
        <v>4</v>
      </c>
      <c r="I281">
        <v>-32</v>
      </c>
      <c r="J281">
        <v>1.1825000000000001</v>
      </c>
      <c r="K281">
        <v>12.2135465</v>
      </c>
      <c r="L281">
        <v>2.1248638479757438</v>
      </c>
      <c r="M281">
        <v>0.2218452468149939</v>
      </c>
      <c r="N281">
        <v>-0.7437066434204187</v>
      </c>
      <c r="O281">
        <v>-0.23563675919132729</v>
      </c>
    </row>
    <row r="282" spans="1:15" x14ac:dyDescent="0.25">
      <c r="A282">
        <v>86.688564499999998</v>
      </c>
      <c r="B282">
        <v>31.698312999999999</v>
      </c>
      <c r="C282">
        <v>-23.640160000000002</v>
      </c>
      <c r="D282">
        <v>19.800663749999998</v>
      </c>
      <c r="E282">
        <v>57.580049500000001</v>
      </c>
      <c r="F282">
        <v>0.73090824999999993</v>
      </c>
      <c r="G282">
        <v>89.501475999999997</v>
      </c>
      <c r="H282">
        <v>4</v>
      </c>
      <c r="I282">
        <v>-28</v>
      </c>
      <c r="J282">
        <v>1.18</v>
      </c>
      <c r="K282">
        <v>12.266155250000001</v>
      </c>
      <c r="L282">
        <v>1.854271224961862</v>
      </c>
      <c r="M282">
        <v>0.19993935138848259</v>
      </c>
      <c r="N282">
        <v>-0.53649409137101145</v>
      </c>
      <c r="O282">
        <v>-4.4535036552602117E-2</v>
      </c>
    </row>
    <row r="283" spans="1:15" x14ac:dyDescent="0.25">
      <c r="A283">
        <v>84.651256500000002</v>
      </c>
      <c r="B283">
        <v>37.903293750000003</v>
      </c>
      <c r="C283">
        <v>-11.233587249999999</v>
      </c>
      <c r="D283">
        <v>26.986721750000001</v>
      </c>
      <c r="E283">
        <v>67.549262999999996</v>
      </c>
      <c r="F283">
        <v>0.58472800000000003</v>
      </c>
      <c r="G283">
        <v>89.651195749999999</v>
      </c>
      <c r="H283">
        <v>4</v>
      </c>
      <c r="I283">
        <v>-24</v>
      </c>
      <c r="J283">
        <v>1.1825000000000001</v>
      </c>
      <c r="K283">
        <v>12.27365</v>
      </c>
      <c r="L283">
        <v>1.606849193272734</v>
      </c>
      <c r="M283">
        <v>0.182900735406195</v>
      </c>
      <c r="N283">
        <v>-0.37038456223969513</v>
      </c>
      <c r="O283">
        <v>0.12223557174615519</v>
      </c>
    </row>
    <row r="284" spans="1:15" x14ac:dyDescent="0.25">
      <c r="A284">
        <v>82.393873499999998</v>
      </c>
      <c r="B284">
        <v>43.915871500000002</v>
      </c>
      <c r="C284">
        <v>0.94861424999999999</v>
      </c>
      <c r="D284">
        <v>33.994067250000001</v>
      </c>
      <c r="E284">
        <v>76.087917500000003</v>
      </c>
      <c r="F284">
        <v>0.73090824999999993</v>
      </c>
      <c r="G284">
        <v>90.326351000000003</v>
      </c>
      <c r="H284">
        <v>4</v>
      </c>
      <c r="I284">
        <v>-20</v>
      </c>
      <c r="J284">
        <v>1.18</v>
      </c>
      <c r="K284">
        <v>12.323013</v>
      </c>
      <c r="L284">
        <v>1.389452556983011</v>
      </c>
      <c r="M284">
        <v>0.16925425731798571</v>
      </c>
      <c r="N284">
        <v>-0.24290338490957189</v>
      </c>
      <c r="O284">
        <v>0.28560165983227759</v>
      </c>
    </row>
    <row r="285" spans="1:15" x14ac:dyDescent="0.25">
      <c r="A285">
        <v>78.335758249999998</v>
      </c>
      <c r="B285">
        <v>49.643319249999998</v>
      </c>
      <c r="C285">
        <v>14.049066</v>
      </c>
      <c r="D285">
        <v>39.163271999999999</v>
      </c>
      <c r="E285">
        <v>82.436027749999994</v>
      </c>
      <c r="F285">
        <v>0.73090824999999993</v>
      </c>
      <c r="G285">
        <v>90.686542500000002</v>
      </c>
      <c r="H285">
        <v>4</v>
      </c>
      <c r="I285">
        <v>-16</v>
      </c>
      <c r="J285">
        <v>1.18</v>
      </c>
      <c r="K285">
        <v>12.347759</v>
      </c>
      <c r="L285">
        <v>1.1514749330956651</v>
      </c>
      <c r="M285">
        <v>0.18768324923569751</v>
      </c>
      <c r="N285">
        <v>-0.14778905457292879</v>
      </c>
      <c r="O285">
        <v>0.46349889310234138</v>
      </c>
    </row>
    <row r="286" spans="1:15" x14ac:dyDescent="0.25">
      <c r="A286">
        <v>72.898605250000003</v>
      </c>
      <c r="B286">
        <v>54.017002249999997</v>
      </c>
      <c r="C286">
        <v>26.83329925</v>
      </c>
      <c r="D286">
        <v>42.799235000000003</v>
      </c>
      <c r="E286">
        <v>86.906524750000003</v>
      </c>
      <c r="F286">
        <v>0.6821815</v>
      </c>
      <c r="G286">
        <v>91.086746000000005</v>
      </c>
      <c r="H286">
        <v>4</v>
      </c>
      <c r="I286">
        <v>-12</v>
      </c>
      <c r="J286">
        <v>1.18</v>
      </c>
      <c r="K286">
        <v>12.378531000000001</v>
      </c>
      <c r="L286">
        <v>0.88434568293806248</v>
      </c>
      <c r="M286">
        <v>0.21535397362288339</v>
      </c>
      <c r="N286">
        <v>-8.0252653268668803E-2</v>
      </c>
      <c r="O286">
        <v>0.65528690091096764</v>
      </c>
    </row>
    <row r="287" spans="1:15" x14ac:dyDescent="0.25">
      <c r="A287">
        <v>66.90394950000001</v>
      </c>
      <c r="B287">
        <v>57.29181775</v>
      </c>
      <c r="C287">
        <v>37.494354250000001</v>
      </c>
      <c r="D287">
        <v>44.639121000000003</v>
      </c>
      <c r="E287">
        <v>89.722938499999998</v>
      </c>
      <c r="F287">
        <v>0.73090824999999993</v>
      </c>
      <c r="G287">
        <v>91.767094</v>
      </c>
      <c r="H287">
        <v>4</v>
      </c>
      <c r="I287">
        <v>-8</v>
      </c>
      <c r="J287">
        <v>1.18</v>
      </c>
      <c r="K287">
        <v>12.4216955</v>
      </c>
      <c r="L287">
        <v>0.60440589571693915</v>
      </c>
      <c r="M287">
        <v>0.26005477798352639</v>
      </c>
      <c r="N287">
        <v>-4.2018864258192193E-2</v>
      </c>
      <c r="O287">
        <v>0.82905328033542303</v>
      </c>
    </row>
    <row r="288" spans="1:15" x14ac:dyDescent="0.25">
      <c r="A288">
        <v>59.319719999999997</v>
      </c>
      <c r="B288">
        <v>58.01342125</v>
      </c>
      <c r="C288">
        <v>47.022989250000002</v>
      </c>
      <c r="D288">
        <v>45.909516250000003</v>
      </c>
      <c r="E288">
        <v>90.527629499999989</v>
      </c>
      <c r="F288">
        <v>0.77963499999999997</v>
      </c>
      <c r="G288">
        <v>91.807113999999999</v>
      </c>
      <c r="H288">
        <v>4</v>
      </c>
      <c r="I288">
        <v>-4</v>
      </c>
      <c r="J288">
        <v>1.19</v>
      </c>
      <c r="K288">
        <v>12.368805</v>
      </c>
      <c r="L288">
        <v>0.27905373066037231</v>
      </c>
      <c r="M288">
        <v>0.27462493100562468</v>
      </c>
      <c r="N288">
        <v>-2.905959159575966E-2</v>
      </c>
      <c r="O288">
        <v>1.0369826940108491</v>
      </c>
    </row>
    <row r="289" spans="1:15" x14ac:dyDescent="0.25">
      <c r="A289">
        <v>51.641776999999998</v>
      </c>
      <c r="B289">
        <v>58.546618250000002</v>
      </c>
      <c r="C289">
        <v>54.611764999999998</v>
      </c>
      <c r="D289">
        <v>45.865709250000002</v>
      </c>
      <c r="E289">
        <v>90.885268999999994</v>
      </c>
      <c r="F289">
        <v>0.77963499999999997</v>
      </c>
      <c r="G289">
        <v>92.287361000000004</v>
      </c>
      <c r="H289">
        <v>4</v>
      </c>
      <c r="I289">
        <v>0</v>
      </c>
      <c r="J289">
        <v>1.1850000000000001</v>
      </c>
      <c r="K289">
        <v>12.427608749999999</v>
      </c>
      <c r="L289">
        <v>-7.047180739897306E-2</v>
      </c>
      <c r="M289">
        <v>0.3009976877863817</v>
      </c>
      <c r="N289">
        <v>-3.3292557397981683E-2</v>
      </c>
      <c r="O289">
        <v>1.138672343513832</v>
      </c>
    </row>
    <row r="290" spans="1:15" x14ac:dyDescent="0.25">
      <c r="A290">
        <v>43.338602250000001</v>
      </c>
      <c r="B290">
        <v>58.594680750000002</v>
      </c>
      <c r="C290">
        <v>62.557734500000002</v>
      </c>
      <c r="D290">
        <v>46.391392499999988</v>
      </c>
      <c r="E290">
        <v>91.377027249999998</v>
      </c>
      <c r="F290">
        <v>0.73090824999999993</v>
      </c>
      <c r="G290">
        <v>93.167816000000002</v>
      </c>
      <c r="H290">
        <v>4</v>
      </c>
      <c r="I290">
        <v>4</v>
      </c>
      <c r="J290">
        <v>1.18</v>
      </c>
      <c r="K290">
        <v>12.51689625</v>
      </c>
      <c r="L290">
        <v>-0.41319450454695128</v>
      </c>
      <c r="M290">
        <v>0.26236103711935138</v>
      </c>
      <c r="N290">
        <v>-3.8503895068484208E-2</v>
      </c>
      <c r="O290">
        <v>0.94889351342286155</v>
      </c>
    </row>
    <row r="291" spans="1:15" x14ac:dyDescent="0.25">
      <c r="A291">
        <v>33.088642499999999</v>
      </c>
      <c r="B291">
        <v>57.73685175</v>
      </c>
      <c r="C291">
        <v>69.698816499999992</v>
      </c>
      <c r="D291">
        <v>44.551509750000001</v>
      </c>
      <c r="E291">
        <v>90.125284249999993</v>
      </c>
      <c r="F291">
        <v>0.6821815</v>
      </c>
      <c r="G291">
        <v>92.927692500000006</v>
      </c>
      <c r="H291">
        <v>4</v>
      </c>
      <c r="I291">
        <v>8</v>
      </c>
      <c r="J291">
        <v>1.18</v>
      </c>
      <c r="K291">
        <v>12.5039265</v>
      </c>
      <c r="L291">
        <v>-0.71356512322491938</v>
      </c>
      <c r="M291">
        <v>0.25699052180801268</v>
      </c>
      <c r="N291">
        <v>-5.4618867239801673E-2</v>
      </c>
      <c r="O291">
        <v>0.74336255170873566</v>
      </c>
    </row>
    <row r="292" spans="1:15" x14ac:dyDescent="0.25">
      <c r="A292">
        <v>22.5722025</v>
      </c>
      <c r="B292">
        <v>55.475491499999997</v>
      </c>
      <c r="C292">
        <v>76.198459499999998</v>
      </c>
      <c r="D292">
        <v>42.361165999999997</v>
      </c>
      <c r="E292">
        <v>87.666507499999994</v>
      </c>
      <c r="F292">
        <v>0.77963499999999997</v>
      </c>
      <c r="G292">
        <v>93.487976000000003</v>
      </c>
      <c r="H292">
        <v>4</v>
      </c>
      <c r="I292">
        <v>12</v>
      </c>
      <c r="J292">
        <v>1.18</v>
      </c>
      <c r="K292">
        <v>12.535261999999999</v>
      </c>
      <c r="L292">
        <v>-0.97149870797160132</v>
      </c>
      <c r="M292">
        <v>0.23757583571434759</v>
      </c>
      <c r="N292">
        <v>-0.1054637669228355</v>
      </c>
      <c r="O292">
        <v>0.57404783153376371</v>
      </c>
    </row>
    <row r="293" spans="1:15" x14ac:dyDescent="0.25">
      <c r="A293">
        <v>10.83539275</v>
      </c>
      <c r="B293">
        <v>51.3857955</v>
      </c>
      <c r="C293">
        <v>81.483140999999989</v>
      </c>
      <c r="D293">
        <v>38.506167499999997</v>
      </c>
      <c r="E293">
        <v>82.748958999999999</v>
      </c>
      <c r="F293">
        <v>0.77963499999999997</v>
      </c>
      <c r="G293">
        <v>93.968224000000006</v>
      </c>
      <c r="H293">
        <v>4</v>
      </c>
      <c r="I293">
        <v>16</v>
      </c>
      <c r="J293">
        <v>1.18</v>
      </c>
      <c r="K293">
        <v>12.567686999999999</v>
      </c>
      <c r="L293">
        <v>-1.216448472461932</v>
      </c>
      <c r="M293">
        <v>0.2217403905923844</v>
      </c>
      <c r="N293">
        <v>-0.19319215113750299</v>
      </c>
      <c r="O293">
        <v>0.41137172510794773</v>
      </c>
    </row>
    <row r="294" spans="1:15" x14ac:dyDescent="0.25">
      <c r="A294">
        <v>-1.351674</v>
      </c>
      <c r="B294">
        <v>46.664083249999997</v>
      </c>
      <c r="C294">
        <v>85.909587999999999</v>
      </c>
      <c r="D294">
        <v>32.335546750000013</v>
      </c>
      <c r="E294">
        <v>75.059699999999992</v>
      </c>
      <c r="F294">
        <v>0.77963499999999997</v>
      </c>
      <c r="G294">
        <v>94.008244000000005</v>
      </c>
      <c r="H294">
        <v>4</v>
      </c>
      <c r="I294">
        <v>20</v>
      </c>
      <c r="J294">
        <v>1.18</v>
      </c>
      <c r="K294">
        <v>12.570384499999999</v>
      </c>
      <c r="L294">
        <v>-1.464937538355872</v>
      </c>
      <c r="M294">
        <v>0.2405125446062098</v>
      </c>
      <c r="N294">
        <v>-0.31812309045080761</v>
      </c>
      <c r="O294">
        <v>0.2469953300253471</v>
      </c>
    </row>
    <row r="295" spans="1:15" x14ac:dyDescent="0.25">
      <c r="A295">
        <v>-13.742019750000001</v>
      </c>
      <c r="B295">
        <v>41.18273525</v>
      </c>
      <c r="C295">
        <v>89.240339250000005</v>
      </c>
      <c r="D295">
        <v>24.796235750000001</v>
      </c>
      <c r="E295">
        <v>64.688143749999995</v>
      </c>
      <c r="F295">
        <v>0.77963475000000004</v>
      </c>
      <c r="G295">
        <v>94.608551000000006</v>
      </c>
      <c r="H295">
        <v>4</v>
      </c>
      <c r="I295">
        <v>24</v>
      </c>
      <c r="J295">
        <v>1.19</v>
      </c>
      <c r="K295">
        <v>12.55768975</v>
      </c>
      <c r="L295">
        <v>-1.740732212078008</v>
      </c>
      <c r="M295">
        <v>0.276978933506702</v>
      </c>
      <c r="N295">
        <v>-0.50577988441716037</v>
      </c>
      <c r="O295">
        <v>8.0226260644520014E-2</v>
      </c>
    </row>
    <row r="296" spans="1:15" x14ac:dyDescent="0.25">
      <c r="A296">
        <v>-27.033481500000001</v>
      </c>
      <c r="B296">
        <v>33.9661665</v>
      </c>
      <c r="C296">
        <v>90.775855750000005</v>
      </c>
      <c r="D296">
        <v>15.200949</v>
      </c>
      <c r="E296">
        <v>50.784890249999997</v>
      </c>
      <c r="F296">
        <v>0.82836149999999997</v>
      </c>
      <c r="G296">
        <v>94.688591000000002</v>
      </c>
      <c r="H296">
        <v>4</v>
      </c>
      <c r="I296">
        <v>28</v>
      </c>
      <c r="J296">
        <v>1.1850000000000001</v>
      </c>
      <c r="K296">
        <v>12.58632025</v>
      </c>
      <c r="L296">
        <v>-2.0777084367829</v>
      </c>
      <c r="M296">
        <v>0.33095372336179518</v>
      </c>
      <c r="N296">
        <v>-0.77429649931330224</v>
      </c>
      <c r="O296">
        <v>-0.1189265729896725</v>
      </c>
    </row>
    <row r="297" spans="1:15" x14ac:dyDescent="0.25">
      <c r="A297">
        <v>-40.460109500000002</v>
      </c>
      <c r="B297">
        <v>26.074166999999999</v>
      </c>
      <c r="C297">
        <v>91.724262249999995</v>
      </c>
      <c r="D297">
        <v>4.2933484999999996</v>
      </c>
      <c r="E297">
        <v>35.048732749999999</v>
      </c>
      <c r="F297">
        <v>0.73090824999999993</v>
      </c>
      <c r="G297">
        <v>94.928711000000007</v>
      </c>
      <c r="H297">
        <v>4</v>
      </c>
      <c r="I297">
        <v>32</v>
      </c>
      <c r="J297">
        <v>1.18</v>
      </c>
      <c r="K297">
        <v>12.635555249999999</v>
      </c>
      <c r="L297">
        <v>-2.4878471756359719</v>
      </c>
      <c r="M297">
        <v>0.40993901349704392</v>
      </c>
      <c r="N297">
        <v>-1.127006290073008</v>
      </c>
      <c r="O297">
        <v>-0.35410751094727028</v>
      </c>
    </row>
    <row r="298" spans="1:15" x14ac:dyDescent="0.25">
      <c r="A298">
        <v>-54.247184750000002</v>
      </c>
      <c r="B298">
        <v>17.316248000000002</v>
      </c>
      <c r="C298">
        <v>92.717826500000001</v>
      </c>
      <c r="D298">
        <v>-7.4301492499999986</v>
      </c>
      <c r="E298">
        <v>16.719686249999999</v>
      </c>
      <c r="F298">
        <v>0.6821815</v>
      </c>
      <c r="G298">
        <v>95.609065999999999</v>
      </c>
      <c r="H298">
        <v>4</v>
      </c>
      <c r="I298">
        <v>36</v>
      </c>
      <c r="J298">
        <v>1.1825000000000001</v>
      </c>
      <c r="K298">
        <v>12.671015000000001</v>
      </c>
      <c r="L298">
        <v>-3.0909346445584198</v>
      </c>
      <c r="M298">
        <v>0.52005816061925225</v>
      </c>
      <c r="N298">
        <v>-1.659489907242528</v>
      </c>
      <c r="O298">
        <v>-0.66286828577919155</v>
      </c>
    </row>
    <row r="299" spans="1:15" x14ac:dyDescent="0.25">
      <c r="A299">
        <v>-66.637530999999996</v>
      </c>
      <c r="B299">
        <v>8.2738967500000005</v>
      </c>
      <c r="C299">
        <v>93.169446750000006</v>
      </c>
      <c r="D299">
        <v>-19.056146999999999</v>
      </c>
      <c r="E299">
        <v>-2.8996072499999999</v>
      </c>
      <c r="F299">
        <v>0.77963499999999997</v>
      </c>
      <c r="G299">
        <v>95.569046</v>
      </c>
      <c r="H299">
        <v>4</v>
      </c>
      <c r="I299">
        <v>40</v>
      </c>
      <c r="J299">
        <v>1.18</v>
      </c>
      <c r="K299">
        <v>12.675172999999999</v>
      </c>
      <c r="L299">
        <v>-4.0006400743611179</v>
      </c>
      <c r="M299">
        <v>0.68401210694907477</v>
      </c>
      <c r="N299">
        <v>-2.4651084351757331</v>
      </c>
      <c r="O299">
        <v>-1.0921089240605011</v>
      </c>
    </row>
    <row r="300" spans="1:15" x14ac:dyDescent="0.25">
      <c r="A300">
        <v>-77.631148999999994</v>
      </c>
      <c r="B300">
        <v>-1.775261</v>
      </c>
      <c r="C300">
        <v>91.453289249999997</v>
      </c>
      <c r="D300">
        <v>-31.905932499999999</v>
      </c>
      <c r="E300">
        <v>-23.910610250000001</v>
      </c>
      <c r="F300">
        <v>0.82836149999999997</v>
      </c>
      <c r="G300">
        <v>96.00927200000001</v>
      </c>
      <c r="H300">
        <v>4</v>
      </c>
      <c r="I300">
        <v>44</v>
      </c>
      <c r="J300">
        <v>1.18</v>
      </c>
      <c r="K300">
        <v>12.7013205</v>
      </c>
      <c r="L300">
        <v>-5.4812524152416016</v>
      </c>
      <c r="M300">
        <v>0.97660782933156465</v>
      </c>
      <c r="N300">
        <v>-3.887890042061616</v>
      </c>
      <c r="O300">
        <v>-1.802390144950528</v>
      </c>
    </row>
    <row r="301" spans="1:15" x14ac:dyDescent="0.25">
      <c r="A301">
        <v>93.842845749999995</v>
      </c>
      <c r="B301">
        <v>3.9923747500000002</v>
      </c>
      <c r="C301">
        <v>-84.359213000000011</v>
      </c>
      <c r="D301">
        <v>-36.757383249999997</v>
      </c>
      <c r="E301">
        <v>-2.8548784999999999</v>
      </c>
      <c r="F301">
        <v>0.77963499999999997</v>
      </c>
      <c r="G301">
        <v>96.44949299999999</v>
      </c>
      <c r="H301">
        <v>8</v>
      </c>
      <c r="I301">
        <v>-44</v>
      </c>
      <c r="J301">
        <v>1.18</v>
      </c>
      <c r="K301">
        <v>12.733902499999999</v>
      </c>
      <c r="L301">
        <v>3.08823444366331</v>
      </c>
      <c r="M301">
        <v>0.70616992861355155</v>
      </c>
      <c r="N301">
        <v>-1.720927279210589</v>
      </c>
      <c r="O301">
        <v>-1.062954915808459</v>
      </c>
    </row>
    <row r="302" spans="1:15" x14ac:dyDescent="0.25">
      <c r="A302">
        <v>94.835890000000006</v>
      </c>
      <c r="B302">
        <v>15.825129</v>
      </c>
      <c r="C302">
        <v>-70.415019999999998</v>
      </c>
      <c r="D302">
        <v>-24.169837000000001</v>
      </c>
      <c r="E302">
        <v>15.514714</v>
      </c>
      <c r="F302">
        <v>0.77963499999999997</v>
      </c>
      <c r="G302">
        <v>96.44949299999999</v>
      </c>
      <c r="H302">
        <v>8</v>
      </c>
      <c r="I302">
        <v>-40</v>
      </c>
      <c r="J302">
        <v>1.18</v>
      </c>
      <c r="K302">
        <v>12.733902499999999</v>
      </c>
      <c r="L302">
        <v>2.6311666996274941</v>
      </c>
      <c r="M302">
        <v>0.63678673343331615</v>
      </c>
      <c r="N302">
        <v>-1.2886872339902731</v>
      </c>
      <c r="O302">
        <v>-0.76541068069683138</v>
      </c>
    </row>
    <row r="303" spans="1:15" x14ac:dyDescent="0.25">
      <c r="A303">
        <v>95.151857500000006</v>
      </c>
      <c r="B303">
        <v>25.781957500000001</v>
      </c>
      <c r="C303">
        <v>-55.664350749999997</v>
      </c>
      <c r="D303">
        <v>-11.2326365</v>
      </c>
      <c r="E303">
        <v>32.638907500000002</v>
      </c>
      <c r="F303">
        <v>0.77963499999999997</v>
      </c>
      <c r="G303">
        <v>96.969761000000005</v>
      </c>
      <c r="H303">
        <v>8</v>
      </c>
      <c r="I303">
        <v>-36</v>
      </c>
      <c r="J303">
        <v>1.18</v>
      </c>
      <c r="K303">
        <v>12.76848025</v>
      </c>
      <c r="L303">
        <v>2.2820889693602968</v>
      </c>
      <c r="M303">
        <v>0.56007810333874652</v>
      </c>
      <c r="N303">
        <v>-0.97343044108673271</v>
      </c>
      <c r="O303">
        <v>-0.517923587621266</v>
      </c>
    </row>
    <row r="304" spans="1:15" x14ac:dyDescent="0.25">
      <c r="A304">
        <v>94.384503999999993</v>
      </c>
      <c r="B304">
        <v>35.5944845</v>
      </c>
      <c r="C304">
        <v>-40.011578749999998</v>
      </c>
      <c r="D304">
        <v>8.8192500000000007E-2</v>
      </c>
      <c r="E304">
        <v>47.530637749999997</v>
      </c>
      <c r="F304">
        <v>0.87714475000000003</v>
      </c>
      <c r="G304">
        <v>96.569555000000008</v>
      </c>
      <c r="H304">
        <v>8</v>
      </c>
      <c r="I304">
        <v>-32</v>
      </c>
      <c r="J304">
        <v>1.18</v>
      </c>
      <c r="K304">
        <v>12.73540075</v>
      </c>
      <c r="L304">
        <v>1.991290872930471</v>
      </c>
      <c r="M304">
        <v>0.5260681597111726</v>
      </c>
      <c r="N304">
        <v>-0.72659253200843954</v>
      </c>
      <c r="O304">
        <v>-0.30875598171659951</v>
      </c>
    </row>
    <row r="305" spans="1:15" x14ac:dyDescent="0.25">
      <c r="A305">
        <v>93.165763999999996</v>
      </c>
      <c r="B305">
        <v>43.098183749999997</v>
      </c>
      <c r="C305">
        <v>-25.757177500000001</v>
      </c>
      <c r="D305">
        <v>10.428672000000001</v>
      </c>
      <c r="E305">
        <v>60.404295750000003</v>
      </c>
      <c r="F305">
        <v>0.77967774999999995</v>
      </c>
      <c r="G305">
        <v>96.689621000000002</v>
      </c>
      <c r="H305">
        <v>8</v>
      </c>
      <c r="I305">
        <v>-28</v>
      </c>
      <c r="J305">
        <v>1.18</v>
      </c>
      <c r="K305">
        <v>12.749868749999999</v>
      </c>
      <c r="L305">
        <v>1.747109891493454</v>
      </c>
      <c r="M305">
        <v>0.47995082536264239</v>
      </c>
      <c r="N305">
        <v>-0.53307509571708023</v>
      </c>
      <c r="O305">
        <v>-0.1240490244828272</v>
      </c>
    </row>
    <row r="306" spans="1:15" x14ac:dyDescent="0.25">
      <c r="A306">
        <v>91.269950499999993</v>
      </c>
      <c r="B306">
        <v>50.361376499999999</v>
      </c>
      <c r="C306">
        <v>-11.953049999999999</v>
      </c>
      <c r="D306">
        <v>19.279897500000001</v>
      </c>
      <c r="E306">
        <v>71.00997375</v>
      </c>
      <c r="F306">
        <v>0.82841825000000002</v>
      </c>
      <c r="G306">
        <v>97.129840999999999</v>
      </c>
      <c r="H306">
        <v>8</v>
      </c>
      <c r="I306">
        <v>-24</v>
      </c>
      <c r="J306">
        <v>1.18</v>
      </c>
      <c r="K306">
        <v>12.775864500000001</v>
      </c>
      <c r="L306">
        <v>1.5327091698456281</v>
      </c>
      <c r="M306">
        <v>0.46151858768435478</v>
      </c>
      <c r="N306">
        <v>-0.38784080594738279</v>
      </c>
      <c r="O306">
        <v>4.2102064805598638E-2</v>
      </c>
    </row>
    <row r="307" spans="1:15" x14ac:dyDescent="0.25">
      <c r="A307">
        <v>83.009614999999997</v>
      </c>
      <c r="B307">
        <v>54.209425750000001</v>
      </c>
      <c r="C307">
        <v>2.8459485</v>
      </c>
      <c r="D307">
        <v>25.41441</v>
      </c>
      <c r="E307">
        <v>76.107664249999999</v>
      </c>
      <c r="F307">
        <v>0.63354074999999999</v>
      </c>
      <c r="G307">
        <v>92.087255749999997</v>
      </c>
      <c r="H307">
        <v>8</v>
      </c>
      <c r="I307">
        <v>-20</v>
      </c>
      <c r="J307">
        <v>1.18</v>
      </c>
      <c r="K307">
        <v>12.45014175</v>
      </c>
      <c r="L307">
        <v>1.293428190463213</v>
      </c>
      <c r="M307">
        <v>0.46461478182416283</v>
      </c>
      <c r="N307">
        <v>-0.25783000242461002</v>
      </c>
      <c r="O307">
        <v>0.21776706035688179</v>
      </c>
    </row>
    <row r="308" spans="1:15" x14ac:dyDescent="0.25">
      <c r="A308">
        <v>76.419400999999993</v>
      </c>
      <c r="B308">
        <v>56.277754999999999</v>
      </c>
      <c r="C308">
        <v>14.681528500000001</v>
      </c>
      <c r="D308">
        <v>29.796203500000001</v>
      </c>
      <c r="E308">
        <v>79.461414500000004</v>
      </c>
      <c r="F308">
        <v>0.73095124999999994</v>
      </c>
      <c r="G308">
        <v>89.096031249999996</v>
      </c>
      <c r="H308">
        <v>8</v>
      </c>
      <c r="I308">
        <v>-16</v>
      </c>
      <c r="J308">
        <v>1.18</v>
      </c>
      <c r="K308">
        <v>12.238103499999999</v>
      </c>
      <c r="L308">
        <v>1.0789060697330419</v>
      </c>
      <c r="M308">
        <v>0.46279063445538332</v>
      </c>
      <c r="N308">
        <v>-0.1683843846278536</v>
      </c>
      <c r="O308">
        <v>0.37588641886572399</v>
      </c>
    </row>
    <row r="309" spans="1:15" x14ac:dyDescent="0.25">
      <c r="A309">
        <v>68.38475600000001</v>
      </c>
      <c r="B309">
        <v>57.816976750000002</v>
      </c>
      <c r="C309">
        <v>24.664975999999999</v>
      </c>
      <c r="D309">
        <v>31.329831500000001</v>
      </c>
      <c r="E309">
        <v>80.221594249999995</v>
      </c>
      <c r="F309">
        <v>0.438637</v>
      </c>
      <c r="G309">
        <v>86.044156749999999</v>
      </c>
      <c r="H309">
        <v>8</v>
      </c>
      <c r="I309">
        <v>-12</v>
      </c>
      <c r="J309">
        <v>1.18</v>
      </c>
      <c r="K309">
        <v>12.045488499999999</v>
      </c>
      <c r="L309">
        <v>0.83713372986602419</v>
      </c>
      <c r="M309">
        <v>0.50718011066188273</v>
      </c>
      <c r="N309">
        <v>-0.11148755769973009</v>
      </c>
      <c r="O309">
        <v>0.52771800263968971</v>
      </c>
    </row>
    <row r="310" spans="1:15" x14ac:dyDescent="0.25">
      <c r="A310">
        <v>59.853589249999999</v>
      </c>
      <c r="B310">
        <v>58.538482500000001</v>
      </c>
      <c r="C310">
        <v>33.3835525</v>
      </c>
      <c r="D310">
        <v>31.81183025</v>
      </c>
      <c r="E310">
        <v>79.819145250000005</v>
      </c>
      <c r="F310">
        <v>0.438637</v>
      </c>
      <c r="G310">
        <v>83.04741125000001</v>
      </c>
      <c r="H310">
        <v>8</v>
      </c>
      <c r="I310">
        <v>-8</v>
      </c>
      <c r="J310">
        <v>1.18</v>
      </c>
      <c r="K310">
        <v>11.83277475</v>
      </c>
      <c r="L310">
        <v>0.56054125723531589</v>
      </c>
      <c r="M310">
        <v>0.56598064885967725</v>
      </c>
      <c r="N310">
        <v>-6.8360976953305244E-2</v>
      </c>
      <c r="O310">
        <v>0.68102662565623096</v>
      </c>
    </row>
    <row r="311" spans="1:15" x14ac:dyDescent="0.25">
      <c r="A311">
        <v>54.211282750000002</v>
      </c>
      <c r="B311">
        <v>60.562910250000002</v>
      </c>
      <c r="C311">
        <v>42.011779500000003</v>
      </c>
      <c r="D311">
        <v>32.994914250000001</v>
      </c>
      <c r="E311">
        <v>82.502139999999997</v>
      </c>
      <c r="F311">
        <v>0.438637</v>
      </c>
      <c r="G311">
        <v>84.488252500000002</v>
      </c>
      <c r="H311">
        <v>8</v>
      </c>
      <c r="I311">
        <v>-4</v>
      </c>
      <c r="J311">
        <v>1.18</v>
      </c>
      <c r="K311">
        <v>11.935532500000001</v>
      </c>
      <c r="L311">
        <v>0.27109316107745729</v>
      </c>
      <c r="M311">
        <v>0.61264307264613937</v>
      </c>
      <c r="N311">
        <v>-4.4150715394180001E-2</v>
      </c>
      <c r="O311">
        <v>0.82369177739857902</v>
      </c>
    </row>
    <row r="312" spans="1:15" x14ac:dyDescent="0.25">
      <c r="A312">
        <v>47.124542249999998</v>
      </c>
      <c r="B312">
        <v>61.424519500000002</v>
      </c>
      <c r="C312">
        <v>49.420310999999998</v>
      </c>
      <c r="D312">
        <v>33.34545825</v>
      </c>
      <c r="E312">
        <v>83.575342000000006</v>
      </c>
      <c r="F312">
        <v>0.38994000000000001</v>
      </c>
      <c r="G312">
        <v>85.453740999999994</v>
      </c>
      <c r="H312">
        <v>8</v>
      </c>
      <c r="I312">
        <v>0</v>
      </c>
      <c r="J312">
        <v>1.18</v>
      </c>
      <c r="K312">
        <v>12.00732775</v>
      </c>
      <c r="L312">
        <v>-5.3012210062426172E-2</v>
      </c>
      <c r="M312">
        <v>0.64781449134884994</v>
      </c>
      <c r="N312">
        <v>-4.3345203094241461E-2</v>
      </c>
      <c r="O312">
        <v>0.91938121001770678</v>
      </c>
    </row>
    <row r="313" spans="1:15" x14ac:dyDescent="0.25">
      <c r="A313">
        <v>39.180176000000003</v>
      </c>
      <c r="B313">
        <v>61.148720750000003</v>
      </c>
      <c r="C313">
        <v>57.009536500000003</v>
      </c>
      <c r="D313">
        <v>34.090361999999999</v>
      </c>
      <c r="E313">
        <v>83.798923500000001</v>
      </c>
      <c r="F313">
        <v>0.43868000000000001</v>
      </c>
      <c r="G313">
        <v>86.26423849999999</v>
      </c>
      <c r="H313">
        <v>8</v>
      </c>
      <c r="I313">
        <v>4</v>
      </c>
      <c r="J313">
        <v>1.18</v>
      </c>
      <c r="K313">
        <v>12.0609705</v>
      </c>
      <c r="L313">
        <v>-0.37802744695196921</v>
      </c>
      <c r="M313">
        <v>0.5736991166879748</v>
      </c>
      <c r="N313">
        <v>-5.2273051323735387E-2</v>
      </c>
      <c r="O313">
        <v>0.76748309779892887</v>
      </c>
    </row>
    <row r="314" spans="1:15" x14ac:dyDescent="0.25">
      <c r="A314">
        <v>30.603869499999998</v>
      </c>
      <c r="B314">
        <v>61.140168000000003</v>
      </c>
      <c r="C314">
        <v>64.011503250000004</v>
      </c>
      <c r="D314">
        <v>33.214002999999998</v>
      </c>
      <c r="E314">
        <v>83.262323499999994</v>
      </c>
      <c r="F314">
        <v>0.48742000000000002</v>
      </c>
      <c r="G314">
        <v>87.294899000000001</v>
      </c>
      <c r="H314">
        <v>8</v>
      </c>
      <c r="I314">
        <v>8</v>
      </c>
      <c r="J314">
        <v>1.18</v>
      </c>
      <c r="K314">
        <v>12.129765750000001</v>
      </c>
      <c r="L314">
        <v>-0.65054785750543753</v>
      </c>
      <c r="M314">
        <v>0.54380732461101178</v>
      </c>
      <c r="N314">
        <v>-7.853307575712945E-2</v>
      </c>
      <c r="O314">
        <v>0.61187201561322857</v>
      </c>
    </row>
    <row r="315" spans="1:15" x14ac:dyDescent="0.25">
      <c r="A315">
        <v>20.76368575</v>
      </c>
      <c r="B315">
        <v>59.023607249999998</v>
      </c>
      <c r="C315">
        <v>70.245509999999996</v>
      </c>
      <c r="D315">
        <v>31.242195500000001</v>
      </c>
      <c r="E315">
        <v>80.713474500000004</v>
      </c>
      <c r="F315">
        <v>0.53615999999999997</v>
      </c>
      <c r="G315">
        <v>87.585220000000007</v>
      </c>
      <c r="H315">
        <v>8</v>
      </c>
      <c r="I315">
        <v>12</v>
      </c>
      <c r="J315">
        <v>1.18</v>
      </c>
      <c r="K315">
        <v>12.1466355</v>
      </c>
      <c r="L315">
        <v>-0.9044212793506955</v>
      </c>
      <c r="M315">
        <v>0.50778937309807637</v>
      </c>
      <c r="N315">
        <v>-0.12560181581457211</v>
      </c>
      <c r="O315">
        <v>0.46548715798094342</v>
      </c>
    </row>
    <row r="316" spans="1:15" x14ac:dyDescent="0.25">
      <c r="A316">
        <v>9.8401797500000008</v>
      </c>
      <c r="B316">
        <v>56.24137975</v>
      </c>
      <c r="C316">
        <v>75.711561250000003</v>
      </c>
      <c r="D316">
        <v>27.955850999999999</v>
      </c>
      <c r="E316">
        <v>76.197097749999998</v>
      </c>
      <c r="F316">
        <v>0.48742000000000002</v>
      </c>
      <c r="G316">
        <v>88.225700000000003</v>
      </c>
      <c r="H316">
        <v>8</v>
      </c>
      <c r="I316">
        <v>16</v>
      </c>
      <c r="J316">
        <v>1.18</v>
      </c>
      <c r="K316">
        <v>12.194626</v>
      </c>
      <c r="L316">
        <v>-1.149617821225865</v>
      </c>
      <c r="M316">
        <v>0.4936631921253879</v>
      </c>
      <c r="N316">
        <v>-0.20995253944246109</v>
      </c>
      <c r="O316">
        <v>0.32129902286818612</v>
      </c>
    </row>
    <row r="317" spans="1:15" x14ac:dyDescent="0.25">
      <c r="A317">
        <v>-1.2615620000000001</v>
      </c>
      <c r="B317">
        <v>51.626389500000002</v>
      </c>
      <c r="C317">
        <v>79.641697000000008</v>
      </c>
      <c r="D317">
        <v>22.829151</v>
      </c>
      <c r="E317">
        <v>68.997724250000005</v>
      </c>
      <c r="F317">
        <v>0.58489999999999998</v>
      </c>
      <c r="G317">
        <v>89.221273750000009</v>
      </c>
      <c r="H317">
        <v>8</v>
      </c>
      <c r="I317">
        <v>20</v>
      </c>
      <c r="J317">
        <v>1.18</v>
      </c>
      <c r="K317">
        <v>12.25688025</v>
      </c>
      <c r="L317">
        <v>-1.3897636470763599</v>
      </c>
      <c r="M317">
        <v>0.49466363801792851</v>
      </c>
      <c r="N317">
        <v>-0.34742261231592952</v>
      </c>
      <c r="O317">
        <v>0.17519834553814551</v>
      </c>
    </row>
    <row r="318" spans="1:15" x14ac:dyDescent="0.25">
      <c r="A318">
        <v>-12.61562425</v>
      </c>
      <c r="B318">
        <v>47.485252500000001</v>
      </c>
      <c r="C318">
        <v>82.803872999999996</v>
      </c>
      <c r="D318">
        <v>14.59137625</v>
      </c>
      <c r="E318">
        <v>59.607241500000001</v>
      </c>
      <c r="F318">
        <v>0.48742000000000002</v>
      </c>
      <c r="G318">
        <v>89.176071500000006</v>
      </c>
      <c r="H318">
        <v>8</v>
      </c>
      <c r="I318">
        <v>24</v>
      </c>
      <c r="J318">
        <v>1.1850000000000001</v>
      </c>
      <c r="K318">
        <v>12.23468325</v>
      </c>
      <c r="L318">
        <v>-1.627820105274228</v>
      </c>
      <c r="M318">
        <v>0.56115658675667579</v>
      </c>
      <c r="N318">
        <v>-0.50447017199356692</v>
      </c>
      <c r="O318">
        <v>8.5186473606691064E-3</v>
      </c>
    </row>
    <row r="319" spans="1:15" x14ac:dyDescent="0.25">
      <c r="A319">
        <v>-25.726865</v>
      </c>
      <c r="B319">
        <v>41.666779750000003</v>
      </c>
      <c r="C319">
        <v>85.378791750000005</v>
      </c>
      <c r="D319">
        <v>3.63689025</v>
      </c>
      <c r="E319">
        <v>46.684143249999998</v>
      </c>
      <c r="F319">
        <v>0.58489999999999998</v>
      </c>
      <c r="G319">
        <v>89.816467499999987</v>
      </c>
      <c r="H319">
        <v>8</v>
      </c>
      <c r="I319">
        <v>28</v>
      </c>
      <c r="J319">
        <v>1.18</v>
      </c>
      <c r="K319">
        <v>12.297965</v>
      </c>
      <c r="L319">
        <v>-1.924629421805939</v>
      </c>
      <c r="M319">
        <v>0.65875549019769641</v>
      </c>
      <c r="N319">
        <v>-0.74717666122558313</v>
      </c>
      <c r="O319">
        <v>-0.20146288473640339</v>
      </c>
    </row>
    <row r="320" spans="1:15" x14ac:dyDescent="0.25">
      <c r="A320">
        <v>-38.477655499999997</v>
      </c>
      <c r="B320">
        <v>35.168919500000001</v>
      </c>
      <c r="C320">
        <v>86.959880749999996</v>
      </c>
      <c r="D320">
        <v>-8.0420440000000006</v>
      </c>
      <c r="E320">
        <v>32.1959655</v>
      </c>
      <c r="F320">
        <v>0.43868000000000001</v>
      </c>
      <c r="G320">
        <v>90.451622</v>
      </c>
      <c r="H320">
        <v>8</v>
      </c>
      <c r="I320">
        <v>32</v>
      </c>
      <c r="J320">
        <v>1.18</v>
      </c>
      <c r="K320">
        <v>12.351691000000001</v>
      </c>
      <c r="L320">
        <v>-2.2619619530088668</v>
      </c>
      <c r="M320">
        <v>0.77921013242969295</v>
      </c>
      <c r="N320">
        <v>-1.0505143727031141</v>
      </c>
      <c r="O320">
        <v>-0.4273575132209112</v>
      </c>
    </row>
    <row r="321" spans="1:15" x14ac:dyDescent="0.25">
      <c r="A321">
        <v>-51.360283000000003</v>
      </c>
      <c r="B321">
        <v>26.557133749999998</v>
      </c>
      <c r="C321">
        <v>86.914703250000002</v>
      </c>
      <c r="D321">
        <v>-20.41105525</v>
      </c>
      <c r="E321">
        <v>14.21989125</v>
      </c>
      <c r="F321">
        <v>0.43868000000000001</v>
      </c>
      <c r="G321">
        <v>90.576946499999991</v>
      </c>
      <c r="H321">
        <v>8</v>
      </c>
      <c r="I321">
        <v>36</v>
      </c>
      <c r="J321">
        <v>1.18</v>
      </c>
      <c r="K321">
        <v>12.360283750000001</v>
      </c>
      <c r="L321">
        <v>-2.7597536076271889</v>
      </c>
      <c r="M321">
        <v>0.93737272880634659</v>
      </c>
      <c r="N321">
        <v>-1.5239623510677951</v>
      </c>
      <c r="O321">
        <v>-0.72497687767232033</v>
      </c>
    </row>
    <row r="322" spans="1:15" x14ac:dyDescent="0.25">
      <c r="A322">
        <v>-62.537454500000003</v>
      </c>
      <c r="B322">
        <v>18.470685499999998</v>
      </c>
      <c r="C322">
        <v>87.501966250000009</v>
      </c>
      <c r="D322">
        <v>-31.8185185</v>
      </c>
      <c r="E322">
        <v>-3.2112595000000002</v>
      </c>
      <c r="F322">
        <v>0.48742000000000002</v>
      </c>
      <c r="G322">
        <v>91.212053249999997</v>
      </c>
      <c r="H322">
        <v>8</v>
      </c>
      <c r="I322">
        <v>40</v>
      </c>
      <c r="J322">
        <v>1.1875</v>
      </c>
      <c r="K322">
        <v>12.361272749999999</v>
      </c>
      <c r="L322">
        <v>-3.413366797650772</v>
      </c>
      <c r="M322">
        <v>1.1438914209089019</v>
      </c>
      <c r="N322">
        <v>-2.1484837499078702</v>
      </c>
      <c r="O322">
        <v>-1.084511064697899</v>
      </c>
    </row>
    <row r="323" spans="1:15" x14ac:dyDescent="0.25">
      <c r="A323">
        <v>-73.917240000000007</v>
      </c>
      <c r="B323">
        <v>9.3341294999999995</v>
      </c>
      <c r="C323">
        <v>86.011230499999996</v>
      </c>
      <c r="D323">
        <v>-45.542441500000002</v>
      </c>
      <c r="E323">
        <v>-24.39664475</v>
      </c>
      <c r="F323">
        <v>0.58489999999999998</v>
      </c>
      <c r="G323">
        <v>91.526934000000011</v>
      </c>
      <c r="H323">
        <v>8</v>
      </c>
      <c r="I323">
        <v>44</v>
      </c>
      <c r="J323">
        <v>1.18</v>
      </c>
      <c r="K323">
        <v>12.4152735</v>
      </c>
      <c r="L323">
        <v>-4.5270079480483876</v>
      </c>
      <c r="M323">
        <v>1.55332063311805</v>
      </c>
      <c r="N323">
        <v>-3.2815484180395211</v>
      </c>
      <c r="O323">
        <v>-1.7073366393300939</v>
      </c>
    </row>
    <row r="324" spans="1:15" x14ac:dyDescent="0.25">
      <c r="A324">
        <v>87.986367999999999</v>
      </c>
      <c r="B324">
        <v>14.046384249999999</v>
      </c>
      <c r="C324">
        <v>-80.845733999999993</v>
      </c>
      <c r="D324">
        <v>-49.781999499999998</v>
      </c>
      <c r="E324">
        <v>-5.0398925000000014</v>
      </c>
      <c r="F324">
        <v>0.48742000000000002</v>
      </c>
      <c r="G324">
        <v>92.092559500000007</v>
      </c>
      <c r="H324">
        <v>12</v>
      </c>
      <c r="I324">
        <v>-44</v>
      </c>
      <c r="J324">
        <v>1.18</v>
      </c>
      <c r="K324">
        <v>12.460454</v>
      </c>
      <c r="L324">
        <v>2.801095023419069</v>
      </c>
      <c r="M324">
        <v>1.058936651986955</v>
      </c>
      <c r="N324">
        <v>-1.611514471820279</v>
      </c>
      <c r="O324">
        <v>-1.091691291058358</v>
      </c>
    </row>
    <row r="325" spans="1:15" x14ac:dyDescent="0.25">
      <c r="A325">
        <v>90.017873750000007</v>
      </c>
      <c r="B325">
        <v>25.014092999999999</v>
      </c>
      <c r="C325">
        <v>-67.672211000000004</v>
      </c>
      <c r="D325">
        <v>-37.456692500000003</v>
      </c>
      <c r="E325">
        <v>12.297078000000001</v>
      </c>
      <c r="F325">
        <v>0.48742000000000002</v>
      </c>
      <c r="G325">
        <v>92.847610000000003</v>
      </c>
      <c r="H325">
        <v>12</v>
      </c>
      <c r="I325">
        <v>-40</v>
      </c>
      <c r="J325">
        <v>1.18</v>
      </c>
      <c r="K325">
        <v>12.5117005</v>
      </c>
      <c r="L325">
        <v>2.4311840295385019</v>
      </c>
      <c r="M325">
        <v>0.96315338558505981</v>
      </c>
      <c r="N325">
        <v>-1.24189232365214</v>
      </c>
      <c r="O325">
        <v>-0.81792461747812883</v>
      </c>
    </row>
    <row r="326" spans="1:15" x14ac:dyDescent="0.25">
      <c r="A326">
        <v>90.017862250000007</v>
      </c>
      <c r="B326">
        <v>33.723278999999998</v>
      </c>
      <c r="C326">
        <v>-53.145244000000012</v>
      </c>
      <c r="D326">
        <v>-23.426822749999999</v>
      </c>
      <c r="E326">
        <v>28.573919750000002</v>
      </c>
      <c r="F326">
        <v>0.48742000000000002</v>
      </c>
      <c r="G326">
        <v>92.727544749999993</v>
      </c>
      <c r="H326">
        <v>12</v>
      </c>
      <c r="I326">
        <v>-36</v>
      </c>
      <c r="J326">
        <v>1.1850000000000001</v>
      </c>
      <c r="K326">
        <v>12.4772455</v>
      </c>
      <c r="L326">
        <v>2.1412720170278998</v>
      </c>
      <c r="M326">
        <v>0.85479225939657721</v>
      </c>
      <c r="N326">
        <v>-0.95956021889292265</v>
      </c>
      <c r="O326">
        <v>-0.57993831179316446</v>
      </c>
    </row>
    <row r="327" spans="1:15" x14ac:dyDescent="0.25">
      <c r="A327">
        <v>90.017862250000007</v>
      </c>
      <c r="B327">
        <v>42.857701249999998</v>
      </c>
      <c r="C327">
        <v>-38.888962999999997</v>
      </c>
      <c r="D327">
        <v>-12.063064750000001</v>
      </c>
      <c r="E327">
        <v>43.017381</v>
      </c>
      <c r="F327">
        <v>0.58489999999999998</v>
      </c>
      <c r="G327">
        <v>93.287838000000008</v>
      </c>
      <c r="H327">
        <v>12</v>
      </c>
      <c r="I327">
        <v>-32</v>
      </c>
      <c r="J327">
        <v>1.1825000000000001</v>
      </c>
      <c r="K327">
        <v>12.5217095</v>
      </c>
      <c r="L327">
        <v>1.8820492760114469</v>
      </c>
      <c r="M327">
        <v>0.8018343600193637</v>
      </c>
      <c r="N327">
        <v>-0.73396604745500527</v>
      </c>
      <c r="O327">
        <v>-0.38049052989966359</v>
      </c>
    </row>
    <row r="328" spans="1:15" x14ac:dyDescent="0.25">
      <c r="A328">
        <v>88.973688249999995</v>
      </c>
      <c r="B328">
        <v>50.553801499999999</v>
      </c>
      <c r="C328">
        <v>-24.3619965</v>
      </c>
      <c r="D328">
        <v>-1.13637575</v>
      </c>
      <c r="E328">
        <v>55.582746499999999</v>
      </c>
      <c r="F328">
        <v>0.63364050000000005</v>
      </c>
      <c r="G328">
        <v>93.648017999999993</v>
      </c>
      <c r="H328">
        <v>12</v>
      </c>
      <c r="I328">
        <v>-28</v>
      </c>
      <c r="J328">
        <v>1.18</v>
      </c>
      <c r="K328">
        <v>12.555933250000001</v>
      </c>
      <c r="L328">
        <v>1.6585889301208621</v>
      </c>
      <c r="M328">
        <v>0.75644499766322615</v>
      </c>
      <c r="N328">
        <v>-0.55705693818255242</v>
      </c>
      <c r="O328">
        <v>-0.1958347042016472</v>
      </c>
    </row>
    <row r="329" spans="1:15" x14ac:dyDescent="0.25">
      <c r="A329">
        <v>86.321676249999996</v>
      </c>
      <c r="B329">
        <v>56.806881750000002</v>
      </c>
      <c r="C329">
        <v>-10.46663575</v>
      </c>
      <c r="D329">
        <v>8.235672000000001</v>
      </c>
      <c r="E329">
        <v>65.375681</v>
      </c>
      <c r="F329">
        <v>0.58489999999999998</v>
      </c>
      <c r="G329">
        <v>93.808104999999998</v>
      </c>
      <c r="H329">
        <v>12</v>
      </c>
      <c r="I329">
        <v>-24</v>
      </c>
      <c r="J329">
        <v>1.18</v>
      </c>
      <c r="K329">
        <v>12.570021000000001</v>
      </c>
      <c r="L329">
        <v>1.4556644938118739</v>
      </c>
      <c r="M329">
        <v>0.7305082212479278</v>
      </c>
      <c r="N329">
        <v>-0.42762673202075302</v>
      </c>
      <c r="O329">
        <v>-2.5578682013980399E-2</v>
      </c>
    </row>
    <row r="330" spans="1:15" x14ac:dyDescent="0.25">
      <c r="A330">
        <v>83.551269750000003</v>
      </c>
      <c r="B330">
        <v>62.338453000000001</v>
      </c>
      <c r="C330">
        <v>2.6649232500000002</v>
      </c>
      <c r="D330">
        <v>17.129581000000002</v>
      </c>
      <c r="E330">
        <v>74.676729499999993</v>
      </c>
      <c r="F330">
        <v>0.63364050000000005</v>
      </c>
      <c r="G330">
        <v>94.448432999999994</v>
      </c>
      <c r="H330">
        <v>12</v>
      </c>
      <c r="I330">
        <v>-20</v>
      </c>
      <c r="J330">
        <v>1.18</v>
      </c>
      <c r="K330">
        <v>12.6098415</v>
      </c>
      <c r="L330">
        <v>1.2486382046441931</v>
      </c>
      <c r="M330">
        <v>0.69790223149297848</v>
      </c>
      <c r="N330">
        <v>-0.30522390900986812</v>
      </c>
      <c r="O330">
        <v>0.1430083768899163</v>
      </c>
    </row>
    <row r="331" spans="1:15" x14ac:dyDescent="0.25">
      <c r="A331">
        <v>78.862043499999999</v>
      </c>
      <c r="B331">
        <v>67.196617000000003</v>
      </c>
      <c r="C331">
        <v>15.761597</v>
      </c>
      <c r="D331">
        <v>22.47719025</v>
      </c>
      <c r="E331">
        <v>81.502489249999996</v>
      </c>
      <c r="F331">
        <v>0.63364050000000005</v>
      </c>
      <c r="G331">
        <v>94.528472999999991</v>
      </c>
      <c r="H331">
        <v>12</v>
      </c>
      <c r="I331">
        <v>-16</v>
      </c>
      <c r="J331">
        <v>1.18</v>
      </c>
      <c r="K331">
        <v>12.6152195</v>
      </c>
      <c r="L331">
        <v>1.011497267275931</v>
      </c>
      <c r="M331">
        <v>0.71686354673671138</v>
      </c>
      <c r="N331">
        <v>-0.20881477844315871</v>
      </c>
      <c r="O331">
        <v>0.29632716868886072</v>
      </c>
    </row>
    <row r="332" spans="1:15" x14ac:dyDescent="0.25">
      <c r="A332">
        <v>73.590145500000006</v>
      </c>
      <c r="B332">
        <v>71.333272750000006</v>
      </c>
      <c r="C332">
        <v>26.871479999999998</v>
      </c>
      <c r="D332">
        <v>25.364131749999999</v>
      </c>
      <c r="E332">
        <v>86.342161250000004</v>
      </c>
      <c r="F332">
        <v>0.68238100000000002</v>
      </c>
      <c r="G332">
        <v>94.808612999999994</v>
      </c>
      <c r="H332">
        <v>12</v>
      </c>
      <c r="I332">
        <v>-12</v>
      </c>
      <c r="J332">
        <v>1.1825000000000001</v>
      </c>
      <c r="K332">
        <v>12.61745475</v>
      </c>
      <c r="L332">
        <v>0.77571250095386979</v>
      </c>
      <c r="M332">
        <v>0.7633055369969497</v>
      </c>
      <c r="N332">
        <v>-0.14058275923438299</v>
      </c>
      <c r="O332">
        <v>0.42236004064635929</v>
      </c>
    </row>
    <row r="333" spans="1:15" x14ac:dyDescent="0.25">
      <c r="A333">
        <v>67.671423000000004</v>
      </c>
      <c r="B333">
        <v>73.786404000000005</v>
      </c>
      <c r="C333">
        <v>36.626499250000002</v>
      </c>
      <c r="D333">
        <v>27.512405999999999</v>
      </c>
      <c r="E333">
        <v>89.824010749999999</v>
      </c>
      <c r="F333">
        <v>0.63364050000000005</v>
      </c>
      <c r="G333">
        <v>95.569007999999997</v>
      </c>
      <c r="H333">
        <v>12</v>
      </c>
      <c r="I333">
        <v>-8</v>
      </c>
      <c r="J333">
        <v>1.18</v>
      </c>
      <c r="K333">
        <v>12.684927</v>
      </c>
      <c r="L333">
        <v>0.5375032394155741</v>
      </c>
      <c r="M333">
        <v>0.80122796924128692</v>
      </c>
      <c r="N333">
        <v>-9.9481261050964345E-2</v>
      </c>
      <c r="O333">
        <v>0.54431474426514947</v>
      </c>
    </row>
    <row r="334" spans="1:15" x14ac:dyDescent="0.25">
      <c r="A334">
        <v>59.496357000000003</v>
      </c>
      <c r="B334">
        <v>74.892717500000003</v>
      </c>
      <c r="C334">
        <v>44.487625999999999</v>
      </c>
      <c r="D334">
        <v>26.809755750000001</v>
      </c>
      <c r="E334">
        <v>90.578229750000006</v>
      </c>
      <c r="F334">
        <v>0.68238100000000002</v>
      </c>
      <c r="G334">
        <v>95.408928000000003</v>
      </c>
      <c r="H334">
        <v>12</v>
      </c>
      <c r="I334">
        <v>-4</v>
      </c>
      <c r="J334">
        <v>1.18</v>
      </c>
      <c r="K334">
        <v>12.670968</v>
      </c>
      <c r="L334">
        <v>0.27324096517353708</v>
      </c>
      <c r="M334">
        <v>0.87534802875326889</v>
      </c>
      <c r="N334">
        <v>-8.7940937167744815E-2</v>
      </c>
      <c r="O334">
        <v>0.63657406909290049</v>
      </c>
    </row>
    <row r="335" spans="1:15" x14ac:dyDescent="0.25">
      <c r="A335">
        <v>51.32915775</v>
      </c>
      <c r="B335">
        <v>75.469925000000003</v>
      </c>
      <c r="C335">
        <v>53.381645249999998</v>
      </c>
      <c r="D335">
        <v>27.4230515</v>
      </c>
      <c r="E335">
        <v>91.567693750000004</v>
      </c>
      <c r="F335">
        <v>0.68230000000000002</v>
      </c>
      <c r="G335">
        <v>95.889167999999998</v>
      </c>
      <c r="H335">
        <v>12</v>
      </c>
      <c r="I335">
        <v>0</v>
      </c>
      <c r="J335">
        <v>1.18</v>
      </c>
      <c r="K335">
        <v>12.703052</v>
      </c>
      <c r="L335">
        <v>-3.9325083743413577E-2</v>
      </c>
      <c r="M335">
        <v>0.92059074317255474</v>
      </c>
      <c r="N335">
        <v>-8.280566075876708E-2</v>
      </c>
      <c r="O335">
        <v>0.74138387837062547</v>
      </c>
    </row>
    <row r="336" spans="1:15" x14ac:dyDescent="0.25">
      <c r="A336">
        <v>42.7489025</v>
      </c>
      <c r="B336">
        <v>75.950931499999996</v>
      </c>
      <c r="C336">
        <v>61.5108265</v>
      </c>
      <c r="D336">
        <v>27.817312000000001</v>
      </c>
      <c r="E336">
        <v>91.874756000000005</v>
      </c>
      <c r="F336">
        <v>0.63355950000000005</v>
      </c>
      <c r="G336">
        <v>96.569514999999996</v>
      </c>
      <c r="H336">
        <v>12</v>
      </c>
      <c r="I336">
        <v>4</v>
      </c>
      <c r="J336">
        <v>1.18</v>
      </c>
      <c r="K336">
        <v>12.751597500000001</v>
      </c>
      <c r="L336">
        <v>-0.33153019573733161</v>
      </c>
      <c r="M336">
        <v>0.85052655125909049</v>
      </c>
      <c r="N336">
        <v>-8.296796231843015E-2</v>
      </c>
      <c r="O336">
        <v>0.61230133165727874</v>
      </c>
    </row>
    <row r="337" spans="1:15" x14ac:dyDescent="0.25">
      <c r="A337">
        <v>32.996195999999998</v>
      </c>
      <c r="B337">
        <v>74.315509750000004</v>
      </c>
      <c r="C337">
        <v>68.330310999999995</v>
      </c>
      <c r="D337">
        <v>27.423051999999998</v>
      </c>
      <c r="E337">
        <v>89.991171250000008</v>
      </c>
      <c r="F337">
        <v>0.73101250000000007</v>
      </c>
      <c r="G337">
        <v>96.369415000000004</v>
      </c>
      <c r="H337">
        <v>12</v>
      </c>
      <c r="I337">
        <v>8</v>
      </c>
      <c r="J337">
        <v>1.18</v>
      </c>
      <c r="K337">
        <v>12.731809</v>
      </c>
      <c r="L337">
        <v>-0.59104175292859384</v>
      </c>
      <c r="M337">
        <v>0.78439330899559667</v>
      </c>
      <c r="N337">
        <v>-0.1066918974836286</v>
      </c>
      <c r="O337">
        <v>0.49312022669820849</v>
      </c>
    </row>
    <row r="338" spans="1:15" x14ac:dyDescent="0.25">
      <c r="A338">
        <v>22.119263</v>
      </c>
      <c r="B338">
        <v>72.054780749999992</v>
      </c>
      <c r="C338">
        <v>73.794929249999996</v>
      </c>
      <c r="D338">
        <v>25.057483749999999</v>
      </c>
      <c r="E338">
        <v>86.018043500000005</v>
      </c>
      <c r="F338">
        <v>0.779644</v>
      </c>
      <c r="G338">
        <v>96.889683000000005</v>
      </c>
      <c r="H338">
        <v>12</v>
      </c>
      <c r="I338">
        <v>12</v>
      </c>
      <c r="J338">
        <v>1.18</v>
      </c>
      <c r="K338">
        <v>12.76316375</v>
      </c>
      <c r="L338">
        <v>-0.82775141151297982</v>
      </c>
      <c r="M338">
        <v>0.75279395383469694</v>
      </c>
      <c r="N338">
        <v>-0.17419362641641739</v>
      </c>
      <c r="O338">
        <v>0.36534498484495831</v>
      </c>
    </row>
    <row r="339" spans="1:15" x14ac:dyDescent="0.25">
      <c r="A339">
        <v>10.11099875</v>
      </c>
      <c r="B339">
        <v>66.186506250000008</v>
      </c>
      <c r="C339">
        <v>76.053032000000002</v>
      </c>
      <c r="D339">
        <v>21.114872250000001</v>
      </c>
      <c r="E339">
        <v>77.026722000000007</v>
      </c>
      <c r="F339">
        <v>0.58473799999999998</v>
      </c>
      <c r="G339">
        <v>92.927652249999994</v>
      </c>
      <c r="H339">
        <v>12</v>
      </c>
      <c r="I339">
        <v>16</v>
      </c>
      <c r="J339">
        <v>1.18</v>
      </c>
      <c r="K339">
        <v>12.510526</v>
      </c>
      <c r="L339">
        <v>-1.0737522051079551</v>
      </c>
      <c r="M339">
        <v>0.73389560179461844</v>
      </c>
      <c r="N339">
        <v>-0.25892785713376909</v>
      </c>
      <c r="O339">
        <v>0.2447239448595557</v>
      </c>
    </row>
    <row r="340" spans="1:15" x14ac:dyDescent="0.25">
      <c r="A340">
        <v>-1.1711445</v>
      </c>
      <c r="B340">
        <v>60.22202575</v>
      </c>
      <c r="C340">
        <v>77.995002749999998</v>
      </c>
      <c r="D340">
        <v>14.894305749999999</v>
      </c>
      <c r="E340">
        <v>67.281034500000004</v>
      </c>
      <c r="F340">
        <v>0.58473799999999998</v>
      </c>
      <c r="G340">
        <v>89.525905999999992</v>
      </c>
      <c r="H340">
        <v>12</v>
      </c>
      <c r="I340">
        <v>20</v>
      </c>
      <c r="J340">
        <v>1.18</v>
      </c>
      <c r="K340">
        <v>12.2779335</v>
      </c>
      <c r="L340">
        <v>-1.3102798375808009</v>
      </c>
      <c r="M340">
        <v>0.75020907358758393</v>
      </c>
      <c r="N340">
        <v>-0.36817399727979488</v>
      </c>
      <c r="O340">
        <v>0.1038934283366436</v>
      </c>
    </row>
    <row r="341" spans="1:15" x14ac:dyDescent="0.25">
      <c r="A341">
        <v>-12.792503</v>
      </c>
      <c r="B341">
        <v>54.257547000000002</v>
      </c>
      <c r="C341">
        <v>78.988567500000002</v>
      </c>
      <c r="D341">
        <v>5.3444235000000004</v>
      </c>
      <c r="E341">
        <v>55.657736749999998</v>
      </c>
      <c r="F341">
        <v>0.53603849999999997</v>
      </c>
      <c r="G341">
        <v>87.364795999999998</v>
      </c>
      <c r="H341">
        <v>12</v>
      </c>
      <c r="I341">
        <v>24</v>
      </c>
      <c r="J341">
        <v>1.18</v>
      </c>
      <c r="K341">
        <v>12.13125325</v>
      </c>
      <c r="L341">
        <v>-1.5456062536209549</v>
      </c>
      <c r="M341">
        <v>0.82371401178491754</v>
      </c>
      <c r="N341">
        <v>-0.53396060966877334</v>
      </c>
      <c r="O341">
        <v>-7.1740760688313185E-2</v>
      </c>
    </row>
    <row r="342" spans="1:15" x14ac:dyDescent="0.25">
      <c r="A342">
        <v>-24.729168749999999</v>
      </c>
      <c r="B342">
        <v>46.801952499999999</v>
      </c>
      <c r="C342">
        <v>78.311136500000003</v>
      </c>
      <c r="D342">
        <v>-6.6434262500000001</v>
      </c>
      <c r="E342">
        <v>41.307429999999997</v>
      </c>
      <c r="F342">
        <v>0.38983099999999998</v>
      </c>
      <c r="G342">
        <v>83.923034250000001</v>
      </c>
      <c r="H342">
        <v>12</v>
      </c>
      <c r="I342">
        <v>28</v>
      </c>
      <c r="J342">
        <v>1.18</v>
      </c>
      <c r="K342">
        <v>11.898807</v>
      </c>
      <c r="L342">
        <v>-1.807932643202719</v>
      </c>
      <c r="M342">
        <v>0.93775921585735222</v>
      </c>
      <c r="N342">
        <v>-0.7477402239875599</v>
      </c>
      <c r="O342">
        <v>-0.28205144335871679</v>
      </c>
    </row>
    <row r="343" spans="1:15" x14ac:dyDescent="0.25">
      <c r="A343">
        <v>-34.999205500000002</v>
      </c>
      <c r="B343">
        <v>40.59697225</v>
      </c>
      <c r="C343">
        <v>77.543384500000002</v>
      </c>
      <c r="D343">
        <v>-17.832357250000001</v>
      </c>
      <c r="E343">
        <v>28.11945875</v>
      </c>
      <c r="F343">
        <v>0.38983099999999998</v>
      </c>
      <c r="G343">
        <v>83.162643000000003</v>
      </c>
      <c r="H343">
        <v>12</v>
      </c>
      <c r="I343">
        <v>32</v>
      </c>
      <c r="J343">
        <v>1.1850000000000001</v>
      </c>
      <c r="K343">
        <v>11.81959325</v>
      </c>
      <c r="L343">
        <v>-2.0637363496418368</v>
      </c>
      <c r="M343">
        <v>1.071431254460645</v>
      </c>
      <c r="N343">
        <v>-1.0093889788723209</v>
      </c>
      <c r="O343">
        <v>-0.49156213265071608</v>
      </c>
    </row>
    <row r="344" spans="1:15" x14ac:dyDescent="0.25">
      <c r="A344">
        <v>-47.296222499999999</v>
      </c>
      <c r="B344">
        <v>33.285677</v>
      </c>
      <c r="C344">
        <v>78.943406749999994</v>
      </c>
      <c r="D344">
        <v>-30.638437750000001</v>
      </c>
      <c r="E344">
        <v>11.802136750000001</v>
      </c>
      <c r="F344">
        <v>0.38983099999999998</v>
      </c>
      <c r="G344">
        <v>84.563359999999989</v>
      </c>
      <c r="H344">
        <v>12</v>
      </c>
      <c r="I344">
        <v>36</v>
      </c>
      <c r="J344">
        <v>1.18</v>
      </c>
      <c r="K344">
        <v>11.944328000000001</v>
      </c>
      <c r="L344">
        <v>-2.486556215658156</v>
      </c>
      <c r="M344">
        <v>1.2590944792888259</v>
      </c>
      <c r="N344">
        <v>-1.43335532007607</v>
      </c>
      <c r="O344">
        <v>-0.77524920314181789</v>
      </c>
    </row>
    <row r="345" spans="1:15" x14ac:dyDescent="0.25">
      <c r="A345">
        <v>-57.746439250000002</v>
      </c>
      <c r="B345">
        <v>26.936394750000002</v>
      </c>
      <c r="C345">
        <v>79.395027249999998</v>
      </c>
      <c r="D345">
        <v>-42.963742250000003</v>
      </c>
      <c r="E345">
        <v>-4.5055592500000001</v>
      </c>
      <c r="F345">
        <v>0.29237800000000003</v>
      </c>
      <c r="G345">
        <v>84.963566</v>
      </c>
      <c r="H345">
        <v>12</v>
      </c>
      <c r="I345">
        <v>40</v>
      </c>
      <c r="J345">
        <v>1.18</v>
      </c>
      <c r="K345">
        <v>11.97958525</v>
      </c>
      <c r="L345">
        <v>-2.9913406967759339</v>
      </c>
      <c r="M345">
        <v>1.524675498507347</v>
      </c>
      <c r="N345">
        <v>-1.9516185835255759</v>
      </c>
      <c r="O345">
        <v>-1.1047620266263389</v>
      </c>
    </row>
    <row r="346" spans="1:15" x14ac:dyDescent="0.25">
      <c r="A346">
        <v>-69.102066000000008</v>
      </c>
      <c r="B346">
        <v>17.171968499999998</v>
      </c>
      <c r="C346">
        <v>78.401460499999999</v>
      </c>
      <c r="D346">
        <v>-55.332756250000003</v>
      </c>
      <c r="E346">
        <v>-23.912226499999999</v>
      </c>
      <c r="F346">
        <v>0.43855775000000002</v>
      </c>
      <c r="G346">
        <v>85.844013000000004</v>
      </c>
      <c r="H346">
        <v>12</v>
      </c>
      <c r="I346">
        <v>44</v>
      </c>
      <c r="J346">
        <v>1.18</v>
      </c>
      <c r="K346">
        <v>12.0314175</v>
      </c>
      <c r="L346">
        <v>-3.8510256784036021</v>
      </c>
      <c r="M346">
        <v>1.8928607501249439</v>
      </c>
      <c r="N346">
        <v>-2.8655444491540369</v>
      </c>
      <c r="O346">
        <v>-1.6357927957013401</v>
      </c>
    </row>
    <row r="347" spans="1:15" x14ac:dyDescent="0.25">
      <c r="A347">
        <v>79.849912750000001</v>
      </c>
      <c r="B347">
        <v>21.933929249999998</v>
      </c>
      <c r="C347">
        <v>-76.334253250000003</v>
      </c>
      <c r="D347">
        <v>-60.533859999999997</v>
      </c>
      <c r="E347">
        <v>-8.2978977499999989</v>
      </c>
      <c r="F347">
        <v>0.43855775000000002</v>
      </c>
      <c r="G347">
        <v>86.764488</v>
      </c>
      <c r="H347">
        <v>16</v>
      </c>
      <c r="I347">
        <v>-44</v>
      </c>
      <c r="J347">
        <v>1.18</v>
      </c>
      <c r="K347">
        <v>12.096078</v>
      </c>
      <c r="L347">
        <v>2.5972120380057309</v>
      </c>
      <c r="M347">
        <v>1.3713533632022989</v>
      </c>
      <c r="N347">
        <v>-1.5808223467153359</v>
      </c>
      <c r="O347">
        <v>-1.1452879673284599</v>
      </c>
    </row>
    <row r="348" spans="1:15" x14ac:dyDescent="0.25">
      <c r="A348">
        <v>81.971419999999995</v>
      </c>
      <c r="B348">
        <v>31.560585499999998</v>
      </c>
      <c r="C348">
        <v>-63.702107249999997</v>
      </c>
      <c r="D348">
        <v>-48.339675</v>
      </c>
      <c r="E348">
        <v>7.7786885000000003</v>
      </c>
      <c r="F348">
        <v>0.38983099999999998</v>
      </c>
      <c r="G348">
        <v>87.244736000000003</v>
      </c>
      <c r="H348">
        <v>16</v>
      </c>
      <c r="I348">
        <v>-40</v>
      </c>
      <c r="J348">
        <v>1.1850000000000001</v>
      </c>
      <c r="K348">
        <v>12.1075395</v>
      </c>
      <c r="L348">
        <v>2.283300571331599</v>
      </c>
      <c r="M348">
        <v>1.2523530017434501</v>
      </c>
      <c r="N348">
        <v>-1.245556626026141</v>
      </c>
      <c r="O348">
        <v>-0.88418238151997675</v>
      </c>
    </row>
    <row r="349" spans="1:15" x14ac:dyDescent="0.25">
      <c r="A349">
        <v>83.145019750000003</v>
      </c>
      <c r="B349">
        <v>40.60539825</v>
      </c>
      <c r="C349">
        <v>-50.303010499999999</v>
      </c>
      <c r="D349">
        <v>-35.48988825</v>
      </c>
      <c r="E349">
        <v>23.380730750000001</v>
      </c>
      <c r="F349">
        <v>0.34110449999999998</v>
      </c>
      <c r="G349">
        <v>88.085162999999994</v>
      </c>
      <c r="H349">
        <v>16</v>
      </c>
      <c r="I349">
        <v>-36</v>
      </c>
      <c r="J349">
        <v>1.1875</v>
      </c>
      <c r="K349">
        <v>12.156510750000001</v>
      </c>
      <c r="L349">
        <v>2.01347821066862</v>
      </c>
      <c r="M349">
        <v>1.1481294790674881</v>
      </c>
      <c r="N349">
        <v>-0.97627096986808515</v>
      </c>
      <c r="O349">
        <v>-0.65236047494624083</v>
      </c>
    </row>
    <row r="350" spans="1:15" x14ac:dyDescent="0.25">
      <c r="A350">
        <v>82.513084000000006</v>
      </c>
      <c r="B350">
        <v>48.784237750000003</v>
      </c>
      <c r="C350">
        <v>-36.858794500000002</v>
      </c>
      <c r="D350">
        <v>-24.4757845</v>
      </c>
      <c r="E350">
        <v>36.166359249999999</v>
      </c>
      <c r="F350">
        <v>0.48728450000000001</v>
      </c>
      <c r="G350">
        <v>88.365311000000005</v>
      </c>
      <c r="H350">
        <v>16</v>
      </c>
      <c r="I350">
        <v>-32</v>
      </c>
      <c r="J350">
        <v>1.18</v>
      </c>
      <c r="K350">
        <v>12.204333999999999</v>
      </c>
      <c r="L350">
        <v>1.786112167243755</v>
      </c>
      <c r="M350">
        <v>1.096158576730822</v>
      </c>
      <c r="N350">
        <v>-0.78103581591321203</v>
      </c>
      <c r="O350">
        <v>-0.46615220403551832</v>
      </c>
    </row>
    <row r="351" spans="1:15" x14ac:dyDescent="0.25">
      <c r="A351">
        <v>81.700589750000006</v>
      </c>
      <c r="B351">
        <v>55.1310255</v>
      </c>
      <c r="C351">
        <v>-22.828092999999999</v>
      </c>
      <c r="D351">
        <v>-11.40746375</v>
      </c>
      <c r="E351">
        <v>48.594346999999999</v>
      </c>
      <c r="F351">
        <v>0.58473799999999998</v>
      </c>
      <c r="G351">
        <v>88.965618000000006</v>
      </c>
      <c r="H351">
        <v>16</v>
      </c>
      <c r="I351">
        <v>-28</v>
      </c>
      <c r="J351">
        <v>1.18</v>
      </c>
      <c r="K351">
        <v>12.23920225</v>
      </c>
      <c r="L351">
        <v>1.5906998925183571</v>
      </c>
      <c r="M351">
        <v>1.012558370005165</v>
      </c>
      <c r="N351">
        <v>-0.61435678535910987</v>
      </c>
      <c r="O351">
        <v>-0.26938183798948412</v>
      </c>
    </row>
    <row r="352" spans="1:15" x14ac:dyDescent="0.25">
      <c r="A352">
        <v>79.895049999999998</v>
      </c>
      <c r="B352">
        <v>61.870321250000003</v>
      </c>
      <c r="C352">
        <v>-9.1131917500000004</v>
      </c>
      <c r="D352">
        <v>-1.048962</v>
      </c>
      <c r="E352">
        <v>59.189430000000002</v>
      </c>
      <c r="F352">
        <v>0.53601124999999994</v>
      </c>
      <c r="G352">
        <v>89.806045999999995</v>
      </c>
      <c r="H352">
        <v>16</v>
      </c>
      <c r="I352">
        <v>-24</v>
      </c>
      <c r="J352">
        <v>1.18</v>
      </c>
      <c r="K352">
        <v>12.300614250000001</v>
      </c>
      <c r="L352">
        <v>1.3848994738578391</v>
      </c>
      <c r="M352">
        <v>0.9789726908687354</v>
      </c>
      <c r="N352">
        <v>-0.47637011646997612</v>
      </c>
      <c r="O352">
        <v>-8.7396370283492203E-2</v>
      </c>
    </row>
    <row r="353" spans="1:15" x14ac:dyDescent="0.25">
      <c r="A353">
        <v>76.238832500000001</v>
      </c>
      <c r="B353">
        <v>66.200294499999998</v>
      </c>
      <c r="C353">
        <v>2.7097437499999999</v>
      </c>
      <c r="D353">
        <v>6.7909305</v>
      </c>
      <c r="E353">
        <v>66.789276000000001</v>
      </c>
      <c r="F353">
        <v>0.53601125000000005</v>
      </c>
      <c r="G353">
        <v>89.726005999999998</v>
      </c>
      <c r="H353">
        <v>16</v>
      </c>
      <c r="I353">
        <v>-20</v>
      </c>
      <c r="J353">
        <v>1.18</v>
      </c>
      <c r="K353">
        <v>12.295098749999999</v>
      </c>
      <c r="L353">
        <v>1.1852084393858</v>
      </c>
      <c r="M353">
        <v>0.95761833202971691</v>
      </c>
      <c r="N353">
        <v>-0.36971576607956053</v>
      </c>
      <c r="O353">
        <v>6.7930425435507549E-2</v>
      </c>
    </row>
    <row r="354" spans="1:15" x14ac:dyDescent="0.25">
      <c r="A354">
        <v>72.266651249999995</v>
      </c>
      <c r="B354">
        <v>70.18863125</v>
      </c>
      <c r="C354">
        <v>13.638979000000001</v>
      </c>
      <c r="D354">
        <v>11.653306000000001</v>
      </c>
      <c r="E354">
        <v>73.405618750000002</v>
      </c>
      <c r="F354">
        <v>0.58473799999999998</v>
      </c>
      <c r="G354">
        <v>90.326312999999999</v>
      </c>
      <c r="H354">
        <v>16</v>
      </c>
      <c r="I354">
        <v>-16</v>
      </c>
      <c r="J354">
        <v>1.18</v>
      </c>
      <c r="K354">
        <v>12.3330585</v>
      </c>
      <c r="L354">
        <v>0.96492677940714111</v>
      </c>
      <c r="M354">
        <v>0.96338022809774715</v>
      </c>
      <c r="N354">
        <v>-0.27849630669154912</v>
      </c>
      <c r="O354">
        <v>0.19853032274465721</v>
      </c>
    </row>
    <row r="355" spans="1:15" x14ac:dyDescent="0.25">
      <c r="A355">
        <v>67.16600425</v>
      </c>
      <c r="B355">
        <v>73.758831000000001</v>
      </c>
      <c r="C355">
        <v>23.213348249999999</v>
      </c>
      <c r="D355">
        <v>13.84467325</v>
      </c>
      <c r="E355">
        <v>78.323167999999995</v>
      </c>
      <c r="F355">
        <v>0.63346449999999999</v>
      </c>
      <c r="G355">
        <v>90.926627999999994</v>
      </c>
      <c r="H355">
        <v>16</v>
      </c>
      <c r="I355">
        <v>-12</v>
      </c>
      <c r="J355">
        <v>1.18</v>
      </c>
      <c r="K355">
        <v>12.37090225</v>
      </c>
      <c r="L355">
        <v>0.73507223458547077</v>
      </c>
      <c r="M355">
        <v>1.002004484691422</v>
      </c>
      <c r="N355">
        <v>-0.2107886715102224</v>
      </c>
      <c r="O355">
        <v>0.29928487638837659</v>
      </c>
    </row>
    <row r="356" spans="1:15" x14ac:dyDescent="0.25">
      <c r="A356">
        <v>60.936898249999999</v>
      </c>
      <c r="B356">
        <v>76.202015000000003</v>
      </c>
      <c r="C356">
        <v>31.478017250000001</v>
      </c>
      <c r="D356">
        <v>14.939049499999999</v>
      </c>
      <c r="E356">
        <v>81.005464750000002</v>
      </c>
      <c r="F356">
        <v>0.58473799999999998</v>
      </c>
      <c r="G356">
        <v>91.086708000000002</v>
      </c>
      <c r="H356">
        <v>16</v>
      </c>
      <c r="I356">
        <v>-8</v>
      </c>
      <c r="J356">
        <v>1.18</v>
      </c>
      <c r="K356">
        <v>12.385199999999999</v>
      </c>
      <c r="L356">
        <v>0.50969124643040398</v>
      </c>
      <c r="M356">
        <v>1.0599794408121019</v>
      </c>
      <c r="N356">
        <v>-0.17443826758996689</v>
      </c>
      <c r="O356">
        <v>0.39144265470088402</v>
      </c>
    </row>
    <row r="357" spans="1:15" x14ac:dyDescent="0.25">
      <c r="A357">
        <v>53.805024750000001</v>
      </c>
      <c r="B357">
        <v>77.7522965</v>
      </c>
      <c r="C357">
        <v>39.381389499999997</v>
      </c>
      <c r="D357">
        <v>14.590426000000001</v>
      </c>
      <c r="E357">
        <v>82.927778250000003</v>
      </c>
      <c r="F357">
        <v>0.58473799999999998</v>
      </c>
      <c r="G357">
        <v>91.727035999999998</v>
      </c>
      <c r="H357">
        <v>16</v>
      </c>
      <c r="I357">
        <v>-4</v>
      </c>
      <c r="J357">
        <v>1.18</v>
      </c>
      <c r="K357">
        <v>12.428936999999999</v>
      </c>
      <c r="L357">
        <v>0.25783085378389298</v>
      </c>
      <c r="M357">
        <v>1.129069227089488</v>
      </c>
      <c r="N357">
        <v>-0.15729971010138499</v>
      </c>
      <c r="O357">
        <v>0.47194557399026232</v>
      </c>
    </row>
    <row r="358" spans="1:15" x14ac:dyDescent="0.25">
      <c r="A358">
        <v>46.221763750000001</v>
      </c>
      <c r="B358">
        <v>78.185325750000004</v>
      </c>
      <c r="C358">
        <v>46.697654499999999</v>
      </c>
      <c r="D358">
        <v>15.0266865</v>
      </c>
      <c r="E358">
        <v>83.687765249999998</v>
      </c>
      <c r="F358">
        <v>0.58473799999999998</v>
      </c>
      <c r="G358">
        <v>91.887114999999994</v>
      </c>
      <c r="H358">
        <v>16</v>
      </c>
      <c r="I358">
        <v>0</v>
      </c>
      <c r="J358">
        <v>1.18</v>
      </c>
      <c r="K358">
        <v>12.439847</v>
      </c>
      <c r="L358">
        <v>-8.9663604347846732E-3</v>
      </c>
      <c r="M358">
        <v>1.1902318657372211</v>
      </c>
      <c r="N358">
        <v>-0.1545273715712184</v>
      </c>
      <c r="O358">
        <v>0.56612108650222659</v>
      </c>
    </row>
    <row r="359" spans="1:15" x14ac:dyDescent="0.25">
      <c r="A359">
        <v>37.464903000000007</v>
      </c>
      <c r="B359">
        <v>78.089100000000002</v>
      </c>
      <c r="C359">
        <v>54.059078249999999</v>
      </c>
      <c r="D359">
        <v>14.546619</v>
      </c>
      <c r="E359">
        <v>82.838367500000004</v>
      </c>
      <c r="F359">
        <v>0.58473799999999998</v>
      </c>
      <c r="G359">
        <v>92.207283000000004</v>
      </c>
      <c r="H359">
        <v>16</v>
      </c>
      <c r="I359">
        <v>4</v>
      </c>
      <c r="J359">
        <v>1.18</v>
      </c>
      <c r="K359">
        <v>12.461639</v>
      </c>
      <c r="L359">
        <v>-0.29198638587161341</v>
      </c>
      <c r="M359">
        <v>1.1180748906611799</v>
      </c>
      <c r="N359">
        <v>-0.16485584329276301</v>
      </c>
      <c r="O359">
        <v>0.44730170257277352</v>
      </c>
    </row>
    <row r="360" spans="1:15" x14ac:dyDescent="0.25">
      <c r="A360">
        <v>28.798319500000002</v>
      </c>
      <c r="B360">
        <v>77.404620999999992</v>
      </c>
      <c r="C360">
        <v>61.555988499999998</v>
      </c>
      <c r="D360">
        <v>14.94191775</v>
      </c>
      <c r="E360">
        <v>82.033682249999998</v>
      </c>
      <c r="F360">
        <v>0.58473799999999998</v>
      </c>
      <c r="G360">
        <v>92.967676000000012</v>
      </c>
      <c r="H360">
        <v>16</v>
      </c>
      <c r="I360">
        <v>8</v>
      </c>
      <c r="J360">
        <v>1.18</v>
      </c>
      <c r="K360">
        <v>12.513242</v>
      </c>
      <c r="L360">
        <v>-0.54450704284404505</v>
      </c>
      <c r="M360">
        <v>1.038137964487422</v>
      </c>
      <c r="N360">
        <v>-0.18178780854628351</v>
      </c>
      <c r="O360">
        <v>0.35383717694318079</v>
      </c>
    </row>
    <row r="361" spans="1:15" x14ac:dyDescent="0.25">
      <c r="A361">
        <v>18.958136249999999</v>
      </c>
      <c r="B361">
        <v>75.571353999999999</v>
      </c>
      <c r="C361">
        <v>67.38190449999999</v>
      </c>
      <c r="D361">
        <v>13.583561749999999</v>
      </c>
      <c r="E361">
        <v>78.278461499999992</v>
      </c>
      <c r="F361">
        <v>0.68219099999999999</v>
      </c>
      <c r="G361">
        <v>93.007698000000005</v>
      </c>
      <c r="H361">
        <v>16</v>
      </c>
      <c r="I361">
        <v>12</v>
      </c>
      <c r="J361">
        <v>1.18</v>
      </c>
      <c r="K361">
        <v>12.509351000000001</v>
      </c>
      <c r="L361">
        <v>-0.78093458056778708</v>
      </c>
      <c r="M361">
        <v>0.99972306429773505</v>
      </c>
      <c r="N361">
        <v>-0.23757333942412831</v>
      </c>
      <c r="O361">
        <v>0.25139976875403319</v>
      </c>
    </row>
    <row r="362" spans="1:15" x14ac:dyDescent="0.25">
      <c r="A362">
        <v>8.6214297500000008</v>
      </c>
      <c r="B362">
        <v>72.839597749999996</v>
      </c>
      <c r="C362">
        <v>73.794929750000009</v>
      </c>
      <c r="D362">
        <v>12.662558499999999</v>
      </c>
      <c r="E362">
        <v>73.58444025</v>
      </c>
      <c r="F362">
        <v>0.68219099999999999</v>
      </c>
      <c r="G362">
        <v>93.447918000000001</v>
      </c>
      <c r="H362">
        <v>16</v>
      </c>
      <c r="I362">
        <v>16</v>
      </c>
      <c r="J362">
        <v>1.18</v>
      </c>
      <c r="K362">
        <v>12.539139499999999</v>
      </c>
      <c r="L362">
        <v>-1.0354216176786131</v>
      </c>
      <c r="M362">
        <v>0.95605880902317497</v>
      </c>
      <c r="N362">
        <v>-0.31558342846571052</v>
      </c>
      <c r="O362">
        <v>0.1582522205677942</v>
      </c>
    </row>
    <row r="363" spans="1:15" x14ac:dyDescent="0.25">
      <c r="A363">
        <v>-2.61323675</v>
      </c>
      <c r="B363">
        <v>70.289726250000001</v>
      </c>
      <c r="C363">
        <v>79.033729750000006</v>
      </c>
      <c r="D363">
        <v>6.7041440000000003</v>
      </c>
      <c r="E363">
        <v>67.057510250000007</v>
      </c>
      <c r="F363">
        <v>0.7309175</v>
      </c>
      <c r="G363">
        <v>94.288345000000007</v>
      </c>
      <c r="H363">
        <v>16</v>
      </c>
      <c r="I363">
        <v>20</v>
      </c>
      <c r="J363">
        <v>1.18</v>
      </c>
      <c r="K363">
        <v>12.592533250000001</v>
      </c>
      <c r="L363">
        <v>-1.2558749839147221</v>
      </c>
      <c r="M363">
        <v>0.97805252201964676</v>
      </c>
      <c r="N363">
        <v>-0.41885449685930348</v>
      </c>
      <c r="O363">
        <v>2.0224556091303469E-2</v>
      </c>
    </row>
    <row r="364" spans="1:15" x14ac:dyDescent="0.25">
      <c r="A364">
        <v>-15.182816499999999</v>
      </c>
      <c r="B364">
        <v>65.233524500000001</v>
      </c>
      <c r="C364">
        <v>81.076557000000008</v>
      </c>
      <c r="D364">
        <v>-4.1958492500000002</v>
      </c>
      <c r="E364">
        <v>55.836554499999998</v>
      </c>
      <c r="F364">
        <v>0.68219099999999999</v>
      </c>
      <c r="G364">
        <v>93.968185000000005</v>
      </c>
      <c r="H364">
        <v>16</v>
      </c>
      <c r="I364">
        <v>24</v>
      </c>
      <c r="J364">
        <v>1.18</v>
      </c>
      <c r="K364">
        <v>12.574252</v>
      </c>
      <c r="L364">
        <v>-1.469043233685422</v>
      </c>
      <c r="M364">
        <v>1.0595448243901679</v>
      </c>
      <c r="N364">
        <v>-0.58195820088883621</v>
      </c>
      <c r="O364">
        <v>-0.1582737908232984</v>
      </c>
    </row>
    <row r="365" spans="1:15" x14ac:dyDescent="0.25">
      <c r="A365">
        <v>-27.799430000000001</v>
      </c>
      <c r="B365">
        <v>60.077696000000003</v>
      </c>
      <c r="C365">
        <v>84.503879499999996</v>
      </c>
      <c r="D365">
        <v>-17.176756999999998</v>
      </c>
      <c r="E365">
        <v>43.453271749999999</v>
      </c>
      <c r="F365">
        <v>0.68219099999999999</v>
      </c>
      <c r="G365">
        <v>94.568493000000004</v>
      </c>
      <c r="H365">
        <v>16</v>
      </c>
      <c r="I365">
        <v>28</v>
      </c>
      <c r="J365">
        <v>1.18</v>
      </c>
      <c r="K365">
        <v>12.61464325</v>
      </c>
      <c r="L365">
        <v>-1.703103877046477</v>
      </c>
      <c r="M365">
        <v>1.1715587874151629</v>
      </c>
      <c r="N365">
        <v>-0.77519105373077535</v>
      </c>
      <c r="O365">
        <v>-0.35138687948579089</v>
      </c>
    </row>
    <row r="366" spans="1:15" x14ac:dyDescent="0.25">
      <c r="A366">
        <v>-40.054608250000001</v>
      </c>
      <c r="B366">
        <v>53.443602499999997</v>
      </c>
      <c r="C366">
        <v>85.593469499999998</v>
      </c>
      <c r="D366">
        <v>-31.294040750000001</v>
      </c>
      <c r="E366">
        <v>28.834739750000001</v>
      </c>
      <c r="F366">
        <v>0.58473799999999998</v>
      </c>
      <c r="G366">
        <v>94.888653000000005</v>
      </c>
      <c r="H366">
        <v>16</v>
      </c>
      <c r="I366">
        <v>32</v>
      </c>
      <c r="J366">
        <v>1.18</v>
      </c>
      <c r="K366">
        <v>12.642670750000001</v>
      </c>
      <c r="L366">
        <v>-1.947750250719569</v>
      </c>
      <c r="M366">
        <v>1.3135658967457109</v>
      </c>
      <c r="N366">
        <v>-1.0239498761161809</v>
      </c>
      <c r="O366">
        <v>-0.56206616667493947</v>
      </c>
    </row>
    <row r="367" spans="1:15" x14ac:dyDescent="0.25">
      <c r="A367">
        <v>-53.255962250000003</v>
      </c>
      <c r="B367">
        <v>46.080415000000002</v>
      </c>
      <c r="C367">
        <v>86.129800750000001</v>
      </c>
      <c r="D367">
        <v>-46.285458249999998</v>
      </c>
      <c r="E367">
        <v>11.578612250000001</v>
      </c>
      <c r="F367">
        <v>0.58473799999999998</v>
      </c>
      <c r="G367">
        <v>94.928673000000003</v>
      </c>
      <c r="H367">
        <v>16</v>
      </c>
      <c r="I367">
        <v>36</v>
      </c>
      <c r="J367">
        <v>1.18</v>
      </c>
      <c r="K367">
        <v>12.645353999999999</v>
      </c>
      <c r="L367">
        <v>-2.2721277912430522</v>
      </c>
      <c r="M367">
        <v>1.505608790822893</v>
      </c>
      <c r="N367">
        <v>-1.358789519724934</v>
      </c>
      <c r="O367">
        <v>-0.82086482331389021</v>
      </c>
    </row>
    <row r="368" spans="1:15" x14ac:dyDescent="0.25">
      <c r="A368">
        <v>-65.601249499999994</v>
      </c>
      <c r="B368">
        <v>38.528615000000002</v>
      </c>
      <c r="C368">
        <v>86.18061075</v>
      </c>
      <c r="D368">
        <v>-60.053089999999997</v>
      </c>
      <c r="E368">
        <v>-6.2457305000000014</v>
      </c>
      <c r="F368">
        <v>0.63346449999999999</v>
      </c>
      <c r="G368">
        <v>95.569007999999997</v>
      </c>
      <c r="H368">
        <v>16</v>
      </c>
      <c r="I368">
        <v>40</v>
      </c>
      <c r="J368">
        <v>1.18</v>
      </c>
      <c r="K368">
        <v>12.684938750000001</v>
      </c>
      <c r="L368">
        <v>-2.6826365031893369</v>
      </c>
      <c r="M368">
        <v>1.74232319723162</v>
      </c>
      <c r="N368">
        <v>-1.7995400719222281</v>
      </c>
      <c r="O368">
        <v>-1.1216209802129791</v>
      </c>
    </row>
    <row r="369" spans="1:15" x14ac:dyDescent="0.25">
      <c r="A369">
        <v>-78.442154000000002</v>
      </c>
      <c r="B369">
        <v>29.197095999999998</v>
      </c>
      <c r="C369">
        <v>83.611486249999999</v>
      </c>
      <c r="D369">
        <v>-74.825971750000008</v>
      </c>
      <c r="E369">
        <v>-26.990479749999999</v>
      </c>
      <c r="F369">
        <v>0.63346449999999999</v>
      </c>
      <c r="G369">
        <v>95.569007999999997</v>
      </c>
      <c r="H369">
        <v>16</v>
      </c>
      <c r="I369">
        <v>44</v>
      </c>
      <c r="J369">
        <v>1.18</v>
      </c>
      <c r="K369">
        <v>12.684938750000001</v>
      </c>
      <c r="L369">
        <v>-3.264468563866886</v>
      </c>
      <c r="M369">
        <v>2.0954690620034628</v>
      </c>
      <c r="N369">
        <v>-2.4689541012207141</v>
      </c>
      <c r="O369">
        <v>-1.556546195797323</v>
      </c>
    </row>
    <row r="370" spans="1:15" x14ac:dyDescent="0.25">
      <c r="A370">
        <v>84.228343999999993</v>
      </c>
      <c r="B370">
        <v>32.852742249999999</v>
      </c>
      <c r="C370">
        <v>-86.738756249999994</v>
      </c>
      <c r="D370">
        <v>-79.983369750000008</v>
      </c>
      <c r="E370">
        <v>-12.848360250000001</v>
      </c>
      <c r="F370">
        <v>0.58473799999999998</v>
      </c>
      <c r="G370">
        <v>96.129294999999999</v>
      </c>
      <c r="H370">
        <v>20</v>
      </c>
      <c r="I370">
        <v>-44</v>
      </c>
      <c r="J370">
        <v>1.18</v>
      </c>
      <c r="K370">
        <v>12.7255605</v>
      </c>
      <c r="L370">
        <v>2.4246425037073389</v>
      </c>
      <c r="M370">
        <v>1.6002314268527911</v>
      </c>
      <c r="N370">
        <v>-1.545523416668082</v>
      </c>
      <c r="O370">
        <v>-1.190497685413715</v>
      </c>
    </row>
    <row r="371" spans="1:15" x14ac:dyDescent="0.25">
      <c r="A371">
        <v>86.530401249999997</v>
      </c>
      <c r="B371">
        <v>42.905773250000003</v>
      </c>
      <c r="C371">
        <v>-74.063941999999997</v>
      </c>
      <c r="D371">
        <v>-67.220996749999998</v>
      </c>
      <c r="E371">
        <v>3.7105334999999999</v>
      </c>
      <c r="F371">
        <v>0.58473799999999998</v>
      </c>
      <c r="G371">
        <v>96.643949250000006</v>
      </c>
      <c r="H371">
        <v>20</v>
      </c>
      <c r="I371">
        <v>-40</v>
      </c>
      <c r="J371">
        <v>1.1825000000000001</v>
      </c>
      <c r="K371">
        <v>12.746353750000001</v>
      </c>
      <c r="L371">
        <v>2.1599068093732781</v>
      </c>
      <c r="M371">
        <v>1.4811197216119969</v>
      </c>
      <c r="N371">
        <v>-1.249906738983918</v>
      </c>
      <c r="O371">
        <v>-0.95795730212858965</v>
      </c>
    </row>
    <row r="372" spans="1:15" x14ac:dyDescent="0.25">
      <c r="A372">
        <v>87.162341749999996</v>
      </c>
      <c r="B372">
        <v>51.515783499999998</v>
      </c>
      <c r="C372">
        <v>-59.716369749999998</v>
      </c>
      <c r="D372">
        <v>-53.278539500000001</v>
      </c>
      <c r="E372">
        <v>19.401985499999999</v>
      </c>
      <c r="F372">
        <v>0.63346449999999999</v>
      </c>
      <c r="G372">
        <v>96.523897000000005</v>
      </c>
      <c r="H372">
        <v>20</v>
      </c>
      <c r="I372">
        <v>-36</v>
      </c>
      <c r="J372">
        <v>1.18</v>
      </c>
      <c r="K372">
        <v>12.74857325</v>
      </c>
      <c r="L372">
        <v>1.9351803119189579</v>
      </c>
      <c r="M372">
        <v>1.380697656189297</v>
      </c>
      <c r="N372">
        <v>-1.0161111496090509</v>
      </c>
      <c r="O372">
        <v>-0.75271704640216996</v>
      </c>
    </row>
    <row r="373" spans="1:15" x14ac:dyDescent="0.25">
      <c r="A373">
        <v>86.710958750000003</v>
      </c>
      <c r="B373">
        <v>59.981492250000002</v>
      </c>
      <c r="C373">
        <v>-45.734439999999999</v>
      </c>
      <c r="D373">
        <v>-40.341338999999998</v>
      </c>
      <c r="E373">
        <v>33.171124749999997</v>
      </c>
      <c r="F373">
        <v>0.68219099999999999</v>
      </c>
      <c r="G373">
        <v>97.084156249999992</v>
      </c>
      <c r="H373">
        <v>20</v>
      </c>
      <c r="I373">
        <v>-32</v>
      </c>
      <c r="J373">
        <v>1.1825000000000001</v>
      </c>
      <c r="K373">
        <v>12.769076</v>
      </c>
      <c r="L373">
        <v>1.737927150981909</v>
      </c>
      <c r="M373">
        <v>1.3164213808332179</v>
      </c>
      <c r="N373">
        <v>-0.83866036085533924</v>
      </c>
      <c r="O373">
        <v>-0.5736905533506873</v>
      </c>
    </row>
    <row r="374" spans="1:15" x14ac:dyDescent="0.25">
      <c r="A374">
        <v>82.287391999999997</v>
      </c>
      <c r="B374">
        <v>64.262452249999996</v>
      </c>
      <c r="C374">
        <v>-28.730609250000001</v>
      </c>
      <c r="D374">
        <v>-24.519492499999998</v>
      </c>
      <c r="E374">
        <v>44.481486250000003</v>
      </c>
      <c r="F374">
        <v>0.63346449999999999</v>
      </c>
      <c r="G374">
        <v>93.557107999999999</v>
      </c>
      <c r="H374">
        <v>20</v>
      </c>
      <c r="I374">
        <v>-28</v>
      </c>
      <c r="J374">
        <v>1.19</v>
      </c>
      <c r="K374">
        <v>12.496961750000001</v>
      </c>
      <c r="L374">
        <v>1.5613024099496049</v>
      </c>
      <c r="M374">
        <v>1.248546872445095</v>
      </c>
      <c r="N374">
        <v>-0.69017262457219675</v>
      </c>
      <c r="O374">
        <v>-0.38332998598380758</v>
      </c>
    </row>
    <row r="375" spans="1:15" x14ac:dyDescent="0.25">
      <c r="A375">
        <v>76.464527250000003</v>
      </c>
      <c r="B375">
        <v>67.870000500000003</v>
      </c>
      <c r="C375">
        <v>-13.71131125</v>
      </c>
      <c r="D375">
        <v>-12.2378935</v>
      </c>
      <c r="E375">
        <v>52.662501249999998</v>
      </c>
      <c r="F375">
        <v>0.58473799999999998</v>
      </c>
      <c r="G375">
        <v>90.241037250000005</v>
      </c>
      <c r="H375">
        <v>20</v>
      </c>
      <c r="I375">
        <v>-24</v>
      </c>
      <c r="J375">
        <v>1.18</v>
      </c>
      <c r="K375">
        <v>12.327195250000001</v>
      </c>
      <c r="L375">
        <v>1.373829432010093</v>
      </c>
      <c r="M375">
        <v>1.220441133674127</v>
      </c>
      <c r="N375">
        <v>-0.57249651782042843</v>
      </c>
      <c r="O375">
        <v>-0.20654721382948191</v>
      </c>
    </row>
    <row r="376" spans="1:15" x14ac:dyDescent="0.25">
      <c r="A376">
        <v>70.731946750000006</v>
      </c>
      <c r="B376">
        <v>70.034524750000003</v>
      </c>
      <c r="C376">
        <v>-1.127575</v>
      </c>
      <c r="D376">
        <v>-4.1084354999999997</v>
      </c>
      <c r="E376">
        <v>58.608263000000001</v>
      </c>
      <c r="F376">
        <v>0.48728450000000001</v>
      </c>
      <c r="G376">
        <v>87.63477524999999</v>
      </c>
      <c r="H376">
        <v>20</v>
      </c>
      <c r="I376">
        <v>-20</v>
      </c>
      <c r="J376">
        <v>1.18</v>
      </c>
      <c r="K376">
        <v>12.153498750000001</v>
      </c>
      <c r="L376">
        <v>1.1736640379149059</v>
      </c>
      <c r="M376">
        <v>1.210947093802281</v>
      </c>
      <c r="N376">
        <v>-0.47407668461335939</v>
      </c>
      <c r="O376">
        <v>-5.0706649481393459E-2</v>
      </c>
    </row>
    <row r="377" spans="1:15" x14ac:dyDescent="0.25">
      <c r="A377">
        <v>63.148684750000001</v>
      </c>
      <c r="B377">
        <v>70.515533000000005</v>
      </c>
      <c r="C377">
        <v>8.6733674999999995</v>
      </c>
      <c r="D377">
        <v>-0.26224124999999998</v>
      </c>
      <c r="E377">
        <v>62.095253</v>
      </c>
      <c r="F377">
        <v>0.43855775000000002</v>
      </c>
      <c r="G377">
        <v>84.028474500000002</v>
      </c>
      <c r="H377">
        <v>20</v>
      </c>
      <c r="I377">
        <v>-16</v>
      </c>
      <c r="J377">
        <v>1.1850000000000001</v>
      </c>
      <c r="K377">
        <v>11.8777905</v>
      </c>
      <c r="L377">
        <v>0.94102042750392356</v>
      </c>
      <c r="M377">
        <v>1.222633408054151</v>
      </c>
      <c r="N377">
        <v>-0.37888221933020427</v>
      </c>
      <c r="O377">
        <v>6.5073306253810831E-2</v>
      </c>
    </row>
    <row r="378" spans="1:15" x14ac:dyDescent="0.25">
      <c r="A378">
        <v>57.867486999999997</v>
      </c>
      <c r="B378">
        <v>72.968664250000003</v>
      </c>
      <c r="C378">
        <v>16.623986250000002</v>
      </c>
      <c r="D378">
        <v>1.53362675</v>
      </c>
      <c r="E378">
        <v>66.252816999999993</v>
      </c>
      <c r="F378">
        <v>0.48728450000000001</v>
      </c>
      <c r="G378">
        <v>84.103625999999991</v>
      </c>
      <c r="H378">
        <v>20</v>
      </c>
      <c r="I378">
        <v>-12</v>
      </c>
      <c r="J378">
        <v>1.1825000000000001</v>
      </c>
      <c r="K378">
        <v>11.89219475</v>
      </c>
      <c r="L378">
        <v>0.7213662311132244</v>
      </c>
      <c r="M378">
        <v>1.2494252288947529</v>
      </c>
      <c r="N378">
        <v>-0.31222107334252502</v>
      </c>
      <c r="O378">
        <v>0.15027194471090749</v>
      </c>
    </row>
    <row r="379" spans="1:15" x14ac:dyDescent="0.25">
      <c r="A379">
        <v>52.992531749999998</v>
      </c>
      <c r="B379">
        <v>76.528110499999997</v>
      </c>
      <c r="C379">
        <v>25.161866</v>
      </c>
      <c r="D379">
        <v>2.7167110000000001</v>
      </c>
      <c r="E379">
        <v>70.857429749999994</v>
      </c>
      <c r="F379">
        <v>0.43855775000000002</v>
      </c>
      <c r="G379">
        <v>85.8740655</v>
      </c>
      <c r="H379">
        <v>20</v>
      </c>
      <c r="I379">
        <v>-8</v>
      </c>
      <c r="J379">
        <v>1.18</v>
      </c>
      <c r="K379">
        <v>12.033530499999999</v>
      </c>
      <c r="L379">
        <v>0.4889798067427289</v>
      </c>
      <c r="M379">
        <v>1.2968201018712511</v>
      </c>
      <c r="N379">
        <v>-0.26384761213414631</v>
      </c>
      <c r="O379">
        <v>0.23719387192315261</v>
      </c>
    </row>
    <row r="380" spans="1:15" x14ac:dyDescent="0.25">
      <c r="A380">
        <v>46.221763499999987</v>
      </c>
      <c r="B380">
        <v>77.874927499999998</v>
      </c>
      <c r="C380">
        <v>32.20900425</v>
      </c>
      <c r="D380">
        <v>2.760529</v>
      </c>
      <c r="E380">
        <v>72.735039</v>
      </c>
      <c r="F380">
        <v>0.38983099999999998</v>
      </c>
      <c r="G380">
        <v>86.39427950000001</v>
      </c>
      <c r="H380">
        <v>20</v>
      </c>
      <c r="I380">
        <v>-4</v>
      </c>
      <c r="J380">
        <v>1.18</v>
      </c>
      <c r="K380">
        <v>12.07353425</v>
      </c>
      <c r="L380">
        <v>0.25362277856217119</v>
      </c>
      <c r="M380">
        <v>1.359535252896531</v>
      </c>
      <c r="N380">
        <v>-0.24722662233852641</v>
      </c>
      <c r="O380">
        <v>0.30940784338466959</v>
      </c>
    </row>
    <row r="381" spans="1:15" x14ac:dyDescent="0.25">
      <c r="A381">
        <v>39.04475025</v>
      </c>
      <c r="B381">
        <v>77.874929499999993</v>
      </c>
      <c r="C381">
        <v>39.075446749999998</v>
      </c>
      <c r="D381">
        <v>3.1548905</v>
      </c>
      <c r="E381">
        <v>73.495027749999991</v>
      </c>
      <c r="F381">
        <v>0.48728450000000001</v>
      </c>
      <c r="G381">
        <v>86.904410999999996</v>
      </c>
      <c r="H381">
        <v>20</v>
      </c>
      <c r="I381">
        <v>0</v>
      </c>
      <c r="J381">
        <v>1.18</v>
      </c>
      <c r="K381">
        <v>12.102465</v>
      </c>
      <c r="L381">
        <v>-5.853448156122867E-4</v>
      </c>
      <c r="M381">
        <v>1.4255763551540519</v>
      </c>
      <c r="N381">
        <v>-0.25583629972672861</v>
      </c>
      <c r="O381">
        <v>0.39290685725553293</v>
      </c>
    </row>
    <row r="382" spans="1:15" x14ac:dyDescent="0.25">
      <c r="A382">
        <v>31.551765499999998</v>
      </c>
      <c r="B382">
        <v>78.404033749999996</v>
      </c>
      <c r="C382">
        <v>46.167760999999999</v>
      </c>
      <c r="D382">
        <v>3.3301620000000001</v>
      </c>
      <c r="E382">
        <v>73.271501749999999</v>
      </c>
      <c r="F382">
        <v>0.53601125000000005</v>
      </c>
      <c r="G382">
        <v>87.544585999999995</v>
      </c>
      <c r="H382">
        <v>20</v>
      </c>
      <c r="I382">
        <v>4</v>
      </c>
      <c r="J382">
        <v>1.18</v>
      </c>
      <c r="K382">
        <v>12.143810500000001</v>
      </c>
      <c r="L382">
        <v>-0.26179590752046861</v>
      </c>
      <c r="M382">
        <v>1.344693776000393</v>
      </c>
      <c r="N382">
        <v>-0.25567008222023557</v>
      </c>
      <c r="O382">
        <v>0.30278967959887459</v>
      </c>
    </row>
    <row r="383" spans="1:15" x14ac:dyDescent="0.25">
      <c r="A383">
        <v>23.110874249999998</v>
      </c>
      <c r="B383">
        <v>77.730625250000003</v>
      </c>
      <c r="C383">
        <v>53.305249000000003</v>
      </c>
      <c r="D383">
        <v>3.0234364999999999</v>
      </c>
      <c r="E383">
        <v>71.483305000000001</v>
      </c>
      <c r="F383">
        <v>0.53601125000000005</v>
      </c>
      <c r="G383">
        <v>87.549663499999994</v>
      </c>
      <c r="H383">
        <v>20</v>
      </c>
      <c r="I383">
        <v>8</v>
      </c>
      <c r="J383">
        <v>1.18</v>
      </c>
      <c r="K383">
        <v>12.1441645</v>
      </c>
      <c r="L383">
        <v>-0.51688782004959277</v>
      </c>
      <c r="M383">
        <v>1.278866644117439</v>
      </c>
      <c r="N383">
        <v>-0.27503453695526392</v>
      </c>
      <c r="O383">
        <v>0.2145184039611239</v>
      </c>
    </row>
    <row r="384" spans="1:15" x14ac:dyDescent="0.25">
      <c r="A384">
        <v>14.534568</v>
      </c>
      <c r="B384">
        <v>76.864814999999993</v>
      </c>
      <c r="C384">
        <v>59.674777749999997</v>
      </c>
      <c r="D384">
        <v>2.4976215000000002</v>
      </c>
      <c r="E384">
        <v>69.113937499999992</v>
      </c>
      <c r="F384">
        <v>0.58473799999999998</v>
      </c>
      <c r="G384">
        <v>88.344809999999995</v>
      </c>
      <c r="H384">
        <v>20</v>
      </c>
      <c r="I384">
        <v>12</v>
      </c>
      <c r="J384">
        <v>1.18</v>
      </c>
      <c r="K384">
        <v>12.196142</v>
      </c>
      <c r="L384">
        <v>-0.74490793132219402</v>
      </c>
      <c r="M384">
        <v>1.2272321815250871</v>
      </c>
      <c r="N384">
        <v>-0.317357956309127</v>
      </c>
      <c r="O384">
        <v>0.13089746673555441</v>
      </c>
    </row>
    <row r="385" spans="1:15" x14ac:dyDescent="0.25">
      <c r="A385">
        <v>4.7395222500000003</v>
      </c>
      <c r="B385">
        <v>74.459779999999995</v>
      </c>
      <c r="C385">
        <v>65.276347749999999</v>
      </c>
      <c r="D385">
        <v>1.6649357499999999</v>
      </c>
      <c r="E385">
        <v>64.017568499999996</v>
      </c>
      <c r="F385">
        <v>0.53601125000000005</v>
      </c>
      <c r="G385">
        <v>88.664901999999998</v>
      </c>
      <c r="H385">
        <v>20</v>
      </c>
      <c r="I385">
        <v>16</v>
      </c>
      <c r="J385">
        <v>1.18</v>
      </c>
      <c r="K385">
        <v>12.22174175</v>
      </c>
      <c r="L385">
        <v>-0.99540536188368911</v>
      </c>
      <c r="M385">
        <v>1.1969802475652811</v>
      </c>
      <c r="N385">
        <v>-0.4052831368139278</v>
      </c>
      <c r="O385">
        <v>4.3851197906814313E-2</v>
      </c>
    </row>
    <row r="386" spans="1:15" x14ac:dyDescent="0.25">
      <c r="A386">
        <v>-6.0374777499999999</v>
      </c>
      <c r="B386">
        <v>71.766147500000002</v>
      </c>
      <c r="C386">
        <v>69.748573249999993</v>
      </c>
      <c r="D386">
        <v>-4.4580894999999998</v>
      </c>
      <c r="E386">
        <v>56.596539249999999</v>
      </c>
      <c r="F386">
        <v>0.63346449999999999</v>
      </c>
      <c r="G386">
        <v>88.875270749999999</v>
      </c>
      <c r="H386">
        <v>20</v>
      </c>
      <c r="I386">
        <v>20</v>
      </c>
      <c r="J386">
        <v>1.18</v>
      </c>
      <c r="K386">
        <v>12.229567250000001</v>
      </c>
      <c r="L386">
        <v>-1.2254555134858329</v>
      </c>
      <c r="M386">
        <v>1.2325251426662609</v>
      </c>
      <c r="N386">
        <v>-0.52198257171604789</v>
      </c>
      <c r="O386">
        <v>-9.5109860604106811E-2</v>
      </c>
    </row>
    <row r="387" spans="1:15" x14ac:dyDescent="0.25">
      <c r="A387">
        <v>-17.346485000000001</v>
      </c>
      <c r="B387">
        <v>68.06239875</v>
      </c>
      <c r="C387">
        <v>72.684883249999999</v>
      </c>
      <c r="D387">
        <v>-14.46693825</v>
      </c>
      <c r="E387">
        <v>47.119080500000003</v>
      </c>
      <c r="F387">
        <v>0.58473799999999998</v>
      </c>
      <c r="G387">
        <v>89.705196000000001</v>
      </c>
      <c r="H387">
        <v>20</v>
      </c>
      <c r="I387">
        <v>24</v>
      </c>
      <c r="J387">
        <v>1.18</v>
      </c>
      <c r="K387">
        <v>12.2903045</v>
      </c>
      <c r="L387">
        <v>-1.428497561654015</v>
      </c>
      <c r="M387">
        <v>1.3094332528791359</v>
      </c>
      <c r="N387">
        <v>-0.67569175704074147</v>
      </c>
      <c r="O387">
        <v>-0.26163879070878099</v>
      </c>
    </row>
    <row r="388" spans="1:15" x14ac:dyDescent="0.25">
      <c r="A388">
        <v>-29.0609945</v>
      </c>
      <c r="B388">
        <v>62.578927</v>
      </c>
      <c r="C388">
        <v>75.259798000000004</v>
      </c>
      <c r="D388">
        <v>-26.8359515</v>
      </c>
      <c r="E388">
        <v>35.764013499999997</v>
      </c>
      <c r="F388">
        <v>0.53601124999999994</v>
      </c>
      <c r="G388">
        <v>89.720800499999996</v>
      </c>
      <c r="H388">
        <v>20</v>
      </c>
      <c r="I388">
        <v>28</v>
      </c>
      <c r="J388">
        <v>1.18</v>
      </c>
      <c r="K388">
        <v>12.294732</v>
      </c>
      <c r="L388">
        <v>-1.6373753242610301</v>
      </c>
      <c r="M388">
        <v>1.403426178330849</v>
      </c>
      <c r="N388">
        <v>-0.84690254495593087</v>
      </c>
      <c r="O388">
        <v>-0.44708110865848683</v>
      </c>
    </row>
    <row r="389" spans="1:15" x14ac:dyDescent="0.25">
      <c r="A389">
        <v>-41.316173749999997</v>
      </c>
      <c r="B389">
        <v>56.758754000000003</v>
      </c>
      <c r="C389">
        <v>76.389146750000009</v>
      </c>
      <c r="D389">
        <v>-40.516165000000001</v>
      </c>
      <c r="E389">
        <v>22.710155749999998</v>
      </c>
      <c r="F389">
        <v>0.53601125000000005</v>
      </c>
      <c r="G389">
        <v>90.230569500000001</v>
      </c>
      <c r="H389">
        <v>20</v>
      </c>
      <c r="I389">
        <v>32</v>
      </c>
      <c r="J389">
        <v>1.18</v>
      </c>
      <c r="K389">
        <v>12.329825749999999</v>
      </c>
      <c r="L389">
        <v>-1.8499554424553211</v>
      </c>
      <c r="M389">
        <v>1.52886084906993</v>
      </c>
      <c r="N389">
        <v>-1.0612382590961129</v>
      </c>
      <c r="O389">
        <v>-0.65149542956200646</v>
      </c>
    </row>
    <row r="390" spans="1:15" x14ac:dyDescent="0.25">
      <c r="A390">
        <v>-54.562579249999999</v>
      </c>
      <c r="B390">
        <v>51.227179499999998</v>
      </c>
      <c r="C390">
        <v>78.015409500000004</v>
      </c>
      <c r="D390">
        <v>-55.551288499999998</v>
      </c>
      <c r="E390">
        <v>7.6445732500000014</v>
      </c>
      <c r="F390">
        <v>0.58473799999999998</v>
      </c>
      <c r="G390">
        <v>91.150870999999995</v>
      </c>
      <c r="H390">
        <v>20</v>
      </c>
      <c r="I390">
        <v>36</v>
      </c>
      <c r="J390">
        <v>1.18</v>
      </c>
      <c r="K390">
        <v>12.389586250000001</v>
      </c>
      <c r="L390">
        <v>-2.1145351403101298</v>
      </c>
      <c r="M390">
        <v>1.70300978292747</v>
      </c>
      <c r="N390">
        <v>-1.331907538335118</v>
      </c>
      <c r="O390">
        <v>-0.8874447693149603</v>
      </c>
    </row>
    <row r="391" spans="1:15" x14ac:dyDescent="0.25">
      <c r="A391">
        <v>-66.457311750000002</v>
      </c>
      <c r="B391">
        <v>43.579182750000001</v>
      </c>
      <c r="C391">
        <v>75.89223100000001</v>
      </c>
      <c r="D391">
        <v>-68.444782250000003</v>
      </c>
      <c r="E391">
        <v>-9.1895332500000002</v>
      </c>
      <c r="F391">
        <v>0.48728450000000001</v>
      </c>
      <c r="G391">
        <v>90.956095000000005</v>
      </c>
      <c r="H391">
        <v>20</v>
      </c>
      <c r="I391">
        <v>40</v>
      </c>
      <c r="J391">
        <v>1.1825000000000001</v>
      </c>
      <c r="K391">
        <v>12.369903499999999</v>
      </c>
      <c r="L391">
        <v>-2.4433116341202901</v>
      </c>
      <c r="M391">
        <v>1.9228208779246729</v>
      </c>
      <c r="N391">
        <v>-1.7189664623358001</v>
      </c>
      <c r="O391">
        <v>-1.1661172410926579</v>
      </c>
    </row>
    <row r="392" spans="1:15" x14ac:dyDescent="0.25">
      <c r="A392">
        <v>-78.802602500000006</v>
      </c>
      <c r="B392">
        <v>34.966736750000003</v>
      </c>
      <c r="C392">
        <v>74.988752250000005</v>
      </c>
      <c r="D392">
        <v>-81.862758499999998</v>
      </c>
      <c r="E392">
        <v>-27.700696000000001</v>
      </c>
      <c r="F392">
        <v>0.58473799999999998</v>
      </c>
      <c r="G392">
        <v>91.556319999999999</v>
      </c>
      <c r="H392">
        <v>20</v>
      </c>
      <c r="I392">
        <v>44</v>
      </c>
      <c r="J392">
        <v>1.18</v>
      </c>
      <c r="K392">
        <v>12.417287</v>
      </c>
      <c r="L392">
        <v>-2.922085104375221</v>
      </c>
      <c r="M392">
        <v>2.2197891944336101</v>
      </c>
      <c r="N392">
        <v>-2.2659471057867191</v>
      </c>
      <c r="O392">
        <v>-1.5374680034806361</v>
      </c>
    </row>
    <row r="393" spans="1:15" x14ac:dyDescent="0.25">
      <c r="A393">
        <v>75.290927750000009</v>
      </c>
      <c r="B393">
        <v>39.151210749999997</v>
      </c>
      <c r="C393">
        <v>-88.086156750000001</v>
      </c>
      <c r="D393">
        <v>-89.074369500000003</v>
      </c>
      <c r="E393">
        <v>-17.351944750000001</v>
      </c>
      <c r="F393">
        <v>0.48728450000000001</v>
      </c>
      <c r="G393">
        <v>91.921810249999993</v>
      </c>
      <c r="H393">
        <v>24</v>
      </c>
      <c r="I393">
        <v>-44</v>
      </c>
      <c r="J393">
        <v>1.1875</v>
      </c>
      <c r="K393">
        <v>12.40954425</v>
      </c>
      <c r="L393">
        <v>2.293710499458796</v>
      </c>
      <c r="M393">
        <v>1.8002046756121179</v>
      </c>
      <c r="N393">
        <v>-1.5341340742443159</v>
      </c>
      <c r="O393">
        <v>-1.250452227389742</v>
      </c>
    </row>
    <row r="394" spans="1:15" x14ac:dyDescent="0.25">
      <c r="A394">
        <v>77.367296249999995</v>
      </c>
      <c r="B394">
        <v>47.08064925</v>
      </c>
      <c r="C394">
        <v>-76.765300499999995</v>
      </c>
      <c r="D394">
        <v>-76.923896749999997</v>
      </c>
      <c r="E394">
        <v>-3.0774542500000002</v>
      </c>
      <c r="F394">
        <v>0.58473799999999998</v>
      </c>
      <c r="G394">
        <v>92.287330999999995</v>
      </c>
      <c r="H394">
        <v>24</v>
      </c>
      <c r="I394">
        <v>-40</v>
      </c>
      <c r="J394">
        <v>1.18</v>
      </c>
      <c r="K394">
        <v>12.4670805</v>
      </c>
      <c r="L394">
        <v>2.0894853661473292</v>
      </c>
      <c r="M394">
        <v>1.6810829958561051</v>
      </c>
      <c r="N394">
        <v>-1.292848491037756</v>
      </c>
      <c r="O394">
        <v>-1.0496892236323929</v>
      </c>
    </row>
    <row r="395" spans="1:15" x14ac:dyDescent="0.25">
      <c r="A395">
        <v>78.676311249999998</v>
      </c>
      <c r="B395">
        <v>55.744729999999997</v>
      </c>
      <c r="C395">
        <v>-64.542388250000002</v>
      </c>
      <c r="D395">
        <v>-64.292638749999995</v>
      </c>
      <c r="E395">
        <v>11.401955750000001</v>
      </c>
      <c r="F395">
        <v>0.58473799999999998</v>
      </c>
      <c r="G395">
        <v>93.047725999999997</v>
      </c>
      <c r="H395">
        <v>24</v>
      </c>
      <c r="I395">
        <v>-36</v>
      </c>
      <c r="J395">
        <v>1.18</v>
      </c>
      <c r="K395">
        <v>12.5186625</v>
      </c>
      <c r="L395">
        <v>1.8889495727666801</v>
      </c>
      <c r="M395">
        <v>1.58320780613596</v>
      </c>
      <c r="N395">
        <v>-1.0768613232636739</v>
      </c>
      <c r="O395">
        <v>-0.8573285309758536</v>
      </c>
    </row>
    <row r="396" spans="1:15" x14ac:dyDescent="0.25">
      <c r="A396">
        <v>78.224928000000006</v>
      </c>
      <c r="B396">
        <v>62.950526250000003</v>
      </c>
      <c r="C396">
        <v>-50.199636499999997</v>
      </c>
      <c r="D396">
        <v>-49.956826249999999</v>
      </c>
      <c r="E396">
        <v>24.81444175</v>
      </c>
      <c r="F396">
        <v>0.53602850000000002</v>
      </c>
      <c r="G396">
        <v>92.887646000000004</v>
      </c>
      <c r="H396">
        <v>24</v>
      </c>
      <c r="I396">
        <v>-32</v>
      </c>
      <c r="J396">
        <v>1.18</v>
      </c>
      <c r="K396">
        <v>12.51111725</v>
      </c>
      <c r="L396">
        <v>1.7147741176698781</v>
      </c>
      <c r="M396">
        <v>1.5075694169038729</v>
      </c>
      <c r="N396">
        <v>-0.90893724362869399</v>
      </c>
      <c r="O396">
        <v>-0.67580414040945014</v>
      </c>
    </row>
    <row r="397" spans="1:15" x14ac:dyDescent="0.25">
      <c r="A397">
        <v>76.915912750000004</v>
      </c>
      <c r="B397">
        <v>69.736208000000005</v>
      </c>
      <c r="C397">
        <v>-36.177339500000002</v>
      </c>
      <c r="D397">
        <v>-36.757382499999999</v>
      </c>
      <c r="E397">
        <v>36.352252</v>
      </c>
      <c r="F397">
        <v>0.48728824999999998</v>
      </c>
      <c r="G397">
        <v>93.407913000000008</v>
      </c>
      <c r="H397">
        <v>24</v>
      </c>
      <c r="I397">
        <v>-28</v>
      </c>
      <c r="J397">
        <v>1.18</v>
      </c>
      <c r="K397">
        <v>12.54960125</v>
      </c>
      <c r="L397">
        <v>1.5530614429668761</v>
      </c>
      <c r="M397">
        <v>1.46243432243228</v>
      </c>
      <c r="N397">
        <v>-0.78353496740755801</v>
      </c>
      <c r="O397">
        <v>-0.50748189301731506</v>
      </c>
    </row>
    <row r="398" spans="1:15" x14ac:dyDescent="0.25">
      <c r="A398">
        <v>74.658989000000005</v>
      </c>
      <c r="B398">
        <v>75.160293749999994</v>
      </c>
      <c r="C398">
        <v>-22.01166825</v>
      </c>
      <c r="D398">
        <v>-24.694319249999999</v>
      </c>
      <c r="E398">
        <v>46.415839249999998</v>
      </c>
      <c r="F398">
        <v>0.779644</v>
      </c>
      <c r="G398">
        <v>94.128281000000001</v>
      </c>
      <c r="H398">
        <v>24</v>
      </c>
      <c r="I398">
        <v>-24</v>
      </c>
      <c r="J398">
        <v>1.1875</v>
      </c>
      <c r="K398">
        <v>12.5387535</v>
      </c>
      <c r="L398">
        <v>1.385576109616139</v>
      </c>
      <c r="M398">
        <v>1.431203585598904</v>
      </c>
      <c r="N398">
        <v>-0.68385411120318462</v>
      </c>
      <c r="O398">
        <v>-0.34586657135375731</v>
      </c>
    </row>
    <row r="399" spans="1:15" x14ac:dyDescent="0.25">
      <c r="A399">
        <v>70.009729249999992</v>
      </c>
      <c r="B399">
        <v>80.076381499999997</v>
      </c>
      <c r="C399">
        <v>-9.5636425000000003</v>
      </c>
      <c r="D399">
        <v>-17.52641075</v>
      </c>
      <c r="E399">
        <v>53.749360750000001</v>
      </c>
      <c r="F399">
        <v>0.53601125000000005</v>
      </c>
      <c r="G399">
        <v>93.968200999999993</v>
      </c>
      <c r="H399">
        <v>24</v>
      </c>
      <c r="I399">
        <v>-20</v>
      </c>
      <c r="J399">
        <v>1.1825000000000001</v>
      </c>
      <c r="K399">
        <v>12.570844749999999</v>
      </c>
      <c r="L399">
        <v>1.182456060733964</v>
      </c>
      <c r="M399">
        <v>1.4503774466077699</v>
      </c>
      <c r="N399">
        <v>-0.59764500452038982</v>
      </c>
      <c r="O399">
        <v>-0.20923252478026841</v>
      </c>
    </row>
    <row r="400" spans="1:15" x14ac:dyDescent="0.25">
      <c r="A400">
        <v>66.082679749999997</v>
      </c>
      <c r="B400">
        <v>83.448783999999989</v>
      </c>
      <c r="C400">
        <v>2.4387515</v>
      </c>
      <c r="D400">
        <v>-12.23789275</v>
      </c>
      <c r="E400">
        <v>61.843065250000002</v>
      </c>
      <c r="F400">
        <v>0.7309175</v>
      </c>
      <c r="G400">
        <v>94.568500999999998</v>
      </c>
      <c r="H400">
        <v>24</v>
      </c>
      <c r="I400">
        <v>-16</v>
      </c>
      <c r="J400">
        <v>1.19</v>
      </c>
      <c r="K400">
        <v>12.558270500000001</v>
      </c>
      <c r="L400">
        <v>0.95356057019385987</v>
      </c>
      <c r="M400">
        <v>1.433691710078439</v>
      </c>
      <c r="N400">
        <v>-0.49035241315925449</v>
      </c>
      <c r="O400">
        <v>-8.4368257398650684E-2</v>
      </c>
    </row>
    <row r="401" spans="1:15" x14ac:dyDescent="0.25">
      <c r="A401">
        <v>60.620926750000002</v>
      </c>
      <c r="B401">
        <v>86.466832999999994</v>
      </c>
      <c r="C401">
        <v>10.56861275</v>
      </c>
      <c r="D401">
        <v>-10.926690000000001</v>
      </c>
      <c r="E401">
        <v>66.131555500000005</v>
      </c>
      <c r="F401">
        <v>0.58478574999999999</v>
      </c>
      <c r="G401">
        <v>94.808627999999999</v>
      </c>
      <c r="H401">
        <v>24</v>
      </c>
      <c r="I401">
        <v>-12</v>
      </c>
      <c r="J401">
        <v>1.19</v>
      </c>
      <c r="K401">
        <v>12.584088749999999</v>
      </c>
      <c r="L401">
        <v>0.75482131239198702</v>
      </c>
      <c r="M401">
        <v>1.4687595333374901</v>
      </c>
      <c r="N401">
        <v>-0.43247737431094291</v>
      </c>
      <c r="O401">
        <v>-1.1526383023347259E-2</v>
      </c>
    </row>
    <row r="402" spans="1:15" x14ac:dyDescent="0.25">
      <c r="A402">
        <v>53.669605249999996</v>
      </c>
      <c r="B402">
        <v>88.288099250000002</v>
      </c>
      <c r="C402">
        <v>20.098461</v>
      </c>
      <c r="D402">
        <v>-9.3969539999999991</v>
      </c>
      <c r="E402">
        <v>70.115633000000003</v>
      </c>
      <c r="F402">
        <v>0.63355675</v>
      </c>
      <c r="G402">
        <v>94.928687999999994</v>
      </c>
      <c r="H402">
        <v>24</v>
      </c>
      <c r="I402">
        <v>-8</v>
      </c>
      <c r="J402">
        <v>1.19</v>
      </c>
      <c r="K402">
        <v>12.588851500000001</v>
      </c>
      <c r="L402">
        <v>0.51835476742647058</v>
      </c>
      <c r="M402">
        <v>1.508304047641184</v>
      </c>
      <c r="N402">
        <v>-0.38312603161261127</v>
      </c>
      <c r="O402">
        <v>7.283746918250858E-2</v>
      </c>
    </row>
    <row r="403" spans="1:15" x14ac:dyDescent="0.25">
      <c r="A403">
        <v>45.634961750000002</v>
      </c>
      <c r="B403">
        <v>89.845724000000004</v>
      </c>
      <c r="C403">
        <v>28.414391999999999</v>
      </c>
      <c r="D403">
        <v>-9.4406599999999994</v>
      </c>
      <c r="E403">
        <v>71.904302749999999</v>
      </c>
      <c r="F403">
        <v>0.53612075000000003</v>
      </c>
      <c r="G403">
        <v>95.649062999999998</v>
      </c>
      <c r="H403">
        <v>24</v>
      </c>
      <c r="I403">
        <v>-4</v>
      </c>
      <c r="J403">
        <v>1.1825000000000001</v>
      </c>
      <c r="K403">
        <v>12.683429</v>
      </c>
      <c r="L403">
        <v>0.27589276942261959</v>
      </c>
      <c r="M403">
        <v>1.5906888371143699</v>
      </c>
      <c r="N403">
        <v>-0.38042166683371881</v>
      </c>
      <c r="O403">
        <v>0.14340315965027089</v>
      </c>
    </row>
    <row r="404" spans="1:15" x14ac:dyDescent="0.25">
      <c r="A404">
        <v>37.103795249999997</v>
      </c>
      <c r="B404">
        <v>89.833154500000006</v>
      </c>
      <c r="C404">
        <v>36.360251499999997</v>
      </c>
      <c r="D404">
        <v>-8.7413530000000002</v>
      </c>
      <c r="E404">
        <v>72.530336250000005</v>
      </c>
      <c r="F404">
        <v>0.63355675</v>
      </c>
      <c r="G404">
        <v>95.569023000000001</v>
      </c>
      <c r="H404">
        <v>24</v>
      </c>
      <c r="I404">
        <v>0</v>
      </c>
      <c r="J404">
        <v>1.18</v>
      </c>
      <c r="K404">
        <v>12.684933750000001</v>
      </c>
      <c r="L404">
        <v>1.265380604149088E-2</v>
      </c>
      <c r="M404">
        <v>1.678694489629923</v>
      </c>
      <c r="N404">
        <v>-0.39235228637253328</v>
      </c>
      <c r="O404">
        <v>0.2243886909437795</v>
      </c>
    </row>
    <row r="405" spans="1:15" x14ac:dyDescent="0.25">
      <c r="A405">
        <v>28.708036499999999</v>
      </c>
      <c r="B405">
        <v>89.929342249999991</v>
      </c>
      <c r="C405">
        <v>44.620174249999998</v>
      </c>
      <c r="D405">
        <v>-8.4354057499999993</v>
      </c>
      <c r="E405">
        <v>72.083168000000001</v>
      </c>
      <c r="F405">
        <v>0.43864025000000001</v>
      </c>
      <c r="G405">
        <v>95.889183000000003</v>
      </c>
      <c r="H405">
        <v>24</v>
      </c>
      <c r="I405">
        <v>4</v>
      </c>
      <c r="J405">
        <v>1.18</v>
      </c>
      <c r="K405">
        <v>12.719298500000001</v>
      </c>
      <c r="L405">
        <v>-0.25688055590375469</v>
      </c>
      <c r="M405">
        <v>1.587906790853393</v>
      </c>
      <c r="N405">
        <v>-0.38431736752982693</v>
      </c>
      <c r="O405">
        <v>0.15653772613689029</v>
      </c>
    </row>
    <row r="406" spans="1:15" x14ac:dyDescent="0.25">
      <c r="A406">
        <v>19.454660000000001</v>
      </c>
      <c r="B406">
        <v>89.400344750000002</v>
      </c>
      <c r="C406">
        <v>51.891278499999999</v>
      </c>
      <c r="D406">
        <v>-9.6154875000000004</v>
      </c>
      <c r="E406">
        <v>69.981485249999992</v>
      </c>
      <c r="F406">
        <v>0.48734975000000003</v>
      </c>
      <c r="G406">
        <v>96.689589999999995</v>
      </c>
      <c r="H406">
        <v>24</v>
      </c>
      <c r="I406">
        <v>8</v>
      </c>
      <c r="J406">
        <v>1.1825000000000001</v>
      </c>
      <c r="K406">
        <v>12.755849</v>
      </c>
      <c r="L406">
        <v>-0.4985417047650057</v>
      </c>
      <c r="M406">
        <v>1.5218709754509629</v>
      </c>
      <c r="N406">
        <v>-0.41050320087412362</v>
      </c>
      <c r="O406">
        <v>6.8135646354820112E-2</v>
      </c>
    </row>
    <row r="407" spans="1:15" x14ac:dyDescent="0.25">
      <c r="A407">
        <v>8.6665685000000003</v>
      </c>
      <c r="B407">
        <v>88.216583249999999</v>
      </c>
      <c r="C407">
        <v>59.798562750000002</v>
      </c>
      <c r="D407">
        <v>-10.489622000000001</v>
      </c>
      <c r="E407">
        <v>66.448879000000005</v>
      </c>
      <c r="F407">
        <v>0.63352600000000003</v>
      </c>
      <c r="G407">
        <v>96.449470500000004</v>
      </c>
      <c r="H407">
        <v>24</v>
      </c>
      <c r="I407">
        <v>12</v>
      </c>
      <c r="J407">
        <v>1.19</v>
      </c>
      <c r="K407">
        <v>12.68996375</v>
      </c>
      <c r="L407">
        <v>-0.75907655084967796</v>
      </c>
      <c r="M407">
        <v>1.4653512964061031</v>
      </c>
      <c r="N407">
        <v>-0.4453783705932326</v>
      </c>
      <c r="O407">
        <v>-2.2937154556057712E-2</v>
      </c>
    </row>
    <row r="408" spans="1:15" x14ac:dyDescent="0.25">
      <c r="A408">
        <v>-3.3785015</v>
      </c>
      <c r="B408">
        <v>86.322536249999999</v>
      </c>
      <c r="C408">
        <v>64.943130249999996</v>
      </c>
      <c r="D408">
        <v>-12.674960499999999</v>
      </c>
      <c r="E408">
        <v>60.009684499999999</v>
      </c>
      <c r="F408">
        <v>0.53612075000000003</v>
      </c>
      <c r="G408">
        <v>96.929714000000004</v>
      </c>
      <c r="H408">
        <v>24</v>
      </c>
      <c r="I408">
        <v>16</v>
      </c>
      <c r="J408">
        <v>1.18</v>
      </c>
      <c r="K408">
        <v>12.78197475</v>
      </c>
      <c r="L408">
        <v>-1.0041888565267629</v>
      </c>
      <c r="M408">
        <v>1.455072391028152</v>
      </c>
      <c r="N408">
        <v>-0.54266724730696403</v>
      </c>
      <c r="O408">
        <v>-0.12586423818706621</v>
      </c>
    </row>
    <row r="409" spans="1:15" x14ac:dyDescent="0.25">
      <c r="A409">
        <v>-13.561798250000001</v>
      </c>
      <c r="B409">
        <v>79.750871750000002</v>
      </c>
      <c r="C409">
        <v>67.201233000000002</v>
      </c>
      <c r="D409">
        <v>-16.521154750000001</v>
      </c>
      <c r="E409">
        <v>51.155799999999999</v>
      </c>
      <c r="F409">
        <v>0.38990000000000002</v>
      </c>
      <c r="G409">
        <v>93.247829499999995</v>
      </c>
      <c r="H409">
        <v>24</v>
      </c>
      <c r="I409">
        <v>20</v>
      </c>
      <c r="J409">
        <v>1.18</v>
      </c>
      <c r="K409">
        <v>12.54535525</v>
      </c>
      <c r="L409">
        <v>-1.2200342923870979</v>
      </c>
      <c r="M409">
        <v>1.4543078050806379</v>
      </c>
      <c r="N409">
        <v>-0.63585333063724447</v>
      </c>
      <c r="O409">
        <v>-0.23310977198262681</v>
      </c>
    </row>
    <row r="410" spans="1:15" x14ac:dyDescent="0.25">
      <c r="A410">
        <v>-25.58832675</v>
      </c>
      <c r="B410">
        <v>72.776283500000005</v>
      </c>
      <c r="C410">
        <v>67.698016999999993</v>
      </c>
      <c r="D410">
        <v>-26.442588749999999</v>
      </c>
      <c r="E410">
        <v>39.305901749999997</v>
      </c>
      <c r="F410">
        <v>0.194939</v>
      </c>
      <c r="G410">
        <v>89.405856999999997</v>
      </c>
      <c r="H410">
        <v>24</v>
      </c>
      <c r="I410">
        <v>24</v>
      </c>
      <c r="J410">
        <v>1.18</v>
      </c>
      <c r="K410">
        <v>12.296540500000001</v>
      </c>
      <c r="L410">
        <v>-1.428111585272396</v>
      </c>
      <c r="M410">
        <v>1.5189347099010391</v>
      </c>
      <c r="N410">
        <v>-0.76697886566712814</v>
      </c>
      <c r="O410">
        <v>-0.40124902545797908</v>
      </c>
    </row>
    <row r="411" spans="1:15" x14ac:dyDescent="0.25">
      <c r="A411">
        <v>-35.859697500000003</v>
      </c>
      <c r="B411">
        <v>66.133758749999998</v>
      </c>
      <c r="C411">
        <v>68.014152499999994</v>
      </c>
      <c r="D411">
        <v>-36.757384250000001</v>
      </c>
      <c r="E411">
        <v>28.037317000000002</v>
      </c>
      <c r="F411">
        <v>0.34115974999999998</v>
      </c>
      <c r="G411">
        <v>86.924582999999998</v>
      </c>
      <c r="H411">
        <v>24</v>
      </c>
      <c r="I411">
        <v>28</v>
      </c>
      <c r="J411">
        <v>1.18</v>
      </c>
      <c r="K411">
        <v>12.114102000000001</v>
      </c>
      <c r="L411">
        <v>-1.614306558022325</v>
      </c>
      <c r="M411">
        <v>1.5990345376517581</v>
      </c>
      <c r="N411">
        <v>-0.91518148630648655</v>
      </c>
      <c r="O411">
        <v>-0.56957478448220256</v>
      </c>
    </row>
    <row r="412" spans="1:15" x14ac:dyDescent="0.25">
      <c r="A412">
        <v>-46.356333500000012</v>
      </c>
      <c r="B412">
        <v>57.187672499999998</v>
      </c>
      <c r="C412">
        <v>66.207670500000006</v>
      </c>
      <c r="D412">
        <v>-48.645622250000002</v>
      </c>
      <c r="E412">
        <v>14.13045475</v>
      </c>
      <c r="F412">
        <v>0.194939</v>
      </c>
      <c r="G412">
        <v>83.482818749999993</v>
      </c>
      <c r="H412">
        <v>24</v>
      </c>
      <c r="I412">
        <v>32</v>
      </c>
      <c r="J412">
        <v>1.18</v>
      </c>
      <c r="K412">
        <v>11.88131875</v>
      </c>
      <c r="L412">
        <v>-1.8264417306276861</v>
      </c>
      <c r="M412">
        <v>1.717218250082063</v>
      </c>
      <c r="N412">
        <v>-1.1253152222549301</v>
      </c>
      <c r="O412">
        <v>-0.77390372752705339</v>
      </c>
    </row>
    <row r="413" spans="1:15" x14ac:dyDescent="0.25">
      <c r="A413">
        <v>-57.431130250000002</v>
      </c>
      <c r="B413">
        <v>50.746195749999998</v>
      </c>
      <c r="C413">
        <v>65.078617250000008</v>
      </c>
      <c r="D413">
        <v>-60.533861250000001</v>
      </c>
      <c r="E413">
        <v>0.89424024999999996</v>
      </c>
      <c r="F413">
        <v>0.194939</v>
      </c>
      <c r="G413">
        <v>83.162650999999997</v>
      </c>
      <c r="H413">
        <v>24</v>
      </c>
      <c r="I413">
        <v>36</v>
      </c>
      <c r="J413">
        <v>1.18</v>
      </c>
      <c r="K413">
        <v>11.858466</v>
      </c>
      <c r="L413">
        <v>-2.046157723106679</v>
      </c>
      <c r="M413">
        <v>1.8586573823741039</v>
      </c>
      <c r="N413">
        <v>-1.374268815072039</v>
      </c>
      <c r="O413">
        <v>-0.98841349688764557</v>
      </c>
    </row>
    <row r="414" spans="1:15" x14ac:dyDescent="0.25">
      <c r="A414">
        <v>-70.147327500000003</v>
      </c>
      <c r="B414">
        <v>45.451965250000001</v>
      </c>
      <c r="C414">
        <v>66.433479250000005</v>
      </c>
      <c r="D414">
        <v>-75.175623000000002</v>
      </c>
      <c r="E414">
        <v>-14.1830575</v>
      </c>
      <c r="F414">
        <v>0.24367924999999999</v>
      </c>
      <c r="G414">
        <v>85.003601000000003</v>
      </c>
      <c r="H414">
        <v>24</v>
      </c>
      <c r="I414">
        <v>40</v>
      </c>
      <c r="J414">
        <v>1.18</v>
      </c>
      <c r="K414">
        <v>11.9858545</v>
      </c>
      <c r="L414">
        <v>-2.3355812234147639</v>
      </c>
      <c r="M414">
        <v>2.062758430992695</v>
      </c>
      <c r="N414">
        <v>-1.6961268247261541</v>
      </c>
      <c r="O414">
        <v>-1.24669790775414</v>
      </c>
    </row>
    <row r="415" spans="1:15" x14ac:dyDescent="0.25">
      <c r="A415">
        <v>-79.507898499999996</v>
      </c>
      <c r="B415">
        <v>37.807130000000001</v>
      </c>
      <c r="C415">
        <v>63.904401749999998</v>
      </c>
      <c r="D415">
        <v>-85.315595500000001</v>
      </c>
      <c r="E415">
        <v>-29.302734000000001</v>
      </c>
      <c r="F415">
        <v>0.24367924999999999</v>
      </c>
      <c r="G415">
        <v>85.643929</v>
      </c>
      <c r="H415">
        <v>24</v>
      </c>
      <c r="I415">
        <v>44</v>
      </c>
      <c r="J415">
        <v>1.18</v>
      </c>
      <c r="K415">
        <v>12.031049749999999</v>
      </c>
      <c r="L415">
        <v>-2.700316394037765</v>
      </c>
      <c r="M415">
        <v>2.318303228613745</v>
      </c>
      <c r="N415">
        <v>-2.1644596597297152</v>
      </c>
      <c r="O415">
        <v>-1.556314225072519</v>
      </c>
    </row>
    <row r="416" spans="1:15" x14ac:dyDescent="0.25">
      <c r="A416">
        <v>64.728525250000004</v>
      </c>
      <c r="B416">
        <v>41.751379999999997</v>
      </c>
      <c r="C416">
        <v>-89.237093000000002</v>
      </c>
      <c r="D416">
        <v>-94.668836749999997</v>
      </c>
      <c r="E416">
        <v>-23.147821</v>
      </c>
      <c r="F416">
        <v>0.194939</v>
      </c>
      <c r="G416">
        <v>86.964602999999997</v>
      </c>
      <c r="H416">
        <v>28</v>
      </c>
      <c r="I416">
        <v>-44</v>
      </c>
      <c r="J416">
        <v>1.18</v>
      </c>
      <c r="K416">
        <v>12.127127</v>
      </c>
      <c r="L416">
        <v>2.2377390804683719</v>
      </c>
      <c r="M416">
        <v>1.9827343365106951</v>
      </c>
      <c r="N416">
        <v>-1.6004128534724471</v>
      </c>
      <c r="O416">
        <v>-1.3392817857159851</v>
      </c>
    </row>
    <row r="417" spans="1:15" x14ac:dyDescent="0.25">
      <c r="A417">
        <v>67.21113625000001</v>
      </c>
      <c r="B417">
        <v>49.303177499999997</v>
      </c>
      <c r="C417">
        <v>-79.672753999999998</v>
      </c>
      <c r="D417">
        <v>-83.305083999999994</v>
      </c>
      <c r="E417">
        <v>-9.7675780000000003</v>
      </c>
      <c r="F417">
        <v>0.2924195</v>
      </c>
      <c r="G417">
        <v>87.684971000000004</v>
      </c>
      <c r="H417">
        <v>28</v>
      </c>
      <c r="I417">
        <v>-40</v>
      </c>
      <c r="J417">
        <v>1.19</v>
      </c>
      <c r="K417">
        <v>12.119332</v>
      </c>
      <c r="L417">
        <v>2.047983631165704</v>
      </c>
      <c r="M417">
        <v>1.8489169083073329</v>
      </c>
      <c r="N417">
        <v>-1.358753660541729</v>
      </c>
      <c r="O417">
        <v>-1.1402409356357439</v>
      </c>
    </row>
    <row r="418" spans="1:15" x14ac:dyDescent="0.25">
      <c r="A418">
        <v>67.978492750000001</v>
      </c>
      <c r="B418">
        <v>56.662574749999997</v>
      </c>
      <c r="C418">
        <v>-68.98054350000001</v>
      </c>
      <c r="D418">
        <v>-71.635379749999998</v>
      </c>
      <c r="E418">
        <v>2.8167417499999998</v>
      </c>
      <c r="F418">
        <v>0.24367924999999999</v>
      </c>
      <c r="G418">
        <v>87.885077999999993</v>
      </c>
      <c r="H418">
        <v>28</v>
      </c>
      <c r="I418">
        <v>-36</v>
      </c>
      <c r="J418">
        <v>1.1825000000000001</v>
      </c>
      <c r="K418">
        <v>12.175058999999999</v>
      </c>
      <c r="L418">
        <v>1.872963193442055</v>
      </c>
      <c r="M418">
        <v>1.754520382293397</v>
      </c>
      <c r="N418">
        <v>-1.163350177289181</v>
      </c>
      <c r="O418">
        <v>-0.96481907863499627</v>
      </c>
    </row>
    <row r="419" spans="1:15" x14ac:dyDescent="0.25">
      <c r="A419">
        <v>68.068763750000002</v>
      </c>
      <c r="B419">
        <v>63.6852655</v>
      </c>
      <c r="C419">
        <v>-57.025120999999999</v>
      </c>
      <c r="D419">
        <v>-59.135242249999997</v>
      </c>
      <c r="E419">
        <v>14.6642185</v>
      </c>
      <c r="F419">
        <v>0.34115974999999998</v>
      </c>
      <c r="G419">
        <v>88.605449499999992</v>
      </c>
      <c r="H419">
        <v>28</v>
      </c>
      <c r="I419">
        <v>-32</v>
      </c>
      <c r="J419">
        <v>1.18</v>
      </c>
      <c r="K419">
        <v>12.231123999999999</v>
      </c>
      <c r="L419">
        <v>1.7196430579897599</v>
      </c>
      <c r="M419">
        <v>1.688389512988149</v>
      </c>
      <c r="N419">
        <v>-1.0164662030271421</v>
      </c>
      <c r="O419">
        <v>-0.80311061824602992</v>
      </c>
    </row>
    <row r="420" spans="1:15" x14ac:dyDescent="0.25">
      <c r="A420">
        <v>66.534057500000003</v>
      </c>
      <c r="B420">
        <v>69.457336499999997</v>
      </c>
      <c r="C420">
        <v>-42.813951500000002</v>
      </c>
      <c r="D420">
        <v>-45.673564749999997</v>
      </c>
      <c r="E420">
        <v>25.263254750000002</v>
      </c>
      <c r="F420">
        <v>0.34115974999999998</v>
      </c>
      <c r="G420">
        <v>88.685492999999994</v>
      </c>
      <c r="H420">
        <v>28</v>
      </c>
      <c r="I420">
        <v>-28</v>
      </c>
      <c r="J420">
        <v>1.18</v>
      </c>
      <c r="K420">
        <v>12.2366715</v>
      </c>
      <c r="L420">
        <v>1.573191964326353</v>
      </c>
      <c r="M420">
        <v>1.6563836844863</v>
      </c>
      <c r="N420">
        <v>-0.91245680827711628</v>
      </c>
      <c r="O420">
        <v>-0.64143695459167049</v>
      </c>
    </row>
    <row r="421" spans="1:15" x14ac:dyDescent="0.25">
      <c r="A421">
        <v>64.367410500000005</v>
      </c>
      <c r="B421">
        <v>74.556008999999989</v>
      </c>
      <c r="C421">
        <v>-30.181804499999998</v>
      </c>
      <c r="D421">
        <v>-35.183942999999999</v>
      </c>
      <c r="E421">
        <v>34.469807500000002</v>
      </c>
      <c r="F421">
        <v>0.34115974999999998</v>
      </c>
      <c r="G421">
        <v>88.925612999999998</v>
      </c>
      <c r="H421">
        <v>28</v>
      </c>
      <c r="I421">
        <v>-24</v>
      </c>
      <c r="J421">
        <v>1.1850000000000001</v>
      </c>
      <c r="K421">
        <v>12.2274975</v>
      </c>
      <c r="L421">
        <v>1.407965698345254</v>
      </c>
      <c r="M421">
        <v>1.6341815822344981</v>
      </c>
      <c r="N421">
        <v>-0.81092405265292711</v>
      </c>
      <c r="O421">
        <v>-0.49176430744237842</v>
      </c>
    </row>
    <row r="422" spans="1:15" x14ac:dyDescent="0.25">
      <c r="A422">
        <v>61.433411749999998</v>
      </c>
      <c r="B422">
        <v>78.981262000000001</v>
      </c>
      <c r="C422">
        <v>-18.767759999999999</v>
      </c>
      <c r="D422">
        <v>-28.84646175</v>
      </c>
      <c r="E422">
        <v>41.846653750000002</v>
      </c>
      <c r="F422">
        <v>0.38990000000000002</v>
      </c>
      <c r="G422">
        <v>89.645981000000006</v>
      </c>
      <c r="H422">
        <v>28</v>
      </c>
      <c r="I422">
        <v>-20</v>
      </c>
      <c r="J422">
        <v>1.18</v>
      </c>
      <c r="K422">
        <v>12.299654</v>
      </c>
      <c r="L422">
        <v>1.221551622875485</v>
      </c>
      <c r="M422">
        <v>1.6423945507063551</v>
      </c>
      <c r="N422">
        <v>-0.72807164693095017</v>
      </c>
      <c r="O422">
        <v>-0.36854056797592888</v>
      </c>
    </row>
    <row r="423" spans="1:15" x14ac:dyDescent="0.25">
      <c r="A423">
        <v>56.423045500000001</v>
      </c>
      <c r="B423">
        <v>81.963503000000003</v>
      </c>
      <c r="C423">
        <v>-8.662044250000001</v>
      </c>
      <c r="D423">
        <v>-25.612161499999999</v>
      </c>
      <c r="E423">
        <v>47.569206250000001</v>
      </c>
      <c r="F423">
        <v>0.34114475</v>
      </c>
      <c r="G423">
        <v>89.645981000000006</v>
      </c>
      <c r="H423">
        <v>28</v>
      </c>
      <c r="I423">
        <v>-16</v>
      </c>
      <c r="J423">
        <v>1.1825000000000001</v>
      </c>
      <c r="K423">
        <v>12.29005025</v>
      </c>
      <c r="L423">
        <v>1.00585177665107</v>
      </c>
      <c r="M423">
        <v>1.6625182984927369</v>
      </c>
      <c r="N423">
        <v>-0.65027080144657656</v>
      </c>
      <c r="O423">
        <v>-0.27010961234207098</v>
      </c>
    </row>
    <row r="424" spans="1:15" x14ac:dyDescent="0.25">
      <c r="A424">
        <v>51.412674000000003</v>
      </c>
      <c r="B424">
        <v>84.801439500000001</v>
      </c>
      <c r="C424">
        <v>0.81291500000000005</v>
      </c>
      <c r="D424">
        <v>-23.514237000000001</v>
      </c>
      <c r="E424">
        <v>52.806868250000001</v>
      </c>
      <c r="F424">
        <v>0.38986999999999999</v>
      </c>
      <c r="G424">
        <v>90.126227999999998</v>
      </c>
      <c r="H424">
        <v>28</v>
      </c>
      <c r="I424">
        <v>-12</v>
      </c>
      <c r="J424">
        <v>1.18</v>
      </c>
      <c r="K424">
        <v>12.332701</v>
      </c>
      <c r="L424">
        <v>0.78869295075390022</v>
      </c>
      <c r="M424">
        <v>1.688286260249672</v>
      </c>
      <c r="N424">
        <v>-0.58169640111834497</v>
      </c>
      <c r="O424">
        <v>-0.18299097577390089</v>
      </c>
    </row>
    <row r="425" spans="1:15" x14ac:dyDescent="0.25">
      <c r="A425">
        <v>44.912737</v>
      </c>
      <c r="B425">
        <v>86.869764250000003</v>
      </c>
      <c r="C425">
        <v>9.3937179999999998</v>
      </c>
      <c r="D425">
        <v>-22.290445999999999</v>
      </c>
      <c r="E425">
        <v>56.015375250000012</v>
      </c>
      <c r="F425">
        <v>0.38988499999999998</v>
      </c>
      <c r="G425">
        <v>91.006679500000004</v>
      </c>
      <c r="H425">
        <v>28</v>
      </c>
      <c r="I425">
        <v>-8</v>
      </c>
      <c r="J425">
        <v>1.18</v>
      </c>
      <c r="K425">
        <v>12.3930525</v>
      </c>
      <c r="L425">
        <v>0.56866363202640569</v>
      </c>
      <c r="M425">
        <v>1.7475879168592701</v>
      </c>
      <c r="N425">
        <v>-0.56022785366929162</v>
      </c>
      <c r="O425">
        <v>-0.10949125355957159</v>
      </c>
    </row>
    <row r="426" spans="1:15" x14ac:dyDescent="0.25">
      <c r="A426">
        <v>37.0135115</v>
      </c>
      <c r="B426">
        <v>87.639374000000004</v>
      </c>
      <c r="C426">
        <v>17.477739</v>
      </c>
      <c r="D426">
        <v>-21.940792500000001</v>
      </c>
      <c r="E426">
        <v>57.49811175</v>
      </c>
      <c r="F426">
        <v>0.38986999999999999</v>
      </c>
      <c r="G426">
        <v>90.926636000000002</v>
      </c>
      <c r="H426">
        <v>28</v>
      </c>
      <c r="I426">
        <v>-4</v>
      </c>
      <c r="J426">
        <v>1.18</v>
      </c>
      <c r="K426">
        <v>12.38758</v>
      </c>
      <c r="L426">
        <v>0.32704586304453631</v>
      </c>
      <c r="M426">
        <v>1.8346038793552111</v>
      </c>
      <c r="N426">
        <v>-0.55966220209759077</v>
      </c>
      <c r="O426">
        <v>-4.386486114966906E-2</v>
      </c>
    </row>
    <row r="427" spans="1:15" x14ac:dyDescent="0.25">
      <c r="A427">
        <v>29.114279750000001</v>
      </c>
      <c r="B427">
        <v>88.408985000000001</v>
      </c>
      <c r="C427">
        <v>26.64564975</v>
      </c>
      <c r="D427">
        <v>-20.979244749999999</v>
      </c>
      <c r="E427">
        <v>58.921199999999999</v>
      </c>
      <c r="F427">
        <v>0.38986999999999999</v>
      </c>
      <c r="G427">
        <v>91.48692299999999</v>
      </c>
      <c r="H427">
        <v>28</v>
      </c>
      <c r="I427">
        <v>0</v>
      </c>
      <c r="J427">
        <v>1.18</v>
      </c>
      <c r="K427">
        <v>12.42585025</v>
      </c>
      <c r="L427">
        <v>4.400906421102526E-2</v>
      </c>
      <c r="M427">
        <v>1.9503038958861869</v>
      </c>
      <c r="N427">
        <v>-0.58062200167971634</v>
      </c>
      <c r="O427">
        <v>4.3565943713329662E-2</v>
      </c>
    </row>
    <row r="428" spans="1:15" x14ac:dyDescent="0.25">
      <c r="A428">
        <v>19.725478249999998</v>
      </c>
      <c r="B428">
        <v>88.408985000000001</v>
      </c>
      <c r="C428">
        <v>34.955482500000002</v>
      </c>
      <c r="D428">
        <v>-21.19777775</v>
      </c>
      <c r="E428">
        <v>57.986177249999997</v>
      </c>
      <c r="F428">
        <v>0.48732300000000001</v>
      </c>
      <c r="G428">
        <v>91.967171000000008</v>
      </c>
      <c r="H428">
        <v>28</v>
      </c>
      <c r="I428">
        <v>4</v>
      </c>
      <c r="J428">
        <v>1.18</v>
      </c>
      <c r="K428">
        <v>12.451924999999999</v>
      </c>
      <c r="L428">
        <v>-0.25936159830444011</v>
      </c>
      <c r="M428">
        <v>1.8665308172461379</v>
      </c>
      <c r="N428">
        <v>-0.57868202007659064</v>
      </c>
      <c r="O428">
        <v>-2.0831722139238829E-2</v>
      </c>
    </row>
    <row r="429" spans="1:15" x14ac:dyDescent="0.25">
      <c r="A429">
        <v>9.7498802500000004</v>
      </c>
      <c r="B429">
        <v>87.97607825</v>
      </c>
      <c r="C429">
        <v>43.491123250000001</v>
      </c>
      <c r="D429">
        <v>-22.11562</v>
      </c>
      <c r="E429">
        <v>56.462425250000003</v>
      </c>
      <c r="F429">
        <v>0.29240300000000002</v>
      </c>
      <c r="G429">
        <v>92.087231000000003</v>
      </c>
      <c r="H429">
        <v>28</v>
      </c>
      <c r="I429">
        <v>8</v>
      </c>
      <c r="J429">
        <v>1.18</v>
      </c>
      <c r="K429">
        <v>12.4733485</v>
      </c>
      <c r="L429">
        <v>-0.53860835652701788</v>
      </c>
      <c r="M429">
        <v>1.7573815082871209</v>
      </c>
      <c r="N429">
        <v>-0.56867772127330818</v>
      </c>
      <c r="O429">
        <v>-0.10336649040135761</v>
      </c>
    </row>
    <row r="430" spans="1:15" x14ac:dyDescent="0.25">
      <c r="A430">
        <v>-0.13514475000000001</v>
      </c>
      <c r="B430">
        <v>87.68747350000001</v>
      </c>
      <c r="C430">
        <v>50.310603</v>
      </c>
      <c r="D430">
        <v>-23.60164975</v>
      </c>
      <c r="E430">
        <v>53.646012249999998</v>
      </c>
      <c r="F430">
        <v>0.38986999999999999</v>
      </c>
      <c r="G430">
        <v>92.727565999999996</v>
      </c>
      <c r="H430">
        <v>28</v>
      </c>
      <c r="I430">
        <v>12</v>
      </c>
      <c r="J430">
        <v>1.18</v>
      </c>
      <c r="K430">
        <v>12.510177499999999</v>
      </c>
      <c r="L430">
        <v>-0.77000450320106084</v>
      </c>
      <c r="M430">
        <v>1.6987057199110249</v>
      </c>
      <c r="N430">
        <v>-0.59654163669456373</v>
      </c>
      <c r="O430">
        <v>-0.18710610893766641</v>
      </c>
    </row>
    <row r="431" spans="1:15" x14ac:dyDescent="0.25">
      <c r="A431">
        <v>-12.70241375</v>
      </c>
      <c r="B431">
        <v>85.234346250000002</v>
      </c>
      <c r="C431">
        <v>55.775219</v>
      </c>
      <c r="D431">
        <v>-25.087679999999999</v>
      </c>
      <c r="E431">
        <v>47.38731275</v>
      </c>
      <c r="F431">
        <v>0.38985500000000001</v>
      </c>
      <c r="G431">
        <v>92.967686</v>
      </c>
      <c r="H431">
        <v>28</v>
      </c>
      <c r="I431">
        <v>16</v>
      </c>
      <c r="J431">
        <v>1.18</v>
      </c>
      <c r="K431">
        <v>12.526434</v>
      </c>
      <c r="L431">
        <v>-1.0331212380903569</v>
      </c>
      <c r="M431">
        <v>1.664440191889546</v>
      </c>
      <c r="N431">
        <v>-0.68769599936278525</v>
      </c>
      <c r="O431">
        <v>-0.29095865664974441</v>
      </c>
    </row>
    <row r="432" spans="1:15" x14ac:dyDescent="0.25">
      <c r="A432">
        <v>-24.18863975</v>
      </c>
      <c r="B432">
        <v>83.406520999999998</v>
      </c>
      <c r="C432">
        <v>60.472082</v>
      </c>
      <c r="D432">
        <v>-29.939129749999999</v>
      </c>
      <c r="E432">
        <v>40.547448500000002</v>
      </c>
      <c r="F432">
        <v>0.48735174999999997</v>
      </c>
      <c r="G432">
        <v>93.287851250000003</v>
      </c>
      <c r="H432">
        <v>28</v>
      </c>
      <c r="I432">
        <v>20</v>
      </c>
      <c r="J432">
        <v>1.18</v>
      </c>
      <c r="K432">
        <v>12.54148625</v>
      </c>
      <c r="L432">
        <v>-1.2521562931031209</v>
      </c>
      <c r="M432">
        <v>1.6764283059076981</v>
      </c>
      <c r="N432">
        <v>-0.780051229061127</v>
      </c>
      <c r="O432">
        <v>-0.40747835450568348</v>
      </c>
    </row>
    <row r="433" spans="1:15" x14ac:dyDescent="0.25">
      <c r="A433">
        <v>-36.620791500000003</v>
      </c>
      <c r="B433">
        <v>80.039478000000003</v>
      </c>
      <c r="C433">
        <v>64.220535249999998</v>
      </c>
      <c r="D433">
        <v>-39.685738749999999</v>
      </c>
      <c r="E433">
        <v>31.8299755</v>
      </c>
      <c r="F433">
        <v>0.38984000000000002</v>
      </c>
      <c r="G433">
        <v>94.008220999999992</v>
      </c>
      <c r="H433">
        <v>28</v>
      </c>
      <c r="I433">
        <v>24</v>
      </c>
      <c r="J433">
        <v>1.18</v>
      </c>
      <c r="K433">
        <v>12.59663475</v>
      </c>
      <c r="L433">
        <v>-1.440938630827481</v>
      </c>
      <c r="M433">
        <v>1.7108004453818959</v>
      </c>
      <c r="N433">
        <v>-0.88850613950205304</v>
      </c>
      <c r="O433">
        <v>-0.55076095636236078</v>
      </c>
    </row>
    <row r="434" spans="1:15" x14ac:dyDescent="0.25">
      <c r="A434">
        <v>-48.602500749999997</v>
      </c>
      <c r="B434">
        <v>75.229415750000001</v>
      </c>
      <c r="C434">
        <v>66.614125999999999</v>
      </c>
      <c r="D434">
        <v>-50.743551500000002</v>
      </c>
      <c r="E434">
        <v>21.637236000000001</v>
      </c>
      <c r="F434">
        <v>0.38984000000000002</v>
      </c>
      <c r="G434">
        <v>93.968200999999993</v>
      </c>
      <c r="H434">
        <v>28</v>
      </c>
      <c r="I434">
        <v>28</v>
      </c>
      <c r="J434">
        <v>1.18</v>
      </c>
      <c r="K434">
        <v>12.593942999999999</v>
      </c>
      <c r="L434">
        <v>-1.615709894793691</v>
      </c>
      <c r="M434">
        <v>1.76654590614079</v>
      </c>
      <c r="N434">
        <v>-1.0143215606557421</v>
      </c>
      <c r="O434">
        <v>-0.70204380243572007</v>
      </c>
    </row>
    <row r="435" spans="1:15" x14ac:dyDescent="0.25">
      <c r="A435">
        <v>-61.800400499999988</v>
      </c>
      <c r="B435">
        <v>68.976331999999999</v>
      </c>
      <c r="C435">
        <v>68.059314999999998</v>
      </c>
      <c r="D435">
        <v>-64.598589000000004</v>
      </c>
      <c r="E435">
        <v>8.8963134999999998</v>
      </c>
      <c r="F435">
        <v>0.38986999999999999</v>
      </c>
      <c r="G435">
        <v>94.408421000000004</v>
      </c>
      <c r="H435">
        <v>28</v>
      </c>
      <c r="I435">
        <v>32</v>
      </c>
      <c r="J435">
        <v>1.18</v>
      </c>
      <c r="K435">
        <v>12.623527749999999</v>
      </c>
      <c r="L435">
        <v>-1.8012122148851051</v>
      </c>
      <c r="M435">
        <v>1.8527435140493029</v>
      </c>
      <c r="N435">
        <v>-1.1860920351148041</v>
      </c>
      <c r="O435">
        <v>-0.8820138288630579</v>
      </c>
    </row>
    <row r="436" spans="1:15" x14ac:dyDescent="0.25">
      <c r="A436">
        <v>-74.90820875</v>
      </c>
      <c r="B436">
        <v>63.6852655</v>
      </c>
      <c r="C436">
        <v>68.556098750000004</v>
      </c>
      <c r="D436">
        <v>-79.021817999999996</v>
      </c>
      <c r="E436">
        <v>-4.9506887499999994</v>
      </c>
      <c r="F436">
        <v>0.43858150000000001</v>
      </c>
      <c r="G436">
        <v>95.128795999999994</v>
      </c>
      <c r="H436">
        <v>28</v>
      </c>
      <c r="I436">
        <v>36</v>
      </c>
      <c r="J436">
        <v>1.18</v>
      </c>
      <c r="K436">
        <v>12.6685395</v>
      </c>
      <c r="L436">
        <v>-1.9921405499003919</v>
      </c>
      <c r="M436">
        <v>1.981624256979976</v>
      </c>
      <c r="N436">
        <v>-1.3897270548337679</v>
      </c>
      <c r="O436">
        <v>-1.074805823444672</v>
      </c>
    </row>
    <row r="437" spans="1:15" x14ac:dyDescent="0.25">
      <c r="A437">
        <v>-85.898952500000007</v>
      </c>
      <c r="B437">
        <v>55.411956750000002</v>
      </c>
      <c r="C437">
        <v>66.839937250000006</v>
      </c>
      <c r="D437">
        <v>-91.216010999999995</v>
      </c>
      <c r="E437">
        <v>-20.382570749999999</v>
      </c>
      <c r="F437">
        <v>0.38984000000000002</v>
      </c>
      <c r="G437">
        <v>94.888667999999996</v>
      </c>
      <c r="H437">
        <v>28</v>
      </c>
      <c r="I437">
        <v>40</v>
      </c>
      <c r="J437">
        <v>1.18</v>
      </c>
      <c r="K437">
        <v>12.6557295</v>
      </c>
      <c r="L437">
        <v>-2.2404043893801902</v>
      </c>
      <c r="M437">
        <v>2.150774979377899</v>
      </c>
      <c r="N437">
        <v>-1.6908398484423599</v>
      </c>
      <c r="O437">
        <v>-1.3046982175176189</v>
      </c>
    </row>
    <row r="438" spans="1:15" x14ac:dyDescent="0.25">
      <c r="A438">
        <v>-97.250047749999993</v>
      </c>
      <c r="B438">
        <v>48.485469000000002</v>
      </c>
      <c r="C438">
        <v>65.439914999999999</v>
      </c>
      <c r="D438">
        <v>-104.502865</v>
      </c>
      <c r="E438">
        <v>-37.107874750000001</v>
      </c>
      <c r="F438">
        <v>0.43856650000000003</v>
      </c>
      <c r="G438">
        <v>95.448957750000005</v>
      </c>
      <c r="H438">
        <v>28</v>
      </c>
      <c r="I438">
        <v>44</v>
      </c>
      <c r="J438">
        <v>1.18</v>
      </c>
      <c r="K438">
        <v>12.689936749999999</v>
      </c>
      <c r="L438">
        <v>-2.5512960189418492</v>
      </c>
      <c r="M438">
        <v>2.3991601435738001</v>
      </c>
      <c r="N438">
        <v>-2.0787776780465879</v>
      </c>
      <c r="O438">
        <v>-1.588812571592658</v>
      </c>
    </row>
    <row r="439" spans="1:15" x14ac:dyDescent="0.25">
      <c r="A439">
        <v>63.329226499999997</v>
      </c>
      <c r="B439">
        <v>49.639881000000003</v>
      </c>
      <c r="C439">
        <v>-106.2453745</v>
      </c>
      <c r="D439">
        <v>-113.6812745</v>
      </c>
      <c r="E439">
        <v>-34.387227000000003</v>
      </c>
      <c r="F439">
        <v>0.43856650000000003</v>
      </c>
      <c r="G439">
        <v>95.729102999999995</v>
      </c>
      <c r="H439">
        <v>32</v>
      </c>
      <c r="I439">
        <v>-44</v>
      </c>
      <c r="J439">
        <v>1.18</v>
      </c>
      <c r="K439">
        <v>12.708633000000001</v>
      </c>
      <c r="L439">
        <v>2.2437916942099951</v>
      </c>
      <c r="M439">
        <v>2.1610224619784879</v>
      </c>
      <c r="N439">
        <v>-1.7216900483782061</v>
      </c>
      <c r="O439">
        <v>-1.460807878222689</v>
      </c>
    </row>
    <row r="440" spans="1:15" x14ac:dyDescent="0.25">
      <c r="A440">
        <v>65.992393249999992</v>
      </c>
      <c r="B440">
        <v>57.528382999999998</v>
      </c>
      <c r="C440">
        <v>-96.410347000000002</v>
      </c>
      <c r="D440">
        <v>-102.14269625</v>
      </c>
      <c r="E440">
        <v>-20.159566250000001</v>
      </c>
      <c r="F440">
        <v>0.38984000000000002</v>
      </c>
      <c r="G440">
        <v>96.009242999999998</v>
      </c>
      <c r="H440">
        <v>32</v>
      </c>
      <c r="I440">
        <v>-40</v>
      </c>
      <c r="J440">
        <v>1.18</v>
      </c>
      <c r="K440">
        <v>12.730544500000001</v>
      </c>
      <c r="L440">
        <v>2.0527222477925151</v>
      </c>
      <c r="M440">
        <v>2.0182028996049821</v>
      </c>
      <c r="N440">
        <v>-1.468369724603759</v>
      </c>
      <c r="O440">
        <v>-1.2597656748266881</v>
      </c>
    </row>
    <row r="441" spans="1:15" x14ac:dyDescent="0.25">
      <c r="A441">
        <v>67.527101500000001</v>
      </c>
      <c r="B441">
        <v>65.416884999999994</v>
      </c>
      <c r="C441">
        <v>-86.575315500000002</v>
      </c>
      <c r="D441">
        <v>-90.254459249999996</v>
      </c>
      <c r="E441">
        <v>-7.4037337500000007</v>
      </c>
      <c r="F441">
        <v>0.43856650000000003</v>
      </c>
      <c r="G441">
        <v>96.729609999999994</v>
      </c>
      <c r="H441">
        <v>32</v>
      </c>
      <c r="I441">
        <v>-36</v>
      </c>
      <c r="J441">
        <v>1.1825000000000001</v>
      </c>
      <c r="K441">
        <v>12.7617265</v>
      </c>
      <c r="L441">
        <v>1.9022380036379221</v>
      </c>
      <c r="M441">
        <v>1.921599296770921</v>
      </c>
      <c r="N441">
        <v>-1.2854197485946199</v>
      </c>
      <c r="O441">
        <v>-1.0967914351815251</v>
      </c>
    </row>
    <row r="442" spans="1:15" x14ac:dyDescent="0.25">
      <c r="A442">
        <v>66.579194999999999</v>
      </c>
      <c r="B442">
        <v>72.247178999999988</v>
      </c>
      <c r="C442">
        <v>-73.266452999999998</v>
      </c>
      <c r="D442">
        <v>-75.962351249999998</v>
      </c>
      <c r="E442">
        <v>4.6493397500000002</v>
      </c>
      <c r="F442">
        <v>0.43856650000000003</v>
      </c>
      <c r="G442">
        <v>96.489490250000003</v>
      </c>
      <c r="H442">
        <v>32</v>
      </c>
      <c r="I442">
        <v>-32</v>
      </c>
      <c r="J442">
        <v>1.18</v>
      </c>
      <c r="K442">
        <v>12.759234749999999</v>
      </c>
      <c r="L442">
        <v>1.76430789375818</v>
      </c>
      <c r="M442">
        <v>1.8698266876372349</v>
      </c>
      <c r="N442">
        <v>-1.1586689909883801</v>
      </c>
      <c r="O442">
        <v>-0.94686739677455689</v>
      </c>
    </row>
    <row r="443" spans="1:15" x14ac:dyDescent="0.25">
      <c r="A443">
        <v>64.683380249999999</v>
      </c>
      <c r="B443">
        <v>78.836959750000005</v>
      </c>
      <c r="C443">
        <v>-59.867351499999998</v>
      </c>
      <c r="D443">
        <v>-63.287386750000003</v>
      </c>
      <c r="E443">
        <v>15.155013</v>
      </c>
      <c r="F443">
        <v>0.48729299999999998</v>
      </c>
      <c r="G443">
        <v>96.969736000000012</v>
      </c>
      <c r="H443">
        <v>32</v>
      </c>
      <c r="I443">
        <v>-28</v>
      </c>
      <c r="J443">
        <v>1.18</v>
      </c>
      <c r="K443">
        <v>12.7878665</v>
      </c>
      <c r="L443">
        <v>1.6231875203461199</v>
      </c>
      <c r="M443">
        <v>1.8522171797958169</v>
      </c>
      <c r="N443">
        <v>-1.066261241622908</v>
      </c>
      <c r="O443">
        <v>-0.80884752482023914</v>
      </c>
    </row>
    <row r="444" spans="1:15" x14ac:dyDescent="0.25">
      <c r="A444">
        <v>60.485502250000003</v>
      </c>
      <c r="B444">
        <v>81.338193750000002</v>
      </c>
      <c r="C444">
        <v>-44.934347000000002</v>
      </c>
      <c r="D444">
        <v>-50.874667000000002</v>
      </c>
      <c r="E444">
        <v>24.00660075</v>
      </c>
      <c r="F444">
        <v>0.38984000000000002</v>
      </c>
      <c r="G444">
        <v>94.288360999999995</v>
      </c>
      <c r="H444">
        <v>32</v>
      </c>
      <c r="I444">
        <v>-24</v>
      </c>
      <c r="J444">
        <v>1.18</v>
      </c>
      <c r="K444">
        <v>12.61545675</v>
      </c>
      <c r="L444">
        <v>1.465965096833072</v>
      </c>
      <c r="M444">
        <v>1.8385577149290899</v>
      </c>
      <c r="N444">
        <v>-0.97734322483308311</v>
      </c>
      <c r="O444">
        <v>-0.67158367676477904</v>
      </c>
    </row>
    <row r="445" spans="1:15" x14ac:dyDescent="0.25">
      <c r="A445">
        <v>54.301534750000002</v>
      </c>
      <c r="B445">
        <v>82.155904749999991</v>
      </c>
      <c r="C445">
        <v>-31.535250000000001</v>
      </c>
      <c r="D445">
        <v>-43.138569750000002</v>
      </c>
      <c r="E445">
        <v>29.997070749999999</v>
      </c>
      <c r="F445">
        <v>0.34111324999999998</v>
      </c>
      <c r="G445">
        <v>90.446393999999998</v>
      </c>
      <c r="H445">
        <v>32</v>
      </c>
      <c r="I445">
        <v>-20</v>
      </c>
      <c r="J445">
        <v>1.1825000000000001</v>
      </c>
      <c r="K445">
        <v>12.34500375</v>
      </c>
      <c r="L445">
        <v>1.2747899293939799</v>
      </c>
      <c r="M445">
        <v>1.860780002477751</v>
      </c>
      <c r="N445">
        <v>-0.89774987624497937</v>
      </c>
      <c r="O445">
        <v>-0.55955964716532358</v>
      </c>
    </row>
    <row r="446" spans="1:15" x14ac:dyDescent="0.25">
      <c r="A446">
        <v>48.298121500000001</v>
      </c>
      <c r="B446">
        <v>82.348306750000006</v>
      </c>
      <c r="C446">
        <v>-19.670057</v>
      </c>
      <c r="D446">
        <v>-38.199708749999999</v>
      </c>
      <c r="E446">
        <v>35.182848749999998</v>
      </c>
      <c r="F446">
        <v>0.14620649999999999</v>
      </c>
      <c r="G446">
        <v>87.845054500000003</v>
      </c>
      <c r="H446">
        <v>32</v>
      </c>
      <c r="I446">
        <v>-16</v>
      </c>
      <c r="J446">
        <v>1.18</v>
      </c>
      <c r="K446">
        <v>12.1918845</v>
      </c>
      <c r="L446">
        <v>1.0600514031296819</v>
      </c>
      <c r="M446">
        <v>1.8800946314281191</v>
      </c>
      <c r="N446">
        <v>-0.82133704941727514</v>
      </c>
      <c r="O446">
        <v>-0.45354788656038941</v>
      </c>
    </row>
    <row r="447" spans="1:15" x14ac:dyDescent="0.25">
      <c r="A447">
        <v>40.624583250000001</v>
      </c>
      <c r="B447">
        <v>81.092006749999996</v>
      </c>
      <c r="C447">
        <v>-9.0680767499999995</v>
      </c>
      <c r="D447">
        <v>-34.834286749999997</v>
      </c>
      <c r="E447">
        <v>37.954558499999997</v>
      </c>
      <c r="F447">
        <v>0.194933</v>
      </c>
      <c r="G447">
        <v>84.283233999999993</v>
      </c>
      <c r="H447">
        <v>32</v>
      </c>
      <c r="I447">
        <v>-12</v>
      </c>
      <c r="J447">
        <v>1.18</v>
      </c>
      <c r="K447">
        <v>11.9382795</v>
      </c>
      <c r="L447">
        <v>0.82954173118798935</v>
      </c>
      <c r="M447">
        <v>1.935162915644816</v>
      </c>
      <c r="N447">
        <v>-0.77339603368886223</v>
      </c>
      <c r="O447">
        <v>-0.36971155512224191</v>
      </c>
    </row>
    <row r="448" spans="1:15" x14ac:dyDescent="0.25">
      <c r="A448">
        <v>33.898954250000003</v>
      </c>
      <c r="B448">
        <v>81.332485000000005</v>
      </c>
      <c r="C448">
        <v>-0.58649249999999997</v>
      </c>
      <c r="D448">
        <v>-33.129723499999997</v>
      </c>
      <c r="E448">
        <v>39.742759999999997</v>
      </c>
      <c r="F448">
        <v>0.194933</v>
      </c>
      <c r="G448">
        <v>83.202670999999995</v>
      </c>
      <c r="H448">
        <v>32</v>
      </c>
      <c r="I448">
        <v>-8</v>
      </c>
      <c r="J448">
        <v>1.18</v>
      </c>
      <c r="K448">
        <v>11.861326</v>
      </c>
      <c r="L448">
        <v>0.60926990942949999</v>
      </c>
      <c r="M448">
        <v>2.0223061646656539</v>
      </c>
      <c r="N448">
        <v>-0.76785596260528211</v>
      </c>
      <c r="O448">
        <v>-0.30130230787020851</v>
      </c>
    </row>
    <row r="449" spans="1:15" x14ac:dyDescent="0.25">
      <c r="A449">
        <v>27.760122750000001</v>
      </c>
      <c r="B449">
        <v>83.208330250000003</v>
      </c>
      <c r="C449">
        <v>7.9033689999999996</v>
      </c>
      <c r="D449">
        <v>-32.386709000000003</v>
      </c>
      <c r="E449">
        <v>42.067418250000003</v>
      </c>
      <c r="F449">
        <v>0.34111324999999998</v>
      </c>
      <c r="G449">
        <v>85.083641</v>
      </c>
      <c r="H449">
        <v>32</v>
      </c>
      <c r="I449">
        <v>-4</v>
      </c>
      <c r="J449">
        <v>1.18</v>
      </c>
      <c r="K449">
        <v>11.9846275</v>
      </c>
      <c r="L449">
        <v>0.36561546188919047</v>
      </c>
      <c r="M449">
        <v>2.1284701041472029</v>
      </c>
      <c r="N449">
        <v>-0.79207473156469377</v>
      </c>
      <c r="O449">
        <v>-0.23168802478060521</v>
      </c>
    </row>
    <row r="450" spans="1:15" x14ac:dyDescent="0.25">
      <c r="A450">
        <v>18.867848250000002</v>
      </c>
      <c r="B450">
        <v>83.821828750000009</v>
      </c>
      <c r="C450">
        <v>16.800306500000001</v>
      </c>
      <c r="D450">
        <v>-32.342999499999998</v>
      </c>
      <c r="E450">
        <v>42.693287750000003</v>
      </c>
      <c r="F450">
        <v>0.34111324999999998</v>
      </c>
      <c r="G450">
        <v>85.723968499999998</v>
      </c>
      <c r="H450">
        <v>32</v>
      </c>
      <c r="I450">
        <v>0</v>
      </c>
      <c r="J450">
        <v>1.1825000000000001</v>
      </c>
      <c r="K450">
        <v>12.017158999999999</v>
      </c>
      <c r="L450">
        <v>4.0965149029129289E-2</v>
      </c>
      <c r="M450">
        <v>2.301911900033117</v>
      </c>
      <c r="N450">
        <v>-0.85269301749151616</v>
      </c>
      <c r="O450">
        <v>-0.16075619426468449</v>
      </c>
    </row>
    <row r="451" spans="1:15" x14ac:dyDescent="0.25">
      <c r="A451">
        <v>9.9755717500000003</v>
      </c>
      <c r="B451">
        <v>85.078166749999994</v>
      </c>
      <c r="C451">
        <v>25.15530025</v>
      </c>
      <c r="D451">
        <v>-33.260845250000003</v>
      </c>
      <c r="E451">
        <v>42.067417249999998</v>
      </c>
      <c r="F451">
        <v>0.29238649999999999</v>
      </c>
      <c r="G451">
        <v>86.724483250000006</v>
      </c>
      <c r="H451">
        <v>32</v>
      </c>
      <c r="I451">
        <v>4</v>
      </c>
      <c r="J451">
        <v>1.19</v>
      </c>
      <c r="K451">
        <v>12.0525485</v>
      </c>
      <c r="L451">
        <v>-0.28261952493874898</v>
      </c>
      <c r="M451">
        <v>2.203346652316772</v>
      </c>
      <c r="N451">
        <v>-0.83148513111999323</v>
      </c>
      <c r="O451">
        <v>-0.22221760367471979</v>
      </c>
    </row>
    <row r="452" spans="1:15" x14ac:dyDescent="0.25">
      <c r="A452">
        <v>0.45135825000000002</v>
      </c>
      <c r="B452">
        <v>85.799558750000003</v>
      </c>
      <c r="C452">
        <v>32.245753499999999</v>
      </c>
      <c r="D452">
        <v>-35.271356249999997</v>
      </c>
      <c r="E452">
        <v>40.905088499999998</v>
      </c>
      <c r="F452">
        <v>0.34111324999999998</v>
      </c>
      <c r="G452">
        <v>87.799937999999997</v>
      </c>
      <c r="H452">
        <v>32</v>
      </c>
      <c r="I452">
        <v>8</v>
      </c>
      <c r="J452">
        <v>1.1825000000000001</v>
      </c>
      <c r="K452">
        <v>12.162369</v>
      </c>
      <c r="L452">
        <v>-0.5452059351380848</v>
      </c>
      <c r="M452">
        <v>2.0761493554698491</v>
      </c>
      <c r="N452">
        <v>-0.80416885880428657</v>
      </c>
      <c r="O452">
        <v>-0.30439532555222942</v>
      </c>
    </row>
    <row r="453" spans="1:15" x14ac:dyDescent="0.25">
      <c r="A453">
        <v>-10.495257000000001</v>
      </c>
      <c r="B453">
        <v>84.068176000000008</v>
      </c>
      <c r="C453">
        <v>38.794262000000003</v>
      </c>
      <c r="D453">
        <v>-36.582556750000002</v>
      </c>
      <c r="E453">
        <v>37.462804749999997</v>
      </c>
      <c r="F453">
        <v>0.34111324999999998</v>
      </c>
      <c r="G453">
        <v>87.8399505</v>
      </c>
      <c r="H453">
        <v>32</v>
      </c>
      <c r="I453">
        <v>12</v>
      </c>
      <c r="J453">
        <v>1.18</v>
      </c>
      <c r="K453">
        <v>12.1779765</v>
      </c>
      <c r="L453">
        <v>-0.80801119045453806</v>
      </c>
      <c r="M453">
        <v>1.97783479310088</v>
      </c>
      <c r="N453">
        <v>-0.82584668849476461</v>
      </c>
      <c r="O453">
        <v>-0.39146750499595062</v>
      </c>
    </row>
    <row r="454" spans="1:15" x14ac:dyDescent="0.25">
      <c r="A454">
        <v>-21.936438249999998</v>
      </c>
      <c r="B454">
        <v>83.581378999999998</v>
      </c>
      <c r="C454">
        <v>45.387931500000001</v>
      </c>
      <c r="D454">
        <v>-37.456695500000002</v>
      </c>
      <c r="E454">
        <v>33.528764750000001</v>
      </c>
      <c r="F454">
        <v>0.34111324999999998</v>
      </c>
      <c r="G454">
        <v>88.64547125</v>
      </c>
      <c r="H454">
        <v>32</v>
      </c>
      <c r="I454">
        <v>16</v>
      </c>
      <c r="J454">
        <v>1.18</v>
      </c>
      <c r="K454">
        <v>12.233900999999999</v>
      </c>
      <c r="L454">
        <v>-1.064826426561116</v>
      </c>
      <c r="M454">
        <v>1.9143944467699221</v>
      </c>
      <c r="N454">
        <v>-0.87175274267450309</v>
      </c>
      <c r="O454">
        <v>-0.47508760551095069</v>
      </c>
    </row>
    <row r="455" spans="1:15" x14ac:dyDescent="0.25">
      <c r="A455">
        <v>-33.287533000000003</v>
      </c>
      <c r="B455">
        <v>81.188211499999994</v>
      </c>
      <c r="C455">
        <v>49.904144250000002</v>
      </c>
      <c r="D455">
        <v>-40.996939750000003</v>
      </c>
      <c r="E455">
        <v>27.270065249999998</v>
      </c>
      <c r="F455">
        <v>0.24365975000000001</v>
      </c>
      <c r="G455">
        <v>89.24058325</v>
      </c>
      <c r="H455">
        <v>32</v>
      </c>
      <c r="I455">
        <v>20</v>
      </c>
      <c r="J455">
        <v>1.18</v>
      </c>
      <c r="K455">
        <v>12.281781000000001</v>
      </c>
      <c r="L455">
        <v>-1.291534752104168</v>
      </c>
      <c r="M455">
        <v>1.8969384930933251</v>
      </c>
      <c r="N455">
        <v>-0.96212727026052702</v>
      </c>
      <c r="O455">
        <v>-0.58042462238247705</v>
      </c>
    </row>
    <row r="456" spans="1:15" x14ac:dyDescent="0.25">
      <c r="A456">
        <v>-45.494461999999999</v>
      </c>
      <c r="B456">
        <v>78.387571500000007</v>
      </c>
      <c r="C456">
        <v>53.155815250000003</v>
      </c>
      <c r="D456">
        <v>-49.563465999999998</v>
      </c>
      <c r="E456">
        <v>18.91023225</v>
      </c>
      <c r="F456">
        <v>0.34111324999999998</v>
      </c>
      <c r="G456">
        <v>89.480701499999995</v>
      </c>
      <c r="H456">
        <v>32</v>
      </c>
      <c r="I456">
        <v>24</v>
      </c>
      <c r="J456">
        <v>1.18</v>
      </c>
      <c r="K456">
        <v>12.29162425</v>
      </c>
      <c r="L456">
        <v>-1.484823552644065</v>
      </c>
      <c r="M456">
        <v>1.9258384623122791</v>
      </c>
      <c r="N456">
        <v>-1.0621841638985849</v>
      </c>
      <c r="O456">
        <v>-0.72051230374745034</v>
      </c>
    </row>
    <row r="457" spans="1:15" x14ac:dyDescent="0.25">
      <c r="A457">
        <v>-57.115821750000002</v>
      </c>
      <c r="B457">
        <v>73.540775249999996</v>
      </c>
      <c r="C457">
        <v>54.194546000000003</v>
      </c>
      <c r="D457">
        <v>-59.441192999999998</v>
      </c>
      <c r="E457">
        <v>9.4774790000000007</v>
      </c>
      <c r="F457">
        <v>0.38984000000000002</v>
      </c>
      <c r="G457">
        <v>90.046184499999995</v>
      </c>
      <c r="H457">
        <v>32</v>
      </c>
      <c r="I457">
        <v>28</v>
      </c>
      <c r="J457">
        <v>1.18</v>
      </c>
      <c r="K457">
        <v>12.3272005</v>
      </c>
      <c r="L457">
        <v>-1.642821783565138</v>
      </c>
      <c r="M457">
        <v>1.9626748291542619</v>
      </c>
      <c r="N457">
        <v>-1.1891483034358119</v>
      </c>
      <c r="O457">
        <v>-0.86589723263214569</v>
      </c>
    </row>
    <row r="458" spans="1:15" x14ac:dyDescent="0.25">
      <c r="A458">
        <v>-69.502927749999998</v>
      </c>
      <c r="B458">
        <v>69.50057425</v>
      </c>
      <c r="C458">
        <v>56.768787250000003</v>
      </c>
      <c r="D458">
        <v>-71.154607499999997</v>
      </c>
      <c r="E458">
        <v>-1.07041925</v>
      </c>
      <c r="F458">
        <v>0.38984000000000002</v>
      </c>
      <c r="G458">
        <v>90.401117249999999</v>
      </c>
      <c r="H458">
        <v>32</v>
      </c>
      <c r="I458">
        <v>32</v>
      </c>
      <c r="J458">
        <v>1.18</v>
      </c>
      <c r="K458">
        <v>12.351577750000001</v>
      </c>
      <c r="L458">
        <v>-1.8232031547722729</v>
      </c>
      <c r="M458">
        <v>2.030879492460504</v>
      </c>
      <c r="N458">
        <v>-1.320737708654087</v>
      </c>
      <c r="O458">
        <v>-1.021090152570685</v>
      </c>
    </row>
    <row r="459" spans="1:15" x14ac:dyDescent="0.25">
      <c r="A459">
        <v>-81.619769750000003</v>
      </c>
      <c r="B459">
        <v>63.239072999999998</v>
      </c>
      <c r="C459">
        <v>56.904274000000001</v>
      </c>
      <c r="D459">
        <v>-83.305084249999993</v>
      </c>
      <c r="E459">
        <v>-14.18305675</v>
      </c>
      <c r="F459">
        <v>0.34111324999999998</v>
      </c>
      <c r="G459">
        <v>90.395860499999998</v>
      </c>
      <c r="H459">
        <v>32</v>
      </c>
      <c r="I459">
        <v>36</v>
      </c>
      <c r="J459">
        <v>1.18</v>
      </c>
      <c r="K459">
        <v>12.3545575</v>
      </c>
      <c r="L459">
        <v>-2.0287842061601258</v>
      </c>
      <c r="M459">
        <v>2.1462422834109551</v>
      </c>
      <c r="N459">
        <v>-1.5316329726332549</v>
      </c>
      <c r="O459">
        <v>-1.212715660827135</v>
      </c>
    </row>
    <row r="460" spans="1:15" x14ac:dyDescent="0.25">
      <c r="A460">
        <v>-91.991947499999995</v>
      </c>
      <c r="B460">
        <v>57.035394749999988</v>
      </c>
      <c r="C460">
        <v>56.317165500000002</v>
      </c>
      <c r="D460">
        <v>-94.537719749999994</v>
      </c>
      <c r="E460">
        <v>-27.384897500000001</v>
      </c>
      <c r="F460">
        <v>0.34111324999999998</v>
      </c>
      <c r="G460">
        <v>90.841322250000005</v>
      </c>
      <c r="H460">
        <v>32</v>
      </c>
      <c r="I460">
        <v>40</v>
      </c>
      <c r="J460">
        <v>1.18</v>
      </c>
      <c r="K460">
        <v>12.385078</v>
      </c>
      <c r="L460">
        <v>-2.2512037068285249</v>
      </c>
      <c r="M460">
        <v>2.3007435103350522</v>
      </c>
      <c r="N460">
        <v>-1.79456989237412</v>
      </c>
      <c r="O460">
        <v>-1.4208547029496961</v>
      </c>
    </row>
    <row r="461" spans="1:15" x14ac:dyDescent="0.25">
      <c r="A461">
        <v>-98.923145250000005</v>
      </c>
      <c r="B461">
        <v>48.571442750000003</v>
      </c>
      <c r="C461">
        <v>53.020329500000003</v>
      </c>
      <c r="D461">
        <v>-102.84200850000001</v>
      </c>
      <c r="E461">
        <v>-41.211152249999998</v>
      </c>
      <c r="F461">
        <v>0.38984000000000002</v>
      </c>
      <c r="G461">
        <v>90.750734750000007</v>
      </c>
      <c r="H461">
        <v>32</v>
      </c>
      <c r="I461">
        <v>44</v>
      </c>
      <c r="J461">
        <v>1.18</v>
      </c>
      <c r="K461">
        <v>12.375543</v>
      </c>
      <c r="L461">
        <v>-2.5464641719394798</v>
      </c>
      <c r="M461">
        <v>2.5375434932072101</v>
      </c>
      <c r="N461">
        <v>-2.2118040866901398</v>
      </c>
      <c r="O461">
        <v>-1.697294399131525</v>
      </c>
    </row>
    <row r="462" spans="1:15" x14ac:dyDescent="0.25">
      <c r="A462">
        <v>52.811964250000003</v>
      </c>
      <c r="B462">
        <v>50.106832500000003</v>
      </c>
      <c r="C462">
        <v>-106.7867545</v>
      </c>
      <c r="D462">
        <v>-111.58334725</v>
      </c>
      <c r="E462">
        <v>-40.096130500000001</v>
      </c>
      <c r="F462">
        <v>0.43856650000000003</v>
      </c>
      <c r="G462">
        <v>91.401572999999999</v>
      </c>
      <c r="H462">
        <v>36</v>
      </c>
      <c r="I462">
        <v>-44</v>
      </c>
      <c r="J462">
        <v>1.18</v>
      </c>
      <c r="K462">
        <v>12.416704749999999</v>
      </c>
      <c r="L462">
        <v>2.3100480619124082</v>
      </c>
      <c r="M462">
        <v>2.3403227634399211</v>
      </c>
      <c r="N462">
        <v>-1.903313135799523</v>
      </c>
      <c r="O462">
        <v>-1.586704308606838</v>
      </c>
    </row>
    <row r="463" spans="1:15" x14ac:dyDescent="0.25">
      <c r="A463">
        <v>54.211256749999997</v>
      </c>
      <c r="B463">
        <v>57.800787249999999</v>
      </c>
      <c r="C463">
        <v>-99.974414999999993</v>
      </c>
      <c r="D463">
        <v>-102.53605825</v>
      </c>
      <c r="E463">
        <v>-29.124328999999999</v>
      </c>
      <c r="F463">
        <v>0.38984000000000002</v>
      </c>
      <c r="G463">
        <v>91.721720000000005</v>
      </c>
      <c r="H463">
        <v>36</v>
      </c>
      <c r="I463">
        <v>-40</v>
      </c>
      <c r="J463">
        <v>1.1825000000000001</v>
      </c>
      <c r="K463">
        <v>12.4287595</v>
      </c>
      <c r="L463">
        <v>2.1375903972865542</v>
      </c>
      <c r="M463">
        <v>2.2228820261614231</v>
      </c>
      <c r="N463">
        <v>-1.67540070717128</v>
      </c>
      <c r="O463">
        <v>-1.4091845482156851</v>
      </c>
    </row>
    <row r="464" spans="1:15" x14ac:dyDescent="0.25">
      <c r="A464">
        <v>54.752916999999997</v>
      </c>
      <c r="B464">
        <v>64.581079750000001</v>
      </c>
      <c r="C464">
        <v>-91.628179500000002</v>
      </c>
      <c r="D464">
        <v>-92.527209999999997</v>
      </c>
      <c r="E464">
        <v>-18.464735999999998</v>
      </c>
      <c r="F464">
        <v>0.38984000000000002</v>
      </c>
      <c r="G464">
        <v>91.871114750000004</v>
      </c>
      <c r="H464">
        <v>36</v>
      </c>
      <c r="I464">
        <v>-36</v>
      </c>
      <c r="J464">
        <v>1.1850000000000001</v>
      </c>
      <c r="K464">
        <v>12.42581275</v>
      </c>
      <c r="L464">
        <v>1.9885232469981391</v>
      </c>
      <c r="M464">
        <v>2.1342491588654191</v>
      </c>
      <c r="N464">
        <v>-1.498868504341629</v>
      </c>
      <c r="O464">
        <v>-1.2561288968558011</v>
      </c>
    </row>
    <row r="465" spans="1:15" x14ac:dyDescent="0.25">
      <c r="A465">
        <v>54.93347275</v>
      </c>
      <c r="B465">
        <v>70.981626500000004</v>
      </c>
      <c r="C465">
        <v>-80.710394000000008</v>
      </c>
      <c r="D465">
        <v>-81.775346499999998</v>
      </c>
      <c r="E465">
        <v>-7.6713389999999997</v>
      </c>
      <c r="F465">
        <v>0.34111324999999998</v>
      </c>
      <c r="G465">
        <v>92.516708499999993</v>
      </c>
      <c r="H465">
        <v>36</v>
      </c>
      <c r="I465">
        <v>-32</v>
      </c>
      <c r="J465">
        <v>1.18</v>
      </c>
      <c r="K465">
        <v>12.499192000000001</v>
      </c>
      <c r="L465">
        <v>1.843695726660439</v>
      </c>
      <c r="M465">
        <v>2.0763162793552579</v>
      </c>
      <c r="N465">
        <v>-1.361784057015166</v>
      </c>
      <c r="O465">
        <v>-1.108901424147849</v>
      </c>
    </row>
    <row r="466" spans="1:15" x14ac:dyDescent="0.25">
      <c r="A466">
        <v>53.398765500000003</v>
      </c>
      <c r="B466">
        <v>76.757844750000004</v>
      </c>
      <c r="C466">
        <v>-68.123361500000001</v>
      </c>
      <c r="D466">
        <v>-70.804950750000003</v>
      </c>
      <c r="E466">
        <v>1.83292575</v>
      </c>
      <c r="F466">
        <v>0.38984000000000002</v>
      </c>
      <c r="G466">
        <v>92.545969249999999</v>
      </c>
      <c r="H466">
        <v>36</v>
      </c>
      <c r="I466">
        <v>-28</v>
      </c>
      <c r="J466">
        <v>1.18</v>
      </c>
      <c r="K466">
        <v>12.49787225</v>
      </c>
      <c r="L466">
        <v>1.704439591064409</v>
      </c>
      <c r="M466">
        <v>2.0697046002819199</v>
      </c>
      <c r="N466">
        <v>-1.272327197520807</v>
      </c>
      <c r="O466">
        <v>-0.97975105719654021</v>
      </c>
    </row>
    <row r="467" spans="1:15" x14ac:dyDescent="0.25">
      <c r="A467">
        <v>51.3675365</v>
      </c>
      <c r="B467">
        <v>81.471036749999996</v>
      </c>
      <c r="C467">
        <v>-56.754429999999999</v>
      </c>
      <c r="D467">
        <v>-62.675492499999997</v>
      </c>
      <c r="E467">
        <v>9.8351187499999995</v>
      </c>
      <c r="F467">
        <v>0.34111324999999998</v>
      </c>
      <c r="G467">
        <v>92.946079499999996</v>
      </c>
      <c r="H467">
        <v>36</v>
      </c>
      <c r="I467">
        <v>-24</v>
      </c>
      <c r="J467">
        <v>1.18</v>
      </c>
      <c r="K467">
        <v>12.528267749999999</v>
      </c>
      <c r="L467">
        <v>1.5545925632957489</v>
      </c>
      <c r="M467">
        <v>2.072564690853167</v>
      </c>
      <c r="N467">
        <v>-1.1949815128603201</v>
      </c>
      <c r="O467">
        <v>-0.86349299330449369</v>
      </c>
    </row>
    <row r="468" spans="1:15" x14ac:dyDescent="0.25">
      <c r="A468">
        <v>47.395351499999997</v>
      </c>
      <c r="B468">
        <v>86.082099999999997</v>
      </c>
      <c r="C468">
        <v>-45.024577999999998</v>
      </c>
      <c r="D468">
        <v>-57.86775025</v>
      </c>
      <c r="E468">
        <v>16.719687499999999</v>
      </c>
      <c r="F468">
        <v>0.38984000000000002</v>
      </c>
      <c r="G468">
        <v>93.666284499999989</v>
      </c>
      <c r="H468">
        <v>36</v>
      </c>
      <c r="I468">
        <v>-20</v>
      </c>
      <c r="J468">
        <v>1.18</v>
      </c>
      <c r="K468">
        <v>12.573609250000001</v>
      </c>
      <c r="L468">
        <v>1.355812193494121</v>
      </c>
      <c r="M468">
        <v>2.1117483338646892</v>
      </c>
      <c r="N468">
        <v>-1.12881171718064</v>
      </c>
      <c r="O468">
        <v>-0.76043132315126083</v>
      </c>
    </row>
    <row r="469" spans="1:15" x14ac:dyDescent="0.25">
      <c r="A469">
        <v>42.56553675</v>
      </c>
      <c r="B469">
        <v>88.643251250000006</v>
      </c>
      <c r="C469">
        <v>-34.738401250000003</v>
      </c>
      <c r="D469">
        <v>-55.114223499999987</v>
      </c>
      <c r="E469">
        <v>21.63723675</v>
      </c>
      <c r="F469">
        <v>0.43856650000000003</v>
      </c>
      <c r="G469">
        <v>93.586263500000001</v>
      </c>
      <c r="H469">
        <v>36</v>
      </c>
      <c r="I469">
        <v>-16</v>
      </c>
      <c r="J469">
        <v>1.18</v>
      </c>
      <c r="K469">
        <v>12.564928</v>
      </c>
      <c r="L469">
        <v>1.161349200100138</v>
      </c>
      <c r="M469">
        <v>2.159695257133829</v>
      </c>
      <c r="N469">
        <v>-1.080906270714399</v>
      </c>
      <c r="O469">
        <v>-0.68151628296820488</v>
      </c>
    </row>
    <row r="470" spans="1:15" x14ac:dyDescent="0.25">
      <c r="A470">
        <v>36.787813999999997</v>
      </c>
      <c r="B470">
        <v>91.323920999999999</v>
      </c>
      <c r="C470">
        <v>-22.963437750000001</v>
      </c>
      <c r="D470">
        <v>-53.191125999999997</v>
      </c>
      <c r="E470">
        <v>26.688900749999998</v>
      </c>
      <c r="F470">
        <v>0.43856650000000003</v>
      </c>
      <c r="G470">
        <v>94.026382500000011</v>
      </c>
      <c r="H470">
        <v>36</v>
      </c>
      <c r="I470">
        <v>-12</v>
      </c>
      <c r="J470">
        <v>1.18</v>
      </c>
      <c r="K470">
        <v>12.594578</v>
      </c>
      <c r="L470">
        <v>0.92255319661009894</v>
      </c>
      <c r="M470">
        <v>2.2313306270406912</v>
      </c>
      <c r="N470">
        <v>-1.039690117628058</v>
      </c>
      <c r="O470">
        <v>-0.59467469307725918</v>
      </c>
    </row>
    <row r="471" spans="1:15" x14ac:dyDescent="0.25">
      <c r="A471">
        <v>30.378154250000001</v>
      </c>
      <c r="B471">
        <v>93.013587749999999</v>
      </c>
      <c r="C471">
        <v>-12.993065250000001</v>
      </c>
      <c r="D471">
        <v>-52.098458000000001</v>
      </c>
      <c r="E471">
        <v>29.818250500000001</v>
      </c>
      <c r="F471">
        <v>0.38984000000000002</v>
      </c>
      <c r="G471">
        <v>94.706577499999995</v>
      </c>
      <c r="H471">
        <v>36</v>
      </c>
      <c r="I471">
        <v>-8</v>
      </c>
      <c r="J471">
        <v>1.18</v>
      </c>
      <c r="K471">
        <v>12.643530500000001</v>
      </c>
      <c r="L471">
        <v>0.69544801305280068</v>
      </c>
      <c r="M471">
        <v>2.326867176242156</v>
      </c>
      <c r="N471">
        <v>-1.0404822609884099</v>
      </c>
      <c r="O471">
        <v>-0.52811844392720575</v>
      </c>
    </row>
    <row r="472" spans="1:15" x14ac:dyDescent="0.25">
      <c r="A472">
        <v>22.072678249999999</v>
      </c>
      <c r="B472">
        <v>93.391845750000002</v>
      </c>
      <c r="C472">
        <v>-2.3007137499999999</v>
      </c>
      <c r="D472">
        <v>-50.481307999999999</v>
      </c>
      <c r="E472">
        <v>31.293515500000002</v>
      </c>
      <c r="F472">
        <v>0.38984000000000002</v>
      </c>
      <c r="G472">
        <v>94.546527749999996</v>
      </c>
      <c r="H472">
        <v>36</v>
      </c>
      <c r="I472">
        <v>-4</v>
      </c>
      <c r="J472">
        <v>1.18</v>
      </c>
      <c r="K472">
        <v>12.63279825</v>
      </c>
      <c r="L472">
        <v>0.42253940667459522</v>
      </c>
      <c r="M472">
        <v>2.4941360532395538</v>
      </c>
      <c r="N472">
        <v>-1.0965373542924151</v>
      </c>
      <c r="O472">
        <v>-0.46426571969028119</v>
      </c>
    </row>
    <row r="473" spans="1:15" x14ac:dyDescent="0.25">
      <c r="A473">
        <v>12.6838795</v>
      </c>
      <c r="B473">
        <v>94.023567</v>
      </c>
      <c r="C473">
        <v>7.9490980000000002</v>
      </c>
      <c r="D473">
        <v>-50.000533750000002</v>
      </c>
      <c r="E473">
        <v>32.142910000000001</v>
      </c>
      <c r="F473">
        <v>0.58474599999999999</v>
      </c>
      <c r="G473">
        <v>95.106685499999998</v>
      </c>
      <c r="H473">
        <v>36</v>
      </c>
      <c r="I473">
        <v>0</v>
      </c>
      <c r="J473">
        <v>1.18</v>
      </c>
      <c r="K473">
        <v>12.6572765</v>
      </c>
      <c r="L473">
        <v>8.894605070135507E-2</v>
      </c>
      <c r="M473">
        <v>2.7089253679296061</v>
      </c>
      <c r="N473">
        <v>-1.18431471580639</v>
      </c>
      <c r="O473">
        <v>-0.40644543312070042</v>
      </c>
    </row>
    <row r="474" spans="1:15" x14ac:dyDescent="0.25">
      <c r="A474">
        <v>1.7152352500000001</v>
      </c>
      <c r="B474">
        <v>93.597261500000002</v>
      </c>
      <c r="C474">
        <v>16.891720249999999</v>
      </c>
      <c r="D474">
        <v>-51.136909500000002</v>
      </c>
      <c r="E474">
        <v>30.7570555</v>
      </c>
      <c r="F474">
        <v>0.43856650000000003</v>
      </c>
      <c r="G474">
        <v>95.346754500000003</v>
      </c>
      <c r="H474">
        <v>36</v>
      </c>
      <c r="I474">
        <v>4</v>
      </c>
      <c r="J474">
        <v>1.18</v>
      </c>
      <c r="K474">
        <v>12.683110750000001</v>
      </c>
      <c r="L474">
        <v>-0.27360883666699082</v>
      </c>
      <c r="M474">
        <v>2.609349583646932</v>
      </c>
      <c r="N474">
        <v>-1.1644698647494049</v>
      </c>
      <c r="O474">
        <v>-0.45341182313284878</v>
      </c>
    </row>
    <row r="475" spans="1:15" x14ac:dyDescent="0.25">
      <c r="A475">
        <v>-9.8215642499999998</v>
      </c>
      <c r="B475">
        <v>93.54918825</v>
      </c>
      <c r="C475">
        <v>25.113451999999999</v>
      </c>
      <c r="D475">
        <v>-52.404405500000003</v>
      </c>
      <c r="E475">
        <v>28.790035750000001</v>
      </c>
      <c r="F475">
        <v>0.48729299999999998</v>
      </c>
      <c r="G475">
        <v>95.506795750000009</v>
      </c>
      <c r="H475">
        <v>36</v>
      </c>
      <c r="I475">
        <v>8</v>
      </c>
      <c r="J475">
        <v>1.18</v>
      </c>
      <c r="K475">
        <v>12.6905465</v>
      </c>
      <c r="L475">
        <v>-0.5832033246211239</v>
      </c>
      <c r="M475">
        <v>2.436514599654438</v>
      </c>
      <c r="N475">
        <v>-1.113782380701434</v>
      </c>
      <c r="O475">
        <v>-0.52754590604745566</v>
      </c>
    </row>
    <row r="476" spans="1:15" x14ac:dyDescent="0.25">
      <c r="A476">
        <v>-21.4874005</v>
      </c>
      <c r="B476">
        <v>93.026614999999993</v>
      </c>
      <c r="C476">
        <v>32.744678499999999</v>
      </c>
      <c r="D476">
        <v>-53.409661249999999</v>
      </c>
      <c r="E476">
        <v>26.331260499999999</v>
      </c>
      <c r="F476">
        <v>0.43856650000000003</v>
      </c>
      <c r="G476">
        <v>96.066957500000001</v>
      </c>
      <c r="H476">
        <v>36</v>
      </c>
      <c r="I476">
        <v>12</v>
      </c>
      <c r="J476">
        <v>1.18</v>
      </c>
      <c r="K476">
        <v>12.731140999999999</v>
      </c>
      <c r="L476">
        <v>-0.85030008169481386</v>
      </c>
      <c r="M476">
        <v>2.296063459429317</v>
      </c>
      <c r="N476">
        <v>-1.0934613214234441</v>
      </c>
      <c r="O476">
        <v>-0.59406529642746342</v>
      </c>
    </row>
    <row r="477" spans="1:15" x14ac:dyDescent="0.25">
      <c r="A477">
        <v>-34.330272749999999</v>
      </c>
      <c r="B477">
        <v>90.897444000000007</v>
      </c>
      <c r="C477">
        <v>38.079150249999998</v>
      </c>
      <c r="D477">
        <v>-54.6771545</v>
      </c>
      <c r="E477">
        <v>20.564317750000001</v>
      </c>
      <c r="F477">
        <v>0.53601949999999998</v>
      </c>
      <c r="G477">
        <v>96.066957500000001</v>
      </c>
      <c r="H477">
        <v>36</v>
      </c>
      <c r="I477">
        <v>16</v>
      </c>
      <c r="J477">
        <v>1.18</v>
      </c>
      <c r="K477">
        <v>12.724651</v>
      </c>
      <c r="L477">
        <v>-1.112826162545153</v>
      </c>
      <c r="M477">
        <v>2.2372591217899549</v>
      </c>
      <c r="N477">
        <v>-1.160365449258596</v>
      </c>
      <c r="O477">
        <v>-0.69219304817745964</v>
      </c>
    </row>
    <row r="478" spans="1:15" x14ac:dyDescent="0.25">
      <c r="A478">
        <v>-46.767923250000003</v>
      </c>
      <c r="B478">
        <v>88.306543250000004</v>
      </c>
      <c r="C478">
        <v>43.183454249999997</v>
      </c>
      <c r="D478">
        <v>-57.518098000000002</v>
      </c>
      <c r="E478">
        <v>14.931487750000001</v>
      </c>
      <c r="F478">
        <v>0.53601949999999998</v>
      </c>
      <c r="G478">
        <v>96.347037999999998</v>
      </c>
      <c r="H478">
        <v>36</v>
      </c>
      <c r="I478">
        <v>20</v>
      </c>
      <c r="J478">
        <v>1.18</v>
      </c>
      <c r="K478">
        <v>12.7432935</v>
      </c>
      <c r="L478">
        <v>-1.341069534511933</v>
      </c>
      <c r="M478">
        <v>2.1740725793451521</v>
      </c>
      <c r="N478">
        <v>-1.2138160320519871</v>
      </c>
      <c r="O478">
        <v>-0.78538760072988356</v>
      </c>
    </row>
    <row r="479" spans="1:15" x14ac:dyDescent="0.25">
      <c r="A479">
        <v>-59.781149999999997</v>
      </c>
      <c r="B479">
        <v>85.853586250000006</v>
      </c>
      <c r="C479">
        <v>47.336142500000001</v>
      </c>
      <c r="D479">
        <v>-65.60384775</v>
      </c>
      <c r="E479">
        <v>7.152819</v>
      </c>
      <c r="F479">
        <v>0.53601949999999998</v>
      </c>
      <c r="G479">
        <v>96.307023999999998</v>
      </c>
      <c r="H479">
        <v>36</v>
      </c>
      <c r="I479">
        <v>24</v>
      </c>
      <c r="J479">
        <v>1.18</v>
      </c>
      <c r="K479">
        <v>12.740631</v>
      </c>
      <c r="L479">
        <v>-1.533638708500128</v>
      </c>
      <c r="M479">
        <v>2.1684752724268859</v>
      </c>
      <c r="N479">
        <v>-1.276450340787286</v>
      </c>
      <c r="O479">
        <v>-0.90525728842754349</v>
      </c>
    </row>
    <row r="480" spans="1:15" x14ac:dyDescent="0.25">
      <c r="A480">
        <v>-69.291270999999995</v>
      </c>
      <c r="B480">
        <v>76.816709750000001</v>
      </c>
      <c r="C480">
        <v>46.66170675</v>
      </c>
      <c r="D480">
        <v>-71.460552250000006</v>
      </c>
      <c r="E480">
        <v>-2.9436524999999998</v>
      </c>
      <c r="F480">
        <v>0.34111324999999998</v>
      </c>
      <c r="G480">
        <v>91.625707750000004</v>
      </c>
      <c r="H480">
        <v>36</v>
      </c>
      <c r="I480">
        <v>28</v>
      </c>
      <c r="J480">
        <v>1.18</v>
      </c>
      <c r="K480">
        <v>12.438632500000001</v>
      </c>
      <c r="L480">
        <v>-1.7195889792131569</v>
      </c>
      <c r="M480">
        <v>2.1990100679482989</v>
      </c>
      <c r="N480">
        <v>-1.4025505436554371</v>
      </c>
      <c r="O480">
        <v>-1.0487751956869811</v>
      </c>
    </row>
    <row r="481" spans="1:15" x14ac:dyDescent="0.25">
      <c r="A481">
        <v>-78.076664249999993</v>
      </c>
      <c r="B481">
        <v>69.789132999999993</v>
      </c>
      <c r="C481">
        <v>47.071269999999998</v>
      </c>
      <c r="D481">
        <v>-78.147687750000003</v>
      </c>
      <c r="E481">
        <v>-12.131419749999999</v>
      </c>
      <c r="F481">
        <v>0.34111324999999998</v>
      </c>
      <c r="G481">
        <v>88.744900000000001</v>
      </c>
      <c r="H481">
        <v>36</v>
      </c>
      <c r="I481">
        <v>32</v>
      </c>
      <c r="J481">
        <v>1.18</v>
      </c>
      <c r="K481">
        <v>12.240785499999999</v>
      </c>
      <c r="L481">
        <v>-1.89674641561729</v>
      </c>
      <c r="M481">
        <v>2.242139565888845</v>
      </c>
      <c r="N481">
        <v>-1.528897753011832</v>
      </c>
      <c r="O481">
        <v>-1.189052387894147</v>
      </c>
    </row>
    <row r="482" spans="1:15" x14ac:dyDescent="0.25">
      <c r="A482">
        <v>-85.335693499999991</v>
      </c>
      <c r="B482">
        <v>61.232105500000003</v>
      </c>
      <c r="C482">
        <v>44.945155999999997</v>
      </c>
      <c r="D482">
        <v>-83.916978749999998</v>
      </c>
      <c r="E482">
        <v>-22.3896075</v>
      </c>
      <c r="F482">
        <v>0.194933</v>
      </c>
      <c r="G482">
        <v>85.704048</v>
      </c>
      <c r="H482">
        <v>36</v>
      </c>
      <c r="I482">
        <v>36</v>
      </c>
      <c r="J482">
        <v>1.18</v>
      </c>
      <c r="K482">
        <v>12.038699749999999</v>
      </c>
      <c r="L482">
        <v>-2.0933260443055071</v>
      </c>
      <c r="M482">
        <v>2.3322346787915782</v>
      </c>
      <c r="N482">
        <v>-1.7368360307773809</v>
      </c>
      <c r="O482">
        <v>-1.362902640093232</v>
      </c>
    </row>
    <row r="483" spans="1:15" x14ac:dyDescent="0.25">
      <c r="A483">
        <v>-91.682584750000004</v>
      </c>
      <c r="B483">
        <v>53.051269499999997</v>
      </c>
      <c r="C483">
        <v>42.460742000000003</v>
      </c>
      <c r="D483">
        <v>-90.16704575</v>
      </c>
      <c r="E483">
        <v>-33.807416000000003</v>
      </c>
      <c r="F483">
        <v>0.24365975000000001</v>
      </c>
      <c r="G483">
        <v>82.703206749999993</v>
      </c>
      <c r="H483">
        <v>36</v>
      </c>
      <c r="I483">
        <v>40</v>
      </c>
      <c r="J483">
        <v>1.18</v>
      </c>
      <c r="K483">
        <v>11.822094</v>
      </c>
      <c r="L483">
        <v>-2.3485563495256452</v>
      </c>
      <c r="M483">
        <v>2.5074491258150671</v>
      </c>
      <c r="N483">
        <v>-2.0398576696444848</v>
      </c>
      <c r="O483">
        <v>-1.596160821410171</v>
      </c>
    </row>
    <row r="484" spans="1:15" x14ac:dyDescent="0.25">
      <c r="A484">
        <v>-98.987600499999999</v>
      </c>
      <c r="B484">
        <v>48.196834750000001</v>
      </c>
      <c r="C484">
        <v>41.695567250000003</v>
      </c>
      <c r="D484">
        <v>-98.296503250000001</v>
      </c>
      <c r="E484">
        <v>-44.957618750000002</v>
      </c>
      <c r="F484">
        <v>0.24365975000000001</v>
      </c>
      <c r="G484">
        <v>84.583732499999996</v>
      </c>
      <c r="H484">
        <v>36</v>
      </c>
      <c r="I484">
        <v>44</v>
      </c>
      <c r="J484">
        <v>1.18</v>
      </c>
      <c r="K484">
        <v>11.9561385</v>
      </c>
      <c r="L484">
        <v>-2.6206246112743021</v>
      </c>
      <c r="M484">
        <v>2.728858195482843</v>
      </c>
      <c r="N484">
        <v>-2.4132160443972208</v>
      </c>
      <c r="O484">
        <v>-1.842071478608901</v>
      </c>
    </row>
    <row r="485" spans="1:15" x14ac:dyDescent="0.25">
      <c r="A485">
        <v>40.308611999999997</v>
      </c>
      <c r="B485">
        <v>48.196833750000003</v>
      </c>
      <c r="C485">
        <v>-106.5783825</v>
      </c>
      <c r="D485">
        <v>-107.606037</v>
      </c>
      <c r="E485">
        <v>-47.589068500000003</v>
      </c>
      <c r="F485">
        <v>0.194933</v>
      </c>
      <c r="G485">
        <v>85.784073000000006</v>
      </c>
      <c r="H485">
        <v>40</v>
      </c>
      <c r="I485">
        <v>-44</v>
      </c>
      <c r="J485">
        <v>1.18</v>
      </c>
      <c r="K485">
        <v>12.044349</v>
      </c>
      <c r="L485">
        <v>2.4686199424341981</v>
      </c>
      <c r="M485">
        <v>2.6184663951190741</v>
      </c>
      <c r="N485">
        <v>-2.2415577256664831</v>
      </c>
      <c r="O485">
        <v>-1.803105249820605</v>
      </c>
    </row>
    <row r="486" spans="1:15" x14ac:dyDescent="0.25">
      <c r="A486">
        <v>42.520396499999997</v>
      </c>
      <c r="B486">
        <v>55.652430499999987</v>
      </c>
      <c r="C486">
        <v>-101.75236475</v>
      </c>
      <c r="D486">
        <v>-100.52554499999999</v>
      </c>
      <c r="E486">
        <v>-37.59848375</v>
      </c>
      <c r="F486">
        <v>0.194933</v>
      </c>
      <c r="G486">
        <v>86.78434949999999</v>
      </c>
      <c r="H486">
        <v>40</v>
      </c>
      <c r="I486">
        <v>-40</v>
      </c>
      <c r="J486">
        <v>1.18</v>
      </c>
      <c r="K486">
        <v>12.114524250000001</v>
      </c>
      <c r="L486">
        <v>2.2706039746913982</v>
      </c>
      <c r="M486">
        <v>2.4579600505679342</v>
      </c>
      <c r="N486">
        <v>-1.95758389009809</v>
      </c>
      <c r="O486">
        <v>-1.5948233255677799</v>
      </c>
    </row>
    <row r="487" spans="1:15" x14ac:dyDescent="0.25">
      <c r="A487">
        <v>43.513444</v>
      </c>
      <c r="B487">
        <v>62.194117499999997</v>
      </c>
      <c r="C487">
        <v>-95.979179250000001</v>
      </c>
      <c r="D487">
        <v>-93.969532000000001</v>
      </c>
      <c r="E487">
        <v>-29.168931000000001</v>
      </c>
      <c r="F487">
        <v>0.194933</v>
      </c>
      <c r="G487">
        <v>87.824642499999996</v>
      </c>
      <c r="H487">
        <v>40</v>
      </c>
      <c r="I487">
        <v>-36</v>
      </c>
      <c r="J487">
        <v>1.18</v>
      </c>
      <c r="K487">
        <v>12.18708</v>
      </c>
      <c r="L487">
        <v>2.1197866173275122</v>
      </c>
      <c r="M487">
        <v>2.373150929991553</v>
      </c>
      <c r="N487">
        <v>-1.777909003423467</v>
      </c>
      <c r="O487">
        <v>-1.4462404097456969</v>
      </c>
    </row>
    <row r="488" spans="1:15" x14ac:dyDescent="0.25">
      <c r="A488">
        <v>42.655812500000003</v>
      </c>
      <c r="B488">
        <v>67.581388500000003</v>
      </c>
      <c r="C488">
        <v>-87.409609000000003</v>
      </c>
      <c r="D488">
        <v>-86.23343675000001</v>
      </c>
      <c r="E488">
        <v>-21.274587</v>
      </c>
      <c r="F488">
        <v>0.24365975000000001</v>
      </c>
      <c r="G488">
        <v>87.864654999999999</v>
      </c>
      <c r="H488">
        <v>40</v>
      </c>
      <c r="I488">
        <v>-32</v>
      </c>
      <c r="J488">
        <v>1.18</v>
      </c>
      <c r="K488">
        <v>12.1864735</v>
      </c>
      <c r="L488">
        <v>1.984345496137299</v>
      </c>
      <c r="M488">
        <v>2.34667925822168</v>
      </c>
      <c r="N488">
        <v>-1.6651145833496881</v>
      </c>
      <c r="O488">
        <v>-1.328322641439817</v>
      </c>
    </row>
    <row r="489" spans="1:15" x14ac:dyDescent="0.25">
      <c r="A489">
        <v>41.346799249999997</v>
      </c>
      <c r="B489">
        <v>74.074967999999998</v>
      </c>
      <c r="C489">
        <v>-76.088756500000002</v>
      </c>
      <c r="D489">
        <v>-77.841739500000003</v>
      </c>
      <c r="E489">
        <v>-12.354424249999999</v>
      </c>
      <c r="F489">
        <v>0.34111324999999998</v>
      </c>
      <c r="G489">
        <v>88.664878999999999</v>
      </c>
      <c r="H489">
        <v>40</v>
      </c>
      <c r="I489">
        <v>-28</v>
      </c>
      <c r="J489">
        <v>1.18</v>
      </c>
      <c r="K489">
        <v>12.235246999999999</v>
      </c>
      <c r="L489">
        <v>1.817595449260762</v>
      </c>
      <c r="M489">
        <v>2.351297667442187</v>
      </c>
      <c r="N489">
        <v>-1.563543813027483</v>
      </c>
      <c r="O489">
        <v>-1.1965144027089021</v>
      </c>
    </row>
    <row r="490" spans="1:15" x14ac:dyDescent="0.25">
      <c r="A490">
        <v>39.270429249999999</v>
      </c>
      <c r="B490">
        <v>78.3559245</v>
      </c>
      <c r="C490">
        <v>-65.805273</v>
      </c>
      <c r="D490">
        <v>-71.985033250000001</v>
      </c>
      <c r="E490">
        <v>-5.3520969999999997</v>
      </c>
      <c r="F490">
        <v>0.38984000000000002</v>
      </c>
      <c r="G490">
        <v>89.305053999999998</v>
      </c>
      <c r="H490">
        <v>40</v>
      </c>
      <c r="I490">
        <v>-24</v>
      </c>
      <c r="J490">
        <v>1.18</v>
      </c>
      <c r="K490">
        <v>12.276146000000001</v>
      </c>
      <c r="L490">
        <v>1.6536239206872281</v>
      </c>
      <c r="M490">
        <v>2.3659836788619701</v>
      </c>
      <c r="N490">
        <v>-1.489668525583608</v>
      </c>
      <c r="O490">
        <v>-1.0903741723340981</v>
      </c>
    </row>
    <row r="491" spans="1:15" x14ac:dyDescent="0.25">
      <c r="A491">
        <v>35.207969749999997</v>
      </c>
      <c r="B491">
        <v>82.252077</v>
      </c>
      <c r="C491">
        <v>-54.935449499999997</v>
      </c>
      <c r="D491">
        <v>-67.876598250000001</v>
      </c>
      <c r="E491">
        <v>0.26844924999999997</v>
      </c>
      <c r="F491">
        <v>0.34111324999999998</v>
      </c>
      <c r="G491">
        <v>89.395465999999999</v>
      </c>
      <c r="H491">
        <v>40</v>
      </c>
      <c r="I491">
        <v>-20</v>
      </c>
      <c r="J491">
        <v>1.18</v>
      </c>
      <c r="K491">
        <v>12.285743500000001</v>
      </c>
      <c r="L491">
        <v>1.461646033547936</v>
      </c>
      <c r="M491">
        <v>2.4343060708935469</v>
      </c>
      <c r="N491">
        <v>-1.445222906251306</v>
      </c>
      <c r="O491">
        <v>-1.0012289585260239</v>
      </c>
    </row>
    <row r="492" spans="1:15" x14ac:dyDescent="0.25">
      <c r="A492">
        <v>31.326061500000002</v>
      </c>
      <c r="B492">
        <v>85.378616249999993</v>
      </c>
      <c r="C492">
        <v>-44.967688500000001</v>
      </c>
      <c r="D492">
        <v>-65.691263499999991</v>
      </c>
      <c r="E492">
        <v>5.0069794999999999</v>
      </c>
      <c r="F492">
        <v>0.38984000000000002</v>
      </c>
      <c r="G492">
        <v>90.19578150000001</v>
      </c>
      <c r="H492">
        <v>40</v>
      </c>
      <c r="I492">
        <v>-16</v>
      </c>
      <c r="J492">
        <v>1.18</v>
      </c>
      <c r="K492">
        <v>12.337481</v>
      </c>
      <c r="L492">
        <v>1.2644914472887909</v>
      </c>
      <c r="M492">
        <v>2.503825344274464</v>
      </c>
      <c r="N492">
        <v>-1.411941142493214</v>
      </c>
      <c r="O492">
        <v>-0.92350133493842135</v>
      </c>
    </row>
    <row r="493" spans="1:15" x14ac:dyDescent="0.25">
      <c r="A493">
        <v>26.044862250000001</v>
      </c>
      <c r="B493">
        <v>87.976047499999993</v>
      </c>
      <c r="C493">
        <v>-33.646837249999997</v>
      </c>
      <c r="D493">
        <v>-64.336350500000009</v>
      </c>
      <c r="E493">
        <v>9.2539542499999996</v>
      </c>
      <c r="F493">
        <v>0.38984000000000002</v>
      </c>
      <c r="G493">
        <v>90.550660999999991</v>
      </c>
      <c r="H493">
        <v>40</v>
      </c>
      <c r="I493">
        <v>-12</v>
      </c>
      <c r="J493">
        <v>1.18</v>
      </c>
      <c r="K493">
        <v>12.361834249999999</v>
      </c>
      <c r="L493">
        <v>1.024845623967686</v>
      </c>
      <c r="M493">
        <v>2.6150462669900372</v>
      </c>
      <c r="N493">
        <v>-1.3958045722655461</v>
      </c>
      <c r="O493">
        <v>-0.84784423902150508</v>
      </c>
    </row>
    <row r="494" spans="1:15" x14ac:dyDescent="0.25">
      <c r="A494">
        <v>19.544924999999999</v>
      </c>
      <c r="B494">
        <v>89.178563999999994</v>
      </c>
      <c r="C494">
        <v>-23.137838250000001</v>
      </c>
      <c r="D494">
        <v>-62.937734499999998</v>
      </c>
      <c r="E494">
        <v>12.1597785</v>
      </c>
      <c r="F494">
        <v>0.34111324999999998</v>
      </c>
      <c r="G494">
        <v>90.790743000000006</v>
      </c>
      <c r="H494">
        <v>40</v>
      </c>
      <c r="I494">
        <v>-8</v>
      </c>
      <c r="J494">
        <v>1.18</v>
      </c>
      <c r="K494">
        <v>12.381611250000001</v>
      </c>
      <c r="L494">
        <v>0.77332465630545544</v>
      </c>
      <c r="M494">
        <v>2.7559419911363512</v>
      </c>
      <c r="N494">
        <v>-1.4246340594782421</v>
      </c>
      <c r="O494">
        <v>-0.78594686964897653</v>
      </c>
    </row>
    <row r="495" spans="1:15" x14ac:dyDescent="0.25">
      <c r="A495">
        <v>11.37486425</v>
      </c>
      <c r="B495">
        <v>90.477281500000004</v>
      </c>
      <c r="C495">
        <v>-12.673942500000001</v>
      </c>
      <c r="D495">
        <v>-62.456961499999998</v>
      </c>
      <c r="E495">
        <v>13.2326985</v>
      </c>
      <c r="F495">
        <v>0.34111324999999998</v>
      </c>
      <c r="G495">
        <v>91.636352500000001</v>
      </c>
      <c r="H495">
        <v>40</v>
      </c>
      <c r="I495">
        <v>-4</v>
      </c>
      <c r="J495">
        <v>1.18</v>
      </c>
      <c r="K495">
        <v>12.439356999999999</v>
      </c>
      <c r="L495">
        <v>0.47345054426240579</v>
      </c>
      <c r="M495">
        <v>3.0107682447906008</v>
      </c>
      <c r="N495">
        <v>-1.543579398604962</v>
      </c>
      <c r="O495">
        <v>-0.74628508644700509</v>
      </c>
    </row>
    <row r="496" spans="1:15" x14ac:dyDescent="0.25">
      <c r="A496">
        <v>2.0763427499999998</v>
      </c>
      <c r="B496">
        <v>90.236782000000005</v>
      </c>
      <c r="C496">
        <v>-2.615974</v>
      </c>
      <c r="D496">
        <v>-61.75765225</v>
      </c>
      <c r="E496">
        <v>13.81386275</v>
      </c>
      <c r="F496">
        <v>0.38984000000000002</v>
      </c>
      <c r="G496">
        <v>91.636352500000001</v>
      </c>
      <c r="H496">
        <v>40</v>
      </c>
      <c r="I496">
        <v>0</v>
      </c>
      <c r="J496">
        <v>1.18</v>
      </c>
      <c r="K496">
        <v>12.4360395</v>
      </c>
      <c r="L496">
        <v>0.1019112885215836</v>
      </c>
      <c r="M496">
        <v>3.3043263236871319</v>
      </c>
      <c r="N496">
        <v>-1.6919867954581731</v>
      </c>
      <c r="O496">
        <v>-0.70825251092885178</v>
      </c>
    </row>
    <row r="497" spans="1:15" x14ac:dyDescent="0.25">
      <c r="A497">
        <v>-8.0193914999999993</v>
      </c>
      <c r="B497">
        <v>90.621583749999999</v>
      </c>
      <c r="C497">
        <v>5.826238</v>
      </c>
      <c r="D497">
        <v>-62.369548000000002</v>
      </c>
      <c r="E497">
        <v>12.830353000000001</v>
      </c>
      <c r="F497">
        <v>0.43856650000000003</v>
      </c>
      <c r="G497">
        <v>91.796416999999991</v>
      </c>
      <c r="H497">
        <v>40</v>
      </c>
      <c r="I497">
        <v>4</v>
      </c>
      <c r="J497">
        <v>1.18</v>
      </c>
      <c r="K497">
        <v>12.443622</v>
      </c>
      <c r="L497">
        <v>-0.28831857823380719</v>
      </c>
      <c r="M497">
        <v>3.185719769246119</v>
      </c>
      <c r="N497">
        <v>-1.6443292557303859</v>
      </c>
      <c r="O497">
        <v>-0.74199965817168101</v>
      </c>
    </row>
    <row r="498" spans="1:15" x14ac:dyDescent="0.25">
      <c r="A498">
        <v>-19.509162</v>
      </c>
      <c r="B498">
        <v>90.573486000000003</v>
      </c>
      <c r="C498">
        <v>12.8720395</v>
      </c>
      <c r="D498">
        <v>-64.248935750000001</v>
      </c>
      <c r="E498">
        <v>10.10334875</v>
      </c>
      <c r="F498">
        <v>0.34111324999999998</v>
      </c>
      <c r="G498">
        <v>92.321989250000001</v>
      </c>
      <c r="H498">
        <v>40</v>
      </c>
      <c r="I498">
        <v>8</v>
      </c>
      <c r="J498">
        <v>1.18</v>
      </c>
      <c r="K498">
        <v>12.4859765</v>
      </c>
      <c r="L498">
        <v>-0.62288756412992385</v>
      </c>
      <c r="M498">
        <v>2.9784800803068441</v>
      </c>
      <c r="N498">
        <v>-1.5817867059515209</v>
      </c>
      <c r="O498">
        <v>-0.81225244447576483</v>
      </c>
    </row>
    <row r="499" spans="1:15" x14ac:dyDescent="0.25">
      <c r="A499">
        <v>-31.448951000000001</v>
      </c>
      <c r="B499">
        <v>89.611472750000004</v>
      </c>
      <c r="C499">
        <v>20.6855595</v>
      </c>
      <c r="D499">
        <v>-64.29264225</v>
      </c>
      <c r="E499">
        <v>7.7339842499999998</v>
      </c>
      <c r="F499">
        <v>0.38984000000000002</v>
      </c>
      <c r="G499">
        <v>92.105846499999998</v>
      </c>
      <c r="H499">
        <v>40</v>
      </c>
      <c r="I499">
        <v>12</v>
      </c>
      <c r="J499">
        <v>1.18</v>
      </c>
      <c r="K499">
        <v>12.467992000000001</v>
      </c>
      <c r="L499">
        <v>-0.93762283890938702</v>
      </c>
      <c r="M499">
        <v>2.7678856579595852</v>
      </c>
      <c r="N499">
        <v>-1.517434003630616</v>
      </c>
      <c r="O499">
        <v>-0.86796210081962633</v>
      </c>
    </row>
    <row r="500" spans="1:15" x14ac:dyDescent="0.25">
      <c r="A500">
        <v>-43.250732499999998</v>
      </c>
      <c r="B500">
        <v>87.543146000000007</v>
      </c>
      <c r="C500">
        <v>25.74579525</v>
      </c>
      <c r="D500">
        <v>-65.254190249999994</v>
      </c>
      <c r="E500">
        <v>3.3528945000000001</v>
      </c>
      <c r="F500">
        <v>0.43856650000000003</v>
      </c>
      <c r="G500">
        <v>92.516716000000002</v>
      </c>
      <c r="H500">
        <v>40</v>
      </c>
      <c r="I500">
        <v>16</v>
      </c>
      <c r="J500">
        <v>1.18</v>
      </c>
      <c r="K500">
        <v>12.49258275</v>
      </c>
      <c r="L500">
        <v>-1.1977297969852969</v>
      </c>
      <c r="M500">
        <v>2.6525380090973592</v>
      </c>
      <c r="N500">
        <v>-1.547924169106272</v>
      </c>
      <c r="O500">
        <v>-0.94943679687128246</v>
      </c>
    </row>
    <row r="501" spans="1:15" x14ac:dyDescent="0.25">
      <c r="A501">
        <v>-55.779084999999988</v>
      </c>
      <c r="B501">
        <v>85.811523249999993</v>
      </c>
      <c r="C501">
        <v>30.081914749999999</v>
      </c>
      <c r="D501">
        <v>-69.275213250000007</v>
      </c>
      <c r="E501">
        <v>-2.586846</v>
      </c>
      <c r="F501">
        <v>0.38984000000000002</v>
      </c>
      <c r="G501">
        <v>92.916866499999998</v>
      </c>
      <c r="H501">
        <v>40</v>
      </c>
      <c r="I501">
        <v>20</v>
      </c>
      <c r="J501">
        <v>1.18</v>
      </c>
      <c r="K501">
        <v>12.5229965</v>
      </c>
      <c r="L501">
        <v>-1.4324617932170109</v>
      </c>
      <c r="M501">
        <v>2.587469361941745</v>
      </c>
      <c r="N501">
        <v>-1.5934363562449629</v>
      </c>
      <c r="O501">
        <v>-1.04970614890353</v>
      </c>
    </row>
    <row r="502" spans="1:15" x14ac:dyDescent="0.25">
      <c r="A502">
        <v>-68.619989500000003</v>
      </c>
      <c r="B502">
        <v>82.155874499999996</v>
      </c>
      <c r="C502">
        <v>33.376981749999999</v>
      </c>
      <c r="D502">
        <v>-75.350452750000002</v>
      </c>
      <c r="E502">
        <v>-10.07978325</v>
      </c>
      <c r="F502">
        <v>0.38984000000000002</v>
      </c>
      <c r="G502">
        <v>92.922273750000002</v>
      </c>
      <c r="H502">
        <v>40</v>
      </c>
      <c r="I502">
        <v>24</v>
      </c>
      <c r="J502">
        <v>1.18</v>
      </c>
      <c r="K502">
        <v>12.52336225</v>
      </c>
      <c r="L502">
        <v>-1.647651612706442</v>
      </c>
      <c r="M502">
        <v>2.5443754449860818</v>
      </c>
      <c r="N502">
        <v>-1.6639749126146299</v>
      </c>
      <c r="O502">
        <v>-1.169175574357616</v>
      </c>
    </row>
    <row r="503" spans="1:15" x14ac:dyDescent="0.25">
      <c r="A503">
        <v>-80.289441999999994</v>
      </c>
      <c r="B503">
        <v>79.077436250000005</v>
      </c>
      <c r="C503">
        <v>36.987755749999998</v>
      </c>
      <c r="D503">
        <v>-82.256122750000003</v>
      </c>
      <c r="E503">
        <v>-16.859106499999999</v>
      </c>
      <c r="F503">
        <v>0.38984000000000002</v>
      </c>
      <c r="G503">
        <v>93.597131499999989</v>
      </c>
      <c r="H503">
        <v>40</v>
      </c>
      <c r="I503">
        <v>28</v>
      </c>
      <c r="J503">
        <v>1.18</v>
      </c>
      <c r="K503">
        <v>12.568945749999999</v>
      </c>
      <c r="L503">
        <v>-1.8206628737027599</v>
      </c>
      <c r="M503">
        <v>2.5046724343170599</v>
      </c>
      <c r="N503">
        <v>-1.714805053426514</v>
      </c>
      <c r="O503">
        <v>-1.2677668530956601</v>
      </c>
    </row>
    <row r="504" spans="1:15" x14ac:dyDescent="0.25">
      <c r="A504">
        <v>-90.517105000000001</v>
      </c>
      <c r="B504">
        <v>73.882570250000001</v>
      </c>
      <c r="C504">
        <v>37.715345249999999</v>
      </c>
      <c r="D504">
        <v>-89.380325499999998</v>
      </c>
      <c r="E504">
        <v>-26.002272999999999</v>
      </c>
      <c r="F504">
        <v>0.38984000000000002</v>
      </c>
      <c r="G504">
        <v>93.648048000000003</v>
      </c>
      <c r="H504">
        <v>40</v>
      </c>
      <c r="I504">
        <v>32</v>
      </c>
      <c r="J504">
        <v>1.18</v>
      </c>
      <c r="K504">
        <v>12.572381</v>
      </c>
      <c r="L504">
        <v>-2.005342499583322</v>
      </c>
      <c r="M504">
        <v>2.5532038942295938</v>
      </c>
      <c r="N504">
        <v>-1.871247636243119</v>
      </c>
      <c r="O504">
        <v>-1.4127616601844859</v>
      </c>
    </row>
    <row r="505" spans="1:15" x14ac:dyDescent="0.25">
      <c r="A505">
        <v>-101.82611274999999</v>
      </c>
      <c r="B505">
        <v>67.966192500000005</v>
      </c>
      <c r="C505">
        <v>38.438011250000002</v>
      </c>
      <c r="D505">
        <v>-98.034261749999999</v>
      </c>
      <c r="E505">
        <v>-37.152477249999997</v>
      </c>
      <c r="F505">
        <v>0.43856650000000003</v>
      </c>
      <c r="G505">
        <v>94.002757750000001</v>
      </c>
      <c r="H505">
        <v>40</v>
      </c>
      <c r="I505">
        <v>36</v>
      </c>
      <c r="J505">
        <v>1.18</v>
      </c>
      <c r="K505">
        <v>12.5929865</v>
      </c>
      <c r="L505">
        <v>-2.234283247723563</v>
      </c>
      <c r="M505">
        <v>2.644290343588934</v>
      </c>
      <c r="N505">
        <v>-2.0892730100668189</v>
      </c>
      <c r="O505">
        <v>-1.5987995279729661</v>
      </c>
    </row>
    <row r="506" spans="1:15" x14ac:dyDescent="0.25">
      <c r="A506">
        <v>-112.27906025</v>
      </c>
      <c r="B506">
        <v>63.108027499999999</v>
      </c>
      <c r="C506">
        <v>38.164464250000002</v>
      </c>
      <c r="D506">
        <v>-107.3875065</v>
      </c>
      <c r="E506">
        <v>-48.7040875</v>
      </c>
      <c r="F506">
        <v>0.48729299999999998</v>
      </c>
      <c r="G506">
        <v>94.728595999999996</v>
      </c>
      <c r="H506">
        <v>40</v>
      </c>
      <c r="I506">
        <v>40</v>
      </c>
      <c r="J506">
        <v>1.18</v>
      </c>
      <c r="K506">
        <v>12.63847275</v>
      </c>
      <c r="L506">
        <v>-2.4611156096714222</v>
      </c>
      <c r="M506">
        <v>2.7891439153902291</v>
      </c>
      <c r="N506">
        <v>-2.3464547114871461</v>
      </c>
      <c r="O506">
        <v>-1.804751075348086</v>
      </c>
    </row>
    <row r="507" spans="1:15" x14ac:dyDescent="0.25">
      <c r="A507">
        <v>-115.83846875</v>
      </c>
      <c r="B507">
        <v>56.470142500000001</v>
      </c>
      <c r="C507">
        <v>36.581297749999997</v>
      </c>
      <c r="D507">
        <v>-112.588604</v>
      </c>
      <c r="E507">
        <v>-58.293261749999999</v>
      </c>
      <c r="F507">
        <v>0.43856650000000003</v>
      </c>
      <c r="G507">
        <v>94.608536000000001</v>
      </c>
      <c r="H507">
        <v>40</v>
      </c>
      <c r="I507">
        <v>44</v>
      </c>
      <c r="J507">
        <v>1.18</v>
      </c>
      <c r="K507">
        <v>12.6336885</v>
      </c>
      <c r="L507">
        <v>-2.7256585207743478</v>
      </c>
      <c r="M507">
        <v>3.0232341577011681</v>
      </c>
      <c r="N507">
        <v>-2.7342909811475988</v>
      </c>
      <c r="O507">
        <v>-2.0502671118645059</v>
      </c>
    </row>
    <row r="508" spans="1:15" x14ac:dyDescent="0.25">
      <c r="A508">
        <v>35.113077250000003</v>
      </c>
      <c r="B508">
        <v>54.209412499999999</v>
      </c>
      <c r="C508">
        <v>-123.67241300000001</v>
      </c>
      <c r="D508">
        <v>-121.02400975</v>
      </c>
      <c r="E508">
        <v>-62.887146749999999</v>
      </c>
      <c r="F508">
        <v>0.43856650000000003</v>
      </c>
      <c r="G508">
        <v>95.283344499999998</v>
      </c>
      <c r="H508">
        <v>44</v>
      </c>
      <c r="I508">
        <v>-44</v>
      </c>
      <c r="J508">
        <v>1.18</v>
      </c>
      <c r="K508">
        <v>12.678872</v>
      </c>
      <c r="L508">
        <v>2.6706693189509298</v>
      </c>
      <c r="M508">
        <v>2.9473220741319852</v>
      </c>
      <c r="N508">
        <v>-2.660495941932167</v>
      </c>
      <c r="O508">
        <v>-2.0652204428619361</v>
      </c>
    </row>
    <row r="509" spans="1:15" x14ac:dyDescent="0.25">
      <c r="A509">
        <v>35.925473250000003</v>
      </c>
      <c r="B509">
        <v>61.809309249999998</v>
      </c>
      <c r="C509">
        <v>-118.84638575</v>
      </c>
      <c r="D509">
        <v>-114.38058049999999</v>
      </c>
      <c r="E509">
        <v>-53.922382499999998</v>
      </c>
      <c r="F509">
        <v>0.38984000000000002</v>
      </c>
      <c r="G509">
        <v>95.569030999999995</v>
      </c>
      <c r="H509">
        <v>44</v>
      </c>
      <c r="I509">
        <v>-40</v>
      </c>
      <c r="J509">
        <v>1.18</v>
      </c>
      <c r="K509">
        <v>12.701207</v>
      </c>
      <c r="L509">
        <v>2.468823495673965</v>
      </c>
      <c r="M509">
        <v>2.8104656395282759</v>
      </c>
      <c r="N509">
        <v>-2.3846010148050718</v>
      </c>
      <c r="O509">
        <v>-1.8663601837036661</v>
      </c>
    </row>
    <row r="510" spans="1:15" x14ac:dyDescent="0.25">
      <c r="A510">
        <v>36.64999675</v>
      </c>
      <c r="B510">
        <v>68.63960075</v>
      </c>
      <c r="C510">
        <v>-111.49460025</v>
      </c>
      <c r="D510">
        <v>-107.47491825</v>
      </c>
      <c r="E510">
        <v>-44.24400825</v>
      </c>
      <c r="F510">
        <v>0.43856650000000003</v>
      </c>
      <c r="G510">
        <v>95.729118</v>
      </c>
      <c r="H510">
        <v>44</v>
      </c>
      <c r="I510">
        <v>-36</v>
      </c>
      <c r="J510">
        <v>1.18</v>
      </c>
      <c r="K510">
        <v>12.708634</v>
      </c>
      <c r="L510">
        <v>2.270764979344722</v>
      </c>
      <c r="M510">
        <v>2.699512544794223</v>
      </c>
      <c r="N510">
        <v>-2.145545765729576</v>
      </c>
      <c r="O510">
        <v>-1.6849052588801241</v>
      </c>
    </row>
    <row r="511" spans="1:15" x14ac:dyDescent="0.25">
      <c r="A511">
        <v>36.015750250000004</v>
      </c>
      <c r="B511">
        <v>74.26737</v>
      </c>
      <c r="C511">
        <v>-104.27812975000001</v>
      </c>
      <c r="D511">
        <v>-101.83674425</v>
      </c>
      <c r="E511">
        <v>-37.197077749999998</v>
      </c>
      <c r="F511">
        <v>0.53601949999999998</v>
      </c>
      <c r="G511">
        <v>96.329418000000004</v>
      </c>
      <c r="H511">
        <v>44</v>
      </c>
      <c r="I511">
        <v>-32</v>
      </c>
      <c r="J511">
        <v>1.18</v>
      </c>
      <c r="K511">
        <v>12.742120249999999</v>
      </c>
      <c r="L511">
        <v>2.1301932024714452</v>
      </c>
      <c r="M511">
        <v>2.6739529707863499</v>
      </c>
      <c r="N511">
        <v>-2.0274654081821089</v>
      </c>
      <c r="O511">
        <v>-1.5729507095516091</v>
      </c>
    </row>
    <row r="512" spans="1:15" x14ac:dyDescent="0.25">
      <c r="A512">
        <v>34.072830000000003</v>
      </c>
      <c r="B512">
        <v>79.702741500000002</v>
      </c>
      <c r="C512">
        <v>-93.363203249999998</v>
      </c>
      <c r="D512">
        <v>-94.756256250000007</v>
      </c>
      <c r="E512">
        <v>-29.12432875</v>
      </c>
      <c r="F512">
        <v>0.43856650000000003</v>
      </c>
      <c r="G512">
        <v>96.289398000000006</v>
      </c>
      <c r="H512">
        <v>44</v>
      </c>
      <c r="I512">
        <v>-28</v>
      </c>
      <c r="J512">
        <v>1.18</v>
      </c>
      <c r="K512">
        <v>12.745938499999999</v>
      </c>
      <c r="L512">
        <v>1.962487416365434</v>
      </c>
      <c r="M512">
        <v>2.6866625079612421</v>
      </c>
      <c r="N512">
        <v>-1.931367399844073</v>
      </c>
      <c r="O512">
        <v>-1.455246530817182</v>
      </c>
    </row>
    <row r="513" spans="1:15" x14ac:dyDescent="0.25">
      <c r="A513">
        <v>30.6038465</v>
      </c>
      <c r="B513">
        <v>83.935600499999993</v>
      </c>
      <c r="C513">
        <v>-82.718898999999993</v>
      </c>
      <c r="D513">
        <v>-89.817388749999992</v>
      </c>
      <c r="E513">
        <v>-23.861434249999999</v>
      </c>
      <c r="F513">
        <v>0.43856650000000003</v>
      </c>
      <c r="G513">
        <v>96.689605999999998</v>
      </c>
      <c r="H513">
        <v>44</v>
      </c>
      <c r="I513">
        <v>-24</v>
      </c>
      <c r="J513">
        <v>1.18</v>
      </c>
      <c r="K513">
        <v>12.77252225</v>
      </c>
      <c r="L513">
        <v>1.815888003852999</v>
      </c>
      <c r="M513">
        <v>2.7842663114280781</v>
      </c>
      <c r="N513">
        <v>-1.931781065734441</v>
      </c>
      <c r="O513">
        <v>-1.389405967146266</v>
      </c>
    </row>
    <row r="514" spans="1:15" x14ac:dyDescent="0.25">
      <c r="A514">
        <v>27.619321750000001</v>
      </c>
      <c r="B514">
        <v>86.821634250000002</v>
      </c>
      <c r="C514">
        <v>-69.819439000000003</v>
      </c>
      <c r="D514">
        <v>-83.698446250000003</v>
      </c>
      <c r="E514">
        <v>-16.14549375</v>
      </c>
      <c r="F514">
        <v>0.38984000000000002</v>
      </c>
      <c r="G514">
        <v>95.328911000000005</v>
      </c>
      <c r="H514">
        <v>44</v>
      </c>
      <c r="I514">
        <v>-20</v>
      </c>
      <c r="J514">
        <v>1.18</v>
      </c>
      <c r="K514">
        <v>12.685169999999999</v>
      </c>
      <c r="L514">
        <v>1.6076104938325679</v>
      </c>
      <c r="M514">
        <v>2.8133358667423378</v>
      </c>
      <c r="N514">
        <v>-1.8392246995141319</v>
      </c>
      <c r="O514">
        <v>-1.272843456006171</v>
      </c>
    </row>
    <row r="515" spans="1:15" x14ac:dyDescent="0.25">
      <c r="A515">
        <v>21.168558749999999</v>
      </c>
      <c r="B515">
        <v>85.474815249999992</v>
      </c>
      <c r="C515">
        <v>-55.566893750000013</v>
      </c>
      <c r="D515">
        <v>-77.57949825</v>
      </c>
      <c r="E515">
        <v>-11.462407499999999</v>
      </c>
      <c r="F515">
        <v>0.38984000000000002</v>
      </c>
      <c r="G515">
        <v>90.806590999999997</v>
      </c>
      <c r="H515">
        <v>44</v>
      </c>
      <c r="I515">
        <v>-16</v>
      </c>
      <c r="J515">
        <v>1.18</v>
      </c>
      <c r="K515">
        <v>12.3793635</v>
      </c>
      <c r="L515">
        <v>1.3923729512776939</v>
      </c>
      <c r="M515">
        <v>2.9587995069371589</v>
      </c>
      <c r="N515">
        <v>-1.855817432386774</v>
      </c>
      <c r="O515">
        <v>-1.2151165760382141</v>
      </c>
    </row>
    <row r="516" spans="1:15" x14ac:dyDescent="0.25">
      <c r="A516">
        <v>14.44241875</v>
      </c>
      <c r="B516">
        <v>84.801412499999998</v>
      </c>
      <c r="C516">
        <v>-44.110731999999999</v>
      </c>
      <c r="D516">
        <v>-74.651143999999988</v>
      </c>
      <c r="E516">
        <v>-9.0093634999999992</v>
      </c>
      <c r="F516">
        <v>0.38984000000000002</v>
      </c>
      <c r="G516">
        <v>88.125217499999991</v>
      </c>
      <c r="H516">
        <v>44</v>
      </c>
      <c r="I516">
        <v>-12</v>
      </c>
      <c r="J516">
        <v>1.18</v>
      </c>
      <c r="K516">
        <v>12.194425000000001</v>
      </c>
      <c r="L516">
        <v>1.162551786308947</v>
      </c>
      <c r="M516">
        <v>3.1657009788306878</v>
      </c>
      <c r="N516">
        <v>-1.9285697073295469</v>
      </c>
      <c r="O516">
        <v>-1.186729189742098</v>
      </c>
    </row>
    <row r="517" spans="1:15" x14ac:dyDescent="0.25">
      <c r="A517">
        <v>7.0406814999999998</v>
      </c>
      <c r="B517">
        <v>82.68498249999999</v>
      </c>
      <c r="C517">
        <v>-32.2937455</v>
      </c>
      <c r="D517">
        <v>-70.89236249999999</v>
      </c>
      <c r="E517">
        <v>-7.0023272499999996</v>
      </c>
      <c r="F517">
        <v>0.194933</v>
      </c>
      <c r="G517">
        <v>84.923570749999996</v>
      </c>
      <c r="H517">
        <v>44</v>
      </c>
      <c r="I517">
        <v>-8</v>
      </c>
      <c r="J517">
        <v>1.18</v>
      </c>
      <c r="K517">
        <v>11.98364325</v>
      </c>
      <c r="L517">
        <v>0.88217008090484372</v>
      </c>
      <c r="M517">
        <v>3.444258158759343</v>
      </c>
      <c r="N517">
        <v>-2.0616729620220768</v>
      </c>
      <c r="O517">
        <v>-1.1614638952090841</v>
      </c>
    </row>
    <row r="518" spans="1:15" x14ac:dyDescent="0.25">
      <c r="A518">
        <v>-4.497824999999999E-2</v>
      </c>
      <c r="B518">
        <v>80.520456499999995</v>
      </c>
      <c r="C518">
        <v>-22.50639675</v>
      </c>
      <c r="D518">
        <v>-68.095132750000005</v>
      </c>
      <c r="E518">
        <v>-6.06647275</v>
      </c>
      <c r="F518">
        <v>0.194933</v>
      </c>
      <c r="G518">
        <v>82.522339000000002</v>
      </c>
      <c r="H518">
        <v>44</v>
      </c>
      <c r="I518">
        <v>-4</v>
      </c>
      <c r="J518">
        <v>1.18</v>
      </c>
      <c r="K518">
        <v>11.812618000000001</v>
      </c>
      <c r="L518">
        <v>0.57244675164809078</v>
      </c>
      <c r="M518">
        <v>3.7878931303686949</v>
      </c>
      <c r="N518">
        <v>-2.2579523641046739</v>
      </c>
      <c r="O518">
        <v>-1.159567530939581</v>
      </c>
    </row>
    <row r="519" spans="1:15" x14ac:dyDescent="0.25">
      <c r="A519">
        <v>-8.2001562499999991</v>
      </c>
      <c r="B519">
        <v>83.262186</v>
      </c>
      <c r="C519">
        <v>-13.0347665</v>
      </c>
      <c r="D519">
        <v>-68.881859000000006</v>
      </c>
      <c r="E519">
        <v>-5.1740164999999996</v>
      </c>
      <c r="F519">
        <v>0.194933</v>
      </c>
      <c r="G519">
        <v>84.483349000000004</v>
      </c>
      <c r="H519">
        <v>44</v>
      </c>
      <c r="I519">
        <v>0</v>
      </c>
      <c r="J519">
        <v>1.18</v>
      </c>
      <c r="K519">
        <v>11.952476750000001</v>
      </c>
      <c r="L519">
        <v>0.13506811252472239</v>
      </c>
      <c r="M519">
        <v>4.2517173738190372</v>
      </c>
      <c r="N519">
        <v>-2.505501928228723</v>
      </c>
      <c r="O519">
        <v>-1.1500307088076971</v>
      </c>
    </row>
    <row r="520" spans="1:15" x14ac:dyDescent="0.25">
      <c r="A520">
        <v>-17.211317000000001</v>
      </c>
      <c r="B520">
        <v>83.695094999999995</v>
      </c>
      <c r="C520">
        <v>-5.4574629999999997</v>
      </c>
      <c r="D520">
        <v>-69.887107499999999</v>
      </c>
      <c r="E520">
        <v>-5.7985325000000003</v>
      </c>
      <c r="F520">
        <v>0.14620649999999999</v>
      </c>
      <c r="G520">
        <v>85.363795999999994</v>
      </c>
      <c r="H520">
        <v>44</v>
      </c>
      <c r="I520">
        <v>4</v>
      </c>
      <c r="J520">
        <v>1.1825000000000001</v>
      </c>
      <c r="K520">
        <v>12.00551725</v>
      </c>
      <c r="L520">
        <v>-0.31129192059551969</v>
      </c>
      <c r="M520">
        <v>4.0688758414715203</v>
      </c>
      <c r="N520">
        <v>-2.4153102580263321</v>
      </c>
      <c r="O520">
        <v>-1.1576786845950771</v>
      </c>
    </row>
    <row r="521" spans="1:15" x14ac:dyDescent="0.25">
      <c r="A521">
        <v>-27.709319749999999</v>
      </c>
      <c r="B521">
        <v>84.128000499999999</v>
      </c>
      <c r="C521">
        <v>1.670976</v>
      </c>
      <c r="D521">
        <v>-71.023483249999998</v>
      </c>
      <c r="E521">
        <v>-7.3605549999999997</v>
      </c>
      <c r="F521">
        <v>0.34111324999999998</v>
      </c>
      <c r="G521">
        <v>86.244251000000006</v>
      </c>
      <c r="H521">
        <v>44</v>
      </c>
      <c r="I521">
        <v>8</v>
      </c>
      <c r="J521">
        <v>1.18</v>
      </c>
      <c r="K521">
        <v>12.066419</v>
      </c>
      <c r="L521">
        <v>-0.69944417465140107</v>
      </c>
      <c r="M521">
        <v>3.6935655453387368</v>
      </c>
      <c r="N521">
        <v>-2.2283784464068832</v>
      </c>
      <c r="O521">
        <v>-1.183348302140744</v>
      </c>
    </row>
    <row r="522" spans="1:15" x14ac:dyDescent="0.25">
      <c r="A522">
        <v>-39.063381749999998</v>
      </c>
      <c r="B522">
        <v>83.641191499999991</v>
      </c>
      <c r="C522">
        <v>7.5872140000000003</v>
      </c>
      <c r="D522">
        <v>-72.553222750000003</v>
      </c>
      <c r="E522">
        <v>-10.437987250000001</v>
      </c>
      <c r="F522">
        <v>0.24365975000000001</v>
      </c>
      <c r="G522">
        <v>87.324802500000004</v>
      </c>
      <c r="H522">
        <v>44</v>
      </c>
      <c r="I522">
        <v>12</v>
      </c>
      <c r="J522">
        <v>1.18</v>
      </c>
      <c r="K522">
        <v>12.148873500000001</v>
      </c>
      <c r="L522">
        <v>-1.028187864731855</v>
      </c>
      <c r="M522">
        <v>3.4426904058533569</v>
      </c>
      <c r="N522">
        <v>-2.1547884833343738</v>
      </c>
      <c r="O522">
        <v>-1.235432635160101</v>
      </c>
    </row>
    <row r="523" spans="1:15" x14ac:dyDescent="0.25">
      <c r="A523">
        <v>-50.011942750000003</v>
      </c>
      <c r="B523">
        <v>82.155876250000006</v>
      </c>
      <c r="C523">
        <v>13.2324795</v>
      </c>
      <c r="D523">
        <v>-73.077703499999998</v>
      </c>
      <c r="E523">
        <v>-13.427500999999999</v>
      </c>
      <c r="F523">
        <v>0.34111324999999998</v>
      </c>
      <c r="G523">
        <v>87.604945999999998</v>
      </c>
      <c r="H523">
        <v>44</v>
      </c>
      <c r="I523">
        <v>16</v>
      </c>
      <c r="J523">
        <v>1.18</v>
      </c>
      <c r="K523">
        <v>12.161610250000001</v>
      </c>
      <c r="L523">
        <v>-1.3143314483751649</v>
      </c>
      <c r="M523">
        <v>3.2265121222148831</v>
      </c>
      <c r="N523">
        <v>-2.0999945108224032</v>
      </c>
      <c r="O523">
        <v>-1.286267191543343</v>
      </c>
    </row>
    <row r="524" spans="1:15" x14ac:dyDescent="0.25">
      <c r="A524">
        <v>-61.185781499999997</v>
      </c>
      <c r="B524">
        <v>80.905258250000003</v>
      </c>
      <c r="C524">
        <v>17.522880749999999</v>
      </c>
      <c r="D524">
        <v>-76.399413999999993</v>
      </c>
      <c r="E524">
        <v>-18.0210495</v>
      </c>
      <c r="F524">
        <v>0.34111324999999998</v>
      </c>
      <c r="G524">
        <v>88.245280999999991</v>
      </c>
      <c r="H524">
        <v>44</v>
      </c>
      <c r="I524">
        <v>20</v>
      </c>
      <c r="J524">
        <v>1.18</v>
      </c>
      <c r="K524">
        <v>12.206149249999999</v>
      </c>
      <c r="L524">
        <v>-1.55025091734428</v>
      </c>
      <c r="M524">
        <v>3.0983300898531598</v>
      </c>
      <c r="N524">
        <v>-2.0930879571952801</v>
      </c>
      <c r="O524">
        <v>-1.36168601340574</v>
      </c>
    </row>
    <row r="525" spans="1:15" x14ac:dyDescent="0.25">
      <c r="A525">
        <v>-73.98162825</v>
      </c>
      <c r="B525">
        <v>78.4947205</v>
      </c>
      <c r="C525">
        <v>21.09068925</v>
      </c>
      <c r="D525">
        <v>-82.081294749999998</v>
      </c>
      <c r="E525">
        <v>-24.619646249999999</v>
      </c>
      <c r="F525">
        <v>0.29238649999999999</v>
      </c>
      <c r="G525">
        <v>89.205769000000004</v>
      </c>
      <c r="H525">
        <v>44</v>
      </c>
      <c r="I525">
        <v>24</v>
      </c>
      <c r="J525">
        <v>1.18</v>
      </c>
      <c r="K525">
        <v>12.27601825</v>
      </c>
      <c r="L525">
        <v>-1.7800444669609099</v>
      </c>
      <c r="M525">
        <v>3.0065947800408428</v>
      </c>
      <c r="N525">
        <v>-2.131359296665718</v>
      </c>
      <c r="O525">
        <v>-1.4665515350053711</v>
      </c>
    </row>
    <row r="526" spans="1:15" x14ac:dyDescent="0.25">
      <c r="A526">
        <v>-83.758741499999999</v>
      </c>
      <c r="B526">
        <v>74.401246999999998</v>
      </c>
      <c r="C526">
        <v>23.348796249999999</v>
      </c>
      <c r="D526">
        <v>-86.233436499999996</v>
      </c>
      <c r="E526">
        <v>-30.956947750000001</v>
      </c>
      <c r="F526">
        <v>0.38984000000000002</v>
      </c>
      <c r="G526">
        <v>89.165749000000005</v>
      </c>
      <c r="H526">
        <v>44</v>
      </c>
      <c r="I526">
        <v>28</v>
      </c>
      <c r="J526">
        <v>1.18</v>
      </c>
      <c r="K526">
        <v>12.266525</v>
      </c>
      <c r="L526">
        <v>-1.9820466419768901</v>
      </c>
      <c r="M526">
        <v>2.9725857977595149</v>
      </c>
      <c r="N526">
        <v>-2.2229237888598372</v>
      </c>
      <c r="O526">
        <v>-1.5800911675185909</v>
      </c>
    </row>
    <row r="527" spans="1:15" x14ac:dyDescent="0.25">
      <c r="A527">
        <v>-95.338079250000007</v>
      </c>
      <c r="B527">
        <v>70.799154250000001</v>
      </c>
      <c r="C527">
        <v>24.703658999999998</v>
      </c>
      <c r="D527">
        <v>-93.007985999999988</v>
      </c>
      <c r="E527">
        <v>-39.791687750000001</v>
      </c>
      <c r="F527">
        <v>0.38984000000000002</v>
      </c>
      <c r="G527">
        <v>89.806076000000004</v>
      </c>
      <c r="H527">
        <v>44</v>
      </c>
      <c r="I527">
        <v>32</v>
      </c>
      <c r="J527">
        <v>1.18</v>
      </c>
      <c r="K527">
        <v>12.310684</v>
      </c>
      <c r="L527">
        <v>-2.2073910051227839</v>
      </c>
      <c r="M527">
        <v>3.0122103948490579</v>
      </c>
      <c r="N527">
        <v>-2.3831384545401399</v>
      </c>
      <c r="O527">
        <v>-1.7388831107496521</v>
      </c>
    </row>
    <row r="528" spans="1:15" x14ac:dyDescent="0.25">
      <c r="A528">
        <v>-104.88990575</v>
      </c>
      <c r="B528">
        <v>65.604639250000005</v>
      </c>
      <c r="C528">
        <v>25.78755</v>
      </c>
      <c r="D528">
        <v>-99.345462749999996</v>
      </c>
      <c r="E528">
        <v>-48.308940249999999</v>
      </c>
      <c r="F528">
        <v>0.29238649999999999</v>
      </c>
      <c r="G528">
        <v>90.366367499999996</v>
      </c>
      <c r="H528">
        <v>44</v>
      </c>
      <c r="I528">
        <v>36</v>
      </c>
      <c r="J528">
        <v>1.18</v>
      </c>
      <c r="K528">
        <v>12.355880000000001</v>
      </c>
      <c r="L528">
        <v>-2.4286575012214429</v>
      </c>
      <c r="M528">
        <v>3.06564056188778</v>
      </c>
      <c r="N528">
        <v>-2.5774534607018529</v>
      </c>
      <c r="O528">
        <v>-1.9032901586136231</v>
      </c>
    </row>
    <row r="529" spans="1:15" x14ac:dyDescent="0.25">
      <c r="A529">
        <v>-110.16143599999999</v>
      </c>
      <c r="B529">
        <v>59.868554750000001</v>
      </c>
      <c r="C529">
        <v>25.38109175</v>
      </c>
      <c r="D529">
        <v>-103.58502</v>
      </c>
      <c r="E529">
        <v>-55.977682250000001</v>
      </c>
      <c r="F529">
        <v>0.34111324999999998</v>
      </c>
      <c r="G529">
        <v>90.566471000000007</v>
      </c>
      <c r="H529">
        <v>44</v>
      </c>
      <c r="I529">
        <v>40</v>
      </c>
      <c r="J529">
        <v>1.1825000000000001</v>
      </c>
      <c r="K529">
        <v>12.35322425</v>
      </c>
      <c r="L529">
        <v>-2.6632631007797332</v>
      </c>
      <c r="M529">
        <v>3.2118391979719179</v>
      </c>
      <c r="N529">
        <v>-2.8796618198663451</v>
      </c>
      <c r="O529">
        <v>-2.1066865118079492</v>
      </c>
    </row>
    <row r="530" spans="1:15" x14ac:dyDescent="0.25">
      <c r="A530">
        <v>-112.9999505</v>
      </c>
      <c r="B530">
        <v>54.349898250000003</v>
      </c>
      <c r="C530">
        <v>24.071389249999999</v>
      </c>
      <c r="D530">
        <v>-107.0815545</v>
      </c>
      <c r="E530">
        <v>-64.545635250000004</v>
      </c>
      <c r="F530">
        <v>0.34111324999999998</v>
      </c>
      <c r="G530">
        <v>91.246819000000002</v>
      </c>
      <c r="H530">
        <v>44</v>
      </c>
      <c r="I530">
        <v>44</v>
      </c>
      <c r="J530">
        <v>1.18</v>
      </c>
      <c r="K530">
        <v>12.412793000000001</v>
      </c>
      <c r="L530">
        <v>-3.014636746287481</v>
      </c>
      <c r="M530">
        <v>3.551589012447443</v>
      </c>
      <c r="N530">
        <v>-3.429007926465931</v>
      </c>
      <c r="O530">
        <v>-2.4275843190375852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C5BB-E57F-4158-BCB1-7E9806E21ED8}">
  <dimension ref="A1:O530"/>
  <sheetViews>
    <sheetView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16.520688750000001</v>
      </c>
      <c r="B2">
        <v>-95.453689749999995</v>
      </c>
      <c r="C2">
        <v>-103.673828</v>
      </c>
      <c r="D2">
        <v>45.395384999999997</v>
      </c>
      <c r="E2">
        <v>-50.131314250000003</v>
      </c>
      <c r="F2">
        <v>0.77966100000000005</v>
      </c>
      <c r="G2">
        <v>77.195124000000007</v>
      </c>
      <c r="H2">
        <v>-44</v>
      </c>
      <c r="I2">
        <v>-44</v>
      </c>
      <c r="J2">
        <v>1.18</v>
      </c>
      <c r="K2">
        <v>11.380584499999999</v>
      </c>
      <c r="L2">
        <v>2.4316362268212259</v>
      </c>
      <c r="M2">
        <v>-2.849563743188174</v>
      </c>
      <c r="N2">
        <v>-2.576072354550254</v>
      </c>
      <c r="O2">
        <v>-2.0300558993410078</v>
      </c>
    </row>
    <row r="3" spans="1:15" x14ac:dyDescent="0.25">
      <c r="A3">
        <v>17.739425749999999</v>
      </c>
      <c r="B3">
        <v>-91.916954000000004</v>
      </c>
      <c r="C3">
        <v>-99.252577000000002</v>
      </c>
      <c r="D3">
        <v>51.6580765</v>
      </c>
      <c r="E3">
        <v>-43.6195965</v>
      </c>
      <c r="F3">
        <v>0.92584049999999996</v>
      </c>
      <c r="G3">
        <v>77.861877499999991</v>
      </c>
      <c r="H3">
        <v>-44</v>
      </c>
      <c r="I3">
        <v>-40</v>
      </c>
      <c r="J3">
        <v>1.1850000000000001</v>
      </c>
      <c r="K3">
        <v>11.39521875</v>
      </c>
      <c r="L3">
        <v>2.2516312569811769</v>
      </c>
      <c r="M3">
        <v>-2.7633528022182192</v>
      </c>
      <c r="N3">
        <v>-2.3383378932642498</v>
      </c>
      <c r="O3">
        <v>-1.857512886450952</v>
      </c>
    </row>
    <row r="4" spans="1:15" x14ac:dyDescent="0.25">
      <c r="A4">
        <v>17.51373375</v>
      </c>
      <c r="B4">
        <v>-87.371646749999996</v>
      </c>
      <c r="C4">
        <v>-92.756044250000002</v>
      </c>
      <c r="D4">
        <v>56.963318999999998</v>
      </c>
      <c r="E4">
        <v>-38.356698999999999</v>
      </c>
      <c r="F4">
        <v>0.9258345</v>
      </c>
      <c r="G4">
        <v>77.941901999999999</v>
      </c>
      <c r="H4">
        <v>-44</v>
      </c>
      <c r="I4">
        <v>-36</v>
      </c>
      <c r="J4">
        <v>1.1875</v>
      </c>
      <c r="K4">
        <v>11.3891525</v>
      </c>
      <c r="L4">
        <v>2.132612937094549</v>
      </c>
      <c r="M4">
        <v>-2.7914214249094158</v>
      </c>
      <c r="N4">
        <v>-2.249224749112833</v>
      </c>
      <c r="O4">
        <v>-1.75973476799607</v>
      </c>
    </row>
    <row r="5" spans="1:15" x14ac:dyDescent="0.25">
      <c r="A5">
        <v>16.926934500000002</v>
      </c>
      <c r="B5">
        <v>-84.055137999999999</v>
      </c>
      <c r="C5">
        <v>-85.898591999999994</v>
      </c>
      <c r="D5">
        <v>61.695659999999997</v>
      </c>
      <c r="E5">
        <v>-33.495211750000003</v>
      </c>
      <c r="F5">
        <v>1.0232892499999999</v>
      </c>
      <c r="G5">
        <v>78.506618500000002</v>
      </c>
      <c r="H5">
        <v>-44</v>
      </c>
      <c r="I5">
        <v>-32</v>
      </c>
      <c r="J5">
        <v>1.18</v>
      </c>
      <c r="K5">
        <v>11.459823500000001</v>
      </c>
      <c r="L5">
        <v>1.9972997607319991</v>
      </c>
      <c r="M5">
        <v>-2.831145886711631</v>
      </c>
      <c r="N5">
        <v>-2.175578626994632</v>
      </c>
      <c r="O5">
        <v>-1.670494906617819</v>
      </c>
    </row>
    <row r="6" spans="1:15" x14ac:dyDescent="0.25">
      <c r="A6">
        <v>15.16653475</v>
      </c>
      <c r="B6">
        <v>-80.787162999999993</v>
      </c>
      <c r="C6">
        <v>-77.32677824999999</v>
      </c>
      <c r="D6">
        <v>66.559454000000002</v>
      </c>
      <c r="E6">
        <v>-29.48113875</v>
      </c>
      <c r="F6">
        <v>1.0232892499999999</v>
      </c>
      <c r="G6">
        <v>79.222260000000006</v>
      </c>
      <c r="H6">
        <v>-44</v>
      </c>
      <c r="I6">
        <v>-28</v>
      </c>
      <c r="J6">
        <v>1.18</v>
      </c>
      <c r="K6">
        <v>11.512627500000001</v>
      </c>
      <c r="L6">
        <v>1.8657861211030831</v>
      </c>
      <c r="M6">
        <v>-2.9725260509372751</v>
      </c>
      <c r="N6">
        <v>-2.1930711984912912</v>
      </c>
      <c r="O6">
        <v>-1.6154965967224031</v>
      </c>
    </row>
    <row r="7" spans="1:15" x14ac:dyDescent="0.25">
      <c r="A7">
        <v>12.729058</v>
      </c>
      <c r="B7">
        <v>-77.759384249999997</v>
      </c>
      <c r="C7">
        <v>-67.762438000000003</v>
      </c>
      <c r="D7">
        <v>70.196338999999995</v>
      </c>
      <c r="E7">
        <v>-25.4670655</v>
      </c>
      <c r="F7">
        <v>0.92584049999999996</v>
      </c>
      <c r="G7">
        <v>79.266880499999999</v>
      </c>
      <c r="H7">
        <v>-44</v>
      </c>
      <c r="I7">
        <v>-24</v>
      </c>
      <c r="J7">
        <v>1.18</v>
      </c>
      <c r="K7">
        <v>11.523076</v>
      </c>
      <c r="L7">
        <v>1.7019628071202011</v>
      </c>
      <c r="M7">
        <v>-3.1285086243632398</v>
      </c>
      <c r="N7">
        <v>-2.2146109470532891</v>
      </c>
      <c r="O7">
        <v>-1.5581152298008409</v>
      </c>
    </row>
    <row r="8" spans="1:15" x14ac:dyDescent="0.25">
      <c r="A8">
        <v>8.7568734999999993</v>
      </c>
      <c r="B8">
        <v>-76.325635750000004</v>
      </c>
      <c r="C8">
        <v>-58.649248999999998</v>
      </c>
      <c r="D8">
        <v>73.219778500000004</v>
      </c>
      <c r="E8">
        <v>-22.880217999999999</v>
      </c>
      <c r="F8">
        <v>0.87711399999999995</v>
      </c>
      <c r="G8">
        <v>79.862433999999993</v>
      </c>
      <c r="H8">
        <v>-44</v>
      </c>
      <c r="I8">
        <v>-20</v>
      </c>
      <c r="J8">
        <v>1.18</v>
      </c>
      <c r="K8">
        <v>11.5703665</v>
      </c>
      <c r="L8">
        <v>1.511093601184162</v>
      </c>
      <c r="M8">
        <v>-3.352731779899953</v>
      </c>
      <c r="N8">
        <v>-2.3034710828175631</v>
      </c>
      <c r="O8">
        <v>-1.5326523764149309</v>
      </c>
    </row>
    <row r="9" spans="1:15" x14ac:dyDescent="0.25">
      <c r="A9">
        <v>4.6492740000000001</v>
      </c>
      <c r="B9">
        <v>-74.608959499999997</v>
      </c>
      <c r="C9">
        <v>-48.227729500000002</v>
      </c>
      <c r="D9">
        <v>75.805042</v>
      </c>
      <c r="E9">
        <v>-19.936563</v>
      </c>
      <c r="F9">
        <v>1.02329125</v>
      </c>
      <c r="G9">
        <v>80.342574999999997</v>
      </c>
      <c r="H9">
        <v>-44</v>
      </c>
      <c r="I9">
        <v>-16</v>
      </c>
      <c r="J9">
        <v>1.18</v>
      </c>
      <c r="K9">
        <v>11.59480175</v>
      </c>
      <c r="L9">
        <v>1.2746608987213639</v>
      </c>
      <c r="M9">
        <v>-3.626274513214081</v>
      </c>
      <c r="N9">
        <v>-2.4176164237636879</v>
      </c>
      <c r="O9">
        <v>-1.5053648769598369</v>
      </c>
    </row>
    <row r="10" spans="1:15" x14ac:dyDescent="0.25">
      <c r="A10">
        <v>-0.90088075000000001</v>
      </c>
      <c r="B10">
        <v>-73.692209249999991</v>
      </c>
      <c r="C10">
        <v>-37.490403499999999</v>
      </c>
      <c r="D10">
        <v>77.645393249999998</v>
      </c>
      <c r="E10">
        <v>-17.528119749999998</v>
      </c>
      <c r="F10">
        <v>1.0232935000000001</v>
      </c>
      <c r="G10">
        <v>80.627332750000008</v>
      </c>
      <c r="H10">
        <v>-44</v>
      </c>
      <c r="I10">
        <v>-12</v>
      </c>
      <c r="J10">
        <v>1.18</v>
      </c>
      <c r="K10">
        <v>11.615595750000001</v>
      </c>
      <c r="L10">
        <v>0.96129916999496778</v>
      </c>
      <c r="M10">
        <v>-3.9760531541994859</v>
      </c>
      <c r="N10">
        <v>-2.578821765701043</v>
      </c>
      <c r="O10">
        <v>-1.487423272486496</v>
      </c>
    </row>
    <row r="11" spans="1:15" x14ac:dyDescent="0.25">
      <c r="A11">
        <v>-7.6574844999999998</v>
      </c>
      <c r="B11">
        <v>-73.926950500000004</v>
      </c>
      <c r="C11">
        <v>-28.377212499999999</v>
      </c>
      <c r="D11">
        <v>79.179021500000005</v>
      </c>
      <c r="E11">
        <v>-16.368498500000001</v>
      </c>
      <c r="F11">
        <v>1.02329125</v>
      </c>
      <c r="G11">
        <v>81.262828749999997</v>
      </c>
      <c r="H11">
        <v>-44</v>
      </c>
      <c r="I11">
        <v>-8</v>
      </c>
      <c r="J11">
        <v>1.18</v>
      </c>
      <c r="K11">
        <v>11.661868500000001</v>
      </c>
      <c r="L11">
        <v>0.59566627633354763</v>
      </c>
      <c r="M11">
        <v>-4.4019528679882622</v>
      </c>
      <c r="N11">
        <v>-2.8070845431324289</v>
      </c>
      <c r="O11">
        <v>-1.500148936627719</v>
      </c>
    </row>
    <row r="12" spans="1:15" x14ac:dyDescent="0.25">
      <c r="A12">
        <v>-15.76540775</v>
      </c>
      <c r="B12">
        <v>-73.873800500000002</v>
      </c>
      <c r="C12">
        <v>-18.316612500000002</v>
      </c>
      <c r="D12">
        <v>79.661014749999993</v>
      </c>
      <c r="E12">
        <v>-15.208878</v>
      </c>
      <c r="F12">
        <v>1.02329125</v>
      </c>
      <c r="G12">
        <v>81.462883000000005</v>
      </c>
      <c r="H12">
        <v>-44</v>
      </c>
      <c r="I12">
        <v>-4</v>
      </c>
      <c r="J12">
        <v>1.18</v>
      </c>
      <c r="K12">
        <v>11.6763975</v>
      </c>
      <c r="L12">
        <v>8.2510256285049571E-2</v>
      </c>
      <c r="M12">
        <v>-4.9715741309659798</v>
      </c>
      <c r="N12">
        <v>-3.1304426512799219</v>
      </c>
      <c r="O12">
        <v>-1.5257484136351209</v>
      </c>
    </row>
    <row r="13" spans="1:15" x14ac:dyDescent="0.25">
      <c r="A13">
        <v>-23.422893500000001</v>
      </c>
      <c r="B13">
        <v>-74.219974500000006</v>
      </c>
      <c r="C13">
        <v>-9.6996837500000002</v>
      </c>
      <c r="D13">
        <v>80.230649499999998</v>
      </c>
      <c r="E13">
        <v>-14.04925675</v>
      </c>
      <c r="F13">
        <v>0.97456699999999996</v>
      </c>
      <c r="G13">
        <v>81.903011499999991</v>
      </c>
      <c r="H13">
        <v>-44</v>
      </c>
      <c r="I13">
        <v>0</v>
      </c>
      <c r="J13">
        <v>1.18</v>
      </c>
      <c r="K13">
        <v>11.711824999999999</v>
      </c>
      <c r="L13">
        <v>-0.39469412504978468</v>
      </c>
      <c r="M13">
        <v>-4.4420936530309696</v>
      </c>
      <c r="N13">
        <v>-2.7597285682827399</v>
      </c>
      <c r="O13">
        <v>-1.432201013733273</v>
      </c>
    </row>
    <row r="14" spans="1:15" x14ac:dyDescent="0.25">
      <c r="A14">
        <v>-31.891169000000001</v>
      </c>
      <c r="B14">
        <v>-74.608959499999997</v>
      </c>
      <c r="C14">
        <v>-2.3910847500000001</v>
      </c>
      <c r="D14">
        <v>80.362107999999992</v>
      </c>
      <c r="E14">
        <v>-13.69245025</v>
      </c>
      <c r="F14">
        <v>0.92583850000000001</v>
      </c>
      <c r="G14">
        <v>82.583198999999993</v>
      </c>
      <c r="H14">
        <v>-44</v>
      </c>
      <c r="I14">
        <v>4</v>
      </c>
      <c r="J14">
        <v>1.18</v>
      </c>
      <c r="K14">
        <v>11.76444925</v>
      </c>
      <c r="L14">
        <v>-0.74575685345719411</v>
      </c>
      <c r="M14">
        <v>-3.9176748030458759</v>
      </c>
      <c r="N14">
        <v>-2.433882858803019</v>
      </c>
      <c r="O14">
        <v>-1.369552967400129</v>
      </c>
    </row>
    <row r="15" spans="1:15" x14ac:dyDescent="0.25">
      <c r="A15">
        <v>-42.611646499999999</v>
      </c>
      <c r="B15">
        <v>-76.133712750000001</v>
      </c>
      <c r="C15">
        <v>4.1097305000000004</v>
      </c>
      <c r="D15">
        <v>79.529562249999998</v>
      </c>
      <c r="E15">
        <v>-15.119676999999999</v>
      </c>
      <c r="F15">
        <v>0.97456699999999996</v>
      </c>
      <c r="G15">
        <v>82.583198999999993</v>
      </c>
      <c r="H15">
        <v>-44</v>
      </c>
      <c r="I15">
        <v>8</v>
      </c>
      <c r="J15">
        <v>1.18</v>
      </c>
      <c r="K15">
        <v>11.76094</v>
      </c>
      <c r="L15">
        <v>-1.0557629118648759</v>
      </c>
      <c r="M15">
        <v>-3.5176458791737701</v>
      </c>
      <c r="N15">
        <v>-2.2078786021721322</v>
      </c>
      <c r="O15">
        <v>-1.3636997406637179</v>
      </c>
    </row>
    <row r="16" spans="1:15" x14ac:dyDescent="0.25">
      <c r="A16">
        <v>-52.0258465</v>
      </c>
      <c r="B16">
        <v>-76.219053250000002</v>
      </c>
      <c r="C16">
        <v>11.15502175</v>
      </c>
      <c r="D16">
        <v>78.740840750000004</v>
      </c>
      <c r="E16">
        <v>-15.030474999999999</v>
      </c>
      <c r="F16">
        <v>0.97456699999999996</v>
      </c>
      <c r="G16">
        <v>83.063338999999999</v>
      </c>
      <c r="H16">
        <v>-44</v>
      </c>
      <c r="I16">
        <v>12</v>
      </c>
      <c r="J16">
        <v>1.1850000000000001</v>
      </c>
      <c r="K16">
        <v>11.770654499999999</v>
      </c>
      <c r="L16">
        <v>-1.287014394775611</v>
      </c>
      <c r="M16">
        <v>-3.156608559648193</v>
      </c>
      <c r="N16">
        <v>-1.9982581409072571</v>
      </c>
      <c r="O16">
        <v>-1.3260723671273591</v>
      </c>
    </row>
    <row r="17" spans="1:15" x14ac:dyDescent="0.25">
      <c r="A17">
        <v>-62.160751249999997</v>
      </c>
      <c r="B17">
        <v>-78.526878499999995</v>
      </c>
      <c r="C17">
        <v>15.084126250000001</v>
      </c>
      <c r="D17">
        <v>77.119577249999992</v>
      </c>
      <c r="E17">
        <v>-18.375534500000001</v>
      </c>
      <c r="F17">
        <v>0.97456699999999996</v>
      </c>
      <c r="G17">
        <v>83.703513999999998</v>
      </c>
      <c r="H17">
        <v>-44</v>
      </c>
      <c r="I17">
        <v>16</v>
      </c>
      <c r="J17">
        <v>1.18</v>
      </c>
      <c r="K17">
        <v>11.841392000000001</v>
      </c>
      <c r="L17">
        <v>-1.486433877068279</v>
      </c>
      <c r="M17">
        <v>-2.9950654851643841</v>
      </c>
      <c r="N17">
        <v>-1.964323920937096</v>
      </c>
      <c r="O17">
        <v>-1.3723836500770541</v>
      </c>
    </row>
    <row r="18" spans="1:15" x14ac:dyDescent="0.25">
      <c r="A18">
        <v>-71.710087000000001</v>
      </c>
      <c r="B18">
        <v>-80.648834499999992</v>
      </c>
      <c r="C18">
        <v>20.097121999999999</v>
      </c>
      <c r="D18">
        <v>74.709588999999994</v>
      </c>
      <c r="E18">
        <v>-20.873180250000001</v>
      </c>
      <c r="F18">
        <v>0.97456699999999996</v>
      </c>
      <c r="G18">
        <v>83.623489500000005</v>
      </c>
      <c r="H18">
        <v>-44</v>
      </c>
      <c r="I18">
        <v>20</v>
      </c>
      <c r="J18">
        <v>1.1875</v>
      </c>
      <c r="K18">
        <v>11.798291750000001</v>
      </c>
      <c r="L18">
        <v>-1.660016494382941</v>
      </c>
      <c r="M18">
        <v>-2.8091303381683361</v>
      </c>
      <c r="N18">
        <v>-1.8895021208983089</v>
      </c>
      <c r="O18">
        <v>-1.3950784856056051</v>
      </c>
    </row>
    <row r="19" spans="1:15" x14ac:dyDescent="0.25">
      <c r="A19">
        <v>-79.547746500000002</v>
      </c>
      <c r="B19">
        <v>-83.28168500000001</v>
      </c>
      <c r="C19">
        <v>21.903607749999999</v>
      </c>
      <c r="D19">
        <v>70.021069000000011</v>
      </c>
      <c r="E19">
        <v>-25.556265750000001</v>
      </c>
      <c r="F19">
        <v>0.92584049999999996</v>
      </c>
      <c r="G19">
        <v>82.263109</v>
      </c>
      <c r="H19">
        <v>-44</v>
      </c>
      <c r="I19">
        <v>24</v>
      </c>
      <c r="J19">
        <v>1.1825000000000001</v>
      </c>
      <c r="K19">
        <v>11.729001500000001</v>
      </c>
      <c r="L19">
        <v>-1.8161946967400919</v>
      </c>
      <c r="M19">
        <v>-2.7445270834144231</v>
      </c>
      <c r="N19">
        <v>-1.930244842118872</v>
      </c>
      <c r="O19">
        <v>-1.4740680041461749</v>
      </c>
    </row>
    <row r="20" spans="1:15" x14ac:dyDescent="0.25">
      <c r="A20">
        <v>-84.412502250000003</v>
      </c>
      <c r="B20">
        <v>-83.911236000000002</v>
      </c>
      <c r="C20">
        <v>24.026226999999999</v>
      </c>
      <c r="D20">
        <v>63.404558250000001</v>
      </c>
      <c r="E20">
        <v>-29.391936000000001</v>
      </c>
      <c r="F20">
        <v>0.82838750000000005</v>
      </c>
      <c r="G20">
        <v>78.782131249999992</v>
      </c>
      <c r="H20">
        <v>-44</v>
      </c>
      <c r="I20">
        <v>28</v>
      </c>
      <c r="J20">
        <v>1.18</v>
      </c>
      <c r="K20">
        <v>11.49455775</v>
      </c>
      <c r="L20">
        <v>-1.9798968435892561</v>
      </c>
      <c r="M20">
        <v>-2.6897453935813558</v>
      </c>
      <c r="N20">
        <v>-1.9750876825525769</v>
      </c>
      <c r="O20">
        <v>-1.551774833739137</v>
      </c>
    </row>
    <row r="21" spans="1:15" x14ac:dyDescent="0.25">
      <c r="A21">
        <v>-88.781768749999998</v>
      </c>
      <c r="B21">
        <v>-85.638393500000006</v>
      </c>
      <c r="C21">
        <v>24.20687525</v>
      </c>
      <c r="D21">
        <v>57.0947745</v>
      </c>
      <c r="E21">
        <v>-35.14544025</v>
      </c>
      <c r="F21">
        <v>0.82838750000000005</v>
      </c>
      <c r="G21">
        <v>76.301435499999997</v>
      </c>
      <c r="H21">
        <v>-44</v>
      </c>
      <c r="I21">
        <v>32</v>
      </c>
      <c r="J21">
        <v>1.18</v>
      </c>
      <c r="K21">
        <v>11.31018575</v>
      </c>
      <c r="L21">
        <v>-2.1701950323477011</v>
      </c>
      <c r="M21">
        <v>-2.7415365474379572</v>
      </c>
      <c r="N21">
        <v>-2.1406468593774921</v>
      </c>
      <c r="O21">
        <v>-1.691005887643483</v>
      </c>
    </row>
    <row r="22" spans="1:15" x14ac:dyDescent="0.25">
      <c r="A22">
        <v>-92.565472</v>
      </c>
      <c r="B22">
        <v>-87.659530499999988</v>
      </c>
      <c r="C22">
        <v>23.800416500000001</v>
      </c>
      <c r="D22">
        <v>51.705168999999998</v>
      </c>
      <c r="E22">
        <v>-40.988149</v>
      </c>
      <c r="F22">
        <v>0.87711399999999995</v>
      </c>
      <c r="G22">
        <v>74.3008825</v>
      </c>
      <c r="H22">
        <v>-44</v>
      </c>
      <c r="I22">
        <v>36</v>
      </c>
      <c r="J22">
        <v>1.1825000000000001</v>
      </c>
      <c r="K22">
        <v>11.1438185</v>
      </c>
      <c r="L22">
        <v>-2.3689013054309189</v>
      </c>
      <c r="M22">
        <v>-2.8371021307267221</v>
      </c>
      <c r="N22">
        <v>-2.3470399750092672</v>
      </c>
      <c r="O22">
        <v>-1.8523396990830261</v>
      </c>
    </row>
    <row r="23" spans="1:15" x14ac:dyDescent="0.25">
      <c r="A23">
        <v>-92.610515750000005</v>
      </c>
      <c r="B23">
        <v>-87.131748000000002</v>
      </c>
      <c r="C23">
        <v>22.942337250000001</v>
      </c>
      <c r="D23">
        <v>44.080846999999999</v>
      </c>
      <c r="E23">
        <v>-46.786254</v>
      </c>
      <c r="F23">
        <v>0.77966100000000005</v>
      </c>
      <c r="G23">
        <v>71.300029999999992</v>
      </c>
      <c r="H23">
        <v>-44</v>
      </c>
      <c r="I23">
        <v>40</v>
      </c>
      <c r="J23">
        <v>1.18</v>
      </c>
      <c r="K23">
        <v>10.932795</v>
      </c>
      <c r="L23">
        <v>-2.682231281733809</v>
      </c>
      <c r="M23">
        <v>-3.0457250280990089</v>
      </c>
      <c r="N23">
        <v>-2.7411763305037549</v>
      </c>
      <c r="O23">
        <v>-2.1041993709824198</v>
      </c>
    </row>
    <row r="24" spans="1:15" x14ac:dyDescent="0.25">
      <c r="A24">
        <v>-95.223067999999998</v>
      </c>
      <c r="B24">
        <v>-90.148210500000005</v>
      </c>
      <c r="C24">
        <v>22.400389749999999</v>
      </c>
      <c r="D24">
        <v>40.1810495</v>
      </c>
      <c r="E24">
        <v>-53.476378250000003</v>
      </c>
      <c r="F24">
        <v>0.77966100000000005</v>
      </c>
      <c r="G24">
        <v>72.220292999999998</v>
      </c>
      <c r="H24">
        <v>-44</v>
      </c>
      <c r="I24">
        <v>44</v>
      </c>
      <c r="J24">
        <v>1.18</v>
      </c>
      <c r="K24">
        <v>11.003895</v>
      </c>
      <c r="L24">
        <v>-2.9999102343497102</v>
      </c>
      <c r="M24">
        <v>-3.323988221423877</v>
      </c>
      <c r="N24">
        <v>-3.2058580976159541</v>
      </c>
      <c r="O24">
        <v>-2.3837670618782458</v>
      </c>
    </row>
    <row r="25" spans="1:15" x14ac:dyDescent="0.25">
      <c r="A25">
        <v>24.826163749999999</v>
      </c>
      <c r="B25">
        <v>-90.970147999999995</v>
      </c>
      <c r="C25">
        <v>-97.357756000000009</v>
      </c>
      <c r="D25">
        <v>43.292122999999997</v>
      </c>
      <c r="E25">
        <v>-38.84731</v>
      </c>
      <c r="F25">
        <v>0.77966100000000005</v>
      </c>
      <c r="G25">
        <v>73.940772999999993</v>
      </c>
      <c r="H25">
        <v>-40</v>
      </c>
      <c r="I25">
        <v>-44</v>
      </c>
      <c r="J25">
        <v>1.18</v>
      </c>
      <c r="K25">
        <v>11.135612999999999</v>
      </c>
      <c r="L25">
        <v>2.2088663931046728</v>
      </c>
      <c r="M25">
        <v>-2.4272315230942412</v>
      </c>
      <c r="N25">
        <v>-2.0390496745693358</v>
      </c>
      <c r="O25">
        <v>-1.7164230454769731</v>
      </c>
    </row>
    <row r="26" spans="1:15" x14ac:dyDescent="0.25">
      <c r="A26">
        <v>26.631702499999999</v>
      </c>
      <c r="B26">
        <v>-85.728368750000001</v>
      </c>
      <c r="C26">
        <v>-92.575584249999991</v>
      </c>
      <c r="D26">
        <v>49.338999999999999</v>
      </c>
      <c r="E26">
        <v>-31.711177249999999</v>
      </c>
      <c r="F26">
        <v>0.82838750000000005</v>
      </c>
      <c r="G26">
        <v>74.620966249999995</v>
      </c>
      <c r="H26">
        <v>-40</v>
      </c>
      <c r="I26">
        <v>-40</v>
      </c>
      <c r="J26">
        <v>1.1850000000000001</v>
      </c>
      <c r="K26">
        <v>11.16003225</v>
      </c>
      <c r="L26">
        <v>2.0753490332610371</v>
      </c>
      <c r="M26">
        <v>-2.3515177147130881</v>
      </c>
      <c r="N26">
        <v>-1.8512649475632439</v>
      </c>
      <c r="O26">
        <v>-1.566512247494025</v>
      </c>
    </row>
    <row r="27" spans="1:15" x14ac:dyDescent="0.25">
      <c r="A27">
        <v>27.037947249999998</v>
      </c>
      <c r="B27">
        <v>-81.326164500000004</v>
      </c>
      <c r="C27">
        <v>-86.304626499999998</v>
      </c>
      <c r="D27">
        <v>55.298241750000003</v>
      </c>
      <c r="E27">
        <v>-25.46706575</v>
      </c>
      <c r="F27">
        <v>0.77966100000000005</v>
      </c>
      <c r="G27">
        <v>75.541229000000001</v>
      </c>
      <c r="H27">
        <v>-40</v>
      </c>
      <c r="I27">
        <v>-36</v>
      </c>
      <c r="J27">
        <v>1.18</v>
      </c>
      <c r="K27">
        <v>11.256754000000001</v>
      </c>
      <c r="L27">
        <v>1.9425106107540391</v>
      </c>
      <c r="M27">
        <v>-2.3415348854430729</v>
      </c>
      <c r="N27">
        <v>-1.731124373770095</v>
      </c>
      <c r="O27">
        <v>-1.449825990482343</v>
      </c>
    </row>
    <row r="28" spans="1:15" x14ac:dyDescent="0.25">
      <c r="A28">
        <v>26.270594249999998</v>
      </c>
      <c r="B28">
        <v>-76.330922999999999</v>
      </c>
      <c r="C28">
        <v>-77.552352749999997</v>
      </c>
      <c r="D28">
        <v>60.644029000000003</v>
      </c>
      <c r="E28">
        <v>-19.847361500000002</v>
      </c>
      <c r="F28">
        <v>0.82838750000000005</v>
      </c>
      <c r="G28">
        <v>76.061367250000004</v>
      </c>
      <c r="H28">
        <v>-40</v>
      </c>
      <c r="I28">
        <v>-32</v>
      </c>
      <c r="J28">
        <v>1.1875</v>
      </c>
      <c r="K28">
        <v>11.2565255</v>
      </c>
      <c r="L28">
        <v>1.818447504987696</v>
      </c>
      <c r="M28">
        <v>-2.3991453043414022</v>
      </c>
      <c r="N28">
        <v>-1.679862858179026</v>
      </c>
      <c r="O28">
        <v>-1.3621463387059161</v>
      </c>
    </row>
    <row r="29" spans="1:15" x14ac:dyDescent="0.25">
      <c r="A29">
        <v>25.232409749999999</v>
      </c>
      <c r="B29">
        <v>-72.013025499999998</v>
      </c>
      <c r="C29">
        <v>-69.160999500000003</v>
      </c>
      <c r="D29">
        <v>65.113457000000011</v>
      </c>
      <c r="E29">
        <v>-14.896672000000001</v>
      </c>
      <c r="F29">
        <v>0.82838750000000005</v>
      </c>
      <c r="G29">
        <v>76.581512500000002</v>
      </c>
      <c r="H29">
        <v>-40</v>
      </c>
      <c r="I29">
        <v>-28</v>
      </c>
      <c r="J29">
        <v>1.1825000000000001</v>
      </c>
      <c r="K29">
        <v>11.319230749999999</v>
      </c>
      <c r="L29">
        <v>1.6949639045761919</v>
      </c>
      <c r="M29">
        <v>-2.4623012502921702</v>
      </c>
      <c r="N29">
        <v>-1.642619687973675</v>
      </c>
      <c r="O29">
        <v>-1.2823593732968599</v>
      </c>
    </row>
    <row r="30" spans="1:15" x14ac:dyDescent="0.25">
      <c r="A30">
        <v>22.794932750000001</v>
      </c>
      <c r="B30">
        <v>-67.603872249999995</v>
      </c>
      <c r="C30">
        <v>-58.694364499999999</v>
      </c>
      <c r="D30">
        <v>69.451433500000007</v>
      </c>
      <c r="E30">
        <v>-10.347389250000001</v>
      </c>
      <c r="F30">
        <v>0.77966100000000005</v>
      </c>
      <c r="G30">
        <v>77.461760999999996</v>
      </c>
      <c r="H30">
        <v>-40</v>
      </c>
      <c r="I30">
        <v>-24</v>
      </c>
      <c r="J30">
        <v>1.18</v>
      </c>
      <c r="K30">
        <v>11.400423999999999</v>
      </c>
      <c r="L30">
        <v>1.543316624239315</v>
      </c>
      <c r="M30">
        <v>-2.5956984475638221</v>
      </c>
      <c r="N30">
        <v>-1.663039973692406</v>
      </c>
      <c r="O30">
        <v>-1.2107537490613489</v>
      </c>
    </row>
    <row r="31" spans="1:15" x14ac:dyDescent="0.25">
      <c r="A31">
        <v>19.544964</v>
      </c>
      <c r="B31">
        <v>-64.528644749999998</v>
      </c>
      <c r="C31">
        <v>-48.4984185</v>
      </c>
      <c r="D31">
        <v>72.650146500000005</v>
      </c>
      <c r="E31">
        <v>-6.1549129999999996</v>
      </c>
      <c r="F31">
        <v>0.87711399999999995</v>
      </c>
      <c r="G31">
        <v>77.701828000000006</v>
      </c>
      <c r="H31">
        <v>-40</v>
      </c>
      <c r="I31">
        <v>-20</v>
      </c>
      <c r="J31">
        <v>1.18</v>
      </c>
      <c r="K31">
        <v>11.411016249999999</v>
      </c>
      <c r="L31">
        <v>1.351178753466471</v>
      </c>
      <c r="M31">
        <v>-2.7240549397781821</v>
      </c>
      <c r="N31">
        <v>-1.66520224262739</v>
      </c>
      <c r="O31">
        <v>-1.13963852784708</v>
      </c>
    </row>
    <row r="32" spans="1:15" x14ac:dyDescent="0.25">
      <c r="A32">
        <v>15.211671750000001</v>
      </c>
      <c r="B32">
        <v>-63.717491250000002</v>
      </c>
      <c r="C32">
        <v>-39.340111</v>
      </c>
      <c r="D32">
        <v>75.235406499999996</v>
      </c>
      <c r="E32">
        <v>-3.8802705</v>
      </c>
      <c r="F32">
        <v>0.97456699999999996</v>
      </c>
      <c r="G32">
        <v>78.261985999999993</v>
      </c>
      <c r="H32">
        <v>-40</v>
      </c>
      <c r="I32">
        <v>-16</v>
      </c>
      <c r="J32">
        <v>1.18</v>
      </c>
      <c r="K32">
        <v>11.445332000000001</v>
      </c>
      <c r="L32">
        <v>1.144879350700347</v>
      </c>
      <c r="M32">
        <v>-2.916212526975587</v>
      </c>
      <c r="N32">
        <v>-1.7239291866390489</v>
      </c>
      <c r="O32">
        <v>-1.101889853792192</v>
      </c>
    </row>
    <row r="33" spans="1:15" x14ac:dyDescent="0.25">
      <c r="A33">
        <v>10.156166000000001</v>
      </c>
      <c r="B33">
        <v>-62.182129750000001</v>
      </c>
      <c r="C33">
        <v>-27.520033000000002</v>
      </c>
      <c r="D33">
        <v>77.601575499999996</v>
      </c>
      <c r="E33">
        <v>-0.44589849999999998</v>
      </c>
      <c r="F33">
        <v>0.97456699999999996</v>
      </c>
      <c r="G33">
        <v>79.182247500000003</v>
      </c>
      <c r="H33">
        <v>-40</v>
      </c>
      <c r="I33">
        <v>-12</v>
      </c>
      <c r="J33">
        <v>1.1825000000000001</v>
      </c>
      <c r="K33">
        <v>11.50114675</v>
      </c>
      <c r="L33">
        <v>0.84836262007999219</v>
      </c>
      <c r="M33">
        <v>-3.1483550442470132</v>
      </c>
      <c r="N33">
        <v>-1.79358267514874</v>
      </c>
      <c r="O33">
        <v>-1.032109224163634</v>
      </c>
    </row>
    <row r="34" spans="1:15" x14ac:dyDescent="0.25">
      <c r="A34">
        <v>3.3402592499999999</v>
      </c>
      <c r="B34">
        <v>-62.182128749999997</v>
      </c>
      <c r="C34">
        <v>-18.045923500000001</v>
      </c>
      <c r="D34">
        <v>78.258846000000005</v>
      </c>
      <c r="E34">
        <v>0.71530174999999996</v>
      </c>
      <c r="F34">
        <v>0.87711399999999995</v>
      </c>
      <c r="G34">
        <v>79.102222499999996</v>
      </c>
      <c r="H34">
        <v>-40</v>
      </c>
      <c r="I34">
        <v>-8</v>
      </c>
      <c r="J34">
        <v>1.18</v>
      </c>
      <c r="K34">
        <v>11.51454775</v>
      </c>
      <c r="L34">
        <v>0.52378522568902386</v>
      </c>
      <c r="M34">
        <v>-3.4400053020877461</v>
      </c>
      <c r="N34">
        <v>-1.9201352303004859</v>
      </c>
      <c r="O34">
        <v>-1.0040479168688801</v>
      </c>
    </row>
    <row r="35" spans="1:15" x14ac:dyDescent="0.25">
      <c r="A35">
        <v>-3.3332579999999998</v>
      </c>
      <c r="B35">
        <v>-61.558389499999997</v>
      </c>
      <c r="C35">
        <v>-8.3462394999999994</v>
      </c>
      <c r="D35">
        <v>79.266656499999996</v>
      </c>
      <c r="E35">
        <v>2.6376157500000001</v>
      </c>
      <c r="F35">
        <v>0.97456699999999996</v>
      </c>
      <c r="G35">
        <v>79.78241349999999</v>
      </c>
      <c r="H35">
        <v>-40</v>
      </c>
      <c r="I35">
        <v>-4</v>
      </c>
      <c r="J35">
        <v>1.18</v>
      </c>
      <c r="K35">
        <v>11.557361</v>
      </c>
      <c r="L35">
        <v>0.13335183250075661</v>
      </c>
      <c r="M35">
        <v>-3.7463597264365611</v>
      </c>
      <c r="N35">
        <v>-2.0522792165832038</v>
      </c>
      <c r="O35">
        <v>-0.95575179236096863</v>
      </c>
    </row>
    <row r="36" spans="1:15" x14ac:dyDescent="0.25">
      <c r="A36">
        <v>-11.621358499999999</v>
      </c>
      <c r="B36">
        <v>-61.51041025</v>
      </c>
      <c r="C36">
        <v>0.94838200000000006</v>
      </c>
      <c r="D36">
        <v>79.792469249999996</v>
      </c>
      <c r="E36">
        <v>3.9340605000000002</v>
      </c>
      <c r="F36">
        <v>0.87711399999999995</v>
      </c>
      <c r="G36">
        <v>80.302562749999993</v>
      </c>
      <c r="H36">
        <v>-40</v>
      </c>
      <c r="I36">
        <v>0</v>
      </c>
      <c r="J36">
        <v>1.18</v>
      </c>
      <c r="K36">
        <v>11.602558500000001</v>
      </c>
      <c r="L36">
        <v>-0.31033005998025331</v>
      </c>
      <c r="M36">
        <v>-3.4891947589235159</v>
      </c>
      <c r="N36">
        <v>-1.885820982589796</v>
      </c>
      <c r="O36">
        <v>-0.92459582277629204</v>
      </c>
    </row>
    <row r="37" spans="1:15" x14ac:dyDescent="0.25">
      <c r="A37">
        <v>-21.5310445</v>
      </c>
      <c r="B37">
        <v>-62.853852250000003</v>
      </c>
      <c r="C37">
        <v>7.4968899999999996</v>
      </c>
      <c r="D37">
        <v>79.441926999999993</v>
      </c>
      <c r="E37">
        <v>2.3693872499999999</v>
      </c>
      <c r="F37">
        <v>0.97456699999999996</v>
      </c>
      <c r="G37">
        <v>80.502617000000001</v>
      </c>
      <c r="H37">
        <v>-40</v>
      </c>
      <c r="I37">
        <v>4</v>
      </c>
      <c r="J37">
        <v>1.1850000000000001</v>
      </c>
      <c r="K37">
        <v>11.5856095</v>
      </c>
      <c r="L37">
        <v>-0.65138424636568582</v>
      </c>
      <c r="M37">
        <v>-3.193304124562462</v>
      </c>
      <c r="N37">
        <v>-1.753421309306386</v>
      </c>
      <c r="O37">
        <v>-0.96870817363351447</v>
      </c>
    </row>
    <row r="38" spans="1:15" x14ac:dyDescent="0.25">
      <c r="A38">
        <v>-30.629937000000002</v>
      </c>
      <c r="B38">
        <v>-63.621530749999998</v>
      </c>
      <c r="C38">
        <v>14.1808835</v>
      </c>
      <c r="D38">
        <v>79.617197500000003</v>
      </c>
      <c r="E38">
        <v>2.3246812499999998</v>
      </c>
      <c r="F38">
        <v>0.97456699999999996</v>
      </c>
      <c r="G38">
        <v>81.142792</v>
      </c>
      <c r="H38">
        <v>-40</v>
      </c>
      <c r="I38">
        <v>8</v>
      </c>
      <c r="J38">
        <v>1.18</v>
      </c>
      <c r="K38">
        <v>11.656687</v>
      </c>
      <c r="L38">
        <v>-0.90617367192493192</v>
      </c>
      <c r="M38">
        <v>-2.896663645747533</v>
      </c>
      <c r="N38">
        <v>-1.593922758199338</v>
      </c>
      <c r="O38">
        <v>-0.97271118803237921</v>
      </c>
    </row>
    <row r="39" spans="1:15" x14ac:dyDescent="0.25">
      <c r="A39">
        <v>-40.809884750000002</v>
      </c>
      <c r="B39">
        <v>-64.192813999999998</v>
      </c>
      <c r="C39">
        <v>20.684229250000001</v>
      </c>
      <c r="D39">
        <v>78.740838750000009</v>
      </c>
      <c r="E39">
        <v>1.07294125</v>
      </c>
      <c r="F39">
        <v>0.97456699999999996</v>
      </c>
      <c r="G39">
        <v>81.382862000000003</v>
      </c>
      <c r="H39">
        <v>-40</v>
      </c>
      <c r="I39">
        <v>12</v>
      </c>
      <c r="J39">
        <v>1.18</v>
      </c>
      <c r="K39">
        <v>11.674125999999999</v>
      </c>
      <c r="L39">
        <v>-1.1478369555520449</v>
      </c>
      <c r="M39">
        <v>-2.6679981788576259</v>
      </c>
      <c r="N39">
        <v>-1.4990831340336299</v>
      </c>
      <c r="O39">
        <v>-0.99819051033088235</v>
      </c>
    </row>
    <row r="40" spans="1:15" x14ac:dyDescent="0.25">
      <c r="A40">
        <v>-50.67452625</v>
      </c>
      <c r="B40">
        <v>-64.677089499999994</v>
      </c>
      <c r="C40">
        <v>26.148847750000002</v>
      </c>
      <c r="D40">
        <v>76.769033250000007</v>
      </c>
      <c r="E40">
        <v>-1.2042217500000001</v>
      </c>
      <c r="F40">
        <v>1.0232935000000001</v>
      </c>
      <c r="G40">
        <v>81.6629425</v>
      </c>
      <c r="H40">
        <v>-40</v>
      </c>
      <c r="I40">
        <v>16</v>
      </c>
      <c r="J40">
        <v>1.18</v>
      </c>
      <c r="K40">
        <v>11.690906500000001</v>
      </c>
      <c r="L40">
        <v>-1.360398991217812</v>
      </c>
      <c r="M40">
        <v>-2.5047400307491441</v>
      </c>
      <c r="N40">
        <v>-1.4674281423733171</v>
      </c>
      <c r="O40">
        <v>-1.039458829236146</v>
      </c>
    </row>
    <row r="41" spans="1:15" x14ac:dyDescent="0.25">
      <c r="A41">
        <v>-60.809433749999997</v>
      </c>
      <c r="B41">
        <v>-68.179634249999992</v>
      </c>
      <c r="C41">
        <v>29.490843250000001</v>
      </c>
      <c r="D41">
        <v>74.271410000000003</v>
      </c>
      <c r="E41">
        <v>-5.8873069999999998</v>
      </c>
      <c r="F41">
        <v>1.0232935000000001</v>
      </c>
      <c r="G41">
        <v>82.063054749999992</v>
      </c>
      <c r="H41">
        <v>-40</v>
      </c>
      <c r="I41">
        <v>20</v>
      </c>
      <c r="J41">
        <v>1.18</v>
      </c>
      <c r="K41">
        <v>11.71987575</v>
      </c>
      <c r="L41">
        <v>-1.5407716445067261</v>
      </c>
      <c r="M41">
        <v>-2.4306180950826328</v>
      </c>
      <c r="N41">
        <v>-1.500688064084176</v>
      </c>
      <c r="O41">
        <v>-1.1179181455244851</v>
      </c>
    </row>
    <row r="42" spans="1:15" x14ac:dyDescent="0.25">
      <c r="A42">
        <v>-70.268676749999997</v>
      </c>
      <c r="B42">
        <v>-73.217540749999998</v>
      </c>
      <c r="C42">
        <v>31.929598500000001</v>
      </c>
      <c r="D42">
        <v>70.892894749999996</v>
      </c>
      <c r="E42">
        <v>-11.37320675</v>
      </c>
      <c r="F42">
        <v>0.97456699999999996</v>
      </c>
      <c r="G42">
        <v>81.943023999999994</v>
      </c>
      <c r="H42">
        <v>-40</v>
      </c>
      <c r="I42">
        <v>24</v>
      </c>
      <c r="J42">
        <v>1.18</v>
      </c>
      <c r="K42">
        <v>11.714721000000001</v>
      </c>
      <c r="L42">
        <v>-1.692896418780822</v>
      </c>
      <c r="M42">
        <v>-2.3871775264068509</v>
      </c>
      <c r="N42">
        <v>-1.5458235438889261</v>
      </c>
      <c r="O42">
        <v>-1.2045813073115481</v>
      </c>
    </row>
    <row r="43" spans="1:15" x14ac:dyDescent="0.25">
      <c r="A43">
        <v>-80.403579499999992</v>
      </c>
      <c r="B43">
        <v>-79.886760749999993</v>
      </c>
      <c r="C43">
        <v>34.729652250000001</v>
      </c>
      <c r="D43">
        <v>67.08100125</v>
      </c>
      <c r="E43">
        <v>-18.464737499999998</v>
      </c>
      <c r="F43">
        <v>0.97456699999999996</v>
      </c>
      <c r="G43">
        <v>82.263107000000005</v>
      </c>
      <c r="H43">
        <v>-40</v>
      </c>
      <c r="I43">
        <v>28</v>
      </c>
      <c r="J43">
        <v>1.18</v>
      </c>
      <c r="K43">
        <v>11.737852999999999</v>
      </c>
      <c r="L43">
        <v>-1.8666068572164729</v>
      </c>
      <c r="M43">
        <v>-2.382736645575902</v>
      </c>
      <c r="N43">
        <v>-1.633066095968331</v>
      </c>
      <c r="O43">
        <v>-1.3151607598813031</v>
      </c>
    </row>
    <row r="44" spans="1:15" x14ac:dyDescent="0.25">
      <c r="A44">
        <v>-89.907871249999999</v>
      </c>
      <c r="B44">
        <v>-87.227706499999996</v>
      </c>
      <c r="C44">
        <v>35.768386749999998</v>
      </c>
      <c r="D44">
        <v>63.181448000000003</v>
      </c>
      <c r="E44">
        <v>-27.0726935</v>
      </c>
      <c r="F44">
        <v>1.0232935000000001</v>
      </c>
      <c r="G44">
        <v>82.983314500000006</v>
      </c>
      <c r="H44">
        <v>-40</v>
      </c>
      <c r="I44">
        <v>32</v>
      </c>
      <c r="J44">
        <v>1.18</v>
      </c>
      <c r="K44">
        <v>11.786232249999999</v>
      </c>
      <c r="L44">
        <v>-2.04372410011185</v>
      </c>
      <c r="M44">
        <v>-2.4459352313974438</v>
      </c>
      <c r="N44">
        <v>-1.789749453493191</v>
      </c>
      <c r="O44">
        <v>-1.456906989987474</v>
      </c>
    </row>
    <row r="45" spans="1:15" x14ac:dyDescent="0.25">
      <c r="A45">
        <v>-96.574382749999998</v>
      </c>
      <c r="B45">
        <v>-92.649454000000006</v>
      </c>
      <c r="C45">
        <v>36.897431249999997</v>
      </c>
      <c r="D45">
        <v>57.748358000000003</v>
      </c>
      <c r="E45">
        <v>-35.591448</v>
      </c>
      <c r="F45">
        <v>0.97456699999999996</v>
      </c>
      <c r="G45">
        <v>82.863277499999995</v>
      </c>
      <c r="H45">
        <v>-40</v>
      </c>
      <c r="I45">
        <v>36</v>
      </c>
      <c r="J45">
        <v>1.18</v>
      </c>
      <c r="K45">
        <v>11.781103999999999</v>
      </c>
      <c r="L45">
        <v>-2.2614683598041552</v>
      </c>
      <c r="M45">
        <v>-2.5482410287631581</v>
      </c>
      <c r="N45">
        <v>-2.0070384224486579</v>
      </c>
      <c r="O45">
        <v>-1.6195580982043081</v>
      </c>
    </row>
    <row r="46" spans="1:15" x14ac:dyDescent="0.25">
      <c r="A46">
        <v>-102.9255945</v>
      </c>
      <c r="B46">
        <v>-99.318681499999997</v>
      </c>
      <c r="C46">
        <v>36.581296999999999</v>
      </c>
      <c r="D46">
        <v>52.18054025</v>
      </c>
      <c r="E46">
        <v>-45.537430749999999</v>
      </c>
      <c r="F46">
        <v>0.97456699999999996</v>
      </c>
      <c r="G46">
        <v>83.343412499999999</v>
      </c>
      <c r="H46">
        <v>-40</v>
      </c>
      <c r="I46">
        <v>40</v>
      </c>
      <c r="J46">
        <v>1.18</v>
      </c>
      <c r="K46">
        <v>11.8155915</v>
      </c>
      <c r="L46">
        <v>-2.5097955025020928</v>
      </c>
      <c r="M46">
        <v>-2.725565948111631</v>
      </c>
      <c r="N46">
        <v>-2.318665191507447</v>
      </c>
      <c r="O46">
        <v>-1.8367857741058859</v>
      </c>
    </row>
    <row r="47" spans="1:15" x14ac:dyDescent="0.25">
      <c r="A47">
        <v>-104.50213599999999</v>
      </c>
      <c r="B47">
        <v>-101.18989925</v>
      </c>
      <c r="C47">
        <v>34.955462500000003</v>
      </c>
      <c r="D47">
        <v>45.214320499999999</v>
      </c>
      <c r="E47">
        <v>-54.412992250000002</v>
      </c>
      <c r="F47">
        <v>0.97456699999999996</v>
      </c>
      <c r="G47">
        <v>81.862998750000003</v>
      </c>
      <c r="H47">
        <v>-40</v>
      </c>
      <c r="I47">
        <v>44</v>
      </c>
      <c r="J47">
        <v>1.18</v>
      </c>
      <c r="K47">
        <v>11.708923</v>
      </c>
      <c r="L47">
        <v>-2.8796674234152899</v>
      </c>
      <c r="M47">
        <v>-3.0230263371871171</v>
      </c>
      <c r="N47">
        <v>-2.814073113195573</v>
      </c>
      <c r="O47">
        <v>-2.1437080150030501</v>
      </c>
    </row>
    <row r="48" spans="1:15" x14ac:dyDescent="0.25">
      <c r="A48">
        <v>35.298284500000001</v>
      </c>
      <c r="B48">
        <v>-94.328752749999992</v>
      </c>
      <c r="C48">
        <v>-97.660722750000005</v>
      </c>
      <c r="D48">
        <v>44.738115499999999</v>
      </c>
      <c r="E48">
        <v>-30.685359250000001</v>
      </c>
      <c r="F48">
        <v>0.77966100000000005</v>
      </c>
      <c r="G48">
        <v>77.741840249999996</v>
      </c>
      <c r="H48">
        <v>-36</v>
      </c>
      <c r="I48">
        <v>-44</v>
      </c>
      <c r="J48">
        <v>1.1825000000000001</v>
      </c>
      <c r="K48">
        <v>11.409207</v>
      </c>
      <c r="L48">
        <v>2.0358521267675709</v>
      </c>
      <c r="M48">
        <v>-2.1293735993673031</v>
      </c>
      <c r="N48">
        <v>-1.6602400878730299</v>
      </c>
      <c r="O48">
        <v>-1.4817958066249171</v>
      </c>
    </row>
    <row r="49" spans="1:15" x14ac:dyDescent="0.25">
      <c r="A49">
        <v>35.885085250000003</v>
      </c>
      <c r="B49">
        <v>-84.300929999999994</v>
      </c>
      <c r="C49">
        <v>-88.419178000000002</v>
      </c>
      <c r="D49">
        <v>49.551764499999997</v>
      </c>
      <c r="E49">
        <v>-21.319189000000001</v>
      </c>
      <c r="F49">
        <v>0.77966100000000005</v>
      </c>
      <c r="G49">
        <v>75.621250000000003</v>
      </c>
      <c r="H49">
        <v>-36</v>
      </c>
      <c r="I49">
        <v>-40</v>
      </c>
      <c r="J49">
        <v>1.19</v>
      </c>
      <c r="K49">
        <v>11.215353</v>
      </c>
      <c r="L49">
        <v>1.9112012807487599</v>
      </c>
      <c r="M49">
        <v>-2.058026758064309</v>
      </c>
      <c r="N49">
        <v>-1.4905134202874559</v>
      </c>
      <c r="O49">
        <v>-1.3397922409338621</v>
      </c>
    </row>
    <row r="50" spans="1:15" x14ac:dyDescent="0.25">
      <c r="A50">
        <v>34.801760000000002</v>
      </c>
      <c r="B50">
        <v>-73.457439249999993</v>
      </c>
      <c r="C50">
        <v>-75.702647999999996</v>
      </c>
      <c r="D50">
        <v>53.312834000000002</v>
      </c>
      <c r="E50">
        <v>-12.532828500000001</v>
      </c>
      <c r="F50">
        <v>0.77966100000000005</v>
      </c>
      <c r="G50">
        <v>72.540376500000008</v>
      </c>
      <c r="H50">
        <v>-36</v>
      </c>
      <c r="I50">
        <v>-36</v>
      </c>
      <c r="J50">
        <v>1.1850000000000001</v>
      </c>
      <c r="K50">
        <v>11.005281</v>
      </c>
      <c r="L50">
        <v>1.7809847885710339</v>
      </c>
      <c r="M50">
        <v>-2.0431416799114679</v>
      </c>
      <c r="N50">
        <v>-1.3711238363645151</v>
      </c>
      <c r="O50">
        <v>-1.2145687510405521</v>
      </c>
    </row>
    <row r="51" spans="1:15" x14ac:dyDescent="0.25">
      <c r="A51">
        <v>33.944133000000001</v>
      </c>
      <c r="B51">
        <v>-67.651853750000001</v>
      </c>
      <c r="C51">
        <v>-67.933994249999998</v>
      </c>
      <c r="D51">
        <v>58.011265999999999</v>
      </c>
      <c r="E51">
        <v>-7.4037354999999998</v>
      </c>
      <c r="F51">
        <v>0.77966100000000005</v>
      </c>
      <c r="G51">
        <v>72.900482000000011</v>
      </c>
      <c r="H51">
        <v>-36</v>
      </c>
      <c r="I51">
        <v>-32</v>
      </c>
      <c r="J51">
        <v>1.18</v>
      </c>
      <c r="K51">
        <v>11.056158</v>
      </c>
      <c r="L51">
        <v>1.687029619327008</v>
      </c>
      <c r="M51">
        <v>-2.0809285315856929</v>
      </c>
      <c r="N51">
        <v>-1.329810277854562</v>
      </c>
      <c r="O51">
        <v>-1.1355173819482469</v>
      </c>
    </row>
    <row r="52" spans="1:15" x14ac:dyDescent="0.25">
      <c r="A52">
        <v>33.628162500000002</v>
      </c>
      <c r="B52">
        <v>-61.70232575</v>
      </c>
      <c r="C52">
        <v>-59.227983500000001</v>
      </c>
      <c r="D52">
        <v>63.221221</v>
      </c>
      <c r="E52">
        <v>-1.248823</v>
      </c>
      <c r="F52">
        <v>0.77966100000000005</v>
      </c>
      <c r="G52">
        <v>74.3008825</v>
      </c>
      <c r="H52">
        <v>-36</v>
      </c>
      <c r="I52">
        <v>-28</v>
      </c>
      <c r="J52">
        <v>1.18</v>
      </c>
      <c r="K52">
        <v>11.16298375</v>
      </c>
      <c r="L52">
        <v>1.5680866021640969</v>
      </c>
      <c r="M52">
        <v>-2.1096291274965062</v>
      </c>
      <c r="N52">
        <v>-1.2758373924256921</v>
      </c>
      <c r="O52">
        <v>-1.034263867909468</v>
      </c>
    </row>
    <row r="53" spans="1:15" x14ac:dyDescent="0.25">
      <c r="A53">
        <v>31.551794000000001</v>
      </c>
      <c r="B53">
        <v>-56.184625750000002</v>
      </c>
      <c r="C53">
        <v>-49.078403250000001</v>
      </c>
      <c r="D53">
        <v>67.558647250000007</v>
      </c>
      <c r="E53">
        <v>4.0681759999999993</v>
      </c>
      <c r="F53">
        <v>0.77966100000000005</v>
      </c>
      <c r="G53">
        <v>74.901038999999997</v>
      </c>
      <c r="H53">
        <v>-36</v>
      </c>
      <c r="I53">
        <v>-24</v>
      </c>
      <c r="J53">
        <v>1.18</v>
      </c>
      <c r="K53">
        <v>11.208454</v>
      </c>
      <c r="L53">
        <v>1.422013899498936</v>
      </c>
      <c r="M53">
        <v>-2.1825496890665481</v>
      </c>
      <c r="N53">
        <v>-1.249339625517665</v>
      </c>
      <c r="O53">
        <v>-0.94199889256699498</v>
      </c>
    </row>
    <row r="54" spans="1:15" x14ac:dyDescent="0.25">
      <c r="A54">
        <v>28.753208999999998</v>
      </c>
      <c r="B54">
        <v>-52.634101000000001</v>
      </c>
      <c r="C54">
        <v>-38.517959750000003</v>
      </c>
      <c r="D54">
        <v>71.42324450000001</v>
      </c>
      <c r="E54">
        <v>8.6727897499999997</v>
      </c>
      <c r="F54">
        <v>0.77966100000000005</v>
      </c>
      <c r="G54">
        <v>75.90132349999999</v>
      </c>
      <c r="H54">
        <v>-36</v>
      </c>
      <c r="I54">
        <v>-20</v>
      </c>
      <c r="J54">
        <v>1.18</v>
      </c>
      <c r="K54">
        <v>11.28383</v>
      </c>
      <c r="L54">
        <v>1.240088612930875</v>
      </c>
      <c r="M54">
        <v>-2.286901050831772</v>
      </c>
      <c r="N54">
        <v>-1.239346438736969</v>
      </c>
      <c r="O54">
        <v>-0.85454963695464037</v>
      </c>
    </row>
    <row r="55" spans="1:15" x14ac:dyDescent="0.25">
      <c r="A55">
        <v>24.9164405</v>
      </c>
      <c r="B55">
        <v>-51.242681750000003</v>
      </c>
      <c r="C55">
        <v>-29.003068249999998</v>
      </c>
      <c r="D55">
        <v>74.042894500000003</v>
      </c>
      <c r="E55">
        <v>11.802139499999999</v>
      </c>
      <c r="F55">
        <v>0.82838750000000005</v>
      </c>
      <c r="G55">
        <v>76.501487999999995</v>
      </c>
      <c r="H55">
        <v>-36</v>
      </c>
      <c r="I55">
        <v>-16</v>
      </c>
      <c r="J55">
        <v>1.18</v>
      </c>
      <c r="K55">
        <v>11.32516875</v>
      </c>
      <c r="L55">
        <v>1.038402393770586</v>
      </c>
      <c r="M55">
        <v>-2.4128125400253309</v>
      </c>
      <c r="N55">
        <v>-1.246014351989063</v>
      </c>
      <c r="O55">
        <v>-0.78865088626980351</v>
      </c>
    </row>
    <row r="56" spans="1:15" x14ac:dyDescent="0.25">
      <c r="A56">
        <v>19.68037975</v>
      </c>
      <c r="B56">
        <v>-49.755300249999998</v>
      </c>
      <c r="C56">
        <v>-18.043584249999999</v>
      </c>
      <c r="D56">
        <v>75.92197800000001</v>
      </c>
      <c r="E56">
        <v>14.7973745</v>
      </c>
      <c r="F56">
        <v>0.77966100000000005</v>
      </c>
      <c r="G56">
        <v>77.021638499999995</v>
      </c>
      <c r="H56">
        <v>-36</v>
      </c>
      <c r="I56">
        <v>-12</v>
      </c>
      <c r="J56">
        <v>1.18</v>
      </c>
      <c r="K56">
        <v>11.367659</v>
      </c>
      <c r="L56">
        <v>0.77469197368995835</v>
      </c>
      <c r="M56">
        <v>-2.5808789260778608</v>
      </c>
      <c r="N56">
        <v>-1.2778585279107471</v>
      </c>
      <c r="O56">
        <v>-0.71217288011864111</v>
      </c>
    </row>
    <row r="57" spans="1:15" x14ac:dyDescent="0.25">
      <c r="A57">
        <v>14.308903750000001</v>
      </c>
      <c r="B57">
        <v>-49.419439250000003</v>
      </c>
      <c r="C57">
        <v>-8.4347799999999999</v>
      </c>
      <c r="D57">
        <v>77.509004250000004</v>
      </c>
      <c r="E57">
        <v>17.122034249999999</v>
      </c>
      <c r="F57">
        <v>0.87711399999999995</v>
      </c>
      <c r="G57">
        <v>77.821865250000002</v>
      </c>
      <c r="H57">
        <v>-36</v>
      </c>
      <c r="I57">
        <v>-8</v>
      </c>
      <c r="J57">
        <v>1.18</v>
      </c>
      <c r="K57">
        <v>11.419926</v>
      </c>
      <c r="L57">
        <v>0.49381306108863571</v>
      </c>
      <c r="M57">
        <v>-2.7565522200854922</v>
      </c>
      <c r="N57">
        <v>-1.3182756199291421</v>
      </c>
      <c r="O57">
        <v>-0.64726283598718226</v>
      </c>
    </row>
    <row r="58" spans="1:15" x14ac:dyDescent="0.25">
      <c r="A58">
        <v>7.13188975</v>
      </c>
      <c r="B58">
        <v>-49.035597500000002</v>
      </c>
      <c r="C58">
        <v>0.99355199999999999</v>
      </c>
      <c r="D58">
        <v>77.893396249999995</v>
      </c>
      <c r="E58">
        <v>18.373773249999999</v>
      </c>
      <c r="F58">
        <v>0.97456699999999996</v>
      </c>
      <c r="G58">
        <v>78.101944000000003</v>
      </c>
      <c r="H58">
        <v>-36</v>
      </c>
      <c r="I58">
        <v>-4</v>
      </c>
      <c r="J58">
        <v>1.18</v>
      </c>
      <c r="K58">
        <v>11.433476000000001</v>
      </c>
      <c r="L58">
        <v>0.14477481245036949</v>
      </c>
      <c r="M58">
        <v>-2.9940010780648079</v>
      </c>
      <c r="N58">
        <v>-1.408889775720096</v>
      </c>
      <c r="O58">
        <v>-0.58958278610125192</v>
      </c>
    </row>
    <row r="59" spans="1:15" x14ac:dyDescent="0.25">
      <c r="A59">
        <v>-1.351321</v>
      </c>
      <c r="B59">
        <v>-49.995199</v>
      </c>
      <c r="C59">
        <v>8.4001642499999996</v>
      </c>
      <c r="D59">
        <v>78.516748250000006</v>
      </c>
      <c r="E59">
        <v>18.194953000000002</v>
      </c>
      <c r="F59">
        <v>0.82838750000000005</v>
      </c>
      <c r="G59">
        <v>78.742119000000002</v>
      </c>
      <c r="H59">
        <v>-36</v>
      </c>
      <c r="I59">
        <v>0</v>
      </c>
      <c r="J59">
        <v>1.18</v>
      </c>
      <c r="K59">
        <v>11.491611499999999</v>
      </c>
      <c r="L59">
        <v>-0.22224285210745989</v>
      </c>
      <c r="M59">
        <v>-2.9296338627251921</v>
      </c>
      <c r="N59">
        <v>-1.380321388800277</v>
      </c>
      <c r="O59">
        <v>-0.60415712840543034</v>
      </c>
    </row>
    <row r="60" spans="1:15" x14ac:dyDescent="0.25">
      <c r="A60">
        <v>-10.270037500000001</v>
      </c>
      <c r="B60">
        <v>-50.18712025</v>
      </c>
      <c r="C60">
        <v>17.0260985</v>
      </c>
      <c r="D60">
        <v>79.202652</v>
      </c>
      <c r="E60">
        <v>18.9549375</v>
      </c>
      <c r="F60">
        <v>0.92584049999999996</v>
      </c>
      <c r="G60">
        <v>79.58236149999999</v>
      </c>
      <c r="H60">
        <v>-36</v>
      </c>
      <c r="I60">
        <v>4</v>
      </c>
      <c r="J60">
        <v>1.18</v>
      </c>
      <c r="K60">
        <v>11.54625875</v>
      </c>
      <c r="L60">
        <v>-0.55497300830918428</v>
      </c>
      <c r="M60">
        <v>-2.6308247307916921</v>
      </c>
      <c r="N60">
        <v>-1.2327305402912749</v>
      </c>
      <c r="O60">
        <v>-0.63346054697865528</v>
      </c>
    </row>
    <row r="61" spans="1:15" x14ac:dyDescent="0.25">
      <c r="A61">
        <v>-20.13467975</v>
      </c>
      <c r="B61">
        <v>-50.714900999999998</v>
      </c>
      <c r="C61">
        <v>23.439127750000001</v>
      </c>
      <c r="D61">
        <v>78.424110499999998</v>
      </c>
      <c r="E61">
        <v>17.613788750000001</v>
      </c>
      <c r="F61">
        <v>0.92584049999999996</v>
      </c>
      <c r="G61">
        <v>79.58236149999999</v>
      </c>
      <c r="H61">
        <v>-36</v>
      </c>
      <c r="I61">
        <v>8</v>
      </c>
      <c r="J61">
        <v>1.18</v>
      </c>
      <c r="K61">
        <v>11.54625875</v>
      </c>
      <c r="L61">
        <v>-0.82154045497229478</v>
      </c>
      <c r="M61">
        <v>-2.434864362360408</v>
      </c>
      <c r="N61">
        <v>-1.1684153695029249</v>
      </c>
      <c r="O61">
        <v>-0.68537615988321243</v>
      </c>
    </row>
    <row r="62" spans="1:15" x14ac:dyDescent="0.25">
      <c r="A62">
        <v>-29.999320000000001</v>
      </c>
      <c r="B62">
        <v>-51.146722750000002</v>
      </c>
      <c r="C62">
        <v>29.265056999999999</v>
      </c>
      <c r="D62">
        <v>77.849622499999995</v>
      </c>
      <c r="E62">
        <v>15.736179</v>
      </c>
      <c r="F62">
        <v>0.97456699999999996</v>
      </c>
      <c r="G62">
        <v>80.222538249999999</v>
      </c>
      <c r="H62">
        <v>-36</v>
      </c>
      <c r="I62">
        <v>12</v>
      </c>
      <c r="J62">
        <v>1.18</v>
      </c>
      <c r="K62">
        <v>11.589589</v>
      </c>
      <c r="L62">
        <v>-1.052508327170818</v>
      </c>
      <c r="M62">
        <v>-2.2908985133446809</v>
      </c>
      <c r="N62">
        <v>-1.1452646987628119</v>
      </c>
      <c r="O62">
        <v>-0.73787555853013265</v>
      </c>
    </row>
    <row r="63" spans="1:15" x14ac:dyDescent="0.25">
      <c r="A63">
        <v>-39.728829500000003</v>
      </c>
      <c r="B63">
        <v>-52.154300499999998</v>
      </c>
      <c r="C63">
        <v>34.18771375</v>
      </c>
      <c r="D63">
        <v>76.798158749999999</v>
      </c>
      <c r="E63">
        <v>12.87505925</v>
      </c>
      <c r="F63">
        <v>0.97456699999999996</v>
      </c>
      <c r="G63">
        <v>80.822708000000006</v>
      </c>
      <c r="H63">
        <v>-36</v>
      </c>
      <c r="I63">
        <v>16</v>
      </c>
      <c r="J63">
        <v>1.18</v>
      </c>
      <c r="K63">
        <v>11.633393</v>
      </c>
      <c r="L63">
        <v>-1.2567406358747419</v>
      </c>
      <c r="M63">
        <v>-2.192461149379449</v>
      </c>
      <c r="N63">
        <v>-1.1552693411562061</v>
      </c>
      <c r="O63">
        <v>-0.79767679394271584</v>
      </c>
    </row>
    <row r="64" spans="1:15" x14ac:dyDescent="0.25">
      <c r="A64">
        <v>-50.269130500000003</v>
      </c>
      <c r="B64">
        <v>-55.464924750000002</v>
      </c>
      <c r="C64">
        <v>38.613608999999997</v>
      </c>
      <c r="D64">
        <v>73.775310500000003</v>
      </c>
      <c r="E64">
        <v>8.4492652499999998</v>
      </c>
      <c r="F64">
        <v>0.92584049999999996</v>
      </c>
      <c r="G64">
        <v>80.902728999999994</v>
      </c>
      <c r="H64">
        <v>-36</v>
      </c>
      <c r="I64">
        <v>20</v>
      </c>
      <c r="J64">
        <v>1.18</v>
      </c>
      <c r="K64">
        <v>11.64276675</v>
      </c>
      <c r="L64">
        <v>-1.449567892794805</v>
      </c>
      <c r="M64">
        <v>-2.1077598587137412</v>
      </c>
      <c r="N64">
        <v>-1.1816273346231549</v>
      </c>
      <c r="O64">
        <v>-0.87728984593270676</v>
      </c>
    </row>
    <row r="65" spans="1:15" x14ac:dyDescent="0.25">
      <c r="A65">
        <v>-60.088729749999999</v>
      </c>
      <c r="B65">
        <v>-61.70232575</v>
      </c>
      <c r="C65">
        <v>41.4136515</v>
      </c>
      <c r="D65">
        <v>70.577157999999997</v>
      </c>
      <c r="E65">
        <v>2.1011565000000001</v>
      </c>
      <c r="F65">
        <v>0.92584049999999996</v>
      </c>
      <c r="G65">
        <v>81.502895250000009</v>
      </c>
      <c r="H65">
        <v>-36</v>
      </c>
      <c r="I65">
        <v>24</v>
      </c>
      <c r="J65">
        <v>1.18</v>
      </c>
      <c r="K65">
        <v>11.6863665</v>
      </c>
      <c r="L65">
        <v>-1.6112620609811239</v>
      </c>
      <c r="M65">
        <v>-2.0998073453052899</v>
      </c>
      <c r="N65">
        <v>-1.2604975782179899</v>
      </c>
      <c r="O65">
        <v>-0.98137869775080167</v>
      </c>
    </row>
    <row r="66" spans="1:15" x14ac:dyDescent="0.25">
      <c r="A66">
        <v>-69.72814975</v>
      </c>
      <c r="B66">
        <v>-69.379137</v>
      </c>
      <c r="C66">
        <v>43.852421999999997</v>
      </c>
      <c r="D66">
        <v>66.678152000000011</v>
      </c>
      <c r="E66">
        <v>-5.7535047499999994</v>
      </c>
      <c r="F66">
        <v>0.92584049999999996</v>
      </c>
      <c r="G66">
        <v>81.862999000000002</v>
      </c>
      <c r="H66">
        <v>-36</v>
      </c>
      <c r="I66">
        <v>28</v>
      </c>
      <c r="J66">
        <v>1.18</v>
      </c>
      <c r="K66">
        <v>11.7124515</v>
      </c>
      <c r="L66">
        <v>-1.780252482926677</v>
      </c>
      <c r="M66">
        <v>-2.132556214295835</v>
      </c>
      <c r="N66">
        <v>-1.37330686505133</v>
      </c>
      <c r="O66">
        <v>-1.104680046347708</v>
      </c>
    </row>
    <row r="67" spans="1:15" x14ac:dyDescent="0.25">
      <c r="A67">
        <v>-80.944108999999997</v>
      </c>
      <c r="B67">
        <v>-79.311000750000005</v>
      </c>
      <c r="C67">
        <v>44.755650500000002</v>
      </c>
      <c r="D67">
        <v>61.767544749999999</v>
      </c>
      <c r="E67">
        <v>-16.680704500000001</v>
      </c>
      <c r="F67">
        <v>0.97456699999999996</v>
      </c>
      <c r="G67">
        <v>82.183086000000003</v>
      </c>
      <c r="H67">
        <v>-36</v>
      </c>
      <c r="I67">
        <v>32</v>
      </c>
      <c r="J67">
        <v>1.1825000000000001</v>
      </c>
      <c r="K67">
        <v>11.71971675</v>
      </c>
      <c r="L67">
        <v>-1.9812281386360051</v>
      </c>
      <c r="M67">
        <v>-2.223599429188424</v>
      </c>
      <c r="N67">
        <v>-1.558288632751583</v>
      </c>
      <c r="O67">
        <v>-1.2783166856392481</v>
      </c>
    </row>
    <row r="68" spans="1:15" x14ac:dyDescent="0.25">
      <c r="A68">
        <v>-88.736726500000003</v>
      </c>
      <c r="B68">
        <v>-86.987808000000001</v>
      </c>
      <c r="C68">
        <v>45.207286750000002</v>
      </c>
      <c r="D68">
        <v>56.956061499999997</v>
      </c>
      <c r="E68">
        <v>-26.403681250000002</v>
      </c>
      <c r="F68">
        <v>0.97456699999999996</v>
      </c>
      <c r="G68">
        <v>82.863277499999995</v>
      </c>
      <c r="H68">
        <v>-36</v>
      </c>
      <c r="I68">
        <v>36</v>
      </c>
      <c r="J68">
        <v>1.18</v>
      </c>
      <c r="K68">
        <v>11.781103999999999</v>
      </c>
      <c r="L68">
        <v>-2.1794786804990092</v>
      </c>
      <c r="M68">
        <v>-2.3422526056179769</v>
      </c>
      <c r="N68">
        <v>-1.7781289747019959</v>
      </c>
      <c r="O68">
        <v>-1.44556481648816</v>
      </c>
    </row>
    <row r="69" spans="1:15" x14ac:dyDescent="0.25">
      <c r="A69">
        <v>-96.709514749999997</v>
      </c>
      <c r="B69">
        <v>-95.096435749999998</v>
      </c>
      <c r="C69">
        <v>44.845990999999998</v>
      </c>
      <c r="D69">
        <v>50.737955249999999</v>
      </c>
      <c r="E69">
        <v>-38.401300499999998</v>
      </c>
      <c r="F69">
        <v>0.97456699999999996</v>
      </c>
      <c r="G69">
        <v>82.903289999999998</v>
      </c>
      <c r="H69">
        <v>-36</v>
      </c>
      <c r="I69">
        <v>40</v>
      </c>
      <c r="J69">
        <v>1.18</v>
      </c>
      <c r="K69">
        <v>11.783982999999999</v>
      </c>
      <c r="L69">
        <v>-2.46182772916218</v>
      </c>
      <c r="M69">
        <v>-2.5362320564832519</v>
      </c>
      <c r="N69">
        <v>-2.1096857955209121</v>
      </c>
      <c r="O69">
        <v>-1.6848219948079379</v>
      </c>
    </row>
    <row r="70" spans="1:15" x14ac:dyDescent="0.25">
      <c r="A70">
        <v>-101.52923025</v>
      </c>
      <c r="B70">
        <v>-101.71768175</v>
      </c>
      <c r="C70">
        <v>43.852415000000001</v>
      </c>
      <c r="D70">
        <v>45.211458999999998</v>
      </c>
      <c r="E70">
        <v>-48.659487749999997</v>
      </c>
      <c r="F70">
        <v>1.0232935000000001</v>
      </c>
      <c r="G70">
        <v>83.383422999999993</v>
      </c>
      <c r="H70">
        <v>-36</v>
      </c>
      <c r="I70">
        <v>44</v>
      </c>
      <c r="J70">
        <v>1.18</v>
      </c>
      <c r="K70">
        <v>11.814965750000001</v>
      </c>
      <c r="L70">
        <v>-2.744944238783432</v>
      </c>
      <c r="M70">
        <v>-2.7741492340839722</v>
      </c>
      <c r="N70">
        <v>-2.4931083267242968</v>
      </c>
      <c r="O70">
        <v>-1.9380688402556141</v>
      </c>
    </row>
    <row r="71" spans="1:15" x14ac:dyDescent="0.25">
      <c r="A71">
        <v>45.589853249999997</v>
      </c>
      <c r="B71">
        <v>-98.023214249999995</v>
      </c>
      <c r="C71">
        <v>-97.615665750000005</v>
      </c>
      <c r="D71">
        <v>44.989539999999998</v>
      </c>
      <c r="E71">
        <v>-24.2628415</v>
      </c>
      <c r="F71">
        <v>0.97456699999999996</v>
      </c>
      <c r="G71">
        <v>81.702953250000007</v>
      </c>
      <c r="H71">
        <v>-32</v>
      </c>
      <c r="I71">
        <v>-44</v>
      </c>
      <c r="J71">
        <v>1.18</v>
      </c>
      <c r="K71">
        <v>11.69733375</v>
      </c>
      <c r="L71">
        <v>1.946876455982449</v>
      </c>
      <c r="M71">
        <v>-1.9442579910629141</v>
      </c>
      <c r="N71">
        <v>-1.440607467026976</v>
      </c>
      <c r="O71">
        <v>-1.343106095202907</v>
      </c>
    </row>
    <row r="72" spans="1:15" x14ac:dyDescent="0.25">
      <c r="A72">
        <v>45.725268499999999</v>
      </c>
      <c r="B72">
        <v>-85.020628000000002</v>
      </c>
      <c r="C72">
        <v>-85.926795999999996</v>
      </c>
      <c r="D72">
        <v>49.811485500000003</v>
      </c>
      <c r="E72">
        <v>-13.157240249999999</v>
      </c>
      <c r="F72">
        <v>0.92584049999999996</v>
      </c>
      <c r="G72">
        <v>78.582076999999998</v>
      </c>
      <c r="H72">
        <v>-32</v>
      </c>
      <c r="I72">
        <v>-40</v>
      </c>
      <c r="J72">
        <v>1.18</v>
      </c>
      <c r="K72">
        <v>11.472603749999999</v>
      </c>
      <c r="L72">
        <v>1.8205121148713681</v>
      </c>
      <c r="M72">
        <v>-1.864509176097088</v>
      </c>
      <c r="N72">
        <v>-1.268621091037506</v>
      </c>
      <c r="O72">
        <v>-1.194758241147575</v>
      </c>
    </row>
    <row r="73" spans="1:15" x14ac:dyDescent="0.25">
      <c r="A73">
        <v>44.867637500000001</v>
      </c>
      <c r="B73">
        <v>-73.121582250000003</v>
      </c>
      <c r="C73">
        <v>-73.83845174999999</v>
      </c>
      <c r="D73">
        <v>54.670844000000002</v>
      </c>
      <c r="E73">
        <v>-3.7464675000000001</v>
      </c>
      <c r="F73">
        <v>0.87711399999999995</v>
      </c>
      <c r="G73">
        <v>76.421467000000007</v>
      </c>
      <c r="H73">
        <v>-32</v>
      </c>
      <c r="I73">
        <v>-36</v>
      </c>
      <c r="J73">
        <v>1.18</v>
      </c>
      <c r="K73">
        <v>11.315528499999999</v>
      </c>
      <c r="L73">
        <v>1.7022805038667039</v>
      </c>
      <c r="M73">
        <v>-1.832590151050256</v>
      </c>
      <c r="N73">
        <v>-1.149642243409801</v>
      </c>
      <c r="O73">
        <v>-1.0663102752480449</v>
      </c>
    </row>
    <row r="74" spans="1:15" x14ac:dyDescent="0.25">
      <c r="A74">
        <v>42.565578500000001</v>
      </c>
      <c r="B74">
        <v>-60.5028255</v>
      </c>
      <c r="C74">
        <v>-59.810459250000001</v>
      </c>
      <c r="D74">
        <v>57.430674000000003</v>
      </c>
      <c r="E74">
        <v>4.0234709999999998</v>
      </c>
      <c r="F74">
        <v>0.77966100000000005</v>
      </c>
      <c r="G74">
        <v>73.340608500000002</v>
      </c>
      <c r="H74">
        <v>-32</v>
      </c>
      <c r="I74">
        <v>-32</v>
      </c>
      <c r="J74">
        <v>1.18</v>
      </c>
      <c r="K74">
        <v>11.089843500000001</v>
      </c>
      <c r="L74">
        <v>1.595129411742169</v>
      </c>
      <c r="M74">
        <v>-1.837557915181852</v>
      </c>
      <c r="N74">
        <v>-1.080048452244992</v>
      </c>
      <c r="O74">
        <v>-0.94944853779760341</v>
      </c>
    </row>
    <row r="75" spans="1:15" x14ac:dyDescent="0.25">
      <c r="A75">
        <v>41.166282750000001</v>
      </c>
      <c r="B75">
        <v>-51.287120000000002</v>
      </c>
      <c r="C75">
        <v>-48.353520500000002</v>
      </c>
      <c r="D75">
        <v>61.154252999999997</v>
      </c>
      <c r="E75">
        <v>10.773925</v>
      </c>
      <c r="F75">
        <v>0.77966100000000005</v>
      </c>
      <c r="G75">
        <v>72.620397499999996</v>
      </c>
      <c r="H75">
        <v>-32</v>
      </c>
      <c r="I75">
        <v>-28</v>
      </c>
      <c r="J75">
        <v>1.18</v>
      </c>
      <c r="K75">
        <v>11.03466925</v>
      </c>
      <c r="L75">
        <v>1.477355897376899</v>
      </c>
      <c r="M75">
        <v>-1.855642166138515</v>
      </c>
      <c r="N75">
        <v>-1.02065994514831</v>
      </c>
      <c r="O75">
        <v>-0.83505481952636862</v>
      </c>
    </row>
    <row r="76" spans="1:15" x14ac:dyDescent="0.25">
      <c r="A76">
        <v>40.170597749999999</v>
      </c>
      <c r="B76">
        <v>-46.102403500000001</v>
      </c>
      <c r="C76">
        <v>-39.608191750000003</v>
      </c>
      <c r="D76">
        <v>66.323453999999998</v>
      </c>
      <c r="E76">
        <v>16.764394249999999</v>
      </c>
      <c r="F76">
        <v>0.82838750000000005</v>
      </c>
      <c r="G76">
        <v>74.340892999999994</v>
      </c>
      <c r="H76">
        <v>-32</v>
      </c>
      <c r="I76">
        <v>-24</v>
      </c>
      <c r="J76">
        <v>1.18</v>
      </c>
      <c r="K76">
        <v>11.162322</v>
      </c>
      <c r="L76">
        <v>1.3381285550815609</v>
      </c>
      <c r="M76">
        <v>-1.88574367451145</v>
      </c>
      <c r="N76">
        <v>-0.9657499295630031</v>
      </c>
      <c r="O76">
        <v>-0.73271916726135966</v>
      </c>
    </row>
    <row r="77" spans="1:15" x14ac:dyDescent="0.25">
      <c r="A77">
        <v>36.607298749999998</v>
      </c>
      <c r="B77">
        <v>-42.891161250000003</v>
      </c>
      <c r="C77">
        <v>-30.31119825</v>
      </c>
      <c r="D77">
        <v>69.784190999999993</v>
      </c>
      <c r="E77">
        <v>20.47490775</v>
      </c>
      <c r="F77">
        <v>0.73093425000000001</v>
      </c>
      <c r="G77">
        <v>74.861028500000003</v>
      </c>
      <c r="H77">
        <v>-32</v>
      </c>
      <c r="I77">
        <v>-20</v>
      </c>
      <c r="J77">
        <v>1.18</v>
      </c>
      <c r="K77">
        <v>11.209109249999999</v>
      </c>
      <c r="L77">
        <v>1.172445462837137</v>
      </c>
      <c r="M77">
        <v>-1.974133096907446</v>
      </c>
      <c r="N77">
        <v>-0.95287848066593805</v>
      </c>
      <c r="O77">
        <v>-0.65408185113772055</v>
      </c>
    </row>
    <row r="78" spans="1:15" x14ac:dyDescent="0.25">
      <c r="A78">
        <v>33.312193000000001</v>
      </c>
      <c r="B78">
        <v>-39.580793499999999</v>
      </c>
      <c r="C78">
        <v>-19.261471499999999</v>
      </c>
      <c r="D78">
        <v>72.938277999999997</v>
      </c>
      <c r="E78">
        <v>25.392457499999999</v>
      </c>
      <c r="F78">
        <v>0.87711399999999995</v>
      </c>
      <c r="G78">
        <v>75.741281499999999</v>
      </c>
      <c r="H78">
        <v>-32</v>
      </c>
      <c r="I78">
        <v>-16</v>
      </c>
      <c r="J78">
        <v>1.18</v>
      </c>
      <c r="K78">
        <v>11.26447475</v>
      </c>
      <c r="L78">
        <v>0.95911056751399471</v>
      </c>
      <c r="M78">
        <v>-2.0529366141534902</v>
      </c>
      <c r="N78">
        <v>-0.91867686749626243</v>
      </c>
      <c r="O78">
        <v>-0.55280698031987885</v>
      </c>
    </row>
    <row r="79" spans="1:15" x14ac:dyDescent="0.25">
      <c r="A79">
        <v>28.798347499999998</v>
      </c>
      <c r="B79">
        <v>-38.567895</v>
      </c>
      <c r="C79">
        <v>-9.2467287499999991</v>
      </c>
      <c r="D79">
        <v>75.303849999999997</v>
      </c>
      <c r="E79">
        <v>28.566510999999998</v>
      </c>
      <c r="F79">
        <v>0.77966075000000001</v>
      </c>
      <c r="G79">
        <v>76.661536999999996</v>
      </c>
      <c r="H79">
        <v>-32</v>
      </c>
      <c r="I79">
        <v>-12</v>
      </c>
      <c r="J79">
        <v>1.18</v>
      </c>
      <c r="K79">
        <v>11.340777750000001</v>
      </c>
      <c r="L79">
        <v>0.72502609379974403</v>
      </c>
      <c r="M79">
        <v>-2.1700986709200851</v>
      </c>
      <c r="N79">
        <v>-0.91657557568069381</v>
      </c>
      <c r="O79">
        <v>-0.47046864465084048</v>
      </c>
    </row>
    <row r="80" spans="1:15" x14ac:dyDescent="0.25">
      <c r="A80">
        <v>22.704656</v>
      </c>
      <c r="B80">
        <v>-37.850933249999997</v>
      </c>
      <c r="C80">
        <v>4.5263500000000012E-2</v>
      </c>
      <c r="D80">
        <v>76.092369000000005</v>
      </c>
      <c r="E80">
        <v>30.175891499999999</v>
      </c>
      <c r="F80">
        <v>0.77966100000000005</v>
      </c>
      <c r="G80">
        <v>76.821586999999994</v>
      </c>
      <c r="H80">
        <v>-32</v>
      </c>
      <c r="I80">
        <v>-8</v>
      </c>
      <c r="J80">
        <v>1.18</v>
      </c>
      <c r="K80">
        <v>11.352736</v>
      </c>
      <c r="L80">
        <v>0.4616789731371454</v>
      </c>
      <c r="M80">
        <v>-2.3216602058248199</v>
      </c>
      <c r="N80">
        <v>-0.95043233094190593</v>
      </c>
      <c r="O80">
        <v>-0.40103984441337459</v>
      </c>
    </row>
    <row r="81" spans="1:15" x14ac:dyDescent="0.25">
      <c r="A81">
        <v>16.114442499999999</v>
      </c>
      <c r="B81">
        <v>-36.800689499999997</v>
      </c>
      <c r="C81">
        <v>9.3937305000000002</v>
      </c>
      <c r="D81">
        <v>76.880892000000003</v>
      </c>
      <c r="E81">
        <v>32.142911750000003</v>
      </c>
      <c r="F81">
        <v>0.77966100000000005</v>
      </c>
      <c r="G81">
        <v>77.301720000000003</v>
      </c>
      <c r="H81">
        <v>-32</v>
      </c>
      <c r="I81">
        <v>-4</v>
      </c>
      <c r="J81">
        <v>1.18</v>
      </c>
      <c r="K81">
        <v>11.388521000000001</v>
      </c>
      <c r="L81">
        <v>0.14657239701265751</v>
      </c>
      <c r="M81">
        <v>-2.479707430687307</v>
      </c>
      <c r="N81">
        <v>-0.98506641521559235</v>
      </c>
      <c r="O81">
        <v>-0.31593040173825171</v>
      </c>
    </row>
    <row r="82" spans="1:15" x14ac:dyDescent="0.25">
      <c r="A82">
        <v>8.6665969999999994</v>
      </c>
      <c r="B82">
        <v>-37.181964749999999</v>
      </c>
      <c r="C82">
        <v>16.66483225</v>
      </c>
      <c r="D82">
        <v>77.187538000000004</v>
      </c>
      <c r="E82">
        <v>32.277025250000001</v>
      </c>
      <c r="F82">
        <v>0.77966100000000005</v>
      </c>
      <c r="G82">
        <v>77.621803</v>
      </c>
      <c r="H82">
        <v>-32</v>
      </c>
      <c r="I82">
        <v>0</v>
      </c>
      <c r="J82">
        <v>1.18</v>
      </c>
      <c r="K82">
        <v>11.412314</v>
      </c>
      <c r="L82">
        <v>-0.17188963325762699</v>
      </c>
      <c r="M82">
        <v>-2.4577526150539271</v>
      </c>
      <c r="N82">
        <v>-0.97445131928367912</v>
      </c>
      <c r="O82">
        <v>-0.32315615705078371</v>
      </c>
    </row>
    <row r="83" spans="1:15" x14ac:dyDescent="0.25">
      <c r="A83">
        <v>-0.58557275000000009</v>
      </c>
      <c r="B83">
        <v>-37.373831750000001</v>
      </c>
      <c r="C83">
        <v>24.88433075</v>
      </c>
      <c r="D83">
        <v>76.968502000000001</v>
      </c>
      <c r="E83">
        <v>32.053502000000002</v>
      </c>
      <c r="F83">
        <v>0.92584049999999996</v>
      </c>
      <c r="G83">
        <v>77.901889749999995</v>
      </c>
      <c r="H83">
        <v>-32</v>
      </c>
      <c r="I83">
        <v>4</v>
      </c>
      <c r="J83">
        <v>1.18</v>
      </c>
      <c r="K83">
        <v>11.4222535</v>
      </c>
      <c r="L83">
        <v>-0.49908721470505818</v>
      </c>
      <c r="M83">
        <v>-2.2405515209724292</v>
      </c>
      <c r="N83">
        <v>-0.8984063224795803</v>
      </c>
      <c r="O83">
        <v>-0.39005317754812052</v>
      </c>
    </row>
    <row r="84" spans="1:15" x14ac:dyDescent="0.25">
      <c r="A84">
        <v>-9.6394204999999999</v>
      </c>
      <c r="B84">
        <v>-37.661724999999997</v>
      </c>
      <c r="C84">
        <v>31.432848</v>
      </c>
      <c r="D84">
        <v>77.056117999999998</v>
      </c>
      <c r="E84">
        <v>31.472336250000001</v>
      </c>
      <c r="F84">
        <v>0.87711399999999995</v>
      </c>
      <c r="G84">
        <v>78.582076999999998</v>
      </c>
      <c r="H84">
        <v>-32</v>
      </c>
      <c r="I84">
        <v>8</v>
      </c>
      <c r="J84">
        <v>1.18</v>
      </c>
      <c r="K84">
        <v>11.476205</v>
      </c>
      <c r="L84">
        <v>-0.74510498786052426</v>
      </c>
      <c r="M84">
        <v>-2.081156263513416</v>
      </c>
      <c r="N84">
        <v>-0.85465291332076521</v>
      </c>
      <c r="O84">
        <v>-0.44497517465836572</v>
      </c>
    </row>
    <row r="85" spans="1:15" x14ac:dyDescent="0.25">
      <c r="A85">
        <v>-19.41397525</v>
      </c>
      <c r="B85">
        <v>-37.901558999999999</v>
      </c>
      <c r="C85">
        <v>36.807140750000002</v>
      </c>
      <c r="D85">
        <v>75.960950749999995</v>
      </c>
      <c r="E85">
        <v>28.8347415</v>
      </c>
      <c r="F85">
        <v>0.87711399999999995</v>
      </c>
      <c r="G85">
        <v>78.902161000000007</v>
      </c>
      <c r="H85">
        <v>-32</v>
      </c>
      <c r="I85">
        <v>12</v>
      </c>
      <c r="J85">
        <v>1.18</v>
      </c>
      <c r="K85">
        <v>11.499817</v>
      </c>
      <c r="L85">
        <v>-0.9779099676571662</v>
      </c>
      <c r="M85">
        <v>-1.980486852289989</v>
      </c>
      <c r="N85">
        <v>-0.87087530939180779</v>
      </c>
      <c r="O85">
        <v>-0.51372621661830831</v>
      </c>
    </row>
    <row r="86" spans="1:15" x14ac:dyDescent="0.25">
      <c r="A86">
        <v>-28.783130750000002</v>
      </c>
      <c r="B86">
        <v>-38.232087999999997</v>
      </c>
      <c r="C86">
        <v>41.955606500000002</v>
      </c>
      <c r="D86">
        <v>74.427709750000005</v>
      </c>
      <c r="E86">
        <v>25.750098000000001</v>
      </c>
      <c r="F86">
        <v>0.82838750000000005</v>
      </c>
      <c r="G86">
        <v>79.26227025</v>
      </c>
      <c r="H86">
        <v>-32</v>
      </c>
      <c r="I86">
        <v>16</v>
      </c>
      <c r="J86">
        <v>1.18</v>
      </c>
      <c r="K86">
        <v>11.529904500000001</v>
      </c>
      <c r="L86">
        <v>-1.193779587718969</v>
      </c>
      <c r="M86">
        <v>-1.9012207208112091</v>
      </c>
      <c r="N86">
        <v>-0.90309783623242545</v>
      </c>
      <c r="O86">
        <v>-0.57946341769127219</v>
      </c>
    </row>
    <row r="87" spans="1:15" x14ac:dyDescent="0.25">
      <c r="A87">
        <v>-38.332465249999998</v>
      </c>
      <c r="B87">
        <v>-42.123546500000003</v>
      </c>
      <c r="C87">
        <v>46.381510749999997</v>
      </c>
      <c r="D87">
        <v>72.544019750000004</v>
      </c>
      <c r="E87">
        <v>21.234892500000001</v>
      </c>
      <c r="F87">
        <v>0.92584049999999996</v>
      </c>
      <c r="G87">
        <v>80.10250099999999</v>
      </c>
      <c r="H87">
        <v>-32</v>
      </c>
      <c r="I87">
        <v>20</v>
      </c>
      <c r="J87">
        <v>1.18</v>
      </c>
      <c r="K87">
        <v>11.584373250000001</v>
      </c>
      <c r="L87">
        <v>-1.3783029886095211</v>
      </c>
      <c r="M87">
        <v>-1.8656328117366401</v>
      </c>
      <c r="N87">
        <v>-0.95779571186655577</v>
      </c>
      <c r="O87">
        <v>-0.6695626178452796</v>
      </c>
    </row>
    <row r="88" spans="1:15" x14ac:dyDescent="0.25">
      <c r="A88">
        <v>-48.422327000000003</v>
      </c>
      <c r="B88">
        <v>-49.224098249999997</v>
      </c>
      <c r="C88">
        <v>49.226726499999998</v>
      </c>
      <c r="D88">
        <v>68.864249999999998</v>
      </c>
      <c r="E88">
        <v>13.8585695</v>
      </c>
      <c r="F88">
        <v>0.97456699999999996</v>
      </c>
      <c r="G88">
        <v>80.022475999999997</v>
      </c>
      <c r="H88">
        <v>-32</v>
      </c>
      <c r="I88">
        <v>24</v>
      </c>
      <c r="J88">
        <v>1.18</v>
      </c>
      <c r="K88">
        <v>11.574952</v>
      </c>
      <c r="L88">
        <v>-1.5578510467242981</v>
      </c>
      <c r="M88">
        <v>-1.883935209321838</v>
      </c>
      <c r="N88">
        <v>-1.055553436755708</v>
      </c>
      <c r="O88">
        <v>-0.79445283650912191</v>
      </c>
    </row>
    <row r="89" spans="1:15" x14ac:dyDescent="0.25">
      <c r="A89">
        <v>-58.692363</v>
      </c>
      <c r="B89">
        <v>-58.523411500000002</v>
      </c>
      <c r="C89">
        <v>50.671912250000013</v>
      </c>
      <c r="D89">
        <v>65.140666999999993</v>
      </c>
      <c r="E89">
        <v>4.8281609999999997</v>
      </c>
      <c r="F89">
        <v>0.92584049999999996</v>
      </c>
      <c r="G89">
        <v>80.622648499999997</v>
      </c>
      <c r="H89">
        <v>-32</v>
      </c>
      <c r="I89">
        <v>28</v>
      </c>
      <c r="J89">
        <v>1.18</v>
      </c>
      <c r="K89">
        <v>11.62236</v>
      </c>
      <c r="L89">
        <v>-1.7240286983418009</v>
      </c>
      <c r="M89">
        <v>-1.9494469919957831</v>
      </c>
      <c r="N89">
        <v>-1.1948561237881099</v>
      </c>
      <c r="O89">
        <v>-0.938509651992256</v>
      </c>
    </row>
    <row r="90" spans="1:15" x14ac:dyDescent="0.25">
      <c r="A90">
        <v>-68.286737500000001</v>
      </c>
      <c r="B90">
        <v>-67.877542750000003</v>
      </c>
      <c r="C90">
        <v>52.162258999999999</v>
      </c>
      <c r="D90">
        <v>60.234310000000001</v>
      </c>
      <c r="E90">
        <v>-5.3074965000000001</v>
      </c>
      <c r="F90">
        <v>0.97456699999999996</v>
      </c>
      <c r="G90">
        <v>81.302841000000001</v>
      </c>
      <c r="H90">
        <v>-32</v>
      </c>
      <c r="I90">
        <v>32</v>
      </c>
      <c r="J90">
        <v>1.1825000000000001</v>
      </c>
      <c r="K90">
        <v>11.656034500000001</v>
      </c>
      <c r="L90">
        <v>-1.918750258096926</v>
      </c>
      <c r="M90">
        <v>-2.0408270963917658</v>
      </c>
      <c r="N90">
        <v>-1.379728234971384</v>
      </c>
      <c r="O90">
        <v>-1.1000558366702189</v>
      </c>
    </row>
    <row r="91" spans="1:15" x14ac:dyDescent="0.25">
      <c r="A91">
        <v>-77.745985000000005</v>
      </c>
      <c r="B91">
        <v>-77.999244750000003</v>
      </c>
      <c r="C91">
        <v>52.839685500000002</v>
      </c>
      <c r="D91">
        <v>54.539427000000003</v>
      </c>
      <c r="E91">
        <v>-16.859107999999999</v>
      </c>
      <c r="F91">
        <v>0.97456699999999996</v>
      </c>
      <c r="G91">
        <v>81.342851499999995</v>
      </c>
      <c r="H91">
        <v>-32</v>
      </c>
      <c r="I91">
        <v>36</v>
      </c>
      <c r="J91">
        <v>1.18</v>
      </c>
      <c r="K91">
        <v>11.6712215</v>
      </c>
      <c r="L91">
        <v>-2.1402791374870191</v>
      </c>
      <c r="M91">
        <v>-2.1722906091352852</v>
      </c>
      <c r="N91">
        <v>-1.6095188885595959</v>
      </c>
      <c r="O91">
        <v>-1.2922769767895681</v>
      </c>
    </row>
    <row r="92" spans="1:15" x14ac:dyDescent="0.25">
      <c r="A92">
        <v>-87.385406500000002</v>
      </c>
      <c r="B92">
        <v>-88.984388499999994</v>
      </c>
      <c r="C92">
        <v>52.5235585</v>
      </c>
      <c r="D92">
        <v>48.099823999999998</v>
      </c>
      <c r="E92">
        <v>-30.373155499999999</v>
      </c>
      <c r="F92">
        <v>0.97456699999999996</v>
      </c>
      <c r="G92">
        <v>81.903011499999991</v>
      </c>
      <c r="H92">
        <v>-32</v>
      </c>
      <c r="I92">
        <v>40</v>
      </c>
      <c r="J92">
        <v>1.1875</v>
      </c>
      <c r="K92">
        <v>11.67484275</v>
      </c>
      <c r="L92">
        <v>-2.420200659621039</v>
      </c>
      <c r="M92">
        <v>-2.371359176676255</v>
      </c>
      <c r="N92">
        <v>-1.9423323430929811</v>
      </c>
      <c r="O92">
        <v>-1.5423346559431781</v>
      </c>
    </row>
    <row r="93" spans="1:15" x14ac:dyDescent="0.25">
      <c r="A93">
        <v>-93.151040749999993</v>
      </c>
      <c r="B93">
        <v>-96.323841250000001</v>
      </c>
      <c r="C93">
        <v>50.671912249999998</v>
      </c>
      <c r="D93">
        <v>41.835450250000001</v>
      </c>
      <c r="E93">
        <v>-42.459974500000001</v>
      </c>
      <c r="F93">
        <v>0.97456699999999996</v>
      </c>
      <c r="G93">
        <v>82.263107000000005</v>
      </c>
      <c r="H93">
        <v>-32</v>
      </c>
      <c r="I93">
        <v>44</v>
      </c>
      <c r="J93">
        <v>1.18</v>
      </c>
      <c r="K93">
        <v>11.737852999999999</v>
      </c>
      <c r="L93">
        <v>-2.7513381427729091</v>
      </c>
      <c r="M93">
        <v>-2.6429346924432471</v>
      </c>
      <c r="N93">
        <v>-2.386108175974555</v>
      </c>
      <c r="O93">
        <v>-1.831006825860827</v>
      </c>
    </row>
    <row r="94" spans="1:15" x14ac:dyDescent="0.25">
      <c r="A94">
        <v>54.027207500000003</v>
      </c>
      <c r="B94">
        <v>-94.021265249999999</v>
      </c>
      <c r="C94">
        <v>-91.198259250000007</v>
      </c>
      <c r="D94">
        <v>43.543916750000001</v>
      </c>
      <c r="E94">
        <v>-16.413099750000001</v>
      </c>
      <c r="F94">
        <v>0.97456699999999996</v>
      </c>
      <c r="G94">
        <v>82.663219499999997</v>
      </c>
      <c r="H94">
        <v>-28</v>
      </c>
      <c r="I94">
        <v>-44</v>
      </c>
      <c r="J94">
        <v>1.18</v>
      </c>
      <c r="K94">
        <v>11.7667035</v>
      </c>
      <c r="L94">
        <v>1.905936317098204</v>
      </c>
      <c r="M94">
        <v>-1.80540412987875</v>
      </c>
      <c r="N94">
        <v>-1.300281687196418</v>
      </c>
      <c r="O94">
        <v>-1.2282006292934231</v>
      </c>
    </row>
    <row r="95" spans="1:15" x14ac:dyDescent="0.25">
      <c r="A95">
        <v>56.5096645</v>
      </c>
      <c r="B95">
        <v>-84.289199749999995</v>
      </c>
      <c r="C95">
        <v>-83.530754000000002</v>
      </c>
      <c r="D95">
        <v>50.640618000000003</v>
      </c>
      <c r="E95">
        <v>-5.6643027500000001</v>
      </c>
      <c r="F95">
        <v>0.97456699999999996</v>
      </c>
      <c r="G95">
        <v>83.543464999999998</v>
      </c>
      <c r="H95">
        <v>-28</v>
      </c>
      <c r="I95">
        <v>-40</v>
      </c>
      <c r="J95">
        <v>1.18</v>
      </c>
      <c r="K95">
        <v>11.829931999999999</v>
      </c>
      <c r="L95">
        <v>1.7897508838124221</v>
      </c>
      <c r="M95">
        <v>-1.7244437589027819</v>
      </c>
      <c r="N95">
        <v>-1.1401016184978721</v>
      </c>
      <c r="O95">
        <v>-1.084846136079797</v>
      </c>
    </row>
    <row r="96" spans="1:15" x14ac:dyDescent="0.25">
      <c r="A96">
        <v>56.821920249999998</v>
      </c>
      <c r="B96">
        <v>-71.192491750000002</v>
      </c>
      <c r="C96">
        <v>-71.127428000000009</v>
      </c>
      <c r="D96">
        <v>57.167832500000003</v>
      </c>
      <c r="E96">
        <v>5.4093257499999998</v>
      </c>
      <c r="F96">
        <v>0.97456699999999996</v>
      </c>
      <c r="G96">
        <v>83.223381000000003</v>
      </c>
      <c r="H96">
        <v>-28</v>
      </c>
      <c r="I96">
        <v>-36</v>
      </c>
      <c r="J96">
        <v>1.18</v>
      </c>
      <c r="K96">
        <v>11.806979999999999</v>
      </c>
      <c r="L96">
        <v>1.6710224336334161</v>
      </c>
      <c r="M96">
        <v>-1.6763954033454409</v>
      </c>
      <c r="N96">
        <v>-1.0162555482940661</v>
      </c>
      <c r="O96">
        <v>-0.94207773552680218</v>
      </c>
    </row>
    <row r="97" spans="1:15" x14ac:dyDescent="0.25">
      <c r="A97">
        <v>56.603634</v>
      </c>
      <c r="B97">
        <v>-60.682017999999999</v>
      </c>
      <c r="C97">
        <v>-59.581056750000002</v>
      </c>
      <c r="D97">
        <v>63.6950425</v>
      </c>
      <c r="E97">
        <v>14.707963749999999</v>
      </c>
      <c r="F97">
        <v>1.0232935000000001</v>
      </c>
      <c r="G97">
        <v>83.743524500000007</v>
      </c>
      <c r="H97">
        <v>-28</v>
      </c>
      <c r="I97">
        <v>-32</v>
      </c>
      <c r="J97">
        <v>1.18</v>
      </c>
      <c r="K97">
        <v>11.840768000000001</v>
      </c>
      <c r="L97">
        <v>1.552449454878756</v>
      </c>
      <c r="M97">
        <v>-1.6619317474750059</v>
      </c>
      <c r="N97">
        <v>-0.92245983722850966</v>
      </c>
      <c r="O97">
        <v>-0.81713837627537889</v>
      </c>
    </row>
    <row r="98" spans="1:15" x14ac:dyDescent="0.25">
      <c r="A98">
        <v>53.759913500000003</v>
      </c>
      <c r="B98">
        <v>-48.542279999999998</v>
      </c>
      <c r="C98">
        <v>-45.193201999999999</v>
      </c>
      <c r="D98">
        <v>66.630098250000003</v>
      </c>
      <c r="E98">
        <v>22.576042000000001</v>
      </c>
      <c r="F98">
        <v>0.92584049999999996</v>
      </c>
      <c r="G98">
        <v>81.102783250000002</v>
      </c>
      <c r="H98">
        <v>-28</v>
      </c>
      <c r="I98">
        <v>-28</v>
      </c>
      <c r="J98">
        <v>1.18</v>
      </c>
      <c r="K98">
        <v>11.657309</v>
      </c>
      <c r="L98">
        <v>1.424941902852048</v>
      </c>
      <c r="M98">
        <v>-1.658493855543107</v>
      </c>
      <c r="N98">
        <v>-0.84278881521552451</v>
      </c>
      <c r="O98">
        <v>-0.6882268359265622</v>
      </c>
    </row>
    <row r="99" spans="1:15" x14ac:dyDescent="0.25">
      <c r="A99">
        <v>50.006853999999997</v>
      </c>
      <c r="B99">
        <v>-37.755012499999999</v>
      </c>
      <c r="C99">
        <v>-31.256376750000001</v>
      </c>
      <c r="D99">
        <v>68.20715125000001</v>
      </c>
      <c r="E99">
        <v>29.237086000000001</v>
      </c>
      <c r="F99">
        <v>0.82838750000000005</v>
      </c>
      <c r="G99">
        <v>78.101944000000003</v>
      </c>
      <c r="H99">
        <v>-28</v>
      </c>
      <c r="I99">
        <v>-24</v>
      </c>
      <c r="J99">
        <v>1.1850000000000001</v>
      </c>
      <c r="K99">
        <v>11.420215750000001</v>
      </c>
      <c r="L99">
        <v>1.274866730306556</v>
      </c>
      <c r="M99">
        <v>-1.6623445230553771</v>
      </c>
      <c r="N99">
        <v>-0.76660096621336016</v>
      </c>
      <c r="O99">
        <v>-0.55432169560799016</v>
      </c>
    </row>
    <row r="100" spans="1:15" x14ac:dyDescent="0.25">
      <c r="A100">
        <v>44.774414749999998</v>
      </c>
      <c r="B100">
        <v>-33.003346749999999</v>
      </c>
      <c r="C100">
        <v>-20.747378250000001</v>
      </c>
      <c r="D100">
        <v>69.784193000000002</v>
      </c>
      <c r="E100">
        <v>32.858191499999997</v>
      </c>
      <c r="F100">
        <v>0.82838750000000005</v>
      </c>
      <c r="G100">
        <v>75.901323500000004</v>
      </c>
      <c r="H100">
        <v>-28</v>
      </c>
      <c r="I100">
        <v>-20</v>
      </c>
      <c r="J100">
        <v>1.19</v>
      </c>
      <c r="K100">
        <v>11.23267225</v>
      </c>
      <c r="L100">
        <v>1.0969019221798491</v>
      </c>
      <c r="M100">
        <v>-1.720773122719933</v>
      </c>
      <c r="N100">
        <v>-0.72058818111213663</v>
      </c>
      <c r="O100">
        <v>-0.46378969505427531</v>
      </c>
    </row>
    <row r="101" spans="1:15" x14ac:dyDescent="0.25">
      <c r="A101">
        <v>39.355597500000002</v>
      </c>
      <c r="B101">
        <v>-27.870576</v>
      </c>
      <c r="C101">
        <v>-9.7873504999999987</v>
      </c>
      <c r="D101">
        <v>69.12709000000001</v>
      </c>
      <c r="E101">
        <v>35.942836499999999</v>
      </c>
      <c r="F101">
        <v>0.73093425000000001</v>
      </c>
      <c r="G101">
        <v>72.900482000000011</v>
      </c>
      <c r="H101">
        <v>-28</v>
      </c>
      <c r="I101">
        <v>-16</v>
      </c>
      <c r="J101">
        <v>1.1825000000000001</v>
      </c>
      <c r="K101">
        <v>11.048228249999999</v>
      </c>
      <c r="L101">
        <v>0.89724353411456093</v>
      </c>
      <c r="M101">
        <v>-1.770945638756154</v>
      </c>
      <c r="N101">
        <v>-0.67476842448667962</v>
      </c>
      <c r="O101">
        <v>-0.35712147772439018</v>
      </c>
    </row>
    <row r="102" spans="1:15" x14ac:dyDescent="0.25">
      <c r="A102">
        <v>34.395516499999999</v>
      </c>
      <c r="B102">
        <v>-25.374372749999999</v>
      </c>
      <c r="C102">
        <v>-0.67648374999999994</v>
      </c>
      <c r="D102">
        <v>70.090835999999996</v>
      </c>
      <c r="E102">
        <v>38.40160925</v>
      </c>
      <c r="F102">
        <v>0.73093425000000001</v>
      </c>
      <c r="G102">
        <v>72.380334750000003</v>
      </c>
      <c r="H102">
        <v>-28</v>
      </c>
      <c r="I102">
        <v>-12</v>
      </c>
      <c r="J102">
        <v>1.18</v>
      </c>
      <c r="K102">
        <v>11.019956499999999</v>
      </c>
      <c r="L102">
        <v>0.68194434891468148</v>
      </c>
      <c r="M102">
        <v>-1.85633214543043</v>
      </c>
      <c r="N102">
        <v>-0.66071116626025428</v>
      </c>
      <c r="O102">
        <v>-0.26747985138268621</v>
      </c>
    </row>
    <row r="103" spans="1:15" x14ac:dyDescent="0.25">
      <c r="A103">
        <v>29.836532500000001</v>
      </c>
      <c r="B103">
        <v>-24.656569999999999</v>
      </c>
      <c r="C103">
        <v>7.8130565000000001</v>
      </c>
      <c r="D103">
        <v>72.631633999999991</v>
      </c>
      <c r="E103">
        <v>41.307434999999998</v>
      </c>
      <c r="F103">
        <v>0.77966100000000005</v>
      </c>
      <c r="G103">
        <v>74.100822249999993</v>
      </c>
      <c r="H103">
        <v>-28</v>
      </c>
      <c r="I103">
        <v>-8</v>
      </c>
      <c r="J103">
        <v>1.18</v>
      </c>
      <c r="K103">
        <v>11.147783499999999</v>
      </c>
      <c r="L103">
        <v>0.44285880813478679</v>
      </c>
      <c r="M103">
        <v>-1.9563678100639159</v>
      </c>
      <c r="N103">
        <v>-0.65944808520081477</v>
      </c>
      <c r="O103">
        <v>-0.18502567644093559</v>
      </c>
    </row>
    <row r="104" spans="1:15" x14ac:dyDescent="0.25">
      <c r="A104">
        <v>23.651025000000001</v>
      </c>
      <c r="B104">
        <v>-24.319105499999999</v>
      </c>
      <c r="C104">
        <v>15.94223875</v>
      </c>
      <c r="D104">
        <v>73.420151000000004</v>
      </c>
      <c r="E104">
        <v>42.29094525</v>
      </c>
      <c r="F104">
        <v>0.87711399999999995</v>
      </c>
      <c r="G104">
        <v>74.660976500000004</v>
      </c>
      <c r="H104">
        <v>-28</v>
      </c>
      <c r="I104">
        <v>-4</v>
      </c>
      <c r="J104">
        <v>1.18</v>
      </c>
      <c r="K104">
        <v>11.182902</v>
      </c>
      <c r="L104">
        <v>0.16585568249597191</v>
      </c>
      <c r="M104">
        <v>-2.1028544556126718</v>
      </c>
      <c r="N104">
        <v>-0.69644283495568104</v>
      </c>
      <c r="O104">
        <v>-0.1089859157506244</v>
      </c>
    </row>
    <row r="105" spans="1:15" x14ac:dyDescent="0.25">
      <c r="A105">
        <v>16.789314999999998</v>
      </c>
      <c r="B105">
        <v>-24.271139000000002</v>
      </c>
      <c r="C105">
        <v>23.84561025</v>
      </c>
      <c r="D105">
        <v>74.383903500000002</v>
      </c>
      <c r="E105">
        <v>43.319159499999998</v>
      </c>
      <c r="F105">
        <v>0.82838750000000005</v>
      </c>
      <c r="G105">
        <v>75.581239500000009</v>
      </c>
      <c r="H105">
        <v>-28</v>
      </c>
      <c r="I105">
        <v>0</v>
      </c>
      <c r="J105">
        <v>1.18</v>
      </c>
      <c r="K105">
        <v>11.25609425</v>
      </c>
      <c r="L105">
        <v>-0.14994088627270441</v>
      </c>
      <c r="M105">
        <v>-2.0963629572734099</v>
      </c>
      <c r="N105">
        <v>-0.68554975727291612</v>
      </c>
      <c r="O105">
        <v>-9.7093065714372193E-2</v>
      </c>
    </row>
    <row r="106" spans="1:15" x14ac:dyDescent="0.25">
      <c r="A106">
        <v>8.0335900000000002</v>
      </c>
      <c r="B106">
        <v>-24.5623465</v>
      </c>
      <c r="C106">
        <v>31.83930775</v>
      </c>
      <c r="D106">
        <v>75.128624000000002</v>
      </c>
      <c r="E106">
        <v>43.497978500000002</v>
      </c>
      <c r="F106">
        <v>0.97456699999999996</v>
      </c>
      <c r="G106">
        <v>76.621524749999992</v>
      </c>
      <c r="H106">
        <v>-28</v>
      </c>
      <c r="I106">
        <v>4</v>
      </c>
      <c r="J106">
        <v>1.18</v>
      </c>
      <c r="K106">
        <v>11.3232135</v>
      </c>
      <c r="L106">
        <v>-0.45989050080690352</v>
      </c>
      <c r="M106">
        <v>-1.925941512362463</v>
      </c>
      <c r="N106">
        <v>-0.63991423116500146</v>
      </c>
      <c r="O106">
        <v>-0.17848209947303811</v>
      </c>
    </row>
    <row r="107" spans="1:15" x14ac:dyDescent="0.25">
      <c r="A107">
        <v>-0.40529850000000001</v>
      </c>
      <c r="B107">
        <v>-24.464716500000002</v>
      </c>
      <c r="C107">
        <v>37.755545750000003</v>
      </c>
      <c r="D107">
        <v>74.208677250000008</v>
      </c>
      <c r="E107">
        <v>42.290944000000003</v>
      </c>
      <c r="F107">
        <v>0.92584049999999996</v>
      </c>
      <c r="G107">
        <v>76.821586999999994</v>
      </c>
      <c r="H107">
        <v>-28</v>
      </c>
      <c r="I107">
        <v>8</v>
      </c>
      <c r="J107">
        <v>1.1825000000000001</v>
      </c>
      <c r="K107">
        <v>11.3298825</v>
      </c>
      <c r="L107">
        <v>-0.69730997032281694</v>
      </c>
      <c r="M107">
        <v>-1.8030449586412749</v>
      </c>
      <c r="N107">
        <v>-0.63097554836501291</v>
      </c>
      <c r="O107">
        <v>-0.24414260477094291</v>
      </c>
    </row>
    <row r="108" spans="1:15" x14ac:dyDescent="0.25">
      <c r="A108">
        <v>-8.9637607500000005</v>
      </c>
      <c r="B108">
        <v>-24.079272249999999</v>
      </c>
      <c r="C108">
        <v>43.445972500000003</v>
      </c>
      <c r="D108">
        <v>73.726800999999995</v>
      </c>
      <c r="E108">
        <v>40.502744749999998</v>
      </c>
      <c r="F108">
        <v>0.97456699999999996</v>
      </c>
      <c r="G108">
        <v>77.541781999999998</v>
      </c>
      <c r="H108">
        <v>-28</v>
      </c>
      <c r="I108">
        <v>12</v>
      </c>
      <c r="J108">
        <v>1.18</v>
      </c>
      <c r="K108">
        <v>11.391878999999999</v>
      </c>
      <c r="L108">
        <v>-0.91907420767126835</v>
      </c>
      <c r="M108">
        <v>-1.715162569967023</v>
      </c>
      <c r="N108">
        <v>-0.64952673730159516</v>
      </c>
      <c r="O108">
        <v>-0.30681157315955832</v>
      </c>
    </row>
    <row r="109" spans="1:15" x14ac:dyDescent="0.25">
      <c r="A109">
        <v>-18.19778625</v>
      </c>
      <c r="B109">
        <v>-25.281966749999999</v>
      </c>
      <c r="C109">
        <v>48.00734525</v>
      </c>
      <c r="D109">
        <v>72.193557999999996</v>
      </c>
      <c r="E109">
        <v>36.300475000000013</v>
      </c>
      <c r="F109">
        <v>0.82838750000000005</v>
      </c>
      <c r="G109">
        <v>78.101944000000003</v>
      </c>
      <c r="H109">
        <v>-28</v>
      </c>
      <c r="I109">
        <v>16</v>
      </c>
      <c r="J109">
        <v>1.1850000000000001</v>
      </c>
      <c r="K109">
        <v>11.420218</v>
      </c>
      <c r="L109">
        <v>-1.140673439362307</v>
      </c>
      <c r="M109">
        <v>-1.679441859240661</v>
      </c>
      <c r="N109">
        <v>-0.72021053471013385</v>
      </c>
      <c r="O109">
        <v>-0.38882400144765711</v>
      </c>
    </row>
    <row r="110" spans="1:15" x14ac:dyDescent="0.25">
      <c r="A110">
        <v>-27.341723500000001</v>
      </c>
      <c r="B110">
        <v>-29.307639999999999</v>
      </c>
      <c r="C110">
        <v>51.800964499999999</v>
      </c>
      <c r="D110">
        <v>69.565158999999994</v>
      </c>
      <c r="E110">
        <v>30.801763000000001</v>
      </c>
      <c r="F110">
        <v>0.82838750000000005</v>
      </c>
      <c r="G110">
        <v>78.342010499999986</v>
      </c>
      <c r="H110">
        <v>-28</v>
      </c>
      <c r="I110">
        <v>20</v>
      </c>
      <c r="J110">
        <v>1.1825000000000001</v>
      </c>
      <c r="K110">
        <v>11.450000749999999</v>
      </c>
      <c r="L110">
        <v>-1.3385318763466909</v>
      </c>
      <c r="M110">
        <v>-1.672229838338533</v>
      </c>
      <c r="N110">
        <v>-0.80404514321996501</v>
      </c>
      <c r="O110">
        <v>-0.49306052085589069</v>
      </c>
    </row>
    <row r="111" spans="1:15" x14ac:dyDescent="0.25">
      <c r="A111">
        <v>-36.350526000000002</v>
      </c>
      <c r="B111">
        <v>-36.310773750000003</v>
      </c>
      <c r="C111">
        <v>55.007472999999997</v>
      </c>
      <c r="D111">
        <v>66.148225999999994</v>
      </c>
      <c r="E111">
        <v>23.783076999999999</v>
      </c>
      <c r="F111">
        <v>0.87711399999999995</v>
      </c>
      <c r="G111">
        <v>79.102222499999996</v>
      </c>
      <c r="H111">
        <v>-28</v>
      </c>
      <c r="I111">
        <v>24</v>
      </c>
      <c r="J111">
        <v>1.19</v>
      </c>
      <c r="K111">
        <v>11.466065499999999</v>
      </c>
      <c r="L111">
        <v>-1.5197608113861549</v>
      </c>
      <c r="M111">
        <v>-1.704431614785745</v>
      </c>
      <c r="N111">
        <v>-0.92029284893915353</v>
      </c>
      <c r="O111">
        <v>-0.61893803253787794</v>
      </c>
    </row>
    <row r="112" spans="1:15" x14ac:dyDescent="0.25">
      <c r="A112">
        <v>-46.980916999999998</v>
      </c>
      <c r="B112">
        <v>-46.917944749999997</v>
      </c>
      <c r="C112">
        <v>56.768798750000002</v>
      </c>
      <c r="D112">
        <v>61.373280749999999</v>
      </c>
      <c r="E112">
        <v>13.3221095</v>
      </c>
      <c r="F112">
        <v>0.87711399999999995</v>
      </c>
      <c r="G112">
        <v>79.422313500000001</v>
      </c>
      <c r="H112">
        <v>-28</v>
      </c>
      <c r="I112">
        <v>28</v>
      </c>
      <c r="J112">
        <v>1.19</v>
      </c>
      <c r="K112">
        <v>11.48950425</v>
      </c>
      <c r="L112">
        <v>-1.721435493285058</v>
      </c>
      <c r="M112">
        <v>-1.7967582258562089</v>
      </c>
      <c r="N112">
        <v>-1.0968142090073361</v>
      </c>
      <c r="O112">
        <v>-0.79355645566522948</v>
      </c>
    </row>
    <row r="113" spans="1:15" x14ac:dyDescent="0.25">
      <c r="A113">
        <v>-57.205913500000001</v>
      </c>
      <c r="B113">
        <v>-57.899831749999997</v>
      </c>
      <c r="C113">
        <v>58.349471999999999</v>
      </c>
      <c r="D113">
        <v>56.729764000000003</v>
      </c>
      <c r="E113">
        <v>2.5929107500000002</v>
      </c>
      <c r="F113">
        <v>0.87711399999999995</v>
      </c>
      <c r="G113">
        <v>79.822423749999999</v>
      </c>
      <c r="H113">
        <v>-28</v>
      </c>
      <c r="I113">
        <v>32</v>
      </c>
      <c r="J113">
        <v>1.19</v>
      </c>
      <c r="K113">
        <v>11.518727</v>
      </c>
      <c r="L113">
        <v>-1.9213032715233931</v>
      </c>
      <c r="M113">
        <v>-1.9058996833788091</v>
      </c>
      <c r="N113">
        <v>-1.284120162781389</v>
      </c>
      <c r="O113">
        <v>-0.97150419730444559</v>
      </c>
    </row>
    <row r="114" spans="1:15" x14ac:dyDescent="0.25">
      <c r="A114">
        <v>-68.016479750000002</v>
      </c>
      <c r="B114">
        <v>-69.407786999999999</v>
      </c>
      <c r="C114">
        <v>58.665607250000001</v>
      </c>
      <c r="D114">
        <v>51.297721000000003</v>
      </c>
      <c r="E114">
        <v>-9.6783762499999995</v>
      </c>
      <c r="F114">
        <v>0.97456699999999996</v>
      </c>
      <c r="G114">
        <v>80.582638000000003</v>
      </c>
      <c r="H114">
        <v>-28</v>
      </c>
      <c r="I114">
        <v>36</v>
      </c>
      <c r="J114">
        <v>1.1825000000000001</v>
      </c>
      <c r="K114">
        <v>11.603668750000001</v>
      </c>
      <c r="L114">
        <v>-2.1459688385763669</v>
      </c>
      <c r="M114">
        <v>-2.044743158030041</v>
      </c>
      <c r="N114">
        <v>-1.5290379025980789</v>
      </c>
      <c r="O114">
        <v>-1.1805030890336961</v>
      </c>
    </row>
    <row r="115" spans="1:15" x14ac:dyDescent="0.25">
      <c r="A115">
        <v>-76.93519225</v>
      </c>
      <c r="B115">
        <v>-79.576723250000001</v>
      </c>
      <c r="C115">
        <v>58.530120750000002</v>
      </c>
      <c r="D115">
        <v>44.595279750000003</v>
      </c>
      <c r="E115">
        <v>-22.701813749999999</v>
      </c>
      <c r="F115">
        <v>0.97456699999999996</v>
      </c>
      <c r="G115">
        <v>80.662659000000005</v>
      </c>
      <c r="H115">
        <v>-28</v>
      </c>
      <c r="I115">
        <v>40</v>
      </c>
      <c r="J115">
        <v>1.18</v>
      </c>
      <c r="K115">
        <v>11.621727999999999</v>
      </c>
      <c r="L115">
        <v>-2.4384693353211588</v>
      </c>
      <c r="M115">
        <v>-2.2351596447861199</v>
      </c>
      <c r="N115">
        <v>-1.860679236415089</v>
      </c>
      <c r="O115">
        <v>-1.426216306817617</v>
      </c>
    </row>
    <row r="116" spans="1:15" x14ac:dyDescent="0.25">
      <c r="A116">
        <v>-84.232322749999994</v>
      </c>
      <c r="B116">
        <v>-87.88109</v>
      </c>
      <c r="C116">
        <v>57.039771000000002</v>
      </c>
      <c r="D116">
        <v>37.936646250000003</v>
      </c>
      <c r="E116">
        <v>-35.680652500000001</v>
      </c>
      <c r="F116">
        <v>0.87711399999999995</v>
      </c>
      <c r="G116">
        <v>81.182804250000004</v>
      </c>
      <c r="H116">
        <v>-28</v>
      </c>
      <c r="I116">
        <v>44</v>
      </c>
      <c r="J116">
        <v>1.18</v>
      </c>
      <c r="K116">
        <v>11.6666715</v>
      </c>
      <c r="L116">
        <v>-2.804350078604894</v>
      </c>
      <c r="M116">
        <v>-2.497584550903635</v>
      </c>
      <c r="N116">
        <v>-2.3198618165026268</v>
      </c>
      <c r="O116">
        <v>-1.7257220285964681</v>
      </c>
    </row>
    <row r="117" spans="1:15" x14ac:dyDescent="0.25">
      <c r="A117">
        <v>60.932941499999998</v>
      </c>
      <c r="B117">
        <v>-85.044924000000009</v>
      </c>
      <c r="C117">
        <v>-82.809101249999998</v>
      </c>
      <c r="D117">
        <v>38.593749000000003</v>
      </c>
      <c r="E117">
        <v>-10.4365895</v>
      </c>
      <c r="F117">
        <v>0.92584049999999996</v>
      </c>
      <c r="G117">
        <v>81.782973999999996</v>
      </c>
      <c r="H117">
        <v>-24</v>
      </c>
      <c r="I117">
        <v>-44</v>
      </c>
      <c r="J117">
        <v>1.18</v>
      </c>
      <c r="K117">
        <v>11.706663000000001</v>
      </c>
      <c r="L117">
        <v>1.955936067971197</v>
      </c>
      <c r="M117">
        <v>-1.682381838337617</v>
      </c>
      <c r="N117">
        <v>-1.254862067306433</v>
      </c>
      <c r="O117">
        <v>-1.1546157724770001</v>
      </c>
    </row>
    <row r="118" spans="1:15" x14ac:dyDescent="0.25">
      <c r="A118">
        <v>62.643977999999997</v>
      </c>
      <c r="B118">
        <v>-72.765453000000008</v>
      </c>
      <c r="C118">
        <v>-72.841341</v>
      </c>
      <c r="D118">
        <v>45.953290750000001</v>
      </c>
      <c r="E118">
        <v>1.6541075000000001</v>
      </c>
      <c r="F118">
        <v>1.0232935000000001</v>
      </c>
      <c r="G118">
        <v>81.782973999999996</v>
      </c>
      <c r="H118">
        <v>-24</v>
      </c>
      <c r="I118">
        <v>-40</v>
      </c>
      <c r="J118">
        <v>1.18</v>
      </c>
      <c r="K118">
        <v>11.69960625</v>
      </c>
      <c r="L118">
        <v>1.8196429539995611</v>
      </c>
      <c r="M118">
        <v>-1.594443756257357</v>
      </c>
      <c r="N118">
        <v>-1.0761863997966741</v>
      </c>
      <c r="O118">
        <v>-0.99151837318476699</v>
      </c>
    </row>
    <row r="119" spans="1:15" x14ac:dyDescent="0.25">
      <c r="A119">
        <v>63.542463249999997</v>
      </c>
      <c r="B119">
        <v>-60.773784749999997</v>
      </c>
      <c r="C119">
        <v>-62.016621499999999</v>
      </c>
      <c r="D119">
        <v>52.699536999999999</v>
      </c>
      <c r="E119">
        <v>12.69623925</v>
      </c>
      <c r="F119">
        <v>0.92584049999999996</v>
      </c>
      <c r="G119">
        <v>82.223096499999997</v>
      </c>
      <c r="H119">
        <v>-24</v>
      </c>
      <c r="I119">
        <v>-36</v>
      </c>
      <c r="J119">
        <v>1.18</v>
      </c>
      <c r="K119">
        <v>11.738478499999999</v>
      </c>
      <c r="L119">
        <v>1.6946564288005099</v>
      </c>
      <c r="M119">
        <v>-1.531536829167812</v>
      </c>
      <c r="N119">
        <v>-0.93840080144556848</v>
      </c>
      <c r="O119">
        <v>-0.84113045608859893</v>
      </c>
    </row>
    <row r="120" spans="1:15" x14ac:dyDescent="0.25">
      <c r="A120">
        <v>63.411247250000002</v>
      </c>
      <c r="B120">
        <v>-47.918713500000003</v>
      </c>
      <c r="C120">
        <v>-48.395516749999999</v>
      </c>
      <c r="D120">
        <v>59.139141250000002</v>
      </c>
      <c r="E120">
        <v>23.783078</v>
      </c>
      <c r="F120">
        <v>0.97456699999999996</v>
      </c>
      <c r="G120">
        <v>82.263107000000005</v>
      </c>
      <c r="H120">
        <v>-24</v>
      </c>
      <c r="I120">
        <v>-32</v>
      </c>
      <c r="J120">
        <v>1.18</v>
      </c>
      <c r="K120">
        <v>11.737852999999999</v>
      </c>
      <c r="L120">
        <v>1.5541740885207771</v>
      </c>
      <c r="M120">
        <v>-1.4881354622056779</v>
      </c>
      <c r="N120">
        <v>-0.81290367287237641</v>
      </c>
      <c r="O120">
        <v>-0.68293061433284308</v>
      </c>
    </row>
    <row r="121" spans="1:15" x14ac:dyDescent="0.25">
      <c r="A121">
        <v>61.605923750000002</v>
      </c>
      <c r="B121">
        <v>-38.037576749999999</v>
      </c>
      <c r="C121">
        <v>-35.541161750000001</v>
      </c>
      <c r="D121">
        <v>65.27209074999999</v>
      </c>
      <c r="E121">
        <v>32.589961000000002</v>
      </c>
      <c r="F121">
        <v>0.97456699999999996</v>
      </c>
      <c r="G121">
        <v>82.463167499999997</v>
      </c>
      <c r="H121">
        <v>-24</v>
      </c>
      <c r="I121">
        <v>-28</v>
      </c>
      <c r="J121">
        <v>1.1850000000000001</v>
      </c>
      <c r="K121">
        <v>11.72753925</v>
      </c>
      <c r="L121">
        <v>1.4002324118627489</v>
      </c>
      <c r="M121">
        <v>-1.4890559170430511</v>
      </c>
      <c r="N121">
        <v>-0.71885058220662823</v>
      </c>
      <c r="O121">
        <v>-0.54430720103524788</v>
      </c>
    </row>
    <row r="122" spans="1:15" x14ac:dyDescent="0.25">
      <c r="A122">
        <v>59.932093500000001</v>
      </c>
      <c r="B122">
        <v>-29.691374</v>
      </c>
      <c r="C122">
        <v>-23.36335175</v>
      </c>
      <c r="D122">
        <v>70.134643999999994</v>
      </c>
      <c r="E122">
        <v>40.502743000000002</v>
      </c>
      <c r="F122">
        <v>0.97456699999999996</v>
      </c>
      <c r="G122">
        <v>83.223381000000003</v>
      </c>
      <c r="H122">
        <v>-24</v>
      </c>
      <c r="I122">
        <v>-24</v>
      </c>
      <c r="J122">
        <v>1.18</v>
      </c>
      <c r="K122">
        <v>11.806977249999999</v>
      </c>
      <c r="L122">
        <v>1.2426443580711879</v>
      </c>
      <c r="M122">
        <v>-1.489274517981265</v>
      </c>
      <c r="N122">
        <v>-0.63733457872885957</v>
      </c>
      <c r="O122">
        <v>-0.41028925966291441</v>
      </c>
    </row>
    <row r="123" spans="1:15" x14ac:dyDescent="0.25">
      <c r="A123">
        <v>56.415674000000003</v>
      </c>
      <c r="B123">
        <v>-24.992376749999998</v>
      </c>
      <c r="C123">
        <v>-13.26028125</v>
      </c>
      <c r="D123">
        <v>73.85822300000001</v>
      </c>
      <c r="E123">
        <v>45.688523000000004</v>
      </c>
      <c r="F123">
        <v>1.0232935000000001</v>
      </c>
      <c r="G123">
        <v>83.063338999999999</v>
      </c>
      <c r="H123">
        <v>-24</v>
      </c>
      <c r="I123">
        <v>-20</v>
      </c>
      <c r="J123">
        <v>1.18</v>
      </c>
      <c r="K123">
        <v>11.791984250000001</v>
      </c>
      <c r="L123">
        <v>1.0749980999007509</v>
      </c>
      <c r="M123">
        <v>-1.525127262199572</v>
      </c>
      <c r="N123">
        <v>-0.57664122908175874</v>
      </c>
      <c r="O123">
        <v>-0.31086843471234471</v>
      </c>
    </row>
    <row r="124" spans="1:15" x14ac:dyDescent="0.25">
      <c r="A124">
        <v>52.1766255</v>
      </c>
      <c r="B124">
        <v>-20.769571750000001</v>
      </c>
      <c r="C124">
        <v>-2.2100469999999999</v>
      </c>
      <c r="D124">
        <v>77.187538000000004</v>
      </c>
      <c r="E124">
        <v>51.053122500000001</v>
      </c>
      <c r="F124">
        <v>1.1207465000000001</v>
      </c>
      <c r="G124">
        <v>83.543464999999998</v>
      </c>
      <c r="H124">
        <v>-24</v>
      </c>
      <c r="I124">
        <v>-16</v>
      </c>
      <c r="J124">
        <v>1.18</v>
      </c>
      <c r="K124">
        <v>11.819453749999999</v>
      </c>
      <c r="L124">
        <v>0.86959499670505402</v>
      </c>
      <c r="M124">
        <v>-1.566240240310921</v>
      </c>
      <c r="N124">
        <v>-0.51949324917062589</v>
      </c>
      <c r="O124">
        <v>-0.20162788842033119</v>
      </c>
    </row>
    <row r="125" spans="1:15" x14ac:dyDescent="0.25">
      <c r="A125">
        <v>46.077298999999996</v>
      </c>
      <c r="B125">
        <v>-16.788336999999999</v>
      </c>
      <c r="C125">
        <v>7.4065975000000002</v>
      </c>
      <c r="D125">
        <v>77.099926000000011</v>
      </c>
      <c r="E125">
        <v>53.646012249999998</v>
      </c>
      <c r="F125">
        <v>1.0232935000000001</v>
      </c>
      <c r="G125">
        <v>81.542907499999998</v>
      </c>
      <c r="H125">
        <v>-24</v>
      </c>
      <c r="I125">
        <v>-12</v>
      </c>
      <c r="J125">
        <v>1.18</v>
      </c>
      <c r="K125">
        <v>11.682202</v>
      </c>
      <c r="L125">
        <v>0.66289359588507035</v>
      </c>
      <c r="M125">
        <v>-1.609425742868009</v>
      </c>
      <c r="N125">
        <v>-0.4782147297752154</v>
      </c>
      <c r="O125">
        <v>-9.7949558444967111E-2</v>
      </c>
    </row>
    <row r="126" spans="1:15" x14ac:dyDescent="0.25">
      <c r="A126">
        <v>37.958955750000001</v>
      </c>
      <c r="B126">
        <v>-15.205437</v>
      </c>
      <c r="C126">
        <v>15.219643749999999</v>
      </c>
      <c r="D126">
        <v>75.04101</v>
      </c>
      <c r="E126">
        <v>53.020145499999998</v>
      </c>
      <c r="F126">
        <v>0.97456699999999996</v>
      </c>
      <c r="G126">
        <v>78.301998249999997</v>
      </c>
      <c r="H126">
        <v>-24</v>
      </c>
      <c r="I126">
        <v>-8</v>
      </c>
      <c r="J126">
        <v>1.1875</v>
      </c>
      <c r="K126">
        <v>11.4121565</v>
      </c>
      <c r="L126">
        <v>0.42892689543038542</v>
      </c>
      <c r="M126">
        <v>-1.702364617360856</v>
      </c>
      <c r="N126">
        <v>-0.47690814102369872</v>
      </c>
      <c r="O126">
        <v>-1.8257154732178111E-2</v>
      </c>
    </row>
    <row r="127" spans="1:15" x14ac:dyDescent="0.25">
      <c r="A127">
        <v>30.197640249999999</v>
      </c>
      <c r="B127">
        <v>-13.814402749999999</v>
      </c>
      <c r="C127">
        <v>22.942367749999999</v>
      </c>
      <c r="D127">
        <v>73.376346500000011</v>
      </c>
      <c r="E127">
        <v>52.930732749999997</v>
      </c>
      <c r="F127">
        <v>0.97456699999999996</v>
      </c>
      <c r="G127">
        <v>76.101379500000007</v>
      </c>
      <c r="H127">
        <v>-24</v>
      </c>
      <c r="I127">
        <v>-4</v>
      </c>
      <c r="J127">
        <v>1.18</v>
      </c>
      <c r="K127">
        <v>11.284217</v>
      </c>
      <c r="L127">
        <v>0.14999094039725019</v>
      </c>
      <c r="M127">
        <v>-1.8027061252262511</v>
      </c>
      <c r="N127">
        <v>-0.4790633631420636</v>
      </c>
      <c r="O127">
        <v>7.4224628074986074E-2</v>
      </c>
    </row>
    <row r="128" spans="1:15" x14ac:dyDescent="0.25">
      <c r="A128">
        <v>23.017582000000001</v>
      </c>
      <c r="B128">
        <v>-12.375402749999999</v>
      </c>
      <c r="C128">
        <v>29.039254750000001</v>
      </c>
      <c r="D128">
        <v>70.616523999999998</v>
      </c>
      <c r="E128">
        <v>51.455468250000003</v>
      </c>
      <c r="F128">
        <v>0.73093425000000001</v>
      </c>
      <c r="G128">
        <v>73.100542000000004</v>
      </c>
      <c r="H128">
        <v>-24</v>
      </c>
      <c r="I128">
        <v>0</v>
      </c>
      <c r="J128">
        <v>1.18</v>
      </c>
      <c r="K128">
        <v>11.07521</v>
      </c>
      <c r="L128">
        <v>-0.13047911360533809</v>
      </c>
      <c r="M128">
        <v>-1.798924767835532</v>
      </c>
      <c r="N128">
        <v>-0.46917569702444673</v>
      </c>
      <c r="O128">
        <v>9.9527827707911576E-2</v>
      </c>
    </row>
    <row r="129" spans="1:15" x14ac:dyDescent="0.25">
      <c r="A129">
        <v>15.43331225</v>
      </c>
      <c r="B129">
        <v>-11.7998025</v>
      </c>
      <c r="C129">
        <v>35.000654500000003</v>
      </c>
      <c r="D129">
        <v>69.302318250000013</v>
      </c>
      <c r="E129">
        <v>50.248435000000001</v>
      </c>
      <c r="F129">
        <v>0.87711399999999995</v>
      </c>
      <c r="G129">
        <v>72.220293249999997</v>
      </c>
      <c r="H129">
        <v>-24</v>
      </c>
      <c r="I129">
        <v>4</v>
      </c>
      <c r="J129">
        <v>1.18</v>
      </c>
      <c r="K129">
        <v>10.9963865</v>
      </c>
      <c r="L129">
        <v>-0.40401950896066252</v>
      </c>
      <c r="M129">
        <v>-1.6745673438191011</v>
      </c>
      <c r="N129">
        <v>-0.45366661851473122</v>
      </c>
      <c r="O129">
        <v>1.9401546670385648E-2</v>
      </c>
    </row>
    <row r="130" spans="1:15" x14ac:dyDescent="0.25">
      <c r="A130">
        <v>8.2592352499999997</v>
      </c>
      <c r="B130">
        <v>-11.080302</v>
      </c>
      <c r="C130">
        <v>41.820137000000003</v>
      </c>
      <c r="D130">
        <v>69.784191249999992</v>
      </c>
      <c r="E130">
        <v>50.248432999999999</v>
      </c>
      <c r="F130">
        <v>0.82838750000000005</v>
      </c>
      <c r="G130">
        <v>73.940772999999993</v>
      </c>
      <c r="H130">
        <v>-24</v>
      </c>
      <c r="I130">
        <v>8</v>
      </c>
      <c r="J130">
        <v>1.18</v>
      </c>
      <c r="K130">
        <v>11.13189925</v>
      </c>
      <c r="L130">
        <v>-0.64968416567114384</v>
      </c>
      <c r="M130">
        <v>-1.56536677212796</v>
      </c>
      <c r="N130">
        <v>-0.45865528418788448</v>
      </c>
      <c r="O130">
        <v>-4.3350896786465601E-2</v>
      </c>
    </row>
    <row r="131" spans="1:15" x14ac:dyDescent="0.25">
      <c r="A131">
        <v>0.8576435</v>
      </c>
      <c r="B131">
        <v>-10.6965685</v>
      </c>
      <c r="C131">
        <v>47.239589500000001</v>
      </c>
      <c r="D131">
        <v>69.477542749999998</v>
      </c>
      <c r="E131">
        <v>48.504940249999997</v>
      </c>
      <c r="F131">
        <v>0.97456699999999996</v>
      </c>
      <c r="G131">
        <v>74.580956</v>
      </c>
      <c r="H131">
        <v>-24</v>
      </c>
      <c r="I131">
        <v>12</v>
      </c>
      <c r="J131">
        <v>1.18</v>
      </c>
      <c r="K131">
        <v>11.169449</v>
      </c>
      <c r="L131">
        <v>-0.86818020564022214</v>
      </c>
      <c r="M131">
        <v>-1.500696267732305</v>
      </c>
      <c r="N131">
        <v>-0.48809152091962582</v>
      </c>
      <c r="O131">
        <v>-0.1103187833334015</v>
      </c>
    </row>
    <row r="132" spans="1:15" x14ac:dyDescent="0.25">
      <c r="A132">
        <v>-7.3872202500000004</v>
      </c>
      <c r="B132">
        <v>-12.2315025</v>
      </c>
      <c r="C132">
        <v>51.891288750000001</v>
      </c>
      <c r="D132">
        <v>67.812883249999999</v>
      </c>
      <c r="E132">
        <v>44.570898</v>
      </c>
      <c r="F132">
        <v>0.77966100000000005</v>
      </c>
      <c r="G132">
        <v>75.461204500000008</v>
      </c>
      <c r="H132">
        <v>-24</v>
      </c>
      <c r="I132">
        <v>16</v>
      </c>
      <c r="J132">
        <v>1.18</v>
      </c>
      <c r="K132">
        <v>11.250726500000001</v>
      </c>
      <c r="L132">
        <v>-1.0900806004802119</v>
      </c>
      <c r="M132">
        <v>-1.4719300695953039</v>
      </c>
      <c r="N132">
        <v>-0.56804340801543796</v>
      </c>
      <c r="O132">
        <v>-0.1947091840165755</v>
      </c>
    </row>
    <row r="133" spans="1:15" x14ac:dyDescent="0.25">
      <c r="A133">
        <v>-16.622352500000002</v>
      </c>
      <c r="B133">
        <v>-17.2200375</v>
      </c>
      <c r="C133">
        <v>56.633312500000002</v>
      </c>
      <c r="D133">
        <v>65.885385749999998</v>
      </c>
      <c r="E133">
        <v>39.385120499999999</v>
      </c>
      <c r="F133">
        <v>0.77966100000000005</v>
      </c>
      <c r="G133">
        <v>76.501487999999995</v>
      </c>
      <c r="H133">
        <v>-24</v>
      </c>
      <c r="I133">
        <v>20</v>
      </c>
      <c r="J133">
        <v>1.18</v>
      </c>
      <c r="K133">
        <v>11.328816</v>
      </c>
      <c r="L133">
        <v>-1.3010223825300899</v>
      </c>
      <c r="M133">
        <v>-1.475950902982702</v>
      </c>
      <c r="N133">
        <v>-0.65918996405865227</v>
      </c>
      <c r="O133">
        <v>-0.31436217217256401</v>
      </c>
    </row>
    <row r="134" spans="1:15" x14ac:dyDescent="0.25">
      <c r="A134">
        <v>-25.765180749999999</v>
      </c>
      <c r="B134">
        <v>-25.47030625</v>
      </c>
      <c r="C134">
        <v>59.252715999999999</v>
      </c>
      <c r="D134">
        <v>61.592319750000001</v>
      </c>
      <c r="E134">
        <v>30.89117225</v>
      </c>
      <c r="F134">
        <v>0.82838750000000005</v>
      </c>
      <c r="G134">
        <v>76.781574499999991</v>
      </c>
      <c r="H134">
        <v>-24</v>
      </c>
      <c r="I134">
        <v>24</v>
      </c>
      <c r="J134">
        <v>1.18</v>
      </c>
      <c r="K134">
        <v>11.346107999999999</v>
      </c>
      <c r="L134">
        <v>-1.504530277709591</v>
      </c>
      <c r="M134">
        <v>-1.5407202030855469</v>
      </c>
      <c r="N134">
        <v>-0.81214665614572956</v>
      </c>
      <c r="O134">
        <v>-0.46800600497941158</v>
      </c>
    </row>
    <row r="135" spans="1:15" x14ac:dyDescent="0.25">
      <c r="A135">
        <v>-35.179382250000003</v>
      </c>
      <c r="B135">
        <v>-35.639241249999998</v>
      </c>
      <c r="C135">
        <v>61.375335749999998</v>
      </c>
      <c r="D135">
        <v>57.824938000000003</v>
      </c>
      <c r="E135">
        <v>21.726648000000001</v>
      </c>
      <c r="F135">
        <v>0.82838750000000005</v>
      </c>
      <c r="G135">
        <v>77.461760999999996</v>
      </c>
      <c r="H135">
        <v>-24</v>
      </c>
      <c r="I135">
        <v>28</v>
      </c>
      <c r="J135">
        <v>1.18</v>
      </c>
      <c r="K135">
        <v>11.3967995</v>
      </c>
      <c r="L135">
        <v>-1.689907706070062</v>
      </c>
      <c r="M135">
        <v>-1.635816181596361</v>
      </c>
      <c r="N135">
        <v>-0.97547776282981868</v>
      </c>
      <c r="O135">
        <v>-0.63422916854568545</v>
      </c>
    </row>
    <row r="136" spans="1:15" x14ac:dyDescent="0.25">
      <c r="A136">
        <v>-44.998978749999999</v>
      </c>
      <c r="B136">
        <v>-45.760210999999998</v>
      </c>
      <c r="C136">
        <v>63.226984000000002</v>
      </c>
      <c r="D136">
        <v>52.524309000000002</v>
      </c>
      <c r="E136">
        <v>10.997449749999999</v>
      </c>
      <c r="F136">
        <v>0.82838750000000005</v>
      </c>
      <c r="G136">
        <v>78.141954499999997</v>
      </c>
      <c r="H136">
        <v>-24</v>
      </c>
      <c r="I136">
        <v>32</v>
      </c>
      <c r="J136">
        <v>1.18</v>
      </c>
      <c r="K136">
        <v>11.44726775</v>
      </c>
      <c r="L136">
        <v>-1.919698602132385</v>
      </c>
      <c r="M136">
        <v>-1.743359602499706</v>
      </c>
      <c r="N136">
        <v>-1.1910436748807891</v>
      </c>
      <c r="O136">
        <v>-0.81962161872348605</v>
      </c>
    </row>
    <row r="137" spans="1:15" x14ac:dyDescent="0.25">
      <c r="A137">
        <v>-56.398814999999999</v>
      </c>
      <c r="B137">
        <v>-57.847818250000003</v>
      </c>
      <c r="C137">
        <v>62.775364000000003</v>
      </c>
      <c r="D137">
        <v>46.259938249999998</v>
      </c>
      <c r="E137">
        <v>-2.8544520000000002</v>
      </c>
      <c r="F137">
        <v>0.92584049999999996</v>
      </c>
      <c r="G137">
        <v>78.38202274999999</v>
      </c>
      <c r="H137">
        <v>-24</v>
      </c>
      <c r="I137">
        <v>36</v>
      </c>
      <c r="J137">
        <v>1.18</v>
      </c>
      <c r="K137">
        <v>11.45782125</v>
      </c>
      <c r="L137">
        <v>-2.1960127374210319</v>
      </c>
      <c r="M137">
        <v>-1.9183969424211751</v>
      </c>
      <c r="N137">
        <v>-1.496971691972528</v>
      </c>
      <c r="O137">
        <v>-1.0696865157176869</v>
      </c>
    </row>
    <row r="138" spans="1:15" x14ac:dyDescent="0.25">
      <c r="A138">
        <v>-67.705604500000007</v>
      </c>
      <c r="B138">
        <v>-69.887455000000003</v>
      </c>
      <c r="C138">
        <v>63.452791249999997</v>
      </c>
      <c r="D138">
        <v>40.258406000000001</v>
      </c>
      <c r="E138">
        <v>-16.636104</v>
      </c>
      <c r="F138">
        <v>0.77966100000000005</v>
      </c>
      <c r="G138">
        <v>79.102222499999996</v>
      </c>
      <c r="H138">
        <v>-24</v>
      </c>
      <c r="I138">
        <v>40</v>
      </c>
      <c r="J138">
        <v>1.18</v>
      </c>
      <c r="K138">
        <v>11.52172225</v>
      </c>
      <c r="L138">
        <v>-2.514549276805953</v>
      </c>
      <c r="M138">
        <v>-2.1116953189954408</v>
      </c>
      <c r="N138">
        <v>-1.8354945389665649</v>
      </c>
      <c r="O138">
        <v>-1.3338992464707571</v>
      </c>
    </row>
    <row r="139" spans="1:15" x14ac:dyDescent="0.25">
      <c r="A139">
        <v>-77.48081024999999</v>
      </c>
      <c r="B139">
        <v>-80.248255</v>
      </c>
      <c r="C139">
        <v>61.601146749999998</v>
      </c>
      <c r="D139">
        <v>32.548409249999999</v>
      </c>
      <c r="E139">
        <v>-32.023384999999998</v>
      </c>
      <c r="F139">
        <v>0.87711399999999995</v>
      </c>
      <c r="G139">
        <v>79.542350999999996</v>
      </c>
      <c r="H139">
        <v>-24</v>
      </c>
      <c r="I139">
        <v>44</v>
      </c>
      <c r="J139">
        <v>1.18</v>
      </c>
      <c r="K139">
        <v>11.546898000000001</v>
      </c>
      <c r="L139">
        <v>-2.9693133665118179</v>
      </c>
      <c r="M139">
        <v>-2.4081001809957461</v>
      </c>
      <c r="N139">
        <v>-2.381933775721119</v>
      </c>
      <c r="O139">
        <v>-1.70243016986243</v>
      </c>
    </row>
    <row r="140" spans="1:15" x14ac:dyDescent="0.25">
      <c r="A140">
        <v>65.351930749999994</v>
      </c>
      <c r="B140">
        <v>-74.492252500000006</v>
      </c>
      <c r="C140">
        <v>-75.096491</v>
      </c>
      <c r="D140">
        <v>32.066535000000002</v>
      </c>
      <c r="E140">
        <v>-7.0023270000000002</v>
      </c>
      <c r="F140">
        <v>0.82838750000000005</v>
      </c>
      <c r="G140">
        <v>80.142513499999993</v>
      </c>
      <c r="H140">
        <v>-20</v>
      </c>
      <c r="I140">
        <v>-44</v>
      </c>
      <c r="J140">
        <v>1.1825000000000001</v>
      </c>
      <c r="K140">
        <v>11.58221275</v>
      </c>
      <c r="L140">
        <v>2.0717609919832638</v>
      </c>
      <c r="M140">
        <v>-1.571841408461421</v>
      </c>
      <c r="N140">
        <v>-1.28547865447879</v>
      </c>
      <c r="O140">
        <v>-1.115505055012685</v>
      </c>
    </row>
    <row r="141" spans="1:15" x14ac:dyDescent="0.25">
      <c r="A141">
        <v>67.703256499999995</v>
      </c>
      <c r="B141">
        <v>-63.220083000000002</v>
      </c>
      <c r="C141">
        <v>-65.354238249999995</v>
      </c>
      <c r="D141">
        <v>40.389825999999999</v>
      </c>
      <c r="E141">
        <v>5.9010807500000002</v>
      </c>
      <c r="F141">
        <v>0.97456699999999996</v>
      </c>
      <c r="G141">
        <v>80.8627185</v>
      </c>
      <c r="H141">
        <v>-20</v>
      </c>
      <c r="I141">
        <v>-40</v>
      </c>
      <c r="J141">
        <v>1.1825000000000001</v>
      </c>
      <c r="K141">
        <v>11.62404825</v>
      </c>
      <c r="L141">
        <v>1.895773456915169</v>
      </c>
      <c r="M141">
        <v>-1.4761774704175681</v>
      </c>
      <c r="N141">
        <v>-1.06804961594517</v>
      </c>
      <c r="O141">
        <v>-0.92983027286748454</v>
      </c>
    </row>
    <row r="142" spans="1:15" x14ac:dyDescent="0.25">
      <c r="A142">
        <v>68.605983500000008</v>
      </c>
      <c r="B142">
        <v>-49.117877</v>
      </c>
      <c r="C142">
        <v>-52.40968325</v>
      </c>
      <c r="D142">
        <v>47.793174499999999</v>
      </c>
      <c r="E142">
        <v>19.267874249999998</v>
      </c>
      <c r="F142">
        <v>0.87711399999999995</v>
      </c>
      <c r="G142">
        <v>80.827404000000001</v>
      </c>
      <c r="H142">
        <v>-20</v>
      </c>
      <c r="I142">
        <v>-36</v>
      </c>
      <c r="J142">
        <v>1.18</v>
      </c>
      <c r="K142">
        <v>11.640829249999999</v>
      </c>
      <c r="L142">
        <v>1.7280161378236609</v>
      </c>
      <c r="M142">
        <v>-1.3838107302932461</v>
      </c>
      <c r="N142">
        <v>-0.8790235042699629</v>
      </c>
      <c r="O142">
        <v>-0.73738812721756919</v>
      </c>
    </row>
    <row r="143" spans="1:15" x14ac:dyDescent="0.25">
      <c r="A143">
        <v>68.64210525</v>
      </c>
      <c r="B143">
        <v>-37.318075</v>
      </c>
      <c r="C143">
        <v>-40.276975999999998</v>
      </c>
      <c r="D143">
        <v>54.933686000000002</v>
      </c>
      <c r="E143">
        <v>30.444122749999998</v>
      </c>
      <c r="F143">
        <v>0.97456699999999996</v>
      </c>
      <c r="G143">
        <v>81.502895250000009</v>
      </c>
      <c r="H143">
        <v>-20</v>
      </c>
      <c r="I143">
        <v>-32</v>
      </c>
      <c r="J143">
        <v>1.18</v>
      </c>
      <c r="K143">
        <v>11.68283675</v>
      </c>
      <c r="L143">
        <v>1.573039089727222</v>
      </c>
      <c r="M143">
        <v>-1.3323201611731561</v>
      </c>
      <c r="N143">
        <v>-0.73741169656365857</v>
      </c>
      <c r="O143">
        <v>-0.57440098656077798</v>
      </c>
    </row>
    <row r="144" spans="1:15" x14ac:dyDescent="0.25">
      <c r="A144">
        <v>67.789094750000004</v>
      </c>
      <c r="B144">
        <v>-26.717440750000002</v>
      </c>
      <c r="C144">
        <v>-27.377520000000001</v>
      </c>
      <c r="D144">
        <v>60.497149499999999</v>
      </c>
      <c r="E144">
        <v>40.055696249999997</v>
      </c>
      <c r="F144">
        <v>0.97456699999999996</v>
      </c>
      <c r="G144">
        <v>81.943023999999994</v>
      </c>
      <c r="H144">
        <v>-20</v>
      </c>
      <c r="I144">
        <v>-28</v>
      </c>
      <c r="J144">
        <v>1.18</v>
      </c>
      <c r="K144">
        <v>11.714721000000001</v>
      </c>
      <c r="L144">
        <v>1.4182124318332101</v>
      </c>
      <c r="M144">
        <v>-1.299712395256611</v>
      </c>
      <c r="N144">
        <v>-0.62422436826206318</v>
      </c>
      <c r="O144">
        <v>-0.41759473156765581</v>
      </c>
    </row>
    <row r="145" spans="1:15" x14ac:dyDescent="0.25">
      <c r="A145">
        <v>64.982349499999998</v>
      </c>
      <c r="B145">
        <v>-18.7070045</v>
      </c>
      <c r="C145">
        <v>-14.74868025</v>
      </c>
      <c r="D145">
        <v>65.841579499999995</v>
      </c>
      <c r="E145">
        <v>47.342609500000002</v>
      </c>
      <c r="F145">
        <v>0.97456699999999996</v>
      </c>
      <c r="G145">
        <v>82.143075500000009</v>
      </c>
      <c r="H145">
        <v>-20</v>
      </c>
      <c r="I145">
        <v>-24</v>
      </c>
      <c r="J145">
        <v>1.18</v>
      </c>
      <c r="K145">
        <v>11.729182249999999</v>
      </c>
      <c r="L145">
        <v>1.2444361307101861</v>
      </c>
      <c r="M145">
        <v>-1.319615437854265</v>
      </c>
      <c r="N145">
        <v>-0.54317577646490711</v>
      </c>
      <c r="O145">
        <v>-0.27629567643233932</v>
      </c>
    </row>
    <row r="146" spans="1:15" x14ac:dyDescent="0.25">
      <c r="A146">
        <v>62.098317000000002</v>
      </c>
      <c r="B146">
        <v>-12.615236250000001</v>
      </c>
      <c r="C146">
        <v>-3.3376220000000001</v>
      </c>
      <c r="D146">
        <v>70.178453750000003</v>
      </c>
      <c r="E146">
        <v>54.450701000000002</v>
      </c>
      <c r="F146">
        <v>1.0232935000000001</v>
      </c>
      <c r="G146">
        <v>82.748041000000001</v>
      </c>
      <c r="H146">
        <v>-20</v>
      </c>
      <c r="I146">
        <v>-20</v>
      </c>
      <c r="J146">
        <v>1.18</v>
      </c>
      <c r="K146">
        <v>11.769297249999999</v>
      </c>
      <c r="L146">
        <v>1.048193441037307</v>
      </c>
      <c r="M146">
        <v>-1.3262585197618559</v>
      </c>
      <c r="N146">
        <v>-0.45330065147186521</v>
      </c>
      <c r="O146">
        <v>-0.14416093717751841</v>
      </c>
    </row>
    <row r="147" spans="1:15" x14ac:dyDescent="0.25">
      <c r="A147">
        <v>58.0893935</v>
      </c>
      <c r="B147">
        <v>-7.7706014999999997</v>
      </c>
      <c r="C147">
        <v>7.0001379999999997</v>
      </c>
      <c r="D147">
        <v>73.639186999999993</v>
      </c>
      <c r="E147">
        <v>60.307056500000002</v>
      </c>
      <c r="F147">
        <v>0.97456699999999996</v>
      </c>
      <c r="G147">
        <v>82.948118249999993</v>
      </c>
      <c r="H147">
        <v>-20</v>
      </c>
      <c r="I147">
        <v>-16</v>
      </c>
      <c r="J147">
        <v>1.18</v>
      </c>
      <c r="K147">
        <v>11.78720525</v>
      </c>
      <c r="L147">
        <v>0.84177650991976505</v>
      </c>
      <c r="M147">
        <v>-1.3413528038396469</v>
      </c>
      <c r="N147">
        <v>-0.37305107912008512</v>
      </c>
      <c r="O147">
        <v>-2.2405102804838439E-2</v>
      </c>
    </row>
    <row r="148" spans="1:15" x14ac:dyDescent="0.25">
      <c r="A148">
        <v>52.534252250000002</v>
      </c>
      <c r="B148">
        <v>-5.56413475</v>
      </c>
      <c r="C148">
        <v>15.1293205</v>
      </c>
      <c r="D148">
        <v>75.960950749999995</v>
      </c>
      <c r="E148">
        <v>63.25758725</v>
      </c>
      <c r="F148">
        <v>1.07202</v>
      </c>
      <c r="G148">
        <v>83.348247749999999</v>
      </c>
      <c r="H148">
        <v>-20</v>
      </c>
      <c r="I148">
        <v>-12</v>
      </c>
      <c r="J148">
        <v>1.18</v>
      </c>
      <c r="K148">
        <v>11.80894325</v>
      </c>
      <c r="L148">
        <v>0.63966711125612352</v>
      </c>
      <c r="M148">
        <v>-1.394201257706698</v>
      </c>
      <c r="N148">
        <v>-0.3435855658516947</v>
      </c>
      <c r="O148">
        <v>6.3454055035978008E-2</v>
      </c>
    </row>
    <row r="149" spans="1:15" x14ac:dyDescent="0.25">
      <c r="A149">
        <v>46.75424675</v>
      </c>
      <c r="B149">
        <v>-4.1731012500000002</v>
      </c>
      <c r="C149">
        <v>23.439151750000001</v>
      </c>
      <c r="D149">
        <v>77.932253000000003</v>
      </c>
      <c r="E149">
        <v>66.118701999999999</v>
      </c>
      <c r="F149">
        <v>1.1207465000000001</v>
      </c>
      <c r="G149">
        <v>83.988467999999997</v>
      </c>
      <c r="H149">
        <v>-20</v>
      </c>
      <c r="I149">
        <v>-8</v>
      </c>
      <c r="J149">
        <v>1.18</v>
      </c>
      <c r="K149">
        <v>11.851316000000001</v>
      </c>
      <c r="L149">
        <v>0.41275310157989781</v>
      </c>
      <c r="M149">
        <v>-1.453564777931817</v>
      </c>
      <c r="N149">
        <v>-0.31636019626747919</v>
      </c>
      <c r="O149">
        <v>0.1507023650144394</v>
      </c>
    </row>
    <row r="150" spans="1:15" x14ac:dyDescent="0.25">
      <c r="A150">
        <v>37.773480499999998</v>
      </c>
      <c r="B150">
        <v>-2.9259677499999999</v>
      </c>
      <c r="C150">
        <v>30.077983750000001</v>
      </c>
      <c r="D150">
        <v>74.515323749999993</v>
      </c>
      <c r="E150">
        <v>64.241094250000003</v>
      </c>
      <c r="F150">
        <v>0.97456699999999996</v>
      </c>
      <c r="G150">
        <v>79.867055749999992</v>
      </c>
      <c r="H150">
        <v>-20</v>
      </c>
      <c r="I150">
        <v>-4</v>
      </c>
      <c r="J150">
        <v>1.18</v>
      </c>
      <c r="K150">
        <v>11.563559250000001</v>
      </c>
      <c r="L150">
        <v>0.1518902600679341</v>
      </c>
      <c r="M150">
        <v>-1.528503090084758</v>
      </c>
      <c r="N150">
        <v>-0.30842839978812858</v>
      </c>
      <c r="O150">
        <v>0.2487203380290797</v>
      </c>
    </row>
    <row r="151" spans="1:15" x14ac:dyDescent="0.25">
      <c r="A151">
        <v>29.605040249999998</v>
      </c>
      <c r="B151">
        <v>-2.5422340000000001</v>
      </c>
      <c r="C151">
        <v>36.1748695</v>
      </c>
      <c r="D151">
        <v>72.324982000000006</v>
      </c>
      <c r="E151">
        <v>62.318779999999997</v>
      </c>
      <c r="F151">
        <v>0.92584049999999996</v>
      </c>
      <c r="G151">
        <v>77.50177149999999</v>
      </c>
      <c r="H151">
        <v>-20</v>
      </c>
      <c r="I151">
        <v>0</v>
      </c>
      <c r="J151">
        <v>1.18</v>
      </c>
      <c r="K151">
        <v>11.392526999999999</v>
      </c>
      <c r="L151">
        <v>-0.1346658621358012</v>
      </c>
      <c r="M151">
        <v>-1.5345778126275029</v>
      </c>
      <c r="N151">
        <v>-0.31122308759320749</v>
      </c>
      <c r="O151">
        <v>0.25836695444398389</v>
      </c>
    </row>
    <row r="152" spans="1:15" x14ac:dyDescent="0.25">
      <c r="A152">
        <v>22.160070000000001</v>
      </c>
      <c r="B152">
        <v>-1.34306725</v>
      </c>
      <c r="C152">
        <v>41.458839500000003</v>
      </c>
      <c r="D152">
        <v>69.608964999999998</v>
      </c>
      <c r="E152">
        <v>60.128234749999997</v>
      </c>
      <c r="F152">
        <v>0.92584049999999996</v>
      </c>
      <c r="G152">
        <v>74.98977275</v>
      </c>
      <c r="H152">
        <v>-20</v>
      </c>
      <c r="I152">
        <v>4</v>
      </c>
      <c r="J152">
        <v>1.18</v>
      </c>
      <c r="K152">
        <v>11.20409725</v>
      </c>
      <c r="L152">
        <v>-0.38813068743491458</v>
      </c>
      <c r="M152">
        <v>-1.4270576959705099</v>
      </c>
      <c r="N152">
        <v>-0.29891807681202281</v>
      </c>
      <c r="O152">
        <v>0.19072784635808501</v>
      </c>
    </row>
    <row r="153" spans="1:15" x14ac:dyDescent="0.25">
      <c r="A153">
        <v>15.1184095</v>
      </c>
      <c r="B153">
        <v>0.33670525000000001</v>
      </c>
      <c r="C153">
        <v>45.884727249999997</v>
      </c>
      <c r="D153">
        <v>65.973001749999995</v>
      </c>
      <c r="E153">
        <v>57.133004</v>
      </c>
      <c r="F153">
        <v>0.77966100000000005</v>
      </c>
      <c r="G153">
        <v>72.340324249999995</v>
      </c>
      <c r="H153">
        <v>-20</v>
      </c>
      <c r="I153">
        <v>8</v>
      </c>
      <c r="J153">
        <v>1.18</v>
      </c>
      <c r="K153">
        <v>11.0131365</v>
      </c>
      <c r="L153">
        <v>-0.62271887244243362</v>
      </c>
      <c r="M153">
        <v>-1.3285201201503061</v>
      </c>
      <c r="N153">
        <v>-0.30780395094414109</v>
      </c>
      <c r="O153">
        <v>0.14063791181752691</v>
      </c>
    </row>
    <row r="154" spans="1:15" x14ac:dyDescent="0.25">
      <c r="A154">
        <v>7.8525735000000001</v>
      </c>
      <c r="B154">
        <v>0.24063775000000001</v>
      </c>
      <c r="C154">
        <v>50.942885250000003</v>
      </c>
      <c r="D154">
        <v>65.27209074999999</v>
      </c>
      <c r="E154">
        <v>54.674228749999997</v>
      </c>
      <c r="F154">
        <v>0.77966100000000005</v>
      </c>
      <c r="G154">
        <v>73.224826750000005</v>
      </c>
      <c r="H154">
        <v>-20</v>
      </c>
      <c r="I154">
        <v>12</v>
      </c>
      <c r="J154">
        <v>1.18</v>
      </c>
      <c r="K154">
        <v>11.080992</v>
      </c>
      <c r="L154">
        <v>-0.85111260310032599</v>
      </c>
      <c r="M154">
        <v>-1.28450293533155</v>
      </c>
      <c r="N154">
        <v>-0.36641280133864162</v>
      </c>
      <c r="O154">
        <v>6.4545961751515335E-2</v>
      </c>
    </row>
    <row r="155" spans="1:15" x14ac:dyDescent="0.25">
      <c r="A155">
        <v>-0.13507025</v>
      </c>
      <c r="B155">
        <v>-1.82273375</v>
      </c>
      <c r="C155">
        <v>56.362338999999999</v>
      </c>
      <c r="D155">
        <v>63.607432250000002</v>
      </c>
      <c r="E155">
        <v>51.142533499999999</v>
      </c>
      <c r="F155">
        <v>0.82838750000000005</v>
      </c>
      <c r="G155">
        <v>74.345207500000001</v>
      </c>
      <c r="H155">
        <v>-20</v>
      </c>
      <c r="I155">
        <v>16</v>
      </c>
      <c r="J155">
        <v>1.18</v>
      </c>
      <c r="K155">
        <v>11.162645749999999</v>
      </c>
      <c r="L155">
        <v>-1.0839613148184311</v>
      </c>
      <c r="M155">
        <v>-1.2553490950902899</v>
      </c>
      <c r="N155">
        <v>-0.44517251546804432</v>
      </c>
      <c r="O155">
        <v>-3.4678396351209208E-2</v>
      </c>
    </row>
    <row r="156" spans="1:15" x14ac:dyDescent="0.25">
      <c r="A156">
        <v>-7.7040365</v>
      </c>
      <c r="B156">
        <v>-6.8592354999999996</v>
      </c>
      <c r="C156">
        <v>59.930148750000001</v>
      </c>
      <c r="D156">
        <v>61.4170905</v>
      </c>
      <c r="E156">
        <v>45.867342749999999</v>
      </c>
      <c r="F156">
        <v>0.77966100000000005</v>
      </c>
      <c r="G156">
        <v>75.065441249999992</v>
      </c>
      <c r="H156">
        <v>-20</v>
      </c>
      <c r="I156">
        <v>20</v>
      </c>
      <c r="J156">
        <v>1.18</v>
      </c>
      <c r="K156">
        <v>11.22087475</v>
      </c>
      <c r="L156">
        <v>-1.2725452886225159</v>
      </c>
      <c r="M156">
        <v>-1.284618292225058</v>
      </c>
      <c r="N156">
        <v>-0.54937157330856767</v>
      </c>
      <c r="O156">
        <v>-0.15166498806724479</v>
      </c>
    </row>
    <row r="157" spans="1:15" x14ac:dyDescent="0.25">
      <c r="A157">
        <v>-16.938767500000001</v>
      </c>
      <c r="B157">
        <v>-15.541203250000001</v>
      </c>
      <c r="C157">
        <v>63.814087999999998</v>
      </c>
      <c r="D157">
        <v>57.343059750000002</v>
      </c>
      <c r="E157">
        <v>38.043970000000002</v>
      </c>
      <c r="F157">
        <v>0.82838750000000005</v>
      </c>
      <c r="G157">
        <v>75.785680749999997</v>
      </c>
      <c r="H157">
        <v>-20</v>
      </c>
      <c r="I157">
        <v>24</v>
      </c>
      <c r="J157">
        <v>1.18</v>
      </c>
      <c r="K157">
        <v>11.27146825</v>
      </c>
      <c r="L157">
        <v>-1.4875979421488139</v>
      </c>
      <c r="M157">
        <v>-1.342650436009293</v>
      </c>
      <c r="N157">
        <v>-0.69527664063481376</v>
      </c>
      <c r="O157">
        <v>-0.31441817987257259</v>
      </c>
    </row>
    <row r="158" spans="1:15" x14ac:dyDescent="0.25">
      <c r="A158">
        <v>-26.487629999999999</v>
      </c>
      <c r="B158">
        <v>-25.326406250000002</v>
      </c>
      <c r="C158">
        <v>65.259281250000001</v>
      </c>
      <c r="D158">
        <v>52.568117999999998</v>
      </c>
      <c r="E158">
        <v>28.030052000000001</v>
      </c>
      <c r="F158">
        <v>0.77966100000000005</v>
      </c>
      <c r="G158">
        <v>76.034606749999995</v>
      </c>
      <c r="H158">
        <v>-20</v>
      </c>
      <c r="I158">
        <v>28</v>
      </c>
      <c r="J158">
        <v>1.1825000000000001</v>
      </c>
      <c r="K158">
        <v>11.28194925</v>
      </c>
      <c r="L158">
        <v>-1.7010161885495489</v>
      </c>
      <c r="M158">
        <v>-1.4441844357971969</v>
      </c>
      <c r="N158">
        <v>-0.89003507299273177</v>
      </c>
      <c r="O158">
        <v>-0.49478751294052808</v>
      </c>
    </row>
    <row r="159" spans="1:15" x14ac:dyDescent="0.25">
      <c r="A159">
        <v>-37.253822499999998</v>
      </c>
      <c r="B159">
        <v>-36.9343425</v>
      </c>
      <c r="C159">
        <v>66.83995075</v>
      </c>
      <c r="D159">
        <v>47.705562</v>
      </c>
      <c r="E159">
        <v>16.183228750000001</v>
      </c>
      <c r="F159">
        <v>0.77966075000000001</v>
      </c>
      <c r="G159">
        <v>76.470352249999991</v>
      </c>
      <c r="H159">
        <v>-20</v>
      </c>
      <c r="I159">
        <v>32</v>
      </c>
      <c r="J159">
        <v>1.1825000000000001</v>
      </c>
      <c r="K159">
        <v>11.31456775</v>
      </c>
      <c r="L159">
        <v>-1.9538065113883489</v>
      </c>
      <c r="M159">
        <v>-1.588657591397387</v>
      </c>
      <c r="N159">
        <v>-1.13157021947018</v>
      </c>
      <c r="O159">
        <v>-0.71087110488441163</v>
      </c>
    </row>
    <row r="160" spans="1:15" x14ac:dyDescent="0.25">
      <c r="A160">
        <v>-47.888063500000001</v>
      </c>
      <c r="B160">
        <v>-47.199215000000002</v>
      </c>
      <c r="C160">
        <v>67.607708000000002</v>
      </c>
      <c r="D160">
        <v>41.484997</v>
      </c>
      <c r="E160">
        <v>3.3081904999999998</v>
      </c>
      <c r="F160">
        <v>0.82838750000000005</v>
      </c>
      <c r="G160">
        <v>77.310693749999999</v>
      </c>
      <c r="H160">
        <v>-20</v>
      </c>
      <c r="I160">
        <v>36</v>
      </c>
      <c r="J160">
        <v>1.18</v>
      </c>
      <c r="K160">
        <v>11.385558250000001</v>
      </c>
      <c r="L160">
        <v>-2.2712647284610972</v>
      </c>
      <c r="M160">
        <v>-1.7440001111258761</v>
      </c>
      <c r="N160">
        <v>-1.4553354239912359</v>
      </c>
      <c r="O160">
        <v>-0.95126806736846936</v>
      </c>
    </row>
    <row r="161" spans="1:15" x14ac:dyDescent="0.25">
      <c r="A161">
        <v>-58.921445749999997</v>
      </c>
      <c r="B161">
        <v>-58.327486</v>
      </c>
      <c r="C161">
        <v>66.83995075</v>
      </c>
      <c r="D161">
        <v>34.344488749999996</v>
      </c>
      <c r="E161">
        <v>-11.68541375</v>
      </c>
      <c r="F161">
        <v>0.77966100000000005</v>
      </c>
      <c r="G161">
        <v>77.461760999999996</v>
      </c>
      <c r="H161">
        <v>-20</v>
      </c>
      <c r="I161">
        <v>40</v>
      </c>
      <c r="J161">
        <v>1.18</v>
      </c>
      <c r="K161">
        <v>11.400423999999999</v>
      </c>
      <c r="L161">
        <v>-2.6797890717842989</v>
      </c>
      <c r="M161">
        <v>-1.97456094207629</v>
      </c>
      <c r="N161">
        <v>-1.8998927811828781</v>
      </c>
      <c r="O161">
        <v>-1.265833592563727</v>
      </c>
    </row>
    <row r="162" spans="1:15" x14ac:dyDescent="0.25">
      <c r="A162">
        <v>-69.2011775</v>
      </c>
      <c r="B162">
        <v>-68.640321499999999</v>
      </c>
      <c r="C162">
        <v>64.852821250000005</v>
      </c>
      <c r="D162">
        <v>26.678297749999999</v>
      </c>
      <c r="E162">
        <v>-26.626686249999999</v>
      </c>
      <c r="F162">
        <v>0.82838750000000005</v>
      </c>
      <c r="G162">
        <v>78.026451000000009</v>
      </c>
      <c r="H162">
        <v>-20</v>
      </c>
      <c r="I162">
        <v>44</v>
      </c>
      <c r="J162">
        <v>1.18</v>
      </c>
      <c r="K162">
        <v>11.438712499999999</v>
      </c>
      <c r="L162">
        <v>-3.1696163949888181</v>
      </c>
      <c r="M162">
        <v>-2.2537423554118798</v>
      </c>
      <c r="N162">
        <v>-2.47456323448659</v>
      </c>
      <c r="O162">
        <v>-1.6492119788831681</v>
      </c>
    </row>
    <row r="163" spans="1:15" x14ac:dyDescent="0.25">
      <c r="A163">
        <v>69.188199999999995</v>
      </c>
      <c r="B163">
        <v>-62.35668175</v>
      </c>
      <c r="C163">
        <v>-69.00758350000001</v>
      </c>
      <c r="D163">
        <v>26.108809000000001</v>
      </c>
      <c r="E163">
        <v>-2.988254</v>
      </c>
      <c r="F163">
        <v>0.92584049999999996</v>
      </c>
      <c r="G163">
        <v>78.671230500000007</v>
      </c>
      <c r="H163">
        <v>-16</v>
      </c>
      <c r="I163">
        <v>-44</v>
      </c>
      <c r="J163">
        <v>1.18</v>
      </c>
      <c r="K163">
        <v>11.479190750000001</v>
      </c>
      <c r="L163">
        <v>2.2043192817211308</v>
      </c>
      <c r="M163">
        <v>-1.4110471816030079</v>
      </c>
      <c r="N163">
        <v>-1.302519535420035</v>
      </c>
      <c r="O163">
        <v>-1.0624252997282331</v>
      </c>
    </row>
    <row r="164" spans="1:15" x14ac:dyDescent="0.25">
      <c r="A164">
        <v>70.898591999999994</v>
      </c>
      <c r="B164">
        <v>-51.276377500000002</v>
      </c>
      <c r="C164">
        <v>-58.588793750000001</v>
      </c>
      <c r="D164">
        <v>34.081648000000001</v>
      </c>
      <c r="E164">
        <v>10.0586445</v>
      </c>
      <c r="F164">
        <v>0.97456699999999996</v>
      </c>
      <c r="G164">
        <v>79.02678474999999</v>
      </c>
      <c r="H164">
        <v>-16</v>
      </c>
      <c r="I164">
        <v>-40</v>
      </c>
      <c r="J164">
        <v>1.18</v>
      </c>
      <c r="K164">
        <v>11.501820499999999</v>
      </c>
      <c r="L164">
        <v>1.992410279663116</v>
      </c>
      <c r="M164">
        <v>-1.3133709577756509</v>
      </c>
      <c r="N164">
        <v>-1.061210444261163</v>
      </c>
      <c r="O164">
        <v>-0.86023414453470393</v>
      </c>
    </row>
    <row r="165" spans="1:15" x14ac:dyDescent="0.25">
      <c r="A165">
        <v>72.297595999999999</v>
      </c>
      <c r="B165">
        <v>-38.56521</v>
      </c>
      <c r="C165">
        <v>-47.087529250000003</v>
      </c>
      <c r="D165">
        <v>41.923065999999999</v>
      </c>
      <c r="E165">
        <v>23.291323250000001</v>
      </c>
      <c r="F165">
        <v>0.87711399999999995</v>
      </c>
      <c r="G165">
        <v>79.787044499999993</v>
      </c>
      <c r="H165">
        <v>-16</v>
      </c>
      <c r="I165">
        <v>-36</v>
      </c>
      <c r="J165">
        <v>1.18</v>
      </c>
      <c r="K165">
        <v>11.5648415</v>
      </c>
      <c r="L165">
        <v>1.8056444092338939</v>
      </c>
      <c r="M165">
        <v>-1.217359966041359</v>
      </c>
      <c r="N165">
        <v>-0.85447933072864046</v>
      </c>
      <c r="O165">
        <v>-0.66099471239465124</v>
      </c>
    </row>
    <row r="166" spans="1:15" x14ac:dyDescent="0.25">
      <c r="A166">
        <v>71.841598750000003</v>
      </c>
      <c r="B166">
        <v>-28.060504999999999</v>
      </c>
      <c r="C166">
        <v>-36.037294500000002</v>
      </c>
      <c r="D166">
        <v>48.756926749999998</v>
      </c>
      <c r="E166">
        <v>34.020522</v>
      </c>
      <c r="F166">
        <v>0.77966100000000005</v>
      </c>
      <c r="G166">
        <v>79.942454999999995</v>
      </c>
      <c r="H166">
        <v>-16</v>
      </c>
      <c r="I166">
        <v>-32</v>
      </c>
      <c r="J166">
        <v>1.18</v>
      </c>
      <c r="K166">
        <v>11.583358499999999</v>
      </c>
      <c r="L166">
        <v>1.632806661531508</v>
      </c>
      <c r="M166">
        <v>-1.162679801861308</v>
      </c>
      <c r="N166">
        <v>-0.69505368915306209</v>
      </c>
      <c r="O166">
        <v>-0.49687385727621419</v>
      </c>
    </row>
    <row r="167" spans="1:15" x14ac:dyDescent="0.25">
      <c r="A167">
        <v>71.119571750000006</v>
      </c>
      <c r="B167">
        <v>-16.548503</v>
      </c>
      <c r="C167">
        <v>-22.235776999999999</v>
      </c>
      <c r="D167">
        <v>54.889879000000001</v>
      </c>
      <c r="E167">
        <v>44.615603499999999</v>
      </c>
      <c r="F167">
        <v>0.97456699999999996</v>
      </c>
      <c r="G167">
        <v>80.311880000000002</v>
      </c>
      <c r="H167">
        <v>-16</v>
      </c>
      <c r="I167">
        <v>-28</v>
      </c>
      <c r="J167">
        <v>1.18</v>
      </c>
      <c r="K167">
        <v>11.5961175</v>
      </c>
      <c r="L167">
        <v>1.458509531393954</v>
      </c>
      <c r="M167">
        <v>-1.1160971502255099</v>
      </c>
      <c r="N167">
        <v>-0.55769658626316354</v>
      </c>
      <c r="O167">
        <v>-0.31818975632762619</v>
      </c>
    </row>
    <row r="168" spans="1:15" x14ac:dyDescent="0.25">
      <c r="A168">
        <v>68.958036249999992</v>
      </c>
      <c r="B168">
        <v>-8.6340017499999995</v>
      </c>
      <c r="C168">
        <v>-9.6971439999999998</v>
      </c>
      <c r="D168">
        <v>60.716180999999999</v>
      </c>
      <c r="E168">
        <v>52.975437999999997</v>
      </c>
      <c r="F168">
        <v>1.07202</v>
      </c>
      <c r="G168">
        <v>81.232249999999993</v>
      </c>
      <c r="H168">
        <v>-16</v>
      </c>
      <c r="I168">
        <v>-24</v>
      </c>
      <c r="J168">
        <v>1.18</v>
      </c>
      <c r="K168">
        <v>11.656102499999999</v>
      </c>
      <c r="L168">
        <v>1.2657460767363471</v>
      </c>
      <c r="M168">
        <v>-1.1160163747563561</v>
      </c>
      <c r="N168">
        <v>-0.45472450883379728</v>
      </c>
      <c r="O168">
        <v>-0.16474144947801159</v>
      </c>
    </row>
    <row r="169" spans="1:15" x14ac:dyDescent="0.25">
      <c r="A169">
        <v>66.028911750000006</v>
      </c>
      <c r="B169">
        <v>-1.3910337500000001</v>
      </c>
      <c r="C169">
        <v>2.2581147499999998</v>
      </c>
      <c r="D169">
        <v>64.658796249999995</v>
      </c>
      <c r="E169">
        <v>60.128234749999997</v>
      </c>
      <c r="F169">
        <v>1.0232935000000001</v>
      </c>
      <c r="G169">
        <v>81.072185500000003</v>
      </c>
      <c r="H169">
        <v>-16</v>
      </c>
      <c r="I169">
        <v>-20</v>
      </c>
      <c r="J169">
        <v>1.19</v>
      </c>
      <c r="K169">
        <v>11.59896225</v>
      </c>
      <c r="L169">
        <v>1.068291524944738</v>
      </c>
      <c r="M169">
        <v>-1.106482403070602</v>
      </c>
      <c r="N169">
        <v>-0.35086947184682338</v>
      </c>
      <c r="O169">
        <v>-9.8856725137462381E-3</v>
      </c>
    </row>
    <row r="170" spans="1:15" x14ac:dyDescent="0.25">
      <c r="A170">
        <v>61.7332325</v>
      </c>
      <c r="B170">
        <v>3.0303404999999999</v>
      </c>
      <c r="C170">
        <v>12.46475525</v>
      </c>
      <c r="D170">
        <v>68.601411749999997</v>
      </c>
      <c r="E170">
        <v>65.805770999999993</v>
      </c>
      <c r="F170">
        <v>1.1207465000000001</v>
      </c>
      <c r="G170">
        <v>81.742963500000002</v>
      </c>
      <c r="H170">
        <v>-16</v>
      </c>
      <c r="I170">
        <v>-16</v>
      </c>
      <c r="J170">
        <v>1.1850000000000001</v>
      </c>
      <c r="K170">
        <v>11.66503475</v>
      </c>
      <c r="L170">
        <v>0.8486006425711452</v>
      </c>
      <c r="M170">
        <v>-1.1293901897926839</v>
      </c>
      <c r="N170">
        <v>-0.27450690791848359</v>
      </c>
      <c r="O170">
        <v>0.114167485741794</v>
      </c>
    </row>
    <row r="171" spans="1:15" x14ac:dyDescent="0.25">
      <c r="A171">
        <v>57.047543500000003</v>
      </c>
      <c r="B171">
        <v>5.6277739999999996</v>
      </c>
      <c r="C171">
        <v>20.14231625</v>
      </c>
      <c r="D171">
        <v>71.142200500000001</v>
      </c>
      <c r="E171">
        <v>69.024532500000007</v>
      </c>
      <c r="F171">
        <v>0.97456699999999996</v>
      </c>
      <c r="G171">
        <v>81.997316500000011</v>
      </c>
      <c r="H171">
        <v>-16</v>
      </c>
      <c r="I171">
        <v>-12</v>
      </c>
      <c r="J171">
        <v>1.18</v>
      </c>
      <c r="K171">
        <v>11.7186465</v>
      </c>
      <c r="L171">
        <v>0.65738287866053802</v>
      </c>
      <c r="M171">
        <v>-1.166975758645924</v>
      </c>
      <c r="N171">
        <v>-0.23107476106491881</v>
      </c>
      <c r="O171">
        <v>0.21217431129872019</v>
      </c>
    </row>
    <row r="172" spans="1:15" x14ac:dyDescent="0.25">
      <c r="A172">
        <v>50.812589500000001</v>
      </c>
      <c r="B172">
        <v>7.6961012499999999</v>
      </c>
      <c r="C172">
        <v>28.406984250000001</v>
      </c>
      <c r="D172">
        <v>72.587823999999998</v>
      </c>
      <c r="E172">
        <v>71.751535499999989</v>
      </c>
      <c r="F172">
        <v>1.07202</v>
      </c>
      <c r="G172">
        <v>82.192627000000002</v>
      </c>
      <c r="H172">
        <v>-16</v>
      </c>
      <c r="I172">
        <v>-8</v>
      </c>
      <c r="J172">
        <v>1.18</v>
      </c>
      <c r="K172">
        <v>11.725716</v>
      </c>
      <c r="L172">
        <v>0.41724032834446129</v>
      </c>
      <c r="M172">
        <v>-1.208417060630109</v>
      </c>
      <c r="N172">
        <v>-0.19444283303424889</v>
      </c>
      <c r="O172">
        <v>0.31618804241541948</v>
      </c>
    </row>
    <row r="173" spans="1:15" x14ac:dyDescent="0.25">
      <c r="A173">
        <v>44.449734499999998</v>
      </c>
      <c r="B173">
        <v>7.7442019999999996</v>
      </c>
      <c r="C173">
        <v>35.678085500000002</v>
      </c>
      <c r="D173">
        <v>73.902028999999999</v>
      </c>
      <c r="E173">
        <v>72.958568499999998</v>
      </c>
      <c r="F173">
        <v>1.1207465000000001</v>
      </c>
      <c r="G173">
        <v>82.943302250000002</v>
      </c>
      <c r="H173">
        <v>-16</v>
      </c>
      <c r="I173">
        <v>-4</v>
      </c>
      <c r="J173">
        <v>1.18</v>
      </c>
      <c r="K173">
        <v>11.77634325</v>
      </c>
      <c r="L173">
        <v>0.17117377587937679</v>
      </c>
      <c r="M173">
        <v>-1.2909341651320949</v>
      </c>
      <c r="N173">
        <v>-0.19483055704995081</v>
      </c>
      <c r="O173">
        <v>0.40179487423069948</v>
      </c>
    </row>
    <row r="174" spans="1:15" x14ac:dyDescent="0.25">
      <c r="A174">
        <v>37.460017999999998</v>
      </c>
      <c r="B174">
        <v>9.1872202499999993</v>
      </c>
      <c r="C174">
        <v>43.536293999999998</v>
      </c>
      <c r="D174">
        <v>73.770609000000007</v>
      </c>
      <c r="E174">
        <v>73.986782000000005</v>
      </c>
      <c r="F174">
        <v>1.0232935000000001</v>
      </c>
      <c r="G174">
        <v>82.962576000000013</v>
      </c>
      <c r="H174">
        <v>-16</v>
      </c>
      <c r="I174">
        <v>0</v>
      </c>
      <c r="J174">
        <v>1.1825000000000001</v>
      </c>
      <c r="K174">
        <v>11.77233275</v>
      </c>
      <c r="L174">
        <v>-0.11988828818209391</v>
      </c>
      <c r="M174">
        <v>-1.2747718018505469</v>
      </c>
      <c r="N174">
        <v>-0.1771875885190288</v>
      </c>
      <c r="O174">
        <v>0.44019465548184011</v>
      </c>
    </row>
    <row r="175" spans="1:15" x14ac:dyDescent="0.25">
      <c r="A175">
        <v>30.189720250000001</v>
      </c>
      <c r="B175">
        <v>9.6682267500000005</v>
      </c>
      <c r="C175">
        <v>50.4912645</v>
      </c>
      <c r="D175">
        <v>73.85822300000001</v>
      </c>
      <c r="E175">
        <v>73.584442499999994</v>
      </c>
      <c r="F175">
        <v>1.07202</v>
      </c>
      <c r="G175">
        <v>83.353082999999998</v>
      </c>
      <c r="H175">
        <v>-16</v>
      </c>
      <c r="I175">
        <v>4</v>
      </c>
      <c r="J175">
        <v>1.1875</v>
      </c>
      <c r="K175">
        <v>11.771978750000001</v>
      </c>
      <c r="L175">
        <v>-0.37836913162154429</v>
      </c>
      <c r="M175">
        <v>-1.1963420137177081</v>
      </c>
      <c r="N175">
        <v>-0.18206241156655761</v>
      </c>
      <c r="O175">
        <v>0.3514517878134969</v>
      </c>
    </row>
    <row r="176" spans="1:15" x14ac:dyDescent="0.25">
      <c r="A176">
        <v>22.429385</v>
      </c>
      <c r="B176">
        <v>10.053031499999999</v>
      </c>
      <c r="C176">
        <v>56.949447249999999</v>
      </c>
      <c r="D176">
        <v>72.675438</v>
      </c>
      <c r="E176">
        <v>72.019763999999995</v>
      </c>
      <c r="F176">
        <v>0.97456699999999996</v>
      </c>
      <c r="G176">
        <v>83.868423250000006</v>
      </c>
      <c r="H176">
        <v>-16</v>
      </c>
      <c r="I176">
        <v>8</v>
      </c>
      <c r="J176">
        <v>1.18</v>
      </c>
      <c r="K176">
        <v>11.853183</v>
      </c>
      <c r="L176">
        <v>-0.61889253097834684</v>
      </c>
      <c r="M176">
        <v>-1.1226900951426719</v>
      </c>
      <c r="N176">
        <v>-0.21243954692663999</v>
      </c>
      <c r="O176">
        <v>0.27372282279481402</v>
      </c>
    </row>
    <row r="177" spans="1:15" x14ac:dyDescent="0.25">
      <c r="A177">
        <v>14.667143250000001</v>
      </c>
      <c r="B177">
        <v>10.053031499999999</v>
      </c>
      <c r="C177">
        <v>59.433365000000002</v>
      </c>
      <c r="D177">
        <v>67.506238999999994</v>
      </c>
      <c r="E177">
        <v>66.476347000000004</v>
      </c>
      <c r="F177">
        <v>0.97456699999999996</v>
      </c>
      <c r="G177">
        <v>79.756296249999991</v>
      </c>
      <c r="H177">
        <v>-16</v>
      </c>
      <c r="I177">
        <v>12</v>
      </c>
      <c r="J177">
        <v>1.18</v>
      </c>
      <c r="K177">
        <v>11.555443500000001</v>
      </c>
      <c r="L177">
        <v>-0.8272398159134422</v>
      </c>
      <c r="M177">
        <v>-1.0616819730972591</v>
      </c>
      <c r="N177">
        <v>-0.24541879675405659</v>
      </c>
      <c r="O177">
        <v>0.21037778613919611</v>
      </c>
    </row>
    <row r="178" spans="1:15" x14ac:dyDescent="0.25">
      <c r="A178">
        <v>5.7321815000000003</v>
      </c>
      <c r="B178">
        <v>7.0707930000000001</v>
      </c>
      <c r="C178">
        <v>62.504390999999998</v>
      </c>
      <c r="D178">
        <v>62.293222999999998</v>
      </c>
      <c r="E178">
        <v>59.323549249999999</v>
      </c>
      <c r="F178">
        <v>0.97456699999999996</v>
      </c>
      <c r="G178">
        <v>77.319687000000002</v>
      </c>
      <c r="H178">
        <v>-16</v>
      </c>
      <c r="I178">
        <v>16</v>
      </c>
      <c r="J178">
        <v>1.18</v>
      </c>
      <c r="K178">
        <v>11.375343750000001</v>
      </c>
      <c r="L178">
        <v>-1.072742126741056</v>
      </c>
      <c r="M178">
        <v>-1.043470361444423</v>
      </c>
      <c r="N178">
        <v>-0.34005144919352009</v>
      </c>
      <c r="O178">
        <v>0.1025514027604025</v>
      </c>
    </row>
    <row r="179" spans="1:15" x14ac:dyDescent="0.25">
      <c r="A179">
        <v>-2.7482042500000001</v>
      </c>
      <c r="B179">
        <v>1.1544160000000001</v>
      </c>
      <c r="C179">
        <v>63.588276</v>
      </c>
      <c r="D179">
        <v>56.510731749999998</v>
      </c>
      <c r="E179">
        <v>51.008417999999999</v>
      </c>
      <c r="F179">
        <v>0.82838750000000005</v>
      </c>
      <c r="G179">
        <v>75.145473499999994</v>
      </c>
      <c r="H179">
        <v>-16</v>
      </c>
      <c r="I179">
        <v>20</v>
      </c>
      <c r="J179">
        <v>1.18</v>
      </c>
      <c r="K179">
        <v>11.223235499999999</v>
      </c>
      <c r="L179">
        <v>-1.2805072430215589</v>
      </c>
      <c r="M179">
        <v>-1.0685327092077279</v>
      </c>
      <c r="N179">
        <v>-0.46592292309505923</v>
      </c>
      <c r="O179">
        <v>-3.1360812721593058E-2</v>
      </c>
    </row>
    <row r="180" spans="1:15" x14ac:dyDescent="0.25">
      <c r="A180">
        <v>-11.308265499999999</v>
      </c>
      <c r="B180">
        <v>-6.7633017500000001</v>
      </c>
      <c r="C180">
        <v>63.859250250000002</v>
      </c>
      <c r="D180">
        <v>50.465390999999997</v>
      </c>
      <c r="E180">
        <v>41.307435249999997</v>
      </c>
      <c r="F180">
        <v>0.82838750000000005</v>
      </c>
      <c r="G180">
        <v>72.188648000000001</v>
      </c>
      <c r="H180">
        <v>-16</v>
      </c>
      <c r="I180">
        <v>24</v>
      </c>
      <c r="J180">
        <v>1.18</v>
      </c>
      <c r="K180">
        <v>10.997704499999999</v>
      </c>
      <c r="L180">
        <v>-1.493120751502633</v>
      </c>
      <c r="M180">
        <v>-1.1367819857202031</v>
      </c>
      <c r="N180">
        <v>-0.61343675313889579</v>
      </c>
      <c r="O180">
        <v>-0.195944966671147</v>
      </c>
    </row>
    <row r="181" spans="1:15" x14ac:dyDescent="0.25">
      <c r="A181">
        <v>-20.632836749999999</v>
      </c>
      <c r="B181">
        <v>-15.781036500000001</v>
      </c>
      <c r="C181">
        <v>66.3883285</v>
      </c>
      <c r="D181">
        <v>46.347551000000003</v>
      </c>
      <c r="E181">
        <v>32.187616249999998</v>
      </c>
      <c r="F181">
        <v>0.77966100000000005</v>
      </c>
      <c r="G181">
        <v>73.469167999999996</v>
      </c>
      <c r="H181">
        <v>-16</v>
      </c>
      <c r="I181">
        <v>28</v>
      </c>
      <c r="J181">
        <v>1.1825000000000001</v>
      </c>
      <c r="K181">
        <v>11.087976749999999</v>
      </c>
      <c r="L181">
        <v>-1.7268061418369061</v>
      </c>
      <c r="M181">
        <v>-1.232836699594001</v>
      </c>
      <c r="N181">
        <v>-0.81917125794551671</v>
      </c>
      <c r="O181">
        <v>-0.37675292510664821</v>
      </c>
    </row>
    <row r="182" spans="1:15" x14ac:dyDescent="0.25">
      <c r="A182">
        <v>-31.172492250000001</v>
      </c>
      <c r="B182">
        <v>-26.285740499999999</v>
      </c>
      <c r="C182">
        <v>68.285140999999996</v>
      </c>
      <c r="D182">
        <v>41.353576750000002</v>
      </c>
      <c r="E182">
        <v>20.474907999999999</v>
      </c>
      <c r="F182">
        <v>0.77966100000000005</v>
      </c>
      <c r="G182">
        <v>74.598288999999994</v>
      </c>
      <c r="H182">
        <v>-16</v>
      </c>
      <c r="I182">
        <v>32</v>
      </c>
      <c r="J182">
        <v>1.1825000000000001</v>
      </c>
      <c r="K182">
        <v>11.173765749999999</v>
      </c>
      <c r="L182">
        <v>-2.0213690952600998</v>
      </c>
      <c r="M182">
        <v>-1.3746127263460159</v>
      </c>
      <c r="N182">
        <v>-1.1000207456834641</v>
      </c>
      <c r="O182">
        <v>-0.59971673360626021</v>
      </c>
    </row>
    <row r="183" spans="1:15" x14ac:dyDescent="0.25">
      <c r="A183">
        <v>-42.254049250000001</v>
      </c>
      <c r="B183">
        <v>-36.598574749999997</v>
      </c>
      <c r="C183">
        <v>69.549674750000008</v>
      </c>
      <c r="D183">
        <v>35.089204000000002</v>
      </c>
      <c r="E183">
        <v>7.1975257499999996</v>
      </c>
      <c r="F183">
        <v>0.82838750000000005</v>
      </c>
      <c r="G183">
        <v>75.238617000000005</v>
      </c>
      <c r="H183">
        <v>-16</v>
      </c>
      <c r="I183">
        <v>36</v>
      </c>
      <c r="J183">
        <v>1.18</v>
      </c>
      <c r="K183">
        <v>11.230271</v>
      </c>
      <c r="L183">
        <v>-2.3980001460860292</v>
      </c>
      <c r="M183">
        <v>-1.537574427632429</v>
      </c>
      <c r="N183">
        <v>-1.4593718416842381</v>
      </c>
      <c r="O183">
        <v>-0.86339841462535749</v>
      </c>
    </row>
    <row r="184" spans="1:15" x14ac:dyDescent="0.25">
      <c r="A184">
        <v>-53.924752249999997</v>
      </c>
      <c r="B184">
        <v>-48.110581500000002</v>
      </c>
      <c r="C184">
        <v>69.956135000000003</v>
      </c>
      <c r="D184">
        <v>28.08011475</v>
      </c>
      <c r="E184">
        <v>-8.3849529999999994</v>
      </c>
      <c r="F184">
        <v>0.77966100000000005</v>
      </c>
      <c r="G184">
        <v>76.270279000000002</v>
      </c>
      <c r="H184">
        <v>-16</v>
      </c>
      <c r="I184">
        <v>40</v>
      </c>
      <c r="J184">
        <v>1.18</v>
      </c>
      <c r="K184">
        <v>11.311506</v>
      </c>
      <c r="L184">
        <v>-2.9058756180556111</v>
      </c>
      <c r="M184">
        <v>-1.787227633472154</v>
      </c>
      <c r="N184">
        <v>-1.985809828087951</v>
      </c>
      <c r="O184">
        <v>-1.215032749165609</v>
      </c>
    </row>
    <row r="185" spans="1:15" x14ac:dyDescent="0.25">
      <c r="A185">
        <v>-64.19611175</v>
      </c>
      <c r="B185">
        <v>-58.0876515</v>
      </c>
      <c r="C185">
        <v>68.465789749999999</v>
      </c>
      <c r="D185">
        <v>20.589151749999999</v>
      </c>
      <c r="E185">
        <v>-24.039838499999998</v>
      </c>
      <c r="F185">
        <v>0.77966100000000005</v>
      </c>
      <c r="G185">
        <v>76.559298999999996</v>
      </c>
      <c r="H185">
        <v>-16</v>
      </c>
      <c r="I185">
        <v>44</v>
      </c>
      <c r="J185">
        <v>1.18</v>
      </c>
      <c r="K185">
        <v>11.33313875</v>
      </c>
      <c r="L185">
        <v>-3.5758524423763611</v>
      </c>
      <c r="M185">
        <v>-2.1207244003274179</v>
      </c>
      <c r="N185">
        <v>-2.7117295020444581</v>
      </c>
      <c r="O185">
        <v>-1.669142223966557</v>
      </c>
    </row>
    <row r="186" spans="1:15" x14ac:dyDescent="0.25">
      <c r="A186">
        <v>71.751344750000001</v>
      </c>
      <c r="B186">
        <v>-51.5641775</v>
      </c>
      <c r="C186">
        <v>-67.338773750000001</v>
      </c>
      <c r="D186">
        <v>19.012107499999999</v>
      </c>
      <c r="E186">
        <v>-1.3380255000000001</v>
      </c>
      <c r="F186">
        <v>0.77966100000000005</v>
      </c>
      <c r="G186">
        <v>77.550784999999991</v>
      </c>
      <c r="H186">
        <v>-12</v>
      </c>
      <c r="I186">
        <v>-44</v>
      </c>
      <c r="J186">
        <v>1.18</v>
      </c>
      <c r="K186">
        <v>11.407038</v>
      </c>
      <c r="L186">
        <v>2.3934343772735049</v>
      </c>
      <c r="M186">
        <v>-1.2144560762382071</v>
      </c>
      <c r="N186">
        <v>-1.3575059531421261</v>
      </c>
      <c r="O186">
        <v>-1.036443088842669</v>
      </c>
    </row>
    <row r="187" spans="1:15" x14ac:dyDescent="0.25">
      <c r="A187">
        <v>73.651487500000002</v>
      </c>
      <c r="B187">
        <v>-40.531842249999997</v>
      </c>
      <c r="C187">
        <v>-56.919981999999997</v>
      </c>
      <c r="D187">
        <v>27.598240000000001</v>
      </c>
      <c r="E187">
        <v>12.74094425</v>
      </c>
      <c r="F187">
        <v>0.92584049999999996</v>
      </c>
      <c r="G187">
        <v>78.195586999999989</v>
      </c>
      <c r="H187">
        <v>-12</v>
      </c>
      <c r="I187">
        <v>-40</v>
      </c>
      <c r="J187">
        <v>1.18</v>
      </c>
      <c r="K187">
        <v>11.44401875</v>
      </c>
      <c r="L187">
        <v>2.1242614781848572</v>
      </c>
      <c r="M187">
        <v>-1.108401844627259</v>
      </c>
      <c r="N187">
        <v>-1.0648836371474679</v>
      </c>
      <c r="O187">
        <v>-0.80776926056280174</v>
      </c>
    </row>
    <row r="188" spans="1:15" x14ac:dyDescent="0.25">
      <c r="A188">
        <v>74.513829999999999</v>
      </c>
      <c r="B188">
        <v>-27.7727045</v>
      </c>
      <c r="C188">
        <v>-45.283409249999998</v>
      </c>
      <c r="D188">
        <v>34.957784750000002</v>
      </c>
      <c r="E188">
        <v>26.28655775</v>
      </c>
      <c r="F188">
        <v>0.87711399999999995</v>
      </c>
      <c r="G188">
        <v>78.400239999999997</v>
      </c>
      <c r="H188">
        <v>-12</v>
      </c>
      <c r="I188">
        <v>-36</v>
      </c>
      <c r="J188">
        <v>1.18</v>
      </c>
      <c r="K188">
        <v>11.46276975</v>
      </c>
      <c r="L188">
        <v>1.90716428304851</v>
      </c>
      <c r="M188">
        <v>-0.99865662359470453</v>
      </c>
      <c r="N188">
        <v>-0.82964973147267362</v>
      </c>
      <c r="O188">
        <v>-0.59548979025715809</v>
      </c>
    </row>
    <row r="189" spans="1:15" x14ac:dyDescent="0.25">
      <c r="A189">
        <v>74.418702749999994</v>
      </c>
      <c r="B189">
        <v>-17.5558035</v>
      </c>
      <c r="C189">
        <v>-33.240907749999998</v>
      </c>
      <c r="D189">
        <v>42.492553749999999</v>
      </c>
      <c r="E189">
        <v>37.909855749999998</v>
      </c>
      <c r="F189">
        <v>0.92584049999999996</v>
      </c>
      <c r="G189">
        <v>79.111412000000001</v>
      </c>
      <c r="H189">
        <v>-12</v>
      </c>
      <c r="I189">
        <v>-32</v>
      </c>
      <c r="J189">
        <v>1.18</v>
      </c>
      <c r="K189">
        <v>11.51164125</v>
      </c>
      <c r="L189">
        <v>1.7005676979029001</v>
      </c>
      <c r="M189">
        <v>-0.94850997433277884</v>
      </c>
      <c r="N189">
        <v>-0.65081303835381732</v>
      </c>
      <c r="O189">
        <v>-0.4158111547827783</v>
      </c>
    </row>
    <row r="190" spans="1:15" x14ac:dyDescent="0.25">
      <c r="A190">
        <v>73.380716500000005</v>
      </c>
      <c r="B190">
        <v>-7.4348342499999998</v>
      </c>
      <c r="C190">
        <v>-20.251244249999999</v>
      </c>
      <c r="D190">
        <v>49.282606999999999</v>
      </c>
      <c r="E190">
        <v>48.192004999999988</v>
      </c>
      <c r="F190">
        <v>0.97456699999999996</v>
      </c>
      <c r="G190">
        <v>79.471553999999998</v>
      </c>
      <c r="H190">
        <v>-12</v>
      </c>
      <c r="I190">
        <v>-28</v>
      </c>
      <c r="J190">
        <v>1.1825000000000001</v>
      </c>
      <c r="K190">
        <v>11.5223975</v>
      </c>
      <c r="L190">
        <v>1.509342686535345</v>
      </c>
      <c r="M190">
        <v>-0.91428028294725294</v>
      </c>
      <c r="N190">
        <v>-0.50422733497977412</v>
      </c>
      <c r="O190">
        <v>-0.23885725044750139</v>
      </c>
    </row>
    <row r="191" spans="1:15" x14ac:dyDescent="0.25">
      <c r="A191">
        <v>71.801168500000003</v>
      </c>
      <c r="B191">
        <v>1.539221</v>
      </c>
      <c r="C191">
        <v>-7.8930249999999997</v>
      </c>
      <c r="D191">
        <v>54.101358500000003</v>
      </c>
      <c r="E191">
        <v>56.998887000000003</v>
      </c>
      <c r="F191">
        <v>0.97456699999999996</v>
      </c>
      <c r="G191">
        <v>79.800956999999997</v>
      </c>
      <c r="H191">
        <v>-12</v>
      </c>
      <c r="I191">
        <v>-24</v>
      </c>
      <c r="J191">
        <v>1.1875</v>
      </c>
      <c r="K191">
        <v>11.52222525</v>
      </c>
      <c r="L191">
        <v>1.324354867065838</v>
      </c>
      <c r="M191">
        <v>-0.87347960519647105</v>
      </c>
      <c r="N191">
        <v>-0.37892750147151127</v>
      </c>
      <c r="O191">
        <v>-6.8987634881336815E-2</v>
      </c>
    </row>
    <row r="192" spans="1:15" x14ac:dyDescent="0.25">
      <c r="A192">
        <v>69.088875000000002</v>
      </c>
      <c r="B192">
        <v>8.2252082499999997</v>
      </c>
      <c r="C192">
        <v>4.2452484999999998</v>
      </c>
      <c r="D192">
        <v>58.876300000000001</v>
      </c>
      <c r="E192">
        <v>64.241092500000008</v>
      </c>
      <c r="F192">
        <v>0.97456699999999996</v>
      </c>
      <c r="G192">
        <v>80.63200375000001</v>
      </c>
      <c r="H192">
        <v>-12</v>
      </c>
      <c r="I192">
        <v>-20</v>
      </c>
      <c r="J192">
        <v>1.18</v>
      </c>
      <c r="K192">
        <v>11.619489250000001</v>
      </c>
      <c r="L192">
        <v>1.1178735954344861</v>
      </c>
      <c r="M192">
        <v>-0.87321467860088953</v>
      </c>
      <c r="N192">
        <v>-0.28257361506090078</v>
      </c>
      <c r="O192">
        <v>9.0700786473867673E-2</v>
      </c>
    </row>
    <row r="193" spans="1:15" x14ac:dyDescent="0.25">
      <c r="A193">
        <v>64.986600750000008</v>
      </c>
      <c r="B193">
        <v>12.45806275</v>
      </c>
      <c r="C193">
        <v>14.9486715</v>
      </c>
      <c r="D193">
        <v>62.643686000000002</v>
      </c>
      <c r="E193">
        <v>69.650400250000004</v>
      </c>
      <c r="F193">
        <v>0.97456699999999996</v>
      </c>
      <c r="G193">
        <v>80.721426000000008</v>
      </c>
      <c r="H193">
        <v>-12</v>
      </c>
      <c r="I193">
        <v>-16</v>
      </c>
      <c r="J193">
        <v>1.18</v>
      </c>
      <c r="K193">
        <v>11.626011500000001</v>
      </c>
      <c r="L193">
        <v>0.89438748214187003</v>
      </c>
      <c r="M193">
        <v>-0.89698653302547693</v>
      </c>
      <c r="N193">
        <v>-0.1978724453576591</v>
      </c>
      <c r="O193">
        <v>0.22753646749623099</v>
      </c>
    </row>
    <row r="194" spans="1:15" x14ac:dyDescent="0.25">
      <c r="A194">
        <v>60.108673000000003</v>
      </c>
      <c r="B194">
        <v>15.103596749999999</v>
      </c>
      <c r="C194">
        <v>23.3939895</v>
      </c>
      <c r="D194">
        <v>65.578739249999998</v>
      </c>
      <c r="E194">
        <v>73.003276499999998</v>
      </c>
      <c r="F194">
        <v>0.97456699999999996</v>
      </c>
      <c r="G194">
        <v>81.081619000000003</v>
      </c>
      <c r="H194">
        <v>-12</v>
      </c>
      <c r="I194">
        <v>-12</v>
      </c>
      <c r="J194">
        <v>1.18</v>
      </c>
      <c r="K194">
        <v>11.6522375</v>
      </c>
      <c r="L194">
        <v>0.68300657080545502</v>
      </c>
      <c r="M194">
        <v>-0.93898637297203713</v>
      </c>
      <c r="N194">
        <v>-0.15028206992869131</v>
      </c>
      <c r="O194">
        <v>0.33996170324492792</v>
      </c>
    </row>
    <row r="195" spans="1:15" x14ac:dyDescent="0.25">
      <c r="A195">
        <v>55.189872000000001</v>
      </c>
      <c r="B195">
        <v>18.18203725</v>
      </c>
      <c r="C195">
        <v>31.658659</v>
      </c>
      <c r="D195">
        <v>67.243394999999992</v>
      </c>
      <c r="E195">
        <v>76.222032749999997</v>
      </c>
      <c r="F195">
        <v>1.0232935000000001</v>
      </c>
      <c r="G195">
        <v>81.797226249999994</v>
      </c>
      <c r="H195">
        <v>-12</v>
      </c>
      <c r="I195">
        <v>-8</v>
      </c>
      <c r="J195">
        <v>1.18</v>
      </c>
      <c r="K195">
        <v>11.70063875</v>
      </c>
      <c r="L195">
        <v>0.45867819288167527</v>
      </c>
      <c r="M195">
        <v>-0.95633518701769038</v>
      </c>
      <c r="N195">
        <v>-0.10867152090273539</v>
      </c>
      <c r="O195">
        <v>0.46583680176105519</v>
      </c>
    </row>
    <row r="196" spans="1:15" x14ac:dyDescent="0.25">
      <c r="A196">
        <v>47.566596250000003</v>
      </c>
      <c r="B196">
        <v>18.132656000000001</v>
      </c>
      <c r="C196">
        <v>39.110408749999998</v>
      </c>
      <c r="D196">
        <v>67.769079000000005</v>
      </c>
      <c r="E196">
        <v>76.534969500000003</v>
      </c>
      <c r="F196">
        <v>0.92584049999999996</v>
      </c>
      <c r="G196">
        <v>81.481819000000002</v>
      </c>
      <c r="H196">
        <v>-12</v>
      </c>
      <c r="I196">
        <v>-4</v>
      </c>
      <c r="J196">
        <v>1.18</v>
      </c>
      <c r="K196">
        <v>11.68484175</v>
      </c>
      <c r="L196">
        <v>0.17649353380202171</v>
      </c>
      <c r="M196">
        <v>-1.03596804188654</v>
      </c>
      <c r="N196">
        <v>-0.10326643992538991</v>
      </c>
      <c r="O196">
        <v>0.57802459636031456</v>
      </c>
    </row>
    <row r="197" spans="1:15" x14ac:dyDescent="0.25">
      <c r="A197">
        <v>40.839602749999997</v>
      </c>
      <c r="B197">
        <v>18.2782385</v>
      </c>
      <c r="C197">
        <v>46.110538249999998</v>
      </c>
      <c r="D197">
        <v>68.469988000000001</v>
      </c>
      <c r="E197">
        <v>77.116132500000006</v>
      </c>
      <c r="F197">
        <v>0.97456699999999996</v>
      </c>
      <c r="G197">
        <v>81.797226249999994</v>
      </c>
      <c r="H197">
        <v>-12</v>
      </c>
      <c r="I197">
        <v>0</v>
      </c>
      <c r="J197">
        <v>1.18</v>
      </c>
      <c r="K197">
        <v>11.704166000000001</v>
      </c>
      <c r="L197">
        <v>-0.1108288198495425</v>
      </c>
      <c r="M197">
        <v>-1.0553939352275299</v>
      </c>
      <c r="N197">
        <v>-9.8429828152457197E-2</v>
      </c>
      <c r="O197">
        <v>0.60106194885780873</v>
      </c>
    </row>
    <row r="198" spans="1:15" x14ac:dyDescent="0.25">
      <c r="A198">
        <v>34.070611</v>
      </c>
      <c r="B198">
        <v>19.384552249999999</v>
      </c>
      <c r="C198">
        <v>53.200992499999998</v>
      </c>
      <c r="D198">
        <v>68.382371750000004</v>
      </c>
      <c r="E198">
        <v>77.339661000000007</v>
      </c>
      <c r="F198">
        <v>0.97456699999999996</v>
      </c>
      <c r="G198">
        <v>82.35269550000001</v>
      </c>
      <c r="H198">
        <v>-12</v>
      </c>
      <c r="I198">
        <v>4</v>
      </c>
      <c r="J198">
        <v>1.18</v>
      </c>
      <c r="K198">
        <v>11.7443185</v>
      </c>
      <c r="L198">
        <v>-0.37797117595151852</v>
      </c>
      <c r="M198">
        <v>-0.96810263072740699</v>
      </c>
      <c r="N198">
        <v>-9.905459586557977E-2</v>
      </c>
      <c r="O198">
        <v>0.50883929865913657</v>
      </c>
    </row>
    <row r="199" spans="1:15" x14ac:dyDescent="0.25">
      <c r="A199">
        <v>26.4893365</v>
      </c>
      <c r="B199">
        <v>19.865559999999999</v>
      </c>
      <c r="C199">
        <v>59.072066999999997</v>
      </c>
      <c r="D199">
        <v>66.717712250000005</v>
      </c>
      <c r="E199">
        <v>75.59616475</v>
      </c>
      <c r="F199">
        <v>0.97456699999999996</v>
      </c>
      <c r="G199">
        <v>82.317464749999999</v>
      </c>
      <c r="H199">
        <v>-12</v>
      </c>
      <c r="I199">
        <v>8</v>
      </c>
      <c r="J199">
        <v>1.18</v>
      </c>
      <c r="K199">
        <v>11.741776249999999</v>
      </c>
      <c r="L199">
        <v>-0.62159671932684057</v>
      </c>
      <c r="M199">
        <v>-0.89380242897392548</v>
      </c>
      <c r="N199">
        <v>-0.12824186336555521</v>
      </c>
      <c r="O199">
        <v>0.4235835761839325</v>
      </c>
    </row>
    <row r="200" spans="1:15" x14ac:dyDescent="0.25">
      <c r="A200">
        <v>18.05065725</v>
      </c>
      <c r="B200">
        <v>18.8073455</v>
      </c>
      <c r="C200">
        <v>64.446360749999997</v>
      </c>
      <c r="D200">
        <v>64.395956000000012</v>
      </c>
      <c r="E200">
        <v>72.77974725</v>
      </c>
      <c r="F200">
        <v>0.97456699999999996</v>
      </c>
      <c r="G200">
        <v>82.797677999999991</v>
      </c>
      <c r="H200">
        <v>-12</v>
      </c>
      <c r="I200">
        <v>12</v>
      </c>
      <c r="J200">
        <v>1.18</v>
      </c>
      <c r="K200">
        <v>11.776384</v>
      </c>
      <c r="L200">
        <v>-0.85365439427737977</v>
      </c>
      <c r="M200">
        <v>-0.8387686167882088</v>
      </c>
      <c r="N200">
        <v>-0.18435749128320081</v>
      </c>
      <c r="O200">
        <v>0.32118236833314412</v>
      </c>
    </row>
    <row r="201" spans="1:15" x14ac:dyDescent="0.25">
      <c r="A201">
        <v>9.1155849999999994</v>
      </c>
      <c r="B201">
        <v>16.401194499999999</v>
      </c>
      <c r="C201">
        <v>70.3625945</v>
      </c>
      <c r="D201">
        <v>61.285674</v>
      </c>
      <c r="E201">
        <v>68.935121750000008</v>
      </c>
      <c r="F201">
        <v>1.07202</v>
      </c>
      <c r="G201">
        <v>83.077804750000013</v>
      </c>
      <c r="H201">
        <v>-12</v>
      </c>
      <c r="I201">
        <v>16</v>
      </c>
      <c r="J201">
        <v>1.1850000000000001</v>
      </c>
      <c r="K201">
        <v>11.764684750000001</v>
      </c>
      <c r="L201">
        <v>-1.090238524209628</v>
      </c>
      <c r="M201">
        <v>-0.79898136311196644</v>
      </c>
      <c r="N201">
        <v>-0.25174491543632982</v>
      </c>
      <c r="O201">
        <v>0.20804965609762299</v>
      </c>
    </row>
    <row r="202" spans="1:15" x14ac:dyDescent="0.25">
      <c r="A202">
        <v>-0.63068725000000003</v>
      </c>
      <c r="B202">
        <v>9.85993925</v>
      </c>
      <c r="C202">
        <v>73.298137499999996</v>
      </c>
      <c r="D202">
        <v>57.562092749999998</v>
      </c>
      <c r="E202">
        <v>61.290567499999987</v>
      </c>
      <c r="F202">
        <v>1.1207465000000001</v>
      </c>
      <c r="G202">
        <v>83.277897249999995</v>
      </c>
      <c r="H202">
        <v>-12</v>
      </c>
      <c r="I202">
        <v>20</v>
      </c>
      <c r="J202">
        <v>1.19</v>
      </c>
      <c r="K202">
        <v>11.750707999999999</v>
      </c>
      <c r="L202">
        <v>-1.30443987623445</v>
      </c>
      <c r="M202">
        <v>-0.8416840338812801</v>
      </c>
      <c r="N202">
        <v>-0.38796410090612021</v>
      </c>
      <c r="O202">
        <v>6.1636271756339067E-2</v>
      </c>
    </row>
    <row r="203" spans="1:15" x14ac:dyDescent="0.25">
      <c r="A203">
        <v>-11.624397999999999</v>
      </c>
      <c r="B203">
        <v>1.6354225</v>
      </c>
      <c r="C203">
        <v>75.375591249999999</v>
      </c>
      <c r="D203">
        <v>51.60436825</v>
      </c>
      <c r="E203">
        <v>51.321351999999997</v>
      </c>
      <c r="F203">
        <v>1.07202</v>
      </c>
      <c r="G203">
        <v>82.677625500000005</v>
      </c>
      <c r="H203">
        <v>-12</v>
      </c>
      <c r="I203">
        <v>24</v>
      </c>
      <c r="J203">
        <v>1.1825000000000001</v>
      </c>
      <c r="K203">
        <v>11.74834375</v>
      </c>
      <c r="L203">
        <v>-1.544900594539133</v>
      </c>
      <c r="M203">
        <v>-0.88731123946588464</v>
      </c>
      <c r="N203">
        <v>-0.55683605816912252</v>
      </c>
      <c r="O203">
        <v>-0.10773570389583741</v>
      </c>
    </row>
    <row r="204" spans="1:15" x14ac:dyDescent="0.25">
      <c r="A204">
        <v>-22.70368375</v>
      </c>
      <c r="B204">
        <v>-8.0584014999999987</v>
      </c>
      <c r="C204">
        <v>73.840083749999991</v>
      </c>
      <c r="D204">
        <v>43.368688749999997</v>
      </c>
      <c r="E204">
        <v>37.954561249999998</v>
      </c>
      <c r="F204">
        <v>0.87711399999999995</v>
      </c>
      <c r="G204">
        <v>78.880488999999997</v>
      </c>
      <c r="H204">
        <v>-12</v>
      </c>
      <c r="I204">
        <v>28</v>
      </c>
      <c r="J204">
        <v>1.18</v>
      </c>
      <c r="K204">
        <v>11.498210500000001</v>
      </c>
      <c r="L204">
        <v>-1.81013843593984</v>
      </c>
      <c r="M204">
        <v>-0.96422272832678113</v>
      </c>
      <c r="N204">
        <v>-0.76742865789418158</v>
      </c>
      <c r="O204">
        <v>-0.30485466456635829</v>
      </c>
    </row>
    <row r="205" spans="1:15" x14ac:dyDescent="0.25">
      <c r="A205">
        <v>-32.751314749999999</v>
      </c>
      <c r="B205">
        <v>-17.459870500000001</v>
      </c>
      <c r="C205">
        <v>72.84651525000001</v>
      </c>
      <c r="D205">
        <v>36.271987000000003</v>
      </c>
      <c r="E205">
        <v>24.58776825</v>
      </c>
      <c r="F205">
        <v>0.82838750000000005</v>
      </c>
      <c r="G205">
        <v>76.519277250000002</v>
      </c>
      <c r="H205">
        <v>-12</v>
      </c>
      <c r="I205">
        <v>32</v>
      </c>
      <c r="J205">
        <v>1.18</v>
      </c>
      <c r="K205">
        <v>11.326492999999999</v>
      </c>
      <c r="L205">
        <v>-2.1250189051195831</v>
      </c>
      <c r="M205">
        <v>-1.0812973900865901</v>
      </c>
      <c r="N205">
        <v>-1.045087274325903</v>
      </c>
      <c r="O205">
        <v>-0.52188682810631004</v>
      </c>
    </row>
    <row r="206" spans="1:15" x14ac:dyDescent="0.25">
      <c r="A206">
        <v>-42.301863750000003</v>
      </c>
      <c r="B206">
        <v>-26.717439500000001</v>
      </c>
      <c r="C206">
        <v>71.085189749999998</v>
      </c>
      <c r="D206">
        <v>28.518182750000001</v>
      </c>
      <c r="E206">
        <v>9.7010052499999997</v>
      </c>
      <c r="F206">
        <v>0.82838750000000005</v>
      </c>
      <c r="G206">
        <v>74.51390649999999</v>
      </c>
      <c r="H206">
        <v>-12</v>
      </c>
      <c r="I206">
        <v>36</v>
      </c>
      <c r="J206">
        <v>1.18</v>
      </c>
      <c r="K206">
        <v>11.1754395</v>
      </c>
      <c r="L206">
        <v>-2.5648168293016518</v>
      </c>
      <c r="M206">
        <v>-1.2494209406102299</v>
      </c>
      <c r="N206">
        <v>-1.466094656797337</v>
      </c>
      <c r="O206">
        <v>-0.79936521111109959</v>
      </c>
    </row>
    <row r="207" spans="1:15" x14ac:dyDescent="0.25">
      <c r="A207">
        <v>-49.641778000000002</v>
      </c>
      <c r="B207">
        <v>-33.336841999999997</v>
      </c>
      <c r="C207">
        <v>67.788356500000006</v>
      </c>
      <c r="D207">
        <v>20.282503999999999</v>
      </c>
      <c r="E207">
        <v>-4.3262790000000004</v>
      </c>
      <c r="F207">
        <v>0.77966100000000005</v>
      </c>
      <c r="G207">
        <v>71.476685000000003</v>
      </c>
      <c r="H207">
        <v>-12</v>
      </c>
      <c r="I207">
        <v>40</v>
      </c>
      <c r="J207">
        <v>1.1875</v>
      </c>
      <c r="K207">
        <v>10.9119055</v>
      </c>
      <c r="L207">
        <v>-3.1598681067811549</v>
      </c>
      <c r="M207">
        <v>-1.442822986263532</v>
      </c>
      <c r="N207">
        <v>-2.0397945932181019</v>
      </c>
      <c r="O207">
        <v>-1.1374094390492411</v>
      </c>
    </row>
    <row r="208" spans="1:15" x14ac:dyDescent="0.25">
      <c r="A208">
        <v>-59.743995750000003</v>
      </c>
      <c r="B208">
        <v>-44.225278000000003</v>
      </c>
      <c r="C208">
        <v>67.652870500000006</v>
      </c>
      <c r="D208">
        <v>13.098189250000001</v>
      </c>
      <c r="E208">
        <v>-20.248769750000001</v>
      </c>
      <c r="F208">
        <v>0.77966100000000005</v>
      </c>
      <c r="G208">
        <v>72.837387000000007</v>
      </c>
      <c r="H208">
        <v>-12</v>
      </c>
      <c r="I208">
        <v>44</v>
      </c>
      <c r="J208">
        <v>1.18</v>
      </c>
      <c r="K208">
        <v>11.0513195</v>
      </c>
      <c r="L208">
        <v>-4.0144788089649293</v>
      </c>
      <c r="M208">
        <v>-1.806299181826942</v>
      </c>
      <c r="N208">
        <v>-2.9333624752424252</v>
      </c>
      <c r="O208">
        <v>-1.6626835987284061</v>
      </c>
    </row>
    <row r="209" spans="1:15" x14ac:dyDescent="0.25">
      <c r="A209">
        <v>71.07444774999999</v>
      </c>
      <c r="B209">
        <v>-38.037577749999997</v>
      </c>
      <c r="C209">
        <v>-64.091353499999997</v>
      </c>
      <c r="D209">
        <v>11.214496</v>
      </c>
      <c r="E209">
        <v>0.53648050000000003</v>
      </c>
      <c r="F209">
        <v>0.82838750000000005</v>
      </c>
      <c r="G209">
        <v>74.238110000000006</v>
      </c>
      <c r="H209">
        <v>-8</v>
      </c>
      <c r="I209">
        <v>-44</v>
      </c>
      <c r="J209">
        <v>1.18</v>
      </c>
      <c r="K209">
        <v>11.154515249999999</v>
      </c>
      <c r="L209">
        <v>2.619528059214264</v>
      </c>
      <c r="M209">
        <v>-0.9544523441126298</v>
      </c>
      <c r="N209">
        <v>-1.428352132371721</v>
      </c>
      <c r="O209">
        <v>-1.0056694750882531</v>
      </c>
    </row>
    <row r="210" spans="1:15" x14ac:dyDescent="0.25">
      <c r="A210">
        <v>73.060020250000008</v>
      </c>
      <c r="B210">
        <v>-28.108471999999999</v>
      </c>
      <c r="C210">
        <v>-54.664833000000002</v>
      </c>
      <c r="D210">
        <v>19.669208999999999</v>
      </c>
      <c r="E210">
        <v>13.903274250000001</v>
      </c>
      <c r="F210">
        <v>0.77966100000000005</v>
      </c>
      <c r="G210">
        <v>74.998497</v>
      </c>
      <c r="H210">
        <v>-8</v>
      </c>
      <c r="I210">
        <v>-40</v>
      </c>
      <c r="J210">
        <v>1.18</v>
      </c>
      <c r="K210">
        <v>11.215819</v>
      </c>
      <c r="L210">
        <v>2.3101291020682551</v>
      </c>
      <c r="M210">
        <v>-0.86409913585506559</v>
      </c>
      <c r="N210">
        <v>-1.1050186590785831</v>
      </c>
      <c r="O210">
        <v>-0.76264111566091786</v>
      </c>
    </row>
    <row r="211" spans="1:15" x14ac:dyDescent="0.25">
      <c r="A211">
        <v>74.188180750000001</v>
      </c>
      <c r="B211">
        <v>-17.268004000000001</v>
      </c>
      <c r="C211">
        <v>-44.065627999999997</v>
      </c>
      <c r="D211">
        <v>26.98494475</v>
      </c>
      <c r="E211">
        <v>26.91242725</v>
      </c>
      <c r="F211">
        <v>0.82838750000000005</v>
      </c>
      <c r="G211">
        <v>76.074618999999998</v>
      </c>
      <c r="H211">
        <v>-8</v>
      </c>
      <c r="I211">
        <v>-36</v>
      </c>
      <c r="J211">
        <v>1.1850000000000001</v>
      </c>
      <c r="K211">
        <v>11.269405750000001</v>
      </c>
      <c r="L211">
        <v>2.0537707956393692</v>
      </c>
      <c r="M211">
        <v>-0.76855032609947305</v>
      </c>
      <c r="N211">
        <v>-0.85382852439918178</v>
      </c>
      <c r="O211">
        <v>-0.5469882865117528</v>
      </c>
    </row>
    <row r="212" spans="1:15" x14ac:dyDescent="0.25">
      <c r="A212">
        <v>74.323562250000009</v>
      </c>
      <c r="B212">
        <v>-6.7633017500000001</v>
      </c>
      <c r="C212">
        <v>-32.023128499999999</v>
      </c>
      <c r="D212">
        <v>34.169262000000003</v>
      </c>
      <c r="E212">
        <v>39.161595249999998</v>
      </c>
      <c r="F212">
        <v>0.82838750000000005</v>
      </c>
      <c r="G212">
        <v>76.359191999999993</v>
      </c>
      <c r="H212">
        <v>-8</v>
      </c>
      <c r="I212">
        <v>-32</v>
      </c>
      <c r="J212">
        <v>1.19</v>
      </c>
      <c r="K212">
        <v>11.266875750000001</v>
      </c>
      <c r="L212">
        <v>1.8162168541042409</v>
      </c>
      <c r="M212">
        <v>-0.69904930175310853</v>
      </c>
      <c r="N212">
        <v>-0.63528156755226173</v>
      </c>
      <c r="O212">
        <v>-0.34535703618577152</v>
      </c>
    </row>
    <row r="213" spans="1:15" x14ac:dyDescent="0.25">
      <c r="A213">
        <v>73.511281999999994</v>
      </c>
      <c r="B213">
        <v>1.9718475</v>
      </c>
      <c r="C213">
        <v>-19.664906500000001</v>
      </c>
      <c r="D213">
        <v>41.134541499999997</v>
      </c>
      <c r="E213">
        <v>49.264924000000001</v>
      </c>
      <c r="F213">
        <v>0.87711399999999995</v>
      </c>
      <c r="G213">
        <v>77.079566999999997</v>
      </c>
      <c r="H213">
        <v>-8</v>
      </c>
      <c r="I213">
        <v>-28</v>
      </c>
      <c r="J213">
        <v>1.1875</v>
      </c>
      <c r="K213">
        <v>11.32882525</v>
      </c>
      <c r="L213">
        <v>1.6034130501560671</v>
      </c>
      <c r="M213">
        <v>-0.67391809438445027</v>
      </c>
      <c r="N213">
        <v>-0.4786560473470714</v>
      </c>
      <c r="O213">
        <v>-0.16732435113816041</v>
      </c>
    </row>
    <row r="214" spans="1:15" x14ac:dyDescent="0.25">
      <c r="A214">
        <v>72.292863999999994</v>
      </c>
      <c r="B214">
        <v>9.8118389999999991</v>
      </c>
      <c r="C214">
        <v>-8.0283337499999998</v>
      </c>
      <c r="D214">
        <v>46.610392750000003</v>
      </c>
      <c r="E214">
        <v>58.205919250000001</v>
      </c>
      <c r="F214">
        <v>0.97456699999999996</v>
      </c>
      <c r="G214">
        <v>77.919994000000003</v>
      </c>
      <c r="H214">
        <v>-8</v>
      </c>
      <c r="I214">
        <v>-24</v>
      </c>
      <c r="J214">
        <v>1.18</v>
      </c>
      <c r="K214">
        <v>11.419980499999999</v>
      </c>
      <c r="L214">
        <v>1.401420741998963</v>
      </c>
      <c r="M214">
        <v>-0.64205144285221971</v>
      </c>
      <c r="N214">
        <v>-0.34397559952702272</v>
      </c>
      <c r="O214">
        <v>-1.4442984750499439E-3</v>
      </c>
    </row>
    <row r="215" spans="1:15" x14ac:dyDescent="0.25">
      <c r="A215">
        <v>69.26938100000001</v>
      </c>
      <c r="B215">
        <v>15.487295749999999</v>
      </c>
      <c r="C215">
        <v>3.4323302500000001</v>
      </c>
      <c r="D215">
        <v>51.034879750000002</v>
      </c>
      <c r="E215">
        <v>64.866964249999995</v>
      </c>
      <c r="F215">
        <v>0.97456699999999996</v>
      </c>
      <c r="G215">
        <v>78.115546999999992</v>
      </c>
      <c r="H215">
        <v>-8</v>
      </c>
      <c r="I215">
        <v>-20</v>
      </c>
      <c r="J215">
        <v>1.18</v>
      </c>
      <c r="K215">
        <v>11.434481249999999</v>
      </c>
      <c r="L215">
        <v>1.188244647150432</v>
      </c>
      <c r="M215">
        <v>-0.64156957724041375</v>
      </c>
      <c r="N215">
        <v>-0.23912018273139449</v>
      </c>
      <c r="O215">
        <v>0.15314584409585719</v>
      </c>
    </row>
    <row r="216" spans="1:15" x14ac:dyDescent="0.25">
      <c r="A216">
        <v>65.794628250000002</v>
      </c>
      <c r="B216">
        <v>20.537525250000002</v>
      </c>
      <c r="C216">
        <v>14.67769925</v>
      </c>
      <c r="D216">
        <v>55.240333749999998</v>
      </c>
      <c r="E216">
        <v>70.4550895</v>
      </c>
      <c r="F216">
        <v>0.97456699999999996</v>
      </c>
      <c r="G216">
        <v>78.760429000000002</v>
      </c>
      <c r="H216">
        <v>-8</v>
      </c>
      <c r="I216">
        <v>-16</v>
      </c>
      <c r="J216">
        <v>1.1850000000000001</v>
      </c>
      <c r="K216">
        <v>11.4580065</v>
      </c>
      <c r="L216">
        <v>0.96723551549513476</v>
      </c>
      <c r="M216">
        <v>-0.65667599019558687</v>
      </c>
      <c r="N216">
        <v>-0.15717813310236181</v>
      </c>
      <c r="O216">
        <v>0.31475526171761181</v>
      </c>
    </row>
    <row r="217" spans="1:15" x14ac:dyDescent="0.25">
      <c r="A217">
        <v>61.868614999999998</v>
      </c>
      <c r="B217">
        <v>24.285725500000002</v>
      </c>
      <c r="C217">
        <v>23.89077275</v>
      </c>
      <c r="D217">
        <v>58.175390999999998</v>
      </c>
      <c r="E217">
        <v>74.433831999999995</v>
      </c>
      <c r="F217">
        <v>0.97456699999999996</v>
      </c>
      <c r="G217">
        <v>79.240668999999997</v>
      </c>
      <c r="H217">
        <v>-8</v>
      </c>
      <c r="I217">
        <v>-12</v>
      </c>
      <c r="J217">
        <v>1.18</v>
      </c>
      <c r="K217">
        <v>11.517569999999999</v>
      </c>
      <c r="L217">
        <v>0.75433339240565112</v>
      </c>
      <c r="M217">
        <v>-0.67314071583892443</v>
      </c>
      <c r="N217">
        <v>-9.5477106072003201E-2</v>
      </c>
      <c r="O217">
        <v>0.4591079918566574</v>
      </c>
    </row>
    <row r="218" spans="1:15" x14ac:dyDescent="0.25">
      <c r="A218">
        <v>56.092402499999999</v>
      </c>
      <c r="B218">
        <v>26.743948</v>
      </c>
      <c r="C218">
        <v>32.742549500000003</v>
      </c>
      <c r="D218">
        <v>60.059081999999997</v>
      </c>
      <c r="E218">
        <v>76.892608749999994</v>
      </c>
      <c r="F218">
        <v>0.92584049999999996</v>
      </c>
      <c r="G218">
        <v>79.560837000000006</v>
      </c>
      <c r="H218">
        <v>-8</v>
      </c>
      <c r="I218">
        <v>-8</v>
      </c>
      <c r="J218">
        <v>1.18</v>
      </c>
      <c r="K218">
        <v>11.544679500000001</v>
      </c>
      <c r="L218">
        <v>0.49521421276078681</v>
      </c>
      <c r="M218">
        <v>-0.70661008001090586</v>
      </c>
      <c r="N218">
        <v>-5.6602612909403938E-2</v>
      </c>
      <c r="O218">
        <v>0.61120387430556011</v>
      </c>
    </row>
    <row r="219" spans="1:15" x14ac:dyDescent="0.25">
      <c r="A219">
        <v>50.1356915</v>
      </c>
      <c r="B219">
        <v>27.557782</v>
      </c>
      <c r="C219">
        <v>40.510433249999998</v>
      </c>
      <c r="D219">
        <v>61.548509999999993</v>
      </c>
      <c r="E219">
        <v>78.501983749999994</v>
      </c>
      <c r="F219">
        <v>1.0232935000000001</v>
      </c>
      <c r="G219">
        <v>80.241184000000004</v>
      </c>
      <c r="H219">
        <v>-8</v>
      </c>
      <c r="I219">
        <v>-4</v>
      </c>
      <c r="J219">
        <v>1.18</v>
      </c>
      <c r="K219">
        <v>11.58739025</v>
      </c>
      <c r="L219">
        <v>0.2164607505600121</v>
      </c>
      <c r="M219">
        <v>-0.76438432616790741</v>
      </c>
      <c r="N219">
        <v>-3.911005967307294E-2</v>
      </c>
      <c r="O219">
        <v>0.74235556347057108</v>
      </c>
    </row>
    <row r="220" spans="1:15" x14ac:dyDescent="0.25">
      <c r="A220">
        <v>43.547202249999998</v>
      </c>
      <c r="B220">
        <v>28.565808749999999</v>
      </c>
      <c r="C220">
        <v>47.420238500000004</v>
      </c>
      <c r="D220">
        <v>61.241864999999997</v>
      </c>
      <c r="E220">
        <v>78.770216000000005</v>
      </c>
      <c r="F220">
        <v>0.97456699999999996</v>
      </c>
      <c r="G220">
        <v>80.481304000000009</v>
      </c>
      <c r="H220">
        <v>-8</v>
      </c>
      <c r="I220">
        <v>0</v>
      </c>
      <c r="J220">
        <v>1.18</v>
      </c>
      <c r="K220">
        <v>11.6084955</v>
      </c>
      <c r="L220">
        <v>-9.0660967026920503E-2</v>
      </c>
      <c r="M220">
        <v>-0.76499817173993856</v>
      </c>
      <c r="N220">
        <v>-4.0057234407468473E-2</v>
      </c>
      <c r="O220">
        <v>0.82133949077993773</v>
      </c>
    </row>
    <row r="221" spans="1:15" x14ac:dyDescent="0.25">
      <c r="A221">
        <v>36.326941750000003</v>
      </c>
      <c r="B221">
        <v>28.99858</v>
      </c>
      <c r="C221">
        <v>54.510690749999988</v>
      </c>
      <c r="D221">
        <v>61.4170905</v>
      </c>
      <c r="E221">
        <v>79.083154750000006</v>
      </c>
      <c r="F221">
        <v>0.97456699999999996</v>
      </c>
      <c r="G221">
        <v>80.841492000000002</v>
      </c>
      <c r="H221">
        <v>-8</v>
      </c>
      <c r="I221">
        <v>4</v>
      </c>
      <c r="J221">
        <v>1.18</v>
      </c>
      <c r="K221">
        <v>11.634760999999999</v>
      </c>
      <c r="L221">
        <v>-0.39170288736196662</v>
      </c>
      <c r="M221">
        <v>-0.69834407553719613</v>
      </c>
      <c r="N221">
        <v>-3.7895654224140853E-2</v>
      </c>
      <c r="O221">
        <v>0.6826661991994718</v>
      </c>
    </row>
    <row r="222" spans="1:15" x14ac:dyDescent="0.25">
      <c r="A222">
        <v>28.835922</v>
      </c>
      <c r="B222">
        <v>28.663948999999999</v>
      </c>
      <c r="C222">
        <v>60.6527405</v>
      </c>
      <c r="D222">
        <v>60.40953725</v>
      </c>
      <c r="E222">
        <v>78.099643749999998</v>
      </c>
      <c r="F222">
        <v>0.97456699999999996</v>
      </c>
      <c r="G222">
        <v>81.681927000000002</v>
      </c>
      <c r="H222">
        <v>-8</v>
      </c>
      <c r="I222">
        <v>8</v>
      </c>
      <c r="J222">
        <v>1.18</v>
      </c>
      <c r="K222">
        <v>11.695816000000001</v>
      </c>
      <c r="L222">
        <v>-0.64474302277762596</v>
      </c>
      <c r="M222">
        <v>-0.64327444307679127</v>
      </c>
      <c r="N222">
        <v>-7.2616313195277393E-2</v>
      </c>
      <c r="O222">
        <v>0.56282555274938972</v>
      </c>
    </row>
    <row r="223" spans="1:15" x14ac:dyDescent="0.25">
      <c r="A223">
        <v>19.72034275</v>
      </c>
      <c r="B223">
        <v>26.7883335</v>
      </c>
      <c r="C223">
        <v>65.891551749999991</v>
      </c>
      <c r="D223">
        <v>57.781129999999997</v>
      </c>
      <c r="E223">
        <v>75.327934249999998</v>
      </c>
      <c r="F223">
        <v>0.97456699999999996</v>
      </c>
      <c r="G223">
        <v>81.641907000000003</v>
      </c>
      <c r="H223">
        <v>-8</v>
      </c>
      <c r="I223">
        <v>12</v>
      </c>
      <c r="J223">
        <v>1.18</v>
      </c>
      <c r="K223">
        <v>11.692917</v>
      </c>
      <c r="L223">
        <v>-0.88663770373186523</v>
      </c>
      <c r="M223">
        <v>-0.59515524413495147</v>
      </c>
      <c r="N223">
        <v>-0.12123405002720369</v>
      </c>
      <c r="O223">
        <v>0.42787552627215653</v>
      </c>
    </row>
    <row r="224" spans="1:15" x14ac:dyDescent="0.25">
      <c r="A224">
        <v>9.972990750000001</v>
      </c>
      <c r="B224">
        <v>23.134758000000001</v>
      </c>
      <c r="C224">
        <v>71.265838500000001</v>
      </c>
      <c r="D224">
        <v>54.539423999999997</v>
      </c>
      <c r="E224">
        <v>70.76802275</v>
      </c>
      <c r="F224">
        <v>0.97456699999999996</v>
      </c>
      <c r="G224">
        <v>82.162168750000006</v>
      </c>
      <c r="H224">
        <v>-8</v>
      </c>
      <c r="I224">
        <v>16</v>
      </c>
      <c r="J224">
        <v>1.18</v>
      </c>
      <c r="K224">
        <v>11.73056175</v>
      </c>
      <c r="L224">
        <v>-1.1305662635912299</v>
      </c>
      <c r="M224">
        <v>-0.57924287153287768</v>
      </c>
      <c r="N224">
        <v>-0.2101704624249249</v>
      </c>
      <c r="O224">
        <v>0.28739122506109488</v>
      </c>
    </row>
    <row r="225" spans="1:15" x14ac:dyDescent="0.25">
      <c r="A225">
        <v>9.0328749999999972E-2</v>
      </c>
      <c r="B225">
        <v>17.652930000000001</v>
      </c>
      <c r="C225">
        <v>75.420753499999989</v>
      </c>
      <c r="D225">
        <v>50.903458499999999</v>
      </c>
      <c r="E225">
        <v>64.4646185</v>
      </c>
      <c r="F225">
        <v>1.0232935000000001</v>
      </c>
      <c r="G225">
        <v>82.842513999999994</v>
      </c>
      <c r="H225">
        <v>-8</v>
      </c>
      <c r="I225">
        <v>20</v>
      </c>
      <c r="J225">
        <v>1.18</v>
      </c>
      <c r="K225">
        <v>11.776100250000001</v>
      </c>
      <c r="L225">
        <v>-1.3550411310732431</v>
      </c>
      <c r="M225">
        <v>-0.5981098943401959</v>
      </c>
      <c r="N225">
        <v>-0.33058549594212638</v>
      </c>
      <c r="O225">
        <v>0.14116927830279849</v>
      </c>
    </row>
    <row r="226" spans="1:15" x14ac:dyDescent="0.25">
      <c r="A226">
        <v>-10.81339275</v>
      </c>
      <c r="B226">
        <v>10.2935345</v>
      </c>
      <c r="C226">
        <v>77.949829249999993</v>
      </c>
      <c r="D226">
        <v>45.515221750000002</v>
      </c>
      <c r="E226">
        <v>54.987162750000003</v>
      </c>
      <c r="F226">
        <v>1.0232935000000001</v>
      </c>
      <c r="G226">
        <v>82.762473999999997</v>
      </c>
      <c r="H226">
        <v>-8</v>
      </c>
      <c r="I226">
        <v>24</v>
      </c>
      <c r="J226">
        <v>1.18</v>
      </c>
      <c r="K226">
        <v>11.77034175</v>
      </c>
      <c r="L226">
        <v>-1.6066714411341361</v>
      </c>
      <c r="M226">
        <v>-0.63753263882700151</v>
      </c>
      <c r="N226">
        <v>-0.50275279933990547</v>
      </c>
      <c r="O226">
        <v>-2.322443158304794E-2</v>
      </c>
    </row>
    <row r="227" spans="1:15" x14ac:dyDescent="0.25">
      <c r="A227">
        <v>-23.47407325</v>
      </c>
      <c r="B227">
        <v>0.96188200000000001</v>
      </c>
      <c r="C227">
        <v>79.395023250000008</v>
      </c>
      <c r="D227">
        <v>39.426077999999997</v>
      </c>
      <c r="E227">
        <v>43.006222749999999</v>
      </c>
      <c r="F227">
        <v>0.97456699999999996</v>
      </c>
      <c r="G227">
        <v>83.362787249999997</v>
      </c>
      <c r="H227">
        <v>-8</v>
      </c>
      <c r="I227">
        <v>28</v>
      </c>
      <c r="J227">
        <v>1.18</v>
      </c>
      <c r="K227">
        <v>11.816981</v>
      </c>
      <c r="L227">
        <v>-1.8957802660273451</v>
      </c>
      <c r="M227">
        <v>-0.70886264510287578</v>
      </c>
      <c r="N227">
        <v>-0.74374068452999598</v>
      </c>
      <c r="O227">
        <v>-0.2254047758968121</v>
      </c>
    </row>
    <row r="228" spans="1:15" x14ac:dyDescent="0.25">
      <c r="A228">
        <v>-35.411527749999998</v>
      </c>
      <c r="B228">
        <v>-8.4901014999999997</v>
      </c>
      <c r="C228">
        <v>79.440187500000008</v>
      </c>
      <c r="D228">
        <v>31.672272249999999</v>
      </c>
      <c r="E228">
        <v>28.477101000000001</v>
      </c>
      <c r="F228">
        <v>0.97456699999999996</v>
      </c>
      <c r="G228">
        <v>81.761966999999999</v>
      </c>
      <c r="H228">
        <v>-8</v>
      </c>
      <c r="I228">
        <v>32</v>
      </c>
      <c r="J228">
        <v>1.18</v>
      </c>
      <c r="K228">
        <v>11.701611249999999</v>
      </c>
      <c r="L228">
        <v>-2.277566080893322</v>
      </c>
      <c r="M228">
        <v>-0.79642279818310246</v>
      </c>
      <c r="N228">
        <v>-1.0566705048189251</v>
      </c>
      <c r="O228">
        <v>-0.45460311444352181</v>
      </c>
    </row>
    <row r="229" spans="1:15" x14ac:dyDescent="0.25">
      <c r="A229">
        <v>-45.821747500000001</v>
      </c>
      <c r="B229">
        <v>-17.411904</v>
      </c>
      <c r="C229">
        <v>76.685295249999996</v>
      </c>
      <c r="D229">
        <v>22.560457</v>
      </c>
      <c r="E229">
        <v>11.846845</v>
      </c>
      <c r="F229">
        <v>0.87711399999999995</v>
      </c>
      <c r="G229">
        <v>78.6803855</v>
      </c>
      <c r="H229">
        <v>-8</v>
      </c>
      <c r="I229">
        <v>36</v>
      </c>
      <c r="J229">
        <v>1.18</v>
      </c>
      <c r="K229">
        <v>11.483460750000001</v>
      </c>
      <c r="L229">
        <v>-2.8186334984774279</v>
      </c>
      <c r="M229">
        <v>-0.91966627634695697</v>
      </c>
      <c r="N229">
        <v>-1.537711363256637</v>
      </c>
      <c r="O229">
        <v>-0.74761722669410946</v>
      </c>
    </row>
    <row r="230" spans="1:15" x14ac:dyDescent="0.25">
      <c r="A230">
        <v>-53.97685225</v>
      </c>
      <c r="B230">
        <v>-25.470306749999999</v>
      </c>
      <c r="C230">
        <v>74.201381499999997</v>
      </c>
      <c r="D230">
        <v>14.193358999999999</v>
      </c>
      <c r="E230">
        <v>-3.5680649999999998</v>
      </c>
      <c r="F230">
        <v>0.82838750000000005</v>
      </c>
      <c r="G230">
        <v>76.479255499999994</v>
      </c>
      <c r="H230">
        <v>-8</v>
      </c>
      <c r="I230">
        <v>40</v>
      </c>
      <c r="J230">
        <v>1.18</v>
      </c>
      <c r="K230">
        <v>11.323498000000001</v>
      </c>
      <c r="L230">
        <v>-3.545186370421141</v>
      </c>
      <c r="M230">
        <v>-1.097002623140692</v>
      </c>
      <c r="N230">
        <v>-2.2139826926151769</v>
      </c>
      <c r="O230">
        <v>-1.1215940140327001</v>
      </c>
    </row>
    <row r="231" spans="1:15" x14ac:dyDescent="0.25">
      <c r="A231">
        <v>-60.735221500000002</v>
      </c>
      <c r="B231">
        <v>-33.288875750000003</v>
      </c>
      <c r="C231">
        <v>69.594839000000007</v>
      </c>
      <c r="D231">
        <v>4.9063169999999996</v>
      </c>
      <c r="E231">
        <v>-19.80276125</v>
      </c>
      <c r="F231">
        <v>0.73093425000000001</v>
      </c>
      <c r="G231">
        <v>73.397674999999992</v>
      </c>
      <c r="H231">
        <v>-8</v>
      </c>
      <c r="I231">
        <v>44</v>
      </c>
      <c r="J231">
        <v>1.18</v>
      </c>
      <c r="K231">
        <v>11.097920500000001</v>
      </c>
      <c r="L231">
        <v>-4.7908491464433647</v>
      </c>
      <c r="M231">
        <v>-1.403989589299913</v>
      </c>
      <c r="N231">
        <v>-3.426363206092025</v>
      </c>
      <c r="O231">
        <v>-1.755150755704171</v>
      </c>
    </row>
    <row r="232" spans="1:15" x14ac:dyDescent="0.25">
      <c r="A232">
        <v>71.345204999999993</v>
      </c>
      <c r="B232">
        <v>-26.525574500000001</v>
      </c>
      <c r="C232">
        <v>-63.6403265</v>
      </c>
      <c r="D232">
        <v>1.8836474999999999</v>
      </c>
      <c r="E232">
        <v>-0.17818400000000001</v>
      </c>
      <c r="F232">
        <v>0.77966100000000005</v>
      </c>
      <c r="G232">
        <v>72.957447000000002</v>
      </c>
      <c r="H232">
        <v>-4</v>
      </c>
      <c r="I232">
        <v>-44</v>
      </c>
      <c r="J232">
        <v>1.18</v>
      </c>
      <c r="K232">
        <v>11.060524750000001</v>
      </c>
      <c r="L232">
        <v>3.006116822233722</v>
      </c>
      <c r="M232">
        <v>-0.63264096048372398</v>
      </c>
      <c r="N232">
        <v>-1.6287505591845659</v>
      </c>
      <c r="O232">
        <v>-1.021365813589016</v>
      </c>
    </row>
    <row r="233" spans="1:15" x14ac:dyDescent="0.25">
      <c r="A233">
        <v>73.646661749999993</v>
      </c>
      <c r="B233">
        <v>-16.980203499999998</v>
      </c>
      <c r="C233">
        <v>-54.258906250000003</v>
      </c>
      <c r="D233">
        <v>10.99546175</v>
      </c>
      <c r="E233">
        <v>14.17150475</v>
      </c>
      <c r="F233">
        <v>0.77966100000000005</v>
      </c>
      <c r="G233">
        <v>74.438209999999998</v>
      </c>
      <c r="H233">
        <v>-4</v>
      </c>
      <c r="I233">
        <v>-40</v>
      </c>
      <c r="J233">
        <v>1.18</v>
      </c>
      <c r="K233">
        <v>11.173406</v>
      </c>
      <c r="L233">
        <v>2.568859064384355</v>
      </c>
      <c r="M233">
        <v>-0.56182724942345585</v>
      </c>
      <c r="N233">
        <v>-1.210408294794616</v>
      </c>
      <c r="O233">
        <v>-0.73101927688827562</v>
      </c>
    </row>
    <row r="234" spans="1:15" x14ac:dyDescent="0.25">
      <c r="A234">
        <v>74.233306749999997</v>
      </c>
      <c r="B234">
        <v>-7.0031347500000001</v>
      </c>
      <c r="C234">
        <v>-42.622331500000001</v>
      </c>
      <c r="D234">
        <v>19.844436250000001</v>
      </c>
      <c r="E234">
        <v>28.074757250000001</v>
      </c>
      <c r="F234">
        <v>0.87711399999999995</v>
      </c>
      <c r="G234">
        <v>74.878437000000005</v>
      </c>
      <c r="H234">
        <v>-4</v>
      </c>
      <c r="I234">
        <v>-36</v>
      </c>
      <c r="J234">
        <v>1.18</v>
      </c>
      <c r="K234">
        <v>11.199368</v>
      </c>
      <c r="L234">
        <v>2.2095403929406889</v>
      </c>
      <c r="M234">
        <v>-0.50760814132912446</v>
      </c>
      <c r="N234">
        <v>-0.88499072357700559</v>
      </c>
      <c r="O234">
        <v>-0.48572357352826551</v>
      </c>
    </row>
    <row r="235" spans="1:15" x14ac:dyDescent="0.25">
      <c r="A235">
        <v>74.458942000000008</v>
      </c>
      <c r="B235">
        <v>1.9719739999999999</v>
      </c>
      <c r="C235">
        <v>-31.84271575</v>
      </c>
      <c r="D235">
        <v>26.765910999999999</v>
      </c>
      <c r="E235">
        <v>39.474530250000001</v>
      </c>
      <c r="F235">
        <v>0.82838750000000005</v>
      </c>
      <c r="G235">
        <v>75.558784000000003</v>
      </c>
      <c r="H235">
        <v>-4</v>
      </c>
      <c r="I235">
        <v>-32</v>
      </c>
      <c r="J235">
        <v>1.18</v>
      </c>
      <c r="K235">
        <v>11.25440575</v>
      </c>
      <c r="L235">
        <v>1.953761147498571</v>
      </c>
      <c r="M235">
        <v>-0.45567704844271811</v>
      </c>
      <c r="N235">
        <v>-0.66322856247551698</v>
      </c>
      <c r="O235">
        <v>-0.28972536747156102</v>
      </c>
    </row>
    <row r="236" spans="1:15" x14ac:dyDescent="0.25">
      <c r="A236">
        <v>73.736913749999999</v>
      </c>
      <c r="B236">
        <v>10.291370499999999</v>
      </c>
      <c r="C236">
        <v>-20.115936000000001</v>
      </c>
      <c r="D236">
        <v>33.293125000000003</v>
      </c>
      <c r="E236">
        <v>49.711972250000002</v>
      </c>
      <c r="F236">
        <v>0.92584049999999996</v>
      </c>
      <c r="G236">
        <v>75.918964000000003</v>
      </c>
      <c r="H236">
        <v>-4</v>
      </c>
      <c r="I236">
        <v>-28</v>
      </c>
      <c r="J236">
        <v>1.18</v>
      </c>
      <c r="K236">
        <v>11.274171750000001</v>
      </c>
      <c r="L236">
        <v>1.7181618305839279</v>
      </c>
      <c r="M236">
        <v>-0.42108886519998251</v>
      </c>
      <c r="N236">
        <v>-0.47978162819453563</v>
      </c>
      <c r="O236">
        <v>-0.1068760878363389</v>
      </c>
    </row>
    <row r="237" spans="1:15" x14ac:dyDescent="0.25">
      <c r="A237">
        <v>72.292866000000004</v>
      </c>
      <c r="B237">
        <v>16.927859999999999</v>
      </c>
      <c r="C237">
        <v>-9.6971447499999996</v>
      </c>
      <c r="D237">
        <v>38.506135</v>
      </c>
      <c r="E237">
        <v>57.892986499999999</v>
      </c>
      <c r="F237">
        <v>0.92584049999999996</v>
      </c>
      <c r="G237">
        <v>76.359191999999993</v>
      </c>
      <c r="H237">
        <v>-4</v>
      </c>
      <c r="I237">
        <v>-24</v>
      </c>
      <c r="J237">
        <v>1.18</v>
      </c>
      <c r="K237">
        <v>11.30721475</v>
      </c>
      <c r="L237">
        <v>1.5105770958758671</v>
      </c>
      <c r="M237">
        <v>-0.39753961021578799</v>
      </c>
      <c r="N237">
        <v>-0.34022302076843769</v>
      </c>
      <c r="O237">
        <v>4.9559754094478582E-2</v>
      </c>
    </row>
    <row r="238" spans="1:15" x14ac:dyDescent="0.25">
      <c r="A238">
        <v>69.901153749999992</v>
      </c>
      <c r="B238">
        <v>23.418446750000001</v>
      </c>
      <c r="C238">
        <v>2.0774664999999999</v>
      </c>
      <c r="D238">
        <v>43.58772475</v>
      </c>
      <c r="E238">
        <v>65.626953</v>
      </c>
      <c r="F238">
        <v>0.97456699999999996</v>
      </c>
      <c r="G238">
        <v>77.159606999999994</v>
      </c>
      <c r="H238">
        <v>-4</v>
      </c>
      <c r="I238">
        <v>-20</v>
      </c>
      <c r="J238">
        <v>1.18</v>
      </c>
      <c r="K238">
        <v>11.363415</v>
      </c>
      <c r="L238">
        <v>1.2826275004324921</v>
      </c>
      <c r="M238">
        <v>-0.38141574625104557</v>
      </c>
      <c r="N238">
        <v>-0.2180976118537348</v>
      </c>
      <c r="O238">
        <v>0.22265283572825359</v>
      </c>
    </row>
    <row r="239" spans="1:15" x14ac:dyDescent="0.25">
      <c r="A239">
        <v>66.652036999999993</v>
      </c>
      <c r="B239">
        <v>28.760134999999998</v>
      </c>
      <c r="C239">
        <v>12.9163765</v>
      </c>
      <c r="D239">
        <v>47.486528249999999</v>
      </c>
      <c r="E239">
        <v>71.080959500000006</v>
      </c>
      <c r="F239">
        <v>0.92584049999999996</v>
      </c>
      <c r="G239">
        <v>77.319687000000002</v>
      </c>
      <c r="H239">
        <v>-4</v>
      </c>
      <c r="I239">
        <v>-16</v>
      </c>
      <c r="J239">
        <v>1.1825000000000001</v>
      </c>
      <c r="K239">
        <v>11.3670005</v>
      </c>
      <c r="L239">
        <v>1.069525348230185</v>
      </c>
      <c r="M239">
        <v>-0.37271777171391052</v>
      </c>
      <c r="N239">
        <v>-0.1241758130756427</v>
      </c>
      <c r="O239">
        <v>0.39633033656928301</v>
      </c>
    </row>
    <row r="240" spans="1:15" x14ac:dyDescent="0.25">
      <c r="A240">
        <v>62.003991999999997</v>
      </c>
      <c r="B240">
        <v>31.74417875</v>
      </c>
      <c r="C240">
        <v>22.80688125</v>
      </c>
      <c r="D240">
        <v>50.815844499999997</v>
      </c>
      <c r="E240">
        <v>74.299717000000001</v>
      </c>
      <c r="F240">
        <v>0.92584049999999996</v>
      </c>
      <c r="G240">
        <v>77.879974000000004</v>
      </c>
      <c r="H240">
        <v>-4</v>
      </c>
      <c r="I240">
        <v>-12</v>
      </c>
      <c r="J240">
        <v>1.1825000000000001</v>
      </c>
      <c r="K240">
        <v>11.408614500000001</v>
      </c>
      <c r="L240">
        <v>0.83357065234259031</v>
      </c>
      <c r="M240">
        <v>-0.40554916807035879</v>
      </c>
      <c r="N240">
        <v>-7.6143364208644121E-2</v>
      </c>
      <c r="O240">
        <v>0.56035382503256526</v>
      </c>
    </row>
    <row r="241" spans="1:15" x14ac:dyDescent="0.25">
      <c r="A241">
        <v>57.17544625</v>
      </c>
      <c r="B241">
        <v>34.822392499999999</v>
      </c>
      <c r="C241">
        <v>32.607063500000002</v>
      </c>
      <c r="D241">
        <v>53.312832749999998</v>
      </c>
      <c r="E241">
        <v>77.607893250000004</v>
      </c>
      <c r="F241">
        <v>0.92584049999999996</v>
      </c>
      <c r="G241">
        <v>78.760429000000002</v>
      </c>
      <c r="H241">
        <v>-4</v>
      </c>
      <c r="I241">
        <v>-8</v>
      </c>
      <c r="J241">
        <v>1.18</v>
      </c>
      <c r="K241">
        <v>11.485773999999999</v>
      </c>
      <c r="L241">
        <v>0.55973415723350173</v>
      </c>
      <c r="M241">
        <v>-0.42122053860562231</v>
      </c>
      <c r="N241">
        <v>-2.626445149561386E-2</v>
      </c>
      <c r="O241">
        <v>0.74704614832314609</v>
      </c>
    </row>
    <row r="242" spans="1:15" x14ac:dyDescent="0.25">
      <c r="A242">
        <v>51.128473999999997</v>
      </c>
      <c r="B242">
        <v>35.776856250000002</v>
      </c>
      <c r="C242">
        <v>40.284622249999998</v>
      </c>
      <c r="D242">
        <v>54.0575495</v>
      </c>
      <c r="E242">
        <v>78.278461499999992</v>
      </c>
      <c r="F242">
        <v>0.97456699999999996</v>
      </c>
      <c r="G242">
        <v>78.720407249999994</v>
      </c>
      <c r="H242">
        <v>-4</v>
      </c>
      <c r="I242">
        <v>-4</v>
      </c>
      <c r="J242">
        <v>1.18</v>
      </c>
      <c r="K242">
        <v>11.479224500000001</v>
      </c>
      <c r="L242">
        <v>0.2694445661135112</v>
      </c>
      <c r="M242">
        <v>-0.45415713215972159</v>
      </c>
      <c r="N242">
        <v>-1.099122643682564E-2</v>
      </c>
      <c r="O242">
        <v>0.92073221073853595</v>
      </c>
    </row>
    <row r="243" spans="1:15" x14ac:dyDescent="0.25">
      <c r="A243">
        <v>44.44973375</v>
      </c>
      <c r="B243">
        <v>36.693057250000003</v>
      </c>
      <c r="C243">
        <v>47.917023</v>
      </c>
      <c r="D243">
        <v>54.451813999999999</v>
      </c>
      <c r="E243">
        <v>79.217271750000009</v>
      </c>
      <c r="F243">
        <v>0.92584049999999996</v>
      </c>
      <c r="G243">
        <v>79.360735000000005</v>
      </c>
      <c r="H243">
        <v>-4</v>
      </c>
      <c r="I243">
        <v>0</v>
      </c>
      <c r="J243">
        <v>1.18</v>
      </c>
      <c r="K243">
        <v>11.52998275</v>
      </c>
      <c r="L243">
        <v>-8.970405952021808E-2</v>
      </c>
      <c r="M243">
        <v>-0.45951411609420112</v>
      </c>
      <c r="N243">
        <v>-3.711699636612123E-3</v>
      </c>
      <c r="O243">
        <v>1.0258967067955509</v>
      </c>
    </row>
    <row r="244" spans="1:15" x14ac:dyDescent="0.25">
      <c r="A244">
        <v>36.733078999999996</v>
      </c>
      <c r="B244">
        <v>36.596908249999998</v>
      </c>
      <c r="C244">
        <v>54.555852999999999</v>
      </c>
      <c r="D244">
        <v>54.145163750000002</v>
      </c>
      <c r="E244">
        <v>79.038448250000002</v>
      </c>
      <c r="F244">
        <v>0.97456699999999996</v>
      </c>
      <c r="G244">
        <v>79.840976999999995</v>
      </c>
      <c r="H244">
        <v>-4</v>
      </c>
      <c r="I244">
        <v>4</v>
      </c>
      <c r="J244">
        <v>1.1825000000000001</v>
      </c>
      <c r="K244">
        <v>11.549481500000001</v>
      </c>
      <c r="L244">
        <v>-0.42054925143390209</v>
      </c>
      <c r="M244">
        <v>-0.41406086615520638</v>
      </c>
      <c r="N244">
        <v>-1.8930507047827311E-2</v>
      </c>
      <c r="O244">
        <v>0.84238340690887148</v>
      </c>
    </row>
    <row r="245" spans="1:15" x14ac:dyDescent="0.25">
      <c r="A245">
        <v>28.655414749999998</v>
      </c>
      <c r="B245">
        <v>35.733773999999997</v>
      </c>
      <c r="C245">
        <v>60.968875999999987</v>
      </c>
      <c r="D245">
        <v>53.093799500000003</v>
      </c>
      <c r="E245">
        <v>78.189052750000002</v>
      </c>
      <c r="F245">
        <v>0.97456699999999996</v>
      </c>
      <c r="G245">
        <v>80.081103999999996</v>
      </c>
      <c r="H245">
        <v>-4</v>
      </c>
      <c r="I245">
        <v>8</v>
      </c>
      <c r="J245">
        <v>1.18</v>
      </c>
      <c r="K245">
        <v>11.57924225</v>
      </c>
      <c r="L245">
        <v>-0.70250604556744711</v>
      </c>
      <c r="M245">
        <v>-0.37742128965752048</v>
      </c>
      <c r="N245">
        <v>-4.1144924284521767E-2</v>
      </c>
      <c r="O245">
        <v>0.67882808353712931</v>
      </c>
    </row>
    <row r="246" spans="1:15" x14ac:dyDescent="0.25">
      <c r="A246">
        <v>20.352115250000001</v>
      </c>
      <c r="B246">
        <v>34.435231250000001</v>
      </c>
      <c r="C246">
        <v>66.433490750000004</v>
      </c>
      <c r="D246">
        <v>50.728230250000003</v>
      </c>
      <c r="E246">
        <v>76.356148000000005</v>
      </c>
      <c r="F246">
        <v>1.0232935000000001</v>
      </c>
      <c r="G246">
        <v>80.721426000000008</v>
      </c>
      <c r="H246">
        <v>-4</v>
      </c>
      <c r="I246">
        <v>12</v>
      </c>
      <c r="J246">
        <v>1.18</v>
      </c>
      <c r="K246">
        <v>11.6224565</v>
      </c>
      <c r="L246">
        <v>-0.9411488894378397</v>
      </c>
      <c r="M246">
        <v>-0.3327683429640047</v>
      </c>
      <c r="N246">
        <v>-8.9163100543493343E-2</v>
      </c>
      <c r="O246">
        <v>0.5385889129743473</v>
      </c>
    </row>
    <row r="247" spans="1:15" x14ac:dyDescent="0.25">
      <c r="A247">
        <v>10.10837025</v>
      </c>
      <c r="B247">
        <v>29.960403500000002</v>
      </c>
      <c r="C247">
        <v>70.994865250000004</v>
      </c>
      <c r="D247">
        <v>47.267491999999997</v>
      </c>
      <c r="E247">
        <v>71.572719500000005</v>
      </c>
      <c r="F247">
        <v>0.97456699999999996</v>
      </c>
      <c r="G247">
        <v>80.921535500000005</v>
      </c>
      <c r="H247">
        <v>-4</v>
      </c>
      <c r="I247">
        <v>16</v>
      </c>
      <c r="J247">
        <v>1.18</v>
      </c>
      <c r="K247">
        <v>11.6405885</v>
      </c>
      <c r="L247">
        <v>-1.1813829032379279</v>
      </c>
      <c r="M247">
        <v>-0.33580483856446458</v>
      </c>
      <c r="N247">
        <v>-0.18139541789410071</v>
      </c>
      <c r="O247">
        <v>0.36982307919759999</v>
      </c>
    </row>
    <row r="248" spans="1:15" x14ac:dyDescent="0.25">
      <c r="A248">
        <v>-0.36044549999999997</v>
      </c>
      <c r="B248">
        <v>25.10149775</v>
      </c>
      <c r="C248">
        <v>74.653001500000002</v>
      </c>
      <c r="D248">
        <v>42.2297145</v>
      </c>
      <c r="E248">
        <v>64.50932474999999</v>
      </c>
      <c r="F248">
        <v>1.0232935000000001</v>
      </c>
      <c r="G248">
        <v>81.321738999999994</v>
      </c>
      <c r="H248">
        <v>-4</v>
      </c>
      <c r="I248">
        <v>20</v>
      </c>
      <c r="J248">
        <v>1.18</v>
      </c>
      <c r="K248">
        <v>11.66614925</v>
      </c>
      <c r="L248">
        <v>-1.438731767405804</v>
      </c>
      <c r="M248">
        <v>-0.32847689410588682</v>
      </c>
      <c r="N248">
        <v>-0.32246485407024073</v>
      </c>
      <c r="O248">
        <v>0.2176585015886475</v>
      </c>
    </row>
    <row r="249" spans="1:15" x14ac:dyDescent="0.25">
      <c r="A249">
        <v>-11.443432749999999</v>
      </c>
      <c r="B249">
        <v>17.939040250000001</v>
      </c>
      <c r="C249">
        <v>77.317564000000004</v>
      </c>
      <c r="D249">
        <v>37.016704500000003</v>
      </c>
      <c r="E249">
        <v>55.031868000000003</v>
      </c>
      <c r="F249">
        <v>0.97456699999999996</v>
      </c>
      <c r="G249">
        <v>82.002087000000003</v>
      </c>
      <c r="H249">
        <v>-4</v>
      </c>
      <c r="I249">
        <v>24</v>
      </c>
      <c r="J249">
        <v>1.18</v>
      </c>
      <c r="K249">
        <v>11.71899125</v>
      </c>
      <c r="L249">
        <v>-1.7141007444412331</v>
      </c>
      <c r="M249">
        <v>-0.3683568673584795</v>
      </c>
      <c r="N249">
        <v>-0.52085761843346967</v>
      </c>
      <c r="O249">
        <v>4.3915288865033431E-2</v>
      </c>
    </row>
    <row r="250" spans="1:15" x14ac:dyDescent="0.25">
      <c r="A250">
        <v>-23.248794749999998</v>
      </c>
      <c r="B250">
        <v>10.579974249999999</v>
      </c>
      <c r="C250">
        <v>79.395025500000003</v>
      </c>
      <c r="D250">
        <v>30.577102499999999</v>
      </c>
      <c r="E250">
        <v>43.542683750000002</v>
      </c>
      <c r="F250">
        <v>0.97456699999999996</v>
      </c>
      <c r="G250">
        <v>82.042107000000001</v>
      </c>
      <c r="H250">
        <v>-4</v>
      </c>
      <c r="I250">
        <v>28</v>
      </c>
      <c r="J250">
        <v>1.18</v>
      </c>
      <c r="K250">
        <v>11.7218845</v>
      </c>
      <c r="L250">
        <v>-2.057964524610671</v>
      </c>
      <c r="M250">
        <v>-0.4008933587325737</v>
      </c>
      <c r="N250">
        <v>-0.7718949480454852</v>
      </c>
      <c r="O250">
        <v>-0.1465264470558035</v>
      </c>
    </row>
    <row r="251" spans="1:15" x14ac:dyDescent="0.25">
      <c r="A251">
        <v>-35.729250999999998</v>
      </c>
      <c r="B251">
        <v>2.4526205000000001</v>
      </c>
      <c r="C251">
        <v>80.930536250000003</v>
      </c>
      <c r="D251">
        <v>23.217559999999999</v>
      </c>
      <c r="E251">
        <v>29.907661000000001</v>
      </c>
      <c r="F251">
        <v>0.97456699999999996</v>
      </c>
      <c r="G251">
        <v>82.442313999999996</v>
      </c>
      <c r="H251">
        <v>-4</v>
      </c>
      <c r="I251">
        <v>32</v>
      </c>
      <c r="J251">
        <v>1.18</v>
      </c>
      <c r="K251">
        <v>11.750783999999999</v>
      </c>
      <c r="L251">
        <v>-2.5064220239058739</v>
      </c>
      <c r="M251">
        <v>-0.44612116216472308</v>
      </c>
      <c r="N251">
        <v>-1.12877373619823</v>
      </c>
      <c r="O251">
        <v>-0.37842465487304411</v>
      </c>
    </row>
    <row r="252" spans="1:15" x14ac:dyDescent="0.25">
      <c r="A252">
        <v>-47.122197</v>
      </c>
      <c r="B252">
        <v>-5.4682015000000002</v>
      </c>
      <c r="C252">
        <v>81.291831999999999</v>
      </c>
      <c r="D252">
        <v>14.93807425</v>
      </c>
      <c r="E252">
        <v>14.7526695</v>
      </c>
      <c r="F252">
        <v>0.97456699999999996</v>
      </c>
      <c r="G252">
        <v>83.242722000000001</v>
      </c>
      <c r="H252">
        <v>-4</v>
      </c>
      <c r="I252">
        <v>36</v>
      </c>
      <c r="J252">
        <v>1.18</v>
      </c>
      <c r="K252">
        <v>11.808368</v>
      </c>
      <c r="L252">
        <v>-3.128531997955494</v>
      </c>
      <c r="M252">
        <v>-0.49711998385393619</v>
      </c>
      <c r="N252">
        <v>-1.668603762992515</v>
      </c>
      <c r="O252">
        <v>-0.66435832445243181</v>
      </c>
    </row>
    <row r="253" spans="1:15" x14ac:dyDescent="0.25">
      <c r="A253">
        <v>-58.887935499999998</v>
      </c>
      <c r="B253">
        <v>-15.349336750000001</v>
      </c>
      <c r="C253">
        <v>81.562805499999996</v>
      </c>
      <c r="D253">
        <v>5.5196125</v>
      </c>
      <c r="E253">
        <v>-3.0328560000000002</v>
      </c>
      <c r="F253">
        <v>1.0232935000000001</v>
      </c>
      <c r="G253">
        <v>83.082642000000007</v>
      </c>
      <c r="H253">
        <v>-4</v>
      </c>
      <c r="I253">
        <v>40</v>
      </c>
      <c r="J253">
        <v>1.18</v>
      </c>
      <c r="K253">
        <v>11.793371499999999</v>
      </c>
      <c r="L253">
        <v>-4.1205995631513339</v>
      </c>
      <c r="M253">
        <v>-0.61223185701103244</v>
      </c>
      <c r="N253">
        <v>-2.526499132784362</v>
      </c>
      <c r="O253">
        <v>-1.119027846021212</v>
      </c>
    </row>
    <row r="254" spans="1:15" x14ac:dyDescent="0.25">
      <c r="A254">
        <v>-69.205707500000003</v>
      </c>
      <c r="B254">
        <v>-26.669473249999999</v>
      </c>
      <c r="C254">
        <v>79.711160750000005</v>
      </c>
      <c r="D254">
        <v>-4.1958485000000003</v>
      </c>
      <c r="E254">
        <v>-22.612613750000001</v>
      </c>
      <c r="F254">
        <v>0.97456699999999996</v>
      </c>
      <c r="G254">
        <v>83.602908999999997</v>
      </c>
      <c r="H254">
        <v>-4</v>
      </c>
      <c r="I254">
        <v>44</v>
      </c>
      <c r="J254">
        <v>1.1825000000000001</v>
      </c>
      <c r="K254">
        <v>11.821722250000001</v>
      </c>
      <c r="L254">
        <v>-5.8822911917498368</v>
      </c>
      <c r="M254">
        <v>-0.8878015968750419</v>
      </c>
      <c r="N254">
        <v>-4.1969837529547931</v>
      </c>
      <c r="O254">
        <v>-1.932182979065455</v>
      </c>
    </row>
    <row r="255" spans="1:15" x14ac:dyDescent="0.25">
      <c r="A255">
        <v>79.061860999999993</v>
      </c>
      <c r="B255">
        <v>-17.987503499999999</v>
      </c>
      <c r="C255">
        <v>-69.864542</v>
      </c>
      <c r="D255">
        <v>-7.1242017500000001</v>
      </c>
      <c r="E255">
        <v>4.5450249999999998E-2</v>
      </c>
      <c r="F255">
        <v>0.92584049999999996</v>
      </c>
      <c r="G255">
        <v>80.281204000000002</v>
      </c>
      <c r="H255">
        <v>0</v>
      </c>
      <c r="I255">
        <v>-44</v>
      </c>
      <c r="J255">
        <v>1.18</v>
      </c>
      <c r="K255">
        <v>11.597425749999999</v>
      </c>
      <c r="L255">
        <v>3.387086205794561</v>
      </c>
      <c r="M255">
        <v>-0.24702589097660191</v>
      </c>
      <c r="N255">
        <v>-1.824889774837458</v>
      </c>
      <c r="O255">
        <v>-1.020126026098088</v>
      </c>
    </row>
    <row r="256" spans="1:15" x14ac:dyDescent="0.25">
      <c r="A256">
        <v>77.392175750000007</v>
      </c>
      <c r="B256">
        <v>-6.9551687500000003</v>
      </c>
      <c r="C256">
        <v>-57.055290249999999</v>
      </c>
      <c r="D256">
        <v>2.01516575</v>
      </c>
      <c r="E256">
        <v>14.618554250000001</v>
      </c>
      <c r="F256">
        <v>0.87711399999999995</v>
      </c>
      <c r="G256">
        <v>77.719890499999991</v>
      </c>
      <c r="H256">
        <v>0</v>
      </c>
      <c r="I256">
        <v>-40</v>
      </c>
      <c r="J256">
        <v>1.1825000000000001</v>
      </c>
      <c r="K256">
        <v>11.400358499999999</v>
      </c>
      <c r="L256">
        <v>2.8837872213919962</v>
      </c>
      <c r="M256">
        <v>-0.19233744371696829</v>
      </c>
      <c r="N256">
        <v>-1.353482259963235</v>
      </c>
      <c r="O256">
        <v>-0.7052939716296176</v>
      </c>
    </row>
    <row r="257" spans="1:15" x14ac:dyDescent="0.25">
      <c r="A257">
        <v>75.406600999999995</v>
      </c>
      <c r="B257">
        <v>2.692863</v>
      </c>
      <c r="C257">
        <v>-43.975420249999999</v>
      </c>
      <c r="D257">
        <v>10.469780999999999</v>
      </c>
      <c r="E257">
        <v>27.538297</v>
      </c>
      <c r="F257">
        <v>0.77966100000000005</v>
      </c>
      <c r="G257">
        <v>75.638824</v>
      </c>
      <c r="H257">
        <v>0</v>
      </c>
      <c r="I257">
        <v>-36</v>
      </c>
      <c r="J257">
        <v>1.19</v>
      </c>
      <c r="K257">
        <v>11.2166695</v>
      </c>
      <c r="L257">
        <v>2.477877318487709</v>
      </c>
      <c r="M257">
        <v>-0.16140657586758711</v>
      </c>
      <c r="N257">
        <v>-0.99837601937536058</v>
      </c>
      <c r="O257">
        <v>-0.44461329712165792</v>
      </c>
    </row>
    <row r="258" spans="1:15" x14ac:dyDescent="0.25">
      <c r="A258">
        <v>71.931850499999996</v>
      </c>
      <c r="B258">
        <v>11.34855875</v>
      </c>
      <c r="C258">
        <v>-30.038595749999999</v>
      </c>
      <c r="D258">
        <v>17.829324249999999</v>
      </c>
      <c r="E258">
        <v>38.580430999999997</v>
      </c>
      <c r="F258">
        <v>0.77966100000000005</v>
      </c>
      <c r="G258">
        <v>72.517225249999996</v>
      </c>
      <c r="H258">
        <v>0</v>
      </c>
      <c r="I258">
        <v>-32</v>
      </c>
      <c r="J258">
        <v>1.18</v>
      </c>
      <c r="K258">
        <v>11.026740500000001</v>
      </c>
      <c r="L258">
        <v>2.1276953422176939</v>
      </c>
      <c r="M258">
        <v>-0.1351933194776298</v>
      </c>
      <c r="N258">
        <v>-0.70811279246488967</v>
      </c>
      <c r="O258">
        <v>-0.21124486647197199</v>
      </c>
    </row>
    <row r="259" spans="1:15" x14ac:dyDescent="0.25">
      <c r="A259">
        <v>71.615966999999998</v>
      </c>
      <c r="B259">
        <v>18.178221749999999</v>
      </c>
      <c r="C259">
        <v>-19.439390750000001</v>
      </c>
      <c r="D259">
        <v>24.8822185</v>
      </c>
      <c r="E259">
        <v>48.370823999999999</v>
      </c>
      <c r="F259">
        <v>0.82838750000000005</v>
      </c>
      <c r="G259">
        <v>73.357654999999994</v>
      </c>
      <c r="H259">
        <v>0</v>
      </c>
      <c r="I259">
        <v>-28</v>
      </c>
      <c r="J259">
        <v>1.1850000000000001</v>
      </c>
      <c r="K259">
        <v>11.06406325</v>
      </c>
      <c r="L259">
        <v>1.8582621673045361</v>
      </c>
      <c r="M259">
        <v>-0.13678559251831771</v>
      </c>
      <c r="N259">
        <v>-0.5099583846657153</v>
      </c>
      <c r="O259">
        <v>-2.9782299363654771E-2</v>
      </c>
    </row>
    <row r="260" spans="1:15" x14ac:dyDescent="0.25">
      <c r="A260">
        <v>71.209823499999999</v>
      </c>
      <c r="B260">
        <v>24.524451249999998</v>
      </c>
      <c r="C260">
        <v>-9.6971437499999986</v>
      </c>
      <c r="D260">
        <v>30.139035249999999</v>
      </c>
      <c r="E260">
        <v>57.133003250000002</v>
      </c>
      <c r="F260">
        <v>0.77966100000000005</v>
      </c>
      <c r="G260">
        <v>74.598288999999994</v>
      </c>
      <c r="H260">
        <v>0</v>
      </c>
      <c r="I260">
        <v>-24</v>
      </c>
      <c r="J260">
        <v>1.19</v>
      </c>
      <c r="K260">
        <v>11.138443000000001</v>
      </c>
      <c r="L260">
        <v>1.627316407038337</v>
      </c>
      <c r="M260">
        <v>-0.1128748759972006</v>
      </c>
      <c r="N260">
        <v>-0.35130225799758741</v>
      </c>
      <c r="O260">
        <v>0.13343540493928371</v>
      </c>
    </row>
    <row r="261" spans="1:15" x14ac:dyDescent="0.25">
      <c r="A261">
        <v>69.179126749999995</v>
      </c>
      <c r="B261">
        <v>30.489404</v>
      </c>
      <c r="C261">
        <v>1.0387377499999999</v>
      </c>
      <c r="D261">
        <v>35.176817</v>
      </c>
      <c r="E261">
        <v>64.50932474999999</v>
      </c>
      <c r="F261">
        <v>0.87711399999999995</v>
      </c>
      <c r="G261">
        <v>75.198597000000007</v>
      </c>
      <c r="H261">
        <v>0</v>
      </c>
      <c r="I261">
        <v>-20</v>
      </c>
      <c r="J261">
        <v>1.19</v>
      </c>
      <c r="K261">
        <v>11.17631525</v>
      </c>
      <c r="L261">
        <v>1.3978733639154659</v>
      </c>
      <c r="M261">
        <v>-9.6152668907004954E-2</v>
      </c>
      <c r="N261">
        <v>-0.21930764539200101</v>
      </c>
      <c r="O261">
        <v>0.30545261554693542</v>
      </c>
    </row>
    <row r="262" spans="1:15" x14ac:dyDescent="0.25">
      <c r="A262">
        <v>66.020261750000003</v>
      </c>
      <c r="B262">
        <v>35.295984500000003</v>
      </c>
      <c r="C262">
        <v>11.8776475</v>
      </c>
      <c r="D262">
        <v>39.951759500000001</v>
      </c>
      <c r="E262">
        <v>70.365677000000005</v>
      </c>
      <c r="F262">
        <v>0.92584049999999996</v>
      </c>
      <c r="G262">
        <v>76.119067999999999</v>
      </c>
      <c r="H262">
        <v>0</v>
      </c>
      <c r="I262">
        <v>-16</v>
      </c>
      <c r="J262">
        <v>1.1825000000000001</v>
      </c>
      <c r="K262">
        <v>11.27732675</v>
      </c>
      <c r="L262">
        <v>1.157422096772347</v>
      </c>
      <c r="M262">
        <v>-9.9500288317127164E-2</v>
      </c>
      <c r="N262">
        <v>-0.1229988388735026</v>
      </c>
      <c r="O262">
        <v>0.48444393798715529</v>
      </c>
    </row>
    <row r="263" spans="1:15" x14ac:dyDescent="0.25">
      <c r="A263">
        <v>62.1845</v>
      </c>
      <c r="B263">
        <v>38.758260499999999</v>
      </c>
      <c r="C263">
        <v>21.677829500000001</v>
      </c>
      <c r="D263">
        <v>43.324880749999998</v>
      </c>
      <c r="E263">
        <v>73.986782500000004</v>
      </c>
      <c r="F263">
        <v>0.97456699999999996</v>
      </c>
      <c r="G263">
        <v>76.679359000000005</v>
      </c>
      <c r="H263">
        <v>0</v>
      </c>
      <c r="I263">
        <v>-12</v>
      </c>
      <c r="J263">
        <v>1.1825000000000001</v>
      </c>
      <c r="K263">
        <v>11.31561825</v>
      </c>
      <c r="L263">
        <v>0.92547495653005352</v>
      </c>
      <c r="M263">
        <v>-0.1043211292225965</v>
      </c>
      <c r="N263">
        <v>-6.1518313347145637E-2</v>
      </c>
      <c r="O263">
        <v>0.66814058655533659</v>
      </c>
    </row>
    <row r="264" spans="1:15" x14ac:dyDescent="0.25">
      <c r="A264">
        <v>56.994938750000003</v>
      </c>
      <c r="B264">
        <v>41.6434955</v>
      </c>
      <c r="C264">
        <v>31.387685749999999</v>
      </c>
      <c r="D264">
        <v>45.208573250000001</v>
      </c>
      <c r="E264">
        <v>76.490263249999998</v>
      </c>
      <c r="F264">
        <v>0.87711399999999995</v>
      </c>
      <c r="G264">
        <v>77.159606999999994</v>
      </c>
      <c r="H264">
        <v>0</v>
      </c>
      <c r="I264">
        <v>-8</v>
      </c>
      <c r="J264">
        <v>1.1875</v>
      </c>
      <c r="K264">
        <v>11.334762250000001</v>
      </c>
      <c r="L264">
        <v>0.64056732616270118</v>
      </c>
      <c r="M264">
        <v>-8.9171843781619672E-2</v>
      </c>
      <c r="N264">
        <v>-1.6762772097475839E-2</v>
      </c>
      <c r="O264">
        <v>0.89156689618980134</v>
      </c>
    </row>
    <row r="265" spans="1:15" x14ac:dyDescent="0.25">
      <c r="A265">
        <v>51.354109000000001</v>
      </c>
      <c r="B265">
        <v>42.74949925</v>
      </c>
      <c r="C265">
        <v>39.923324749999999</v>
      </c>
      <c r="D265">
        <v>46.829425000000001</v>
      </c>
      <c r="E265">
        <v>77.920825750000006</v>
      </c>
      <c r="F265">
        <v>0.87711399999999995</v>
      </c>
      <c r="G265">
        <v>78.000033999999999</v>
      </c>
      <c r="H265">
        <v>0</v>
      </c>
      <c r="I265">
        <v>-4</v>
      </c>
      <c r="J265">
        <v>1.1850000000000001</v>
      </c>
      <c r="K265">
        <v>11.40909175</v>
      </c>
      <c r="L265">
        <v>0.31244299502218481</v>
      </c>
      <c r="M265">
        <v>-0.1115148774939521</v>
      </c>
      <c r="N265">
        <v>-2.1663317276385151E-3</v>
      </c>
      <c r="O265">
        <v>1.105923150370308</v>
      </c>
    </row>
    <row r="266" spans="1:15" x14ac:dyDescent="0.25">
      <c r="A266">
        <v>44.404606000000001</v>
      </c>
      <c r="B266">
        <v>42.845673499999997</v>
      </c>
      <c r="C266">
        <v>46.923454249999999</v>
      </c>
      <c r="D266">
        <v>47.179879</v>
      </c>
      <c r="E266">
        <v>78.099643499999999</v>
      </c>
      <c r="F266">
        <v>0.92584049999999996</v>
      </c>
      <c r="G266">
        <v>78.200133999999991</v>
      </c>
      <c r="H266">
        <v>0</v>
      </c>
      <c r="I266">
        <v>0</v>
      </c>
      <c r="J266">
        <v>1.18</v>
      </c>
      <c r="K266">
        <v>11.444359</v>
      </c>
      <c r="L266">
        <v>-7.3051217227554199E-2</v>
      </c>
      <c r="M266">
        <v>-0.1257181143453488</v>
      </c>
      <c r="N266">
        <v>-2.9118247908031841E-3</v>
      </c>
      <c r="O266">
        <v>1.238592434743617</v>
      </c>
    </row>
    <row r="267" spans="1:15" x14ac:dyDescent="0.25">
      <c r="A267">
        <v>37.50023375</v>
      </c>
      <c r="B267">
        <v>43.326545000000003</v>
      </c>
      <c r="C267">
        <v>53.697776750000003</v>
      </c>
      <c r="D267">
        <v>47.004652999999998</v>
      </c>
      <c r="E267">
        <v>78.457279249999999</v>
      </c>
      <c r="F267">
        <v>0.92584049999999996</v>
      </c>
      <c r="G267">
        <v>78.720407249999994</v>
      </c>
      <c r="H267">
        <v>0</v>
      </c>
      <c r="I267">
        <v>4</v>
      </c>
      <c r="J267">
        <v>1.18</v>
      </c>
      <c r="K267">
        <v>11.4828185</v>
      </c>
      <c r="L267">
        <v>-0.42567738106676928</v>
      </c>
      <c r="M267">
        <v>-9.6684666577574213E-2</v>
      </c>
      <c r="N267">
        <v>-6.943300118328723E-3</v>
      </c>
      <c r="O267">
        <v>1.038006883071009</v>
      </c>
    </row>
    <row r="268" spans="1:15" x14ac:dyDescent="0.25">
      <c r="A268">
        <v>28.97130275</v>
      </c>
      <c r="B268">
        <v>42.845673750000003</v>
      </c>
      <c r="C268">
        <v>60.38176825</v>
      </c>
      <c r="D268">
        <v>45.734253000000002</v>
      </c>
      <c r="E268">
        <v>78.144348250000007</v>
      </c>
      <c r="F268">
        <v>0.97456699999999996</v>
      </c>
      <c r="G268">
        <v>79.640877000000003</v>
      </c>
      <c r="H268">
        <v>0</v>
      </c>
      <c r="I268">
        <v>8</v>
      </c>
      <c r="J268">
        <v>1.1875</v>
      </c>
      <c r="K268">
        <v>11.51050725</v>
      </c>
      <c r="L268">
        <v>-0.74369259144780919</v>
      </c>
      <c r="M268">
        <v>-6.83767593455476E-2</v>
      </c>
      <c r="N268">
        <v>-3.5426010128993352E-2</v>
      </c>
      <c r="O268">
        <v>0.82713095521105351</v>
      </c>
    </row>
    <row r="269" spans="1:15" x14ac:dyDescent="0.25">
      <c r="A269">
        <v>19.494709499999999</v>
      </c>
      <c r="B269">
        <v>40.729836749999997</v>
      </c>
      <c r="C269">
        <v>65.620578750000007</v>
      </c>
      <c r="D269">
        <v>43.06204125</v>
      </c>
      <c r="E269">
        <v>75.5961645</v>
      </c>
      <c r="F269">
        <v>0.97456699999999996</v>
      </c>
      <c r="G269">
        <v>79.560837000000006</v>
      </c>
      <c r="H269">
        <v>0</v>
      </c>
      <c r="I269">
        <v>12</v>
      </c>
      <c r="J269">
        <v>1.1875</v>
      </c>
      <c r="K269">
        <v>11.50465775</v>
      </c>
      <c r="L269">
        <v>-1.014132516848999</v>
      </c>
      <c r="M269">
        <v>-5.1269827584843171E-2</v>
      </c>
      <c r="N269">
        <v>-8.7174348349956049E-2</v>
      </c>
      <c r="O269">
        <v>0.64061965038241431</v>
      </c>
    </row>
    <row r="270" spans="1:15" x14ac:dyDescent="0.25">
      <c r="A270">
        <v>9.8827374999999993</v>
      </c>
      <c r="B270">
        <v>36.930950000000003</v>
      </c>
      <c r="C270">
        <v>70.001296999999994</v>
      </c>
      <c r="D270">
        <v>39.951757499999999</v>
      </c>
      <c r="E270">
        <v>71.349191749999989</v>
      </c>
      <c r="F270">
        <v>0.97456699999999996</v>
      </c>
      <c r="G270">
        <v>80.241184000000004</v>
      </c>
      <c r="H270">
        <v>0</v>
      </c>
      <c r="I270">
        <v>16</v>
      </c>
      <c r="J270">
        <v>1.18</v>
      </c>
      <c r="K270">
        <v>11.590952250000001</v>
      </c>
      <c r="L270">
        <v>-1.2539864932302001</v>
      </c>
      <c r="M270">
        <v>-6.2993666011510768E-2</v>
      </c>
      <c r="N270">
        <v>-0.1854741931501428</v>
      </c>
      <c r="O270">
        <v>0.46791782345749522</v>
      </c>
    </row>
    <row r="271" spans="1:15" x14ac:dyDescent="0.25">
      <c r="A271">
        <v>-0.63078175000000003</v>
      </c>
      <c r="B271">
        <v>32.797707750000001</v>
      </c>
      <c r="C271">
        <v>74.878812499999995</v>
      </c>
      <c r="D271">
        <v>35.264431000000002</v>
      </c>
      <c r="E271">
        <v>65.269313749999995</v>
      </c>
      <c r="F271">
        <v>0.97456699999999996</v>
      </c>
      <c r="G271">
        <v>80.801469999999995</v>
      </c>
      <c r="H271">
        <v>0</v>
      </c>
      <c r="I271">
        <v>20</v>
      </c>
      <c r="J271">
        <v>1.18</v>
      </c>
      <c r="K271">
        <v>11.6318445</v>
      </c>
      <c r="L271">
        <v>-1.5352082731168071</v>
      </c>
      <c r="M271">
        <v>-5.011299259124849E-2</v>
      </c>
      <c r="N271">
        <v>-0.31579127420267472</v>
      </c>
      <c r="O271">
        <v>0.30719629102343687</v>
      </c>
    </row>
    <row r="272" spans="1:15" x14ac:dyDescent="0.25">
      <c r="A272">
        <v>-11.309007749999999</v>
      </c>
      <c r="B272">
        <v>26.976898250000001</v>
      </c>
      <c r="C272">
        <v>77.272403749999995</v>
      </c>
      <c r="D272">
        <v>29.219090749999999</v>
      </c>
      <c r="E272">
        <v>55.881260750000003</v>
      </c>
      <c r="F272">
        <v>1.07202</v>
      </c>
      <c r="G272">
        <v>80.841492000000002</v>
      </c>
      <c r="H272">
        <v>0</v>
      </c>
      <c r="I272">
        <v>24</v>
      </c>
      <c r="J272">
        <v>1.18</v>
      </c>
      <c r="K272">
        <v>11.627658500000001</v>
      </c>
      <c r="L272">
        <v>-1.843630844006489</v>
      </c>
      <c r="M272">
        <v>-4.666634920115257E-2</v>
      </c>
      <c r="N272">
        <v>-0.51949684221732995</v>
      </c>
      <c r="O272">
        <v>0.14073003583831739</v>
      </c>
    </row>
    <row r="273" spans="1:15" x14ac:dyDescent="0.25">
      <c r="A273">
        <v>-23.023515750000001</v>
      </c>
      <c r="B273">
        <v>20.34086525</v>
      </c>
      <c r="C273">
        <v>79.033724000000007</v>
      </c>
      <c r="D273">
        <v>22.166197499999999</v>
      </c>
      <c r="E273">
        <v>44.034439999999996</v>
      </c>
      <c r="F273">
        <v>0.97456699999999996</v>
      </c>
      <c r="G273">
        <v>81.121639000000002</v>
      </c>
      <c r="H273">
        <v>0</v>
      </c>
      <c r="I273">
        <v>28</v>
      </c>
      <c r="J273">
        <v>1.1825000000000001</v>
      </c>
      <c r="K273">
        <v>11.642888749999999</v>
      </c>
      <c r="L273">
        <v>-2.249216626311386</v>
      </c>
      <c r="M273">
        <v>-4.0213401569593972E-2</v>
      </c>
      <c r="N273">
        <v>-0.81740903419810973</v>
      </c>
      <c r="O273">
        <v>-5.1045813796909E-2</v>
      </c>
    </row>
    <row r="274" spans="1:15" x14ac:dyDescent="0.25">
      <c r="A274">
        <v>-34.332523500000001</v>
      </c>
      <c r="B274">
        <v>12.743087750000001</v>
      </c>
      <c r="C274">
        <v>79.71116275</v>
      </c>
      <c r="D274">
        <v>14.368586000000001</v>
      </c>
      <c r="E274">
        <v>30.891172749999999</v>
      </c>
      <c r="F274">
        <v>0.92584049999999996</v>
      </c>
      <c r="G274">
        <v>81.201678999999999</v>
      </c>
      <c r="H274">
        <v>0</v>
      </c>
      <c r="I274">
        <v>32</v>
      </c>
      <c r="J274">
        <v>1.1825000000000001</v>
      </c>
      <c r="K274">
        <v>11.65222</v>
      </c>
      <c r="L274">
        <v>-2.7358578771663788</v>
      </c>
      <c r="M274">
        <v>-3.9013460808497498E-2</v>
      </c>
      <c r="N274">
        <v>-1.2069637019878681</v>
      </c>
      <c r="O274">
        <v>-0.28119301662200091</v>
      </c>
    </row>
    <row r="275" spans="1:15" x14ac:dyDescent="0.25">
      <c r="A275">
        <v>-46.134125750000003</v>
      </c>
      <c r="B275">
        <v>5.4819207499999996</v>
      </c>
      <c r="C275">
        <v>79.846648999999999</v>
      </c>
      <c r="D275">
        <v>4.2492147500000002</v>
      </c>
      <c r="E275">
        <v>14.3950295</v>
      </c>
      <c r="F275">
        <v>0.97456699999999996</v>
      </c>
      <c r="G275">
        <v>81.481819000000002</v>
      </c>
      <c r="H275">
        <v>0</v>
      </c>
      <c r="I275">
        <v>36</v>
      </c>
      <c r="J275">
        <v>1.18</v>
      </c>
      <c r="K275">
        <v>11.681309000000001</v>
      </c>
      <c r="L275">
        <v>-3.5653248993565239</v>
      </c>
      <c r="M275">
        <v>3.4830435541887167E-2</v>
      </c>
      <c r="N275">
        <v>-1.8986993546098669</v>
      </c>
      <c r="O275">
        <v>-0.62030478823094382</v>
      </c>
    </row>
    <row r="276" spans="1:15" x14ac:dyDescent="0.25">
      <c r="A276">
        <v>-57.986818499999998</v>
      </c>
      <c r="B276">
        <v>-3.6936882500000001</v>
      </c>
      <c r="C276">
        <v>80.614404500000006</v>
      </c>
      <c r="D276">
        <v>-5.4196372500000001</v>
      </c>
      <c r="E276">
        <v>-3.0774557499999999</v>
      </c>
      <c r="F276">
        <v>0.97456699999999996</v>
      </c>
      <c r="G276">
        <v>82.042107000000001</v>
      </c>
      <c r="H276">
        <v>0</v>
      </c>
      <c r="I276">
        <v>40</v>
      </c>
      <c r="J276">
        <v>1.18</v>
      </c>
      <c r="K276">
        <v>11.7218845</v>
      </c>
      <c r="L276">
        <v>-4.8427352913438044</v>
      </c>
      <c r="M276">
        <v>6.024731491442456E-2</v>
      </c>
      <c r="N276">
        <v>-2.9743024769691062</v>
      </c>
      <c r="O276">
        <v>-1.141849438438747</v>
      </c>
    </row>
    <row r="277" spans="1:15" x14ac:dyDescent="0.25">
      <c r="A277">
        <v>-67.538648499999994</v>
      </c>
      <c r="B277">
        <v>-12.951003</v>
      </c>
      <c r="C277">
        <v>79.078888000000006</v>
      </c>
      <c r="D277">
        <v>-15.690724749999999</v>
      </c>
      <c r="E277">
        <v>-21.14078525</v>
      </c>
      <c r="F277">
        <v>0.92584049999999996</v>
      </c>
      <c r="G277">
        <v>82.082127</v>
      </c>
      <c r="H277">
        <v>0</v>
      </c>
      <c r="I277">
        <v>44</v>
      </c>
      <c r="J277">
        <v>1.18</v>
      </c>
      <c r="K277">
        <v>11.72829675</v>
      </c>
      <c r="L277">
        <v>-7.1633054047171028</v>
      </c>
      <c r="M277">
        <v>0.13376850669917489</v>
      </c>
      <c r="N277">
        <v>-5.0437708463870816</v>
      </c>
      <c r="O277">
        <v>-2.078309467566088</v>
      </c>
    </row>
    <row r="278" spans="1:15" x14ac:dyDescent="0.25">
      <c r="A278">
        <v>81.543824999999998</v>
      </c>
      <c r="B278">
        <v>-6.66736825</v>
      </c>
      <c r="C278">
        <v>-71.984382499999995</v>
      </c>
      <c r="D278">
        <v>-19.187265750000002</v>
      </c>
      <c r="E278">
        <v>-0.93661075000000005</v>
      </c>
      <c r="F278">
        <v>0.97456699999999996</v>
      </c>
      <c r="G278">
        <v>82.762473999999997</v>
      </c>
      <c r="H278">
        <v>4</v>
      </c>
      <c r="I278">
        <v>-44</v>
      </c>
      <c r="J278">
        <v>1.1825000000000001</v>
      </c>
      <c r="K278">
        <v>11.761457500000001</v>
      </c>
      <c r="L278">
        <v>3.438541141997169</v>
      </c>
      <c r="M278">
        <v>0.28040990093481127</v>
      </c>
      <c r="N278">
        <v>-1.874593791147638</v>
      </c>
      <c r="O278">
        <v>-1.0428040308548521</v>
      </c>
    </row>
    <row r="279" spans="1:15" x14ac:dyDescent="0.25">
      <c r="A279">
        <v>82.807368999999994</v>
      </c>
      <c r="B279">
        <v>4.2316535000000002</v>
      </c>
      <c r="C279">
        <v>-60.257602749999997</v>
      </c>
      <c r="D279">
        <v>-8.0857495000000004</v>
      </c>
      <c r="E279">
        <v>16.004408999999999</v>
      </c>
      <c r="F279">
        <v>0.92584049999999996</v>
      </c>
      <c r="G279">
        <v>83.082642000000007</v>
      </c>
      <c r="H279">
        <v>4</v>
      </c>
      <c r="I279">
        <v>-40</v>
      </c>
      <c r="J279">
        <v>1.1850000000000001</v>
      </c>
      <c r="K279">
        <v>11.775522</v>
      </c>
      <c r="L279">
        <v>2.851337036670579</v>
      </c>
      <c r="M279">
        <v>0.24546818769039311</v>
      </c>
      <c r="N279">
        <v>-1.3369243502008259</v>
      </c>
      <c r="O279">
        <v>-0.69950478054372833</v>
      </c>
    </row>
    <row r="280" spans="1:15" x14ac:dyDescent="0.25">
      <c r="A280">
        <v>82.762241250000002</v>
      </c>
      <c r="B280">
        <v>12.598826499999999</v>
      </c>
      <c r="C280">
        <v>-47.989588750000003</v>
      </c>
      <c r="D280">
        <v>1.7522807499999999</v>
      </c>
      <c r="E280">
        <v>29.63943175</v>
      </c>
      <c r="F280">
        <v>0.97456699999999996</v>
      </c>
      <c r="G280">
        <v>83.242722000000001</v>
      </c>
      <c r="H280">
        <v>4</v>
      </c>
      <c r="I280">
        <v>-36</v>
      </c>
      <c r="J280">
        <v>1.18</v>
      </c>
      <c r="K280">
        <v>11.808368</v>
      </c>
      <c r="L280">
        <v>2.4783387646596071</v>
      </c>
      <c r="M280">
        <v>0.20552834196885239</v>
      </c>
      <c r="N280">
        <v>-1.016013214390052</v>
      </c>
      <c r="O280">
        <v>-0.45663975841622811</v>
      </c>
    </row>
    <row r="281" spans="1:15" x14ac:dyDescent="0.25">
      <c r="A281">
        <v>82.762240999999989</v>
      </c>
      <c r="B281">
        <v>21.639219499999999</v>
      </c>
      <c r="C281">
        <v>-34.413587249999999</v>
      </c>
      <c r="D281">
        <v>11.696370999999999</v>
      </c>
      <c r="E281">
        <v>43.542684749999999</v>
      </c>
      <c r="F281">
        <v>0.92584049999999996</v>
      </c>
      <c r="G281">
        <v>83.482847250000006</v>
      </c>
      <c r="H281">
        <v>4</v>
      </c>
      <c r="I281">
        <v>-32</v>
      </c>
      <c r="J281">
        <v>1.18</v>
      </c>
      <c r="K281">
        <v>11.829072999999999</v>
      </c>
      <c r="L281">
        <v>2.1343308215688062</v>
      </c>
      <c r="M281">
        <v>0.18109821521411401</v>
      </c>
      <c r="N281">
        <v>-0.72751337682235295</v>
      </c>
      <c r="O281">
        <v>-0.22375963085995881</v>
      </c>
    </row>
    <row r="282" spans="1:15" x14ac:dyDescent="0.25">
      <c r="A282">
        <v>77.798315000000002</v>
      </c>
      <c r="B282">
        <v>27.746293999999999</v>
      </c>
      <c r="C282">
        <v>-20.972893750000001</v>
      </c>
      <c r="D282">
        <v>18.836880000000001</v>
      </c>
      <c r="E282">
        <v>52.08133875</v>
      </c>
      <c r="F282">
        <v>0.92584049999999996</v>
      </c>
      <c r="G282">
        <v>79.560837000000006</v>
      </c>
      <c r="H282">
        <v>4</v>
      </c>
      <c r="I282">
        <v>-28</v>
      </c>
      <c r="J282">
        <v>1.19</v>
      </c>
      <c r="K282">
        <v>11.496070250000001</v>
      </c>
      <c r="L282">
        <v>1.858380093415847</v>
      </c>
      <c r="M282">
        <v>0.16762889800681069</v>
      </c>
      <c r="N282">
        <v>-0.51703025750350862</v>
      </c>
      <c r="O282">
        <v>-3.7512074685176228E-2</v>
      </c>
    </row>
    <row r="283" spans="1:15" x14ac:dyDescent="0.25">
      <c r="A283">
        <v>73.556408000000005</v>
      </c>
      <c r="B283">
        <v>33.324406750000001</v>
      </c>
      <c r="C283">
        <v>-9.2010122499999998</v>
      </c>
      <c r="D283">
        <v>23.743241000000001</v>
      </c>
      <c r="E283">
        <v>58.831792750000012</v>
      </c>
      <c r="F283">
        <v>0.82838750000000005</v>
      </c>
      <c r="G283">
        <v>77.079566999999997</v>
      </c>
      <c r="H283">
        <v>4</v>
      </c>
      <c r="I283">
        <v>-24</v>
      </c>
      <c r="J283">
        <v>1.1825000000000001</v>
      </c>
      <c r="K283">
        <v>11.356367499999999</v>
      </c>
      <c r="L283">
        <v>1.605048778402266</v>
      </c>
      <c r="M283">
        <v>0.18582407496784831</v>
      </c>
      <c r="N283">
        <v>-0.35390918572940311</v>
      </c>
      <c r="O283">
        <v>0.12495442049600659</v>
      </c>
    </row>
    <row r="284" spans="1:15" x14ac:dyDescent="0.25">
      <c r="A284">
        <v>69.088875000000002</v>
      </c>
      <c r="B284">
        <v>37.414431499999999</v>
      </c>
      <c r="C284">
        <v>1.8516557499999999</v>
      </c>
      <c r="D284">
        <v>28.386763500000001</v>
      </c>
      <c r="E284">
        <v>64.151683500000004</v>
      </c>
      <c r="F284">
        <v>0.82838750000000005</v>
      </c>
      <c r="G284">
        <v>75.038516999999999</v>
      </c>
      <c r="H284">
        <v>4</v>
      </c>
      <c r="I284">
        <v>-20</v>
      </c>
      <c r="J284">
        <v>1.18</v>
      </c>
      <c r="K284">
        <v>11.215161</v>
      </c>
      <c r="L284">
        <v>1.3712730923235801</v>
      </c>
      <c r="M284">
        <v>0.18408325196024661</v>
      </c>
      <c r="N284">
        <v>-0.22203032925649449</v>
      </c>
      <c r="O284">
        <v>0.29148244142284879</v>
      </c>
    </row>
    <row r="285" spans="1:15" x14ac:dyDescent="0.25">
      <c r="A285">
        <v>62.680894000000002</v>
      </c>
      <c r="B285">
        <v>39.960442749999999</v>
      </c>
      <c r="C285">
        <v>11.877647</v>
      </c>
      <c r="D285">
        <v>31.192379750000001</v>
      </c>
      <c r="E285">
        <v>66.208110750000003</v>
      </c>
      <c r="F285">
        <v>0.77966100000000005</v>
      </c>
      <c r="G285">
        <v>71.996952000000007</v>
      </c>
      <c r="H285">
        <v>4</v>
      </c>
      <c r="I285">
        <v>-16</v>
      </c>
      <c r="J285">
        <v>1.18</v>
      </c>
      <c r="K285">
        <v>10.986685</v>
      </c>
      <c r="L285">
        <v>1.1372329847772711</v>
      </c>
      <c r="M285">
        <v>0.1962560462170683</v>
      </c>
      <c r="N285">
        <v>-0.12958716172511631</v>
      </c>
      <c r="O285">
        <v>0.46461238052536852</v>
      </c>
    </row>
    <row r="286" spans="1:15" x14ac:dyDescent="0.25">
      <c r="A286">
        <v>59.070761500000003</v>
      </c>
      <c r="B286">
        <v>43.422719000000001</v>
      </c>
      <c r="C286">
        <v>21.226207250000002</v>
      </c>
      <c r="D286">
        <v>34.300680999999997</v>
      </c>
      <c r="E286">
        <v>70.097450249999994</v>
      </c>
      <c r="F286">
        <v>0.77966100000000005</v>
      </c>
      <c r="G286">
        <v>72.877407000000005</v>
      </c>
      <c r="H286">
        <v>4</v>
      </c>
      <c r="I286">
        <v>-12</v>
      </c>
      <c r="J286">
        <v>1.18</v>
      </c>
      <c r="K286">
        <v>11.054390250000001</v>
      </c>
      <c r="L286">
        <v>0.89393617184046748</v>
      </c>
      <c r="M286">
        <v>0.21549436781084699</v>
      </c>
      <c r="N286">
        <v>-6.5667913830667321E-2</v>
      </c>
      <c r="O286">
        <v>0.63741380578558515</v>
      </c>
    </row>
    <row r="287" spans="1:15" x14ac:dyDescent="0.25">
      <c r="A287">
        <v>54.783733249999997</v>
      </c>
      <c r="B287">
        <v>46.404127750000001</v>
      </c>
      <c r="C287">
        <v>30.665091499999999</v>
      </c>
      <c r="D287">
        <v>36.753863250000002</v>
      </c>
      <c r="E287">
        <v>73.360917999999998</v>
      </c>
      <c r="F287">
        <v>0.82838750000000005</v>
      </c>
      <c r="G287">
        <v>74.278130000000004</v>
      </c>
      <c r="H287">
        <v>4</v>
      </c>
      <c r="I287">
        <v>-8</v>
      </c>
      <c r="J287">
        <v>1.18</v>
      </c>
      <c r="K287">
        <v>11.15755575</v>
      </c>
      <c r="L287">
        <v>0.60820182963857805</v>
      </c>
      <c r="M287">
        <v>0.2433400901149097</v>
      </c>
      <c r="N287">
        <v>-2.3161534338646241E-2</v>
      </c>
      <c r="O287">
        <v>0.82934799912294233</v>
      </c>
    </row>
    <row r="288" spans="1:15" x14ac:dyDescent="0.25">
      <c r="A288">
        <v>48.691636000000003</v>
      </c>
      <c r="B288">
        <v>47.654393249999998</v>
      </c>
      <c r="C288">
        <v>38.3878135</v>
      </c>
      <c r="D288">
        <v>37.632391749999996</v>
      </c>
      <c r="E288">
        <v>74.567949249999998</v>
      </c>
      <c r="F288">
        <v>0.87711399999999995</v>
      </c>
      <c r="G288">
        <v>74.838416999999993</v>
      </c>
      <c r="H288">
        <v>4</v>
      </c>
      <c r="I288">
        <v>-4</v>
      </c>
      <c r="J288">
        <v>1.18</v>
      </c>
      <c r="K288">
        <v>11.196341</v>
      </c>
      <c r="L288">
        <v>0.28184593556490301</v>
      </c>
      <c r="M288">
        <v>0.2741109068755217</v>
      </c>
      <c r="N288">
        <v>-7.4086402621771231E-3</v>
      </c>
      <c r="O288">
        <v>1.0157781624029021</v>
      </c>
    </row>
    <row r="289" spans="1:15" x14ac:dyDescent="0.25">
      <c r="A289">
        <v>42.780049249999998</v>
      </c>
      <c r="B289">
        <v>48.71231075</v>
      </c>
      <c r="C289">
        <v>45.387943249999999</v>
      </c>
      <c r="D289">
        <v>38.111873750000001</v>
      </c>
      <c r="E289">
        <v>75.596162750000005</v>
      </c>
      <c r="F289">
        <v>0.87711399999999995</v>
      </c>
      <c r="G289">
        <v>75.758883999999995</v>
      </c>
      <c r="H289">
        <v>4</v>
      </c>
      <c r="I289">
        <v>0</v>
      </c>
      <c r="J289">
        <v>1.18</v>
      </c>
      <c r="K289">
        <v>11.2657945</v>
      </c>
      <c r="L289">
        <v>-7.4212607674213088E-2</v>
      </c>
      <c r="M289">
        <v>0.30156949181760589</v>
      </c>
      <c r="N289">
        <v>-4.6394623471556051E-3</v>
      </c>
      <c r="O289">
        <v>1.12570143483595</v>
      </c>
    </row>
    <row r="290" spans="1:15" x14ac:dyDescent="0.25">
      <c r="A290">
        <v>35.920800999999997</v>
      </c>
      <c r="B290">
        <v>48.760399</v>
      </c>
      <c r="C290">
        <v>52.207420999999997</v>
      </c>
      <c r="D290">
        <v>38.554841000000003</v>
      </c>
      <c r="E290">
        <v>76.132625500000003</v>
      </c>
      <c r="F290">
        <v>0.92584049999999996</v>
      </c>
      <c r="G290">
        <v>76.434781999999998</v>
      </c>
      <c r="H290">
        <v>4</v>
      </c>
      <c r="I290">
        <v>4</v>
      </c>
      <c r="J290">
        <v>1.18</v>
      </c>
      <c r="K290">
        <v>11.312879000000001</v>
      </c>
      <c r="L290">
        <v>-0.41871864008538451</v>
      </c>
      <c r="M290">
        <v>0.26238893859699952</v>
      </c>
      <c r="N290">
        <v>-7.7644266165770009E-3</v>
      </c>
      <c r="O290">
        <v>0.93361563465071629</v>
      </c>
    </row>
    <row r="291" spans="1:15" x14ac:dyDescent="0.25">
      <c r="A291">
        <v>27.617501000000001</v>
      </c>
      <c r="B291">
        <v>47.510131749999999</v>
      </c>
      <c r="C291">
        <v>58.530121000000001</v>
      </c>
      <c r="D291">
        <v>37.678625999999987</v>
      </c>
      <c r="E291">
        <v>75.417346999999992</v>
      </c>
      <c r="F291">
        <v>0.87711399999999995</v>
      </c>
      <c r="G291">
        <v>76.879460999999992</v>
      </c>
      <c r="H291">
        <v>4</v>
      </c>
      <c r="I291">
        <v>8</v>
      </c>
      <c r="J291">
        <v>1.1850000000000001</v>
      </c>
      <c r="K291">
        <v>11.32589475</v>
      </c>
      <c r="L291">
        <v>-0.72278904726632509</v>
      </c>
      <c r="M291">
        <v>0.2298626600795477</v>
      </c>
      <c r="N291">
        <v>-3.4189236659888898E-2</v>
      </c>
      <c r="O291">
        <v>0.74286489254234533</v>
      </c>
    </row>
    <row r="292" spans="1:15" x14ac:dyDescent="0.25">
      <c r="A292">
        <v>18.998316249999998</v>
      </c>
      <c r="B292">
        <v>46.596476250000002</v>
      </c>
      <c r="C292">
        <v>64.039899999999989</v>
      </c>
      <c r="D292">
        <v>35.485725250000002</v>
      </c>
      <c r="E292">
        <v>73.852668999999992</v>
      </c>
      <c r="F292">
        <v>0.97456699999999996</v>
      </c>
      <c r="G292">
        <v>77.679868749999997</v>
      </c>
      <c r="H292">
        <v>4</v>
      </c>
      <c r="I292">
        <v>12</v>
      </c>
      <c r="J292">
        <v>1.1825000000000001</v>
      </c>
      <c r="K292">
        <v>11.3901485</v>
      </c>
      <c r="L292">
        <v>-0.96633544124963344</v>
      </c>
      <c r="M292">
        <v>0.23837420486968239</v>
      </c>
      <c r="N292">
        <v>-8.2111755332134342E-2</v>
      </c>
      <c r="O292">
        <v>0.56356000797875738</v>
      </c>
    </row>
    <row r="293" spans="1:15" x14ac:dyDescent="0.25">
      <c r="A293">
        <v>9.0253315000000001</v>
      </c>
      <c r="B293">
        <v>43.08610925</v>
      </c>
      <c r="C293">
        <v>68.37546549999999</v>
      </c>
      <c r="D293">
        <v>32.114403500000002</v>
      </c>
      <c r="E293">
        <v>69.382170000000002</v>
      </c>
      <c r="F293">
        <v>0.97456699999999996</v>
      </c>
      <c r="G293">
        <v>78.000033999999999</v>
      </c>
      <c r="H293">
        <v>4</v>
      </c>
      <c r="I293">
        <v>16</v>
      </c>
      <c r="J293">
        <v>1.18</v>
      </c>
      <c r="K293">
        <v>11.4259185</v>
      </c>
      <c r="L293">
        <v>-1.2159209853973001</v>
      </c>
      <c r="M293">
        <v>0.22473637166134869</v>
      </c>
      <c r="N293">
        <v>-0.17657338808631609</v>
      </c>
      <c r="O293">
        <v>0.40144449543469263</v>
      </c>
    </row>
    <row r="294" spans="1:15" x14ac:dyDescent="0.25">
      <c r="A294">
        <v>-0.63078125000000007</v>
      </c>
      <c r="B294">
        <v>39.38339525</v>
      </c>
      <c r="C294">
        <v>71.898109250000005</v>
      </c>
      <c r="D294">
        <v>27.337158250000002</v>
      </c>
      <c r="E294">
        <v>63.212881000000003</v>
      </c>
      <c r="F294">
        <v>0.97456699999999996</v>
      </c>
      <c r="G294">
        <v>78.480282000000003</v>
      </c>
      <c r="H294">
        <v>4</v>
      </c>
      <c r="I294">
        <v>20</v>
      </c>
      <c r="J294">
        <v>1.18</v>
      </c>
      <c r="K294">
        <v>11.461483250000001</v>
      </c>
      <c r="L294">
        <v>-1.454708498135115</v>
      </c>
      <c r="M294">
        <v>0.24160809491364291</v>
      </c>
      <c r="N294">
        <v>-0.30624223497333891</v>
      </c>
      <c r="O294">
        <v>0.24825880507158141</v>
      </c>
    </row>
    <row r="295" spans="1:15" x14ac:dyDescent="0.25">
      <c r="A295">
        <v>-11.128784250000001</v>
      </c>
      <c r="B295">
        <v>34.815112249999999</v>
      </c>
      <c r="C295">
        <v>75.194942249999997</v>
      </c>
      <c r="D295">
        <v>21.203781500000002</v>
      </c>
      <c r="E295">
        <v>54.808342250000003</v>
      </c>
      <c r="F295">
        <v>0.97456699999999996</v>
      </c>
      <c r="G295">
        <v>79.431528</v>
      </c>
      <c r="H295">
        <v>4</v>
      </c>
      <c r="I295">
        <v>24</v>
      </c>
      <c r="J295">
        <v>1.18</v>
      </c>
      <c r="K295">
        <v>11.53160375</v>
      </c>
      <c r="L295">
        <v>-1.734442367691146</v>
      </c>
      <c r="M295">
        <v>0.27347436042199202</v>
      </c>
      <c r="N295">
        <v>-0.49475400562146671</v>
      </c>
      <c r="O295">
        <v>8.1623279715103012E-2</v>
      </c>
    </row>
    <row r="296" spans="1:15" x14ac:dyDescent="0.25">
      <c r="A296">
        <v>-22.302623000000001</v>
      </c>
      <c r="B296">
        <v>28.611863499999998</v>
      </c>
      <c r="C296">
        <v>76.820781749999995</v>
      </c>
      <c r="D296">
        <v>13.14365125</v>
      </c>
      <c r="E296">
        <v>43.229749750000003</v>
      </c>
      <c r="F296">
        <v>0.97456699999999996</v>
      </c>
      <c r="G296">
        <v>79.396137249999995</v>
      </c>
      <c r="H296">
        <v>4</v>
      </c>
      <c r="I296">
        <v>28</v>
      </c>
      <c r="J296">
        <v>1.18</v>
      </c>
      <c r="K296">
        <v>11.5290035</v>
      </c>
      <c r="L296">
        <v>-2.0733227890939911</v>
      </c>
      <c r="M296">
        <v>0.32349937423908282</v>
      </c>
      <c r="N296">
        <v>-0.75648645647749158</v>
      </c>
      <c r="O296">
        <v>-0.11615292394800961</v>
      </c>
    </row>
    <row r="297" spans="1:15" x14ac:dyDescent="0.25">
      <c r="A297">
        <v>-33.656685750000001</v>
      </c>
      <c r="B297">
        <v>22.456700999999999</v>
      </c>
      <c r="C297">
        <v>78.22080425</v>
      </c>
      <c r="D297">
        <v>4.0309767499999998</v>
      </c>
      <c r="E297">
        <v>30.399417</v>
      </c>
      <c r="F297">
        <v>0.77966100000000005</v>
      </c>
      <c r="G297">
        <v>80.03642825</v>
      </c>
      <c r="H297">
        <v>4</v>
      </c>
      <c r="I297">
        <v>32</v>
      </c>
      <c r="J297">
        <v>1.18</v>
      </c>
      <c r="K297">
        <v>11.59023275</v>
      </c>
      <c r="L297">
        <v>-2.474566243663979</v>
      </c>
      <c r="M297">
        <v>0.40750781602829061</v>
      </c>
      <c r="N297">
        <v>-1.097943241797106</v>
      </c>
      <c r="O297">
        <v>-0.34488914102502721</v>
      </c>
    </row>
    <row r="298" spans="1:15" x14ac:dyDescent="0.25">
      <c r="A298">
        <v>-44.965690500000001</v>
      </c>
      <c r="B298">
        <v>15.1474475</v>
      </c>
      <c r="C298">
        <v>78.356289000000004</v>
      </c>
      <c r="D298">
        <v>-6.07524</v>
      </c>
      <c r="E298">
        <v>15.110309000000001</v>
      </c>
      <c r="F298">
        <v>0.82838750000000005</v>
      </c>
      <c r="G298">
        <v>80.641384000000002</v>
      </c>
      <c r="H298">
        <v>4</v>
      </c>
      <c r="I298">
        <v>36</v>
      </c>
      <c r="J298">
        <v>1.18</v>
      </c>
      <c r="K298">
        <v>11.630830749999999</v>
      </c>
      <c r="L298">
        <v>-3.035308559250566</v>
      </c>
      <c r="M298">
        <v>0.52233815376629766</v>
      </c>
      <c r="N298">
        <v>-1.6130239560626849</v>
      </c>
      <c r="O298">
        <v>-0.64853830988012384</v>
      </c>
    </row>
    <row r="299" spans="1:15" x14ac:dyDescent="0.25">
      <c r="A299">
        <v>-56.094473999999998</v>
      </c>
      <c r="B299">
        <v>7.2130597500000002</v>
      </c>
      <c r="C299">
        <v>78.130477999999997</v>
      </c>
      <c r="D299">
        <v>-17.089343</v>
      </c>
      <c r="E299">
        <v>-3.07745625</v>
      </c>
      <c r="F299">
        <v>0.92584049999999996</v>
      </c>
      <c r="G299">
        <v>80.801469999999995</v>
      </c>
      <c r="H299">
        <v>4</v>
      </c>
      <c r="I299">
        <v>40</v>
      </c>
      <c r="J299">
        <v>1.1875</v>
      </c>
      <c r="K299">
        <v>11.5986355</v>
      </c>
      <c r="L299">
        <v>-4.0053231470401833</v>
      </c>
      <c r="M299">
        <v>0.72520249874999942</v>
      </c>
      <c r="N299">
        <v>-2.5030569814217829</v>
      </c>
      <c r="O299">
        <v>-1.1196167842326079</v>
      </c>
    </row>
    <row r="300" spans="1:15" x14ac:dyDescent="0.25">
      <c r="A300">
        <v>-66.006749999999997</v>
      </c>
      <c r="B300">
        <v>-2.54238125</v>
      </c>
      <c r="C300">
        <v>77.633697499999997</v>
      </c>
      <c r="D300">
        <v>-26.530002499999998</v>
      </c>
      <c r="E300">
        <v>-20.962382250000001</v>
      </c>
      <c r="F300">
        <v>0.97456699999999996</v>
      </c>
      <c r="G300">
        <v>81.401779000000005</v>
      </c>
      <c r="H300">
        <v>4</v>
      </c>
      <c r="I300">
        <v>44</v>
      </c>
      <c r="J300">
        <v>1.18</v>
      </c>
      <c r="K300">
        <v>11.675499500000001</v>
      </c>
      <c r="L300">
        <v>-5.6764581935547671</v>
      </c>
      <c r="M300">
        <v>0.94769694328630871</v>
      </c>
      <c r="N300">
        <v>-4.0454147103995943</v>
      </c>
      <c r="O300">
        <v>-1.8668879639414739</v>
      </c>
    </row>
    <row r="301" spans="1:15" x14ac:dyDescent="0.25">
      <c r="A301">
        <v>80.099773499999998</v>
      </c>
      <c r="B301">
        <v>3.4622587500000002</v>
      </c>
      <c r="C301">
        <v>-71.758867499999994</v>
      </c>
      <c r="D301">
        <v>-31.42515925</v>
      </c>
      <c r="E301">
        <v>-2.63144825</v>
      </c>
      <c r="F301">
        <v>0.97456699999999996</v>
      </c>
      <c r="G301">
        <v>81.801986999999997</v>
      </c>
      <c r="H301">
        <v>8</v>
      </c>
      <c r="I301">
        <v>-44</v>
      </c>
      <c r="J301">
        <v>1.18</v>
      </c>
      <c r="K301">
        <v>11.704513</v>
      </c>
      <c r="L301">
        <v>3.101703345597778</v>
      </c>
      <c r="M301">
        <v>0.71256214322949618</v>
      </c>
      <c r="N301">
        <v>-1.724584413215335</v>
      </c>
      <c r="O301">
        <v>-1.073643231365174</v>
      </c>
    </row>
    <row r="302" spans="1:15" x14ac:dyDescent="0.25">
      <c r="A302">
        <v>81.453572999999992</v>
      </c>
      <c r="B302">
        <v>12.983523999999999</v>
      </c>
      <c r="C302">
        <v>-60.257602749999997</v>
      </c>
      <c r="D302">
        <v>-20.7170025</v>
      </c>
      <c r="E302">
        <v>12.91976375</v>
      </c>
      <c r="F302">
        <v>0.92584049999999996</v>
      </c>
      <c r="G302">
        <v>82.277448500000006</v>
      </c>
      <c r="H302">
        <v>8</v>
      </c>
      <c r="I302">
        <v>-40</v>
      </c>
      <c r="J302">
        <v>1.18</v>
      </c>
      <c r="K302">
        <v>11.742403749999999</v>
      </c>
      <c r="L302">
        <v>2.653441806071783</v>
      </c>
      <c r="M302">
        <v>0.6310489580114913</v>
      </c>
      <c r="N302">
        <v>-1.298695429541296</v>
      </c>
      <c r="O302">
        <v>-0.77544352032789399</v>
      </c>
    </row>
    <row r="303" spans="1:15" x14ac:dyDescent="0.25">
      <c r="A303">
        <v>82.446357750000004</v>
      </c>
      <c r="B303">
        <v>22.023916750000001</v>
      </c>
      <c r="C303">
        <v>-47.944485499999999</v>
      </c>
      <c r="D303">
        <v>-9.6591932499999995</v>
      </c>
      <c r="E303">
        <v>28.0747575</v>
      </c>
      <c r="F303">
        <v>0.97456699999999996</v>
      </c>
      <c r="G303">
        <v>83.02813175</v>
      </c>
      <c r="H303">
        <v>8</v>
      </c>
      <c r="I303">
        <v>-36</v>
      </c>
      <c r="J303">
        <v>1.18</v>
      </c>
      <c r="K303">
        <v>11.79295625</v>
      </c>
      <c r="L303">
        <v>2.292543918884459</v>
      </c>
      <c r="M303">
        <v>0.55706473999649142</v>
      </c>
      <c r="N303">
        <v>-0.96621576002896103</v>
      </c>
      <c r="O303">
        <v>-0.52354026754161731</v>
      </c>
    </row>
    <row r="304" spans="1:15" x14ac:dyDescent="0.25">
      <c r="A304">
        <v>81.408443500000004</v>
      </c>
      <c r="B304">
        <v>30.246827249999999</v>
      </c>
      <c r="C304">
        <v>-33.962556749999997</v>
      </c>
      <c r="D304">
        <v>0.39435175</v>
      </c>
      <c r="E304">
        <v>41.307434999999998</v>
      </c>
      <c r="F304">
        <v>0.97456699999999996</v>
      </c>
      <c r="G304">
        <v>82.91773225</v>
      </c>
      <c r="H304">
        <v>8</v>
      </c>
      <c r="I304">
        <v>-32</v>
      </c>
      <c r="J304">
        <v>1.18</v>
      </c>
      <c r="K304">
        <v>11.78502125</v>
      </c>
      <c r="L304">
        <v>1.9860370044425391</v>
      </c>
      <c r="M304">
        <v>0.51390104646860302</v>
      </c>
      <c r="N304">
        <v>-0.71630766561772075</v>
      </c>
      <c r="O304">
        <v>-0.30570870854261739</v>
      </c>
    </row>
    <row r="305" spans="1:15" x14ac:dyDescent="0.25">
      <c r="A305">
        <v>80.86692450000001</v>
      </c>
      <c r="B305">
        <v>37.652256999999999</v>
      </c>
      <c r="C305">
        <v>-21.604335500000001</v>
      </c>
      <c r="D305">
        <v>9.4189834999999995</v>
      </c>
      <c r="E305">
        <v>52.751913999999999</v>
      </c>
      <c r="F305">
        <v>1.0232935000000001</v>
      </c>
      <c r="G305">
        <v>83.477996750000003</v>
      </c>
      <c r="H305">
        <v>8</v>
      </c>
      <c r="I305">
        <v>-28</v>
      </c>
      <c r="J305">
        <v>1.18</v>
      </c>
      <c r="K305">
        <v>11.82174375</v>
      </c>
      <c r="L305">
        <v>1.741382677214977</v>
      </c>
      <c r="M305">
        <v>0.47977083510049529</v>
      </c>
      <c r="N305">
        <v>-0.52215009641163856</v>
      </c>
      <c r="O305">
        <v>-0.12090863293190381</v>
      </c>
    </row>
    <row r="306" spans="1:15" x14ac:dyDescent="0.25">
      <c r="A306">
        <v>77.572681500000002</v>
      </c>
      <c r="B306">
        <v>42.509063500000003</v>
      </c>
      <c r="C306">
        <v>-9.2010112500000005</v>
      </c>
      <c r="D306">
        <v>17.437275249999999</v>
      </c>
      <c r="E306">
        <v>61.111749000000003</v>
      </c>
      <c r="F306">
        <v>0.97456699999999996</v>
      </c>
      <c r="G306">
        <v>81.877251000000001</v>
      </c>
      <c r="H306">
        <v>8</v>
      </c>
      <c r="I306">
        <v>-24</v>
      </c>
      <c r="J306">
        <v>1.18</v>
      </c>
      <c r="K306">
        <v>11.70995475</v>
      </c>
      <c r="L306">
        <v>1.522541837017549</v>
      </c>
      <c r="M306">
        <v>0.43989947814142422</v>
      </c>
      <c r="N306">
        <v>-0.36437074325111102</v>
      </c>
      <c r="O306">
        <v>5.5148701226122053E-2</v>
      </c>
    </row>
    <row r="307" spans="1:15" x14ac:dyDescent="0.25">
      <c r="A307">
        <v>71.435457</v>
      </c>
      <c r="B307">
        <v>46.019430999999997</v>
      </c>
      <c r="C307">
        <v>2.5742497499999999</v>
      </c>
      <c r="D307">
        <v>22.431863750000002</v>
      </c>
      <c r="E307">
        <v>65.537544249999996</v>
      </c>
      <c r="F307">
        <v>0.87711399999999995</v>
      </c>
      <c r="G307">
        <v>78.675813500000004</v>
      </c>
      <c r="H307">
        <v>8</v>
      </c>
      <c r="I307">
        <v>-20</v>
      </c>
      <c r="J307">
        <v>1.18</v>
      </c>
      <c r="K307">
        <v>11.483123000000001</v>
      </c>
      <c r="L307">
        <v>1.2984226730049471</v>
      </c>
      <c r="M307">
        <v>0.44473013410866907</v>
      </c>
      <c r="N307">
        <v>-0.24772711292838451</v>
      </c>
      <c r="O307">
        <v>0.21923590944024851</v>
      </c>
    </row>
    <row r="308" spans="1:15" x14ac:dyDescent="0.25">
      <c r="A308">
        <v>66.020261750000003</v>
      </c>
      <c r="B308">
        <v>48.616137500000001</v>
      </c>
      <c r="C308">
        <v>13.232510749999999</v>
      </c>
      <c r="D308">
        <v>26.2435565</v>
      </c>
      <c r="E308">
        <v>68.979826250000002</v>
      </c>
      <c r="F308">
        <v>0.97456699999999996</v>
      </c>
      <c r="G308">
        <v>76.430328500000002</v>
      </c>
      <c r="H308">
        <v>8</v>
      </c>
      <c r="I308">
        <v>-16</v>
      </c>
      <c r="J308">
        <v>1.18</v>
      </c>
      <c r="K308">
        <v>11.308894499999999</v>
      </c>
      <c r="L308">
        <v>1.0720083261931921</v>
      </c>
      <c r="M308">
        <v>0.45433190826257508</v>
      </c>
      <c r="N308">
        <v>-0.15131451297589041</v>
      </c>
      <c r="O308">
        <v>0.38105899244860558</v>
      </c>
    </row>
    <row r="309" spans="1:15" x14ac:dyDescent="0.25">
      <c r="A309">
        <v>58.935382750000002</v>
      </c>
      <c r="B309">
        <v>49.866404250000002</v>
      </c>
      <c r="C309">
        <v>22.039125250000001</v>
      </c>
      <c r="D309">
        <v>27.7296595</v>
      </c>
      <c r="E309">
        <v>69.784513500000003</v>
      </c>
      <c r="F309">
        <v>0.82838750000000005</v>
      </c>
      <c r="G309">
        <v>73.393400499999998</v>
      </c>
      <c r="H309">
        <v>8</v>
      </c>
      <c r="I309">
        <v>-12</v>
      </c>
      <c r="J309">
        <v>1.18</v>
      </c>
      <c r="K309">
        <v>11.090150250000001</v>
      </c>
      <c r="L309">
        <v>0.82173559873709912</v>
      </c>
      <c r="M309">
        <v>0.49302157584074829</v>
      </c>
      <c r="N309">
        <v>-8.0375135102908016E-2</v>
      </c>
      <c r="O309">
        <v>0.53576699992021093</v>
      </c>
    </row>
    <row r="310" spans="1:15" x14ac:dyDescent="0.25">
      <c r="A310">
        <v>52.933542250000002</v>
      </c>
      <c r="B310">
        <v>51.309022249999998</v>
      </c>
      <c r="C310">
        <v>29.716686249999999</v>
      </c>
      <c r="D310">
        <v>28.828491499999998</v>
      </c>
      <c r="E310">
        <v>71.080959500000006</v>
      </c>
      <c r="F310">
        <v>0.87711399999999995</v>
      </c>
      <c r="G310">
        <v>72.748880499999999</v>
      </c>
      <c r="H310">
        <v>8</v>
      </c>
      <c r="I310">
        <v>-8</v>
      </c>
      <c r="J310">
        <v>1.18</v>
      </c>
      <c r="K310">
        <v>11.0370455</v>
      </c>
      <c r="L310">
        <v>0.55526348169559248</v>
      </c>
      <c r="M310">
        <v>0.53768610368470637</v>
      </c>
      <c r="N310">
        <v>-3.9895462861842777E-2</v>
      </c>
      <c r="O310">
        <v>0.67922968115141114</v>
      </c>
    </row>
    <row r="311" spans="1:15" x14ac:dyDescent="0.25">
      <c r="A311">
        <v>47.879358000000003</v>
      </c>
      <c r="B311">
        <v>53.040158249999998</v>
      </c>
      <c r="C311">
        <v>37.394249000000002</v>
      </c>
      <c r="D311">
        <v>30.097131749999999</v>
      </c>
      <c r="E311">
        <v>73.316213750000003</v>
      </c>
      <c r="F311">
        <v>0.82838750000000005</v>
      </c>
      <c r="G311">
        <v>74.353838249999995</v>
      </c>
      <c r="H311">
        <v>8</v>
      </c>
      <c r="I311">
        <v>-4</v>
      </c>
      <c r="J311">
        <v>1.18</v>
      </c>
      <c r="K311">
        <v>11.163304999999999</v>
      </c>
      <c r="L311">
        <v>0.26495297449450411</v>
      </c>
      <c r="M311">
        <v>0.57977281882945475</v>
      </c>
      <c r="N311">
        <v>-2.6224816453011841E-2</v>
      </c>
      <c r="O311">
        <v>0.83190707630519412</v>
      </c>
    </row>
    <row r="312" spans="1:15" x14ac:dyDescent="0.25">
      <c r="A312">
        <v>41.516506249999999</v>
      </c>
      <c r="B312">
        <v>53.665293749999996</v>
      </c>
      <c r="C312">
        <v>43.58145725</v>
      </c>
      <c r="D312">
        <v>29.790494750000001</v>
      </c>
      <c r="E312">
        <v>73.807964749999996</v>
      </c>
      <c r="F312">
        <v>0.82838750000000005</v>
      </c>
      <c r="G312">
        <v>74.714004249999988</v>
      </c>
      <c r="H312">
        <v>8</v>
      </c>
      <c r="I312">
        <v>0</v>
      </c>
      <c r="J312">
        <v>1.18</v>
      </c>
      <c r="K312">
        <v>11.190613000000001</v>
      </c>
      <c r="L312">
        <v>-5.4108841825283138E-2</v>
      </c>
      <c r="M312">
        <v>0.62574440619743865</v>
      </c>
      <c r="N312">
        <v>-2.377413614128307E-2</v>
      </c>
      <c r="O312">
        <v>0.9127435453808348</v>
      </c>
    </row>
    <row r="313" spans="1:15" x14ac:dyDescent="0.25">
      <c r="A313">
        <v>34.521877250000003</v>
      </c>
      <c r="B313">
        <v>54.001904500000002</v>
      </c>
      <c r="C313">
        <v>50.26545325</v>
      </c>
      <c r="D313">
        <v>29.971466499999998</v>
      </c>
      <c r="E313">
        <v>74.0314865</v>
      </c>
      <c r="F313">
        <v>0.82838750000000005</v>
      </c>
      <c r="G313">
        <v>75.261119500000007</v>
      </c>
      <c r="H313">
        <v>8</v>
      </c>
      <c r="I313">
        <v>4</v>
      </c>
      <c r="J313">
        <v>1.18</v>
      </c>
      <c r="K313">
        <v>11.23196675</v>
      </c>
      <c r="L313">
        <v>-0.37677634591183329</v>
      </c>
      <c r="M313">
        <v>0.57509782104753771</v>
      </c>
      <c r="N313">
        <v>-2.942943387826942E-2</v>
      </c>
      <c r="O313">
        <v>0.75191025475610185</v>
      </c>
    </row>
    <row r="314" spans="1:15" x14ac:dyDescent="0.25">
      <c r="A314">
        <v>27.48212075</v>
      </c>
      <c r="B314">
        <v>53.617206750000001</v>
      </c>
      <c r="C314">
        <v>56.633312250000003</v>
      </c>
      <c r="D314">
        <v>29.834301499999999</v>
      </c>
      <c r="E314">
        <v>73.897373250000001</v>
      </c>
      <c r="F314">
        <v>0.82838750000000005</v>
      </c>
      <c r="G314">
        <v>76.194679250000007</v>
      </c>
      <c r="H314">
        <v>8</v>
      </c>
      <c r="I314">
        <v>8</v>
      </c>
      <c r="J314">
        <v>1.18</v>
      </c>
      <c r="K314">
        <v>11.302187249999999</v>
      </c>
      <c r="L314">
        <v>-0.64438056923957987</v>
      </c>
      <c r="M314">
        <v>0.52570231828113956</v>
      </c>
      <c r="N314">
        <v>-5.0797593424128623E-2</v>
      </c>
      <c r="O314">
        <v>0.61516368872360738</v>
      </c>
    </row>
    <row r="315" spans="1:15" x14ac:dyDescent="0.25">
      <c r="A315">
        <v>18.140910000000002</v>
      </c>
      <c r="B315">
        <v>51.741806250000003</v>
      </c>
      <c r="C315">
        <v>61.510822500000003</v>
      </c>
      <c r="D315">
        <v>27.466819999999998</v>
      </c>
      <c r="E315">
        <v>70.946844249999998</v>
      </c>
      <c r="F315">
        <v>0.87711399999999995</v>
      </c>
      <c r="G315">
        <v>76.234699250000006</v>
      </c>
      <c r="H315">
        <v>8</v>
      </c>
      <c r="I315">
        <v>12</v>
      </c>
      <c r="J315">
        <v>1.18</v>
      </c>
      <c r="K315">
        <v>11.30153425</v>
      </c>
      <c r="L315">
        <v>-0.9008485363436125</v>
      </c>
      <c r="M315">
        <v>0.50423631808574254</v>
      </c>
      <c r="N315">
        <v>-0.10984974336116909</v>
      </c>
      <c r="O315">
        <v>0.45546039940200272</v>
      </c>
    </row>
    <row r="316" spans="1:15" x14ac:dyDescent="0.25">
      <c r="A316">
        <v>8.6643182500000009</v>
      </c>
      <c r="B316">
        <v>48.904660999999997</v>
      </c>
      <c r="C316">
        <v>66.568977500000003</v>
      </c>
      <c r="D316">
        <v>25.14668425</v>
      </c>
      <c r="E316">
        <v>66.923399000000003</v>
      </c>
      <c r="F316">
        <v>0.87711399999999995</v>
      </c>
      <c r="G316">
        <v>76.906059249999998</v>
      </c>
      <c r="H316">
        <v>8</v>
      </c>
      <c r="I316">
        <v>16</v>
      </c>
      <c r="J316">
        <v>1.18</v>
      </c>
      <c r="K316">
        <v>11.351759250000001</v>
      </c>
      <c r="L316">
        <v>-1.1577213341457919</v>
      </c>
      <c r="M316">
        <v>0.47499440353691519</v>
      </c>
      <c r="N316">
        <v>-0.19961324207377221</v>
      </c>
      <c r="O316">
        <v>0.32044780596253641</v>
      </c>
    </row>
    <row r="317" spans="1:15" x14ac:dyDescent="0.25">
      <c r="A317">
        <v>-0.49561424999999998</v>
      </c>
      <c r="B317">
        <v>45.682818249999997</v>
      </c>
      <c r="C317">
        <v>70.136783500000007</v>
      </c>
      <c r="D317">
        <v>20.679369000000001</v>
      </c>
      <c r="E317">
        <v>61.245864750000003</v>
      </c>
      <c r="F317">
        <v>0.97456699999999996</v>
      </c>
      <c r="G317">
        <v>77.470753000000002</v>
      </c>
      <c r="H317">
        <v>8</v>
      </c>
      <c r="I317">
        <v>20</v>
      </c>
      <c r="J317">
        <v>1.18</v>
      </c>
      <c r="K317">
        <v>11.3865955</v>
      </c>
      <c r="L317">
        <v>-1.380784631520263</v>
      </c>
      <c r="M317">
        <v>0.48878526165704639</v>
      </c>
      <c r="N317">
        <v>-0.31717973376359121</v>
      </c>
      <c r="O317">
        <v>0.1782355954409561</v>
      </c>
    </row>
    <row r="318" spans="1:15" x14ac:dyDescent="0.25">
      <c r="A318">
        <v>-11.173839750000001</v>
      </c>
      <c r="B318">
        <v>41.403058999999999</v>
      </c>
      <c r="C318">
        <v>72.936840250000003</v>
      </c>
      <c r="D318">
        <v>12.794008</v>
      </c>
      <c r="E318">
        <v>52.081338000000002</v>
      </c>
      <c r="F318">
        <v>0.97456699999999996</v>
      </c>
      <c r="G318">
        <v>77.795407999999995</v>
      </c>
      <c r="H318">
        <v>8</v>
      </c>
      <c r="I318">
        <v>24</v>
      </c>
      <c r="J318">
        <v>1.18</v>
      </c>
      <c r="K318">
        <v>11.410732749999999</v>
      </c>
      <c r="L318">
        <v>-1.640483193399993</v>
      </c>
      <c r="M318">
        <v>0.55798166499580026</v>
      </c>
      <c r="N318">
        <v>-0.50152634270506091</v>
      </c>
      <c r="O318">
        <v>-3.1991869577172069E-3</v>
      </c>
    </row>
    <row r="319" spans="1:15" x14ac:dyDescent="0.25">
      <c r="A319">
        <v>-22.077343750000001</v>
      </c>
      <c r="B319">
        <v>36.594340250000002</v>
      </c>
      <c r="C319">
        <v>75.059457750000007</v>
      </c>
      <c r="D319">
        <v>3.7237650000000002</v>
      </c>
      <c r="E319">
        <v>41.709779750000003</v>
      </c>
      <c r="F319">
        <v>0.92584049999999996</v>
      </c>
      <c r="G319">
        <v>78.480282000000003</v>
      </c>
      <c r="H319">
        <v>8</v>
      </c>
      <c r="I319">
        <v>28</v>
      </c>
      <c r="J319">
        <v>1.18</v>
      </c>
      <c r="K319">
        <v>11.465081</v>
      </c>
      <c r="L319">
        <v>-1.908879857846745</v>
      </c>
      <c r="M319">
        <v>0.6459677351573142</v>
      </c>
      <c r="N319">
        <v>-0.72266406215563905</v>
      </c>
      <c r="O319">
        <v>-0.19854164906713201</v>
      </c>
    </row>
    <row r="320" spans="1:15" x14ac:dyDescent="0.25">
      <c r="A320">
        <v>-33.16107375</v>
      </c>
      <c r="B320">
        <v>30.679613499999999</v>
      </c>
      <c r="C320">
        <v>75.736888500000006</v>
      </c>
      <c r="D320">
        <v>-6.6434285000000006</v>
      </c>
      <c r="E320">
        <v>28.432396749999999</v>
      </c>
      <c r="F320">
        <v>0.82838750000000005</v>
      </c>
      <c r="G320">
        <v>78.74667925</v>
      </c>
      <c r="H320">
        <v>8</v>
      </c>
      <c r="I320">
        <v>32</v>
      </c>
      <c r="J320">
        <v>1.18</v>
      </c>
      <c r="K320">
        <v>11.491948000000001</v>
      </c>
      <c r="L320">
        <v>-2.2531576283215768</v>
      </c>
      <c r="M320">
        <v>0.7721362996781922</v>
      </c>
      <c r="N320">
        <v>-1.041105262570178</v>
      </c>
      <c r="O320">
        <v>-0.42894488183675927</v>
      </c>
    </row>
    <row r="321" spans="1:15" x14ac:dyDescent="0.25">
      <c r="A321">
        <v>-44.244796749999999</v>
      </c>
      <c r="B321">
        <v>23.226097750000001</v>
      </c>
      <c r="C321">
        <v>76.233672999999996</v>
      </c>
      <c r="D321">
        <v>-17.045635749999999</v>
      </c>
      <c r="E321">
        <v>13.32210925</v>
      </c>
      <c r="F321">
        <v>0.82838750000000005</v>
      </c>
      <c r="G321">
        <v>79.191428999999999</v>
      </c>
      <c r="H321">
        <v>8</v>
      </c>
      <c r="I321">
        <v>36</v>
      </c>
      <c r="J321">
        <v>1.18</v>
      </c>
      <c r="K321">
        <v>11.5246985</v>
      </c>
      <c r="L321">
        <v>-2.7403129912341129</v>
      </c>
      <c r="M321">
        <v>0.91590425620164573</v>
      </c>
      <c r="N321">
        <v>-1.498249273642414</v>
      </c>
      <c r="O321">
        <v>-0.71587355175200529</v>
      </c>
    </row>
    <row r="322" spans="1:15" x14ac:dyDescent="0.25">
      <c r="A322">
        <v>-54.427408</v>
      </c>
      <c r="B322">
        <v>16.397715000000002</v>
      </c>
      <c r="C322">
        <v>76.459484250000003</v>
      </c>
      <c r="D322">
        <v>-28.147153249999999</v>
      </c>
      <c r="E322">
        <v>-2.5868467499999999</v>
      </c>
      <c r="F322">
        <v>0.87711399999999995</v>
      </c>
      <c r="G322">
        <v>79.951738250000005</v>
      </c>
      <c r="H322">
        <v>8</v>
      </c>
      <c r="I322">
        <v>40</v>
      </c>
      <c r="J322">
        <v>1.18</v>
      </c>
      <c r="K322">
        <v>11.57690025</v>
      </c>
      <c r="L322">
        <v>-3.382192922379855</v>
      </c>
      <c r="M322">
        <v>1.1510055732256239</v>
      </c>
      <c r="N322">
        <v>-2.1329059898039069</v>
      </c>
      <c r="O322">
        <v>-1.0895915521702011</v>
      </c>
    </row>
    <row r="323" spans="1:15" x14ac:dyDescent="0.25">
      <c r="A323">
        <v>-64.925411499999996</v>
      </c>
      <c r="B323">
        <v>7.7420185000000004</v>
      </c>
      <c r="C323">
        <v>76.053024000000008</v>
      </c>
      <c r="D323">
        <v>-39.46720225</v>
      </c>
      <c r="E323">
        <v>-21.54219325</v>
      </c>
      <c r="F323">
        <v>0.87711399999999995</v>
      </c>
      <c r="G323">
        <v>80.03642825</v>
      </c>
      <c r="H323">
        <v>8</v>
      </c>
      <c r="I323">
        <v>44</v>
      </c>
      <c r="J323">
        <v>1.18</v>
      </c>
      <c r="K323">
        <v>11.583103250000001</v>
      </c>
      <c r="L323">
        <v>-4.6003177722451518</v>
      </c>
      <c r="M323">
        <v>1.540309448595681</v>
      </c>
      <c r="N323">
        <v>-3.3150320547286429</v>
      </c>
      <c r="O323">
        <v>-1.7320108224978621</v>
      </c>
    </row>
    <row r="324" spans="1:15" x14ac:dyDescent="0.25">
      <c r="A324">
        <v>77.843442750000008</v>
      </c>
      <c r="B324">
        <v>12.262215749999999</v>
      </c>
      <c r="C324">
        <v>-70.225364499999998</v>
      </c>
      <c r="D324">
        <v>-43.007451250000003</v>
      </c>
      <c r="E324">
        <v>-3.8356697500000001</v>
      </c>
      <c r="F324">
        <v>0.87711399999999995</v>
      </c>
      <c r="G324">
        <v>80.836788499999997</v>
      </c>
      <c r="H324">
        <v>12</v>
      </c>
      <c r="I324">
        <v>-44</v>
      </c>
      <c r="J324">
        <v>1.18</v>
      </c>
      <c r="K324">
        <v>11.64151275</v>
      </c>
      <c r="L324">
        <v>2.8053833523542249</v>
      </c>
      <c r="M324">
        <v>1.047185962205968</v>
      </c>
      <c r="N324">
        <v>-1.6042667785278639</v>
      </c>
      <c r="O324">
        <v>-1.089307769245226</v>
      </c>
    </row>
    <row r="325" spans="1:15" x14ac:dyDescent="0.25">
      <c r="A325">
        <v>79.467994750000003</v>
      </c>
      <c r="B325">
        <v>22.456702</v>
      </c>
      <c r="C325">
        <v>-58.498585499999997</v>
      </c>
      <c r="D325">
        <v>-31.731106749999999</v>
      </c>
      <c r="E325">
        <v>11.891549749999999</v>
      </c>
      <c r="F325">
        <v>0.87711399999999995</v>
      </c>
      <c r="G325">
        <v>81.156938249999996</v>
      </c>
      <c r="H325">
        <v>12</v>
      </c>
      <c r="I325">
        <v>-40</v>
      </c>
      <c r="J325">
        <v>1.18</v>
      </c>
      <c r="K325">
        <v>11.664795249999999</v>
      </c>
      <c r="L325">
        <v>2.4201932608862271</v>
      </c>
      <c r="M325">
        <v>0.9505499579299288</v>
      </c>
      <c r="N325">
        <v>-1.215044028877744</v>
      </c>
      <c r="O325">
        <v>-0.80678104030564013</v>
      </c>
    </row>
    <row r="326" spans="1:15" x14ac:dyDescent="0.25">
      <c r="A326">
        <v>79.919263749999999</v>
      </c>
      <c r="B326">
        <v>30.727700500000001</v>
      </c>
      <c r="C326">
        <v>-46.050158250000003</v>
      </c>
      <c r="D326">
        <v>-20.279936500000002</v>
      </c>
      <c r="E326">
        <v>26.24185275</v>
      </c>
      <c r="F326">
        <v>0.92584049999999996</v>
      </c>
      <c r="G326">
        <v>81.427589250000011</v>
      </c>
      <c r="H326">
        <v>12</v>
      </c>
      <c r="I326">
        <v>-36</v>
      </c>
      <c r="J326">
        <v>1.18</v>
      </c>
      <c r="K326">
        <v>11.68090525</v>
      </c>
      <c r="L326">
        <v>2.1204519085576168</v>
      </c>
      <c r="M326">
        <v>0.85861232800714016</v>
      </c>
      <c r="N326">
        <v>-0.92894762028566258</v>
      </c>
      <c r="O326">
        <v>-0.57383660257393609</v>
      </c>
    </row>
    <row r="327" spans="1:15" x14ac:dyDescent="0.25">
      <c r="A327">
        <v>79.874135750000008</v>
      </c>
      <c r="B327">
        <v>38.469738</v>
      </c>
      <c r="C327">
        <v>-33.511526000000003</v>
      </c>
      <c r="D327">
        <v>-10.00884825</v>
      </c>
      <c r="E327">
        <v>38.982774749999997</v>
      </c>
      <c r="F327">
        <v>0.97456699999999996</v>
      </c>
      <c r="G327">
        <v>82.117370999999991</v>
      </c>
      <c r="H327">
        <v>12</v>
      </c>
      <c r="I327">
        <v>-32</v>
      </c>
      <c r="J327">
        <v>1.18</v>
      </c>
      <c r="K327">
        <v>11.727326</v>
      </c>
      <c r="L327">
        <v>1.866643385024308</v>
      </c>
      <c r="M327">
        <v>0.79808324249055584</v>
      </c>
      <c r="N327">
        <v>-0.71010818756509642</v>
      </c>
      <c r="O327">
        <v>-0.37426697009406867</v>
      </c>
    </row>
    <row r="328" spans="1:15" x14ac:dyDescent="0.25">
      <c r="A328">
        <v>78.655719750000003</v>
      </c>
      <c r="B328">
        <v>45.009597749999998</v>
      </c>
      <c r="C328">
        <v>-20.882687749999999</v>
      </c>
      <c r="D328">
        <v>-0.48058525000000002</v>
      </c>
      <c r="E328">
        <v>49.577858999999997</v>
      </c>
      <c r="F328">
        <v>1.0232935000000001</v>
      </c>
      <c r="G328">
        <v>82.237436250000002</v>
      </c>
      <c r="H328">
        <v>12</v>
      </c>
      <c r="I328">
        <v>-28</v>
      </c>
      <c r="J328">
        <v>1.18</v>
      </c>
      <c r="K328">
        <v>11.7324745</v>
      </c>
      <c r="L328">
        <v>1.6518244050459501</v>
      </c>
      <c r="M328">
        <v>0.75490167350109783</v>
      </c>
      <c r="N328">
        <v>-0.54198565399386911</v>
      </c>
      <c r="O328">
        <v>-0.194228396905062</v>
      </c>
    </row>
    <row r="329" spans="1:15" x14ac:dyDescent="0.25">
      <c r="A329">
        <v>76.534767000000002</v>
      </c>
      <c r="B329">
        <v>50.2991885</v>
      </c>
      <c r="C329">
        <v>-8.1636427499999993</v>
      </c>
      <c r="D329">
        <v>8.6321257500000002</v>
      </c>
      <c r="E329">
        <v>58.87649725</v>
      </c>
      <c r="F329">
        <v>0.97456699999999996</v>
      </c>
      <c r="G329">
        <v>82.632804999999991</v>
      </c>
      <c r="H329">
        <v>12</v>
      </c>
      <c r="I329">
        <v>-24</v>
      </c>
      <c r="J329">
        <v>1.18</v>
      </c>
      <c r="K329">
        <v>11.76451325</v>
      </c>
      <c r="L329">
        <v>1.444319833383823</v>
      </c>
      <c r="M329">
        <v>0.71052592136451798</v>
      </c>
      <c r="N329">
        <v>-0.40510883339773668</v>
      </c>
      <c r="O329">
        <v>-1.261802764360904E-2</v>
      </c>
    </row>
    <row r="330" spans="1:15" x14ac:dyDescent="0.25">
      <c r="A330">
        <v>74.143054750000005</v>
      </c>
      <c r="B330">
        <v>55.204082499999998</v>
      </c>
      <c r="C330">
        <v>3.387168</v>
      </c>
      <c r="D330">
        <v>16.209527999999999</v>
      </c>
      <c r="E330">
        <v>66.923399000000003</v>
      </c>
      <c r="F330">
        <v>1.0232935000000001</v>
      </c>
      <c r="G330">
        <v>83.428264499999997</v>
      </c>
      <c r="H330">
        <v>12</v>
      </c>
      <c r="I330">
        <v>-20</v>
      </c>
      <c r="J330">
        <v>1.18</v>
      </c>
      <c r="K330">
        <v>11.818182999999999</v>
      </c>
      <c r="L330">
        <v>1.2386292055378489</v>
      </c>
      <c r="M330">
        <v>0.68264448015089674</v>
      </c>
      <c r="N330">
        <v>-0.28894840030204078</v>
      </c>
      <c r="O330">
        <v>0.15361088981874091</v>
      </c>
    </row>
    <row r="331" spans="1:15" x14ac:dyDescent="0.25">
      <c r="A331">
        <v>69.946281249999998</v>
      </c>
      <c r="B331">
        <v>59.243408250000002</v>
      </c>
      <c r="C331">
        <v>13.86478075</v>
      </c>
      <c r="D331">
        <v>20.06861</v>
      </c>
      <c r="E331">
        <v>72.377401499999991</v>
      </c>
      <c r="F331">
        <v>1.0232935000000001</v>
      </c>
      <c r="G331">
        <v>83.233036499999997</v>
      </c>
      <c r="H331">
        <v>12</v>
      </c>
      <c r="I331">
        <v>-16</v>
      </c>
      <c r="J331">
        <v>1.18</v>
      </c>
      <c r="K331">
        <v>11.804174</v>
      </c>
      <c r="L331">
        <v>1.0120419143724191</v>
      </c>
      <c r="M331">
        <v>0.70701908296667804</v>
      </c>
      <c r="N331">
        <v>-0.19592961524640701</v>
      </c>
      <c r="O331">
        <v>0.28777445580559391</v>
      </c>
    </row>
    <row r="332" spans="1:15" x14ac:dyDescent="0.25">
      <c r="A332">
        <v>65.523870250000002</v>
      </c>
      <c r="B332">
        <v>62.657600250000002</v>
      </c>
      <c r="C332">
        <v>23.845610000000001</v>
      </c>
      <c r="D332">
        <v>23.350470999999999</v>
      </c>
      <c r="E332">
        <v>76.937315249999997</v>
      </c>
      <c r="F332">
        <v>0.97456699999999996</v>
      </c>
      <c r="G332">
        <v>83.753252000000003</v>
      </c>
      <c r="H332">
        <v>12</v>
      </c>
      <c r="I332">
        <v>-12</v>
      </c>
      <c r="J332">
        <v>1.18</v>
      </c>
      <c r="K332">
        <v>11.84494525</v>
      </c>
      <c r="L332">
        <v>0.78137443382063732</v>
      </c>
      <c r="M332">
        <v>0.73691710494035034</v>
      </c>
      <c r="N332">
        <v>-0.12778675419982621</v>
      </c>
      <c r="O332">
        <v>0.42414968252932411</v>
      </c>
    </row>
    <row r="333" spans="1:15" x14ac:dyDescent="0.25">
      <c r="A333">
        <v>57.536459749999999</v>
      </c>
      <c r="B333">
        <v>63.234646499999997</v>
      </c>
      <c r="C333">
        <v>31.342523499999999</v>
      </c>
      <c r="D333">
        <v>23.483427500000001</v>
      </c>
      <c r="E333">
        <v>76.713787249999996</v>
      </c>
      <c r="F333">
        <v>1.0232935000000001</v>
      </c>
      <c r="G333">
        <v>81.147494999999992</v>
      </c>
      <c r="H333">
        <v>12</v>
      </c>
      <c r="I333">
        <v>-8</v>
      </c>
      <c r="J333">
        <v>1.18</v>
      </c>
      <c r="K333">
        <v>11.653481749999999</v>
      </c>
      <c r="L333">
        <v>0.53131356491479731</v>
      </c>
      <c r="M333">
        <v>0.806291290378647</v>
      </c>
      <c r="N333">
        <v>-8.9932130811063327E-2</v>
      </c>
      <c r="O333">
        <v>0.5352812588756477</v>
      </c>
    </row>
    <row r="334" spans="1:15" x14ac:dyDescent="0.25">
      <c r="A334">
        <v>49.097778249999998</v>
      </c>
      <c r="B334">
        <v>61.840116500000001</v>
      </c>
      <c r="C334">
        <v>36.942627000000002</v>
      </c>
      <c r="D334">
        <v>22.52100175</v>
      </c>
      <c r="E334">
        <v>74.970295000000007</v>
      </c>
      <c r="F334">
        <v>0.92584049999999996</v>
      </c>
      <c r="G334">
        <v>78.030963499999999</v>
      </c>
      <c r="H334">
        <v>12</v>
      </c>
      <c r="I334">
        <v>-4</v>
      </c>
      <c r="J334">
        <v>1.18</v>
      </c>
      <c r="K334">
        <v>11.431821749999999</v>
      </c>
      <c r="L334">
        <v>0.26869200404351001</v>
      </c>
      <c r="M334">
        <v>0.86913712626287254</v>
      </c>
      <c r="N334">
        <v>-6.7657013649006378E-2</v>
      </c>
      <c r="O334">
        <v>0.63677674358080272</v>
      </c>
    </row>
    <row r="335" spans="1:15" x14ac:dyDescent="0.25">
      <c r="A335">
        <v>40.929857499999997</v>
      </c>
      <c r="B335">
        <v>60.445589750000003</v>
      </c>
      <c r="C335">
        <v>42.271759000000003</v>
      </c>
      <c r="D335">
        <v>21.73228975</v>
      </c>
      <c r="E335">
        <v>73.316213750000003</v>
      </c>
      <c r="F335">
        <v>0.87711399999999995</v>
      </c>
      <c r="G335">
        <v>75.910129249999997</v>
      </c>
      <c r="H335">
        <v>12</v>
      </c>
      <c r="I335">
        <v>0</v>
      </c>
      <c r="J335">
        <v>1.18</v>
      </c>
      <c r="K335">
        <v>11.27717125</v>
      </c>
      <c r="L335">
        <v>-3.1966406888935588E-2</v>
      </c>
      <c r="M335">
        <v>0.92206391556565115</v>
      </c>
      <c r="N335">
        <v>-6.1784654521776512E-2</v>
      </c>
      <c r="O335">
        <v>0.72535484847592169</v>
      </c>
    </row>
    <row r="336" spans="1:15" x14ac:dyDescent="0.25">
      <c r="A336">
        <v>32.491177749999999</v>
      </c>
      <c r="B336">
        <v>57.46418225</v>
      </c>
      <c r="C336">
        <v>46.78796775</v>
      </c>
      <c r="D336">
        <v>21.3817685</v>
      </c>
      <c r="E336">
        <v>70.008039499999995</v>
      </c>
      <c r="F336">
        <v>0.77966100000000005</v>
      </c>
      <c r="G336">
        <v>72.828912750000001</v>
      </c>
      <c r="H336">
        <v>12</v>
      </c>
      <c r="I336">
        <v>4</v>
      </c>
      <c r="J336">
        <v>1.18</v>
      </c>
      <c r="K336">
        <v>11.050669750000001</v>
      </c>
      <c r="L336">
        <v>-0.33193672263095392</v>
      </c>
      <c r="M336">
        <v>0.83771462203524794</v>
      </c>
      <c r="N336">
        <v>-6.550331398595656E-2</v>
      </c>
      <c r="O336">
        <v>0.60729721760029953</v>
      </c>
    </row>
    <row r="337" spans="1:15" x14ac:dyDescent="0.25">
      <c r="A337">
        <v>24.819651</v>
      </c>
      <c r="B337">
        <v>56.117739749999998</v>
      </c>
      <c r="C337">
        <v>51.484828999999998</v>
      </c>
      <c r="D337">
        <v>20.200063499999999</v>
      </c>
      <c r="E337">
        <v>67.638675750000004</v>
      </c>
      <c r="F337">
        <v>0.82838750000000005</v>
      </c>
      <c r="G337">
        <v>72.192856000000006</v>
      </c>
      <c r="H337">
        <v>12</v>
      </c>
      <c r="I337">
        <v>8</v>
      </c>
      <c r="J337">
        <v>1.18</v>
      </c>
      <c r="K337">
        <v>10.998023249999999</v>
      </c>
      <c r="L337">
        <v>-0.59085567454329724</v>
      </c>
      <c r="M337">
        <v>0.79589688017731308</v>
      </c>
      <c r="N337">
        <v>-0.1009288424637205</v>
      </c>
      <c r="O337">
        <v>0.4804466523930998</v>
      </c>
    </row>
    <row r="338" spans="1:15" x14ac:dyDescent="0.25">
      <c r="A338">
        <v>17.644517749999999</v>
      </c>
      <c r="B338">
        <v>55.540694250000001</v>
      </c>
      <c r="C338">
        <v>57.491394999999997</v>
      </c>
      <c r="D338">
        <v>19.977135749999999</v>
      </c>
      <c r="E338">
        <v>66.878694749999994</v>
      </c>
      <c r="F338">
        <v>0.77966100000000005</v>
      </c>
      <c r="G338">
        <v>73.869315999999998</v>
      </c>
      <c r="H338">
        <v>12</v>
      </c>
      <c r="I338">
        <v>12</v>
      </c>
      <c r="J338">
        <v>1.18</v>
      </c>
      <c r="K338">
        <v>11.130172</v>
      </c>
      <c r="L338">
        <v>-0.82895459158219331</v>
      </c>
      <c r="M338">
        <v>0.73986787298182854</v>
      </c>
      <c r="N338">
        <v>-0.14542913579285741</v>
      </c>
      <c r="O338">
        <v>0.37512621826590331</v>
      </c>
    </row>
    <row r="339" spans="1:15" x14ac:dyDescent="0.25">
      <c r="A339">
        <v>8.5740652500000003</v>
      </c>
      <c r="B339">
        <v>53.521031499999999</v>
      </c>
      <c r="C339">
        <v>62.278579749999999</v>
      </c>
      <c r="D339">
        <v>17.438431000000001</v>
      </c>
      <c r="E339">
        <v>62.721125749999999</v>
      </c>
      <c r="F339">
        <v>0.87711399999999995</v>
      </c>
      <c r="G339">
        <v>74.549591249999992</v>
      </c>
      <c r="H339">
        <v>12</v>
      </c>
      <c r="I339">
        <v>16</v>
      </c>
      <c r="J339">
        <v>1.18</v>
      </c>
      <c r="K339">
        <v>11.17446075</v>
      </c>
      <c r="L339">
        <v>-1.0802851224389041</v>
      </c>
      <c r="M339">
        <v>0.72578415018755704</v>
      </c>
      <c r="N339">
        <v>-0.2379768950033862</v>
      </c>
      <c r="O339">
        <v>0.2439650541163243</v>
      </c>
    </row>
    <row r="340" spans="1:15" x14ac:dyDescent="0.25">
      <c r="A340">
        <v>-0.67583725000000006</v>
      </c>
      <c r="B340">
        <v>50.876237000000003</v>
      </c>
      <c r="C340">
        <v>66.117356999999998</v>
      </c>
      <c r="D340">
        <v>12.7931635</v>
      </c>
      <c r="E340">
        <v>57.088297750000002</v>
      </c>
      <c r="F340">
        <v>0.92584049999999996</v>
      </c>
      <c r="G340">
        <v>75.385542000000001</v>
      </c>
      <c r="H340">
        <v>12</v>
      </c>
      <c r="I340">
        <v>20</v>
      </c>
      <c r="J340">
        <v>1.18</v>
      </c>
      <c r="K340">
        <v>11.23400425</v>
      </c>
      <c r="L340">
        <v>-1.3089260033640131</v>
      </c>
      <c r="M340">
        <v>0.74627963335561798</v>
      </c>
      <c r="N340">
        <v>-0.35856961295418383</v>
      </c>
      <c r="O340">
        <v>0.1005839909453308</v>
      </c>
    </row>
    <row r="341" spans="1:15" x14ac:dyDescent="0.25">
      <c r="A341">
        <v>-10.452947249999999</v>
      </c>
      <c r="B341">
        <v>47.606305999999996</v>
      </c>
      <c r="C341">
        <v>69.414188249999995</v>
      </c>
      <c r="D341">
        <v>5.3888555</v>
      </c>
      <c r="E341">
        <v>49.756679000000013</v>
      </c>
      <c r="F341">
        <v>0.77966100000000005</v>
      </c>
      <c r="G341">
        <v>76.390329250000008</v>
      </c>
      <c r="H341">
        <v>12</v>
      </c>
      <c r="I341">
        <v>24</v>
      </c>
      <c r="J341">
        <v>1.18</v>
      </c>
      <c r="K341">
        <v>11.320496500000001</v>
      </c>
      <c r="L341">
        <v>-1.5274442906387049</v>
      </c>
      <c r="M341">
        <v>0.80741644939081891</v>
      </c>
      <c r="N341">
        <v>-0.50938336219962521</v>
      </c>
      <c r="O341">
        <v>-6.3347427955590743E-2</v>
      </c>
    </row>
    <row r="342" spans="1:15" x14ac:dyDescent="0.25">
      <c r="A342">
        <v>-21.401508249999999</v>
      </c>
      <c r="B342">
        <v>43.422719000000001</v>
      </c>
      <c r="C342">
        <v>71.807786749999991</v>
      </c>
      <c r="D342">
        <v>-4.8514502500000001</v>
      </c>
      <c r="E342">
        <v>39.429823749999997</v>
      </c>
      <c r="F342">
        <v>0.77966100000000005</v>
      </c>
      <c r="G342">
        <v>76.630424250000004</v>
      </c>
      <c r="H342">
        <v>12</v>
      </c>
      <c r="I342">
        <v>28</v>
      </c>
      <c r="J342">
        <v>1.18</v>
      </c>
      <c r="K342">
        <v>11.33845575</v>
      </c>
      <c r="L342">
        <v>-1.7735144544747239</v>
      </c>
      <c r="M342">
        <v>0.9185265976927337</v>
      </c>
      <c r="N342">
        <v>-0.70782763283697836</v>
      </c>
      <c r="O342">
        <v>-0.26459575879565927</v>
      </c>
    </row>
    <row r="343" spans="1:15" x14ac:dyDescent="0.25">
      <c r="A343">
        <v>-32.620403000000003</v>
      </c>
      <c r="B343">
        <v>38.036954250000001</v>
      </c>
      <c r="C343">
        <v>73.478786499999998</v>
      </c>
      <c r="D343">
        <v>-16.608568500000001</v>
      </c>
      <c r="E343">
        <v>26.331261999999999</v>
      </c>
      <c r="F343">
        <v>0.97456699999999996</v>
      </c>
      <c r="G343">
        <v>77.301697000000004</v>
      </c>
      <c r="H343">
        <v>12</v>
      </c>
      <c r="I343">
        <v>32</v>
      </c>
      <c r="J343">
        <v>1.18</v>
      </c>
      <c r="K343">
        <v>11.374006</v>
      </c>
      <c r="L343">
        <v>-2.0826711842839711</v>
      </c>
      <c r="M343">
        <v>1.072612676239282</v>
      </c>
      <c r="N343">
        <v>-1.000570758029645</v>
      </c>
      <c r="O343">
        <v>-0.50229873408593817</v>
      </c>
    </row>
    <row r="344" spans="1:15" x14ac:dyDescent="0.25">
      <c r="A344">
        <v>-43.433793999999999</v>
      </c>
      <c r="B344">
        <v>30.871961500000001</v>
      </c>
      <c r="C344">
        <v>73.930408249999999</v>
      </c>
      <c r="D344">
        <v>-27.578964249999999</v>
      </c>
      <c r="E344">
        <v>11.533909250000001</v>
      </c>
      <c r="F344">
        <v>0.82838750000000005</v>
      </c>
      <c r="G344">
        <v>77.955478499999998</v>
      </c>
      <c r="H344">
        <v>12</v>
      </c>
      <c r="I344">
        <v>36</v>
      </c>
      <c r="J344">
        <v>1.18</v>
      </c>
      <c r="K344">
        <v>11.433453</v>
      </c>
      <c r="L344">
        <v>-2.4951313984592152</v>
      </c>
      <c r="M344">
        <v>1.2425647029454709</v>
      </c>
      <c r="N344">
        <v>-1.412148485975766</v>
      </c>
      <c r="O344">
        <v>-0.77248064640321401</v>
      </c>
    </row>
    <row r="345" spans="1:15" x14ac:dyDescent="0.25">
      <c r="A345">
        <v>-53.616405499999999</v>
      </c>
      <c r="B345">
        <v>23.562708000000001</v>
      </c>
      <c r="C345">
        <v>73.478786499999998</v>
      </c>
      <c r="D345">
        <v>-39.423496999999998</v>
      </c>
      <c r="E345">
        <v>-4.9506905000000003</v>
      </c>
      <c r="F345">
        <v>0.97456699999999996</v>
      </c>
      <c r="G345">
        <v>78.186483249999995</v>
      </c>
      <c r="H345">
        <v>12</v>
      </c>
      <c r="I345">
        <v>40</v>
      </c>
      <c r="J345">
        <v>1.18</v>
      </c>
      <c r="K345">
        <v>11.439739250000001</v>
      </c>
      <c r="L345">
        <v>-3.057446841228217</v>
      </c>
      <c r="M345">
        <v>1.5152274845200899</v>
      </c>
      <c r="N345">
        <v>-1.9999882189640661</v>
      </c>
      <c r="O345">
        <v>-1.142538167053498</v>
      </c>
    </row>
    <row r="346" spans="1:15" x14ac:dyDescent="0.25">
      <c r="A346">
        <v>-63.753960499999998</v>
      </c>
      <c r="B346">
        <v>15.62832025</v>
      </c>
      <c r="C346">
        <v>72.259406749999997</v>
      </c>
      <c r="D346">
        <v>-51.617681500000003</v>
      </c>
      <c r="E346">
        <v>-22.38960775</v>
      </c>
      <c r="F346">
        <v>0.87711399999999995</v>
      </c>
      <c r="G346">
        <v>78.911327</v>
      </c>
      <c r="H346">
        <v>12</v>
      </c>
      <c r="I346">
        <v>44</v>
      </c>
      <c r="J346">
        <v>1.1825000000000001</v>
      </c>
      <c r="K346">
        <v>11.488395000000001</v>
      </c>
      <c r="L346">
        <v>-3.8536121740912681</v>
      </c>
      <c r="M346">
        <v>1.9052137502881461</v>
      </c>
      <c r="N346">
        <v>-2.870188413157587</v>
      </c>
      <c r="O346">
        <v>-1.659263031625168</v>
      </c>
    </row>
    <row r="347" spans="1:15" x14ac:dyDescent="0.25">
      <c r="A347">
        <v>73.691789499999999</v>
      </c>
      <c r="B347">
        <v>20.43703975</v>
      </c>
      <c r="C347">
        <v>-70.0900575</v>
      </c>
      <c r="D347">
        <v>-55.682412249999999</v>
      </c>
      <c r="E347">
        <v>-7.5375382499999999</v>
      </c>
      <c r="F347">
        <v>0.82838750000000005</v>
      </c>
      <c r="G347">
        <v>79.306863499999992</v>
      </c>
      <c r="H347">
        <v>16</v>
      </c>
      <c r="I347">
        <v>-44</v>
      </c>
      <c r="J347">
        <v>1.18</v>
      </c>
      <c r="K347">
        <v>11.53318075</v>
      </c>
      <c r="L347">
        <v>2.597769778150917</v>
      </c>
      <c r="M347">
        <v>1.375252069902311</v>
      </c>
      <c r="N347">
        <v>-1.5690591687548381</v>
      </c>
      <c r="O347">
        <v>-1.151140874831136</v>
      </c>
    </row>
    <row r="348" spans="1:15" x14ac:dyDescent="0.25">
      <c r="A348">
        <v>75.722488499999997</v>
      </c>
      <c r="B348">
        <v>28.756124499999999</v>
      </c>
      <c r="C348">
        <v>-58.769204000000002</v>
      </c>
      <c r="D348">
        <v>-43.969000749999999</v>
      </c>
      <c r="E348">
        <v>7.4210500000000001</v>
      </c>
      <c r="F348">
        <v>0.82838750000000005</v>
      </c>
      <c r="G348">
        <v>79.871703999999994</v>
      </c>
      <c r="H348">
        <v>16</v>
      </c>
      <c r="I348">
        <v>-40</v>
      </c>
      <c r="J348">
        <v>1.18</v>
      </c>
      <c r="K348">
        <v>11.574614</v>
      </c>
      <c r="L348">
        <v>2.2876623327532282</v>
      </c>
      <c r="M348">
        <v>1.2370327352826469</v>
      </c>
      <c r="N348">
        <v>-1.232367201668052</v>
      </c>
      <c r="O348">
        <v>-0.88786576901423597</v>
      </c>
    </row>
    <row r="349" spans="1:15" x14ac:dyDescent="0.25">
      <c r="A349">
        <v>76.805526499999999</v>
      </c>
      <c r="B349">
        <v>37.027124499999999</v>
      </c>
      <c r="C349">
        <v>-46.456086999999997</v>
      </c>
      <c r="D349">
        <v>-32.561535499999998</v>
      </c>
      <c r="E349">
        <v>21.324302500000002</v>
      </c>
      <c r="F349">
        <v>0.82838750000000005</v>
      </c>
      <c r="G349">
        <v>80.507270500000004</v>
      </c>
      <c r="H349">
        <v>16</v>
      </c>
      <c r="I349">
        <v>-36</v>
      </c>
      <c r="J349">
        <v>1.18</v>
      </c>
      <c r="K349">
        <v>11.621055</v>
      </c>
      <c r="L349">
        <v>2.0262312182055302</v>
      </c>
      <c r="M349">
        <v>1.143936966126246</v>
      </c>
      <c r="N349">
        <v>-0.97288260426483397</v>
      </c>
      <c r="O349">
        <v>-0.66308601570472381</v>
      </c>
    </row>
    <row r="350" spans="1:15" x14ac:dyDescent="0.25">
      <c r="A350">
        <v>75.948123750000008</v>
      </c>
      <c r="B350">
        <v>43.518893249999998</v>
      </c>
      <c r="C350">
        <v>-34.097864999999999</v>
      </c>
      <c r="D350">
        <v>-21.547432000000001</v>
      </c>
      <c r="E350">
        <v>33.126420000000003</v>
      </c>
      <c r="F350">
        <v>0.77966100000000005</v>
      </c>
      <c r="G350">
        <v>80.3518945</v>
      </c>
      <c r="H350">
        <v>16</v>
      </c>
      <c r="I350">
        <v>-32</v>
      </c>
      <c r="J350">
        <v>1.18</v>
      </c>
      <c r="K350">
        <v>11.6132765</v>
      </c>
      <c r="L350">
        <v>1.8055476198779681</v>
      </c>
      <c r="M350">
        <v>1.0675589024683221</v>
      </c>
      <c r="N350">
        <v>-0.77485169175632207</v>
      </c>
      <c r="O350">
        <v>-0.4692844056116956</v>
      </c>
    </row>
    <row r="351" spans="1:15" x14ac:dyDescent="0.25">
      <c r="A351">
        <v>74.955339500000008</v>
      </c>
      <c r="B351">
        <v>49.722143000000003</v>
      </c>
      <c r="C351">
        <v>-21.60433475</v>
      </c>
      <c r="D351">
        <v>-10.839276</v>
      </c>
      <c r="E351">
        <v>43.900322250000002</v>
      </c>
      <c r="F351">
        <v>0.92584049999999996</v>
      </c>
      <c r="G351">
        <v>80.667327999999998</v>
      </c>
      <c r="H351">
        <v>16</v>
      </c>
      <c r="I351">
        <v>-28</v>
      </c>
      <c r="J351">
        <v>1.18</v>
      </c>
      <c r="K351">
        <v>11.62561975</v>
      </c>
      <c r="L351">
        <v>1.606050590491988</v>
      </c>
      <c r="M351">
        <v>1.0072950830898091</v>
      </c>
      <c r="N351">
        <v>-0.61153141639815034</v>
      </c>
      <c r="O351">
        <v>-0.28519816604383291</v>
      </c>
    </row>
    <row r="352" spans="1:15" x14ac:dyDescent="0.25">
      <c r="A352">
        <v>72.879511000000008</v>
      </c>
      <c r="B352">
        <v>55.588779500000001</v>
      </c>
      <c r="C352">
        <v>-8.6146724999999993</v>
      </c>
      <c r="D352">
        <v>-0.87413525000000003</v>
      </c>
      <c r="E352">
        <v>53.422489249999998</v>
      </c>
      <c r="F352">
        <v>0.97456699999999996</v>
      </c>
      <c r="G352">
        <v>80.987439999999992</v>
      </c>
      <c r="H352">
        <v>16</v>
      </c>
      <c r="I352">
        <v>-24</v>
      </c>
      <c r="J352">
        <v>1.18</v>
      </c>
      <c r="K352">
        <v>11.645386999999999</v>
      </c>
      <c r="L352">
        <v>1.401026087870332</v>
      </c>
      <c r="M352">
        <v>0.97070343076194399</v>
      </c>
      <c r="N352">
        <v>-0.47389506827867323</v>
      </c>
      <c r="O352">
        <v>-9.8301582976631594E-2</v>
      </c>
    </row>
    <row r="353" spans="1:15" x14ac:dyDescent="0.25">
      <c r="A353">
        <v>69.675520250000005</v>
      </c>
      <c r="B353">
        <v>59.676194250000002</v>
      </c>
      <c r="C353">
        <v>2.6194120000000001</v>
      </c>
      <c r="D353">
        <v>6.87940825</v>
      </c>
      <c r="E353">
        <v>61.067042999999998</v>
      </c>
      <c r="F353">
        <v>0.97456699999999996</v>
      </c>
      <c r="G353">
        <v>81.067472249999994</v>
      </c>
      <c r="H353">
        <v>16</v>
      </c>
      <c r="I353">
        <v>-20</v>
      </c>
      <c r="J353">
        <v>1.18</v>
      </c>
      <c r="K353">
        <v>11.65120825</v>
      </c>
      <c r="L353">
        <v>1.190673957543561</v>
      </c>
      <c r="M353">
        <v>0.9374879128828395</v>
      </c>
      <c r="N353">
        <v>-0.35514193240924452</v>
      </c>
      <c r="O353">
        <v>6.7028942630202232E-2</v>
      </c>
    </row>
    <row r="354" spans="1:15" x14ac:dyDescent="0.25">
      <c r="A354">
        <v>66.020263749999998</v>
      </c>
      <c r="B354">
        <v>64.148303999999996</v>
      </c>
      <c r="C354">
        <v>12.91637675</v>
      </c>
      <c r="D354">
        <v>11.17285525</v>
      </c>
      <c r="E354">
        <v>67.415153750000002</v>
      </c>
      <c r="F354">
        <v>1.0232935000000001</v>
      </c>
      <c r="G354">
        <v>81.672416749999996</v>
      </c>
      <c r="H354">
        <v>16</v>
      </c>
      <c r="I354">
        <v>-16</v>
      </c>
      <c r="J354">
        <v>1.18</v>
      </c>
      <c r="K354">
        <v>11.69159675</v>
      </c>
      <c r="L354">
        <v>0.95905840286949806</v>
      </c>
      <c r="M354">
        <v>0.95674877827252758</v>
      </c>
      <c r="N354">
        <v>-0.25749277826199818</v>
      </c>
      <c r="O354">
        <v>0.19905447000599261</v>
      </c>
    </row>
    <row r="355" spans="1:15" x14ac:dyDescent="0.25">
      <c r="A355">
        <v>61.327095999999997</v>
      </c>
      <c r="B355">
        <v>66.793100500000008</v>
      </c>
      <c r="C355">
        <v>21.045558249999999</v>
      </c>
      <c r="D355">
        <v>13.145374</v>
      </c>
      <c r="E355">
        <v>71.349191749999989</v>
      </c>
      <c r="F355">
        <v>1.0232935000000001</v>
      </c>
      <c r="G355">
        <v>81.792468999999997</v>
      </c>
      <c r="H355">
        <v>16</v>
      </c>
      <c r="I355">
        <v>-12</v>
      </c>
      <c r="J355">
        <v>1.18</v>
      </c>
      <c r="K355">
        <v>11.700293500000001</v>
      </c>
      <c r="L355">
        <v>0.74246474747452573</v>
      </c>
      <c r="M355">
        <v>0.98883175716727933</v>
      </c>
      <c r="N355">
        <v>-0.1924912697210952</v>
      </c>
      <c r="O355">
        <v>0.29624320954495131</v>
      </c>
    </row>
    <row r="356" spans="1:15" x14ac:dyDescent="0.25">
      <c r="A356">
        <v>55.64113725</v>
      </c>
      <c r="B356">
        <v>68.812764999999999</v>
      </c>
      <c r="C356">
        <v>29.039254</v>
      </c>
      <c r="D356">
        <v>14.50373025</v>
      </c>
      <c r="E356">
        <v>74.210308499999996</v>
      </c>
      <c r="F356">
        <v>1.0232935000000001</v>
      </c>
      <c r="G356">
        <v>82.183067499999993</v>
      </c>
      <c r="H356">
        <v>16</v>
      </c>
      <c r="I356">
        <v>-8</v>
      </c>
      <c r="J356">
        <v>1.18</v>
      </c>
      <c r="K356">
        <v>11.728551250000001</v>
      </c>
      <c r="L356">
        <v>0.50729672076061205</v>
      </c>
      <c r="M356">
        <v>1.0356678825338901</v>
      </c>
      <c r="N356">
        <v>-0.15203980849228041</v>
      </c>
      <c r="O356">
        <v>0.39566900666935217</v>
      </c>
    </row>
    <row r="357" spans="1:15" x14ac:dyDescent="0.25">
      <c r="A357">
        <v>49.6392995</v>
      </c>
      <c r="B357">
        <v>70.736248250000003</v>
      </c>
      <c r="C357">
        <v>36.355518500000002</v>
      </c>
      <c r="D357">
        <v>14.458956000000001</v>
      </c>
      <c r="E357">
        <v>76.445557000000008</v>
      </c>
      <c r="F357">
        <v>0.97456699999999996</v>
      </c>
      <c r="G357">
        <v>82.952932500000003</v>
      </c>
      <c r="H357">
        <v>16</v>
      </c>
      <c r="I357">
        <v>-4</v>
      </c>
      <c r="J357">
        <v>1.18</v>
      </c>
      <c r="K357">
        <v>11.787551000000001</v>
      </c>
      <c r="L357">
        <v>0.26024017861050192</v>
      </c>
      <c r="M357">
        <v>1.1026372104828419</v>
      </c>
      <c r="N357">
        <v>-0.12750641813949659</v>
      </c>
      <c r="O357">
        <v>0.47874877206158972</v>
      </c>
    </row>
    <row r="358" spans="1:15" x14ac:dyDescent="0.25">
      <c r="A358">
        <v>42.012897500000001</v>
      </c>
      <c r="B358">
        <v>70.5438975</v>
      </c>
      <c r="C358">
        <v>42.904026000000002</v>
      </c>
      <c r="D358">
        <v>14.328458250000001</v>
      </c>
      <c r="E358">
        <v>76.445556999999994</v>
      </c>
      <c r="F358">
        <v>1.0232935000000001</v>
      </c>
      <c r="G358">
        <v>82.877712250000002</v>
      </c>
      <c r="H358">
        <v>16</v>
      </c>
      <c r="I358">
        <v>0</v>
      </c>
      <c r="J358">
        <v>1.1850000000000001</v>
      </c>
      <c r="K358">
        <v>11.753841</v>
      </c>
      <c r="L358">
        <v>-1.8456427883505828E-2</v>
      </c>
      <c r="M358">
        <v>1.164487596146121</v>
      </c>
      <c r="N358">
        <v>-0.1332427788258016</v>
      </c>
      <c r="O358">
        <v>0.56235066823650859</v>
      </c>
    </row>
    <row r="359" spans="1:15" x14ac:dyDescent="0.25">
      <c r="A359">
        <v>34.431625500000003</v>
      </c>
      <c r="B359">
        <v>70.495811500000002</v>
      </c>
      <c r="C359">
        <v>49.136400250000001</v>
      </c>
      <c r="D359">
        <v>14.283728999999999</v>
      </c>
      <c r="E359">
        <v>75.953805750000001</v>
      </c>
      <c r="F359">
        <v>1.0232935000000001</v>
      </c>
      <c r="G359">
        <v>83.393104499999993</v>
      </c>
      <c r="H359">
        <v>16</v>
      </c>
      <c r="I359">
        <v>4</v>
      </c>
      <c r="J359">
        <v>1.19</v>
      </c>
      <c r="K359">
        <v>11.765909499999999</v>
      </c>
      <c r="L359">
        <v>-0.2849549634682117</v>
      </c>
      <c r="M359">
        <v>1.089441964075027</v>
      </c>
      <c r="N359">
        <v>-0.1442208047090007</v>
      </c>
      <c r="O359">
        <v>0.45229856669555452</v>
      </c>
    </row>
    <row r="360" spans="1:15" x14ac:dyDescent="0.25">
      <c r="A360">
        <v>25.767310500000001</v>
      </c>
      <c r="B360">
        <v>68.235717750000006</v>
      </c>
      <c r="C360">
        <v>54.104234750000003</v>
      </c>
      <c r="D360">
        <v>13.2330095</v>
      </c>
      <c r="E360">
        <v>72.600929250000007</v>
      </c>
      <c r="F360">
        <v>0.97456699999999996</v>
      </c>
      <c r="G360">
        <v>81.907753</v>
      </c>
      <c r="H360">
        <v>16</v>
      </c>
      <c r="I360">
        <v>8</v>
      </c>
      <c r="J360">
        <v>1.18</v>
      </c>
      <c r="K360">
        <v>11.71215625</v>
      </c>
      <c r="L360">
        <v>-0.53369881221284743</v>
      </c>
      <c r="M360">
        <v>1.0357565272478679</v>
      </c>
      <c r="N360">
        <v>-0.17532947508169869</v>
      </c>
      <c r="O360">
        <v>0.34887599707634581</v>
      </c>
    </row>
    <row r="361" spans="1:15" x14ac:dyDescent="0.25">
      <c r="A361">
        <v>16.426098</v>
      </c>
      <c r="B361">
        <v>64.4368245</v>
      </c>
      <c r="C361">
        <v>57.943012000000003</v>
      </c>
      <c r="D361">
        <v>12.00532975</v>
      </c>
      <c r="E361">
        <v>67.191629750000004</v>
      </c>
      <c r="F361">
        <v>0.92584049999999996</v>
      </c>
      <c r="G361">
        <v>78.502032999999997</v>
      </c>
      <c r="H361">
        <v>16</v>
      </c>
      <c r="I361">
        <v>12</v>
      </c>
      <c r="J361">
        <v>1.18</v>
      </c>
      <c r="K361">
        <v>11.466689000000001</v>
      </c>
      <c r="L361">
        <v>-0.78368619903081616</v>
      </c>
      <c r="M361">
        <v>0.98971306404441828</v>
      </c>
      <c r="N361">
        <v>-0.21349486560647429</v>
      </c>
      <c r="O361">
        <v>0.25088413273073329</v>
      </c>
    </row>
    <row r="362" spans="1:15" x14ac:dyDescent="0.25">
      <c r="A362">
        <v>7.35564675</v>
      </c>
      <c r="B362">
        <v>59.964714999999998</v>
      </c>
      <c r="C362">
        <v>60.291443749999999</v>
      </c>
      <c r="D362">
        <v>10.29720725</v>
      </c>
      <c r="E362">
        <v>60.75410625</v>
      </c>
      <c r="F362">
        <v>0.97456699999999996</v>
      </c>
      <c r="G362">
        <v>76.26583475000001</v>
      </c>
      <c r="H362">
        <v>16</v>
      </c>
      <c r="I362">
        <v>16</v>
      </c>
      <c r="J362">
        <v>1.18</v>
      </c>
      <c r="K362">
        <v>11.29656125</v>
      </c>
      <c r="L362">
        <v>-1.0194139549908301</v>
      </c>
      <c r="M362">
        <v>0.95648984331587428</v>
      </c>
      <c r="N362">
        <v>-0.29872916388826598</v>
      </c>
      <c r="O362">
        <v>0.15120535642650421</v>
      </c>
    </row>
    <row r="363" spans="1:15" x14ac:dyDescent="0.25">
      <c r="A363">
        <v>-1.8923442500000001</v>
      </c>
      <c r="B363">
        <v>54.963647250000001</v>
      </c>
      <c r="C363">
        <v>61.736633500000003</v>
      </c>
      <c r="D363">
        <v>5.2139495</v>
      </c>
      <c r="E363">
        <v>52.349569500000001</v>
      </c>
      <c r="F363">
        <v>0.77966100000000005</v>
      </c>
      <c r="G363">
        <v>73.304827000000003</v>
      </c>
      <c r="H363">
        <v>16</v>
      </c>
      <c r="I363">
        <v>20</v>
      </c>
      <c r="J363">
        <v>1.18</v>
      </c>
      <c r="K363">
        <v>11.08710675</v>
      </c>
      <c r="L363">
        <v>-1.2552980324031651</v>
      </c>
      <c r="M363">
        <v>0.9814752608115177</v>
      </c>
      <c r="N363">
        <v>-0.41340739645567209</v>
      </c>
      <c r="O363">
        <v>1.7392607377725619E-2</v>
      </c>
    </row>
    <row r="364" spans="1:15" x14ac:dyDescent="0.25">
      <c r="A364">
        <v>-11.669453000000001</v>
      </c>
      <c r="B364">
        <v>50.63580125</v>
      </c>
      <c r="C364">
        <v>63.13665975</v>
      </c>
      <c r="D364">
        <v>-3.2343007500000001</v>
      </c>
      <c r="E364">
        <v>43.408569499999999</v>
      </c>
      <c r="F364">
        <v>0.73093425000000001</v>
      </c>
      <c r="G364">
        <v>72.188665499999999</v>
      </c>
      <c r="H364">
        <v>16</v>
      </c>
      <c r="I364">
        <v>24</v>
      </c>
      <c r="J364">
        <v>1.18</v>
      </c>
      <c r="K364">
        <v>11.005215249999999</v>
      </c>
      <c r="L364">
        <v>-1.47082900141094</v>
      </c>
      <c r="M364">
        <v>1.0591779262334089</v>
      </c>
      <c r="N364">
        <v>-0.56589617248009882</v>
      </c>
      <c r="O364">
        <v>-0.16090973370501499</v>
      </c>
    </row>
    <row r="365" spans="1:15" x14ac:dyDescent="0.25">
      <c r="A365">
        <v>-21.761953250000001</v>
      </c>
      <c r="B365">
        <v>47.558219000000001</v>
      </c>
      <c r="C365">
        <v>66.83995075</v>
      </c>
      <c r="D365">
        <v>-13.549095250000001</v>
      </c>
      <c r="E365">
        <v>34.60168625</v>
      </c>
      <c r="F365">
        <v>0.77966100000000005</v>
      </c>
      <c r="G365">
        <v>73.940750249999994</v>
      </c>
      <c r="H365">
        <v>16</v>
      </c>
      <c r="I365">
        <v>28</v>
      </c>
      <c r="J365">
        <v>1.18</v>
      </c>
      <c r="K365">
        <v>11.13560775</v>
      </c>
      <c r="L365">
        <v>-1.6955102870884999</v>
      </c>
      <c r="M365">
        <v>1.1693670587861511</v>
      </c>
      <c r="N365">
        <v>-0.75282034854344615</v>
      </c>
      <c r="O365">
        <v>-0.3527843433658972</v>
      </c>
    </row>
    <row r="366" spans="1:15" x14ac:dyDescent="0.25">
      <c r="A366">
        <v>-31.719286749999998</v>
      </c>
      <c r="B366">
        <v>42.653325000000002</v>
      </c>
      <c r="C366">
        <v>68.014167499999999</v>
      </c>
      <c r="D366">
        <v>-25.087679999999999</v>
      </c>
      <c r="E366">
        <v>22.665453750000001</v>
      </c>
      <c r="F366">
        <v>0.77966100000000005</v>
      </c>
      <c r="G366">
        <v>74.585272000000003</v>
      </c>
      <c r="H366">
        <v>16</v>
      </c>
      <c r="I366">
        <v>32</v>
      </c>
      <c r="J366">
        <v>1.18</v>
      </c>
      <c r="K366">
        <v>11.184553749999999</v>
      </c>
      <c r="L366">
        <v>-1.9529516541695</v>
      </c>
      <c r="M366">
        <v>1.3264728535820269</v>
      </c>
      <c r="N366">
        <v>-1.016681510704583</v>
      </c>
      <c r="O366">
        <v>-0.5714531606133344</v>
      </c>
    </row>
    <row r="367" spans="1:15" x14ac:dyDescent="0.25">
      <c r="A367">
        <v>-41.99201025</v>
      </c>
      <c r="B367">
        <v>36.401991000000002</v>
      </c>
      <c r="C367">
        <v>68.601274500000002</v>
      </c>
      <c r="D367">
        <v>-36.27660925</v>
      </c>
      <c r="E367">
        <v>9.4774802499999993</v>
      </c>
      <c r="F367">
        <v>0.82838750000000005</v>
      </c>
      <c r="G367">
        <v>75.461178000000004</v>
      </c>
      <c r="H367">
        <v>16</v>
      </c>
      <c r="I367">
        <v>36</v>
      </c>
      <c r="J367">
        <v>1.18</v>
      </c>
      <c r="K367">
        <v>11.24705</v>
      </c>
      <c r="L367">
        <v>-2.2750527017627959</v>
      </c>
      <c r="M367">
        <v>1.4950633048386539</v>
      </c>
      <c r="N367">
        <v>-1.3573711880314641</v>
      </c>
      <c r="O367">
        <v>-0.82207643982963385</v>
      </c>
    </row>
    <row r="368" spans="1:15" x14ac:dyDescent="0.25">
      <c r="A368">
        <v>-52.805400749999997</v>
      </c>
      <c r="B368">
        <v>29.958303749999999</v>
      </c>
      <c r="C368">
        <v>69.007730250000009</v>
      </c>
      <c r="D368">
        <v>-47.990020000000001</v>
      </c>
      <c r="E368">
        <v>-5.9319082500000002</v>
      </c>
      <c r="F368">
        <v>0.77966100000000005</v>
      </c>
      <c r="G368">
        <v>76.505909000000003</v>
      </c>
      <c r="H368">
        <v>16</v>
      </c>
      <c r="I368">
        <v>40</v>
      </c>
      <c r="J368">
        <v>1.18</v>
      </c>
      <c r="K368">
        <v>11.329143999999999</v>
      </c>
      <c r="L368">
        <v>-2.7395200259651791</v>
      </c>
      <c r="M368">
        <v>1.753036549429706</v>
      </c>
      <c r="N368">
        <v>-1.854007545508539</v>
      </c>
      <c r="O368">
        <v>-1.150966411478652</v>
      </c>
    </row>
    <row r="369" spans="1:15" x14ac:dyDescent="0.25">
      <c r="A369">
        <v>-63.213290000000001</v>
      </c>
      <c r="B369">
        <v>22.697138249999998</v>
      </c>
      <c r="C369">
        <v>67.472221500000003</v>
      </c>
      <c r="D369">
        <v>-60.184207999999998</v>
      </c>
      <c r="E369">
        <v>-22.434209249999999</v>
      </c>
      <c r="F369">
        <v>0.77966100000000005</v>
      </c>
      <c r="G369">
        <v>76.745996250000005</v>
      </c>
      <c r="H369">
        <v>16</v>
      </c>
      <c r="I369">
        <v>44</v>
      </c>
      <c r="J369">
        <v>1.18</v>
      </c>
      <c r="K369">
        <v>11.34709075</v>
      </c>
      <c r="L369">
        <v>-3.3286256732251398</v>
      </c>
      <c r="M369">
        <v>2.1108770285341061</v>
      </c>
      <c r="N369">
        <v>-2.5262683015734968</v>
      </c>
      <c r="O369">
        <v>-1.5913396658823631</v>
      </c>
    </row>
    <row r="370" spans="1:15" x14ac:dyDescent="0.25">
      <c r="A370">
        <v>68.77298725</v>
      </c>
      <c r="B370">
        <v>26.544113249999999</v>
      </c>
      <c r="C370">
        <v>-71.127426249999999</v>
      </c>
      <c r="D370">
        <v>-65.166774750000002</v>
      </c>
      <c r="E370">
        <v>-10.837998000000001</v>
      </c>
      <c r="F370">
        <v>0.77966100000000005</v>
      </c>
      <c r="G370">
        <v>77.670826000000005</v>
      </c>
      <c r="H370">
        <v>20</v>
      </c>
      <c r="I370">
        <v>-44</v>
      </c>
      <c r="J370">
        <v>1.18</v>
      </c>
      <c r="K370">
        <v>11.415953</v>
      </c>
      <c r="L370">
        <v>2.441175845975045</v>
      </c>
      <c r="M370">
        <v>1.600290741851552</v>
      </c>
      <c r="N370">
        <v>-1.5444351891179431</v>
      </c>
      <c r="O370">
        <v>-1.2027280809002849</v>
      </c>
    </row>
    <row r="371" spans="1:15" x14ac:dyDescent="0.25">
      <c r="A371">
        <v>70.758561999999998</v>
      </c>
      <c r="B371">
        <v>34.9112875</v>
      </c>
      <c r="C371">
        <v>-59.400645249999997</v>
      </c>
      <c r="D371">
        <v>-53.628191999999999</v>
      </c>
      <c r="E371">
        <v>3.6658305000000002</v>
      </c>
      <c r="F371">
        <v>0.87711399999999995</v>
      </c>
      <c r="G371">
        <v>78.101912999999996</v>
      </c>
      <c r="H371">
        <v>20</v>
      </c>
      <c r="I371">
        <v>-40</v>
      </c>
      <c r="J371">
        <v>1.18</v>
      </c>
      <c r="K371">
        <v>11.440692500000001</v>
      </c>
      <c r="L371">
        <v>2.1628360048955328</v>
      </c>
      <c r="M371">
        <v>1.471249583700754</v>
      </c>
      <c r="N371">
        <v>-1.236902778618739</v>
      </c>
      <c r="O371">
        <v>-0.95367074175908839</v>
      </c>
    </row>
    <row r="372" spans="1:15" x14ac:dyDescent="0.25">
      <c r="A372">
        <v>71.570839000000007</v>
      </c>
      <c r="B372">
        <v>42.268628249999999</v>
      </c>
      <c r="C372">
        <v>-47.899382750000001</v>
      </c>
      <c r="D372">
        <v>-42.701501</v>
      </c>
      <c r="E372">
        <v>16.272639000000002</v>
      </c>
      <c r="F372">
        <v>0.92584049999999996</v>
      </c>
      <c r="G372">
        <v>78.586625999999995</v>
      </c>
      <c r="H372">
        <v>20</v>
      </c>
      <c r="I372">
        <v>-36</v>
      </c>
      <c r="J372">
        <v>1.18</v>
      </c>
      <c r="K372">
        <v>11.47294275</v>
      </c>
      <c r="L372">
        <v>1.940290315822526</v>
      </c>
      <c r="M372">
        <v>1.379975095320739</v>
      </c>
      <c r="N372">
        <v>-1.0120320580185369</v>
      </c>
      <c r="O372">
        <v>-0.75073103995143797</v>
      </c>
    </row>
    <row r="373" spans="1:15" x14ac:dyDescent="0.25">
      <c r="A373">
        <v>71.706220999999999</v>
      </c>
      <c r="B373">
        <v>49.19318475</v>
      </c>
      <c r="C373">
        <v>-36.262809500000003</v>
      </c>
      <c r="D373">
        <v>-31.599986000000001</v>
      </c>
      <c r="E373">
        <v>27.98534725</v>
      </c>
      <c r="F373">
        <v>0.87711399999999995</v>
      </c>
      <c r="G373">
        <v>79.391517499999992</v>
      </c>
      <c r="H373">
        <v>20</v>
      </c>
      <c r="I373">
        <v>-32</v>
      </c>
      <c r="J373">
        <v>1.18</v>
      </c>
      <c r="K373">
        <v>11.535823000000001</v>
      </c>
      <c r="L373">
        <v>1.743775319779644</v>
      </c>
      <c r="M373">
        <v>1.3048718777526129</v>
      </c>
      <c r="N373">
        <v>-0.83024700190353395</v>
      </c>
      <c r="O373">
        <v>-0.56217931131696708</v>
      </c>
    </row>
    <row r="374" spans="1:15" x14ac:dyDescent="0.25">
      <c r="A374">
        <v>70.352420749999993</v>
      </c>
      <c r="B374">
        <v>55.011735999999999</v>
      </c>
      <c r="C374">
        <v>-23.994794250000002</v>
      </c>
      <c r="D374">
        <v>-20.498468750000001</v>
      </c>
      <c r="E374">
        <v>38.401610249999997</v>
      </c>
      <c r="F374">
        <v>0.87711399999999995</v>
      </c>
      <c r="G374">
        <v>79.546949250000011</v>
      </c>
      <c r="H374">
        <v>20</v>
      </c>
      <c r="I374">
        <v>-28</v>
      </c>
      <c r="J374">
        <v>1.18</v>
      </c>
      <c r="K374">
        <v>11.547236</v>
      </c>
      <c r="L374">
        <v>1.555641511050988</v>
      </c>
      <c r="M374">
        <v>1.2450466862840139</v>
      </c>
      <c r="N374">
        <v>-0.67842154524384379</v>
      </c>
      <c r="O374">
        <v>-0.38126686655888092</v>
      </c>
    </row>
    <row r="375" spans="1:15" x14ac:dyDescent="0.25">
      <c r="A375">
        <v>68.592481750000005</v>
      </c>
      <c r="B375">
        <v>60.157065500000002</v>
      </c>
      <c r="C375">
        <v>-12.268015</v>
      </c>
      <c r="D375">
        <v>-10.839276</v>
      </c>
      <c r="E375">
        <v>46.716739750000002</v>
      </c>
      <c r="F375">
        <v>0.97456699999999996</v>
      </c>
      <c r="G375">
        <v>80.071792500000001</v>
      </c>
      <c r="H375">
        <v>20</v>
      </c>
      <c r="I375">
        <v>-24</v>
      </c>
      <c r="J375">
        <v>1.18</v>
      </c>
      <c r="K375">
        <v>11.578560749999999</v>
      </c>
      <c r="L375">
        <v>1.387682418470999</v>
      </c>
      <c r="M375">
        <v>1.2184038126721319</v>
      </c>
      <c r="N375">
        <v>-0.57242698537156333</v>
      </c>
      <c r="O375">
        <v>-0.2150065869524736</v>
      </c>
    </row>
    <row r="376" spans="1:15" x14ac:dyDescent="0.25">
      <c r="A376">
        <v>65.975135999999992</v>
      </c>
      <c r="B376">
        <v>65.158134750000002</v>
      </c>
      <c r="C376">
        <v>-0.2254515</v>
      </c>
      <c r="D376">
        <v>-2.8846467499999999</v>
      </c>
      <c r="E376">
        <v>55.165983249999996</v>
      </c>
      <c r="F376">
        <v>0.97456699999999996</v>
      </c>
      <c r="G376">
        <v>80.907405999999995</v>
      </c>
      <c r="H376">
        <v>20</v>
      </c>
      <c r="I376">
        <v>-20</v>
      </c>
      <c r="J376">
        <v>1.18</v>
      </c>
      <c r="K376">
        <v>11.639559999999999</v>
      </c>
      <c r="L376">
        <v>1.167120174983707</v>
      </c>
      <c r="M376">
        <v>1.1995991807262909</v>
      </c>
      <c r="N376">
        <v>-0.45382182186761688</v>
      </c>
      <c r="O376">
        <v>-4.458944071901607E-2</v>
      </c>
    </row>
    <row r="377" spans="1:15" x14ac:dyDescent="0.25">
      <c r="A377">
        <v>61.507601749999999</v>
      </c>
      <c r="B377">
        <v>68.091453999999999</v>
      </c>
      <c r="C377">
        <v>8.4453257500000003</v>
      </c>
      <c r="D377">
        <v>0.52576350000000005</v>
      </c>
      <c r="E377">
        <v>60.262349749999998</v>
      </c>
      <c r="F377">
        <v>0.97456699999999996</v>
      </c>
      <c r="G377">
        <v>80.822677999999996</v>
      </c>
      <c r="H377">
        <v>20</v>
      </c>
      <c r="I377">
        <v>-16</v>
      </c>
      <c r="J377">
        <v>1.18</v>
      </c>
      <c r="K377">
        <v>11.633391</v>
      </c>
      <c r="L377">
        <v>0.95132588719647415</v>
      </c>
      <c r="M377">
        <v>1.2113644102313581</v>
      </c>
      <c r="N377">
        <v>-0.36862354561685318</v>
      </c>
      <c r="O377">
        <v>6.2952963578178922E-2</v>
      </c>
    </row>
    <row r="378" spans="1:15" x14ac:dyDescent="0.25">
      <c r="A378">
        <v>57.085192499999998</v>
      </c>
      <c r="B378">
        <v>70.880508500000005</v>
      </c>
      <c r="C378">
        <v>16.619669500000001</v>
      </c>
      <c r="D378">
        <v>2.6728852500000002</v>
      </c>
      <c r="E378">
        <v>65.179902999999996</v>
      </c>
      <c r="F378">
        <v>0.92584049999999996</v>
      </c>
      <c r="G378">
        <v>81.467599750000005</v>
      </c>
      <c r="H378">
        <v>20</v>
      </c>
      <c r="I378">
        <v>-12</v>
      </c>
      <c r="J378">
        <v>1.18</v>
      </c>
      <c r="K378">
        <v>11.683810250000001</v>
      </c>
      <c r="L378">
        <v>0.72867757306925673</v>
      </c>
      <c r="M378">
        <v>1.2282316208940831</v>
      </c>
      <c r="N378">
        <v>-0.2933000562136559</v>
      </c>
      <c r="O378">
        <v>0.15702843176581249</v>
      </c>
    </row>
    <row r="379" spans="1:15" x14ac:dyDescent="0.25">
      <c r="A379">
        <v>51.218729000000003</v>
      </c>
      <c r="B379">
        <v>72.852087249999997</v>
      </c>
      <c r="C379">
        <v>24.026259499999998</v>
      </c>
      <c r="D379">
        <v>3.2860822500000002</v>
      </c>
      <c r="E379">
        <v>68.219837499999997</v>
      </c>
      <c r="F379">
        <v>1.0232935000000001</v>
      </c>
      <c r="G379">
        <v>81.942993000000001</v>
      </c>
      <c r="H379">
        <v>20</v>
      </c>
      <c r="I379">
        <v>-8</v>
      </c>
      <c r="J379">
        <v>1.18</v>
      </c>
      <c r="K379">
        <v>11.711190999999999</v>
      </c>
      <c r="L379">
        <v>0.49836467406332002</v>
      </c>
      <c r="M379">
        <v>1.274939674534133</v>
      </c>
      <c r="N379">
        <v>-0.25150663455434669</v>
      </c>
      <c r="O379">
        <v>0.23153688124618099</v>
      </c>
    </row>
    <row r="380" spans="1:15" x14ac:dyDescent="0.25">
      <c r="A380">
        <v>44.404605750000002</v>
      </c>
      <c r="B380">
        <v>74.054267999999993</v>
      </c>
      <c r="C380">
        <v>30.168307250000002</v>
      </c>
      <c r="D380">
        <v>2.7167029999999999</v>
      </c>
      <c r="E380">
        <v>69.337467500000002</v>
      </c>
      <c r="F380">
        <v>1.0232935000000001</v>
      </c>
      <c r="G380">
        <v>82.103043</v>
      </c>
      <c r="H380">
        <v>20</v>
      </c>
      <c r="I380">
        <v>-4</v>
      </c>
      <c r="J380">
        <v>1.18</v>
      </c>
      <c r="K380">
        <v>11.72276725</v>
      </c>
      <c r="L380">
        <v>0.26915318100498431</v>
      </c>
      <c r="M380">
        <v>1.348663547118784</v>
      </c>
      <c r="N380">
        <v>-0.24134285090728541</v>
      </c>
      <c r="O380">
        <v>0.29150218863141308</v>
      </c>
    </row>
    <row r="381" spans="1:15" x14ac:dyDescent="0.25">
      <c r="A381">
        <v>37.951501</v>
      </c>
      <c r="B381">
        <v>74.487049249999998</v>
      </c>
      <c r="C381">
        <v>37.981355749999999</v>
      </c>
      <c r="D381">
        <v>4.0750597500000003</v>
      </c>
      <c r="E381">
        <v>70.991548749999993</v>
      </c>
      <c r="F381">
        <v>0.97456699999999996</v>
      </c>
      <c r="G381">
        <v>82.752845500000006</v>
      </c>
      <c r="H381">
        <v>20</v>
      </c>
      <c r="I381">
        <v>0</v>
      </c>
      <c r="J381">
        <v>1.18</v>
      </c>
      <c r="K381">
        <v>11.773158</v>
      </c>
      <c r="L381">
        <v>-5.8484589112089893E-4</v>
      </c>
      <c r="M381">
        <v>1.4058747161020539</v>
      </c>
      <c r="N381">
        <v>-0.2348417818140516</v>
      </c>
      <c r="O381">
        <v>0.39800532129847821</v>
      </c>
    </row>
    <row r="382" spans="1:15" x14ac:dyDescent="0.25">
      <c r="A382">
        <v>30.099467499999999</v>
      </c>
      <c r="B382">
        <v>73.958091999999994</v>
      </c>
      <c r="C382">
        <v>43.942753500000002</v>
      </c>
      <c r="D382">
        <v>3.6806975</v>
      </c>
      <c r="E382">
        <v>69.695106750000008</v>
      </c>
      <c r="F382">
        <v>0.97456699999999996</v>
      </c>
      <c r="G382">
        <v>82.903267</v>
      </c>
      <c r="H382">
        <v>20</v>
      </c>
      <c r="I382">
        <v>4</v>
      </c>
      <c r="J382">
        <v>1.18</v>
      </c>
      <c r="K382">
        <v>11.783981000000001</v>
      </c>
      <c r="L382">
        <v>-0.26215732494168092</v>
      </c>
      <c r="M382">
        <v>1.33086425160638</v>
      </c>
      <c r="N382">
        <v>-0.25014601908785028</v>
      </c>
      <c r="O382">
        <v>0.30142835908811411</v>
      </c>
    </row>
    <row r="383" spans="1:15" x14ac:dyDescent="0.25">
      <c r="A383">
        <v>22.247433749999999</v>
      </c>
      <c r="B383">
        <v>73.669569249999995</v>
      </c>
      <c r="C383">
        <v>50.265453750000013</v>
      </c>
      <c r="D383">
        <v>2.891975</v>
      </c>
      <c r="E383">
        <v>67.996317000000005</v>
      </c>
      <c r="F383">
        <v>0.97456699999999996</v>
      </c>
      <c r="G383">
        <v>83.228193750000003</v>
      </c>
      <c r="H383">
        <v>20</v>
      </c>
      <c r="I383">
        <v>8</v>
      </c>
      <c r="J383">
        <v>1.18</v>
      </c>
      <c r="K383">
        <v>11.807325499999999</v>
      </c>
      <c r="L383">
        <v>-0.50548956107187748</v>
      </c>
      <c r="M383">
        <v>1.2769337623549251</v>
      </c>
      <c r="N383">
        <v>-0.27487360882167072</v>
      </c>
      <c r="O383">
        <v>0.20920984910768139</v>
      </c>
    </row>
    <row r="384" spans="1:15" x14ac:dyDescent="0.25">
      <c r="A384">
        <v>13.628247999999999</v>
      </c>
      <c r="B384">
        <v>72.755912999999993</v>
      </c>
      <c r="C384">
        <v>57.130096249999987</v>
      </c>
      <c r="D384">
        <v>2.8481567499999998</v>
      </c>
      <c r="E384">
        <v>65.448135499999992</v>
      </c>
      <c r="F384">
        <v>1.0232935000000001</v>
      </c>
      <c r="G384">
        <v>83.623468250000002</v>
      </c>
      <c r="H384">
        <v>20</v>
      </c>
      <c r="I384">
        <v>12</v>
      </c>
      <c r="J384">
        <v>1.18</v>
      </c>
      <c r="K384">
        <v>11.832169</v>
      </c>
      <c r="L384">
        <v>-0.76038676514912917</v>
      </c>
      <c r="M384">
        <v>1.221940389534653</v>
      </c>
      <c r="N384">
        <v>-0.31768897342290942</v>
      </c>
      <c r="O384">
        <v>0.12612690262060491</v>
      </c>
    </row>
    <row r="385" spans="1:15" x14ac:dyDescent="0.25">
      <c r="A385">
        <v>4.5126685000000002</v>
      </c>
      <c r="B385">
        <v>67.273971750000001</v>
      </c>
      <c r="C385">
        <v>59.026904999999999</v>
      </c>
      <c r="D385">
        <v>1.7965264999999999</v>
      </c>
      <c r="E385">
        <v>58.1612145</v>
      </c>
      <c r="F385">
        <v>0.97456699999999996</v>
      </c>
      <c r="G385">
        <v>79.542321999999999</v>
      </c>
      <c r="H385">
        <v>20</v>
      </c>
      <c r="I385">
        <v>16</v>
      </c>
      <c r="J385">
        <v>1.18</v>
      </c>
      <c r="K385">
        <v>11.539741250000001</v>
      </c>
      <c r="L385">
        <v>-0.99104069124682492</v>
      </c>
      <c r="M385">
        <v>1.190361913975071</v>
      </c>
      <c r="N385">
        <v>-0.38871008162495629</v>
      </c>
      <c r="O385">
        <v>3.9628887292631948E-2</v>
      </c>
    </row>
    <row r="386" spans="1:15" x14ac:dyDescent="0.25">
      <c r="A386">
        <v>-5.0011945000000004</v>
      </c>
      <c r="B386">
        <v>62.320989500000003</v>
      </c>
      <c r="C386">
        <v>60.968875750000002</v>
      </c>
      <c r="D386">
        <v>-3.1031802499999999</v>
      </c>
      <c r="E386">
        <v>50.069613500000003</v>
      </c>
      <c r="F386">
        <v>0.87711399999999995</v>
      </c>
      <c r="G386">
        <v>77.141647250000005</v>
      </c>
      <c r="H386">
        <v>20</v>
      </c>
      <c r="I386">
        <v>20</v>
      </c>
      <c r="J386">
        <v>1.18</v>
      </c>
      <c r="K386">
        <v>11.369339500000001</v>
      </c>
      <c r="L386">
        <v>-1.218916616063012</v>
      </c>
      <c r="M386">
        <v>1.2088424389107419</v>
      </c>
      <c r="N386">
        <v>-0.50021864239386005</v>
      </c>
      <c r="O386">
        <v>-9.1085992753302258E-2</v>
      </c>
    </row>
    <row r="387" spans="1:15" x14ac:dyDescent="0.25">
      <c r="A387">
        <v>-14.5079695</v>
      </c>
      <c r="B387">
        <v>57.319921749999999</v>
      </c>
      <c r="C387">
        <v>61.962444499999997</v>
      </c>
      <c r="D387">
        <v>-11.757118</v>
      </c>
      <c r="E387">
        <v>40.413335750000002</v>
      </c>
      <c r="F387">
        <v>0.77966100000000005</v>
      </c>
      <c r="G387">
        <v>74.905397499999992</v>
      </c>
      <c r="H387">
        <v>20</v>
      </c>
      <c r="I387">
        <v>24</v>
      </c>
      <c r="J387">
        <v>1.18</v>
      </c>
      <c r="K387">
        <v>11.208766750000001</v>
      </c>
      <c r="L387">
        <v>-1.428147948560496</v>
      </c>
      <c r="M387">
        <v>1.2900521221477119</v>
      </c>
      <c r="N387">
        <v>-0.64417230024743977</v>
      </c>
      <c r="O387">
        <v>-0.25982757474605439</v>
      </c>
    </row>
    <row r="388" spans="1:15" x14ac:dyDescent="0.25">
      <c r="A388">
        <v>-23.96968725</v>
      </c>
      <c r="B388">
        <v>51.020498500000002</v>
      </c>
      <c r="C388">
        <v>61.55598475</v>
      </c>
      <c r="D388">
        <v>-21.853380000000001</v>
      </c>
      <c r="E388">
        <v>29.102971</v>
      </c>
      <c r="F388">
        <v>0.77966100000000005</v>
      </c>
      <c r="G388">
        <v>72.584596500000004</v>
      </c>
      <c r="H388">
        <v>20</v>
      </c>
      <c r="I388">
        <v>28</v>
      </c>
      <c r="J388">
        <v>1.18</v>
      </c>
      <c r="K388">
        <v>11.031919</v>
      </c>
      <c r="L388">
        <v>-1.6442816725518561</v>
      </c>
      <c r="M388">
        <v>1.4010192685963909</v>
      </c>
      <c r="N388">
        <v>-0.83595907538448622</v>
      </c>
      <c r="O388">
        <v>-0.45547487276118293</v>
      </c>
    </row>
    <row r="389" spans="1:15" x14ac:dyDescent="0.25">
      <c r="A389">
        <v>-34.422635999999997</v>
      </c>
      <c r="B389">
        <v>47.029260499999999</v>
      </c>
      <c r="C389">
        <v>63.362468749999998</v>
      </c>
      <c r="D389">
        <v>-33.916444749999997</v>
      </c>
      <c r="E389">
        <v>18.239658250000002</v>
      </c>
      <c r="F389">
        <v>0.82838750000000005</v>
      </c>
      <c r="G389">
        <v>73.580648499999995</v>
      </c>
      <c r="H389">
        <v>20</v>
      </c>
      <c r="I389">
        <v>32</v>
      </c>
      <c r="J389">
        <v>1.18</v>
      </c>
      <c r="K389">
        <v>11.104452999999999</v>
      </c>
      <c r="L389">
        <v>-1.8658197321351671</v>
      </c>
      <c r="M389">
        <v>1.544477104219373</v>
      </c>
      <c r="N389">
        <v>-1.0559688046909459</v>
      </c>
      <c r="O389">
        <v>-0.66777253093871836</v>
      </c>
    </row>
    <row r="390" spans="1:15" x14ac:dyDescent="0.25">
      <c r="A390">
        <v>-44.87557975</v>
      </c>
      <c r="B390">
        <v>41.932018249999999</v>
      </c>
      <c r="C390">
        <v>63.994737749999999</v>
      </c>
      <c r="D390">
        <v>-45.586148250000001</v>
      </c>
      <c r="E390">
        <v>6.0799000000000003</v>
      </c>
      <c r="F390">
        <v>0.77966100000000005</v>
      </c>
      <c r="G390">
        <v>74.425214750000009</v>
      </c>
      <c r="H390">
        <v>20</v>
      </c>
      <c r="I390">
        <v>36</v>
      </c>
      <c r="J390">
        <v>1.18</v>
      </c>
      <c r="K390">
        <v>11.17241975</v>
      </c>
      <c r="L390">
        <v>-2.1218198869356142</v>
      </c>
      <c r="M390">
        <v>1.705675369207698</v>
      </c>
      <c r="N390">
        <v>-1.3320228899378519</v>
      </c>
      <c r="O390">
        <v>-0.8967239825071337</v>
      </c>
    </row>
    <row r="391" spans="1:15" x14ac:dyDescent="0.25">
      <c r="A391">
        <v>-55.643916249999997</v>
      </c>
      <c r="B391">
        <v>35.295983499999998</v>
      </c>
      <c r="C391">
        <v>63.226984250000001</v>
      </c>
      <c r="D391">
        <v>-57.474387249999999</v>
      </c>
      <c r="E391">
        <v>-8.7417595000000006</v>
      </c>
      <c r="F391">
        <v>0.77966100000000005</v>
      </c>
      <c r="G391">
        <v>74.785344749999993</v>
      </c>
      <c r="H391">
        <v>20</v>
      </c>
      <c r="I391">
        <v>40</v>
      </c>
      <c r="J391">
        <v>1.18</v>
      </c>
      <c r="K391">
        <v>11.19970225</v>
      </c>
      <c r="L391">
        <v>-2.4861911414647619</v>
      </c>
      <c r="M391">
        <v>1.940188505192709</v>
      </c>
      <c r="N391">
        <v>-1.7470800241260509</v>
      </c>
      <c r="O391">
        <v>-1.1992854383957119</v>
      </c>
    </row>
    <row r="392" spans="1:15" x14ac:dyDescent="0.25">
      <c r="A392">
        <v>-65.556194500000004</v>
      </c>
      <c r="B392">
        <v>28.37142875</v>
      </c>
      <c r="C392">
        <v>62.414066499999997</v>
      </c>
      <c r="D392">
        <v>-67.920305249999998</v>
      </c>
      <c r="E392">
        <v>-23.460028749999999</v>
      </c>
      <c r="F392">
        <v>0.82838750000000005</v>
      </c>
      <c r="G392">
        <v>75.670041999999995</v>
      </c>
      <c r="H392">
        <v>20</v>
      </c>
      <c r="I392">
        <v>44</v>
      </c>
      <c r="J392">
        <v>1.18</v>
      </c>
      <c r="K392">
        <v>11.262779999999999</v>
      </c>
      <c r="L392">
        <v>-2.9570875282153981</v>
      </c>
      <c r="M392">
        <v>2.2250004104669099</v>
      </c>
      <c r="N392">
        <v>-2.29071719915799</v>
      </c>
      <c r="O392">
        <v>-1.561324175075143</v>
      </c>
    </row>
    <row r="393" spans="1:15" x14ac:dyDescent="0.25">
      <c r="A393">
        <v>62.861395999999999</v>
      </c>
      <c r="B393">
        <v>31.2085735</v>
      </c>
      <c r="C393">
        <v>-73.653194749999997</v>
      </c>
      <c r="D393">
        <v>-73.820718749999997</v>
      </c>
      <c r="E393">
        <v>-15.164277500000001</v>
      </c>
      <c r="F393">
        <v>0.77966100000000005</v>
      </c>
      <c r="G393">
        <v>76.181381000000002</v>
      </c>
      <c r="H393">
        <v>24</v>
      </c>
      <c r="I393">
        <v>-44</v>
      </c>
      <c r="J393">
        <v>1.18</v>
      </c>
      <c r="K393">
        <v>11.304845</v>
      </c>
      <c r="L393">
        <v>2.3307050162044209</v>
      </c>
      <c r="M393">
        <v>1.793153791500792</v>
      </c>
      <c r="N393">
        <v>-1.5595493223389409</v>
      </c>
      <c r="O393">
        <v>-1.272214772754322</v>
      </c>
    </row>
    <row r="394" spans="1:15" x14ac:dyDescent="0.25">
      <c r="A394">
        <v>64.756713750000003</v>
      </c>
      <c r="B394">
        <v>39.38339525</v>
      </c>
      <c r="C394">
        <v>-64.907438249999998</v>
      </c>
      <c r="D394">
        <v>-64.729706749999991</v>
      </c>
      <c r="E394">
        <v>-2.98825575</v>
      </c>
      <c r="F394">
        <v>0.77966100000000005</v>
      </c>
      <c r="G394">
        <v>76.830497500000007</v>
      </c>
      <c r="H394">
        <v>24</v>
      </c>
      <c r="I394">
        <v>-40</v>
      </c>
      <c r="J394">
        <v>1.18</v>
      </c>
      <c r="K394">
        <v>11.3534015</v>
      </c>
      <c r="L394">
        <v>2.097105761182112</v>
      </c>
      <c r="M394">
        <v>1.6838498095997649</v>
      </c>
      <c r="N394">
        <v>-1.29094165995178</v>
      </c>
      <c r="O394">
        <v>-1.060937035202697</v>
      </c>
    </row>
    <row r="395" spans="1:15" x14ac:dyDescent="0.25">
      <c r="A395">
        <v>66.155643499999996</v>
      </c>
      <c r="B395">
        <v>46.740737750000001</v>
      </c>
      <c r="C395">
        <v>-53.401949999999999</v>
      </c>
      <c r="D395">
        <v>-52.928884500000002</v>
      </c>
      <c r="E395">
        <v>9.9692349999999994</v>
      </c>
      <c r="F395">
        <v>0.77966100000000005</v>
      </c>
      <c r="G395">
        <v>77.581769750000007</v>
      </c>
      <c r="H395">
        <v>24</v>
      </c>
      <c r="I395">
        <v>-36</v>
      </c>
      <c r="J395">
        <v>1.18</v>
      </c>
      <c r="K395">
        <v>11.40934025</v>
      </c>
      <c r="L395">
        <v>1.893682009861078</v>
      </c>
      <c r="M395">
        <v>1.578675372740471</v>
      </c>
      <c r="N395">
        <v>-1.0709121813529709</v>
      </c>
      <c r="O395">
        <v>-0.85442927976669991</v>
      </c>
    </row>
    <row r="396" spans="1:15" x14ac:dyDescent="0.25">
      <c r="A396">
        <v>65.794627999999989</v>
      </c>
      <c r="B396">
        <v>52.703547999999998</v>
      </c>
      <c r="C396">
        <v>-41.630064750000003</v>
      </c>
      <c r="D396">
        <v>-41.171767250000002</v>
      </c>
      <c r="E396">
        <v>20.921958499999999</v>
      </c>
      <c r="F396">
        <v>0.87711399999999995</v>
      </c>
      <c r="G396">
        <v>77.781829999999999</v>
      </c>
      <c r="H396">
        <v>24</v>
      </c>
      <c r="I396">
        <v>-32</v>
      </c>
      <c r="J396">
        <v>1.18</v>
      </c>
      <c r="K396">
        <v>11.416957500000001</v>
      </c>
      <c r="L396">
        <v>1.7236864008903661</v>
      </c>
      <c r="M396">
        <v>1.5062768199890479</v>
      </c>
      <c r="N396">
        <v>-0.91235029824544678</v>
      </c>
      <c r="O396">
        <v>-0.67836545389801006</v>
      </c>
    </row>
    <row r="397" spans="1:15" x14ac:dyDescent="0.25">
      <c r="A397">
        <v>65.027479</v>
      </c>
      <c r="B397">
        <v>58.5701885</v>
      </c>
      <c r="C397">
        <v>-30.264109749999999</v>
      </c>
      <c r="D397">
        <v>-30.551024250000001</v>
      </c>
      <c r="E397">
        <v>30.7570555</v>
      </c>
      <c r="F397">
        <v>0.77966100000000005</v>
      </c>
      <c r="G397">
        <v>78.462022499999989</v>
      </c>
      <c r="H397">
        <v>24</v>
      </c>
      <c r="I397">
        <v>-28</v>
      </c>
      <c r="J397">
        <v>1.18</v>
      </c>
      <c r="K397">
        <v>11.47453625</v>
      </c>
      <c r="L397">
        <v>1.5579513593957759</v>
      </c>
      <c r="M397">
        <v>1.4570527412456431</v>
      </c>
      <c r="N397">
        <v>-0.77993104651607714</v>
      </c>
      <c r="O397">
        <v>-0.50987127597223958</v>
      </c>
    </row>
    <row r="398" spans="1:15" x14ac:dyDescent="0.25">
      <c r="A398">
        <v>63.087030249999998</v>
      </c>
      <c r="B398">
        <v>63.186559500000001</v>
      </c>
      <c r="C398">
        <v>-17.860786000000001</v>
      </c>
      <c r="D398">
        <v>-20.017696999999998</v>
      </c>
      <c r="E398">
        <v>39.56394075</v>
      </c>
      <c r="F398">
        <v>0.97456699999999996</v>
      </c>
      <c r="G398">
        <v>78.831302499999993</v>
      </c>
      <c r="H398">
        <v>24</v>
      </c>
      <c r="I398">
        <v>-24</v>
      </c>
      <c r="J398">
        <v>1.18</v>
      </c>
      <c r="K398">
        <v>11.4874075</v>
      </c>
      <c r="L398">
        <v>1.3836463151986831</v>
      </c>
      <c r="M398">
        <v>1.4222149074560559</v>
      </c>
      <c r="N398">
        <v>-0.67119923611710286</v>
      </c>
      <c r="O398">
        <v>-0.34038569500667948</v>
      </c>
    </row>
    <row r="399" spans="1:15" x14ac:dyDescent="0.25">
      <c r="A399">
        <v>60.063546000000002</v>
      </c>
      <c r="B399">
        <v>67.418234249999998</v>
      </c>
      <c r="C399">
        <v>-7.4419942499999996</v>
      </c>
      <c r="D399">
        <v>-13.5928015</v>
      </c>
      <c r="E399">
        <v>46.314393000000003</v>
      </c>
      <c r="F399">
        <v>0.97456699999999996</v>
      </c>
      <c r="G399">
        <v>79.222228999999999</v>
      </c>
      <c r="H399">
        <v>24</v>
      </c>
      <c r="I399">
        <v>-20</v>
      </c>
      <c r="J399">
        <v>1.18</v>
      </c>
      <c r="K399">
        <v>11.516213</v>
      </c>
      <c r="L399">
        <v>1.187812949282141</v>
      </c>
      <c r="M399">
        <v>1.425450448488669</v>
      </c>
      <c r="N399">
        <v>-0.57904292410556457</v>
      </c>
      <c r="O399">
        <v>-0.202205442794094</v>
      </c>
    </row>
    <row r="400" spans="1:15" x14ac:dyDescent="0.25">
      <c r="A400">
        <v>56.453418999999997</v>
      </c>
      <c r="B400">
        <v>71.217117250000001</v>
      </c>
      <c r="C400">
        <v>2.2581150000000001</v>
      </c>
      <c r="D400">
        <v>-10.2273815</v>
      </c>
      <c r="E400">
        <v>52.751912750000002</v>
      </c>
      <c r="F400">
        <v>0.97456699999999996</v>
      </c>
      <c r="G400">
        <v>79.867057499999987</v>
      </c>
      <c r="H400">
        <v>24</v>
      </c>
      <c r="I400">
        <v>-16</v>
      </c>
      <c r="J400">
        <v>1.18</v>
      </c>
      <c r="K400">
        <v>11.5635675</v>
      </c>
      <c r="L400">
        <v>0.95521351114728315</v>
      </c>
      <c r="M400">
        <v>1.4354879974136789</v>
      </c>
      <c r="N400">
        <v>-0.47791708402282279</v>
      </c>
      <c r="O400">
        <v>-8.7407802305743854E-2</v>
      </c>
    </row>
    <row r="401" spans="1:15" x14ac:dyDescent="0.25">
      <c r="A401">
        <v>51.534614500000004</v>
      </c>
      <c r="B401">
        <v>73.092523749999998</v>
      </c>
      <c r="C401">
        <v>9.8001897499999995</v>
      </c>
      <c r="D401">
        <v>-8.26057825</v>
      </c>
      <c r="E401">
        <v>56.864773499999998</v>
      </c>
      <c r="F401">
        <v>0.97456699999999996</v>
      </c>
      <c r="G401">
        <v>80.102482000000009</v>
      </c>
      <c r="H401">
        <v>24</v>
      </c>
      <c r="I401">
        <v>-12</v>
      </c>
      <c r="J401">
        <v>1.18</v>
      </c>
      <c r="K401">
        <v>11.5808065</v>
      </c>
      <c r="L401">
        <v>0.74399363959822074</v>
      </c>
      <c r="M401">
        <v>1.4502995880949761</v>
      </c>
      <c r="N401">
        <v>-0.41426819790485542</v>
      </c>
      <c r="O401">
        <v>-3.6502769517729201E-3</v>
      </c>
    </row>
    <row r="402" spans="1:15" x14ac:dyDescent="0.25">
      <c r="A402">
        <v>45.668155749999997</v>
      </c>
      <c r="B402">
        <v>75.25644475</v>
      </c>
      <c r="C402">
        <v>16.890642750000001</v>
      </c>
      <c r="D402">
        <v>-7.9109230000000004</v>
      </c>
      <c r="E402">
        <v>59.502367749999998</v>
      </c>
      <c r="F402">
        <v>0.97456699999999996</v>
      </c>
      <c r="G402">
        <v>80.582611</v>
      </c>
      <c r="H402">
        <v>24</v>
      </c>
      <c r="I402">
        <v>-8</v>
      </c>
      <c r="J402">
        <v>1.18</v>
      </c>
      <c r="K402">
        <v>11.615888500000001</v>
      </c>
      <c r="L402">
        <v>0.5231081632959238</v>
      </c>
      <c r="M402">
        <v>1.5117930610081269</v>
      </c>
      <c r="N402">
        <v>-0.38319118611753678</v>
      </c>
      <c r="O402">
        <v>6.3900016953945732E-2</v>
      </c>
    </row>
    <row r="403" spans="1:15" x14ac:dyDescent="0.25">
      <c r="A403">
        <v>39.350424750000002</v>
      </c>
      <c r="B403">
        <v>76.314365500000008</v>
      </c>
      <c r="C403">
        <v>24.342393999999999</v>
      </c>
      <c r="D403">
        <v>-7.21161575</v>
      </c>
      <c r="E403">
        <v>61.961139750000001</v>
      </c>
      <c r="F403">
        <v>0.97456699999999996</v>
      </c>
      <c r="G403">
        <v>81.352288999999999</v>
      </c>
      <c r="H403">
        <v>24</v>
      </c>
      <c r="I403">
        <v>-4</v>
      </c>
      <c r="J403">
        <v>1.18</v>
      </c>
      <c r="K403">
        <v>11.671906999999999</v>
      </c>
      <c r="L403">
        <v>0.28104424853016641</v>
      </c>
      <c r="M403">
        <v>1.5642652037627061</v>
      </c>
      <c r="N403">
        <v>-0.36315226999827188</v>
      </c>
      <c r="O403">
        <v>0.1421994692384882</v>
      </c>
    </row>
    <row r="404" spans="1:15" x14ac:dyDescent="0.25">
      <c r="A404">
        <v>31.678898749999998</v>
      </c>
      <c r="B404">
        <v>76.747148749999994</v>
      </c>
      <c r="C404">
        <v>30.936064250000001</v>
      </c>
      <c r="D404">
        <v>-7.4301492500000004</v>
      </c>
      <c r="E404">
        <v>61.961139750000001</v>
      </c>
      <c r="F404">
        <v>0.92584049999999996</v>
      </c>
      <c r="G404">
        <v>81.307548249999996</v>
      </c>
      <c r="H404">
        <v>24</v>
      </c>
      <c r="I404">
        <v>0</v>
      </c>
      <c r="J404">
        <v>1.18</v>
      </c>
      <c r="K404">
        <v>11.672195500000001</v>
      </c>
      <c r="L404">
        <v>1.4795420999551671E-2</v>
      </c>
      <c r="M404">
        <v>1.676558598896027</v>
      </c>
      <c r="N404">
        <v>-0.38532411210128481</v>
      </c>
      <c r="O404">
        <v>0.21564640506451241</v>
      </c>
    </row>
    <row r="405" spans="1:15" x14ac:dyDescent="0.25">
      <c r="A405">
        <v>24.774524</v>
      </c>
      <c r="B405">
        <v>76.987585249999995</v>
      </c>
      <c r="C405">
        <v>38.026516000000001</v>
      </c>
      <c r="D405">
        <v>-7.1679087499999996</v>
      </c>
      <c r="E405">
        <v>61.648207499999998</v>
      </c>
      <c r="F405">
        <v>0.97456699999999996</v>
      </c>
      <c r="G405">
        <v>81.822961499999991</v>
      </c>
      <c r="H405">
        <v>24</v>
      </c>
      <c r="I405">
        <v>4</v>
      </c>
      <c r="J405">
        <v>1.18</v>
      </c>
      <c r="K405">
        <v>11.70603075</v>
      </c>
      <c r="L405">
        <v>-0.25076895635803831</v>
      </c>
      <c r="M405">
        <v>1.5925044406246229</v>
      </c>
      <c r="N405">
        <v>-0.38178137503960702</v>
      </c>
      <c r="O405">
        <v>0.1481495389224784</v>
      </c>
    </row>
    <row r="406" spans="1:15" x14ac:dyDescent="0.25">
      <c r="A406">
        <v>17.148124249999999</v>
      </c>
      <c r="B406">
        <v>76.747148749999994</v>
      </c>
      <c r="C406">
        <v>45.658916499999997</v>
      </c>
      <c r="D406">
        <v>-6.8182549999999997</v>
      </c>
      <c r="E406">
        <v>61.111748250000012</v>
      </c>
      <c r="F406">
        <v>1.0232935000000001</v>
      </c>
      <c r="G406">
        <v>82.303102499999994</v>
      </c>
      <c r="H406">
        <v>24</v>
      </c>
      <c r="I406">
        <v>8</v>
      </c>
      <c r="J406">
        <v>1.18</v>
      </c>
      <c r="K406">
        <v>11.7372225</v>
      </c>
      <c r="L406">
        <v>-0.50960817815236037</v>
      </c>
      <c r="M406">
        <v>1.4936689300700139</v>
      </c>
      <c r="N406">
        <v>-0.37878363741943621</v>
      </c>
      <c r="O406">
        <v>7.4031836457075589E-2</v>
      </c>
    </row>
    <row r="407" spans="1:15" x14ac:dyDescent="0.25">
      <c r="A407">
        <v>7.4459</v>
      </c>
      <c r="B407">
        <v>74.727485999999999</v>
      </c>
      <c r="C407">
        <v>50.491263750000002</v>
      </c>
      <c r="D407">
        <v>-8.7413522500000003</v>
      </c>
      <c r="E407">
        <v>56.775360999999997</v>
      </c>
      <c r="F407">
        <v>0.97456699999999996</v>
      </c>
      <c r="G407">
        <v>82.427929000000006</v>
      </c>
      <c r="H407">
        <v>24</v>
      </c>
      <c r="I407">
        <v>12</v>
      </c>
      <c r="J407">
        <v>1.18</v>
      </c>
      <c r="K407">
        <v>11.74974675</v>
      </c>
      <c r="L407">
        <v>-0.74962722649533364</v>
      </c>
      <c r="M407">
        <v>1.4535959442775941</v>
      </c>
      <c r="N407">
        <v>-0.44675022530122249</v>
      </c>
      <c r="O407">
        <v>-2.8261894419643989E-2</v>
      </c>
    </row>
    <row r="408" spans="1:15" x14ac:dyDescent="0.25">
      <c r="A408">
        <v>-2.2978467500000002</v>
      </c>
      <c r="B408">
        <v>73.958091999999994</v>
      </c>
      <c r="C408">
        <v>56.678474250000001</v>
      </c>
      <c r="D408">
        <v>-9.4843667499999995</v>
      </c>
      <c r="E408">
        <v>52.573093249999999</v>
      </c>
      <c r="F408">
        <v>1.07202</v>
      </c>
      <c r="G408">
        <v>83.068142250000008</v>
      </c>
      <c r="H408">
        <v>24</v>
      </c>
      <c r="I408">
        <v>16</v>
      </c>
      <c r="J408">
        <v>1.18</v>
      </c>
      <c r="K408">
        <v>11.78882675</v>
      </c>
      <c r="L408">
        <v>-1.008756768329206</v>
      </c>
      <c r="M408">
        <v>1.4272469599687501</v>
      </c>
      <c r="N408">
        <v>-0.52160367628029403</v>
      </c>
      <c r="O408">
        <v>-0.1190930679450513</v>
      </c>
    </row>
    <row r="409" spans="1:15" x14ac:dyDescent="0.25">
      <c r="A409">
        <v>-12.3903455</v>
      </c>
      <c r="B409">
        <v>70.591985750000006</v>
      </c>
      <c r="C409">
        <v>59.97531025</v>
      </c>
      <c r="D409">
        <v>-14.685471250000001</v>
      </c>
      <c r="E409">
        <v>45.375588999999998</v>
      </c>
      <c r="F409">
        <v>1.0232935000000001</v>
      </c>
      <c r="G409">
        <v>83.228193750000003</v>
      </c>
      <c r="H409">
        <v>24</v>
      </c>
      <c r="I409">
        <v>20</v>
      </c>
      <c r="J409">
        <v>1.18</v>
      </c>
      <c r="K409">
        <v>11.803826000000001</v>
      </c>
      <c r="L409">
        <v>-1.228325587989791</v>
      </c>
      <c r="M409">
        <v>1.447499835564906</v>
      </c>
      <c r="N409">
        <v>-0.64251000389138946</v>
      </c>
      <c r="O409">
        <v>-0.2471575921637986</v>
      </c>
    </row>
    <row r="410" spans="1:15" x14ac:dyDescent="0.25">
      <c r="A410">
        <v>-22.933403999999999</v>
      </c>
      <c r="B410">
        <v>67.322055500000005</v>
      </c>
      <c r="C410">
        <v>63.362468749999998</v>
      </c>
      <c r="D410">
        <v>-23.077168749999998</v>
      </c>
      <c r="E410">
        <v>37.686330750000003</v>
      </c>
      <c r="F410">
        <v>0.97456699999999996</v>
      </c>
      <c r="G410">
        <v>83.50829675</v>
      </c>
      <c r="H410">
        <v>24</v>
      </c>
      <c r="I410">
        <v>24</v>
      </c>
      <c r="J410">
        <v>1.18</v>
      </c>
      <c r="K410">
        <v>11.827411250000001</v>
      </c>
      <c r="L410">
        <v>-1.4218749915653199</v>
      </c>
      <c r="M410">
        <v>1.4894806979777859</v>
      </c>
      <c r="N410">
        <v>-0.75499950920711667</v>
      </c>
      <c r="O410">
        <v>-0.3951092722304006</v>
      </c>
    </row>
    <row r="411" spans="1:15" x14ac:dyDescent="0.25">
      <c r="A411">
        <v>-33.656687750000003</v>
      </c>
      <c r="B411">
        <v>62.753774499999999</v>
      </c>
      <c r="C411">
        <v>64.98830774999999</v>
      </c>
      <c r="D411">
        <v>-34.266100000000002</v>
      </c>
      <c r="E411">
        <v>27.404181749999999</v>
      </c>
      <c r="F411">
        <v>1.0232935000000001</v>
      </c>
      <c r="G411">
        <v>83.023298499999996</v>
      </c>
      <c r="H411">
        <v>24</v>
      </c>
      <c r="I411">
        <v>28</v>
      </c>
      <c r="J411">
        <v>1.18</v>
      </c>
      <c r="K411">
        <v>11.78910675</v>
      </c>
      <c r="L411">
        <v>-1.6075105109067249</v>
      </c>
      <c r="M411">
        <v>1.5810085653077679</v>
      </c>
      <c r="N411">
        <v>-0.90639317416562182</v>
      </c>
      <c r="O411">
        <v>-0.57010843722336835</v>
      </c>
    </row>
    <row r="412" spans="1:15" x14ac:dyDescent="0.25">
      <c r="A412">
        <v>-43.704128249999997</v>
      </c>
      <c r="B412">
        <v>54.434688749999999</v>
      </c>
      <c r="C412">
        <v>62.639877249999998</v>
      </c>
      <c r="D412">
        <v>-45.367616499999997</v>
      </c>
      <c r="E412">
        <v>14.037389750000001</v>
      </c>
      <c r="F412">
        <v>0.92584049999999996</v>
      </c>
      <c r="G412">
        <v>79.18222025</v>
      </c>
      <c r="H412">
        <v>24</v>
      </c>
      <c r="I412">
        <v>32</v>
      </c>
      <c r="J412">
        <v>1.18</v>
      </c>
      <c r="K412">
        <v>11.5168515</v>
      </c>
      <c r="L412">
        <v>-1.815553351293286</v>
      </c>
      <c r="M412">
        <v>1.7038764313877599</v>
      </c>
      <c r="N412">
        <v>-1.112205791367102</v>
      </c>
      <c r="O412">
        <v>-0.77614190008957828</v>
      </c>
    </row>
    <row r="413" spans="1:15" x14ac:dyDescent="0.25">
      <c r="A413">
        <v>-53.255956750000003</v>
      </c>
      <c r="B413">
        <v>47.510131749999999</v>
      </c>
      <c r="C413">
        <v>61.375335749999998</v>
      </c>
      <c r="D413">
        <v>-56.206892250000003</v>
      </c>
      <c r="E413">
        <v>1.2517609999999999</v>
      </c>
      <c r="F413">
        <v>0.77966100000000005</v>
      </c>
      <c r="G413">
        <v>76.861566500000009</v>
      </c>
      <c r="H413">
        <v>24</v>
      </c>
      <c r="I413">
        <v>36</v>
      </c>
      <c r="J413">
        <v>1.18</v>
      </c>
      <c r="K413">
        <v>11.35571575</v>
      </c>
      <c r="L413">
        <v>-2.047656129576481</v>
      </c>
      <c r="M413">
        <v>1.8526635173140009</v>
      </c>
      <c r="N413">
        <v>-1.350634673328635</v>
      </c>
      <c r="O413">
        <v>-0.99158231678319819</v>
      </c>
    </row>
    <row r="414" spans="1:15" x14ac:dyDescent="0.25">
      <c r="A414">
        <v>-61.861617000000003</v>
      </c>
      <c r="B414">
        <v>40.489401000000001</v>
      </c>
      <c r="C414">
        <v>58.981742750000002</v>
      </c>
      <c r="D414">
        <v>-66.040914749999999</v>
      </c>
      <c r="E414">
        <v>-12.086820749999999</v>
      </c>
      <c r="F414">
        <v>0.77966100000000005</v>
      </c>
      <c r="G414">
        <v>74.82099925</v>
      </c>
      <c r="H414">
        <v>24</v>
      </c>
      <c r="I414">
        <v>40</v>
      </c>
      <c r="J414">
        <v>1.18</v>
      </c>
      <c r="K414">
        <v>11.20239275</v>
      </c>
      <c r="L414">
        <v>-2.3300040321721198</v>
      </c>
      <c r="M414">
        <v>2.05402153803754</v>
      </c>
      <c r="N414">
        <v>-1.6757111398146951</v>
      </c>
      <c r="O414">
        <v>-1.2480865924778111</v>
      </c>
    </row>
    <row r="415" spans="1:15" x14ac:dyDescent="0.25">
      <c r="A415">
        <v>-67.358425499999996</v>
      </c>
      <c r="B415">
        <v>32.074142500000001</v>
      </c>
      <c r="C415">
        <v>54.8719885</v>
      </c>
      <c r="D415">
        <v>-72.159858749999998</v>
      </c>
      <c r="E415">
        <v>-24.708853000000001</v>
      </c>
      <c r="F415">
        <v>0.73093425000000001</v>
      </c>
      <c r="G415">
        <v>71.780143500000008</v>
      </c>
      <c r="H415">
        <v>24</v>
      </c>
      <c r="I415">
        <v>44</v>
      </c>
      <c r="J415">
        <v>1.18</v>
      </c>
      <c r="K415">
        <v>10.97371175</v>
      </c>
      <c r="L415">
        <v>-2.713289003573224</v>
      </c>
      <c r="M415">
        <v>2.313762308682072</v>
      </c>
      <c r="N415">
        <v>-2.1418812761593449</v>
      </c>
      <c r="O415">
        <v>-1.56473398289782</v>
      </c>
    </row>
    <row r="416" spans="1:15" x14ac:dyDescent="0.25">
      <c r="A416">
        <v>55.370376</v>
      </c>
      <c r="B416">
        <v>34.718938999999999</v>
      </c>
      <c r="C416">
        <v>-76.359373000000005</v>
      </c>
      <c r="D416">
        <v>-80.376730000000009</v>
      </c>
      <c r="E416">
        <v>-20.11496825</v>
      </c>
      <c r="F416">
        <v>0.77966100000000005</v>
      </c>
      <c r="G416">
        <v>73.820713249999997</v>
      </c>
      <c r="H416">
        <v>28</v>
      </c>
      <c r="I416">
        <v>-44</v>
      </c>
      <c r="J416">
        <v>1.18</v>
      </c>
      <c r="K416">
        <v>11.126470749999999</v>
      </c>
      <c r="L416">
        <v>2.2613397431715772</v>
      </c>
      <c r="M416">
        <v>1.9757813902388519</v>
      </c>
      <c r="N416">
        <v>-1.6125476515147019</v>
      </c>
      <c r="O416">
        <v>-1.3586796758587081</v>
      </c>
    </row>
    <row r="417" spans="1:15" x14ac:dyDescent="0.25">
      <c r="A417">
        <v>57.6718385</v>
      </c>
      <c r="B417">
        <v>41.78775675</v>
      </c>
      <c r="C417">
        <v>-68.425748749999997</v>
      </c>
      <c r="D417">
        <v>-71.067189999999997</v>
      </c>
      <c r="E417">
        <v>-8.5187557500000004</v>
      </c>
      <c r="F417">
        <v>0.77966100000000005</v>
      </c>
      <c r="G417">
        <v>74.580933000000002</v>
      </c>
      <c r="H417">
        <v>28</v>
      </c>
      <c r="I417">
        <v>-40</v>
      </c>
      <c r="J417">
        <v>1.18</v>
      </c>
      <c r="K417">
        <v>11.184225</v>
      </c>
      <c r="L417">
        <v>2.05948499002456</v>
      </c>
      <c r="M417">
        <v>1.8432045234320349</v>
      </c>
      <c r="N417">
        <v>-1.357225395301441</v>
      </c>
      <c r="O417">
        <v>-1.151866239598011</v>
      </c>
    </row>
    <row r="418" spans="1:15" x14ac:dyDescent="0.25">
      <c r="A418">
        <v>58.619492750000013</v>
      </c>
      <c r="B418">
        <v>48.568049250000001</v>
      </c>
      <c r="C418">
        <v>-59.806574750000003</v>
      </c>
      <c r="D418">
        <v>-61.53911875</v>
      </c>
      <c r="E418">
        <v>1.9670417499999999</v>
      </c>
      <c r="F418">
        <v>0.77966100000000005</v>
      </c>
      <c r="G418">
        <v>75.421167499999996</v>
      </c>
      <c r="H418">
        <v>28</v>
      </c>
      <c r="I418">
        <v>-36</v>
      </c>
      <c r="J418">
        <v>1.18</v>
      </c>
      <c r="K418">
        <v>11.24771075</v>
      </c>
      <c r="L418">
        <v>1.890587692862248</v>
      </c>
      <c r="M418">
        <v>1.757775944184415</v>
      </c>
      <c r="N418">
        <v>-1.172640728423531</v>
      </c>
      <c r="O418">
        <v>-0.98103946373781792</v>
      </c>
    </row>
    <row r="419" spans="1:15" x14ac:dyDescent="0.25">
      <c r="A419">
        <v>59.161015249999998</v>
      </c>
      <c r="B419">
        <v>55.059823000000002</v>
      </c>
      <c r="C419">
        <v>-48.401810500000003</v>
      </c>
      <c r="D419">
        <v>-49.8694135</v>
      </c>
      <c r="E419">
        <v>12.9197635</v>
      </c>
      <c r="F419">
        <v>0.77966100000000005</v>
      </c>
      <c r="G419">
        <v>76.465907999999999</v>
      </c>
      <c r="H419">
        <v>28</v>
      </c>
      <c r="I419">
        <v>-32</v>
      </c>
      <c r="J419">
        <v>1.18</v>
      </c>
      <c r="K419">
        <v>11.32615275</v>
      </c>
      <c r="L419">
        <v>1.733334689302336</v>
      </c>
      <c r="M419">
        <v>1.690863472949325</v>
      </c>
      <c r="N419">
        <v>-1.024023859018441</v>
      </c>
      <c r="O419">
        <v>-0.80432092231991226</v>
      </c>
    </row>
    <row r="420" spans="1:15" x14ac:dyDescent="0.25">
      <c r="A420">
        <v>57.897472999999998</v>
      </c>
      <c r="B420">
        <v>60.397502750000001</v>
      </c>
      <c r="C420">
        <v>-37.7061055</v>
      </c>
      <c r="D420">
        <v>-39.685737500000002</v>
      </c>
      <c r="E420">
        <v>21.681943499999999</v>
      </c>
      <c r="F420">
        <v>0.77966100000000005</v>
      </c>
      <c r="G420">
        <v>76.621501749999993</v>
      </c>
      <c r="H420">
        <v>28</v>
      </c>
      <c r="I420">
        <v>-28</v>
      </c>
      <c r="J420">
        <v>1.18</v>
      </c>
      <c r="K420">
        <v>11.33778925</v>
      </c>
      <c r="L420">
        <v>1.5834168156433359</v>
      </c>
      <c r="M420">
        <v>1.657622531676566</v>
      </c>
      <c r="N420">
        <v>-0.90993326541811947</v>
      </c>
      <c r="O420">
        <v>-0.65379942193614493</v>
      </c>
    </row>
    <row r="421" spans="1:15" x14ac:dyDescent="0.25">
      <c r="A421">
        <v>56.363163</v>
      </c>
      <c r="B421">
        <v>64.821523749999997</v>
      </c>
      <c r="C421">
        <v>-26.657608249999999</v>
      </c>
      <c r="D421">
        <v>-30.376197250000001</v>
      </c>
      <c r="E421">
        <v>29.773546499999998</v>
      </c>
      <c r="F421">
        <v>0.77966100000000005</v>
      </c>
      <c r="G421">
        <v>77.306194500000004</v>
      </c>
      <c r="H421">
        <v>28</v>
      </c>
      <c r="I421">
        <v>-24</v>
      </c>
      <c r="J421">
        <v>1.18</v>
      </c>
      <c r="K421">
        <v>11.388853750000001</v>
      </c>
      <c r="L421">
        <v>1.424263030301786</v>
      </c>
      <c r="M421">
        <v>1.6331604316391759</v>
      </c>
      <c r="N421">
        <v>-0.81545045223998414</v>
      </c>
      <c r="O421">
        <v>-0.50259529954070548</v>
      </c>
    </row>
    <row r="422" spans="1:15" x14ac:dyDescent="0.25">
      <c r="A422">
        <v>53.745820999999999</v>
      </c>
      <c r="B422">
        <v>68.9570255</v>
      </c>
      <c r="C422">
        <v>-16.509882000000001</v>
      </c>
      <c r="D422">
        <v>-24.869145499999998</v>
      </c>
      <c r="E422">
        <v>37.015756500000002</v>
      </c>
      <c r="F422">
        <v>0.77966100000000005</v>
      </c>
      <c r="G422">
        <v>78.101912999999996</v>
      </c>
      <c r="H422">
        <v>28</v>
      </c>
      <c r="I422">
        <v>-20</v>
      </c>
      <c r="J422">
        <v>1.1825000000000001</v>
      </c>
      <c r="K422">
        <v>11.4358605</v>
      </c>
      <c r="L422">
        <v>1.217493311926064</v>
      </c>
      <c r="M422">
        <v>1.6259613846413239</v>
      </c>
      <c r="N422">
        <v>-0.71200754056432802</v>
      </c>
      <c r="O422">
        <v>-0.37204911035983251</v>
      </c>
    </row>
    <row r="423" spans="1:15" x14ac:dyDescent="0.25">
      <c r="A423">
        <v>50.361323249999998</v>
      </c>
      <c r="B423">
        <v>72.130781249999998</v>
      </c>
      <c r="C423">
        <v>-7.0360674999999997</v>
      </c>
      <c r="D423">
        <v>-21.32889875</v>
      </c>
      <c r="E423">
        <v>42.648584499999998</v>
      </c>
      <c r="F423">
        <v>0.92584049999999996</v>
      </c>
      <c r="G423">
        <v>78.221950499999991</v>
      </c>
      <c r="H423">
        <v>28</v>
      </c>
      <c r="I423">
        <v>-16</v>
      </c>
      <c r="J423">
        <v>1.1875</v>
      </c>
      <c r="K423">
        <v>11.409829500000001</v>
      </c>
      <c r="L423">
        <v>1.009972640933273</v>
      </c>
      <c r="M423">
        <v>1.6445209405209531</v>
      </c>
      <c r="N423">
        <v>-0.62595668643882973</v>
      </c>
      <c r="O423">
        <v>-0.2658485882701882</v>
      </c>
    </row>
    <row r="424" spans="1:15" x14ac:dyDescent="0.25">
      <c r="A424">
        <v>45.307139999999997</v>
      </c>
      <c r="B424">
        <v>74.583225499999998</v>
      </c>
      <c r="C424">
        <v>0.36130574999999998</v>
      </c>
      <c r="D424">
        <v>-20.45476425</v>
      </c>
      <c r="E424">
        <v>46.180279749999997</v>
      </c>
      <c r="F424">
        <v>0.97456699999999996</v>
      </c>
      <c r="G424">
        <v>78.862132750000001</v>
      </c>
      <c r="H424">
        <v>28</v>
      </c>
      <c r="I424">
        <v>-12</v>
      </c>
      <c r="J424">
        <v>1.18</v>
      </c>
      <c r="K424">
        <v>11.489682</v>
      </c>
      <c r="L424">
        <v>0.79936247909136426</v>
      </c>
      <c r="M424">
        <v>1.6902599489731891</v>
      </c>
      <c r="N424">
        <v>-0.5812502025872347</v>
      </c>
      <c r="O424">
        <v>-0.1960123663400076</v>
      </c>
    </row>
    <row r="425" spans="1:15" x14ac:dyDescent="0.25">
      <c r="A425">
        <v>39.621185999999987</v>
      </c>
      <c r="B425">
        <v>75.977754750000003</v>
      </c>
      <c r="C425">
        <v>8.174353</v>
      </c>
      <c r="D425">
        <v>-19.012439749999999</v>
      </c>
      <c r="E425">
        <v>49.488449250000002</v>
      </c>
      <c r="F425">
        <v>0.97456699999999996</v>
      </c>
      <c r="G425">
        <v>79.342265749999996</v>
      </c>
      <c r="H425">
        <v>28</v>
      </c>
      <c r="I425">
        <v>-8</v>
      </c>
      <c r="J425">
        <v>1.18</v>
      </c>
      <c r="K425">
        <v>11.525041999999999</v>
      </c>
      <c r="L425">
        <v>0.57270880613150887</v>
      </c>
      <c r="M425">
        <v>1.7299964060538431</v>
      </c>
      <c r="N425">
        <v>-0.54370551286428681</v>
      </c>
      <c r="O425">
        <v>-0.11643326961386539</v>
      </c>
    </row>
    <row r="426" spans="1:15" x14ac:dyDescent="0.25">
      <c r="A426">
        <v>32.852189250000002</v>
      </c>
      <c r="B426">
        <v>77.276107999999994</v>
      </c>
      <c r="C426">
        <v>16.077725749999999</v>
      </c>
      <c r="D426">
        <v>-18.225718499999999</v>
      </c>
      <c r="E426">
        <v>51.321353000000002</v>
      </c>
      <c r="F426">
        <v>0.92584049999999996</v>
      </c>
      <c r="G426">
        <v>79.542320000000004</v>
      </c>
      <c r="H426">
        <v>28</v>
      </c>
      <c r="I426">
        <v>-4</v>
      </c>
      <c r="J426">
        <v>1.18</v>
      </c>
      <c r="K426">
        <v>11.54332</v>
      </c>
      <c r="L426">
        <v>0.32014501951222257</v>
      </c>
      <c r="M426">
        <v>1.822722582683336</v>
      </c>
      <c r="N426">
        <v>-0.53861857786378398</v>
      </c>
      <c r="O426">
        <v>-3.8169017889954672E-2</v>
      </c>
    </row>
    <row r="427" spans="1:15" x14ac:dyDescent="0.25">
      <c r="A427">
        <v>26.579589250000001</v>
      </c>
      <c r="B427">
        <v>77.708888999999999</v>
      </c>
      <c r="C427">
        <v>24.477879999999999</v>
      </c>
      <c r="D427">
        <v>-16.783396</v>
      </c>
      <c r="E427">
        <v>52.796617500000004</v>
      </c>
      <c r="F427">
        <v>0.97456699999999996</v>
      </c>
      <c r="G427">
        <v>80.102482000000009</v>
      </c>
      <c r="H427">
        <v>28</v>
      </c>
      <c r="I427">
        <v>0</v>
      </c>
      <c r="J427">
        <v>1.18</v>
      </c>
      <c r="K427">
        <v>11.5808065</v>
      </c>
      <c r="L427">
        <v>4.2936356398698958E-2</v>
      </c>
      <c r="M427">
        <v>1.930405121282504</v>
      </c>
      <c r="N427">
        <v>-0.55783650861081058</v>
      </c>
      <c r="O427">
        <v>5.8691545099002589E-2</v>
      </c>
    </row>
    <row r="428" spans="1:15" x14ac:dyDescent="0.25">
      <c r="A428">
        <v>17.960404749999999</v>
      </c>
      <c r="B428">
        <v>77.324194250000005</v>
      </c>
      <c r="C428">
        <v>31.703820499999999</v>
      </c>
      <c r="D428">
        <v>-17.176756000000001</v>
      </c>
      <c r="E428">
        <v>51.991927500000003</v>
      </c>
      <c r="F428">
        <v>0.77966100000000005</v>
      </c>
      <c r="G428">
        <v>80.022461000000007</v>
      </c>
      <c r="H428">
        <v>28</v>
      </c>
      <c r="I428">
        <v>4</v>
      </c>
      <c r="J428">
        <v>1.18</v>
      </c>
      <c r="K428">
        <v>11.589212</v>
      </c>
      <c r="L428">
        <v>-0.26633084116429689</v>
      </c>
      <c r="M428">
        <v>1.8314038574205509</v>
      </c>
      <c r="N428">
        <v>-0.54323090709704414</v>
      </c>
      <c r="O428">
        <v>-7.5130559016238288E-3</v>
      </c>
    </row>
    <row r="429" spans="1:15" x14ac:dyDescent="0.25">
      <c r="A429">
        <v>9.205838</v>
      </c>
      <c r="B429">
        <v>77.564630750000006</v>
      </c>
      <c r="C429">
        <v>37.936193500000002</v>
      </c>
      <c r="D429">
        <v>-18.925026500000001</v>
      </c>
      <c r="E429">
        <v>49.622562250000001</v>
      </c>
      <c r="F429">
        <v>0.97456699999999996</v>
      </c>
      <c r="G429">
        <v>80.342545000000001</v>
      </c>
      <c r="H429">
        <v>28</v>
      </c>
      <c r="I429">
        <v>8</v>
      </c>
      <c r="J429">
        <v>1.18</v>
      </c>
      <c r="K429">
        <v>11.598362</v>
      </c>
      <c r="L429">
        <v>-0.52733714054973813</v>
      </c>
      <c r="M429">
        <v>1.771044232814394</v>
      </c>
      <c r="N429">
        <v>-0.56386295748609139</v>
      </c>
      <c r="O429">
        <v>-0.10708610902460371</v>
      </c>
    </row>
    <row r="430" spans="1:15" x14ac:dyDescent="0.25">
      <c r="A430">
        <v>-0.58572599999999997</v>
      </c>
      <c r="B430">
        <v>76.795236750000001</v>
      </c>
      <c r="C430">
        <v>44.1234015</v>
      </c>
      <c r="D430">
        <v>-20.891831</v>
      </c>
      <c r="E430">
        <v>46.672033499999998</v>
      </c>
      <c r="F430">
        <v>0.97456699999999996</v>
      </c>
      <c r="G430">
        <v>80.982726999999997</v>
      </c>
      <c r="H430">
        <v>28</v>
      </c>
      <c r="I430">
        <v>12</v>
      </c>
      <c r="J430">
        <v>1.18</v>
      </c>
      <c r="K430">
        <v>11.64504125</v>
      </c>
      <c r="L430">
        <v>-0.77876411964082914</v>
      </c>
      <c r="M430">
        <v>1.701545162619879</v>
      </c>
      <c r="N430">
        <v>-0.59765383583808451</v>
      </c>
      <c r="O430">
        <v>-0.20402827405862331</v>
      </c>
    </row>
    <row r="431" spans="1:15" x14ac:dyDescent="0.25">
      <c r="A431">
        <v>-10.317780000000001</v>
      </c>
      <c r="B431">
        <v>74.53513749999999</v>
      </c>
      <c r="C431">
        <v>48.458967000000001</v>
      </c>
      <c r="D431">
        <v>-21.372605750000002</v>
      </c>
      <c r="E431">
        <v>41.93330375</v>
      </c>
      <c r="F431">
        <v>0.97456699999999996</v>
      </c>
      <c r="G431">
        <v>80.982726999999997</v>
      </c>
      <c r="H431">
        <v>28</v>
      </c>
      <c r="I431">
        <v>16</v>
      </c>
      <c r="J431">
        <v>1.18</v>
      </c>
      <c r="K431">
        <v>11.645039499999999</v>
      </c>
      <c r="L431">
        <v>-1.0172824602043691</v>
      </c>
      <c r="M431">
        <v>1.659925464167292</v>
      </c>
      <c r="N431">
        <v>-0.6758515344531264</v>
      </c>
      <c r="O431">
        <v>-0.29111058640141402</v>
      </c>
    </row>
    <row r="432" spans="1:15" x14ac:dyDescent="0.25">
      <c r="A432">
        <v>-21.536675249999998</v>
      </c>
      <c r="B432">
        <v>72.804002749999995</v>
      </c>
      <c r="C432">
        <v>53.020343999999987</v>
      </c>
      <c r="D432">
        <v>-26.04922925</v>
      </c>
      <c r="E432">
        <v>35.540491000000003</v>
      </c>
      <c r="F432">
        <v>0.82838750000000005</v>
      </c>
      <c r="G432">
        <v>81.462860000000006</v>
      </c>
      <c r="H432">
        <v>28</v>
      </c>
      <c r="I432">
        <v>20</v>
      </c>
      <c r="J432">
        <v>1.18</v>
      </c>
      <c r="K432">
        <v>11.690532749999999</v>
      </c>
      <c r="L432">
        <v>-1.2565653103425301</v>
      </c>
      <c r="M432">
        <v>1.6660656661474369</v>
      </c>
      <c r="N432">
        <v>-0.77397902944246977</v>
      </c>
      <c r="O432">
        <v>-0.41495973408860631</v>
      </c>
    </row>
    <row r="433" spans="1:15" x14ac:dyDescent="0.25">
      <c r="A433">
        <v>-32.530291499999997</v>
      </c>
      <c r="B433">
        <v>69.582159250000004</v>
      </c>
      <c r="C433">
        <v>56.317176750000002</v>
      </c>
      <c r="D433">
        <v>-34.528337749999999</v>
      </c>
      <c r="E433">
        <v>27.583002499999999</v>
      </c>
      <c r="F433">
        <v>0.82838750000000005</v>
      </c>
      <c r="G433">
        <v>82.023018000000008</v>
      </c>
      <c r="H433">
        <v>28</v>
      </c>
      <c r="I433">
        <v>24</v>
      </c>
      <c r="J433">
        <v>1.18</v>
      </c>
      <c r="K433">
        <v>11.731069249999999</v>
      </c>
      <c r="L433">
        <v>-1.4538352944054611</v>
      </c>
      <c r="M433">
        <v>1.703608653041436</v>
      </c>
      <c r="N433">
        <v>-0.89083993705473596</v>
      </c>
      <c r="O433">
        <v>-0.56219483495783495</v>
      </c>
    </row>
    <row r="434" spans="1:15" x14ac:dyDescent="0.25">
      <c r="A434">
        <v>-43.118403499999999</v>
      </c>
      <c r="B434">
        <v>65.206220500000001</v>
      </c>
      <c r="C434">
        <v>57.762363499999999</v>
      </c>
      <c r="D434">
        <v>-44.362361749999998</v>
      </c>
      <c r="E434">
        <v>18.329068249999999</v>
      </c>
      <c r="F434">
        <v>0.92584049999999996</v>
      </c>
      <c r="G434">
        <v>82.063030499999996</v>
      </c>
      <c r="H434">
        <v>28</v>
      </c>
      <c r="I434">
        <v>28</v>
      </c>
      <c r="J434">
        <v>1.18</v>
      </c>
      <c r="K434">
        <v>11.726917</v>
      </c>
      <c r="L434">
        <v>-1.6252868313736131</v>
      </c>
      <c r="M434">
        <v>1.7652617479327231</v>
      </c>
      <c r="N434">
        <v>-1.0268267725100979</v>
      </c>
      <c r="O434">
        <v>-0.71961789624780448</v>
      </c>
    </row>
    <row r="435" spans="1:15" x14ac:dyDescent="0.25">
      <c r="A435">
        <v>-55.103245749999999</v>
      </c>
      <c r="B435">
        <v>60.253239749999999</v>
      </c>
      <c r="C435">
        <v>59.252715999999999</v>
      </c>
      <c r="D435">
        <v>-57.168440750000002</v>
      </c>
      <c r="E435">
        <v>6.83988525</v>
      </c>
      <c r="F435">
        <v>0.92584049999999996</v>
      </c>
      <c r="G435">
        <v>82.623186250000003</v>
      </c>
      <c r="H435">
        <v>28</v>
      </c>
      <c r="I435">
        <v>32</v>
      </c>
      <c r="J435">
        <v>1.18</v>
      </c>
      <c r="K435">
        <v>11.76732925</v>
      </c>
      <c r="L435">
        <v>-1.8158789686350341</v>
      </c>
      <c r="M435">
        <v>1.8645506365908771</v>
      </c>
      <c r="N435">
        <v>-1.203377441686885</v>
      </c>
      <c r="O435">
        <v>-0.90608941178858726</v>
      </c>
    </row>
    <row r="436" spans="1:15" x14ac:dyDescent="0.25">
      <c r="A436">
        <v>-65.28586</v>
      </c>
      <c r="B436">
        <v>54.867472749999997</v>
      </c>
      <c r="C436">
        <v>59.614013749999998</v>
      </c>
      <c r="D436">
        <v>-68.269958500000001</v>
      </c>
      <c r="E436">
        <v>-4.5046827499999997</v>
      </c>
      <c r="F436">
        <v>0.97456699999999996</v>
      </c>
      <c r="G436">
        <v>82.903267</v>
      </c>
      <c r="H436">
        <v>28</v>
      </c>
      <c r="I436">
        <v>36</v>
      </c>
      <c r="J436">
        <v>1.18</v>
      </c>
      <c r="K436">
        <v>11.783981000000001</v>
      </c>
      <c r="L436">
        <v>-2.0056731142440438</v>
      </c>
      <c r="M436">
        <v>1.9773790037051111</v>
      </c>
      <c r="N436">
        <v>-1.403628869599975</v>
      </c>
      <c r="O436">
        <v>-1.0879861665739869</v>
      </c>
    </row>
    <row r="437" spans="1:15" x14ac:dyDescent="0.25">
      <c r="A437">
        <v>-75.738801999999993</v>
      </c>
      <c r="B437">
        <v>48.616137250000001</v>
      </c>
      <c r="C437">
        <v>59.072067250000003</v>
      </c>
      <c r="D437">
        <v>-80.245609250000001</v>
      </c>
      <c r="E437">
        <v>-18.197132249999999</v>
      </c>
      <c r="F437">
        <v>0.97456699999999996</v>
      </c>
      <c r="G437">
        <v>83.143329999999992</v>
      </c>
      <c r="H437">
        <v>28</v>
      </c>
      <c r="I437">
        <v>40</v>
      </c>
      <c r="J437">
        <v>1.18</v>
      </c>
      <c r="K437">
        <v>11.8012315</v>
      </c>
      <c r="L437">
        <v>-2.2546218907286328</v>
      </c>
      <c r="M437">
        <v>2.1550614679957998</v>
      </c>
      <c r="N437">
        <v>-1.694874856950878</v>
      </c>
      <c r="O437">
        <v>-1.320663469308397</v>
      </c>
    </row>
    <row r="438" spans="1:15" x14ac:dyDescent="0.25">
      <c r="A438">
        <v>-85.470857749999993</v>
      </c>
      <c r="B438">
        <v>41.6434955</v>
      </c>
      <c r="C438">
        <v>57.717204000000002</v>
      </c>
      <c r="D438">
        <v>-91.434541499999995</v>
      </c>
      <c r="E438">
        <v>-33.093802750000002</v>
      </c>
      <c r="F438">
        <v>0.97456699999999996</v>
      </c>
      <c r="G438">
        <v>83.623468250000002</v>
      </c>
      <c r="H438">
        <v>28</v>
      </c>
      <c r="I438">
        <v>44</v>
      </c>
      <c r="J438">
        <v>1.18</v>
      </c>
      <c r="K438">
        <v>11.83565475</v>
      </c>
      <c r="L438">
        <v>-2.5865949940890141</v>
      </c>
      <c r="M438">
        <v>2.4039813481048502</v>
      </c>
      <c r="N438">
        <v>-2.1084632180540979</v>
      </c>
      <c r="O438">
        <v>-1.6154555005731761</v>
      </c>
    </row>
    <row r="439" spans="1:15" x14ac:dyDescent="0.25">
      <c r="A439">
        <v>52.527400999999998</v>
      </c>
      <c r="B439">
        <v>40.826012749999997</v>
      </c>
      <c r="C439">
        <v>-86.930568749999992</v>
      </c>
      <c r="D439">
        <v>-92.264972499999999</v>
      </c>
      <c r="E439">
        <v>-27.295699500000001</v>
      </c>
      <c r="F439">
        <v>0.97456699999999996</v>
      </c>
      <c r="G439">
        <v>78.622064499999993</v>
      </c>
      <c r="H439">
        <v>32</v>
      </c>
      <c r="I439">
        <v>-44</v>
      </c>
      <c r="J439">
        <v>1.18</v>
      </c>
      <c r="K439">
        <v>11.4719585</v>
      </c>
      <c r="L439">
        <v>2.2384221022640789</v>
      </c>
      <c r="M439">
        <v>2.136232598593208</v>
      </c>
      <c r="N439">
        <v>-1.7000790317448851</v>
      </c>
      <c r="O439">
        <v>-1.4537638750108339</v>
      </c>
    </row>
    <row r="440" spans="1:15" x14ac:dyDescent="0.25">
      <c r="A440">
        <v>52.392020250000002</v>
      </c>
      <c r="B440">
        <v>46.307953750000003</v>
      </c>
      <c r="C440">
        <v>-76.865558499999992</v>
      </c>
      <c r="D440">
        <v>-80.333021250000002</v>
      </c>
      <c r="E440">
        <v>-15.788688499999999</v>
      </c>
      <c r="F440">
        <v>0.82838750000000005</v>
      </c>
      <c r="G440">
        <v>76.3814335</v>
      </c>
      <c r="H440">
        <v>32</v>
      </c>
      <c r="I440">
        <v>-40</v>
      </c>
      <c r="J440">
        <v>1.18</v>
      </c>
      <c r="K440">
        <v>11.316179500000001</v>
      </c>
      <c r="L440">
        <v>2.057897213428201</v>
      </c>
      <c r="M440">
        <v>2.0162427574376949</v>
      </c>
      <c r="N440">
        <v>-1.4674363485410851</v>
      </c>
      <c r="O440">
        <v>-1.2645625687231259</v>
      </c>
    </row>
    <row r="441" spans="1:15" x14ac:dyDescent="0.25">
      <c r="A441">
        <v>50.857716250000003</v>
      </c>
      <c r="B441">
        <v>49.962578749999999</v>
      </c>
      <c r="C441">
        <v>-65.687163999999996</v>
      </c>
      <c r="D441">
        <v>-67.701768749999999</v>
      </c>
      <c r="E441">
        <v>-5.9319082499999993</v>
      </c>
      <c r="F441">
        <v>0.73093425000000001</v>
      </c>
      <c r="G441">
        <v>73.540636250000006</v>
      </c>
      <c r="H441">
        <v>32</v>
      </c>
      <c r="I441">
        <v>-36</v>
      </c>
      <c r="J441">
        <v>1.18</v>
      </c>
      <c r="K441">
        <v>11.10882125</v>
      </c>
      <c r="L441">
        <v>1.918034998144557</v>
      </c>
      <c r="M441">
        <v>1.9364569623110559</v>
      </c>
      <c r="N441">
        <v>-1.307917135881612</v>
      </c>
      <c r="O441">
        <v>-1.10964478508635</v>
      </c>
    </row>
    <row r="442" spans="1:15" x14ac:dyDescent="0.25">
      <c r="A442">
        <v>49.503919750000001</v>
      </c>
      <c r="B442">
        <v>53.905730249999998</v>
      </c>
      <c r="C442">
        <v>-54.26600475</v>
      </c>
      <c r="D442">
        <v>-55.813533</v>
      </c>
      <c r="E442">
        <v>3.1293709999999999</v>
      </c>
      <c r="F442">
        <v>0.77966100000000005</v>
      </c>
      <c r="G442">
        <v>71.940189000000004</v>
      </c>
      <c r="H442">
        <v>32</v>
      </c>
      <c r="I442">
        <v>-32</v>
      </c>
      <c r="J442">
        <v>1.18</v>
      </c>
      <c r="K442">
        <v>10.982305</v>
      </c>
      <c r="L442">
        <v>1.7839402348117659</v>
      </c>
      <c r="M442">
        <v>1.886224504397344</v>
      </c>
      <c r="N442">
        <v>-1.182956581916941</v>
      </c>
      <c r="O442">
        <v>-0.95961126482938464</v>
      </c>
    </row>
    <row r="443" spans="1:15" x14ac:dyDescent="0.25">
      <c r="A443">
        <v>49.684426500000001</v>
      </c>
      <c r="B443">
        <v>59.916628000000003</v>
      </c>
      <c r="C443">
        <v>-45.015779500000001</v>
      </c>
      <c r="D443">
        <v>-47.115885749999997</v>
      </c>
      <c r="E443">
        <v>11.533910000000001</v>
      </c>
      <c r="F443">
        <v>0.77966100000000005</v>
      </c>
      <c r="G443">
        <v>73.660669499999997</v>
      </c>
      <c r="H443">
        <v>32</v>
      </c>
      <c r="I443">
        <v>-28</v>
      </c>
      <c r="J443">
        <v>1.18</v>
      </c>
      <c r="K443">
        <v>11.11427475</v>
      </c>
      <c r="L443">
        <v>1.6441052509423011</v>
      </c>
      <c r="M443">
        <v>1.8582056400449081</v>
      </c>
      <c r="N443">
        <v>-1.0785896004992941</v>
      </c>
      <c r="O443">
        <v>-0.8132860719382502</v>
      </c>
    </row>
    <row r="444" spans="1:15" x14ac:dyDescent="0.25">
      <c r="A444">
        <v>47.96961125</v>
      </c>
      <c r="B444">
        <v>64.581086999999997</v>
      </c>
      <c r="C444">
        <v>-34.691042000000003</v>
      </c>
      <c r="D444">
        <v>-39.2049655</v>
      </c>
      <c r="E444">
        <v>19.089053</v>
      </c>
      <c r="F444">
        <v>0.77966100000000005</v>
      </c>
      <c r="G444">
        <v>74.540920499999999</v>
      </c>
      <c r="H444">
        <v>32</v>
      </c>
      <c r="I444">
        <v>-24</v>
      </c>
      <c r="J444">
        <v>1.18</v>
      </c>
      <c r="K444">
        <v>11.181191500000001</v>
      </c>
      <c r="L444">
        <v>1.475107649537702</v>
      </c>
      <c r="M444">
        <v>1.8520938900234281</v>
      </c>
      <c r="N444">
        <v>-0.98955661253850946</v>
      </c>
      <c r="O444">
        <v>-0.67325635454803345</v>
      </c>
    </row>
    <row r="445" spans="1:15" x14ac:dyDescent="0.25">
      <c r="A445">
        <v>45.938915000000001</v>
      </c>
      <c r="B445">
        <v>68.379974500000003</v>
      </c>
      <c r="C445">
        <v>-25.531673999999999</v>
      </c>
      <c r="D445">
        <v>-34.572045500000002</v>
      </c>
      <c r="E445">
        <v>25.794801750000001</v>
      </c>
      <c r="F445">
        <v>0.82838750000000005</v>
      </c>
      <c r="G445">
        <v>75.341144499999999</v>
      </c>
      <c r="H445">
        <v>32</v>
      </c>
      <c r="I445">
        <v>-20</v>
      </c>
      <c r="J445">
        <v>1.18</v>
      </c>
      <c r="K445">
        <v>11.238005250000001</v>
      </c>
      <c r="L445">
        <v>1.279757756928156</v>
      </c>
      <c r="M445">
        <v>1.843469042012547</v>
      </c>
      <c r="N445">
        <v>-0.88717979158003168</v>
      </c>
      <c r="O445">
        <v>-0.55293738324417685</v>
      </c>
    </row>
    <row r="446" spans="1:15" x14ac:dyDescent="0.25">
      <c r="A446">
        <v>42.283657000000012</v>
      </c>
      <c r="B446">
        <v>71.890342750000002</v>
      </c>
      <c r="C446">
        <v>-17.36581125</v>
      </c>
      <c r="D446">
        <v>-33.042309750000001</v>
      </c>
      <c r="E446">
        <v>30.57823625</v>
      </c>
      <c r="F446">
        <v>0.82838750000000005</v>
      </c>
      <c r="G446">
        <v>76.261402000000004</v>
      </c>
      <c r="H446">
        <v>32</v>
      </c>
      <c r="I446">
        <v>-16</v>
      </c>
      <c r="J446">
        <v>1.18</v>
      </c>
      <c r="K446">
        <v>11.307185499999999</v>
      </c>
      <c r="L446">
        <v>1.0693210449912249</v>
      </c>
      <c r="M446">
        <v>1.881106897320675</v>
      </c>
      <c r="N446">
        <v>-0.8189490593694202</v>
      </c>
      <c r="O446">
        <v>-0.46667325715805758</v>
      </c>
    </row>
    <row r="447" spans="1:15" x14ac:dyDescent="0.25">
      <c r="A447">
        <v>37.635614500000003</v>
      </c>
      <c r="B447">
        <v>74.054266249999998</v>
      </c>
      <c r="C447">
        <v>-8.2549229999999998</v>
      </c>
      <c r="D447">
        <v>-30.944385499999999</v>
      </c>
      <c r="E447">
        <v>34.914620499999998</v>
      </c>
      <c r="F447">
        <v>0.87711399999999995</v>
      </c>
      <c r="G447">
        <v>76.661513999999997</v>
      </c>
      <c r="H447">
        <v>32</v>
      </c>
      <c r="I447">
        <v>-12</v>
      </c>
      <c r="J447">
        <v>1.18</v>
      </c>
      <c r="K447">
        <v>11.333494</v>
      </c>
      <c r="L447">
        <v>0.84182845623423885</v>
      </c>
      <c r="M447">
        <v>1.9260941067554589</v>
      </c>
      <c r="N447">
        <v>-0.76581955910500821</v>
      </c>
      <c r="O447">
        <v>-0.3756254199957631</v>
      </c>
    </row>
    <row r="448" spans="1:15" x14ac:dyDescent="0.25">
      <c r="A448">
        <v>32.626557249999998</v>
      </c>
      <c r="B448">
        <v>75.689232000000004</v>
      </c>
      <c r="C448">
        <v>-9.0059749999999994E-2</v>
      </c>
      <c r="D448">
        <v>-29.458355749999999</v>
      </c>
      <c r="E448">
        <v>38.222790750000001</v>
      </c>
      <c r="F448">
        <v>0.82838750000000005</v>
      </c>
      <c r="G448">
        <v>77.341707499999998</v>
      </c>
      <c r="H448">
        <v>32</v>
      </c>
      <c r="I448">
        <v>-8</v>
      </c>
      <c r="J448">
        <v>1.18</v>
      </c>
      <c r="K448">
        <v>11.387866499999999</v>
      </c>
      <c r="L448">
        <v>0.61732364178913135</v>
      </c>
      <c r="M448">
        <v>1.9840262502207959</v>
      </c>
      <c r="N448">
        <v>-0.73813093975701727</v>
      </c>
      <c r="O448">
        <v>-0.29440203714026408</v>
      </c>
    </row>
    <row r="449" spans="1:15" x14ac:dyDescent="0.25">
      <c r="A449">
        <v>25.902690249999999</v>
      </c>
      <c r="B449">
        <v>76.410538000000003</v>
      </c>
      <c r="C449">
        <v>6.9098137499999996</v>
      </c>
      <c r="D449">
        <v>-29.50206275</v>
      </c>
      <c r="E449">
        <v>38.938069499999997</v>
      </c>
      <c r="F449">
        <v>0.82838750000000005</v>
      </c>
      <c r="G449">
        <v>78.261962999999994</v>
      </c>
      <c r="H449">
        <v>32</v>
      </c>
      <c r="I449">
        <v>-4</v>
      </c>
      <c r="J449">
        <v>1.18</v>
      </c>
      <c r="K449">
        <v>11.4561475</v>
      </c>
      <c r="L449">
        <v>0.37804600173518549</v>
      </c>
      <c r="M449">
        <v>2.1085316424774012</v>
      </c>
      <c r="N449">
        <v>-0.78297277613029048</v>
      </c>
      <c r="O449">
        <v>-0.24140826733499349</v>
      </c>
    </row>
    <row r="450" spans="1:15" x14ac:dyDescent="0.25">
      <c r="A450">
        <v>18.772682499999998</v>
      </c>
      <c r="B450">
        <v>76.939497250000002</v>
      </c>
      <c r="C450">
        <v>15.4002935</v>
      </c>
      <c r="D450">
        <v>-28.715340250000001</v>
      </c>
      <c r="E450">
        <v>39.96628475</v>
      </c>
      <c r="F450">
        <v>0.87711399999999995</v>
      </c>
      <c r="G450">
        <v>78.301975249999998</v>
      </c>
      <c r="H450">
        <v>32</v>
      </c>
      <c r="I450">
        <v>0</v>
      </c>
      <c r="J450">
        <v>1.18</v>
      </c>
      <c r="K450">
        <v>11.455499250000001</v>
      </c>
      <c r="L450">
        <v>7.2332257197861793E-2</v>
      </c>
      <c r="M450">
        <v>2.266113984468225</v>
      </c>
      <c r="N450">
        <v>-0.82223486373137633</v>
      </c>
      <c r="O450">
        <v>-0.16160546995273639</v>
      </c>
    </row>
    <row r="451" spans="1:15" x14ac:dyDescent="0.25">
      <c r="A451">
        <v>9.3863447499999992</v>
      </c>
      <c r="B451">
        <v>77.324194250000005</v>
      </c>
      <c r="C451">
        <v>23.123016249999999</v>
      </c>
      <c r="D451">
        <v>-29.851716499999998</v>
      </c>
      <c r="E451">
        <v>38.848659499999997</v>
      </c>
      <c r="F451">
        <v>0.87711399999999995</v>
      </c>
      <c r="G451">
        <v>78.942155499999998</v>
      </c>
      <c r="H451">
        <v>32</v>
      </c>
      <c r="I451">
        <v>4</v>
      </c>
      <c r="J451">
        <v>1.18</v>
      </c>
      <c r="K451">
        <v>11.5027645</v>
      </c>
      <c r="L451">
        <v>-0.27981765111143891</v>
      </c>
      <c r="M451">
        <v>2.1836783664518782</v>
      </c>
      <c r="N451">
        <v>-0.8169008250993901</v>
      </c>
      <c r="O451">
        <v>-0.226339071422026</v>
      </c>
    </row>
    <row r="452" spans="1:15" x14ac:dyDescent="0.25">
      <c r="A452">
        <v>1.1281717499999999</v>
      </c>
      <c r="B452">
        <v>77.612717000000004</v>
      </c>
      <c r="C452">
        <v>30.529605249999999</v>
      </c>
      <c r="D452">
        <v>-30.288784</v>
      </c>
      <c r="E452">
        <v>38.580430749999998</v>
      </c>
      <c r="F452">
        <v>0.92584049999999996</v>
      </c>
      <c r="G452">
        <v>79.462299000000002</v>
      </c>
      <c r="H452">
        <v>32</v>
      </c>
      <c r="I452">
        <v>8</v>
      </c>
      <c r="J452">
        <v>1.18</v>
      </c>
      <c r="K452">
        <v>11.537440500000001</v>
      </c>
      <c r="L452">
        <v>-0.55306436270676052</v>
      </c>
      <c r="M452">
        <v>2.0297176896299538</v>
      </c>
      <c r="N452">
        <v>-0.76901976787980997</v>
      </c>
      <c r="O452">
        <v>-0.29168082070275803</v>
      </c>
    </row>
    <row r="453" spans="1:15" x14ac:dyDescent="0.25">
      <c r="A453">
        <v>-8.9210497499999999</v>
      </c>
      <c r="B453">
        <v>76.939495499999992</v>
      </c>
      <c r="C453">
        <v>36.897464749999997</v>
      </c>
      <c r="D453">
        <v>-31.818520500000002</v>
      </c>
      <c r="E453">
        <v>35.451081250000001</v>
      </c>
      <c r="F453">
        <v>0.92584049999999996</v>
      </c>
      <c r="G453">
        <v>79.742380249999997</v>
      </c>
      <c r="H453">
        <v>32</v>
      </c>
      <c r="I453">
        <v>12</v>
      </c>
      <c r="J453">
        <v>1.18</v>
      </c>
      <c r="K453">
        <v>11.557998</v>
      </c>
      <c r="L453">
        <v>-0.82082562785449731</v>
      </c>
      <c r="M453">
        <v>1.9483487764955589</v>
      </c>
      <c r="N453">
        <v>-0.79347289851694602</v>
      </c>
      <c r="O453">
        <v>-0.38149092162279341</v>
      </c>
    </row>
    <row r="454" spans="1:15" x14ac:dyDescent="0.25">
      <c r="A454">
        <v>-19.103661500000001</v>
      </c>
      <c r="B454">
        <v>74.679399500000002</v>
      </c>
      <c r="C454">
        <v>39.652353249999997</v>
      </c>
      <c r="D454">
        <v>-33.741618000000003</v>
      </c>
      <c r="E454">
        <v>29.77354725</v>
      </c>
      <c r="F454">
        <v>0.77966100000000005</v>
      </c>
      <c r="G454">
        <v>80.462575749999999</v>
      </c>
      <c r="H454">
        <v>32</v>
      </c>
      <c r="I454">
        <v>16</v>
      </c>
      <c r="J454">
        <v>1.18</v>
      </c>
      <c r="K454">
        <v>11.621349500000001</v>
      </c>
      <c r="L454">
        <v>-1.045510031377388</v>
      </c>
      <c r="M454">
        <v>1.9294109141973961</v>
      </c>
      <c r="N454">
        <v>-0.90211092746304922</v>
      </c>
      <c r="O454">
        <v>-0.48409756636559492</v>
      </c>
    </row>
    <row r="455" spans="1:15" x14ac:dyDescent="0.25">
      <c r="A455">
        <v>-30.007165000000001</v>
      </c>
      <c r="B455">
        <v>73.525308749999994</v>
      </c>
      <c r="C455">
        <v>45.297619750000003</v>
      </c>
      <c r="D455">
        <v>-36.757384250000001</v>
      </c>
      <c r="E455">
        <v>24.766587749999999</v>
      </c>
      <c r="F455">
        <v>0.82838750000000005</v>
      </c>
      <c r="G455">
        <v>80.662636000000006</v>
      </c>
      <c r="H455">
        <v>32</v>
      </c>
      <c r="I455">
        <v>20</v>
      </c>
      <c r="J455">
        <v>1.18</v>
      </c>
      <c r="K455">
        <v>11.63237925</v>
      </c>
      <c r="L455">
        <v>-1.295048820344139</v>
      </c>
      <c r="M455">
        <v>1.896553941317241</v>
      </c>
      <c r="N455">
        <v>-0.96127006391505831</v>
      </c>
      <c r="O455">
        <v>-0.58832822420308906</v>
      </c>
    </row>
    <row r="456" spans="1:15" x14ac:dyDescent="0.25">
      <c r="A456">
        <v>-41.45133775</v>
      </c>
      <c r="B456">
        <v>70.5438975</v>
      </c>
      <c r="C456">
        <v>48.549291500000002</v>
      </c>
      <c r="D456">
        <v>-44.580896500000001</v>
      </c>
      <c r="E456">
        <v>17.569083750000001</v>
      </c>
      <c r="F456">
        <v>0.92584049999999996</v>
      </c>
      <c r="G456">
        <v>81.102763749999994</v>
      </c>
      <c r="H456">
        <v>32</v>
      </c>
      <c r="I456">
        <v>24</v>
      </c>
      <c r="J456">
        <v>1.18</v>
      </c>
      <c r="K456">
        <v>11.65731575</v>
      </c>
      <c r="L456">
        <v>-1.485519809907387</v>
      </c>
      <c r="M456">
        <v>1.900225480576758</v>
      </c>
      <c r="N456">
        <v>-1.048679877326792</v>
      </c>
      <c r="O456">
        <v>-0.72529465753911371</v>
      </c>
    </row>
    <row r="457" spans="1:15" x14ac:dyDescent="0.25">
      <c r="A457">
        <v>-52.039454499999998</v>
      </c>
      <c r="B457">
        <v>66.745012250000002</v>
      </c>
      <c r="C457">
        <v>49.949318750000003</v>
      </c>
      <c r="D457">
        <v>-53.671897749999999</v>
      </c>
      <c r="E457">
        <v>8.94102</v>
      </c>
      <c r="F457">
        <v>0.97456699999999996</v>
      </c>
      <c r="G457">
        <v>81.822961499999991</v>
      </c>
      <c r="H457">
        <v>32</v>
      </c>
      <c r="I457">
        <v>28</v>
      </c>
      <c r="J457">
        <v>1.18</v>
      </c>
      <c r="K457">
        <v>11.70603075</v>
      </c>
      <c r="L457">
        <v>-1.6503977485930299</v>
      </c>
      <c r="M457">
        <v>1.9485989939960151</v>
      </c>
      <c r="N457">
        <v>-1.179396734932908</v>
      </c>
      <c r="O457">
        <v>-0.87109061475460103</v>
      </c>
    </row>
    <row r="458" spans="1:15" x14ac:dyDescent="0.25">
      <c r="A458">
        <v>-63.258344749999999</v>
      </c>
      <c r="B458">
        <v>62.176727249999999</v>
      </c>
      <c r="C458">
        <v>51.439667749999998</v>
      </c>
      <c r="D458">
        <v>-64.3800545</v>
      </c>
      <c r="E458">
        <v>-1.3380255000000001</v>
      </c>
      <c r="F458">
        <v>0.97456699999999996</v>
      </c>
      <c r="G458">
        <v>81.942993000000001</v>
      </c>
      <c r="H458">
        <v>32</v>
      </c>
      <c r="I458">
        <v>32</v>
      </c>
      <c r="J458">
        <v>1.18</v>
      </c>
      <c r="K458">
        <v>11.714718</v>
      </c>
      <c r="L458">
        <v>-1.8357278802373931</v>
      </c>
      <c r="M458">
        <v>2.0255375417008721</v>
      </c>
      <c r="N458">
        <v>-1.332915290403951</v>
      </c>
      <c r="O458">
        <v>-1.0370216514609101</v>
      </c>
    </row>
    <row r="459" spans="1:15" x14ac:dyDescent="0.25">
      <c r="A459">
        <v>-73.846462250000002</v>
      </c>
      <c r="B459">
        <v>56.935226249999999</v>
      </c>
      <c r="C459">
        <v>51.168694500000001</v>
      </c>
      <c r="D459">
        <v>-74.825971750000008</v>
      </c>
      <c r="E459">
        <v>-12.75583325</v>
      </c>
      <c r="F459">
        <v>0.92584049999999996</v>
      </c>
      <c r="G459">
        <v>82.383123500000011</v>
      </c>
      <c r="H459">
        <v>32</v>
      </c>
      <c r="I459">
        <v>36</v>
      </c>
      <c r="J459">
        <v>1.18</v>
      </c>
      <c r="K459">
        <v>11.750026</v>
      </c>
      <c r="L459">
        <v>-2.030202348009194</v>
      </c>
      <c r="M459">
        <v>2.1398059573991581</v>
      </c>
      <c r="N459">
        <v>-1.5451308534148249</v>
      </c>
      <c r="O459">
        <v>-1.222242396939152</v>
      </c>
    </row>
    <row r="460" spans="1:15" x14ac:dyDescent="0.25">
      <c r="A460">
        <v>-84.164241750000002</v>
      </c>
      <c r="B460">
        <v>51.453283499999998</v>
      </c>
      <c r="C460">
        <v>51.304180000000002</v>
      </c>
      <c r="D460">
        <v>-85.840076500000009</v>
      </c>
      <c r="E460">
        <v>-25.154859999999999</v>
      </c>
      <c r="F460">
        <v>0.87711399999999995</v>
      </c>
      <c r="G460">
        <v>83.063309000000004</v>
      </c>
      <c r="H460">
        <v>32</v>
      </c>
      <c r="I460">
        <v>40</v>
      </c>
      <c r="J460">
        <v>1.18</v>
      </c>
      <c r="K460">
        <v>11.802483000000001</v>
      </c>
      <c r="L460">
        <v>-2.2635798650246182</v>
      </c>
      <c r="M460">
        <v>2.2940616766645121</v>
      </c>
      <c r="N460">
        <v>-1.8082640576096449</v>
      </c>
      <c r="O460">
        <v>-1.434983842429072</v>
      </c>
    </row>
    <row r="461" spans="1:15" x14ac:dyDescent="0.25">
      <c r="A461">
        <v>-90.922613249999998</v>
      </c>
      <c r="B461">
        <v>44.769162250000001</v>
      </c>
      <c r="C461">
        <v>49.407373499999999</v>
      </c>
      <c r="D461">
        <v>-94.494014500000006</v>
      </c>
      <c r="E461">
        <v>-37.955292749999998</v>
      </c>
      <c r="F461">
        <v>0.77966100000000005</v>
      </c>
      <c r="G461">
        <v>82.983288000000002</v>
      </c>
      <c r="H461">
        <v>32</v>
      </c>
      <c r="I461">
        <v>44</v>
      </c>
      <c r="J461">
        <v>1.18</v>
      </c>
      <c r="K461">
        <v>11.803734499999999</v>
      </c>
      <c r="L461">
        <v>-2.5630040763690878</v>
      </c>
      <c r="M461">
        <v>2.543543891718135</v>
      </c>
      <c r="N461">
        <v>-2.208907297475621</v>
      </c>
      <c r="O461">
        <v>-1.7074906689724501</v>
      </c>
    </row>
    <row r="462" spans="1:15" x14ac:dyDescent="0.25">
      <c r="A462">
        <v>48.375750500000002</v>
      </c>
      <c r="B462">
        <v>45.778993499999999</v>
      </c>
      <c r="C462">
        <v>-99.007539750000007</v>
      </c>
      <c r="D462">
        <v>-102.53606225</v>
      </c>
      <c r="E462">
        <v>-37.286280499999997</v>
      </c>
      <c r="F462">
        <v>0.97456699999999996</v>
      </c>
      <c r="G462">
        <v>83.783512000000002</v>
      </c>
      <c r="H462">
        <v>36</v>
      </c>
      <c r="I462">
        <v>-44</v>
      </c>
      <c r="J462">
        <v>1.18</v>
      </c>
      <c r="K462">
        <v>11.847113999999999</v>
      </c>
      <c r="L462">
        <v>2.3215959623668878</v>
      </c>
      <c r="M462">
        <v>2.3362874488509582</v>
      </c>
      <c r="N462">
        <v>-1.9071671975442619</v>
      </c>
      <c r="O462">
        <v>-1.6027455395717429</v>
      </c>
    </row>
    <row r="463" spans="1:15" x14ac:dyDescent="0.25">
      <c r="A463">
        <v>47.518343999999999</v>
      </c>
      <c r="B463">
        <v>49.914491499999997</v>
      </c>
      <c r="C463">
        <v>-88.407651749999999</v>
      </c>
      <c r="D463">
        <v>-89.86109725</v>
      </c>
      <c r="E463">
        <v>-25.913072499999998</v>
      </c>
      <c r="F463">
        <v>0.82838750000000005</v>
      </c>
      <c r="G463">
        <v>79.982446499999995</v>
      </c>
      <c r="H463">
        <v>36</v>
      </c>
      <c r="I463">
        <v>-40</v>
      </c>
      <c r="J463">
        <v>1.18</v>
      </c>
      <c r="K463">
        <v>11.5827125</v>
      </c>
      <c r="L463">
        <v>2.1500638546495079</v>
      </c>
      <c r="M463">
        <v>2.2109636551318248</v>
      </c>
      <c r="N463">
        <v>-1.6750986713965661</v>
      </c>
      <c r="O463">
        <v>-1.4230404464088111</v>
      </c>
    </row>
    <row r="464" spans="1:15" x14ac:dyDescent="0.25">
      <c r="A464">
        <v>46.390179750000001</v>
      </c>
      <c r="B464">
        <v>54.434688749999999</v>
      </c>
      <c r="C464">
        <v>-77.537154999999998</v>
      </c>
      <c r="D464">
        <v>-77.623203250000003</v>
      </c>
      <c r="E464">
        <v>-15.699486</v>
      </c>
      <c r="F464">
        <v>0.82838750000000005</v>
      </c>
      <c r="G464">
        <v>77.541759499999998</v>
      </c>
      <c r="H464">
        <v>36</v>
      </c>
      <c r="I464">
        <v>-36</v>
      </c>
      <c r="J464">
        <v>1.18</v>
      </c>
      <c r="K464">
        <v>11.40274325</v>
      </c>
      <c r="L464">
        <v>2.002676246284627</v>
      </c>
      <c r="M464">
        <v>2.134067755512993</v>
      </c>
      <c r="N464">
        <v>-1.506787756404923</v>
      </c>
      <c r="O464">
        <v>-1.267087376533637</v>
      </c>
    </row>
    <row r="465" spans="1:15" x14ac:dyDescent="0.25">
      <c r="A465">
        <v>44.765621250000002</v>
      </c>
      <c r="B465">
        <v>58.522101499999998</v>
      </c>
      <c r="C465">
        <v>-66.436716000000004</v>
      </c>
      <c r="D465">
        <v>-66.696517999999998</v>
      </c>
      <c r="E465">
        <v>-7.0023282499999997</v>
      </c>
      <c r="F465">
        <v>0.77966100000000005</v>
      </c>
      <c r="G465">
        <v>75.701242750000006</v>
      </c>
      <c r="H465">
        <v>36</v>
      </c>
      <c r="I465">
        <v>-32</v>
      </c>
      <c r="J465">
        <v>1.18</v>
      </c>
      <c r="K465">
        <v>11.268791</v>
      </c>
      <c r="L465">
        <v>1.866941065266071</v>
      </c>
      <c r="M465">
        <v>2.1022539518380641</v>
      </c>
      <c r="N465">
        <v>-1.3884939585016021</v>
      </c>
      <c r="O465">
        <v>-1.1306613104563961</v>
      </c>
    </row>
    <row r="466" spans="1:15" x14ac:dyDescent="0.25">
      <c r="A466">
        <v>41.697012999999998</v>
      </c>
      <c r="B466">
        <v>60.205154499999999</v>
      </c>
      <c r="C466">
        <v>-53.634468499999997</v>
      </c>
      <c r="D466">
        <v>-55.157929000000003</v>
      </c>
      <c r="E466">
        <v>0.80471124999999999</v>
      </c>
      <c r="F466">
        <v>0.68220750000000008</v>
      </c>
      <c r="G466">
        <v>72.380312000000004</v>
      </c>
      <c r="H466">
        <v>36</v>
      </c>
      <c r="I466">
        <v>-28</v>
      </c>
      <c r="J466">
        <v>1.18</v>
      </c>
      <c r="K466">
        <v>11.023706000000001</v>
      </c>
      <c r="L466">
        <v>1.727012178650541</v>
      </c>
      <c r="M466">
        <v>2.0898978320560189</v>
      </c>
      <c r="N466">
        <v>-1.2966644860378791</v>
      </c>
      <c r="O466">
        <v>-0.9977954626489387</v>
      </c>
    </row>
    <row r="467" spans="1:15" x14ac:dyDescent="0.25">
      <c r="A467">
        <v>40.072450500000002</v>
      </c>
      <c r="B467">
        <v>64.100217999999998</v>
      </c>
      <c r="C467">
        <v>-44.296976999999998</v>
      </c>
      <c r="D467">
        <v>-48.645622250000002</v>
      </c>
      <c r="E467">
        <v>7.5551652499999999</v>
      </c>
      <c r="F467">
        <v>0.73093425000000001</v>
      </c>
      <c r="G467">
        <v>72.900459500000011</v>
      </c>
      <c r="H467">
        <v>36</v>
      </c>
      <c r="I467">
        <v>-24</v>
      </c>
      <c r="J467">
        <v>1.18</v>
      </c>
      <c r="K467">
        <v>11.059887249999999</v>
      </c>
      <c r="L467">
        <v>1.561617721424563</v>
      </c>
      <c r="M467">
        <v>2.0868532057600859</v>
      </c>
      <c r="N467">
        <v>-1.2094991913597439</v>
      </c>
      <c r="O467">
        <v>-0.8736753133959636</v>
      </c>
    </row>
    <row r="468" spans="1:15" x14ac:dyDescent="0.25">
      <c r="A468">
        <v>38.267387249999999</v>
      </c>
      <c r="B468">
        <v>68.187625999999995</v>
      </c>
      <c r="C468">
        <v>-35.002180750000001</v>
      </c>
      <c r="D468">
        <v>-44.318655999999997</v>
      </c>
      <c r="E468">
        <v>14.126799500000001</v>
      </c>
      <c r="F468">
        <v>0.77966100000000005</v>
      </c>
      <c r="G468">
        <v>73.940749999999994</v>
      </c>
      <c r="H468">
        <v>36</v>
      </c>
      <c r="I468">
        <v>-20</v>
      </c>
      <c r="J468">
        <v>1.18</v>
      </c>
      <c r="K468">
        <v>11.135611000000001</v>
      </c>
      <c r="L468">
        <v>1.362208882159663</v>
      </c>
      <c r="M468">
        <v>2.0916908478034939</v>
      </c>
      <c r="N468">
        <v>-1.112044565171908</v>
      </c>
      <c r="O468">
        <v>-0.75184728115739519</v>
      </c>
    </row>
    <row r="469" spans="1:15" x14ac:dyDescent="0.25">
      <c r="A469">
        <v>34.070611</v>
      </c>
      <c r="B469">
        <v>71.072856999999999</v>
      </c>
      <c r="C469">
        <v>-26.661091500000001</v>
      </c>
      <c r="D469">
        <v>-42.832624249999988</v>
      </c>
      <c r="E469">
        <v>17.837313999999999</v>
      </c>
      <c r="F469">
        <v>0.73093425000000001</v>
      </c>
      <c r="G469">
        <v>74.540920499999999</v>
      </c>
      <c r="H469">
        <v>36</v>
      </c>
      <c r="I469">
        <v>-16</v>
      </c>
      <c r="J469">
        <v>1.18</v>
      </c>
      <c r="K469">
        <v>11.18488125</v>
      </c>
      <c r="L469">
        <v>1.1549440954913011</v>
      </c>
      <c r="M469">
        <v>2.1661573447239642</v>
      </c>
      <c r="N469">
        <v>-1.0783405035749609</v>
      </c>
      <c r="O469">
        <v>-0.67468563807838766</v>
      </c>
    </row>
    <row r="470" spans="1:15" x14ac:dyDescent="0.25">
      <c r="A470">
        <v>30.054340499999999</v>
      </c>
      <c r="B470">
        <v>73.236785999999995</v>
      </c>
      <c r="C470">
        <v>-17.727839750000001</v>
      </c>
      <c r="D470">
        <v>-41.5651285</v>
      </c>
      <c r="E470">
        <v>22.218403250000001</v>
      </c>
      <c r="F470">
        <v>0.77966100000000005</v>
      </c>
      <c r="G470">
        <v>75.421167499999996</v>
      </c>
      <c r="H470">
        <v>36</v>
      </c>
      <c r="I470">
        <v>-12</v>
      </c>
      <c r="J470">
        <v>1.18</v>
      </c>
      <c r="K470">
        <v>11.24771075</v>
      </c>
      <c r="L470">
        <v>0.92127598731329141</v>
      </c>
      <c r="M470">
        <v>2.2135190291499698</v>
      </c>
      <c r="N470">
        <v>-1.0258223326356981</v>
      </c>
      <c r="O470">
        <v>-0.58664582383220076</v>
      </c>
    </row>
    <row r="471" spans="1:15" x14ac:dyDescent="0.25">
      <c r="A471">
        <v>24.548891000000001</v>
      </c>
      <c r="B471">
        <v>74.823660000000004</v>
      </c>
      <c r="C471">
        <v>-9.2027835000000007</v>
      </c>
      <c r="D471">
        <v>-40.865819999999999</v>
      </c>
      <c r="E471">
        <v>24.587766999999999</v>
      </c>
      <c r="F471">
        <v>0.82838750000000005</v>
      </c>
      <c r="G471">
        <v>75.901302250000001</v>
      </c>
      <c r="H471">
        <v>36</v>
      </c>
      <c r="I471">
        <v>-8</v>
      </c>
      <c r="J471">
        <v>1.18</v>
      </c>
      <c r="K471">
        <v>11.280165500000001</v>
      </c>
      <c r="L471">
        <v>0.6801770388114261</v>
      </c>
      <c r="M471">
        <v>2.3314174569550858</v>
      </c>
      <c r="N471">
        <v>-1.0340901101279101</v>
      </c>
      <c r="O471">
        <v>-0.52119712692016507</v>
      </c>
    </row>
    <row r="472" spans="1:15" x14ac:dyDescent="0.25">
      <c r="A472">
        <v>18.005531000000001</v>
      </c>
      <c r="B472">
        <v>75.689232000000004</v>
      </c>
      <c r="C472">
        <v>-0.81198375</v>
      </c>
      <c r="D472">
        <v>-39.904271000000001</v>
      </c>
      <c r="E472">
        <v>25.928917500000001</v>
      </c>
      <c r="F472">
        <v>0.87711399999999995</v>
      </c>
      <c r="G472">
        <v>76.501464999999996</v>
      </c>
      <c r="H472">
        <v>36</v>
      </c>
      <c r="I472">
        <v>-4</v>
      </c>
      <c r="J472">
        <v>1.18</v>
      </c>
      <c r="K472">
        <v>11.321519500000001</v>
      </c>
      <c r="L472">
        <v>0.40653678842769031</v>
      </c>
      <c r="M472">
        <v>2.4973429399199198</v>
      </c>
      <c r="N472">
        <v>-1.092613509578032</v>
      </c>
      <c r="O472">
        <v>-0.45879041303811952</v>
      </c>
    </row>
    <row r="473" spans="1:15" x14ac:dyDescent="0.25">
      <c r="A473">
        <v>10.379130249999999</v>
      </c>
      <c r="B473">
        <v>76.891411000000005</v>
      </c>
      <c r="C473">
        <v>7.67756975</v>
      </c>
      <c r="D473">
        <v>-39.904271000000001</v>
      </c>
      <c r="E473">
        <v>26.644197250000001</v>
      </c>
      <c r="F473">
        <v>0.87711399999999995</v>
      </c>
      <c r="G473">
        <v>77.301697000000004</v>
      </c>
      <c r="H473">
        <v>36</v>
      </c>
      <c r="I473">
        <v>0</v>
      </c>
      <c r="J473">
        <v>1.18</v>
      </c>
      <c r="K473">
        <v>11.3812625</v>
      </c>
      <c r="L473">
        <v>6.3147514458286869E-2</v>
      </c>
      <c r="M473">
        <v>2.7315927401947762</v>
      </c>
      <c r="N473">
        <v>-1.1847658332581019</v>
      </c>
      <c r="O473">
        <v>-0.39736582754217009</v>
      </c>
    </row>
    <row r="474" spans="1:15" x14ac:dyDescent="0.25">
      <c r="A474">
        <v>1.669691</v>
      </c>
      <c r="B474">
        <v>76.795236750000001</v>
      </c>
      <c r="C474">
        <v>14.632536500000001</v>
      </c>
      <c r="D474">
        <v>-40.778406250000003</v>
      </c>
      <c r="E474">
        <v>25.571277250000001</v>
      </c>
      <c r="F474">
        <v>0.87711399999999995</v>
      </c>
      <c r="G474">
        <v>77.461738999999994</v>
      </c>
      <c r="H474">
        <v>36</v>
      </c>
      <c r="I474">
        <v>4</v>
      </c>
      <c r="J474">
        <v>1.18</v>
      </c>
      <c r="K474">
        <v>11.3931735</v>
      </c>
      <c r="L474">
        <v>-0.28725537325849138</v>
      </c>
      <c r="M474">
        <v>2.6056088515375349</v>
      </c>
      <c r="N474">
        <v>-1.150082334055889</v>
      </c>
      <c r="O474">
        <v>-0.45286561333348441</v>
      </c>
    </row>
    <row r="475" spans="1:15" x14ac:dyDescent="0.25">
      <c r="A475">
        <v>-7.8847659999999991</v>
      </c>
      <c r="B475">
        <v>76.45862600000001</v>
      </c>
      <c r="C475">
        <v>21.271370000000001</v>
      </c>
      <c r="D475">
        <v>-42.089607999999998</v>
      </c>
      <c r="E475">
        <v>24.14071775</v>
      </c>
      <c r="F475">
        <v>0.77966100000000005</v>
      </c>
      <c r="G475">
        <v>78.101912999999996</v>
      </c>
      <c r="H475">
        <v>36</v>
      </c>
      <c r="I475">
        <v>8</v>
      </c>
      <c r="J475">
        <v>1.18</v>
      </c>
      <c r="K475">
        <v>11.447911</v>
      </c>
      <c r="L475">
        <v>-0.59342225472495758</v>
      </c>
      <c r="M475">
        <v>2.41311478859638</v>
      </c>
      <c r="N475">
        <v>-1.098438123959165</v>
      </c>
      <c r="O475">
        <v>-0.52448211173105874</v>
      </c>
    </row>
    <row r="476" spans="1:15" x14ac:dyDescent="0.25">
      <c r="A476">
        <v>-17.571763000000001</v>
      </c>
      <c r="B476">
        <v>76.987585249999995</v>
      </c>
      <c r="C476">
        <v>27.548904499999999</v>
      </c>
      <c r="D476">
        <v>-43.488224000000002</v>
      </c>
      <c r="E476">
        <v>21.950173499999998</v>
      </c>
      <c r="F476">
        <v>0.77966100000000005</v>
      </c>
      <c r="G476">
        <v>78.902145000000004</v>
      </c>
      <c r="H476">
        <v>36</v>
      </c>
      <c r="I476">
        <v>12</v>
      </c>
      <c r="J476">
        <v>1.18</v>
      </c>
      <c r="K476">
        <v>11.506997</v>
      </c>
      <c r="L476">
        <v>-0.85976584794768807</v>
      </c>
      <c r="M476">
        <v>2.295668306113543</v>
      </c>
      <c r="N476">
        <v>-1.0852308789344181</v>
      </c>
      <c r="O476">
        <v>-0.59661160643167599</v>
      </c>
    </row>
    <row r="477" spans="1:15" x14ac:dyDescent="0.25">
      <c r="A477">
        <v>-28.790658499999999</v>
      </c>
      <c r="B477">
        <v>75.304533000000006</v>
      </c>
      <c r="C477">
        <v>32.607063750000002</v>
      </c>
      <c r="D477">
        <v>-44.231240249999999</v>
      </c>
      <c r="E477">
        <v>17.211444499999999</v>
      </c>
      <c r="F477">
        <v>0.92584049999999996</v>
      </c>
      <c r="G477">
        <v>78.902145000000004</v>
      </c>
      <c r="H477">
        <v>36</v>
      </c>
      <c r="I477">
        <v>16</v>
      </c>
      <c r="J477">
        <v>1.18</v>
      </c>
      <c r="K477">
        <v>11.49622475</v>
      </c>
      <c r="L477">
        <v>-1.1428557402219479</v>
      </c>
      <c r="M477">
        <v>2.225105654387062</v>
      </c>
      <c r="N477">
        <v>-1.148349657187659</v>
      </c>
      <c r="O477">
        <v>-0.69687392266605652</v>
      </c>
    </row>
    <row r="478" spans="1:15" x14ac:dyDescent="0.25">
      <c r="A478">
        <v>-38.973267749999998</v>
      </c>
      <c r="B478">
        <v>72.804001</v>
      </c>
      <c r="C478">
        <v>35.587761</v>
      </c>
      <c r="D478">
        <v>-47.421832999999999</v>
      </c>
      <c r="E478">
        <v>11.75743475</v>
      </c>
      <c r="F478">
        <v>0.87711399999999995</v>
      </c>
      <c r="G478">
        <v>79.542320000000004</v>
      </c>
      <c r="H478">
        <v>36</v>
      </c>
      <c r="I478">
        <v>20</v>
      </c>
      <c r="J478">
        <v>1.18</v>
      </c>
      <c r="K478">
        <v>11.546896</v>
      </c>
      <c r="L478">
        <v>-1.3567601511646341</v>
      </c>
      <c r="M478">
        <v>2.1877542148162541</v>
      </c>
      <c r="N478">
        <v>-1.2335580249615461</v>
      </c>
      <c r="O478">
        <v>-0.80203666112440619</v>
      </c>
    </row>
    <row r="479" spans="1:15" x14ac:dyDescent="0.25">
      <c r="A479">
        <v>-49.696551249999999</v>
      </c>
      <c r="B479">
        <v>70.784334250000001</v>
      </c>
      <c r="C479">
        <v>39.245894499999999</v>
      </c>
      <c r="D479">
        <v>-54.021553999999988</v>
      </c>
      <c r="E479">
        <v>5.5434405</v>
      </c>
      <c r="F479">
        <v>0.82838750000000005</v>
      </c>
      <c r="G479">
        <v>80.062471500000001</v>
      </c>
      <c r="H479">
        <v>36</v>
      </c>
      <c r="I479">
        <v>24</v>
      </c>
      <c r="J479">
        <v>1.18</v>
      </c>
      <c r="K479">
        <v>11.588571</v>
      </c>
      <c r="L479">
        <v>-1.5494632058522271</v>
      </c>
      <c r="M479">
        <v>2.1742476527720949</v>
      </c>
      <c r="N479">
        <v>-1.298214867469494</v>
      </c>
      <c r="O479">
        <v>-0.91787821229067967</v>
      </c>
    </row>
    <row r="480" spans="1:15" x14ac:dyDescent="0.25">
      <c r="A480">
        <v>-61.230837999999999</v>
      </c>
      <c r="B480">
        <v>67.370143749999997</v>
      </c>
      <c r="C480">
        <v>41.323352749999998</v>
      </c>
      <c r="D480">
        <v>-62.369543999999998</v>
      </c>
      <c r="E480">
        <v>-2.5868470000000001</v>
      </c>
      <c r="F480">
        <v>0.82838750000000005</v>
      </c>
      <c r="G480">
        <v>80.262523999999999</v>
      </c>
      <c r="H480">
        <v>36</v>
      </c>
      <c r="I480">
        <v>28</v>
      </c>
      <c r="J480">
        <v>1.18</v>
      </c>
      <c r="K480">
        <v>11.60318975</v>
      </c>
      <c r="L480">
        <v>-1.7319466269759081</v>
      </c>
      <c r="M480">
        <v>2.1910659852360621</v>
      </c>
      <c r="N480">
        <v>-1.399183344269469</v>
      </c>
      <c r="O480">
        <v>-1.0576906183435231</v>
      </c>
    </row>
    <row r="481" spans="1:15" x14ac:dyDescent="0.25">
      <c r="A481">
        <v>-71.728839749999992</v>
      </c>
      <c r="B481">
        <v>63.619344499999997</v>
      </c>
      <c r="C481">
        <v>42.81370175</v>
      </c>
      <c r="D481">
        <v>-71.110897249999994</v>
      </c>
      <c r="E481">
        <v>-11.55161075</v>
      </c>
      <c r="F481">
        <v>0.87711399999999995</v>
      </c>
      <c r="G481">
        <v>80.982726999999997</v>
      </c>
      <c r="H481">
        <v>36</v>
      </c>
      <c r="I481">
        <v>32</v>
      </c>
      <c r="J481">
        <v>1.18</v>
      </c>
      <c r="K481">
        <v>11.652131499999999</v>
      </c>
      <c r="L481">
        <v>-1.913253925049863</v>
      </c>
      <c r="M481">
        <v>2.2504479354195608</v>
      </c>
      <c r="N481">
        <v>-1.5456472630052009</v>
      </c>
      <c r="O481">
        <v>-1.207610108277688</v>
      </c>
    </row>
    <row r="482" spans="1:15" x14ac:dyDescent="0.25">
      <c r="A482">
        <v>-81.731227750000002</v>
      </c>
      <c r="B482">
        <v>58.810625999999999</v>
      </c>
      <c r="C482">
        <v>43.265323500000001</v>
      </c>
      <c r="D482">
        <v>-79.458885250000009</v>
      </c>
      <c r="E482">
        <v>-21.3637905</v>
      </c>
      <c r="F482">
        <v>0.97456699999999996</v>
      </c>
      <c r="G482">
        <v>81.142775999999998</v>
      </c>
      <c r="H482">
        <v>36</v>
      </c>
      <c r="I482">
        <v>36</v>
      </c>
      <c r="J482">
        <v>1.18</v>
      </c>
      <c r="K482">
        <v>11.656686000000001</v>
      </c>
      <c r="L482">
        <v>-2.110338832779536</v>
      </c>
      <c r="M482">
        <v>2.3344136620383509</v>
      </c>
      <c r="N482">
        <v>-1.7306492707797689</v>
      </c>
      <c r="O482">
        <v>-1.377158199415923</v>
      </c>
    </row>
    <row r="483" spans="1:15" x14ac:dyDescent="0.25">
      <c r="A483">
        <v>-90.156662249999997</v>
      </c>
      <c r="B483">
        <v>52.799722500000001</v>
      </c>
      <c r="C483">
        <v>42.407242750000002</v>
      </c>
      <c r="D483">
        <v>-87.763174250000006</v>
      </c>
      <c r="E483">
        <v>-32.424791499999998</v>
      </c>
      <c r="F483">
        <v>0.87711399999999995</v>
      </c>
      <c r="G483">
        <v>81.5028705</v>
      </c>
      <c r="H483">
        <v>36</v>
      </c>
      <c r="I483">
        <v>40</v>
      </c>
      <c r="J483">
        <v>1.18</v>
      </c>
      <c r="K483">
        <v>11.689897500000001</v>
      </c>
      <c r="L483">
        <v>-2.3448815366294551</v>
      </c>
      <c r="M483">
        <v>2.4863319471326228</v>
      </c>
      <c r="N483">
        <v>-2.0152552700461959</v>
      </c>
      <c r="O483">
        <v>-1.5890803060095959</v>
      </c>
    </row>
    <row r="484" spans="1:15" x14ac:dyDescent="0.25">
      <c r="A484">
        <v>-96.869975999999994</v>
      </c>
      <c r="B484">
        <v>47.36587025</v>
      </c>
      <c r="C484">
        <v>41.278190500000001</v>
      </c>
      <c r="D484">
        <v>-95.761508750000004</v>
      </c>
      <c r="E484">
        <v>-43.262788999999998</v>
      </c>
      <c r="F484">
        <v>0.92584049999999996</v>
      </c>
      <c r="G484">
        <v>82.183067499999993</v>
      </c>
      <c r="H484">
        <v>36</v>
      </c>
      <c r="I484">
        <v>44</v>
      </c>
      <c r="J484">
        <v>1.18</v>
      </c>
      <c r="K484">
        <v>11.73559075</v>
      </c>
      <c r="L484">
        <v>-2.603991780438581</v>
      </c>
      <c r="M484">
        <v>2.697834575598693</v>
      </c>
      <c r="N484">
        <v>-2.3645653105887199</v>
      </c>
      <c r="O484">
        <v>-1.8329274744005151</v>
      </c>
    </row>
    <row r="485" spans="1:15" x14ac:dyDescent="0.25">
      <c r="A485">
        <v>39.3504255</v>
      </c>
      <c r="B485">
        <v>46.596476500000001</v>
      </c>
      <c r="C485">
        <v>-102.139927</v>
      </c>
      <c r="D485">
        <v>-101.79304325</v>
      </c>
      <c r="E485">
        <v>-44.734619500000001</v>
      </c>
      <c r="F485">
        <v>0.97456699999999996</v>
      </c>
      <c r="G485">
        <v>82.343113000000002</v>
      </c>
      <c r="H485">
        <v>40</v>
      </c>
      <c r="I485">
        <v>-44</v>
      </c>
      <c r="J485">
        <v>1.18</v>
      </c>
      <c r="K485">
        <v>11.7436265</v>
      </c>
      <c r="L485">
        <v>2.4722995898133369</v>
      </c>
      <c r="M485">
        <v>2.5928835486925612</v>
      </c>
      <c r="N485">
        <v>-2.2205332108514808</v>
      </c>
      <c r="O485">
        <v>-1.7987388794482879</v>
      </c>
    </row>
    <row r="486" spans="1:15" x14ac:dyDescent="0.25">
      <c r="A486">
        <v>40.613970000000002</v>
      </c>
      <c r="B486">
        <v>53.08824525</v>
      </c>
      <c r="C486">
        <v>-97.789720499999987</v>
      </c>
      <c r="D486">
        <v>-95.237033749999995</v>
      </c>
      <c r="E486">
        <v>-36.438868499999998</v>
      </c>
      <c r="F486">
        <v>0.97456699999999996</v>
      </c>
      <c r="G486">
        <v>82.903267</v>
      </c>
      <c r="H486">
        <v>40</v>
      </c>
      <c r="I486">
        <v>-40</v>
      </c>
      <c r="J486">
        <v>1.18</v>
      </c>
      <c r="K486">
        <v>11.783981000000001</v>
      </c>
      <c r="L486">
        <v>2.3038754073094259</v>
      </c>
      <c r="M486">
        <v>2.469047867408523</v>
      </c>
      <c r="N486">
        <v>-1.9865993666376811</v>
      </c>
      <c r="O486">
        <v>-1.6227952494938449</v>
      </c>
    </row>
    <row r="487" spans="1:15" x14ac:dyDescent="0.25">
      <c r="A487">
        <v>41.245744999999999</v>
      </c>
      <c r="B487">
        <v>59.48384575</v>
      </c>
      <c r="C487">
        <v>-90.900434500000003</v>
      </c>
      <c r="D487">
        <v>-88.112827500000009</v>
      </c>
      <c r="E487">
        <v>-27.518703250000002</v>
      </c>
      <c r="F487">
        <v>0.97456699999999996</v>
      </c>
      <c r="G487">
        <v>83.223350999999994</v>
      </c>
      <c r="H487">
        <v>40</v>
      </c>
      <c r="I487">
        <v>-36</v>
      </c>
      <c r="J487">
        <v>1.18</v>
      </c>
      <c r="K487">
        <v>11.806978000000001</v>
      </c>
      <c r="L487">
        <v>2.131808148988299</v>
      </c>
      <c r="M487">
        <v>2.3810608043302981</v>
      </c>
      <c r="N487">
        <v>-1.7865168173934081</v>
      </c>
      <c r="O487">
        <v>-1.459663189636331</v>
      </c>
    </row>
    <row r="488" spans="1:15" x14ac:dyDescent="0.25">
      <c r="A488">
        <v>41.381125500000003</v>
      </c>
      <c r="B488">
        <v>64.821523749999997</v>
      </c>
      <c r="C488">
        <v>-81.641788500000004</v>
      </c>
      <c r="D488">
        <v>-80.201900749999993</v>
      </c>
      <c r="E488">
        <v>-18.50933775</v>
      </c>
      <c r="F488">
        <v>0.97456699999999996</v>
      </c>
      <c r="G488">
        <v>83.423412249999998</v>
      </c>
      <c r="H488">
        <v>40</v>
      </c>
      <c r="I488">
        <v>-32</v>
      </c>
      <c r="J488">
        <v>1.18</v>
      </c>
      <c r="K488">
        <v>11.82132775</v>
      </c>
      <c r="L488">
        <v>1.9711331758600379</v>
      </c>
      <c r="M488">
        <v>2.323636900328188</v>
      </c>
      <c r="N488">
        <v>-1.633222607293465</v>
      </c>
      <c r="O488">
        <v>-1.312189262499776</v>
      </c>
    </row>
    <row r="489" spans="1:15" x14ac:dyDescent="0.25">
      <c r="A489">
        <v>39.756565999999999</v>
      </c>
      <c r="B489">
        <v>69.534069000000002</v>
      </c>
      <c r="C489">
        <v>-71.317123500000008</v>
      </c>
      <c r="D489">
        <v>-72.596925499999998</v>
      </c>
      <c r="E489">
        <v>-11.06100225</v>
      </c>
      <c r="F489">
        <v>0.97456699999999996</v>
      </c>
      <c r="G489">
        <v>83.50343325</v>
      </c>
      <c r="H489">
        <v>40</v>
      </c>
      <c r="I489">
        <v>-28</v>
      </c>
      <c r="J489">
        <v>1.18</v>
      </c>
      <c r="K489">
        <v>11.827051750000001</v>
      </c>
      <c r="L489">
        <v>1.8240017776528279</v>
      </c>
      <c r="M489">
        <v>2.3339927545403958</v>
      </c>
      <c r="N489">
        <v>-1.552894214297162</v>
      </c>
      <c r="O489">
        <v>-1.1976306631117419</v>
      </c>
    </row>
    <row r="490" spans="1:15" x14ac:dyDescent="0.25">
      <c r="A490">
        <v>35.1536495</v>
      </c>
      <c r="B490">
        <v>70.063026250000007</v>
      </c>
      <c r="C490">
        <v>-58.453483749999997</v>
      </c>
      <c r="D490">
        <v>-63.593337249999998</v>
      </c>
      <c r="E490">
        <v>-5.039892</v>
      </c>
      <c r="F490">
        <v>0.87711399999999995</v>
      </c>
      <c r="G490">
        <v>79.542321999999999</v>
      </c>
      <c r="H490">
        <v>40</v>
      </c>
      <c r="I490">
        <v>-24</v>
      </c>
      <c r="J490">
        <v>1.18</v>
      </c>
      <c r="K490">
        <v>11.546889500000001</v>
      </c>
      <c r="L490">
        <v>1.672057460786238</v>
      </c>
      <c r="M490">
        <v>2.3874767044000991</v>
      </c>
      <c r="N490">
        <v>-1.510892986304968</v>
      </c>
      <c r="O490">
        <v>-1.1057104516367691</v>
      </c>
    </row>
    <row r="491" spans="1:15" x14ac:dyDescent="0.25">
      <c r="A491">
        <v>30.956872749999999</v>
      </c>
      <c r="B491">
        <v>70.736246000000008</v>
      </c>
      <c r="C491">
        <v>-47.316173749999997</v>
      </c>
      <c r="D491">
        <v>-57.736631500000001</v>
      </c>
      <c r="E491">
        <v>0.1343395</v>
      </c>
      <c r="F491">
        <v>0.77966100000000005</v>
      </c>
      <c r="G491">
        <v>77.141647250000005</v>
      </c>
      <c r="H491">
        <v>40</v>
      </c>
      <c r="I491">
        <v>-20</v>
      </c>
      <c r="J491">
        <v>1.18</v>
      </c>
      <c r="K491">
        <v>11.37659975</v>
      </c>
      <c r="L491">
        <v>1.4863587699127221</v>
      </c>
      <c r="M491">
        <v>2.439667569128583</v>
      </c>
      <c r="N491">
        <v>-1.462368360802063</v>
      </c>
      <c r="O491">
        <v>-1.0122703621476421</v>
      </c>
    </row>
    <row r="492" spans="1:15" x14ac:dyDescent="0.25">
      <c r="A492">
        <v>26.624716500000002</v>
      </c>
      <c r="B492">
        <v>71.217117250000001</v>
      </c>
      <c r="C492">
        <v>-36.991733749999987</v>
      </c>
      <c r="D492">
        <v>-53.934141250000003</v>
      </c>
      <c r="E492">
        <v>4.24699575</v>
      </c>
      <c r="F492">
        <v>0.77966100000000005</v>
      </c>
      <c r="G492">
        <v>75.061065749999997</v>
      </c>
      <c r="H492">
        <v>40</v>
      </c>
      <c r="I492">
        <v>-16</v>
      </c>
      <c r="J492">
        <v>1.18</v>
      </c>
      <c r="K492">
        <v>11.220543749999999</v>
      </c>
      <c r="L492">
        <v>1.2797662476785401</v>
      </c>
      <c r="M492">
        <v>2.5176463934167979</v>
      </c>
      <c r="N492">
        <v>-1.424567436496176</v>
      </c>
      <c r="O492">
        <v>-0.93026002367295013</v>
      </c>
    </row>
    <row r="493" spans="1:15" x14ac:dyDescent="0.25">
      <c r="A493">
        <v>21.164394250000001</v>
      </c>
      <c r="B493">
        <v>70.159200499999997</v>
      </c>
      <c r="C493">
        <v>-26.843311</v>
      </c>
      <c r="D493">
        <v>-50.525015000000003</v>
      </c>
      <c r="E493">
        <v>7.1975250000000006</v>
      </c>
      <c r="F493">
        <v>0.77966100000000005</v>
      </c>
      <c r="G493">
        <v>72.060222500000009</v>
      </c>
      <c r="H493">
        <v>40</v>
      </c>
      <c r="I493">
        <v>-12</v>
      </c>
      <c r="J493">
        <v>1.18</v>
      </c>
      <c r="K493">
        <v>10.991564</v>
      </c>
      <c r="L493">
        <v>1.046328694589912</v>
      </c>
      <c r="M493">
        <v>2.6303620631395912</v>
      </c>
      <c r="N493">
        <v>-1.413706053445648</v>
      </c>
      <c r="O493">
        <v>-0.86012164405974689</v>
      </c>
    </row>
    <row r="494" spans="1:15" x14ac:dyDescent="0.25">
      <c r="A494">
        <v>15.749199000000001</v>
      </c>
      <c r="B494">
        <v>71.842254499999996</v>
      </c>
      <c r="C494">
        <v>-18.629993249999998</v>
      </c>
      <c r="D494">
        <v>-50.262774499999999</v>
      </c>
      <c r="E494">
        <v>9.4327752499999988</v>
      </c>
      <c r="F494">
        <v>0.77966100000000005</v>
      </c>
      <c r="G494">
        <v>73.020494499999998</v>
      </c>
      <c r="H494">
        <v>40</v>
      </c>
      <c r="I494">
        <v>-8</v>
      </c>
      <c r="J494">
        <v>1.18</v>
      </c>
      <c r="K494">
        <v>11.06535425</v>
      </c>
      <c r="L494">
        <v>0.78349458171776387</v>
      </c>
      <c r="M494">
        <v>2.7827531431525649</v>
      </c>
      <c r="N494">
        <v>-1.4491517552103079</v>
      </c>
      <c r="O494">
        <v>-0.80279328518853865</v>
      </c>
    </row>
    <row r="495" spans="1:15" x14ac:dyDescent="0.25">
      <c r="A495">
        <v>9.4314710000000002</v>
      </c>
      <c r="B495">
        <v>73.525308750000008</v>
      </c>
      <c r="C495">
        <v>-9.8330909999999996</v>
      </c>
      <c r="D495">
        <v>-50.175359749999998</v>
      </c>
      <c r="E495">
        <v>11.086859499999999</v>
      </c>
      <c r="F495">
        <v>0.77966100000000005</v>
      </c>
      <c r="G495">
        <v>74.420883000000003</v>
      </c>
      <c r="H495">
        <v>40</v>
      </c>
      <c r="I495">
        <v>-4</v>
      </c>
      <c r="J495">
        <v>1.18</v>
      </c>
      <c r="K495">
        <v>11.172091</v>
      </c>
      <c r="L495">
        <v>0.46886303032628729</v>
      </c>
      <c r="M495">
        <v>3.010596073309229</v>
      </c>
      <c r="N495">
        <v>-1.5414766904106909</v>
      </c>
      <c r="O495">
        <v>-0.74926682663890054</v>
      </c>
    </row>
    <row r="496" spans="1:15" x14ac:dyDescent="0.25">
      <c r="A496">
        <v>1.89532425</v>
      </c>
      <c r="B496">
        <v>74.342788999999996</v>
      </c>
      <c r="C496">
        <v>-2.120018</v>
      </c>
      <c r="D496">
        <v>-50.393895999999998</v>
      </c>
      <c r="E496">
        <v>11.04215475</v>
      </c>
      <c r="F496">
        <v>0.77966100000000005</v>
      </c>
      <c r="G496">
        <v>74.861011500000004</v>
      </c>
      <c r="H496">
        <v>40</v>
      </c>
      <c r="I496">
        <v>0</v>
      </c>
      <c r="J496">
        <v>1.18</v>
      </c>
      <c r="K496">
        <v>11.20542625</v>
      </c>
      <c r="L496">
        <v>0.1075437453297064</v>
      </c>
      <c r="M496">
        <v>3.3443570060623751</v>
      </c>
      <c r="N496">
        <v>-1.711063429301231</v>
      </c>
      <c r="O496">
        <v>-0.72485716940871181</v>
      </c>
    </row>
    <row r="497" spans="1:15" x14ac:dyDescent="0.25">
      <c r="A497">
        <v>-6.3528690000000001</v>
      </c>
      <c r="B497">
        <v>75.208358750000002</v>
      </c>
      <c r="C497">
        <v>5.0581667499999998</v>
      </c>
      <c r="D497">
        <v>-51.093200500000002</v>
      </c>
      <c r="E497">
        <v>10.72921925</v>
      </c>
      <c r="F497">
        <v>0.77966100000000005</v>
      </c>
      <c r="G497">
        <v>75.821277749999993</v>
      </c>
      <c r="H497">
        <v>40</v>
      </c>
      <c r="I497">
        <v>4</v>
      </c>
      <c r="J497">
        <v>1.18</v>
      </c>
      <c r="K497">
        <v>11.2778165</v>
      </c>
      <c r="L497">
        <v>-0.28921702788946291</v>
      </c>
      <c r="M497">
        <v>3.20147875184897</v>
      </c>
      <c r="N497">
        <v>-1.649985829015691</v>
      </c>
      <c r="O497">
        <v>-0.74784767330721824</v>
      </c>
    </row>
    <row r="498" spans="1:15" x14ac:dyDescent="0.25">
      <c r="A498">
        <v>-16.265145499999999</v>
      </c>
      <c r="B498">
        <v>75.352622999999994</v>
      </c>
      <c r="C498">
        <v>11.5163505</v>
      </c>
      <c r="D498">
        <v>-52.666645750000001</v>
      </c>
      <c r="E498">
        <v>8.5833802499999994</v>
      </c>
      <c r="F498">
        <v>0.77966100000000005</v>
      </c>
      <c r="G498">
        <v>76.3814335</v>
      </c>
      <c r="H498">
        <v>40</v>
      </c>
      <c r="I498">
        <v>8</v>
      </c>
      <c r="J498">
        <v>1.18</v>
      </c>
      <c r="K498">
        <v>11.3198305</v>
      </c>
      <c r="L498">
        <v>-0.64533827889404427</v>
      </c>
      <c r="M498">
        <v>2.9738485757332391</v>
      </c>
      <c r="N498">
        <v>-1.574935823438778</v>
      </c>
      <c r="O498">
        <v>-0.81874001770698035</v>
      </c>
    </row>
    <row r="499" spans="1:15" x14ac:dyDescent="0.25">
      <c r="A499">
        <v>-25.321362499999999</v>
      </c>
      <c r="B499">
        <v>74.775574000000006</v>
      </c>
      <c r="C499">
        <v>17.342264749999998</v>
      </c>
      <c r="D499">
        <v>-53.016300999999999</v>
      </c>
      <c r="E499">
        <v>7.0634104999999998</v>
      </c>
      <c r="F499">
        <v>0.77966100000000005</v>
      </c>
      <c r="G499">
        <v>76.941587499999997</v>
      </c>
      <c r="H499">
        <v>40</v>
      </c>
      <c r="I499">
        <v>12</v>
      </c>
      <c r="J499">
        <v>1.18</v>
      </c>
      <c r="K499">
        <v>11.361689</v>
      </c>
      <c r="L499">
        <v>-0.92275621225349624</v>
      </c>
      <c r="M499">
        <v>2.7641781979639761</v>
      </c>
      <c r="N499">
        <v>-1.5114826155836349</v>
      </c>
      <c r="O499">
        <v>-0.86407582095500746</v>
      </c>
    </row>
    <row r="500" spans="1:15" x14ac:dyDescent="0.25">
      <c r="A500">
        <v>-36.134751999999999</v>
      </c>
      <c r="B500">
        <v>74.006178249999991</v>
      </c>
      <c r="C500">
        <v>22.310097500000001</v>
      </c>
      <c r="D500">
        <v>-54.240088249999999</v>
      </c>
      <c r="E500">
        <v>3.3528964999999999</v>
      </c>
      <c r="F500">
        <v>0.82838750000000005</v>
      </c>
      <c r="G500">
        <v>77.701805000000007</v>
      </c>
      <c r="H500">
        <v>40</v>
      </c>
      <c r="I500">
        <v>16</v>
      </c>
      <c r="J500">
        <v>1.18</v>
      </c>
      <c r="K500">
        <v>11.414631249999999</v>
      </c>
      <c r="L500">
        <v>-1.2040557378237911</v>
      </c>
      <c r="M500">
        <v>2.6420641900960269</v>
      </c>
      <c r="N500">
        <v>-1.5317002404879001</v>
      </c>
      <c r="O500">
        <v>-0.94799787077979158</v>
      </c>
    </row>
    <row r="501" spans="1:15" x14ac:dyDescent="0.25">
      <c r="A501">
        <v>-46.993199500000003</v>
      </c>
      <c r="B501">
        <v>72.37121775</v>
      </c>
      <c r="C501">
        <v>26.19404025</v>
      </c>
      <c r="D501">
        <v>-57.430681249999999</v>
      </c>
      <c r="E501">
        <v>-1.73943275</v>
      </c>
      <c r="F501">
        <v>0.97456699999999996</v>
      </c>
      <c r="G501">
        <v>77.981882249999998</v>
      </c>
      <c r="H501">
        <v>40</v>
      </c>
      <c r="I501">
        <v>20</v>
      </c>
      <c r="J501">
        <v>1.18</v>
      </c>
      <c r="K501">
        <v>11.424572250000001</v>
      </c>
      <c r="L501">
        <v>-1.450052242950697</v>
      </c>
      <c r="M501">
        <v>2.5717868602579399</v>
      </c>
      <c r="N501">
        <v>-1.5795564030707561</v>
      </c>
      <c r="O501">
        <v>-1.053798399782415</v>
      </c>
    </row>
    <row r="502" spans="1:15" x14ac:dyDescent="0.25">
      <c r="A502">
        <v>-57.536259000000001</v>
      </c>
      <c r="B502">
        <v>69.966854249999997</v>
      </c>
      <c r="C502">
        <v>29.2199025</v>
      </c>
      <c r="D502">
        <v>-62.850318000000001</v>
      </c>
      <c r="E502">
        <v>-7.5821385000000001</v>
      </c>
      <c r="F502">
        <v>0.87711399999999995</v>
      </c>
      <c r="G502">
        <v>78.542043500000005</v>
      </c>
      <c r="H502">
        <v>40</v>
      </c>
      <c r="I502">
        <v>24</v>
      </c>
      <c r="J502">
        <v>1.18</v>
      </c>
      <c r="K502">
        <v>11.473245</v>
      </c>
      <c r="L502">
        <v>-1.6490034270426619</v>
      </c>
      <c r="M502">
        <v>2.5246347994501881</v>
      </c>
      <c r="N502">
        <v>-1.637137518029574</v>
      </c>
      <c r="O502">
        <v>-1.160863650450962</v>
      </c>
    </row>
    <row r="503" spans="1:15" x14ac:dyDescent="0.25">
      <c r="A503">
        <v>-67.448537999999999</v>
      </c>
      <c r="B503">
        <v>66.36031324999999</v>
      </c>
      <c r="C503">
        <v>31.071550500000001</v>
      </c>
      <c r="D503">
        <v>-68.881851249999997</v>
      </c>
      <c r="E503">
        <v>-14.495265</v>
      </c>
      <c r="F503">
        <v>0.82838750000000005</v>
      </c>
      <c r="G503">
        <v>79.382276250000004</v>
      </c>
      <c r="H503">
        <v>40</v>
      </c>
      <c r="I503">
        <v>28</v>
      </c>
      <c r="J503">
        <v>1.18</v>
      </c>
      <c r="K503">
        <v>11.538717249999999</v>
      </c>
      <c r="L503">
        <v>-1.835599569643402</v>
      </c>
      <c r="M503">
        <v>2.5198647289400951</v>
      </c>
      <c r="N503">
        <v>-1.749258988149383</v>
      </c>
      <c r="O503">
        <v>-1.2854997604130129</v>
      </c>
    </row>
    <row r="504" spans="1:15" x14ac:dyDescent="0.25">
      <c r="A504">
        <v>-76.549806750000002</v>
      </c>
      <c r="B504">
        <v>62.369076499999998</v>
      </c>
      <c r="C504">
        <v>32.155441750000001</v>
      </c>
      <c r="D504">
        <v>-74.913383750000008</v>
      </c>
      <c r="E504">
        <v>-21.809798749999999</v>
      </c>
      <c r="F504">
        <v>0.97456699999999996</v>
      </c>
      <c r="G504">
        <v>79.382277999999999</v>
      </c>
      <c r="H504">
        <v>40</v>
      </c>
      <c r="I504">
        <v>32</v>
      </c>
      <c r="J504">
        <v>1.18</v>
      </c>
      <c r="K504">
        <v>11.527984999999999</v>
      </c>
      <c r="L504">
        <v>-2.0159825533359821</v>
      </c>
      <c r="M504">
        <v>2.5459711421367199</v>
      </c>
      <c r="N504">
        <v>-1.8766809155737461</v>
      </c>
      <c r="O504">
        <v>-1.422555647409832</v>
      </c>
    </row>
    <row r="505" spans="1:15" x14ac:dyDescent="0.25">
      <c r="A505">
        <v>-87.318144000000004</v>
      </c>
      <c r="B505">
        <v>58.13740275</v>
      </c>
      <c r="C505">
        <v>32.878036250000001</v>
      </c>
      <c r="D505">
        <v>-82.955431000000004</v>
      </c>
      <c r="E505">
        <v>-31.711179000000001</v>
      </c>
      <c r="F505">
        <v>0.87711399999999995</v>
      </c>
      <c r="G505">
        <v>79.622344999999996</v>
      </c>
      <c r="H505">
        <v>40</v>
      </c>
      <c r="I505">
        <v>36</v>
      </c>
      <c r="J505">
        <v>1.18</v>
      </c>
      <c r="K505">
        <v>11.552766249999999</v>
      </c>
      <c r="L505">
        <v>-2.2497815413201501</v>
      </c>
      <c r="M505">
        <v>2.6409379439740461</v>
      </c>
      <c r="N505">
        <v>-2.083910031453001</v>
      </c>
      <c r="O505">
        <v>-1.609973796386672</v>
      </c>
    </row>
    <row r="506" spans="1:15" x14ac:dyDescent="0.25">
      <c r="A506">
        <v>-95.338075500000002</v>
      </c>
      <c r="B506">
        <v>53.521030250000003</v>
      </c>
      <c r="C506">
        <v>32.787712249999998</v>
      </c>
      <c r="D506">
        <v>-89.773689500000003</v>
      </c>
      <c r="E506">
        <v>-40.809743750000003</v>
      </c>
      <c r="F506">
        <v>0.92584049999999996</v>
      </c>
      <c r="G506">
        <v>80.062471500000001</v>
      </c>
      <c r="H506">
        <v>40</v>
      </c>
      <c r="I506">
        <v>40</v>
      </c>
      <c r="J506">
        <v>1.18</v>
      </c>
      <c r="K506">
        <v>11.581443999999999</v>
      </c>
      <c r="L506">
        <v>-2.4760643039749759</v>
      </c>
      <c r="M506">
        <v>2.7692095047166938</v>
      </c>
      <c r="N506">
        <v>-2.335901679897971</v>
      </c>
      <c r="O506">
        <v>-1.8065572219384991</v>
      </c>
    </row>
    <row r="507" spans="1:15" x14ac:dyDescent="0.25">
      <c r="A507">
        <v>-99.483213250000006</v>
      </c>
      <c r="B507">
        <v>46.981173249999998</v>
      </c>
      <c r="C507">
        <v>31.207036500000001</v>
      </c>
      <c r="D507">
        <v>-95.018497249999996</v>
      </c>
      <c r="E507">
        <v>-50.131312999999999</v>
      </c>
      <c r="F507">
        <v>0.97456699999999996</v>
      </c>
      <c r="G507">
        <v>80.022461000000007</v>
      </c>
      <c r="H507">
        <v>40</v>
      </c>
      <c r="I507">
        <v>44</v>
      </c>
      <c r="J507">
        <v>1.18</v>
      </c>
      <c r="K507">
        <v>11.574951</v>
      </c>
      <c r="L507">
        <v>-2.7736951576375541</v>
      </c>
      <c r="M507">
        <v>3.0137832993284301</v>
      </c>
      <c r="N507">
        <v>-2.7624309145259711</v>
      </c>
      <c r="O507">
        <v>-2.084692028401542</v>
      </c>
    </row>
    <row r="508" spans="1:15" x14ac:dyDescent="0.25">
      <c r="A508">
        <v>29.783580749999999</v>
      </c>
      <c r="B508">
        <v>46.019431249999997</v>
      </c>
      <c r="C508">
        <v>-105.141924</v>
      </c>
      <c r="D508">
        <v>-101.22485575</v>
      </c>
      <c r="E508">
        <v>-53.074969250000002</v>
      </c>
      <c r="F508">
        <v>0.97456699999999996</v>
      </c>
      <c r="G508">
        <v>80.86269025</v>
      </c>
      <c r="H508">
        <v>44</v>
      </c>
      <c r="I508">
        <v>-44</v>
      </c>
      <c r="J508">
        <v>1.18</v>
      </c>
      <c r="K508">
        <v>11.63630425</v>
      </c>
      <c r="L508">
        <v>2.6929040704501639</v>
      </c>
      <c r="M508">
        <v>2.9387740843429291</v>
      </c>
      <c r="N508">
        <v>-2.6733370877344891</v>
      </c>
      <c r="O508">
        <v>-2.0788774117209128</v>
      </c>
    </row>
    <row r="509" spans="1:15" x14ac:dyDescent="0.25">
      <c r="A509">
        <v>30.5507335</v>
      </c>
      <c r="B509">
        <v>52.078415999999997</v>
      </c>
      <c r="C509">
        <v>-100.87011175000001</v>
      </c>
      <c r="D509">
        <v>-95.717800000000011</v>
      </c>
      <c r="E509">
        <v>-45.58203125</v>
      </c>
      <c r="F509">
        <v>0.97456699999999996</v>
      </c>
      <c r="G509">
        <v>80.822677999999996</v>
      </c>
      <c r="H509">
        <v>44</v>
      </c>
      <c r="I509">
        <v>-40</v>
      </c>
      <c r="J509">
        <v>1.18</v>
      </c>
      <c r="K509">
        <v>11.633391</v>
      </c>
      <c r="L509">
        <v>2.4932672350020471</v>
      </c>
      <c r="M509">
        <v>2.80394227382221</v>
      </c>
      <c r="N509">
        <v>-2.398146181674409</v>
      </c>
      <c r="O509">
        <v>-1.8832892886405119</v>
      </c>
    </row>
    <row r="510" spans="1:15" x14ac:dyDescent="0.25">
      <c r="A510">
        <v>30.821493</v>
      </c>
      <c r="B510">
        <v>58.04122675</v>
      </c>
      <c r="C510">
        <v>-95.282476000000003</v>
      </c>
      <c r="D510">
        <v>-90.735235250000002</v>
      </c>
      <c r="E510">
        <v>-38.445900999999999</v>
      </c>
      <c r="F510">
        <v>0.92584049999999996</v>
      </c>
      <c r="G510">
        <v>81.302818000000002</v>
      </c>
      <c r="H510">
        <v>44</v>
      </c>
      <c r="I510">
        <v>-36</v>
      </c>
      <c r="J510">
        <v>1.18</v>
      </c>
      <c r="K510">
        <v>11.67185175</v>
      </c>
      <c r="L510">
        <v>2.3111671106906111</v>
      </c>
      <c r="M510">
        <v>2.7267007299804509</v>
      </c>
      <c r="N510">
        <v>-2.194695210656052</v>
      </c>
      <c r="O510">
        <v>-1.7215825088966119</v>
      </c>
    </row>
    <row r="511" spans="1:15" x14ac:dyDescent="0.25">
      <c r="A511">
        <v>30.64098675</v>
      </c>
      <c r="B511">
        <v>63.186559500000001</v>
      </c>
      <c r="C511">
        <v>-87.917282</v>
      </c>
      <c r="D511">
        <v>-85.577837000000002</v>
      </c>
      <c r="E511">
        <v>-31.5327755</v>
      </c>
      <c r="F511">
        <v>0.92584049999999996</v>
      </c>
      <c r="G511">
        <v>82.063030499999996</v>
      </c>
      <c r="H511">
        <v>44</v>
      </c>
      <c r="I511">
        <v>-32</v>
      </c>
      <c r="J511">
        <v>1.18</v>
      </c>
      <c r="K511">
        <v>11.726917</v>
      </c>
      <c r="L511">
        <v>2.1472648928461719</v>
      </c>
      <c r="M511">
        <v>2.6943453487350042</v>
      </c>
      <c r="N511">
        <v>-2.0574308745747492</v>
      </c>
      <c r="O511">
        <v>-1.5879162180286881</v>
      </c>
    </row>
    <row r="512" spans="1:15" x14ac:dyDescent="0.25">
      <c r="A512">
        <v>28.835922</v>
      </c>
      <c r="B512">
        <v>67.466320249999995</v>
      </c>
      <c r="C512">
        <v>-79.131376000000003</v>
      </c>
      <c r="D512">
        <v>-80.070781749999995</v>
      </c>
      <c r="E512">
        <v>-25.734669</v>
      </c>
      <c r="F512">
        <v>0.97456699999999996</v>
      </c>
      <c r="G512">
        <v>81.942993000000001</v>
      </c>
      <c r="H512">
        <v>44</v>
      </c>
      <c r="I512">
        <v>-28</v>
      </c>
      <c r="J512">
        <v>1.18</v>
      </c>
      <c r="K512">
        <v>11.714718</v>
      </c>
      <c r="L512">
        <v>2.004354021745351</v>
      </c>
      <c r="M512">
        <v>2.7389466633332118</v>
      </c>
      <c r="N512">
        <v>-1.998974596372606</v>
      </c>
      <c r="O512">
        <v>-1.495834689878899</v>
      </c>
    </row>
    <row r="513" spans="1:15" x14ac:dyDescent="0.25">
      <c r="A513">
        <v>26.579589250000001</v>
      </c>
      <c r="B513">
        <v>71.938430749999995</v>
      </c>
      <c r="C513">
        <v>-70.054086749999996</v>
      </c>
      <c r="D513">
        <v>-75.83122449999999</v>
      </c>
      <c r="E513">
        <v>-19.847361500000002</v>
      </c>
      <c r="F513">
        <v>0.97456699999999996</v>
      </c>
      <c r="G513">
        <v>82.543165500000001</v>
      </c>
      <c r="H513">
        <v>44</v>
      </c>
      <c r="I513">
        <v>-24</v>
      </c>
      <c r="J513">
        <v>1.18</v>
      </c>
      <c r="K513">
        <v>11.7580545</v>
      </c>
      <c r="L513">
        <v>1.8200008127875269</v>
      </c>
      <c r="M513">
        <v>2.7831216573004141</v>
      </c>
      <c r="N513">
        <v>-1.9284447163308001</v>
      </c>
      <c r="O513">
        <v>-1.3921665291446641</v>
      </c>
    </row>
    <row r="514" spans="1:15" x14ac:dyDescent="0.25">
      <c r="A514">
        <v>23.510978999999999</v>
      </c>
      <c r="B514">
        <v>75.448795500000003</v>
      </c>
      <c r="C514">
        <v>-60.536182250000003</v>
      </c>
      <c r="D514">
        <v>-72.596927499999993</v>
      </c>
      <c r="E514">
        <v>-14.941273499999999</v>
      </c>
      <c r="F514">
        <v>0.97456699999999996</v>
      </c>
      <c r="G514">
        <v>82.903267</v>
      </c>
      <c r="H514">
        <v>44</v>
      </c>
      <c r="I514">
        <v>-20</v>
      </c>
      <c r="J514">
        <v>1.1599999999999999</v>
      </c>
      <c r="K514">
        <v>11.889227999999999</v>
      </c>
      <c r="L514">
        <v>1.6280345631110309</v>
      </c>
      <c r="M514">
        <v>2.8677129993152248</v>
      </c>
      <c r="N514">
        <v>-1.8953029417400109</v>
      </c>
      <c r="O514">
        <v>-1.308309405792065</v>
      </c>
    </row>
    <row r="515" spans="1:15" x14ac:dyDescent="0.25">
      <c r="A515">
        <v>18.908062749999999</v>
      </c>
      <c r="B515">
        <v>78.189765750000007</v>
      </c>
      <c r="C515">
        <v>-50.973060500000003</v>
      </c>
      <c r="D515">
        <v>-70.848659499999997</v>
      </c>
      <c r="E515">
        <v>-11.4178075</v>
      </c>
      <c r="F515">
        <v>0.97456699999999996</v>
      </c>
      <c r="G515">
        <v>83.063309000000004</v>
      </c>
      <c r="H515">
        <v>44</v>
      </c>
      <c r="I515">
        <v>-16</v>
      </c>
      <c r="J515">
        <v>1.18</v>
      </c>
      <c r="K515">
        <v>11.795484999999999</v>
      </c>
      <c r="L515">
        <v>1.411931142495424</v>
      </c>
      <c r="M515">
        <v>3.0113600610398099</v>
      </c>
      <c r="N515">
        <v>-1.9090282349777239</v>
      </c>
      <c r="O515">
        <v>-1.250405661506931</v>
      </c>
    </row>
    <row r="516" spans="1:15" x14ac:dyDescent="0.25">
      <c r="A516">
        <v>14.2600205</v>
      </c>
      <c r="B516">
        <v>80.20942525000001</v>
      </c>
      <c r="C516">
        <v>-41.412675999999998</v>
      </c>
      <c r="D516">
        <v>-69.799694000000002</v>
      </c>
      <c r="E516">
        <v>-7.9835457499999993</v>
      </c>
      <c r="F516">
        <v>0.97456699999999996</v>
      </c>
      <c r="G516">
        <v>83.703491</v>
      </c>
      <c r="H516">
        <v>44</v>
      </c>
      <c r="I516">
        <v>-12</v>
      </c>
      <c r="J516">
        <v>1.18</v>
      </c>
      <c r="K516">
        <v>11.841390000000001</v>
      </c>
      <c r="L516">
        <v>1.1690972691970041</v>
      </c>
      <c r="M516">
        <v>3.150027859907603</v>
      </c>
      <c r="N516">
        <v>-1.9253829571844321</v>
      </c>
      <c r="O516">
        <v>-1.1881667477743889</v>
      </c>
    </row>
    <row r="517" spans="1:15" x14ac:dyDescent="0.25">
      <c r="A517">
        <v>7.6715324999999996</v>
      </c>
      <c r="B517">
        <v>77.901241499999998</v>
      </c>
      <c r="C517">
        <v>-30.538732</v>
      </c>
      <c r="D517">
        <v>-66.084623500000006</v>
      </c>
      <c r="E517">
        <v>-6.0211097499999999</v>
      </c>
      <c r="F517">
        <v>0.87711399999999995</v>
      </c>
      <c r="G517">
        <v>80.022458999999998</v>
      </c>
      <c r="H517">
        <v>44</v>
      </c>
      <c r="I517">
        <v>-8</v>
      </c>
      <c r="J517">
        <v>1.18</v>
      </c>
      <c r="K517">
        <v>11.58208175</v>
      </c>
      <c r="L517">
        <v>0.90354045124354365</v>
      </c>
      <c r="M517">
        <v>3.4047780063176409</v>
      </c>
      <c r="N517">
        <v>-2.0346873380269832</v>
      </c>
      <c r="O517">
        <v>-1.1631704387586981</v>
      </c>
    </row>
    <row r="518" spans="1:15" x14ac:dyDescent="0.25">
      <c r="A518">
        <v>0.63177850000000002</v>
      </c>
      <c r="B518">
        <v>75.881580500000013</v>
      </c>
      <c r="C518">
        <v>-20.252568499999999</v>
      </c>
      <c r="D518">
        <v>-62.894024000000002</v>
      </c>
      <c r="E518">
        <v>-4.5492832500000002</v>
      </c>
      <c r="F518">
        <v>0.77966100000000005</v>
      </c>
      <c r="G518">
        <v>77.461738749999995</v>
      </c>
      <c r="H518">
        <v>44</v>
      </c>
      <c r="I518">
        <v>-4</v>
      </c>
      <c r="J518">
        <v>1.18</v>
      </c>
      <c r="K518">
        <v>11.400418999999999</v>
      </c>
      <c r="L518">
        <v>0.56407126323318824</v>
      </c>
      <c r="M518">
        <v>3.748282867005134</v>
      </c>
      <c r="N518">
        <v>-2.2150922753327098</v>
      </c>
      <c r="O518">
        <v>-1.143941436022329</v>
      </c>
    </row>
    <row r="519" spans="1:15" x14ac:dyDescent="0.25">
      <c r="A519">
        <v>-6.4880362500000004</v>
      </c>
      <c r="B519">
        <v>74.390875249999993</v>
      </c>
      <c r="C519">
        <v>-11.141916999999999</v>
      </c>
      <c r="D519">
        <v>-60.621279999999999</v>
      </c>
      <c r="E519">
        <v>-3.7018677499999999</v>
      </c>
      <c r="F519">
        <v>0.77966100000000005</v>
      </c>
      <c r="G519">
        <v>75.381155000000007</v>
      </c>
      <c r="H519">
        <v>44</v>
      </c>
      <c r="I519">
        <v>0</v>
      </c>
      <c r="J519">
        <v>1.18</v>
      </c>
      <c r="K519">
        <v>11.2446935</v>
      </c>
      <c r="L519">
        <v>0.14457353181194041</v>
      </c>
      <c r="M519">
        <v>4.1956899892069819</v>
      </c>
      <c r="N519">
        <v>-2.4576102568089109</v>
      </c>
      <c r="O519">
        <v>-1.139277126101061</v>
      </c>
    </row>
    <row r="520" spans="1:15" x14ac:dyDescent="0.25">
      <c r="A520">
        <v>-13.967299499999999</v>
      </c>
      <c r="B520">
        <v>71.169028999999995</v>
      </c>
      <c r="C520">
        <v>-4.3307262499999997</v>
      </c>
      <c r="D520">
        <v>-58.348521249999997</v>
      </c>
      <c r="E520">
        <v>-4.5492837499999998</v>
      </c>
      <c r="F520">
        <v>0.77966100000000005</v>
      </c>
      <c r="G520">
        <v>72.3002915</v>
      </c>
      <c r="H520">
        <v>44</v>
      </c>
      <c r="I520">
        <v>4</v>
      </c>
      <c r="J520">
        <v>1.18</v>
      </c>
      <c r="K520">
        <v>11.0100575</v>
      </c>
      <c r="L520">
        <v>-0.30483264332532978</v>
      </c>
      <c r="M520">
        <v>4.0975990286661448</v>
      </c>
      <c r="N520">
        <v>-2.4313277857238949</v>
      </c>
      <c r="O520">
        <v>-1.1686004134391721</v>
      </c>
    </row>
    <row r="521" spans="1:15" x14ac:dyDescent="0.25">
      <c r="A521">
        <v>-23.654296500000001</v>
      </c>
      <c r="B521">
        <v>71.505641999999995</v>
      </c>
      <c r="C521">
        <v>1.49035875</v>
      </c>
      <c r="D521">
        <v>-60.053089999999997</v>
      </c>
      <c r="E521">
        <v>-6.9131257499999998</v>
      </c>
      <c r="F521">
        <v>0.77966100000000005</v>
      </c>
      <c r="G521">
        <v>73.1005155</v>
      </c>
      <c r="H521">
        <v>44</v>
      </c>
      <c r="I521">
        <v>8</v>
      </c>
      <c r="J521">
        <v>1.18</v>
      </c>
      <c r="K521">
        <v>11.071480749999999</v>
      </c>
      <c r="L521">
        <v>-0.71962293429060531</v>
      </c>
      <c r="M521">
        <v>3.765290618055142</v>
      </c>
      <c r="N521">
        <v>-2.290051621260786</v>
      </c>
      <c r="O521">
        <v>-1.220185993778351</v>
      </c>
    </row>
    <row r="522" spans="1:15" x14ac:dyDescent="0.25">
      <c r="A522">
        <v>-33.476464499999999</v>
      </c>
      <c r="B522">
        <v>72.034606749999995</v>
      </c>
      <c r="C522">
        <v>7.3614347499999999</v>
      </c>
      <c r="D522">
        <v>-61.233173499999999</v>
      </c>
      <c r="E522">
        <v>-8.5633557499999995</v>
      </c>
      <c r="F522">
        <v>0.77966100000000005</v>
      </c>
      <c r="G522">
        <v>74.580933000000002</v>
      </c>
      <c r="H522">
        <v>44</v>
      </c>
      <c r="I522">
        <v>12</v>
      </c>
      <c r="J522">
        <v>1.18</v>
      </c>
      <c r="K522">
        <v>11.184225</v>
      </c>
      <c r="L522">
        <v>-1.052752748913246</v>
      </c>
      <c r="M522">
        <v>3.4355357059027689</v>
      </c>
      <c r="N522">
        <v>-2.143407750441408</v>
      </c>
      <c r="O522">
        <v>-1.240869210992724</v>
      </c>
    </row>
    <row r="523" spans="1:15" x14ac:dyDescent="0.25">
      <c r="A523">
        <v>-42.893125750000003</v>
      </c>
      <c r="B523">
        <v>70.928596749999997</v>
      </c>
      <c r="C523">
        <v>10.88408025</v>
      </c>
      <c r="D523">
        <v>-62.806615749999999</v>
      </c>
      <c r="E523">
        <v>-12.354425750000001</v>
      </c>
      <c r="F523">
        <v>0.77966100000000005</v>
      </c>
      <c r="G523">
        <v>75.021055500000003</v>
      </c>
      <c r="H523">
        <v>44</v>
      </c>
      <c r="I523">
        <v>16</v>
      </c>
      <c r="J523">
        <v>1.18</v>
      </c>
      <c r="K523">
        <v>11.2175235</v>
      </c>
      <c r="L523">
        <v>-1.327971850189124</v>
      </c>
      <c r="M523">
        <v>3.3025185855126131</v>
      </c>
      <c r="N523">
        <v>-2.1576879346125599</v>
      </c>
      <c r="O523">
        <v>-1.3243470429699129</v>
      </c>
    </row>
    <row r="524" spans="1:15" x14ac:dyDescent="0.25">
      <c r="A524">
        <v>-53.616407500000001</v>
      </c>
      <c r="B524">
        <v>69.437896499999994</v>
      </c>
      <c r="C524">
        <v>15.445456</v>
      </c>
      <c r="D524">
        <v>-65.647552500000003</v>
      </c>
      <c r="E524">
        <v>-16.234696499999998</v>
      </c>
      <c r="F524">
        <v>0.77966100000000005</v>
      </c>
      <c r="G524">
        <v>75.981326749999994</v>
      </c>
      <c r="H524">
        <v>44</v>
      </c>
      <c r="I524">
        <v>20</v>
      </c>
      <c r="J524">
        <v>1.18</v>
      </c>
      <c r="K524">
        <v>11.289836749999999</v>
      </c>
      <c r="L524">
        <v>-1.5914403308285689</v>
      </c>
      <c r="M524">
        <v>3.1129215367766809</v>
      </c>
      <c r="N524">
        <v>-2.125064046903943</v>
      </c>
      <c r="O524">
        <v>-1.3921350896476621</v>
      </c>
    </row>
    <row r="525" spans="1:15" x14ac:dyDescent="0.25">
      <c r="A525">
        <v>-62.44734175</v>
      </c>
      <c r="B525">
        <v>66.985449000000003</v>
      </c>
      <c r="C525">
        <v>17.297103</v>
      </c>
      <c r="D525">
        <v>-69.450039000000004</v>
      </c>
      <c r="E525">
        <v>-21.229987999999999</v>
      </c>
      <c r="F525">
        <v>0.82838750000000005</v>
      </c>
      <c r="G525">
        <v>76.661513999999997</v>
      </c>
      <c r="H525">
        <v>44</v>
      </c>
      <c r="I525">
        <v>24</v>
      </c>
      <c r="J525">
        <v>1.18</v>
      </c>
      <c r="K525">
        <v>11.337137500000001</v>
      </c>
      <c r="L525">
        <v>-1.7832491767759271</v>
      </c>
      <c r="M525">
        <v>3.050988788902838</v>
      </c>
      <c r="N525">
        <v>-2.18907822303174</v>
      </c>
      <c r="O525">
        <v>-1.493281618785306</v>
      </c>
    </row>
    <row r="526" spans="1:15" x14ac:dyDescent="0.25">
      <c r="A526">
        <v>-73.846462500000001</v>
      </c>
      <c r="B526">
        <v>64.484915000000001</v>
      </c>
      <c r="C526">
        <v>20.2778025</v>
      </c>
      <c r="D526">
        <v>-75.088214999999991</v>
      </c>
      <c r="E526">
        <v>-27.920109750000002</v>
      </c>
      <c r="F526">
        <v>0.82838750000000005</v>
      </c>
      <c r="G526">
        <v>77.061622499999999</v>
      </c>
      <c r="H526">
        <v>44</v>
      </c>
      <c r="I526">
        <v>28</v>
      </c>
      <c r="J526">
        <v>1.18</v>
      </c>
      <c r="K526">
        <v>11.367002749999999</v>
      </c>
      <c r="L526">
        <v>-2.0221510130347622</v>
      </c>
      <c r="M526">
        <v>2.9985817508837682</v>
      </c>
      <c r="N526">
        <v>-2.2554434321347832</v>
      </c>
      <c r="O526">
        <v>-1.617641560134004</v>
      </c>
    </row>
    <row r="527" spans="1:15" x14ac:dyDescent="0.25">
      <c r="A527">
        <v>-81.731227750000002</v>
      </c>
      <c r="B527">
        <v>61.407332500000003</v>
      </c>
      <c r="C527">
        <v>21.54234275</v>
      </c>
      <c r="D527">
        <v>-79.590007749999998</v>
      </c>
      <c r="E527">
        <v>-33.941218499999998</v>
      </c>
      <c r="F527">
        <v>0.82838750000000005</v>
      </c>
      <c r="G527">
        <v>77.821840500000008</v>
      </c>
      <c r="H527">
        <v>44</v>
      </c>
      <c r="I527">
        <v>32</v>
      </c>
      <c r="J527">
        <v>1.18</v>
      </c>
      <c r="K527">
        <v>11.423540750000001</v>
      </c>
      <c r="L527">
        <v>-2.2105128001815579</v>
      </c>
      <c r="M527">
        <v>3.018007636602754</v>
      </c>
      <c r="N527">
        <v>-2.3922589638237932</v>
      </c>
      <c r="O527">
        <v>-1.7442467029494719</v>
      </c>
    </row>
    <row r="528" spans="1:15" x14ac:dyDescent="0.25">
      <c r="A528">
        <v>-90.691440499999999</v>
      </c>
      <c r="B528">
        <v>57.079487</v>
      </c>
      <c r="C528">
        <v>22.17461175</v>
      </c>
      <c r="D528">
        <v>-85.315591749999996</v>
      </c>
      <c r="E528">
        <v>-42.326172749999998</v>
      </c>
      <c r="F528">
        <v>0.82838750000000005</v>
      </c>
      <c r="G528">
        <v>78.221950499999991</v>
      </c>
      <c r="H528">
        <v>44</v>
      </c>
      <c r="I528">
        <v>36</v>
      </c>
      <c r="J528">
        <v>1.18</v>
      </c>
      <c r="K528">
        <v>11.453187</v>
      </c>
      <c r="L528">
        <v>-2.4709476275255162</v>
      </c>
      <c r="M528">
        <v>3.117403051173218</v>
      </c>
      <c r="N528">
        <v>-2.639145915860956</v>
      </c>
      <c r="O528">
        <v>-1.9447643056739621</v>
      </c>
    </row>
    <row r="529" spans="1:15" x14ac:dyDescent="0.25">
      <c r="A529">
        <v>-98.627151249999997</v>
      </c>
      <c r="B529">
        <v>52.366938249999997</v>
      </c>
      <c r="C529">
        <v>21.94880075</v>
      </c>
      <c r="D529">
        <v>-90.778940250000005</v>
      </c>
      <c r="E529">
        <v>-50.711125250000002</v>
      </c>
      <c r="F529">
        <v>0.77966100000000005</v>
      </c>
      <c r="G529">
        <v>78.742096000000004</v>
      </c>
      <c r="H529">
        <v>44</v>
      </c>
      <c r="I529">
        <v>40</v>
      </c>
      <c r="J529">
        <v>1.18</v>
      </c>
      <c r="K529">
        <v>11.495203999999999</v>
      </c>
      <c r="L529">
        <v>-2.7411313226047191</v>
      </c>
      <c r="M529">
        <v>3.2542929838923569</v>
      </c>
      <c r="N529">
        <v>-2.943157034346179</v>
      </c>
      <c r="O529">
        <v>-2.1707349914232892</v>
      </c>
    </row>
    <row r="530" spans="1:15" x14ac:dyDescent="0.25">
      <c r="A530">
        <v>-102.05139575</v>
      </c>
      <c r="B530">
        <v>47.269696250000003</v>
      </c>
      <c r="C530">
        <v>21.361693500000001</v>
      </c>
      <c r="D530">
        <v>-95.237032249999999</v>
      </c>
      <c r="E530">
        <v>-58.248660999999998</v>
      </c>
      <c r="F530">
        <v>0.87711399999999995</v>
      </c>
      <c r="G530">
        <v>79.582332500000007</v>
      </c>
      <c r="H530">
        <v>44</v>
      </c>
      <c r="I530">
        <v>44</v>
      </c>
      <c r="J530">
        <v>1.18</v>
      </c>
      <c r="K530">
        <v>11.54982925</v>
      </c>
      <c r="L530">
        <v>-3.0552640783530349</v>
      </c>
      <c r="M530">
        <v>3.5279023235594762</v>
      </c>
      <c r="N530">
        <v>-3.412228639119832</v>
      </c>
      <c r="O530">
        <v>-2.4636540725097098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6E45-750B-4733-843B-62B73D3CA822}">
  <dimension ref="A1:O530"/>
  <sheetViews>
    <sheetView workbookViewId="0">
      <selection activeCell="X24" sqref="X2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13.131854499999999</v>
      </c>
      <c r="B2">
        <v>-76.618764999999996</v>
      </c>
      <c r="C2">
        <v>-83.231388499999994</v>
      </c>
      <c r="D2">
        <v>36.631793999999999</v>
      </c>
      <c r="E2">
        <v>-40.586740250000013</v>
      </c>
      <c r="F2">
        <v>0.73093425000000001</v>
      </c>
      <c r="G2">
        <v>62.337494</v>
      </c>
      <c r="H2">
        <v>-44</v>
      </c>
      <c r="I2">
        <v>-44</v>
      </c>
      <c r="J2">
        <v>1.18</v>
      </c>
      <c r="K2">
        <v>10.21850025</v>
      </c>
      <c r="L2">
        <v>2.4496438451121398</v>
      </c>
      <c r="M2">
        <v>-2.8789524835522089</v>
      </c>
      <c r="N2">
        <v>-2.6164846992155879</v>
      </c>
      <c r="O2">
        <v>-2.050363312849826</v>
      </c>
    </row>
    <row r="3" spans="1:15" x14ac:dyDescent="0.25">
      <c r="A3">
        <v>14.034387499999999</v>
      </c>
      <c r="B3">
        <v>-73.553399749999997</v>
      </c>
      <c r="C3">
        <v>-79.627639500000001</v>
      </c>
      <c r="D3">
        <v>41.758492500000003</v>
      </c>
      <c r="E3">
        <v>-35.591448999999997</v>
      </c>
      <c r="F3">
        <v>0.77966100000000005</v>
      </c>
      <c r="G3">
        <v>62.8576415</v>
      </c>
      <c r="H3">
        <v>-44</v>
      </c>
      <c r="I3">
        <v>-40</v>
      </c>
      <c r="J3">
        <v>1.18</v>
      </c>
      <c r="K3">
        <v>10.25752825</v>
      </c>
      <c r="L3">
        <v>2.2844951976089729</v>
      </c>
      <c r="M3">
        <v>-2.8126073561195009</v>
      </c>
      <c r="N3">
        <v>-2.4013091020933302</v>
      </c>
      <c r="O3">
        <v>-1.8871326055341511</v>
      </c>
    </row>
    <row r="4" spans="1:15" x14ac:dyDescent="0.25">
      <c r="A4">
        <v>14.440526999999999</v>
      </c>
      <c r="B4">
        <v>-70.477758499999993</v>
      </c>
      <c r="C4">
        <v>-74.710125000000005</v>
      </c>
      <c r="D4">
        <v>46.140287499999999</v>
      </c>
      <c r="E4">
        <v>-30.997566750000001</v>
      </c>
      <c r="F4">
        <v>0.77966100000000005</v>
      </c>
      <c r="G4">
        <v>63.337770499999998</v>
      </c>
      <c r="H4">
        <v>-44</v>
      </c>
      <c r="I4">
        <v>-36</v>
      </c>
      <c r="J4">
        <v>1.18</v>
      </c>
      <c r="K4">
        <v>10.297119</v>
      </c>
      <c r="L4">
        <v>2.1433252399686471</v>
      </c>
      <c r="M4">
        <v>-2.8038028463231179</v>
      </c>
      <c r="N4">
        <v>-2.268133778761015</v>
      </c>
      <c r="O4">
        <v>-1.7640682556322931</v>
      </c>
    </row>
    <row r="5" spans="1:15" x14ac:dyDescent="0.25">
      <c r="A5">
        <v>13.990146749999999</v>
      </c>
      <c r="B5">
        <v>-67.215328249999999</v>
      </c>
      <c r="C5">
        <v>-68.209125749999998</v>
      </c>
      <c r="D5">
        <v>50.171538499999997</v>
      </c>
      <c r="E5">
        <v>-26.403682750000002</v>
      </c>
      <c r="F5">
        <v>0.77966100000000005</v>
      </c>
      <c r="G5">
        <v>63.737888249999997</v>
      </c>
      <c r="H5">
        <v>-44</v>
      </c>
      <c r="I5">
        <v>-32</v>
      </c>
      <c r="J5">
        <v>1.18</v>
      </c>
      <c r="K5">
        <v>10.3299965</v>
      </c>
      <c r="L5">
        <v>1.989895143152018</v>
      </c>
      <c r="M5">
        <v>-2.841703647421173</v>
      </c>
      <c r="N5">
        <v>-2.182152610732937</v>
      </c>
      <c r="O5">
        <v>-1.658049910350148</v>
      </c>
    </row>
    <row r="6" spans="1:15" x14ac:dyDescent="0.25">
      <c r="A6">
        <v>12.6354615</v>
      </c>
      <c r="B6">
        <v>-64.42818475</v>
      </c>
      <c r="C6">
        <v>-61.306999249999997</v>
      </c>
      <c r="D6">
        <v>53.983699000000001</v>
      </c>
      <c r="E6">
        <v>-23.1478225</v>
      </c>
      <c r="F6">
        <v>0.77966100000000005</v>
      </c>
      <c r="G6">
        <v>64.338050999999993</v>
      </c>
      <c r="H6">
        <v>-44</v>
      </c>
      <c r="I6">
        <v>-28</v>
      </c>
      <c r="J6">
        <v>1.18</v>
      </c>
      <c r="K6">
        <v>10.379118</v>
      </c>
      <c r="L6">
        <v>1.8616412268270091</v>
      </c>
      <c r="M6">
        <v>-2.9812807397995802</v>
      </c>
      <c r="N6">
        <v>-2.2026716743259702</v>
      </c>
      <c r="O6">
        <v>-1.6024560281195079</v>
      </c>
    </row>
    <row r="7" spans="1:15" x14ac:dyDescent="0.25">
      <c r="A7">
        <v>10.51451</v>
      </c>
      <c r="B7">
        <v>-62.182125999999997</v>
      </c>
      <c r="C7">
        <v>-54.363343499999999</v>
      </c>
      <c r="D7">
        <v>56.963318000000001</v>
      </c>
      <c r="E7">
        <v>-20.56097475</v>
      </c>
      <c r="F7">
        <v>0.77966100000000005</v>
      </c>
      <c r="G7">
        <v>64.578125</v>
      </c>
      <c r="H7">
        <v>-44</v>
      </c>
      <c r="I7">
        <v>-24</v>
      </c>
      <c r="J7">
        <v>1.18</v>
      </c>
      <c r="K7">
        <v>10.398699000000001</v>
      </c>
      <c r="L7">
        <v>1.720364919548244</v>
      </c>
      <c r="M7">
        <v>-3.1595782746620831</v>
      </c>
      <c r="N7">
        <v>-2.2578165161350601</v>
      </c>
      <c r="O7">
        <v>-1.5659597038338671</v>
      </c>
    </row>
    <row r="8" spans="1:15" x14ac:dyDescent="0.25">
      <c r="A8">
        <v>6.9048284999999998</v>
      </c>
      <c r="B8">
        <v>-61.745990749999997</v>
      </c>
      <c r="C8">
        <v>-47.41257925</v>
      </c>
      <c r="D8">
        <v>59.548575499999998</v>
      </c>
      <c r="E8">
        <v>-19.178349749999999</v>
      </c>
      <c r="F8">
        <v>0.77966100000000005</v>
      </c>
      <c r="G8">
        <v>64.978240999999997</v>
      </c>
      <c r="H8">
        <v>-44</v>
      </c>
      <c r="I8">
        <v>-20</v>
      </c>
      <c r="J8">
        <v>1.18</v>
      </c>
      <c r="K8">
        <v>10.431258</v>
      </c>
      <c r="L8">
        <v>1.5343430127715549</v>
      </c>
      <c r="M8">
        <v>-3.4266484492942868</v>
      </c>
      <c r="N8">
        <v>-2.3775322871149291</v>
      </c>
      <c r="O8">
        <v>-1.5639134390535221</v>
      </c>
    </row>
    <row r="9" spans="1:15" x14ac:dyDescent="0.25">
      <c r="A9">
        <v>4.0614022500000004</v>
      </c>
      <c r="B9">
        <v>-60.790706249999999</v>
      </c>
      <c r="C9">
        <v>-39.3826745</v>
      </c>
      <c r="D9">
        <v>62.090020500000001</v>
      </c>
      <c r="E9">
        <v>-16.323896999999999</v>
      </c>
      <c r="F9">
        <v>0.77966100000000005</v>
      </c>
      <c r="G9">
        <v>65.698432999999994</v>
      </c>
      <c r="H9">
        <v>-44</v>
      </c>
      <c r="I9">
        <v>-16</v>
      </c>
      <c r="J9">
        <v>1.18</v>
      </c>
      <c r="K9">
        <v>10.489603000000001</v>
      </c>
      <c r="L9">
        <v>1.2867937030416381</v>
      </c>
      <c r="M9">
        <v>-3.639774176990942</v>
      </c>
      <c r="N9">
        <v>-2.429612732021909</v>
      </c>
      <c r="O9">
        <v>-1.506706844885223</v>
      </c>
    </row>
    <row r="10" spans="1:15" x14ac:dyDescent="0.25">
      <c r="A10">
        <v>-0.90105749999999996</v>
      </c>
      <c r="B10">
        <v>-59.687164500000002</v>
      </c>
      <c r="C10">
        <v>-30.001346000000002</v>
      </c>
      <c r="D10">
        <v>63.448376750000001</v>
      </c>
      <c r="E10">
        <v>-14.3168615</v>
      </c>
      <c r="F10">
        <v>0.82838750000000005</v>
      </c>
      <c r="G10">
        <v>65.818470250000004</v>
      </c>
      <c r="H10">
        <v>-44</v>
      </c>
      <c r="I10">
        <v>-12</v>
      </c>
      <c r="J10">
        <v>1.18</v>
      </c>
      <c r="K10">
        <v>10.49535975</v>
      </c>
      <c r="L10">
        <v>0.9532500122563069</v>
      </c>
      <c r="M10">
        <v>-4.0339791344526619</v>
      </c>
      <c r="N10">
        <v>-2.6253796825236928</v>
      </c>
      <c r="O10">
        <v>-1.4963029975780711</v>
      </c>
    </row>
    <row r="11" spans="1:15" x14ac:dyDescent="0.25">
      <c r="A11">
        <v>-6.2177012500000002</v>
      </c>
      <c r="B11">
        <v>-59.063426</v>
      </c>
      <c r="C11">
        <v>-21.384418499999999</v>
      </c>
      <c r="D11">
        <v>64.456188499999996</v>
      </c>
      <c r="E11">
        <v>-12.5774285</v>
      </c>
      <c r="F11">
        <v>0.77966100000000005</v>
      </c>
      <c r="G11">
        <v>66.258598000000006</v>
      </c>
      <c r="H11">
        <v>-44</v>
      </c>
      <c r="I11">
        <v>-8</v>
      </c>
      <c r="J11">
        <v>1.18</v>
      </c>
      <c r="K11">
        <v>10.534763999999999</v>
      </c>
      <c r="L11">
        <v>0.54840723009096459</v>
      </c>
      <c r="M11">
        <v>-4.4689850427204441</v>
      </c>
      <c r="N11">
        <v>-2.8526147015110062</v>
      </c>
      <c r="O11">
        <v>-1.4835342784478389</v>
      </c>
    </row>
    <row r="12" spans="1:15" x14ac:dyDescent="0.25">
      <c r="A12">
        <v>-11.39911875</v>
      </c>
      <c r="B12">
        <v>-59.303324750000002</v>
      </c>
      <c r="C12">
        <v>-15.0222035</v>
      </c>
      <c r="D12">
        <v>64.982002500000007</v>
      </c>
      <c r="E12">
        <v>-11.730015</v>
      </c>
      <c r="F12">
        <v>0.82838750000000005</v>
      </c>
      <c r="G12">
        <v>66.218586000000002</v>
      </c>
      <c r="H12">
        <v>-44</v>
      </c>
      <c r="I12">
        <v>-4</v>
      </c>
      <c r="J12">
        <v>1.18</v>
      </c>
      <c r="K12">
        <v>10.5276</v>
      </c>
      <c r="L12">
        <v>0.14211286150334559</v>
      </c>
      <c r="M12">
        <v>-4.8890517273152936</v>
      </c>
      <c r="N12">
        <v>-3.0667480975231598</v>
      </c>
      <c r="O12">
        <v>-1.494546251150207</v>
      </c>
    </row>
    <row r="13" spans="1:15" x14ac:dyDescent="0.25">
      <c r="A13">
        <v>-16.715703749999999</v>
      </c>
      <c r="B13">
        <v>-55.700936499999997</v>
      </c>
      <c r="C13">
        <v>-6.5858880000000006</v>
      </c>
      <c r="D13">
        <v>62.177653499999998</v>
      </c>
      <c r="E13">
        <v>-9.187767749999999</v>
      </c>
      <c r="F13">
        <v>0.77966100000000005</v>
      </c>
      <c r="G13">
        <v>63.417794999999998</v>
      </c>
      <c r="H13">
        <v>-44</v>
      </c>
      <c r="I13">
        <v>0</v>
      </c>
      <c r="J13">
        <v>1.18</v>
      </c>
      <c r="K13">
        <v>10.303699</v>
      </c>
      <c r="L13">
        <v>-0.37488659512702022</v>
      </c>
      <c r="M13">
        <v>-4.3625969404933693</v>
      </c>
      <c r="N13">
        <v>-2.6870894020733851</v>
      </c>
      <c r="O13">
        <v>-1.368894003594352</v>
      </c>
    </row>
    <row r="14" spans="1:15" x14ac:dyDescent="0.25">
      <c r="A14">
        <v>-24.285078250000002</v>
      </c>
      <c r="B14">
        <v>-55.273002750000003</v>
      </c>
      <c r="C14">
        <v>-0.94733999999999996</v>
      </c>
      <c r="D14">
        <v>60.030576999999987</v>
      </c>
      <c r="E14">
        <v>-10.213586250000001</v>
      </c>
      <c r="F14">
        <v>0.68220750000000008</v>
      </c>
      <c r="G14">
        <v>61.6573055</v>
      </c>
      <c r="H14">
        <v>-44</v>
      </c>
      <c r="I14">
        <v>4</v>
      </c>
      <c r="J14">
        <v>1.18</v>
      </c>
      <c r="K14">
        <v>10.166001250000001</v>
      </c>
      <c r="L14">
        <v>-0.78931172766538782</v>
      </c>
      <c r="M14">
        <v>-3.9000801221713228</v>
      </c>
      <c r="N14">
        <v>-2.4310062284936489</v>
      </c>
      <c r="O14">
        <v>-1.368540583839714</v>
      </c>
    </row>
    <row r="15" spans="1:15" x14ac:dyDescent="0.25">
      <c r="A15">
        <v>-29.60166225</v>
      </c>
      <c r="B15">
        <v>-53.305820249999996</v>
      </c>
      <c r="C15">
        <v>3.1161952500000001</v>
      </c>
      <c r="D15">
        <v>57.3576835</v>
      </c>
      <c r="E15">
        <v>-10.168985749999999</v>
      </c>
      <c r="F15">
        <v>0.73093425000000001</v>
      </c>
      <c r="G15">
        <v>59.336654500000002</v>
      </c>
      <c r="H15">
        <v>-44</v>
      </c>
      <c r="I15">
        <v>8</v>
      </c>
      <c r="J15">
        <v>1.18</v>
      </c>
      <c r="K15">
        <v>9.9665257500000006</v>
      </c>
      <c r="L15">
        <v>-1.045813308647128</v>
      </c>
      <c r="M15">
        <v>-3.5373510177448009</v>
      </c>
      <c r="N15">
        <v>-2.2217742717341071</v>
      </c>
      <c r="O15">
        <v>-1.3484502123747111</v>
      </c>
    </row>
    <row r="16" spans="1:15" x14ac:dyDescent="0.25">
      <c r="A16">
        <v>-35.008361000000001</v>
      </c>
      <c r="B16">
        <v>-52.058340250000001</v>
      </c>
      <c r="C16">
        <v>7.1807867500000002</v>
      </c>
      <c r="D16">
        <v>55.0791465</v>
      </c>
      <c r="E16">
        <v>-10.48119075</v>
      </c>
      <c r="F16">
        <v>0.63348075000000004</v>
      </c>
      <c r="G16">
        <v>57.816225250000002</v>
      </c>
      <c r="H16">
        <v>-44</v>
      </c>
      <c r="I16">
        <v>12</v>
      </c>
      <c r="J16">
        <v>1.18</v>
      </c>
      <c r="K16">
        <v>9.8447905000000002</v>
      </c>
      <c r="L16">
        <v>-1.2764494606150429</v>
      </c>
      <c r="M16">
        <v>-3.241512455948564</v>
      </c>
      <c r="N16">
        <v>-2.0664025529602781</v>
      </c>
      <c r="O16">
        <v>-1.336276750267219</v>
      </c>
    </row>
    <row r="17" spans="1:15" x14ac:dyDescent="0.25">
      <c r="A17">
        <v>-43.523906250000003</v>
      </c>
      <c r="B17">
        <v>-53.877826749999997</v>
      </c>
      <c r="C17">
        <v>11.5163505</v>
      </c>
      <c r="D17">
        <v>54.684789000000002</v>
      </c>
      <c r="E17">
        <v>-12.44362725</v>
      </c>
      <c r="F17">
        <v>0.73093425000000001</v>
      </c>
      <c r="G17">
        <v>59.296644000000001</v>
      </c>
      <c r="H17">
        <v>-44</v>
      </c>
      <c r="I17">
        <v>16</v>
      </c>
      <c r="J17">
        <v>1.18</v>
      </c>
      <c r="K17">
        <v>9.9631257499999997</v>
      </c>
      <c r="L17">
        <v>-1.5180730152039561</v>
      </c>
      <c r="M17">
        <v>-2.994339752052793</v>
      </c>
      <c r="N17">
        <v>-1.9787544371125521</v>
      </c>
      <c r="O17">
        <v>-1.3634084960570949</v>
      </c>
    </row>
    <row r="18" spans="1:15" x14ac:dyDescent="0.25">
      <c r="A18">
        <v>-51.183391749999998</v>
      </c>
      <c r="B18">
        <v>-57.284198750000002</v>
      </c>
      <c r="C18">
        <v>13.593807999999999</v>
      </c>
      <c r="D18">
        <v>53.370247999999997</v>
      </c>
      <c r="E18">
        <v>-16.011692499999999</v>
      </c>
      <c r="F18">
        <v>0.77966100000000005</v>
      </c>
      <c r="G18">
        <v>59.976827499999999</v>
      </c>
      <c r="H18">
        <v>-44</v>
      </c>
      <c r="I18">
        <v>20</v>
      </c>
      <c r="J18">
        <v>1.18</v>
      </c>
      <c r="K18">
        <v>10.016693</v>
      </c>
      <c r="L18">
        <v>-1.694826105215121</v>
      </c>
      <c r="M18">
        <v>-2.8952331971315761</v>
      </c>
      <c r="N18">
        <v>-1.9883095976065721</v>
      </c>
      <c r="O18">
        <v>-1.4394481556484611</v>
      </c>
    </row>
    <row r="19" spans="1:15" x14ac:dyDescent="0.25">
      <c r="A19">
        <v>-58.302208999999998</v>
      </c>
      <c r="B19">
        <v>-60.742728749999998</v>
      </c>
      <c r="C19">
        <v>15.987401</v>
      </c>
      <c r="D19">
        <v>51.354622999999997</v>
      </c>
      <c r="E19">
        <v>-19.490555749999999</v>
      </c>
      <c r="F19">
        <v>0.77966100000000005</v>
      </c>
      <c r="G19">
        <v>60.817065999999997</v>
      </c>
      <c r="H19">
        <v>-44</v>
      </c>
      <c r="I19">
        <v>24</v>
      </c>
      <c r="J19">
        <v>1.18</v>
      </c>
      <c r="K19">
        <v>10.087533000000001</v>
      </c>
      <c r="L19">
        <v>-1.8558605269635911</v>
      </c>
      <c r="M19">
        <v>-2.8003177272249351</v>
      </c>
      <c r="N19">
        <v>-2.0062629590821421</v>
      </c>
      <c r="O19">
        <v>-1.5064406504854999</v>
      </c>
    </row>
    <row r="20" spans="1:15" x14ac:dyDescent="0.25">
      <c r="A20">
        <v>-65.691360500000002</v>
      </c>
      <c r="B20">
        <v>-65.300830750000003</v>
      </c>
      <c r="C20">
        <v>17.929371750000001</v>
      </c>
      <c r="D20">
        <v>49.645723500000003</v>
      </c>
      <c r="E20">
        <v>-23.950636750000001</v>
      </c>
      <c r="F20">
        <v>0.73093425000000001</v>
      </c>
      <c r="G20">
        <v>61.777340000000002</v>
      </c>
      <c r="H20">
        <v>-44</v>
      </c>
      <c r="I20">
        <v>28</v>
      </c>
      <c r="J20">
        <v>1.18</v>
      </c>
      <c r="K20">
        <v>10.171943750000001</v>
      </c>
      <c r="L20">
        <v>-2.012771783987739</v>
      </c>
      <c r="M20">
        <v>-2.7668276279689281</v>
      </c>
      <c r="N20">
        <v>-2.0635459685189228</v>
      </c>
      <c r="O20">
        <v>-1.5941300004372221</v>
      </c>
    </row>
    <row r="21" spans="1:15" x14ac:dyDescent="0.25">
      <c r="A21">
        <v>-71.143112000000002</v>
      </c>
      <c r="B21">
        <v>-68.606657249999998</v>
      </c>
      <c r="C21">
        <v>19.239073749999999</v>
      </c>
      <c r="D21">
        <v>46.359376999999988</v>
      </c>
      <c r="E21">
        <v>-28.6337215</v>
      </c>
      <c r="F21">
        <v>0.77966100000000005</v>
      </c>
      <c r="G21">
        <v>62.017403000000002</v>
      </c>
      <c r="H21">
        <v>-44</v>
      </c>
      <c r="I21">
        <v>32</v>
      </c>
      <c r="J21">
        <v>1.18</v>
      </c>
      <c r="K21">
        <v>10.187872499999999</v>
      </c>
      <c r="L21">
        <v>-2.1916038461512759</v>
      </c>
      <c r="M21">
        <v>-2.7877270085081318</v>
      </c>
      <c r="N21">
        <v>-2.1982119137491538</v>
      </c>
      <c r="O21">
        <v>-1.7132681917629149</v>
      </c>
    </row>
    <row r="22" spans="1:15" x14ac:dyDescent="0.25">
      <c r="A22">
        <v>-77.045420000000007</v>
      </c>
      <c r="B22">
        <v>-73.308370499999995</v>
      </c>
      <c r="C22">
        <v>20.187478250000002</v>
      </c>
      <c r="D22">
        <v>43.204484999999998</v>
      </c>
      <c r="E22">
        <v>-34.654832749999997</v>
      </c>
      <c r="F22">
        <v>0.82838750000000005</v>
      </c>
      <c r="G22">
        <v>62.697597500000001</v>
      </c>
      <c r="H22">
        <v>-44</v>
      </c>
      <c r="I22">
        <v>36</v>
      </c>
      <c r="J22">
        <v>1.18</v>
      </c>
      <c r="K22">
        <v>10.240264249999999</v>
      </c>
      <c r="L22">
        <v>-2.399577260732626</v>
      </c>
      <c r="M22">
        <v>-2.875376545894325</v>
      </c>
      <c r="N22">
        <v>-2.4025613535429229</v>
      </c>
      <c r="O22">
        <v>-1.8757093298083569</v>
      </c>
    </row>
    <row r="23" spans="1:15" x14ac:dyDescent="0.25">
      <c r="A23">
        <v>-82.086305250000009</v>
      </c>
      <c r="B23">
        <v>-76.672101999999995</v>
      </c>
      <c r="C23">
        <v>20.097154</v>
      </c>
      <c r="D23">
        <v>39.830503499999999</v>
      </c>
      <c r="E23">
        <v>-41.032747000000001</v>
      </c>
      <c r="F23">
        <v>0.77966100000000005</v>
      </c>
      <c r="G23">
        <v>63.377780999999999</v>
      </c>
      <c r="H23">
        <v>-44</v>
      </c>
      <c r="I23">
        <v>40</v>
      </c>
      <c r="J23">
        <v>1.18</v>
      </c>
      <c r="K23">
        <v>10.300413000000001</v>
      </c>
      <c r="L23">
        <v>-2.664751436500731</v>
      </c>
      <c r="M23">
        <v>-3.0381998152581349</v>
      </c>
      <c r="N23">
        <v>-2.722876732382129</v>
      </c>
      <c r="O23">
        <v>-2.0904226964921109</v>
      </c>
    </row>
    <row r="24" spans="1:15" x14ac:dyDescent="0.25">
      <c r="A24">
        <v>-80.644786750000009</v>
      </c>
      <c r="B24">
        <v>-76.613231749999997</v>
      </c>
      <c r="C24">
        <v>19.871344000000001</v>
      </c>
      <c r="D24">
        <v>35.317255000000003</v>
      </c>
      <c r="E24">
        <v>-46.117241999999997</v>
      </c>
      <c r="F24">
        <v>0.77966100000000005</v>
      </c>
      <c r="G24">
        <v>63.697876000000001</v>
      </c>
      <c r="H24">
        <v>-44</v>
      </c>
      <c r="I24">
        <v>44</v>
      </c>
      <c r="J24">
        <v>1.18</v>
      </c>
      <c r="K24">
        <v>10.326715</v>
      </c>
      <c r="L24">
        <v>-3.0928452489710718</v>
      </c>
      <c r="M24">
        <v>-3.444520508638123</v>
      </c>
      <c r="N24">
        <v>-3.3802267980625911</v>
      </c>
      <c r="O24">
        <v>-2.443089836137728</v>
      </c>
    </row>
    <row r="25" spans="1:15" x14ac:dyDescent="0.25">
      <c r="A25">
        <v>22.2925605</v>
      </c>
      <c r="B25">
        <v>-78.351400249999998</v>
      </c>
      <c r="C25">
        <v>-84.094003999999998</v>
      </c>
      <c r="D25">
        <v>38.209237999999999</v>
      </c>
      <c r="E25">
        <v>-32.781597499999997</v>
      </c>
      <c r="F25">
        <v>0.77966100000000005</v>
      </c>
      <c r="G25">
        <v>64.658150000000006</v>
      </c>
      <c r="H25">
        <v>-40</v>
      </c>
      <c r="I25">
        <v>-44</v>
      </c>
      <c r="J25">
        <v>1.18</v>
      </c>
      <c r="K25">
        <v>10.405220999999999</v>
      </c>
      <c r="L25">
        <v>2.1962273032487589</v>
      </c>
      <c r="M25">
        <v>-2.4062533864985731</v>
      </c>
      <c r="N25">
        <v>-2.011540515146728</v>
      </c>
      <c r="O25">
        <v>-1.692842261320348</v>
      </c>
    </row>
    <row r="26" spans="1:15" x14ac:dyDescent="0.25">
      <c r="A26">
        <v>22.834079249999998</v>
      </c>
      <c r="B26">
        <v>-73.884099999999989</v>
      </c>
      <c r="C26">
        <v>-79.611975000000001</v>
      </c>
      <c r="D26">
        <v>42.853940999999999</v>
      </c>
      <c r="E26">
        <v>-27.697106000000002</v>
      </c>
      <c r="F26">
        <v>0.77966100000000005</v>
      </c>
      <c r="G26">
        <v>64.818191999999996</v>
      </c>
      <c r="H26">
        <v>-40</v>
      </c>
      <c r="I26">
        <v>-40</v>
      </c>
      <c r="J26">
        <v>1.18</v>
      </c>
      <c r="K26">
        <v>10.418246999999999</v>
      </c>
      <c r="L26">
        <v>2.088584234273041</v>
      </c>
      <c r="M26">
        <v>-2.379973823864288</v>
      </c>
      <c r="N26">
        <v>-1.8861503927784089</v>
      </c>
      <c r="O26">
        <v>-1.5805688375799041</v>
      </c>
    </row>
    <row r="27" spans="1:15" x14ac:dyDescent="0.25">
      <c r="A27">
        <v>23.195093</v>
      </c>
      <c r="B27">
        <v>-69.76297375</v>
      </c>
      <c r="C27">
        <v>-73.988288999999995</v>
      </c>
      <c r="D27">
        <v>47.673915999999998</v>
      </c>
      <c r="E27">
        <v>-22.389608750000001</v>
      </c>
      <c r="F27">
        <v>0.73093425000000001</v>
      </c>
      <c r="G27">
        <v>65.298325000000006</v>
      </c>
      <c r="H27">
        <v>-40</v>
      </c>
      <c r="I27">
        <v>-36</v>
      </c>
      <c r="J27">
        <v>1.18</v>
      </c>
      <c r="K27">
        <v>10.461176</v>
      </c>
      <c r="L27">
        <v>1.9638551541107589</v>
      </c>
      <c r="M27">
        <v>-2.3731432579403329</v>
      </c>
      <c r="N27">
        <v>-1.7719823275778119</v>
      </c>
      <c r="O27">
        <v>-1.4672134991874399</v>
      </c>
    </row>
    <row r="28" spans="1:15" x14ac:dyDescent="0.25">
      <c r="A28">
        <v>23.149965999999999</v>
      </c>
      <c r="B28">
        <v>-65.828615249999999</v>
      </c>
      <c r="C28">
        <v>-66.995492499999997</v>
      </c>
      <c r="D28">
        <v>52.362435499999997</v>
      </c>
      <c r="E28">
        <v>-17.2605155</v>
      </c>
      <c r="F28">
        <v>0.82838750000000005</v>
      </c>
      <c r="G28">
        <v>66.018531999999993</v>
      </c>
      <c r="H28">
        <v>-40</v>
      </c>
      <c r="I28">
        <v>-32</v>
      </c>
      <c r="J28">
        <v>1.18</v>
      </c>
      <c r="K28">
        <v>10.51149975</v>
      </c>
      <c r="L28">
        <v>1.834035739993267</v>
      </c>
      <c r="M28">
        <v>-2.404641554854916</v>
      </c>
      <c r="N28">
        <v>-1.694343170416581</v>
      </c>
      <c r="O28">
        <v>-1.3680308953858791</v>
      </c>
    </row>
    <row r="29" spans="1:15" x14ac:dyDescent="0.25">
      <c r="A29">
        <v>21.796168000000002</v>
      </c>
      <c r="B29">
        <v>-61.410158250000002</v>
      </c>
      <c r="C29">
        <v>-58.739482000000002</v>
      </c>
      <c r="D29">
        <v>56.086961000000002</v>
      </c>
      <c r="E29">
        <v>-12.845034</v>
      </c>
      <c r="F29">
        <v>0.82838750000000005</v>
      </c>
      <c r="G29">
        <v>66.098557</v>
      </c>
      <c r="H29">
        <v>-40</v>
      </c>
      <c r="I29">
        <v>-28</v>
      </c>
      <c r="J29">
        <v>1.18</v>
      </c>
      <c r="K29">
        <v>10.51795375</v>
      </c>
      <c r="L29">
        <v>1.705167427062374</v>
      </c>
      <c r="M29">
        <v>-2.4878340200356091</v>
      </c>
      <c r="N29">
        <v>-1.6715173806326269</v>
      </c>
      <c r="O29">
        <v>-1.28951601632213</v>
      </c>
    </row>
    <row r="30" spans="1:15" x14ac:dyDescent="0.25">
      <c r="A30">
        <v>19.494709749999998</v>
      </c>
      <c r="B30">
        <v>-57.6240235</v>
      </c>
      <c r="C30">
        <v>-49.896975750000003</v>
      </c>
      <c r="D30">
        <v>59.899125499999997</v>
      </c>
      <c r="E30">
        <v>-8.9647639999999988</v>
      </c>
      <c r="F30">
        <v>0.77966100000000005</v>
      </c>
      <c r="G30">
        <v>66.738724000000005</v>
      </c>
      <c r="H30">
        <v>-40</v>
      </c>
      <c r="I30">
        <v>-24</v>
      </c>
      <c r="J30">
        <v>1.18</v>
      </c>
      <c r="K30">
        <v>10.573316</v>
      </c>
      <c r="L30">
        <v>1.54909248957699</v>
      </c>
      <c r="M30">
        <v>-2.6235752677978321</v>
      </c>
      <c r="N30">
        <v>-1.6900145737550001</v>
      </c>
      <c r="O30">
        <v>-1.217564877857922</v>
      </c>
    </row>
    <row r="31" spans="1:15" x14ac:dyDescent="0.25">
      <c r="A31">
        <v>16.696857999999999</v>
      </c>
      <c r="B31">
        <v>-53.302133750000003</v>
      </c>
      <c r="C31">
        <v>-40.422866999999997</v>
      </c>
      <c r="D31">
        <v>60.687846499999999</v>
      </c>
      <c r="E31">
        <v>-5.3074965000000001</v>
      </c>
      <c r="F31">
        <v>0.77966100000000005</v>
      </c>
      <c r="G31">
        <v>64.978237500000006</v>
      </c>
      <c r="H31">
        <v>-40</v>
      </c>
      <c r="I31">
        <v>-20</v>
      </c>
      <c r="J31">
        <v>1.18</v>
      </c>
      <c r="K31">
        <v>10.431245499999999</v>
      </c>
      <c r="L31">
        <v>1.3745436234869131</v>
      </c>
      <c r="M31">
        <v>-2.7432650965287859</v>
      </c>
      <c r="N31">
        <v>-1.6914932245463961</v>
      </c>
      <c r="O31">
        <v>-1.1465082388278289</v>
      </c>
    </row>
    <row r="32" spans="1:15" x14ac:dyDescent="0.25">
      <c r="A32">
        <v>12.454955249999999</v>
      </c>
      <c r="B32">
        <v>-49.128152</v>
      </c>
      <c r="C32">
        <v>-29.09335875</v>
      </c>
      <c r="D32">
        <v>60.1620305</v>
      </c>
      <c r="E32">
        <v>-1.917835</v>
      </c>
      <c r="F32">
        <v>0.73093425000000001</v>
      </c>
      <c r="G32">
        <v>62.657584999999997</v>
      </c>
      <c r="H32">
        <v>-40</v>
      </c>
      <c r="I32">
        <v>-16</v>
      </c>
      <c r="J32">
        <v>1.18</v>
      </c>
      <c r="K32">
        <v>10.2450125</v>
      </c>
      <c r="L32">
        <v>1.11713624547861</v>
      </c>
      <c r="M32">
        <v>-2.9386812616263809</v>
      </c>
      <c r="N32">
        <v>-1.7364497281763249</v>
      </c>
      <c r="O32">
        <v>-1.071314067194594</v>
      </c>
    </row>
    <row r="33" spans="1:15" x14ac:dyDescent="0.25">
      <c r="A33">
        <v>7.5361529999999997</v>
      </c>
      <c r="B33">
        <v>-47.544904750000001</v>
      </c>
      <c r="C33">
        <v>-20.933269500000002</v>
      </c>
      <c r="D33">
        <v>59.636211500000002</v>
      </c>
      <c r="E33">
        <v>-0.89201600000000003</v>
      </c>
      <c r="F33">
        <v>0.77966100000000005</v>
      </c>
      <c r="G33">
        <v>60.9370975</v>
      </c>
      <c r="H33">
        <v>-40</v>
      </c>
      <c r="I33">
        <v>-12</v>
      </c>
      <c r="J33">
        <v>1.18</v>
      </c>
      <c r="K33">
        <v>10.09761</v>
      </c>
      <c r="L33">
        <v>0.85371901741378453</v>
      </c>
      <c r="M33">
        <v>-3.214254465904212</v>
      </c>
      <c r="N33">
        <v>-1.8542361144996931</v>
      </c>
      <c r="O33">
        <v>-1.0501575401232079</v>
      </c>
    </row>
    <row r="34" spans="1:15" x14ac:dyDescent="0.25">
      <c r="A34">
        <v>2.6173502499999999</v>
      </c>
      <c r="B34">
        <v>-45.149216500000001</v>
      </c>
      <c r="C34">
        <v>-13.217776750000001</v>
      </c>
      <c r="D34">
        <v>58.014949999999999</v>
      </c>
      <c r="E34">
        <v>0.447071</v>
      </c>
      <c r="F34">
        <v>0.73093425000000001</v>
      </c>
      <c r="G34">
        <v>58.616449500000002</v>
      </c>
      <c r="H34">
        <v>-40</v>
      </c>
      <c r="I34">
        <v>-8</v>
      </c>
      <c r="J34">
        <v>1.18</v>
      </c>
      <c r="K34">
        <v>9.9050932500000002</v>
      </c>
      <c r="L34">
        <v>0.53432472254355989</v>
      </c>
      <c r="M34">
        <v>-3.4820800047081422</v>
      </c>
      <c r="N34">
        <v>-1.963453163677088</v>
      </c>
      <c r="O34">
        <v>-1.009694193509858</v>
      </c>
    </row>
    <row r="35" spans="1:15" x14ac:dyDescent="0.25">
      <c r="A35">
        <v>-2.47806975</v>
      </c>
      <c r="B35">
        <v>-43.706782250000003</v>
      </c>
      <c r="C35">
        <v>-6.1352120000000001</v>
      </c>
      <c r="D35">
        <v>56.8318625</v>
      </c>
      <c r="E35">
        <v>1.475287</v>
      </c>
      <c r="F35">
        <v>0.63348075000000004</v>
      </c>
      <c r="G35">
        <v>57.176046499999998</v>
      </c>
      <c r="H35">
        <v>-40</v>
      </c>
      <c r="I35">
        <v>-4</v>
      </c>
      <c r="J35">
        <v>1.18</v>
      </c>
      <c r="K35">
        <v>9.7895217499999987</v>
      </c>
      <c r="L35">
        <v>0.13854693197896789</v>
      </c>
      <c r="M35">
        <v>-3.80892054547183</v>
      </c>
      <c r="N35">
        <v>-2.1102556137102808</v>
      </c>
      <c r="O35">
        <v>-0.96812519122545138</v>
      </c>
    </row>
    <row r="36" spans="1:15" x14ac:dyDescent="0.25">
      <c r="A36">
        <v>-8.0199335000000005</v>
      </c>
      <c r="B36">
        <v>-42.174451750000003</v>
      </c>
      <c r="C36">
        <v>0.63227825000000004</v>
      </c>
      <c r="D36">
        <v>55.517331499999997</v>
      </c>
      <c r="E36">
        <v>2.324681</v>
      </c>
      <c r="F36">
        <v>0.584754</v>
      </c>
      <c r="G36">
        <v>55.97570975</v>
      </c>
      <c r="H36">
        <v>-40</v>
      </c>
      <c r="I36">
        <v>0</v>
      </c>
      <c r="J36">
        <v>1.18</v>
      </c>
      <c r="K36">
        <v>9.689321249999999</v>
      </c>
      <c r="L36">
        <v>-0.31562016973841001</v>
      </c>
      <c r="M36">
        <v>-3.5626969771470809</v>
      </c>
      <c r="N36">
        <v>-1.9566873362424659</v>
      </c>
      <c r="O36">
        <v>-0.9366361295832617</v>
      </c>
    </row>
    <row r="37" spans="1:15" x14ac:dyDescent="0.25">
      <c r="A37">
        <v>-13.291463</v>
      </c>
      <c r="B37">
        <v>-40.015350499999997</v>
      </c>
      <c r="C37">
        <v>5.6001124999999998</v>
      </c>
      <c r="D37">
        <v>53.414064499999988</v>
      </c>
      <c r="E37">
        <v>2.6376162500000002</v>
      </c>
      <c r="F37">
        <v>0.584754</v>
      </c>
      <c r="G37">
        <v>54.135188249999999</v>
      </c>
      <c r="H37">
        <v>-40</v>
      </c>
      <c r="I37">
        <v>4</v>
      </c>
      <c r="J37">
        <v>1.18</v>
      </c>
      <c r="K37">
        <v>9.5269829999999995</v>
      </c>
      <c r="L37">
        <v>-0.64499052971802573</v>
      </c>
      <c r="M37">
        <v>-3.189716699862867</v>
      </c>
      <c r="N37">
        <v>-1.7581547289684341</v>
      </c>
      <c r="O37">
        <v>-0.92991730665963734</v>
      </c>
    </row>
    <row r="38" spans="1:15" x14ac:dyDescent="0.25">
      <c r="A38">
        <v>-19.91466475</v>
      </c>
      <c r="B38">
        <v>-40.351211499999998</v>
      </c>
      <c r="C38">
        <v>9.890514249999999</v>
      </c>
      <c r="D38">
        <v>52.712979500000003</v>
      </c>
      <c r="E38">
        <v>1.65410675</v>
      </c>
      <c r="F38">
        <v>0.584754</v>
      </c>
      <c r="G38">
        <v>53.895124500000001</v>
      </c>
      <c r="H38">
        <v>-40</v>
      </c>
      <c r="I38">
        <v>8</v>
      </c>
      <c r="J38">
        <v>1.18</v>
      </c>
      <c r="K38">
        <v>9.5056045000000005</v>
      </c>
      <c r="L38">
        <v>-0.93764904456152942</v>
      </c>
      <c r="M38">
        <v>-2.9277717365179519</v>
      </c>
      <c r="N38">
        <v>-1.6434882759648519</v>
      </c>
      <c r="O38">
        <v>-0.96636804324118675</v>
      </c>
    </row>
    <row r="39" spans="1:15" x14ac:dyDescent="0.25">
      <c r="A39">
        <v>-27.258763250000001</v>
      </c>
      <c r="B39">
        <v>-42.1264745</v>
      </c>
      <c r="C39">
        <v>13.54864575</v>
      </c>
      <c r="D39">
        <v>52.975887499999999</v>
      </c>
      <c r="E39">
        <v>4.492924999999999E-2</v>
      </c>
      <c r="F39">
        <v>0.584754</v>
      </c>
      <c r="G39">
        <v>55.015439749999999</v>
      </c>
      <c r="H39">
        <v>-40</v>
      </c>
      <c r="I39">
        <v>12</v>
      </c>
      <c r="J39">
        <v>1.18</v>
      </c>
      <c r="K39">
        <v>9.6049655000000005</v>
      </c>
      <c r="L39">
        <v>-1.174801176965095</v>
      </c>
      <c r="M39">
        <v>-2.737878323027934</v>
      </c>
      <c r="N39">
        <v>-1.58263962534428</v>
      </c>
      <c r="O39">
        <v>-1.015600430315865</v>
      </c>
    </row>
    <row r="40" spans="1:15" x14ac:dyDescent="0.25">
      <c r="A40">
        <v>-33.656685750000001</v>
      </c>
      <c r="B40">
        <v>-42.651287250000003</v>
      </c>
      <c r="C40">
        <v>17.3422655</v>
      </c>
      <c r="D40">
        <v>52.2747995</v>
      </c>
      <c r="E40">
        <v>-0.98121849999999999</v>
      </c>
      <c r="F40">
        <v>0.63348075000000004</v>
      </c>
      <c r="G40">
        <v>55.535587</v>
      </c>
      <c r="H40">
        <v>-40</v>
      </c>
      <c r="I40">
        <v>16</v>
      </c>
      <c r="J40">
        <v>1.18</v>
      </c>
      <c r="K40">
        <v>9.6464684999999992</v>
      </c>
      <c r="L40">
        <v>-1.371987149451904</v>
      </c>
      <c r="M40">
        <v>-2.553672556484726</v>
      </c>
      <c r="N40">
        <v>-1.520432466511338</v>
      </c>
      <c r="O40">
        <v>-1.0434653943183581</v>
      </c>
    </row>
    <row r="41" spans="1:15" x14ac:dyDescent="0.25">
      <c r="A41">
        <v>-40.730444749999997</v>
      </c>
      <c r="B41">
        <v>-45.197194250000003</v>
      </c>
      <c r="C41">
        <v>20.232640750000002</v>
      </c>
      <c r="D41">
        <v>50.741172000000013</v>
      </c>
      <c r="E41">
        <v>-3.9694720000000001</v>
      </c>
      <c r="F41">
        <v>0.584754</v>
      </c>
      <c r="G41">
        <v>56.375818500000001</v>
      </c>
      <c r="H41">
        <v>-40</v>
      </c>
      <c r="I41">
        <v>20</v>
      </c>
      <c r="J41">
        <v>1.18</v>
      </c>
      <c r="K41">
        <v>9.7242525000000004</v>
      </c>
      <c r="L41">
        <v>-1.5633638537602981</v>
      </c>
      <c r="M41">
        <v>-2.4603154332895598</v>
      </c>
      <c r="N41">
        <v>-1.547553113842737</v>
      </c>
      <c r="O41">
        <v>-1.1167650912336631</v>
      </c>
    </row>
    <row r="42" spans="1:15" x14ac:dyDescent="0.25">
      <c r="A42">
        <v>-47.801050250000003</v>
      </c>
      <c r="B42">
        <v>-49.419437250000001</v>
      </c>
      <c r="C42">
        <v>22.626232250000001</v>
      </c>
      <c r="D42">
        <v>49.382816499999997</v>
      </c>
      <c r="E42">
        <v>-7.7159422499999986</v>
      </c>
      <c r="F42">
        <v>0.68220750000000008</v>
      </c>
      <c r="G42">
        <v>57.056015000000002</v>
      </c>
      <c r="H42">
        <v>-40</v>
      </c>
      <c r="I42">
        <v>24</v>
      </c>
      <c r="J42">
        <v>1.18</v>
      </c>
      <c r="K42">
        <v>9.7748954999999995</v>
      </c>
      <c r="L42">
        <v>-1.7221857219083341</v>
      </c>
      <c r="M42">
        <v>-2.4160408370659958</v>
      </c>
      <c r="N42">
        <v>-1.5838995173077111</v>
      </c>
      <c r="O42">
        <v>-1.2053627080215521</v>
      </c>
    </row>
    <row r="43" spans="1:15" x14ac:dyDescent="0.25">
      <c r="A43">
        <v>-55.005899249999999</v>
      </c>
      <c r="B43">
        <v>-54.361382499999998</v>
      </c>
      <c r="C43">
        <v>23.84561025</v>
      </c>
      <c r="D43">
        <v>46.753738499999997</v>
      </c>
      <c r="E43">
        <v>-13.201840499999999</v>
      </c>
      <c r="F43">
        <v>0.584754</v>
      </c>
      <c r="G43">
        <v>57.576154500000001</v>
      </c>
      <c r="H43">
        <v>-40</v>
      </c>
      <c r="I43">
        <v>28</v>
      </c>
      <c r="J43">
        <v>1.18</v>
      </c>
      <c r="K43">
        <v>9.8283037499999999</v>
      </c>
      <c r="L43">
        <v>-1.900869441710046</v>
      </c>
      <c r="M43">
        <v>-2.4375983756973731</v>
      </c>
      <c r="N43">
        <v>-1.7062537528470081</v>
      </c>
      <c r="O43">
        <v>-1.332352806812779</v>
      </c>
    </row>
    <row r="44" spans="1:15" x14ac:dyDescent="0.25">
      <c r="A44">
        <v>-61.99678625</v>
      </c>
      <c r="B44">
        <v>-60.214944750000001</v>
      </c>
      <c r="C44">
        <v>24.658527750000001</v>
      </c>
      <c r="D44">
        <v>43.730297999999998</v>
      </c>
      <c r="E44">
        <v>-19.535156000000001</v>
      </c>
      <c r="F44">
        <v>0.73093425000000001</v>
      </c>
      <c r="G44">
        <v>58.416392999999999</v>
      </c>
      <c r="H44">
        <v>-40</v>
      </c>
      <c r="I44">
        <v>32</v>
      </c>
      <c r="J44">
        <v>1.18</v>
      </c>
      <c r="K44">
        <v>9.8879682500000001</v>
      </c>
      <c r="L44">
        <v>-2.0845312028940581</v>
      </c>
      <c r="M44">
        <v>-2.5004594976459229</v>
      </c>
      <c r="N44">
        <v>-1.8751844146806449</v>
      </c>
      <c r="O44">
        <v>-1.4875295021280599</v>
      </c>
    </row>
    <row r="45" spans="1:15" x14ac:dyDescent="0.25">
      <c r="A45">
        <v>-68.169427749999997</v>
      </c>
      <c r="B45">
        <v>-65.296287500000005</v>
      </c>
      <c r="C45">
        <v>25.245635750000002</v>
      </c>
      <c r="D45">
        <v>40.619227500000001</v>
      </c>
      <c r="E45">
        <v>-26.225279749999999</v>
      </c>
      <c r="F45">
        <v>0.73093425000000001</v>
      </c>
      <c r="G45">
        <v>58.896529999999998</v>
      </c>
      <c r="H45">
        <v>-40</v>
      </c>
      <c r="I45">
        <v>36</v>
      </c>
      <c r="J45">
        <v>1.18</v>
      </c>
      <c r="K45">
        <v>9.9290332499999998</v>
      </c>
      <c r="L45">
        <v>-2.3062190513879011</v>
      </c>
      <c r="M45">
        <v>-2.6148258522321339</v>
      </c>
      <c r="N45">
        <v>-2.101559797310363</v>
      </c>
      <c r="O45">
        <v>-1.665569420005389</v>
      </c>
    </row>
    <row r="46" spans="1:15" x14ac:dyDescent="0.25">
      <c r="A46">
        <v>-72.990402000000003</v>
      </c>
      <c r="B46">
        <v>-69.571054250000003</v>
      </c>
      <c r="C46">
        <v>25.516609249999998</v>
      </c>
      <c r="D46">
        <v>37.026154499999997</v>
      </c>
      <c r="E46">
        <v>-32.826198750000003</v>
      </c>
      <c r="F46">
        <v>0.77966100000000005</v>
      </c>
      <c r="G46">
        <v>59.416677499999999</v>
      </c>
      <c r="H46">
        <v>-40</v>
      </c>
      <c r="I46">
        <v>40</v>
      </c>
      <c r="J46">
        <v>1.18</v>
      </c>
      <c r="K46">
        <v>9.9691900000000011</v>
      </c>
      <c r="L46">
        <v>-2.5616271894256748</v>
      </c>
      <c r="M46">
        <v>-2.7720504806013349</v>
      </c>
      <c r="N46">
        <v>-2.398778001342242</v>
      </c>
      <c r="O46">
        <v>-1.873905208709852</v>
      </c>
    </row>
    <row r="47" spans="1:15" x14ac:dyDescent="0.25">
      <c r="A47">
        <v>-75.648695000000004</v>
      </c>
      <c r="B47">
        <v>-73.596261749999996</v>
      </c>
      <c r="C47">
        <v>25.064987250000001</v>
      </c>
      <c r="D47">
        <v>32.644360499999998</v>
      </c>
      <c r="E47">
        <v>-40.185334500000003</v>
      </c>
      <c r="F47">
        <v>0.77966100000000005</v>
      </c>
      <c r="G47">
        <v>60.216900249999988</v>
      </c>
      <c r="H47">
        <v>-40</v>
      </c>
      <c r="I47">
        <v>44</v>
      </c>
      <c r="J47">
        <v>1.18</v>
      </c>
      <c r="K47">
        <v>10.03698425</v>
      </c>
      <c r="L47">
        <v>-2.9246877224760408</v>
      </c>
      <c r="M47">
        <v>-3.0852528120542688</v>
      </c>
      <c r="N47">
        <v>-2.915818176861348</v>
      </c>
      <c r="O47">
        <v>-2.1896846244423358</v>
      </c>
    </row>
    <row r="48" spans="1:15" x14ac:dyDescent="0.25">
      <c r="A48">
        <v>27.978514749999999</v>
      </c>
      <c r="B48">
        <v>-72.066015500000006</v>
      </c>
      <c r="C48">
        <v>-74.890580999999997</v>
      </c>
      <c r="D48">
        <v>34.879075</v>
      </c>
      <c r="E48">
        <v>-23.326226500000001</v>
      </c>
      <c r="F48">
        <v>0.77966100000000005</v>
      </c>
      <c r="G48">
        <v>60.657024</v>
      </c>
      <c r="H48">
        <v>-36</v>
      </c>
      <c r="I48">
        <v>-44</v>
      </c>
      <c r="J48">
        <v>1.18</v>
      </c>
      <c r="K48">
        <v>10.074078999999999</v>
      </c>
      <c r="L48">
        <v>2.0511402570257751</v>
      </c>
      <c r="M48">
        <v>-2.1324545821465519</v>
      </c>
      <c r="N48">
        <v>-1.6746044612892479</v>
      </c>
      <c r="O48">
        <v>-1.4806562322707331</v>
      </c>
    </row>
    <row r="49" spans="1:15" x14ac:dyDescent="0.25">
      <c r="A49">
        <v>28.745668250000001</v>
      </c>
      <c r="B49">
        <v>-66.87950699999999</v>
      </c>
      <c r="C49">
        <v>-70.189479750000004</v>
      </c>
      <c r="D49">
        <v>40.531591499999998</v>
      </c>
      <c r="E49">
        <v>-17.305115000000001</v>
      </c>
      <c r="F49">
        <v>0.82838750000000005</v>
      </c>
      <c r="G49">
        <v>61.297203000000003</v>
      </c>
      <c r="H49">
        <v>-36</v>
      </c>
      <c r="I49">
        <v>-40</v>
      </c>
      <c r="J49">
        <v>1.18</v>
      </c>
      <c r="K49">
        <v>10.123708499999999</v>
      </c>
      <c r="L49">
        <v>1.931223125594012</v>
      </c>
      <c r="M49">
        <v>-2.096693885007753</v>
      </c>
      <c r="N49">
        <v>-1.5343432122958189</v>
      </c>
      <c r="O49">
        <v>-1.3539805385399</v>
      </c>
    </row>
    <row r="50" spans="1:15" x14ac:dyDescent="0.25">
      <c r="A50">
        <v>29.467695249999998</v>
      </c>
      <c r="B50">
        <v>-62.273716</v>
      </c>
      <c r="C50">
        <v>-64.153258999999991</v>
      </c>
      <c r="D50">
        <v>45.088657499999997</v>
      </c>
      <c r="E50">
        <v>-11.46240925</v>
      </c>
      <c r="F50">
        <v>0.77966100000000005</v>
      </c>
      <c r="G50">
        <v>61.777340000000002</v>
      </c>
      <c r="H50">
        <v>-36</v>
      </c>
      <c r="I50">
        <v>-36</v>
      </c>
      <c r="J50">
        <v>1.18</v>
      </c>
      <c r="K50">
        <v>10.167885999999999</v>
      </c>
      <c r="L50">
        <v>1.809066438413113</v>
      </c>
      <c r="M50">
        <v>-2.0746128300174052</v>
      </c>
      <c r="N50">
        <v>-1.415251919890838</v>
      </c>
      <c r="O50">
        <v>-1.2365569948920641</v>
      </c>
    </row>
    <row r="51" spans="1:15" x14ac:dyDescent="0.25">
      <c r="A51">
        <v>29.287188499999999</v>
      </c>
      <c r="B51">
        <v>-56.712403250000001</v>
      </c>
      <c r="C51">
        <v>-56.528857500000001</v>
      </c>
      <c r="D51">
        <v>49.470453499999998</v>
      </c>
      <c r="E51">
        <v>-5.8873077499999997</v>
      </c>
      <c r="F51">
        <v>0.77966100000000005</v>
      </c>
      <c r="G51">
        <v>62.177446500000002</v>
      </c>
      <c r="H51">
        <v>-36</v>
      </c>
      <c r="I51">
        <v>-32</v>
      </c>
      <c r="J51">
        <v>1.18</v>
      </c>
      <c r="K51">
        <v>10.201176500000001</v>
      </c>
      <c r="L51">
        <v>1.691517672021873</v>
      </c>
      <c r="M51">
        <v>-2.09298918037641</v>
      </c>
      <c r="N51">
        <v>-1.3416392375293069</v>
      </c>
      <c r="O51">
        <v>-1.131422118801459</v>
      </c>
    </row>
    <row r="52" spans="1:15" x14ac:dyDescent="0.25">
      <c r="A52">
        <v>28.339527749999998</v>
      </c>
      <c r="B52">
        <v>-51.818441249999999</v>
      </c>
      <c r="C52">
        <v>-49.217030250000001</v>
      </c>
      <c r="D52">
        <v>53.370249000000001</v>
      </c>
      <c r="E52">
        <v>-1.5164275</v>
      </c>
      <c r="F52">
        <v>0.77966100000000005</v>
      </c>
      <c r="G52">
        <v>62.8576415</v>
      </c>
      <c r="H52">
        <v>-36</v>
      </c>
      <c r="I52">
        <v>-28</v>
      </c>
      <c r="J52">
        <v>1.18</v>
      </c>
      <c r="K52">
        <v>10.25752825</v>
      </c>
      <c r="L52">
        <v>1.582759809727591</v>
      </c>
      <c r="M52">
        <v>-2.146721670532028</v>
      </c>
      <c r="N52">
        <v>-1.31377390451429</v>
      </c>
      <c r="O52">
        <v>-1.0468856327233269</v>
      </c>
    </row>
    <row r="53" spans="1:15" x14ac:dyDescent="0.25">
      <c r="A53">
        <v>26.850349250000001</v>
      </c>
      <c r="B53">
        <v>-46.540635999999999</v>
      </c>
      <c r="C53">
        <v>-40.107063500000002</v>
      </c>
      <c r="D53">
        <v>56.919499500000001</v>
      </c>
      <c r="E53">
        <v>3.53171575</v>
      </c>
      <c r="F53">
        <v>0.73093425000000001</v>
      </c>
      <c r="G53">
        <v>63.097707499999999</v>
      </c>
      <c r="H53">
        <v>-36</v>
      </c>
      <c r="I53">
        <v>-24</v>
      </c>
      <c r="J53">
        <v>1.18</v>
      </c>
      <c r="K53">
        <v>10.281359</v>
      </c>
      <c r="L53">
        <v>1.4290276561340201</v>
      </c>
      <c r="M53">
        <v>-2.2081148536265172</v>
      </c>
      <c r="N53">
        <v>-1.27130430719599</v>
      </c>
      <c r="O53">
        <v>-0.940248960635645</v>
      </c>
    </row>
    <row r="54" spans="1:15" x14ac:dyDescent="0.25">
      <c r="A54">
        <v>23.871991999999999</v>
      </c>
      <c r="B54">
        <v>-44.567282749999997</v>
      </c>
      <c r="C54">
        <v>-32.570775750000003</v>
      </c>
      <c r="D54">
        <v>59.636211500000002</v>
      </c>
      <c r="E54">
        <v>6.2587200000000003</v>
      </c>
      <c r="F54">
        <v>0.77966100000000005</v>
      </c>
      <c r="G54">
        <v>63.657864500000002</v>
      </c>
      <c r="H54">
        <v>-36</v>
      </c>
      <c r="I54">
        <v>-20</v>
      </c>
      <c r="J54">
        <v>1.18</v>
      </c>
      <c r="K54">
        <v>10.3234295</v>
      </c>
      <c r="L54">
        <v>1.259122886101931</v>
      </c>
      <c r="M54">
        <v>-2.324602339017273</v>
      </c>
      <c r="N54">
        <v>-1.2805080313112689</v>
      </c>
      <c r="O54">
        <v>-0.87781694605330407</v>
      </c>
    </row>
    <row r="55" spans="1:15" x14ac:dyDescent="0.25">
      <c r="A55">
        <v>20.57774775</v>
      </c>
      <c r="B55">
        <v>-43.134054250000013</v>
      </c>
      <c r="C55">
        <v>-24.04463325</v>
      </c>
      <c r="D55">
        <v>62.221469999999997</v>
      </c>
      <c r="E55">
        <v>9.2986602499999993</v>
      </c>
      <c r="F55">
        <v>0.77966100000000005</v>
      </c>
      <c r="G55">
        <v>64.298040499999999</v>
      </c>
      <c r="H55">
        <v>-36</v>
      </c>
      <c r="I55">
        <v>-16</v>
      </c>
      <c r="J55">
        <v>1.18</v>
      </c>
      <c r="K55">
        <v>10.375849000000001</v>
      </c>
      <c r="L55">
        <v>1.040440310122581</v>
      </c>
      <c r="M55">
        <v>-2.4565412377625591</v>
      </c>
      <c r="N55">
        <v>-1.28240890530207</v>
      </c>
      <c r="O55">
        <v>-0.8013721481444811</v>
      </c>
    </row>
    <row r="56" spans="1:15" x14ac:dyDescent="0.25">
      <c r="A56">
        <v>16.516351749999998</v>
      </c>
      <c r="B56">
        <v>-42.126473249999997</v>
      </c>
      <c r="C56">
        <v>-15.880412</v>
      </c>
      <c r="D56">
        <v>63.448376000000003</v>
      </c>
      <c r="E56">
        <v>11.399794999999999</v>
      </c>
      <c r="F56">
        <v>0.82838750000000005</v>
      </c>
      <c r="G56">
        <v>64.378063249999997</v>
      </c>
      <c r="H56">
        <v>-36</v>
      </c>
      <c r="I56">
        <v>-12</v>
      </c>
      <c r="J56">
        <v>1.18</v>
      </c>
      <c r="K56">
        <v>10.378406249999999</v>
      </c>
      <c r="L56">
        <v>0.80182292055016013</v>
      </c>
      <c r="M56">
        <v>-2.6130964345558878</v>
      </c>
      <c r="N56">
        <v>-1.3112829173415741</v>
      </c>
      <c r="O56">
        <v>-0.73836236391689092</v>
      </c>
    </row>
    <row r="57" spans="1:15" x14ac:dyDescent="0.25">
      <c r="A57">
        <v>11.41704275</v>
      </c>
      <c r="B57">
        <v>-41.307981499999997</v>
      </c>
      <c r="C57">
        <v>-6.9021522500000003</v>
      </c>
      <c r="D57">
        <v>64.587643</v>
      </c>
      <c r="E57">
        <v>13.41151975</v>
      </c>
      <c r="F57">
        <v>0.77966100000000005</v>
      </c>
      <c r="G57">
        <v>65.018251499999991</v>
      </c>
      <c r="H57">
        <v>-36</v>
      </c>
      <c r="I57">
        <v>-8</v>
      </c>
      <c r="J57">
        <v>1.18</v>
      </c>
      <c r="K57">
        <v>10.434506499999999</v>
      </c>
      <c r="L57">
        <v>0.48829540109883668</v>
      </c>
      <c r="M57">
        <v>-2.8227348111541239</v>
      </c>
      <c r="N57">
        <v>-1.3756518018224571</v>
      </c>
      <c r="O57">
        <v>-0.66334033221099986</v>
      </c>
    </row>
    <row r="58" spans="1:15" x14ac:dyDescent="0.25">
      <c r="A58">
        <v>5.5505817500000001</v>
      </c>
      <c r="B58">
        <v>-41.598692999999997</v>
      </c>
      <c r="C58">
        <v>0.49679224999999999</v>
      </c>
      <c r="D58">
        <v>65.332548500000001</v>
      </c>
      <c r="E58">
        <v>14.39502925</v>
      </c>
      <c r="F58">
        <v>0.87711399999999995</v>
      </c>
      <c r="G58">
        <v>65.458365999999998</v>
      </c>
      <c r="H58">
        <v>-36</v>
      </c>
      <c r="I58">
        <v>-4</v>
      </c>
      <c r="J58">
        <v>1.18</v>
      </c>
      <c r="K58">
        <v>10.462298499999999</v>
      </c>
      <c r="L58">
        <v>0.144611329079256</v>
      </c>
      <c r="M58">
        <v>-3.059916741638919</v>
      </c>
      <c r="N58">
        <v>-1.461219150726951</v>
      </c>
      <c r="O58">
        <v>-0.61318289970058659</v>
      </c>
    </row>
    <row r="59" spans="1:15" x14ac:dyDescent="0.25">
      <c r="A59">
        <v>-1.0812572499999999</v>
      </c>
      <c r="B59">
        <v>-41.310814000000001</v>
      </c>
      <c r="C59">
        <v>7.225949</v>
      </c>
      <c r="D59">
        <v>65.639271000000008</v>
      </c>
      <c r="E59">
        <v>14.8867835</v>
      </c>
      <c r="F59">
        <v>0.82838750000000005</v>
      </c>
      <c r="G59">
        <v>65.698432999999994</v>
      </c>
      <c r="H59">
        <v>-36</v>
      </c>
      <c r="I59">
        <v>0</v>
      </c>
      <c r="J59">
        <v>1.18</v>
      </c>
      <c r="K59">
        <v>10.485661</v>
      </c>
      <c r="L59">
        <v>-0.23022003949033429</v>
      </c>
      <c r="M59">
        <v>-2.9640512951828502</v>
      </c>
      <c r="N59">
        <v>-1.408226581283142</v>
      </c>
      <c r="O59">
        <v>-0.61038983861627372</v>
      </c>
    </row>
    <row r="60" spans="1:15" x14ac:dyDescent="0.25">
      <c r="A60">
        <v>-8.5149819999999998</v>
      </c>
      <c r="B60">
        <v>-41.742632999999998</v>
      </c>
      <c r="C60">
        <v>13.86478075</v>
      </c>
      <c r="D60">
        <v>65.902177999999992</v>
      </c>
      <c r="E60">
        <v>15.244424</v>
      </c>
      <c r="F60">
        <v>0.82838750000000005</v>
      </c>
      <c r="G60">
        <v>66.258598000000006</v>
      </c>
      <c r="H60">
        <v>-36</v>
      </c>
      <c r="I60">
        <v>4</v>
      </c>
      <c r="J60">
        <v>1.18</v>
      </c>
      <c r="K60">
        <v>10.53084125</v>
      </c>
      <c r="L60">
        <v>-0.5543640065604567</v>
      </c>
      <c r="M60">
        <v>-2.6662891404694049</v>
      </c>
      <c r="N60">
        <v>-1.263620555089332</v>
      </c>
      <c r="O60">
        <v>-0.64296003267381707</v>
      </c>
    </row>
    <row r="61" spans="1:15" x14ac:dyDescent="0.25">
      <c r="A61">
        <v>-15.5893085</v>
      </c>
      <c r="B61">
        <v>-41.502731500000003</v>
      </c>
      <c r="C61">
        <v>19.555208749999998</v>
      </c>
      <c r="D61">
        <v>65.770723500000003</v>
      </c>
      <c r="E61">
        <v>15.333835000000001</v>
      </c>
      <c r="F61">
        <v>0.82838750000000005</v>
      </c>
      <c r="G61">
        <v>66.578682000000001</v>
      </c>
      <c r="H61">
        <v>-36</v>
      </c>
      <c r="I61">
        <v>8</v>
      </c>
      <c r="J61">
        <v>1.18</v>
      </c>
      <c r="K61">
        <v>10.556568</v>
      </c>
      <c r="L61">
        <v>-0.80093399617031114</v>
      </c>
      <c r="M61">
        <v>-2.4448220795760158</v>
      </c>
      <c r="N61">
        <v>-1.167943206748953</v>
      </c>
      <c r="O61">
        <v>-0.66946257214540572</v>
      </c>
    </row>
    <row r="62" spans="1:15" x14ac:dyDescent="0.25">
      <c r="A62">
        <v>-24.8240865</v>
      </c>
      <c r="B62">
        <v>-42.1264745</v>
      </c>
      <c r="C62">
        <v>24.387556</v>
      </c>
      <c r="D62">
        <v>64.762912999999998</v>
      </c>
      <c r="E62">
        <v>12.830354249999999</v>
      </c>
      <c r="F62">
        <v>0.77966100000000005</v>
      </c>
      <c r="G62">
        <v>66.858755500000001</v>
      </c>
      <c r="H62">
        <v>-36</v>
      </c>
      <c r="I62">
        <v>12</v>
      </c>
      <c r="J62">
        <v>1.18</v>
      </c>
      <c r="K62">
        <v>10.582931</v>
      </c>
      <c r="L62">
        <v>-1.0627740107601229</v>
      </c>
      <c r="M62">
        <v>-2.3083885259578789</v>
      </c>
      <c r="N62">
        <v>-1.1668308950875841</v>
      </c>
      <c r="O62">
        <v>-0.73976462994996783</v>
      </c>
    </row>
    <row r="63" spans="1:15" x14ac:dyDescent="0.25">
      <c r="A63">
        <v>-31.760184249999998</v>
      </c>
      <c r="B63">
        <v>-41.214851499999988</v>
      </c>
      <c r="C63">
        <v>27.955364249999999</v>
      </c>
      <c r="D63">
        <v>61.958568</v>
      </c>
      <c r="E63">
        <v>10.50569475</v>
      </c>
      <c r="F63">
        <v>0.82838750000000005</v>
      </c>
      <c r="G63">
        <v>65.378345499999995</v>
      </c>
      <c r="H63">
        <v>-36</v>
      </c>
      <c r="I63">
        <v>16</v>
      </c>
      <c r="J63">
        <v>1.18</v>
      </c>
      <c r="K63">
        <v>10.459759249999999</v>
      </c>
      <c r="L63">
        <v>-1.2707367950312121</v>
      </c>
      <c r="M63">
        <v>-2.19548620704784</v>
      </c>
      <c r="N63">
        <v>-1.1676760465232761</v>
      </c>
      <c r="O63">
        <v>-0.79406783640122747</v>
      </c>
    </row>
    <row r="64" spans="1:15" x14ac:dyDescent="0.25">
      <c r="A64">
        <v>-38.337465999999999</v>
      </c>
      <c r="B64">
        <v>-42.456401749999998</v>
      </c>
      <c r="C64">
        <v>29.400550750000001</v>
      </c>
      <c r="D64">
        <v>57.226228999999996</v>
      </c>
      <c r="E64">
        <v>5.9457857499999998</v>
      </c>
      <c r="F64">
        <v>0.77966100000000005</v>
      </c>
      <c r="G64">
        <v>62.577559999999998</v>
      </c>
      <c r="H64">
        <v>-36</v>
      </c>
      <c r="I64">
        <v>20</v>
      </c>
      <c r="J64">
        <v>1.18</v>
      </c>
      <c r="K64">
        <v>10.234363999999999</v>
      </c>
      <c r="L64">
        <v>-1.4616769348732921</v>
      </c>
      <c r="M64">
        <v>-2.1509905529924098</v>
      </c>
      <c r="N64">
        <v>-1.222022799425313</v>
      </c>
      <c r="O64">
        <v>-0.88852416308513893</v>
      </c>
    </row>
    <row r="65" spans="1:15" x14ac:dyDescent="0.25">
      <c r="A65">
        <v>-44.740412499999998</v>
      </c>
      <c r="B65">
        <v>-45.533055500000003</v>
      </c>
      <c r="C65">
        <v>30.981224000000001</v>
      </c>
      <c r="D65">
        <v>52.537706499999999</v>
      </c>
      <c r="E65">
        <v>0.98353099999999993</v>
      </c>
      <c r="F65">
        <v>0.77966100000000005</v>
      </c>
      <c r="G65">
        <v>60.977108999999999</v>
      </c>
      <c r="H65">
        <v>-36</v>
      </c>
      <c r="I65">
        <v>24</v>
      </c>
      <c r="J65">
        <v>1.18</v>
      </c>
      <c r="K65">
        <v>10.1009645</v>
      </c>
      <c r="L65">
        <v>-1.6418789390040109</v>
      </c>
      <c r="M65">
        <v>-2.126442688819961</v>
      </c>
      <c r="N65">
        <v>-1.300879795390157</v>
      </c>
      <c r="O65">
        <v>-0.99561031933535304</v>
      </c>
    </row>
    <row r="66" spans="1:15" x14ac:dyDescent="0.25">
      <c r="A66">
        <v>-50.777892000000001</v>
      </c>
      <c r="B66">
        <v>-50.419949500000001</v>
      </c>
      <c r="C66">
        <v>31.342523249999999</v>
      </c>
      <c r="D66">
        <v>48.024458000000003</v>
      </c>
      <c r="E66">
        <v>-5.3074969999999997</v>
      </c>
      <c r="F66">
        <v>0.73093425000000001</v>
      </c>
      <c r="G66">
        <v>59.456687000000002</v>
      </c>
      <c r="H66">
        <v>-36</v>
      </c>
      <c r="I66">
        <v>28</v>
      </c>
      <c r="J66">
        <v>1.18</v>
      </c>
      <c r="K66">
        <v>9.9767259999999993</v>
      </c>
      <c r="L66">
        <v>-1.8131379930832541</v>
      </c>
      <c r="M66">
        <v>-2.173597070947582</v>
      </c>
      <c r="N66">
        <v>-1.4299736879527809</v>
      </c>
      <c r="O66">
        <v>-1.13331244797534</v>
      </c>
    </row>
    <row r="67" spans="1:15" x14ac:dyDescent="0.25">
      <c r="A67">
        <v>-54.562577249999997</v>
      </c>
      <c r="B67">
        <v>-53.39802925</v>
      </c>
      <c r="C67">
        <v>31.116710749999999</v>
      </c>
      <c r="D67">
        <v>43.292121999999999</v>
      </c>
      <c r="E67">
        <v>-11.061002999999999</v>
      </c>
      <c r="F67">
        <v>0.584754</v>
      </c>
      <c r="G67">
        <v>57.216056999999999</v>
      </c>
      <c r="H67">
        <v>-36</v>
      </c>
      <c r="I67">
        <v>32</v>
      </c>
      <c r="J67">
        <v>1.18</v>
      </c>
      <c r="K67">
        <v>9.7972040000000007</v>
      </c>
      <c r="L67">
        <v>-1.9962961434316879</v>
      </c>
      <c r="M67">
        <v>-2.2528474734745569</v>
      </c>
      <c r="N67">
        <v>-1.5908401734808479</v>
      </c>
      <c r="O67">
        <v>-1.2713458532202659</v>
      </c>
    </row>
    <row r="68" spans="1:15" x14ac:dyDescent="0.25">
      <c r="A68">
        <v>-62.304022750000001</v>
      </c>
      <c r="B68">
        <v>-60.882447999999997</v>
      </c>
      <c r="C68">
        <v>31.523172249999998</v>
      </c>
      <c r="D68">
        <v>39.655231499999999</v>
      </c>
      <c r="E68">
        <v>-19.401354000000001</v>
      </c>
      <c r="F68">
        <v>0.73093425000000001</v>
      </c>
      <c r="G68">
        <v>58.536427500000002</v>
      </c>
      <c r="H68">
        <v>-36</v>
      </c>
      <c r="I68">
        <v>36</v>
      </c>
      <c r="J68">
        <v>1.18</v>
      </c>
      <c r="K68">
        <v>9.8982472499999989</v>
      </c>
      <c r="L68">
        <v>-2.2238203668129062</v>
      </c>
      <c r="M68">
        <v>-2.382870199821411</v>
      </c>
      <c r="N68">
        <v>-1.8472383748322041</v>
      </c>
      <c r="O68">
        <v>-1.4771724319263919</v>
      </c>
    </row>
    <row r="69" spans="1:15" x14ac:dyDescent="0.25">
      <c r="A69">
        <v>-68.169426000000001</v>
      </c>
      <c r="B69">
        <v>-67.363971499999991</v>
      </c>
      <c r="C69">
        <v>31.658659249999999</v>
      </c>
      <c r="D69">
        <v>36.193612000000002</v>
      </c>
      <c r="E69">
        <v>-27.340298749999999</v>
      </c>
      <c r="F69">
        <v>0.77966100000000005</v>
      </c>
      <c r="G69">
        <v>59.576719500000003</v>
      </c>
      <c r="H69">
        <v>-36</v>
      </c>
      <c r="I69">
        <v>40</v>
      </c>
      <c r="J69">
        <v>1.18</v>
      </c>
      <c r="K69">
        <v>9.9827852500000009</v>
      </c>
      <c r="L69">
        <v>-2.4694921966321801</v>
      </c>
      <c r="M69">
        <v>-2.5617580347687192</v>
      </c>
      <c r="N69">
        <v>-2.150173546534961</v>
      </c>
      <c r="O69">
        <v>-1.6956858311619449</v>
      </c>
    </row>
    <row r="70" spans="1:15" x14ac:dyDescent="0.25">
      <c r="A70">
        <v>-73.075694999999996</v>
      </c>
      <c r="B70">
        <v>-72.732689250000007</v>
      </c>
      <c r="C70">
        <v>31.342523249999999</v>
      </c>
      <c r="D70">
        <v>32.2061815</v>
      </c>
      <c r="E70">
        <v>-35.502249499999998</v>
      </c>
      <c r="F70">
        <v>0.77966100000000005</v>
      </c>
      <c r="G70">
        <v>60.176887999999998</v>
      </c>
      <c r="H70">
        <v>-36</v>
      </c>
      <c r="I70">
        <v>44</v>
      </c>
      <c r="J70">
        <v>1.18</v>
      </c>
      <c r="K70">
        <v>10.033607</v>
      </c>
      <c r="L70">
        <v>-2.7919258614174551</v>
      </c>
      <c r="M70">
        <v>-2.8058763493688961</v>
      </c>
      <c r="N70">
        <v>-2.558408630364998</v>
      </c>
      <c r="O70">
        <v>-1.9701942785180659</v>
      </c>
    </row>
    <row r="71" spans="1:15" x14ac:dyDescent="0.25">
      <c r="A71">
        <v>34.115738</v>
      </c>
      <c r="B71">
        <v>-72.957317500000002</v>
      </c>
      <c r="C71">
        <v>-72.589727500000009</v>
      </c>
      <c r="D71">
        <v>33.958896499999987</v>
      </c>
      <c r="E71">
        <v>-18.241732500000001</v>
      </c>
      <c r="F71">
        <v>0.77966100000000005</v>
      </c>
      <c r="G71">
        <v>61.497257249999997</v>
      </c>
      <c r="H71">
        <v>-32</v>
      </c>
      <c r="I71">
        <v>-44</v>
      </c>
      <c r="J71">
        <v>1.18</v>
      </c>
      <c r="K71">
        <v>10.144512499999999</v>
      </c>
      <c r="L71">
        <v>1.9567606327446381</v>
      </c>
      <c r="M71">
        <v>-1.9606217078101931</v>
      </c>
      <c r="N71">
        <v>-1.462252290306552</v>
      </c>
      <c r="O71">
        <v>-1.3488151348870201</v>
      </c>
    </row>
    <row r="72" spans="1:15" x14ac:dyDescent="0.25">
      <c r="A72">
        <v>35.289029999999997</v>
      </c>
      <c r="B72">
        <v>-64.964971750000004</v>
      </c>
      <c r="C72">
        <v>-65.687166000000005</v>
      </c>
      <c r="D72">
        <v>39.567595500000003</v>
      </c>
      <c r="E72">
        <v>-10.168986</v>
      </c>
      <c r="F72">
        <v>0.82838750000000005</v>
      </c>
      <c r="G72">
        <v>61.737328499999997</v>
      </c>
      <c r="H72">
        <v>-32</v>
      </c>
      <c r="I72">
        <v>-40</v>
      </c>
      <c r="J72">
        <v>1.18</v>
      </c>
      <c r="K72">
        <v>10.16048425</v>
      </c>
      <c r="L72">
        <v>1.8306964634931879</v>
      </c>
      <c r="M72">
        <v>-1.895177132374132</v>
      </c>
      <c r="N72">
        <v>-1.303659716870772</v>
      </c>
      <c r="O72">
        <v>-1.1993601636933231</v>
      </c>
    </row>
    <row r="73" spans="1:15" x14ac:dyDescent="0.25">
      <c r="A73">
        <v>36.326941499999997</v>
      </c>
      <c r="B73">
        <v>-59.438944749999997</v>
      </c>
      <c r="C73">
        <v>-59.822241000000012</v>
      </c>
      <c r="D73">
        <v>44.256115000000001</v>
      </c>
      <c r="E73">
        <v>-3.8356699999999999</v>
      </c>
      <c r="F73">
        <v>0.82838750000000005</v>
      </c>
      <c r="G73">
        <v>62.377506500000003</v>
      </c>
      <c r="H73">
        <v>-32</v>
      </c>
      <c r="I73">
        <v>-36</v>
      </c>
      <c r="J73">
        <v>1.18</v>
      </c>
      <c r="K73">
        <v>10.21373475</v>
      </c>
      <c r="L73">
        <v>1.7232595299523901</v>
      </c>
      <c r="M73">
        <v>-1.8585132655708341</v>
      </c>
      <c r="N73">
        <v>-1.1867305632832441</v>
      </c>
      <c r="O73">
        <v>-1.083591405476247</v>
      </c>
    </row>
    <row r="74" spans="1:15" x14ac:dyDescent="0.25">
      <c r="A74">
        <v>36.642826999999997</v>
      </c>
      <c r="B74">
        <v>-50.848164750000002</v>
      </c>
      <c r="C74">
        <v>-49.89697675</v>
      </c>
      <c r="D74">
        <v>49.558087499999999</v>
      </c>
      <c r="E74">
        <v>3.79994575</v>
      </c>
      <c r="F74">
        <v>0.77966100000000005</v>
      </c>
      <c r="G74">
        <v>63.097707499999999</v>
      </c>
      <c r="H74">
        <v>-32</v>
      </c>
      <c r="I74">
        <v>-32</v>
      </c>
      <c r="J74">
        <v>1.18</v>
      </c>
      <c r="K74">
        <v>10.277343</v>
      </c>
      <c r="L74">
        <v>1.597476702458281</v>
      </c>
      <c r="M74">
        <v>-1.853451526224321</v>
      </c>
      <c r="N74">
        <v>-1.094609547826374</v>
      </c>
      <c r="O74">
        <v>-0.94423462068743413</v>
      </c>
    </row>
    <row r="75" spans="1:15" x14ac:dyDescent="0.25">
      <c r="A75">
        <v>35.291324000000003</v>
      </c>
      <c r="B75">
        <v>-44.426415499999997</v>
      </c>
      <c r="C75">
        <v>-41.415392999999987</v>
      </c>
      <c r="D75">
        <v>53.414064499999988</v>
      </c>
      <c r="E75">
        <v>8.8963152500000007</v>
      </c>
      <c r="F75">
        <v>0.82838750000000005</v>
      </c>
      <c r="G75">
        <v>63.337770499999998</v>
      </c>
      <c r="H75">
        <v>-32</v>
      </c>
      <c r="I75">
        <v>-28</v>
      </c>
      <c r="J75">
        <v>1.18</v>
      </c>
      <c r="K75">
        <v>10.293106999999999</v>
      </c>
      <c r="L75">
        <v>1.480325168740684</v>
      </c>
      <c r="M75">
        <v>-1.8881824949561969</v>
      </c>
      <c r="N75">
        <v>-1.050650725125956</v>
      </c>
      <c r="O75">
        <v>-0.84427000689880194</v>
      </c>
    </row>
    <row r="76" spans="1:15" x14ac:dyDescent="0.25">
      <c r="A76">
        <v>34.388733000000002</v>
      </c>
      <c r="B76">
        <v>-39.055751749999999</v>
      </c>
      <c r="C76">
        <v>-33.339841499999999</v>
      </c>
      <c r="D76">
        <v>56.875681</v>
      </c>
      <c r="E76">
        <v>14.350324499999999</v>
      </c>
      <c r="F76">
        <v>0.73093425000000001</v>
      </c>
      <c r="G76">
        <v>63.857925000000002</v>
      </c>
      <c r="H76">
        <v>-32</v>
      </c>
      <c r="I76">
        <v>-24</v>
      </c>
      <c r="J76">
        <v>1.18</v>
      </c>
      <c r="K76">
        <v>10.3438315</v>
      </c>
      <c r="L76">
        <v>1.339867599726583</v>
      </c>
      <c r="M76">
        <v>-1.89783239955824</v>
      </c>
      <c r="N76">
        <v>-0.97942137163612619</v>
      </c>
      <c r="O76">
        <v>-0.73056228741284546</v>
      </c>
    </row>
    <row r="77" spans="1:15" x14ac:dyDescent="0.25">
      <c r="A77">
        <v>31.678898</v>
      </c>
      <c r="B77">
        <v>-36.217366249999998</v>
      </c>
      <c r="C77">
        <v>-25.219178500000002</v>
      </c>
      <c r="D77">
        <v>59.899125499999997</v>
      </c>
      <c r="E77">
        <v>17.882018500000001</v>
      </c>
      <c r="F77">
        <v>0.77966100000000005</v>
      </c>
      <c r="G77">
        <v>64.218019499999997</v>
      </c>
      <c r="H77">
        <v>-32</v>
      </c>
      <c r="I77">
        <v>-20</v>
      </c>
      <c r="J77">
        <v>1.18</v>
      </c>
      <c r="K77">
        <v>10.369311</v>
      </c>
      <c r="L77">
        <v>1.1707302123420691</v>
      </c>
      <c r="M77">
        <v>-1.9776856638904321</v>
      </c>
      <c r="N77">
        <v>-0.95340769282479843</v>
      </c>
      <c r="O77">
        <v>-0.64809236251612912</v>
      </c>
    </row>
    <row r="78" spans="1:15" x14ac:dyDescent="0.25">
      <c r="A78">
        <v>28.3883665</v>
      </c>
      <c r="B78">
        <v>-33.487727500000013</v>
      </c>
      <c r="C78">
        <v>-15.745068249999999</v>
      </c>
      <c r="D78">
        <v>62.090020500000001</v>
      </c>
      <c r="E78">
        <v>21.54782775</v>
      </c>
      <c r="F78">
        <v>0.77966100000000005</v>
      </c>
      <c r="G78">
        <v>64.418075499999986</v>
      </c>
      <c r="H78">
        <v>-32</v>
      </c>
      <c r="I78">
        <v>-16</v>
      </c>
      <c r="J78">
        <v>1.18</v>
      </c>
      <c r="K78">
        <v>10.385647499999999</v>
      </c>
      <c r="L78">
        <v>0.95600228973948442</v>
      </c>
      <c r="M78">
        <v>-2.0704641064226248</v>
      </c>
      <c r="N78">
        <v>-0.92871260306240733</v>
      </c>
      <c r="O78">
        <v>-0.55013535145323966</v>
      </c>
    </row>
    <row r="79" spans="1:15" x14ac:dyDescent="0.25">
      <c r="A79">
        <v>24.503764499999999</v>
      </c>
      <c r="B79">
        <v>-32.146624750000001</v>
      </c>
      <c r="C79">
        <v>-7.7141362500000001</v>
      </c>
      <c r="D79">
        <v>63.623650499999997</v>
      </c>
      <c r="E79">
        <v>23.827782249999998</v>
      </c>
      <c r="F79">
        <v>0.82838750000000005</v>
      </c>
      <c r="G79">
        <v>64.978240999999997</v>
      </c>
      <c r="H79">
        <v>-32</v>
      </c>
      <c r="I79">
        <v>-12</v>
      </c>
      <c r="J79">
        <v>1.18</v>
      </c>
      <c r="K79">
        <v>10.427296500000001</v>
      </c>
      <c r="L79">
        <v>0.73627378615588002</v>
      </c>
      <c r="M79">
        <v>-2.1886683232306359</v>
      </c>
      <c r="N79">
        <v>-0.9404329871156637</v>
      </c>
      <c r="O79">
        <v>-0.47441234245747499</v>
      </c>
    </row>
    <row r="80" spans="1:15" x14ac:dyDescent="0.25">
      <c r="A80">
        <v>19.089810499999999</v>
      </c>
      <c r="B80">
        <v>-32.429990500000002</v>
      </c>
      <c r="C80">
        <v>-0.45114799999999999</v>
      </c>
      <c r="D80">
        <v>64.587643</v>
      </c>
      <c r="E80">
        <v>24.632472249999999</v>
      </c>
      <c r="F80">
        <v>0.77966100000000005</v>
      </c>
      <c r="G80">
        <v>65.138283000000001</v>
      </c>
      <c r="H80">
        <v>-32</v>
      </c>
      <c r="I80">
        <v>-8</v>
      </c>
      <c r="J80">
        <v>1.18</v>
      </c>
      <c r="K80">
        <v>10.444252000000001</v>
      </c>
      <c r="L80">
        <v>0.47574581280072642</v>
      </c>
      <c r="M80">
        <v>-2.3621318399156048</v>
      </c>
      <c r="N80">
        <v>-0.98622961727311076</v>
      </c>
      <c r="O80">
        <v>-0.41926128153434522</v>
      </c>
    </row>
    <row r="81" spans="1:15" x14ac:dyDescent="0.25">
      <c r="A81">
        <v>13.809664250000001</v>
      </c>
      <c r="B81">
        <v>-31.043083500000002</v>
      </c>
      <c r="C81">
        <v>7.6324075000000002</v>
      </c>
      <c r="D81">
        <v>65.113457000000011</v>
      </c>
      <c r="E81">
        <v>26.77831325</v>
      </c>
      <c r="F81">
        <v>0.82838750000000005</v>
      </c>
      <c r="G81">
        <v>65.498376500000006</v>
      </c>
      <c r="H81">
        <v>-32</v>
      </c>
      <c r="I81">
        <v>-4</v>
      </c>
      <c r="J81">
        <v>1.18</v>
      </c>
      <c r="K81">
        <v>10.46948175</v>
      </c>
      <c r="L81">
        <v>0.16046996772596989</v>
      </c>
      <c r="M81">
        <v>-2.4987159660359639</v>
      </c>
      <c r="N81">
        <v>-1.0062040753066741</v>
      </c>
      <c r="O81">
        <v>-0.32570349455459258</v>
      </c>
    </row>
    <row r="82" spans="1:15" x14ac:dyDescent="0.25">
      <c r="A82">
        <v>7.1755882500000006</v>
      </c>
      <c r="B82">
        <v>-31.280821750000001</v>
      </c>
      <c r="C82">
        <v>14.813185750000001</v>
      </c>
      <c r="D82">
        <v>65.726906</v>
      </c>
      <c r="E82">
        <v>27.448887500000001</v>
      </c>
      <c r="F82">
        <v>0.82838750000000005</v>
      </c>
      <c r="G82">
        <v>66.218587750000012</v>
      </c>
      <c r="H82">
        <v>-32</v>
      </c>
      <c r="I82">
        <v>0</v>
      </c>
      <c r="J82">
        <v>1.18</v>
      </c>
      <c r="K82">
        <v>10.527620499999999</v>
      </c>
      <c r="L82">
        <v>-0.1933272522943951</v>
      </c>
      <c r="M82">
        <v>-2.4558131386262159</v>
      </c>
      <c r="N82">
        <v>-0.98148543755786999</v>
      </c>
      <c r="O82">
        <v>-0.32607191073951719</v>
      </c>
    </row>
    <row r="83" spans="1:15" x14ac:dyDescent="0.25">
      <c r="A83">
        <v>1.4574999999999861E-4</v>
      </c>
      <c r="B83">
        <v>-31.808546499999999</v>
      </c>
      <c r="C83">
        <v>20.368126749999998</v>
      </c>
      <c r="D83">
        <v>65.814540999999991</v>
      </c>
      <c r="E83">
        <v>26.957132250000001</v>
      </c>
      <c r="F83">
        <v>0.77966100000000005</v>
      </c>
      <c r="G83">
        <v>66.218587750000012</v>
      </c>
      <c r="H83">
        <v>-32</v>
      </c>
      <c r="I83">
        <v>4</v>
      </c>
      <c r="J83">
        <v>1.18</v>
      </c>
      <c r="K83">
        <v>10.53154325</v>
      </c>
      <c r="L83">
        <v>-0.47522570232011802</v>
      </c>
      <c r="M83">
        <v>-2.2776647678795738</v>
      </c>
      <c r="N83">
        <v>-0.9160419501009579</v>
      </c>
      <c r="O83">
        <v>-0.3892579026560064</v>
      </c>
    </row>
    <row r="84" spans="1:15" x14ac:dyDescent="0.25">
      <c r="A84">
        <v>-7.8847659999999999</v>
      </c>
      <c r="B84">
        <v>-31.948025749999999</v>
      </c>
      <c r="C84">
        <v>26.555336</v>
      </c>
      <c r="D84">
        <v>65.595453500000005</v>
      </c>
      <c r="E84">
        <v>26.465377</v>
      </c>
      <c r="F84">
        <v>0.82838750000000005</v>
      </c>
      <c r="G84">
        <v>66.738724000000005</v>
      </c>
      <c r="H84">
        <v>-32</v>
      </c>
      <c r="I84">
        <v>8</v>
      </c>
      <c r="J84">
        <v>1.18</v>
      </c>
      <c r="K84">
        <v>10.56940775</v>
      </c>
      <c r="L84">
        <v>-0.74253872618726668</v>
      </c>
      <c r="M84">
        <v>-2.1030768052154949</v>
      </c>
      <c r="N84">
        <v>-0.86832337092807488</v>
      </c>
      <c r="O84">
        <v>-0.44726213006063098</v>
      </c>
    </row>
    <row r="85" spans="1:15" x14ac:dyDescent="0.25">
      <c r="A85">
        <v>-15.273918</v>
      </c>
      <c r="B85">
        <v>-30.561131249999999</v>
      </c>
      <c r="C85">
        <v>31.297360250000001</v>
      </c>
      <c r="D85">
        <v>63.71128375</v>
      </c>
      <c r="E85">
        <v>24.900703</v>
      </c>
      <c r="F85">
        <v>0.82838750000000005</v>
      </c>
      <c r="G85">
        <v>65.738445249999998</v>
      </c>
      <c r="H85">
        <v>-32</v>
      </c>
      <c r="I85">
        <v>12</v>
      </c>
      <c r="J85">
        <v>1.18</v>
      </c>
      <c r="K85">
        <v>10.48888975</v>
      </c>
      <c r="L85">
        <v>-0.97390948047816361</v>
      </c>
      <c r="M85">
        <v>-1.9714797205762229</v>
      </c>
      <c r="N85">
        <v>-0.85402955462953822</v>
      </c>
      <c r="O85">
        <v>-0.49658446480257579</v>
      </c>
    </row>
    <row r="86" spans="1:15" x14ac:dyDescent="0.25">
      <c r="A86">
        <v>-22.75168425</v>
      </c>
      <c r="B86">
        <v>-29.603684749999999</v>
      </c>
      <c r="C86">
        <v>33.555468750000003</v>
      </c>
      <c r="D86">
        <v>59.23808975</v>
      </c>
      <c r="E86">
        <v>20.251383499999999</v>
      </c>
      <c r="F86">
        <v>0.82838750000000005</v>
      </c>
      <c r="G86">
        <v>63.137718</v>
      </c>
      <c r="H86">
        <v>-32</v>
      </c>
      <c r="I86">
        <v>16</v>
      </c>
      <c r="J86">
        <v>1.18</v>
      </c>
      <c r="K86">
        <v>10.2766185</v>
      </c>
      <c r="L86">
        <v>-1.2127643606254019</v>
      </c>
      <c r="M86">
        <v>-1.9135022807157021</v>
      </c>
      <c r="N86">
        <v>-0.92372266838682981</v>
      </c>
      <c r="O86">
        <v>-0.58167345746993804</v>
      </c>
    </row>
    <row r="87" spans="1:15" x14ac:dyDescent="0.25">
      <c r="A87">
        <v>-29.689854749999999</v>
      </c>
      <c r="B87">
        <v>-31.954704249999999</v>
      </c>
      <c r="C87">
        <v>35.9490585</v>
      </c>
      <c r="D87">
        <v>55.342057500000003</v>
      </c>
      <c r="E87">
        <v>15.512653999999999</v>
      </c>
      <c r="F87">
        <v>0.77966100000000005</v>
      </c>
      <c r="G87">
        <v>61.537269500000001</v>
      </c>
      <c r="H87">
        <v>-32</v>
      </c>
      <c r="I87">
        <v>20</v>
      </c>
      <c r="J87">
        <v>1.18</v>
      </c>
      <c r="K87">
        <v>10.147854000000001</v>
      </c>
      <c r="L87">
        <v>-1.416623638150962</v>
      </c>
      <c r="M87">
        <v>-1.8840406132603731</v>
      </c>
      <c r="N87">
        <v>-0.99330956429493078</v>
      </c>
      <c r="O87">
        <v>-0.68203591534797237</v>
      </c>
    </row>
    <row r="88" spans="1:15" x14ac:dyDescent="0.25">
      <c r="A88">
        <v>-35.499318250000002</v>
      </c>
      <c r="B88">
        <v>-35.55320725</v>
      </c>
      <c r="C88">
        <v>36.084545249999998</v>
      </c>
      <c r="D88">
        <v>50.522081499999999</v>
      </c>
      <c r="E88">
        <v>9.2986602499999993</v>
      </c>
      <c r="F88">
        <v>0.73093425000000001</v>
      </c>
      <c r="G88">
        <v>59.176608000000002</v>
      </c>
      <c r="H88">
        <v>-32</v>
      </c>
      <c r="I88">
        <v>24</v>
      </c>
      <c r="J88">
        <v>1.18</v>
      </c>
      <c r="K88">
        <v>9.9529075000000002</v>
      </c>
      <c r="L88">
        <v>-1.596978623265179</v>
      </c>
      <c r="M88">
        <v>-1.920286787220427</v>
      </c>
      <c r="N88">
        <v>-1.1127851068066421</v>
      </c>
      <c r="O88">
        <v>-0.80888092185795657</v>
      </c>
    </row>
    <row r="89" spans="1:15" x14ac:dyDescent="0.25">
      <c r="A89">
        <v>-41.848569750000003</v>
      </c>
      <c r="B89">
        <v>-41.307979750000001</v>
      </c>
      <c r="C89">
        <v>36.942627000000002</v>
      </c>
      <c r="D89">
        <v>46.26877975</v>
      </c>
      <c r="E89">
        <v>2.682321</v>
      </c>
      <c r="F89">
        <v>0.73093425000000001</v>
      </c>
      <c r="G89">
        <v>58.376382499999998</v>
      </c>
      <c r="H89">
        <v>-32</v>
      </c>
      <c r="I89">
        <v>28</v>
      </c>
      <c r="J89">
        <v>1.18</v>
      </c>
      <c r="K89">
        <v>9.8845352500000008</v>
      </c>
      <c r="L89">
        <v>-1.780137578382158</v>
      </c>
      <c r="M89">
        <v>-1.978657408921537</v>
      </c>
      <c r="N89">
        <v>-1.2583331568513529</v>
      </c>
      <c r="O89">
        <v>-0.955890472183624</v>
      </c>
    </row>
    <row r="90" spans="1:15" x14ac:dyDescent="0.25">
      <c r="A90">
        <v>-50.459189500000001</v>
      </c>
      <c r="B90">
        <v>-49.98822225</v>
      </c>
      <c r="C90">
        <v>38.1168415</v>
      </c>
      <c r="D90">
        <v>43.686482499999997</v>
      </c>
      <c r="E90">
        <v>-5.3966987499999997</v>
      </c>
      <c r="F90">
        <v>0.82838750000000005</v>
      </c>
      <c r="G90">
        <v>59.776773499999997</v>
      </c>
      <c r="H90">
        <v>-32</v>
      </c>
      <c r="I90">
        <v>32</v>
      </c>
      <c r="J90">
        <v>1.18</v>
      </c>
      <c r="K90">
        <v>9.9956172500000005</v>
      </c>
      <c r="L90">
        <v>-1.975979868145733</v>
      </c>
      <c r="M90">
        <v>-2.089710054682056</v>
      </c>
      <c r="N90">
        <v>-1.453948934755936</v>
      </c>
      <c r="O90">
        <v>-1.1388793207653629</v>
      </c>
    </row>
    <row r="91" spans="1:15" x14ac:dyDescent="0.25">
      <c r="A91">
        <v>-57.577557749999997</v>
      </c>
      <c r="B91">
        <v>-57.803844249999997</v>
      </c>
      <c r="C91">
        <v>38.658786749999997</v>
      </c>
      <c r="D91">
        <v>39.567596500000001</v>
      </c>
      <c r="E91">
        <v>-14.00465625</v>
      </c>
      <c r="F91">
        <v>0.77966100000000005</v>
      </c>
      <c r="G91">
        <v>60.456968500000002</v>
      </c>
      <c r="H91">
        <v>-32</v>
      </c>
      <c r="I91">
        <v>36</v>
      </c>
      <c r="J91">
        <v>1.18</v>
      </c>
      <c r="K91">
        <v>10.057233500000001</v>
      </c>
      <c r="L91">
        <v>-2.2030018742738759</v>
      </c>
      <c r="M91">
        <v>-2.228959042956836</v>
      </c>
      <c r="N91">
        <v>-1.7045645892054859</v>
      </c>
      <c r="O91">
        <v>-1.338476557414618</v>
      </c>
    </row>
    <row r="92" spans="1:15" x14ac:dyDescent="0.25">
      <c r="A92">
        <v>-64.560733999999997</v>
      </c>
      <c r="B92">
        <v>-65.63212200000001</v>
      </c>
      <c r="C92">
        <v>38.568462250000003</v>
      </c>
      <c r="D92">
        <v>35.799253499999999</v>
      </c>
      <c r="E92">
        <v>-22.880217500000001</v>
      </c>
      <c r="F92">
        <v>0.82838750000000005</v>
      </c>
      <c r="G92">
        <v>61.217178500000003</v>
      </c>
      <c r="H92">
        <v>-32</v>
      </c>
      <c r="I92">
        <v>40</v>
      </c>
      <c r="J92">
        <v>1.18</v>
      </c>
      <c r="K92">
        <v>10.117002250000001</v>
      </c>
      <c r="L92">
        <v>-2.4428896251856149</v>
      </c>
      <c r="M92">
        <v>-2.4027353252871362</v>
      </c>
      <c r="N92">
        <v>-1.992136189531948</v>
      </c>
      <c r="O92">
        <v>-1.561640265082165</v>
      </c>
    </row>
    <row r="93" spans="1:15" x14ac:dyDescent="0.25">
      <c r="A93">
        <v>-70.422220249999995</v>
      </c>
      <c r="B93">
        <v>-73.053251250000002</v>
      </c>
      <c r="C93">
        <v>37.981354750000001</v>
      </c>
      <c r="D93">
        <v>31.152581250000001</v>
      </c>
      <c r="E93">
        <v>-32.870798000000001</v>
      </c>
      <c r="F93">
        <v>0.82838750000000005</v>
      </c>
      <c r="G93">
        <v>62.137435250000003</v>
      </c>
      <c r="H93">
        <v>-32</v>
      </c>
      <c r="I93">
        <v>44</v>
      </c>
      <c r="J93">
        <v>1.18</v>
      </c>
      <c r="K93">
        <v>10.193798749999999</v>
      </c>
      <c r="L93">
        <v>-2.789161933862454</v>
      </c>
      <c r="M93">
        <v>-2.681152259227471</v>
      </c>
      <c r="N93">
        <v>-2.4445289647740638</v>
      </c>
      <c r="O93">
        <v>-1.867086371371447</v>
      </c>
    </row>
    <row r="94" spans="1:15" x14ac:dyDescent="0.25">
      <c r="A94">
        <v>41.020110000000003</v>
      </c>
      <c r="B94">
        <v>-69.455748</v>
      </c>
      <c r="C94">
        <v>-67.401523999999995</v>
      </c>
      <c r="D94">
        <v>32.644360499999998</v>
      </c>
      <c r="E94">
        <v>-12.131422000000001</v>
      </c>
      <c r="F94">
        <v>0.77966100000000005</v>
      </c>
      <c r="G94">
        <v>62.577559999999998</v>
      </c>
      <c r="H94">
        <v>-28</v>
      </c>
      <c r="I94">
        <v>-44</v>
      </c>
      <c r="J94">
        <v>1.18</v>
      </c>
      <c r="K94">
        <v>10.234363999999999</v>
      </c>
      <c r="L94">
        <v>1.92591442595066</v>
      </c>
      <c r="M94">
        <v>-1.8135973920014441</v>
      </c>
      <c r="N94">
        <v>-1.3270807984101269</v>
      </c>
      <c r="O94">
        <v>-1.229355305430228</v>
      </c>
    </row>
    <row r="95" spans="1:15" x14ac:dyDescent="0.25">
      <c r="A95">
        <v>42.334339249999999</v>
      </c>
      <c r="B95">
        <v>-63.041359</v>
      </c>
      <c r="C95">
        <v>-62.438896</v>
      </c>
      <c r="D95">
        <v>38.165420500000003</v>
      </c>
      <c r="E95">
        <v>-4.8168885000000001</v>
      </c>
      <c r="F95">
        <v>0.77966100000000005</v>
      </c>
      <c r="G95">
        <v>63.297759999999997</v>
      </c>
      <c r="H95">
        <v>-28</v>
      </c>
      <c r="I95">
        <v>-40</v>
      </c>
      <c r="J95">
        <v>1.18</v>
      </c>
      <c r="K95">
        <v>10.293825</v>
      </c>
      <c r="L95">
        <v>1.808833187604481</v>
      </c>
      <c r="M95">
        <v>-1.7472526059954689</v>
      </c>
      <c r="N95">
        <v>-1.1759473111223331</v>
      </c>
      <c r="O95">
        <v>-1.096618291385649</v>
      </c>
    </row>
    <row r="96" spans="1:15" x14ac:dyDescent="0.25">
      <c r="A96">
        <v>43.372370750000002</v>
      </c>
      <c r="B96">
        <v>-53.062206250000003</v>
      </c>
      <c r="C96">
        <v>-52.6489805</v>
      </c>
      <c r="D96">
        <v>43.858960250000003</v>
      </c>
      <c r="E96">
        <v>4.2917007500000004</v>
      </c>
      <c r="F96">
        <v>0.77966100000000005</v>
      </c>
      <c r="G96">
        <v>63.697876000000001</v>
      </c>
      <c r="H96">
        <v>-28</v>
      </c>
      <c r="I96">
        <v>-36</v>
      </c>
      <c r="J96">
        <v>1.18</v>
      </c>
      <c r="K96">
        <v>10.326715</v>
      </c>
      <c r="L96">
        <v>1.680257788657926</v>
      </c>
      <c r="M96">
        <v>-1.696006040649864</v>
      </c>
      <c r="N96">
        <v>-1.039554766289073</v>
      </c>
      <c r="O96">
        <v>-0.93854354543298024</v>
      </c>
    </row>
    <row r="97" spans="1:15" x14ac:dyDescent="0.25">
      <c r="A97">
        <v>43.504925</v>
      </c>
      <c r="B97">
        <v>-44.909314999999999</v>
      </c>
      <c r="C97">
        <v>-43.851595000000003</v>
      </c>
      <c r="D97">
        <v>48.594092500000002</v>
      </c>
      <c r="E97">
        <v>11.48920425</v>
      </c>
      <c r="F97">
        <v>0.77966100000000005</v>
      </c>
      <c r="G97">
        <v>64.178009000000003</v>
      </c>
      <c r="H97">
        <v>-28</v>
      </c>
      <c r="I97">
        <v>-32</v>
      </c>
      <c r="J97">
        <v>1.18</v>
      </c>
      <c r="K97">
        <v>10.366042</v>
      </c>
      <c r="L97">
        <v>1.563574242223144</v>
      </c>
      <c r="M97">
        <v>-1.6736223598672619</v>
      </c>
      <c r="N97">
        <v>-0.94308805603652579</v>
      </c>
      <c r="O97">
        <v>-0.80831149054718066</v>
      </c>
    </row>
    <row r="98" spans="1:15" x14ac:dyDescent="0.25">
      <c r="A98">
        <v>43.056423250000002</v>
      </c>
      <c r="B98">
        <v>-37.997531250000002</v>
      </c>
      <c r="C98">
        <v>-35.370008249999998</v>
      </c>
      <c r="D98">
        <v>53.063523500000002</v>
      </c>
      <c r="E98">
        <v>17.882019</v>
      </c>
      <c r="F98">
        <v>0.82838750000000005</v>
      </c>
      <c r="G98">
        <v>64.85820425</v>
      </c>
      <c r="H98">
        <v>-28</v>
      </c>
      <c r="I98">
        <v>-28</v>
      </c>
      <c r="J98">
        <v>1.18</v>
      </c>
      <c r="K98">
        <v>10.41753325</v>
      </c>
      <c r="L98">
        <v>1.4372772620449601</v>
      </c>
      <c r="M98">
        <v>-1.6688544628423989</v>
      </c>
      <c r="N98">
        <v>-0.86092274889337383</v>
      </c>
      <c r="O98">
        <v>-0.6874721350339239</v>
      </c>
    </row>
    <row r="99" spans="1:15" x14ac:dyDescent="0.25">
      <c r="A99">
        <v>41.290871750000001</v>
      </c>
      <c r="B99">
        <v>-31.372385749999999</v>
      </c>
      <c r="C99">
        <v>-25.354523</v>
      </c>
      <c r="D99">
        <v>56.872054250000012</v>
      </c>
      <c r="E99">
        <v>24.0513075</v>
      </c>
      <c r="F99">
        <v>0.73093425000000001</v>
      </c>
      <c r="G99">
        <v>65.018251499999991</v>
      </c>
      <c r="H99">
        <v>-28</v>
      </c>
      <c r="I99">
        <v>-24</v>
      </c>
      <c r="J99">
        <v>1.18</v>
      </c>
      <c r="K99">
        <v>10.438462250000001</v>
      </c>
      <c r="L99">
        <v>1.27151161903941</v>
      </c>
      <c r="M99">
        <v>-1.6836065945198579</v>
      </c>
      <c r="N99">
        <v>-0.7816242031775591</v>
      </c>
      <c r="O99">
        <v>-0.55508937421823401</v>
      </c>
    </row>
    <row r="100" spans="1:15" x14ac:dyDescent="0.25">
      <c r="A100">
        <v>38.854032500000002</v>
      </c>
      <c r="B100">
        <v>-28.064392999999999</v>
      </c>
      <c r="C100">
        <v>-17.594776</v>
      </c>
      <c r="D100">
        <v>59.982950500000001</v>
      </c>
      <c r="E100">
        <v>28.253576750000001</v>
      </c>
      <c r="F100">
        <v>0.77966100000000005</v>
      </c>
      <c r="G100">
        <v>65.618408000000002</v>
      </c>
      <c r="H100">
        <v>-28</v>
      </c>
      <c r="I100">
        <v>-20</v>
      </c>
      <c r="J100">
        <v>1.18</v>
      </c>
      <c r="K100">
        <v>10.483138</v>
      </c>
      <c r="L100">
        <v>1.105039448648125</v>
      </c>
      <c r="M100">
        <v>-1.7236191671055541</v>
      </c>
      <c r="N100">
        <v>-0.73147023671515732</v>
      </c>
      <c r="O100">
        <v>-0.46216645101423398</v>
      </c>
    </row>
    <row r="101" spans="1:15" x14ac:dyDescent="0.25">
      <c r="A101">
        <v>36.013382999999997</v>
      </c>
      <c r="B101">
        <v>-25.040357499999999</v>
      </c>
      <c r="C101">
        <v>-8.6620430000000006</v>
      </c>
      <c r="D101">
        <v>62.747290999999997</v>
      </c>
      <c r="E101">
        <v>32.589962999999997</v>
      </c>
      <c r="F101">
        <v>0.77966100000000005</v>
      </c>
      <c r="G101">
        <v>66.258598000000006</v>
      </c>
      <c r="H101">
        <v>-28</v>
      </c>
      <c r="I101">
        <v>-16</v>
      </c>
      <c r="J101">
        <v>1.18</v>
      </c>
      <c r="K101">
        <v>10.534763999999999</v>
      </c>
      <c r="L101">
        <v>0.90360573316791237</v>
      </c>
      <c r="M101">
        <v>-1.775639192719692</v>
      </c>
      <c r="N101">
        <v>-0.6810180117470972</v>
      </c>
      <c r="O101">
        <v>-0.3566166136060358</v>
      </c>
    </row>
    <row r="102" spans="1:15" x14ac:dyDescent="0.25">
      <c r="A102">
        <v>31.678897750000001</v>
      </c>
      <c r="B102">
        <v>-22.883270750000001</v>
      </c>
      <c r="C102">
        <v>-0.2706865</v>
      </c>
      <c r="D102">
        <v>64.149460000000005</v>
      </c>
      <c r="E102">
        <v>35.182850999999999</v>
      </c>
      <c r="F102">
        <v>0.77966100000000005</v>
      </c>
      <c r="G102">
        <v>66.338618999999994</v>
      </c>
      <c r="H102">
        <v>-28</v>
      </c>
      <c r="I102">
        <v>-12</v>
      </c>
      <c r="J102">
        <v>1.18</v>
      </c>
      <c r="K102">
        <v>10.541197</v>
      </c>
      <c r="L102">
        <v>0.68324802778226312</v>
      </c>
      <c r="M102">
        <v>-1.8612888338584319</v>
      </c>
      <c r="N102">
        <v>-0.66630219732839102</v>
      </c>
      <c r="O102">
        <v>-0.26425095651700781</v>
      </c>
    </row>
    <row r="103" spans="1:15" x14ac:dyDescent="0.25">
      <c r="A103">
        <v>26.76185675</v>
      </c>
      <c r="B103">
        <v>-23.26868825</v>
      </c>
      <c r="C103">
        <v>5.9614095000000002</v>
      </c>
      <c r="D103">
        <v>65.639271000000008</v>
      </c>
      <c r="E103">
        <v>35.942836499999999</v>
      </c>
      <c r="F103">
        <v>0.82838750000000005</v>
      </c>
      <c r="G103">
        <v>66.858755500000001</v>
      </c>
      <c r="H103">
        <v>-28</v>
      </c>
      <c r="I103">
        <v>-8</v>
      </c>
      <c r="J103">
        <v>1.18</v>
      </c>
      <c r="K103">
        <v>10.5790275</v>
      </c>
      <c r="L103">
        <v>0.46640038193137617</v>
      </c>
      <c r="M103">
        <v>-1.993642595669866</v>
      </c>
      <c r="N103">
        <v>-0.69326301209963836</v>
      </c>
      <c r="O103">
        <v>-0.2126218087572182</v>
      </c>
    </row>
    <row r="104" spans="1:15" x14ac:dyDescent="0.25">
      <c r="A104">
        <v>19.857034250000002</v>
      </c>
      <c r="B104">
        <v>-21.300130249999999</v>
      </c>
      <c r="C104">
        <v>13.54864575</v>
      </c>
      <c r="D104">
        <v>63.536011999999999</v>
      </c>
      <c r="E104">
        <v>35.898130250000001</v>
      </c>
      <c r="F104">
        <v>0.77966100000000005</v>
      </c>
      <c r="G104">
        <v>64.458088000000004</v>
      </c>
      <c r="H104">
        <v>-28</v>
      </c>
      <c r="I104">
        <v>-4</v>
      </c>
      <c r="J104">
        <v>1.18</v>
      </c>
      <c r="K104">
        <v>10.388908499999999</v>
      </c>
      <c r="L104">
        <v>0.1586116844374072</v>
      </c>
      <c r="M104">
        <v>-2.13298359951296</v>
      </c>
      <c r="N104">
        <v>-0.71808202647838049</v>
      </c>
      <c r="O104">
        <v>-0.1170432645845981</v>
      </c>
    </row>
    <row r="105" spans="1:15" x14ac:dyDescent="0.25">
      <c r="A105">
        <v>13.6290865</v>
      </c>
      <c r="B105">
        <v>-19.3812505</v>
      </c>
      <c r="C105">
        <v>20.142316000000001</v>
      </c>
      <c r="D105">
        <v>61.345112999999998</v>
      </c>
      <c r="E105">
        <v>35.898130250000001</v>
      </c>
      <c r="F105">
        <v>0.77966100000000005</v>
      </c>
      <c r="G105">
        <v>62.337494</v>
      </c>
      <c r="H105">
        <v>-28</v>
      </c>
      <c r="I105">
        <v>0</v>
      </c>
      <c r="J105">
        <v>1.18</v>
      </c>
      <c r="K105">
        <v>10.214463500000001</v>
      </c>
      <c r="L105">
        <v>-0.16799136587217189</v>
      </c>
      <c r="M105">
        <v>-2.0819855729764338</v>
      </c>
      <c r="N105">
        <v>-0.68191053273129598</v>
      </c>
      <c r="O105">
        <v>-9.4292690828283912E-2</v>
      </c>
    </row>
    <row r="106" spans="1:15" x14ac:dyDescent="0.25">
      <c r="A106">
        <v>6.3189727500000004</v>
      </c>
      <c r="B106">
        <v>-19.046740249999999</v>
      </c>
      <c r="C106">
        <v>24.748852500000002</v>
      </c>
      <c r="D106">
        <v>59.413350250000001</v>
      </c>
      <c r="E106">
        <v>34.19934275</v>
      </c>
      <c r="F106">
        <v>0.77966100000000005</v>
      </c>
      <c r="G106">
        <v>60.657023250000002</v>
      </c>
      <c r="H106">
        <v>-28</v>
      </c>
      <c r="I106">
        <v>4</v>
      </c>
      <c r="J106">
        <v>1.18</v>
      </c>
      <c r="K106">
        <v>10.074074250000001</v>
      </c>
      <c r="L106">
        <v>-0.45434783603301049</v>
      </c>
      <c r="M106">
        <v>-1.934269162705456</v>
      </c>
      <c r="N106">
        <v>-0.65226019780784295</v>
      </c>
      <c r="O106">
        <v>-0.17610953109182451</v>
      </c>
    </row>
    <row r="107" spans="1:15" x14ac:dyDescent="0.25">
      <c r="A107">
        <v>-0.36035099999999998</v>
      </c>
      <c r="B107">
        <v>-18.133915999999999</v>
      </c>
      <c r="C107">
        <v>28.6327955</v>
      </c>
      <c r="D107">
        <v>56.481324499999999</v>
      </c>
      <c r="E107">
        <v>31.785272249999998</v>
      </c>
      <c r="F107">
        <v>0.77966100000000005</v>
      </c>
      <c r="G107">
        <v>58.336371999999997</v>
      </c>
      <c r="H107">
        <v>-28</v>
      </c>
      <c r="I107">
        <v>8</v>
      </c>
      <c r="J107">
        <v>1.18</v>
      </c>
      <c r="K107">
        <v>9.8769279999999995</v>
      </c>
      <c r="L107">
        <v>-0.70657199584940211</v>
      </c>
      <c r="M107">
        <v>-1.8184677443559321</v>
      </c>
      <c r="N107">
        <v>-0.6470902263268129</v>
      </c>
      <c r="O107">
        <v>-0.24435751251387361</v>
      </c>
    </row>
    <row r="108" spans="1:15" x14ac:dyDescent="0.25">
      <c r="A108">
        <v>-6.7583710000000004</v>
      </c>
      <c r="B108">
        <v>-17.221199500000001</v>
      </c>
      <c r="C108">
        <v>31.839307250000001</v>
      </c>
      <c r="D108">
        <v>54.067892999999998</v>
      </c>
      <c r="E108">
        <v>29.102973250000002</v>
      </c>
      <c r="F108">
        <v>0.68220750000000008</v>
      </c>
      <c r="G108">
        <v>56.975994</v>
      </c>
      <c r="H108">
        <v>-28</v>
      </c>
      <c r="I108">
        <v>12</v>
      </c>
      <c r="J108">
        <v>1.18</v>
      </c>
      <c r="K108">
        <v>9.7679639999999992</v>
      </c>
      <c r="L108">
        <v>-0.93928510348295058</v>
      </c>
      <c r="M108">
        <v>-1.7348381697199671</v>
      </c>
      <c r="N108">
        <v>-0.67830052450984324</v>
      </c>
      <c r="O108">
        <v>-0.30838065448110819</v>
      </c>
    </row>
    <row r="109" spans="1:15" x14ac:dyDescent="0.25">
      <c r="A109">
        <v>-12.524677499999999</v>
      </c>
      <c r="B109">
        <v>-16.69470175</v>
      </c>
      <c r="C109">
        <v>34.774845499999998</v>
      </c>
      <c r="D109">
        <v>51.223169499999997</v>
      </c>
      <c r="E109">
        <v>25.884212000000002</v>
      </c>
      <c r="F109">
        <v>0.63348075000000004</v>
      </c>
      <c r="G109">
        <v>55.815666499999999</v>
      </c>
      <c r="H109">
        <v>-28</v>
      </c>
      <c r="I109">
        <v>16</v>
      </c>
      <c r="J109">
        <v>1.18</v>
      </c>
      <c r="K109">
        <v>9.6710427499999998</v>
      </c>
      <c r="L109">
        <v>-1.1680662309144909</v>
      </c>
      <c r="M109">
        <v>-1.677221990192856</v>
      </c>
      <c r="N109">
        <v>-0.73915200568888639</v>
      </c>
      <c r="O109">
        <v>-0.37640334668639258</v>
      </c>
    </row>
    <row r="110" spans="1:15" x14ac:dyDescent="0.25">
      <c r="A110">
        <v>-18.202544249999999</v>
      </c>
      <c r="B110">
        <v>-19.286612999999999</v>
      </c>
      <c r="C110">
        <v>35.542598750000003</v>
      </c>
      <c r="D110">
        <v>47.539431499999999</v>
      </c>
      <c r="E110">
        <v>20.966662750000001</v>
      </c>
      <c r="F110">
        <v>0.584754</v>
      </c>
      <c r="G110">
        <v>53.775092999999998</v>
      </c>
      <c r="H110">
        <v>-28</v>
      </c>
      <c r="I110">
        <v>20</v>
      </c>
      <c r="J110">
        <v>1.18</v>
      </c>
      <c r="K110">
        <v>9.4948990000000002</v>
      </c>
      <c r="L110">
        <v>-1.3534250874874609</v>
      </c>
      <c r="M110">
        <v>-1.6828410640441851</v>
      </c>
      <c r="N110">
        <v>-0.82621307517452924</v>
      </c>
      <c r="O110">
        <v>-0.48676648471689909</v>
      </c>
    </row>
    <row r="111" spans="1:15" x14ac:dyDescent="0.25">
      <c r="A111">
        <v>-24.462109250000001</v>
      </c>
      <c r="B111">
        <v>-24.181939</v>
      </c>
      <c r="C111">
        <v>37.755546000000002</v>
      </c>
      <c r="D111">
        <v>44.735253499999999</v>
      </c>
      <c r="E111">
        <v>15.646769750000001</v>
      </c>
      <c r="F111">
        <v>0.584754</v>
      </c>
      <c r="G111">
        <v>54.015155999999998</v>
      </c>
      <c r="H111">
        <v>-28</v>
      </c>
      <c r="I111">
        <v>24</v>
      </c>
      <c r="J111">
        <v>1.18</v>
      </c>
      <c r="K111">
        <v>9.5162990000000001</v>
      </c>
      <c r="L111">
        <v>-1.556681973008601</v>
      </c>
      <c r="M111">
        <v>-1.724290171179707</v>
      </c>
      <c r="N111">
        <v>-0.96001596756031715</v>
      </c>
      <c r="O111">
        <v>-0.62316144452342492</v>
      </c>
    </row>
    <row r="112" spans="1:15" x14ac:dyDescent="0.25">
      <c r="A112">
        <v>-32.34579025</v>
      </c>
      <c r="B112">
        <v>-32.142136499999999</v>
      </c>
      <c r="C112">
        <v>39.78783825</v>
      </c>
      <c r="D112">
        <v>42.413067750000003</v>
      </c>
      <c r="E112">
        <v>8.8069047500000011</v>
      </c>
      <c r="F112">
        <v>0.584754</v>
      </c>
      <c r="G112">
        <v>55.535587</v>
      </c>
      <c r="H112">
        <v>-28</v>
      </c>
      <c r="I112">
        <v>28</v>
      </c>
      <c r="J112">
        <v>1.18</v>
      </c>
      <c r="K112">
        <v>9.6507509999999996</v>
      </c>
      <c r="L112">
        <v>-1.75716155027715</v>
      </c>
      <c r="M112">
        <v>-1.8161590159144061</v>
      </c>
      <c r="N112">
        <v>-1.138299838982721</v>
      </c>
      <c r="O112">
        <v>-0.7996862451305975</v>
      </c>
    </row>
    <row r="113" spans="1:15" x14ac:dyDescent="0.25">
      <c r="A113">
        <v>-39.964496500000003</v>
      </c>
      <c r="B113">
        <v>-40.342807000000001</v>
      </c>
      <c r="C113">
        <v>40.82656875</v>
      </c>
      <c r="D113">
        <v>39.38980875</v>
      </c>
      <c r="E113">
        <v>0.89412150000000001</v>
      </c>
      <c r="F113">
        <v>0.63348075000000004</v>
      </c>
      <c r="G113">
        <v>56.175766000000003</v>
      </c>
      <c r="H113">
        <v>-28</v>
      </c>
      <c r="I113">
        <v>32</v>
      </c>
      <c r="J113">
        <v>1.18</v>
      </c>
      <c r="K113">
        <v>9.702546250000001</v>
      </c>
      <c r="L113">
        <v>-1.9682989125109811</v>
      </c>
      <c r="M113">
        <v>-1.9425058670241331</v>
      </c>
      <c r="N113">
        <v>-1.3469199099427971</v>
      </c>
      <c r="O113">
        <v>-0.99372828919700851</v>
      </c>
    </row>
    <row r="114" spans="1:15" x14ac:dyDescent="0.25">
      <c r="A114">
        <v>-47.704740749999999</v>
      </c>
      <c r="B114">
        <v>-48.408477750000003</v>
      </c>
      <c r="C114">
        <v>41.684650499999996</v>
      </c>
      <c r="D114">
        <v>36.408052499999997</v>
      </c>
      <c r="E114">
        <v>-7.1361317499999997</v>
      </c>
      <c r="F114">
        <v>0.63348075000000004</v>
      </c>
      <c r="G114">
        <v>57.136035999999997</v>
      </c>
      <c r="H114">
        <v>-28</v>
      </c>
      <c r="I114">
        <v>36</v>
      </c>
      <c r="J114">
        <v>1.18</v>
      </c>
      <c r="K114">
        <v>9.786060749999999</v>
      </c>
      <c r="L114">
        <v>-2.1845108011401448</v>
      </c>
      <c r="M114">
        <v>-2.0727459027098152</v>
      </c>
      <c r="N114">
        <v>-1.5707045716002319</v>
      </c>
      <c r="O114">
        <v>-1.18989335520516</v>
      </c>
    </row>
    <row r="115" spans="1:15" x14ac:dyDescent="0.25">
      <c r="A115">
        <v>-54.825724749999999</v>
      </c>
      <c r="B115">
        <v>-56.32072325</v>
      </c>
      <c r="C115">
        <v>41.639488249999999</v>
      </c>
      <c r="D115">
        <v>32.11446325</v>
      </c>
      <c r="E115">
        <v>-16.368497000000001</v>
      </c>
      <c r="F115">
        <v>0.73093425000000001</v>
      </c>
      <c r="G115">
        <v>57.936256</v>
      </c>
      <c r="H115">
        <v>-28</v>
      </c>
      <c r="I115">
        <v>40</v>
      </c>
      <c r="J115">
        <v>1.18</v>
      </c>
      <c r="K115">
        <v>9.8467310000000001</v>
      </c>
      <c r="L115">
        <v>-2.460563276074148</v>
      </c>
      <c r="M115">
        <v>-2.2557294213589691</v>
      </c>
      <c r="N115">
        <v>-1.895328068007095</v>
      </c>
      <c r="O115">
        <v>-1.436172224722625</v>
      </c>
    </row>
    <row r="116" spans="1:15" x14ac:dyDescent="0.25">
      <c r="A116">
        <v>-60.686173250000003</v>
      </c>
      <c r="B116">
        <v>-63.329212249999998</v>
      </c>
      <c r="C116">
        <v>40.3749465</v>
      </c>
      <c r="D116">
        <v>26.991845000000001</v>
      </c>
      <c r="E116">
        <v>-26.626688000000001</v>
      </c>
      <c r="F116">
        <v>0.63348075000000004</v>
      </c>
      <c r="G116">
        <v>58.256351000000002</v>
      </c>
      <c r="H116">
        <v>-28</v>
      </c>
      <c r="I116">
        <v>44</v>
      </c>
      <c r="J116">
        <v>1.18</v>
      </c>
      <c r="K116">
        <v>9.8826027500000002</v>
      </c>
      <c r="L116">
        <v>-2.8564759499283232</v>
      </c>
      <c r="M116">
        <v>-2.5528397121615201</v>
      </c>
      <c r="N116">
        <v>-2.3992285634778989</v>
      </c>
      <c r="O116">
        <v>-1.770522197120211</v>
      </c>
    </row>
    <row r="117" spans="1:15" x14ac:dyDescent="0.25">
      <c r="A117">
        <v>44.043593250000001</v>
      </c>
      <c r="B117">
        <v>-59.343039249999997</v>
      </c>
      <c r="C117">
        <v>-58.017643999999997</v>
      </c>
      <c r="D117">
        <v>27.736750499999999</v>
      </c>
      <c r="E117">
        <v>-7.2699327500000006</v>
      </c>
      <c r="F117">
        <v>0.77966100000000005</v>
      </c>
      <c r="G117">
        <v>59.256632500000002</v>
      </c>
      <c r="H117">
        <v>-24</v>
      </c>
      <c r="I117">
        <v>-44</v>
      </c>
      <c r="J117">
        <v>1.18</v>
      </c>
      <c r="K117">
        <v>9.9555749999999996</v>
      </c>
      <c r="L117">
        <v>1.9852269977883381</v>
      </c>
      <c r="M117">
        <v>-1.693825541874556</v>
      </c>
      <c r="N117">
        <v>-1.2940409925237839</v>
      </c>
      <c r="O117">
        <v>-1.156575801416742</v>
      </c>
    </row>
    <row r="118" spans="1:15" x14ac:dyDescent="0.25">
      <c r="A118">
        <v>45.445489000000002</v>
      </c>
      <c r="B118">
        <v>-51.13600375</v>
      </c>
      <c r="C118">
        <v>-51.115077249999999</v>
      </c>
      <c r="D118">
        <v>32.992778749999999</v>
      </c>
      <c r="E118">
        <v>1.1623515</v>
      </c>
      <c r="F118">
        <v>0.77966100000000005</v>
      </c>
      <c r="G118">
        <v>59.376666999999998</v>
      </c>
      <c r="H118">
        <v>-24</v>
      </c>
      <c r="I118">
        <v>-40</v>
      </c>
      <c r="J118">
        <v>1.18</v>
      </c>
      <c r="K118">
        <v>9.9657900000000001</v>
      </c>
      <c r="L118">
        <v>1.846721205934307</v>
      </c>
      <c r="M118">
        <v>-1.608951949574865</v>
      </c>
      <c r="N118">
        <v>-1.1133531556104139</v>
      </c>
      <c r="O118">
        <v>-0.99268847249891545</v>
      </c>
    </row>
    <row r="119" spans="1:15" x14ac:dyDescent="0.25">
      <c r="A119">
        <v>46.483471000000002</v>
      </c>
      <c r="B119">
        <v>-42.600301000000002</v>
      </c>
      <c r="C119">
        <v>-42.949295999999997</v>
      </c>
      <c r="D119">
        <v>38.425868000000001</v>
      </c>
      <c r="E119">
        <v>9.7010052499999997</v>
      </c>
      <c r="F119">
        <v>0.77966100000000005</v>
      </c>
      <c r="G119">
        <v>59.936816999999998</v>
      </c>
      <c r="H119">
        <v>-24</v>
      </c>
      <c r="I119">
        <v>-36</v>
      </c>
      <c r="J119">
        <v>1.18</v>
      </c>
      <c r="K119">
        <v>10.013306999999999</v>
      </c>
      <c r="L119">
        <v>1.7042638887955459</v>
      </c>
      <c r="M119">
        <v>-1.5440593319746101</v>
      </c>
      <c r="N119">
        <v>-0.95731622345565481</v>
      </c>
      <c r="O119">
        <v>-0.82997082498823249</v>
      </c>
    </row>
    <row r="120" spans="1:15" x14ac:dyDescent="0.25">
      <c r="A120">
        <v>46.660939999999997</v>
      </c>
      <c r="B120">
        <v>-34.348936999999999</v>
      </c>
      <c r="C120">
        <v>-33.881220749999997</v>
      </c>
      <c r="D120">
        <v>43.637076499999999</v>
      </c>
      <c r="E120">
        <v>17.658494000000001</v>
      </c>
      <c r="F120">
        <v>0.77966100000000005</v>
      </c>
      <c r="G120">
        <v>60.617012750000001</v>
      </c>
      <c r="H120">
        <v>-24</v>
      </c>
      <c r="I120">
        <v>-32</v>
      </c>
      <c r="J120">
        <v>1.18</v>
      </c>
      <c r="K120">
        <v>10.07071075</v>
      </c>
      <c r="L120">
        <v>1.555659512295398</v>
      </c>
      <c r="M120">
        <v>-1.506293280183244</v>
      </c>
      <c r="N120">
        <v>-0.82974163866363404</v>
      </c>
      <c r="O120">
        <v>-0.67398225638529896</v>
      </c>
    </row>
    <row r="121" spans="1:15" x14ac:dyDescent="0.25">
      <c r="A121">
        <v>45.313063499999998</v>
      </c>
      <c r="B121">
        <v>-27.922417249999999</v>
      </c>
      <c r="C121">
        <v>-25.850784000000001</v>
      </c>
      <c r="D121">
        <v>48.068277500000001</v>
      </c>
      <c r="E121">
        <v>23.514848000000001</v>
      </c>
      <c r="F121">
        <v>0.77966100000000005</v>
      </c>
      <c r="G121">
        <v>60.897086999999999</v>
      </c>
      <c r="H121">
        <v>-24</v>
      </c>
      <c r="I121">
        <v>-28</v>
      </c>
      <c r="J121">
        <v>1.18</v>
      </c>
      <c r="K121">
        <v>10.094251</v>
      </c>
      <c r="L121">
        <v>1.4119412346951929</v>
      </c>
      <c r="M121">
        <v>-1.507709735772949</v>
      </c>
      <c r="N121">
        <v>-0.741692646931287</v>
      </c>
      <c r="O121">
        <v>-0.54891349244037047</v>
      </c>
    </row>
    <row r="122" spans="1:15" x14ac:dyDescent="0.25">
      <c r="A122">
        <v>44.226984999999999</v>
      </c>
      <c r="B122">
        <v>-22.01821425</v>
      </c>
      <c r="C122">
        <v>-17.098512499999998</v>
      </c>
      <c r="D122">
        <v>51.833325500000001</v>
      </c>
      <c r="E122">
        <v>29.55002275</v>
      </c>
      <c r="F122">
        <v>0.77966100000000005</v>
      </c>
      <c r="G122">
        <v>61.537269500000001</v>
      </c>
      <c r="H122">
        <v>-24</v>
      </c>
      <c r="I122">
        <v>-24</v>
      </c>
      <c r="J122">
        <v>1.18</v>
      </c>
      <c r="K122">
        <v>10.147854000000001</v>
      </c>
      <c r="L122">
        <v>1.2487756923832489</v>
      </c>
      <c r="M122">
        <v>-1.503856796305298</v>
      </c>
      <c r="N122">
        <v>-0.65137164184090524</v>
      </c>
      <c r="O122">
        <v>-0.41414015761616718</v>
      </c>
    </row>
    <row r="123" spans="1:15" x14ac:dyDescent="0.25">
      <c r="A123">
        <v>42.196156250000001</v>
      </c>
      <c r="B123">
        <v>-16.789485500000001</v>
      </c>
      <c r="C123">
        <v>-7.5792877499999998</v>
      </c>
      <c r="D123">
        <v>55.075628250000001</v>
      </c>
      <c r="E123">
        <v>35.451081000000002</v>
      </c>
      <c r="F123">
        <v>0.82838750000000005</v>
      </c>
      <c r="G123">
        <v>61.937381999999999</v>
      </c>
      <c r="H123">
        <v>-24</v>
      </c>
      <c r="I123">
        <v>-20</v>
      </c>
      <c r="J123">
        <v>1.18</v>
      </c>
      <c r="K123">
        <v>10.17715675</v>
      </c>
      <c r="L123">
        <v>1.0449171125216541</v>
      </c>
      <c r="M123">
        <v>-1.508642630724818</v>
      </c>
      <c r="N123">
        <v>-0.55601741109151603</v>
      </c>
      <c r="O123">
        <v>-0.27316438845079799</v>
      </c>
    </row>
    <row r="124" spans="1:15" x14ac:dyDescent="0.25">
      <c r="A124">
        <v>38.861646750000013</v>
      </c>
      <c r="B124">
        <v>-14.2011155</v>
      </c>
      <c r="C124">
        <v>-0.54137749999999996</v>
      </c>
      <c r="D124">
        <v>57.529292249999997</v>
      </c>
      <c r="E124">
        <v>38.938069249999998</v>
      </c>
      <c r="F124">
        <v>0.77966100000000005</v>
      </c>
      <c r="G124">
        <v>62.377506500000003</v>
      </c>
      <c r="H124">
        <v>-24</v>
      </c>
      <c r="I124">
        <v>-16</v>
      </c>
      <c r="J124">
        <v>1.18</v>
      </c>
      <c r="K124">
        <v>10.21778325</v>
      </c>
      <c r="L124">
        <v>0.85086608587586565</v>
      </c>
      <c r="M124">
        <v>-1.548943276479763</v>
      </c>
      <c r="N124">
        <v>-0.50614969185500125</v>
      </c>
      <c r="O124">
        <v>-0.17600989701485281</v>
      </c>
    </row>
    <row r="125" spans="1:15" x14ac:dyDescent="0.25">
      <c r="A125">
        <v>35.291323749999997</v>
      </c>
      <c r="B125">
        <v>-12.56815125</v>
      </c>
      <c r="C125">
        <v>6.1420577499999993</v>
      </c>
      <c r="D125">
        <v>59.636211500000002</v>
      </c>
      <c r="E125">
        <v>41.575664500000002</v>
      </c>
      <c r="F125">
        <v>0.77966100000000005</v>
      </c>
      <c r="G125">
        <v>63.057696999999997</v>
      </c>
      <c r="H125">
        <v>-24</v>
      </c>
      <c r="I125">
        <v>-12</v>
      </c>
      <c r="J125">
        <v>1.18</v>
      </c>
      <c r="K125">
        <v>10.274044999999999</v>
      </c>
      <c r="L125">
        <v>0.65080563663092261</v>
      </c>
      <c r="M125">
        <v>-1.61212085827802</v>
      </c>
      <c r="N125">
        <v>-0.47964068719231528</v>
      </c>
      <c r="O125">
        <v>-8.9140070041600572E-2</v>
      </c>
    </row>
    <row r="126" spans="1:15" x14ac:dyDescent="0.25">
      <c r="A126">
        <v>30.68812325</v>
      </c>
      <c r="B126">
        <v>-11.704670999999999</v>
      </c>
      <c r="C126">
        <v>12.735728249999999</v>
      </c>
      <c r="D126">
        <v>60.687846499999999</v>
      </c>
      <c r="E126">
        <v>42.961518249999997</v>
      </c>
      <c r="F126">
        <v>0.87711399999999995</v>
      </c>
      <c r="G126">
        <v>63.377780999999999</v>
      </c>
      <c r="H126">
        <v>-24</v>
      </c>
      <c r="I126">
        <v>-8</v>
      </c>
      <c r="J126">
        <v>1.18</v>
      </c>
      <c r="K126">
        <v>10.292389</v>
      </c>
      <c r="L126">
        <v>0.42292084942227248</v>
      </c>
      <c r="M126">
        <v>-1.7055442127912031</v>
      </c>
      <c r="N126">
        <v>-0.48101385489017912</v>
      </c>
      <c r="O126">
        <v>-8.5236200019935884E-3</v>
      </c>
    </row>
    <row r="127" spans="1:15" x14ac:dyDescent="0.25">
      <c r="A127">
        <v>25.499919999999999</v>
      </c>
      <c r="B127">
        <v>-11.27449375</v>
      </c>
      <c r="C127">
        <v>19.3293985</v>
      </c>
      <c r="D127">
        <v>61.381117000000003</v>
      </c>
      <c r="E127">
        <v>44.034438999999999</v>
      </c>
      <c r="F127">
        <v>0.82838750000000005</v>
      </c>
      <c r="G127">
        <v>63.857925000000002</v>
      </c>
      <c r="H127">
        <v>-24</v>
      </c>
      <c r="I127">
        <v>-4</v>
      </c>
      <c r="J127">
        <v>1.18</v>
      </c>
      <c r="K127">
        <v>10.335844249999999</v>
      </c>
      <c r="L127">
        <v>0.15422374890968671</v>
      </c>
      <c r="M127">
        <v>-1.816071081751953</v>
      </c>
      <c r="N127">
        <v>-0.49550090878239528</v>
      </c>
      <c r="O127">
        <v>7.997247297562346E-2</v>
      </c>
    </row>
    <row r="128" spans="1:15" x14ac:dyDescent="0.25">
      <c r="A128">
        <v>20.081354999999999</v>
      </c>
      <c r="B128">
        <v>-11.080302250000001</v>
      </c>
      <c r="C128">
        <v>25.516609249999998</v>
      </c>
      <c r="D128">
        <v>62.213535499999999</v>
      </c>
      <c r="E128">
        <v>44.973244749999999</v>
      </c>
      <c r="F128">
        <v>0.77966100000000005</v>
      </c>
      <c r="G128">
        <v>64.498099999999994</v>
      </c>
      <c r="H128">
        <v>-24</v>
      </c>
      <c r="I128">
        <v>0</v>
      </c>
      <c r="J128">
        <v>1.18</v>
      </c>
      <c r="K128">
        <v>10.392177</v>
      </c>
      <c r="L128">
        <v>-0.1342939246078923</v>
      </c>
      <c r="M128">
        <v>-1.810947674184038</v>
      </c>
      <c r="N128">
        <v>-0.48242279649390629</v>
      </c>
      <c r="O128">
        <v>9.1934287051770397E-2</v>
      </c>
    </row>
    <row r="129" spans="1:15" x14ac:dyDescent="0.25">
      <c r="A129">
        <v>13.89989325</v>
      </c>
      <c r="B129">
        <v>-10.121677500000001</v>
      </c>
      <c r="C129">
        <v>31.387685749999999</v>
      </c>
      <c r="D129">
        <v>61.783296</v>
      </c>
      <c r="E129">
        <v>44.794423999999999</v>
      </c>
      <c r="F129">
        <v>0.77966100000000005</v>
      </c>
      <c r="G129">
        <v>64.658150000000006</v>
      </c>
      <c r="H129">
        <v>-24</v>
      </c>
      <c r="I129">
        <v>4</v>
      </c>
      <c r="J129">
        <v>1.18</v>
      </c>
      <c r="K129">
        <v>10.405220999999999</v>
      </c>
      <c r="L129">
        <v>-0.40760036904381503</v>
      </c>
      <c r="M129">
        <v>-1.675899400607517</v>
      </c>
      <c r="N129">
        <v>-0.4629947595969639</v>
      </c>
      <c r="O129">
        <v>2.5853807779741049E-2</v>
      </c>
    </row>
    <row r="130" spans="1:15" x14ac:dyDescent="0.25">
      <c r="A130">
        <v>7.6724889999999997</v>
      </c>
      <c r="B130">
        <v>-9.8345587499999993</v>
      </c>
      <c r="C130">
        <v>36.671653749999997</v>
      </c>
      <c r="D130">
        <v>61.958568999999997</v>
      </c>
      <c r="E130">
        <v>44.302670249999998</v>
      </c>
      <c r="F130">
        <v>0.82838750000000005</v>
      </c>
      <c r="G130">
        <v>65.178293499999995</v>
      </c>
      <c r="H130">
        <v>-24</v>
      </c>
      <c r="I130">
        <v>8</v>
      </c>
      <c r="J130">
        <v>1.18</v>
      </c>
      <c r="K130">
        <v>10.44354</v>
      </c>
      <c r="L130">
        <v>-0.63899358841749077</v>
      </c>
      <c r="M130">
        <v>-1.581944171414168</v>
      </c>
      <c r="N130">
        <v>-0.46001522832894481</v>
      </c>
      <c r="O130">
        <v>-4.2091850239025543E-2</v>
      </c>
    </row>
    <row r="131" spans="1:15" x14ac:dyDescent="0.25">
      <c r="A131">
        <v>0.72208974999999997</v>
      </c>
      <c r="B131">
        <v>-9.2102697500000001</v>
      </c>
      <c r="C131">
        <v>41.50400175</v>
      </c>
      <c r="D131">
        <v>61.078320750000003</v>
      </c>
      <c r="E131">
        <v>42.380354250000003</v>
      </c>
      <c r="F131">
        <v>0.82838750000000005</v>
      </c>
      <c r="G131">
        <v>65.618408000000002</v>
      </c>
      <c r="H131">
        <v>-24</v>
      </c>
      <c r="I131">
        <v>12</v>
      </c>
      <c r="J131">
        <v>1.18</v>
      </c>
      <c r="K131">
        <v>10.479196</v>
      </c>
      <c r="L131">
        <v>-0.87468922393207904</v>
      </c>
      <c r="M131">
        <v>-1.50754690587246</v>
      </c>
      <c r="N131">
        <v>-0.4984082933930668</v>
      </c>
      <c r="O131">
        <v>-0.10879302280273161</v>
      </c>
    </row>
    <row r="132" spans="1:15" x14ac:dyDescent="0.25">
      <c r="A132">
        <v>-6.5326792500000002</v>
      </c>
      <c r="B132">
        <v>-10.26625875</v>
      </c>
      <c r="C132">
        <v>45.523429999999998</v>
      </c>
      <c r="D132">
        <v>58.847489500000002</v>
      </c>
      <c r="E132">
        <v>38.893363999999998</v>
      </c>
      <c r="F132">
        <v>0.77966100000000005</v>
      </c>
      <c r="G132">
        <v>65.898494749999998</v>
      </c>
      <c r="H132">
        <v>-24</v>
      </c>
      <c r="I132">
        <v>16</v>
      </c>
      <c r="J132">
        <v>1.18</v>
      </c>
      <c r="K132">
        <v>10.505754250000001</v>
      </c>
      <c r="L132">
        <v>-1.1007310418752989</v>
      </c>
      <c r="M132">
        <v>-1.4614083646345479</v>
      </c>
      <c r="N132">
        <v>-0.57104105845628916</v>
      </c>
      <c r="O132">
        <v>-0.19408636326822151</v>
      </c>
    </row>
    <row r="133" spans="1:15" x14ac:dyDescent="0.25">
      <c r="A133">
        <v>-13.78525</v>
      </c>
      <c r="B133">
        <v>-14.296047</v>
      </c>
      <c r="C133">
        <v>49.317049999999988</v>
      </c>
      <c r="D133">
        <v>57.17875875</v>
      </c>
      <c r="E133">
        <v>34.333455749999999</v>
      </c>
      <c r="F133">
        <v>0.77966100000000005</v>
      </c>
      <c r="G133">
        <v>66.458650500000005</v>
      </c>
      <c r="H133">
        <v>-24</v>
      </c>
      <c r="I133">
        <v>20</v>
      </c>
      <c r="J133">
        <v>1.18</v>
      </c>
      <c r="K133">
        <v>10.550842749999999</v>
      </c>
      <c r="L133">
        <v>-1.3044718032292939</v>
      </c>
      <c r="M133">
        <v>-1.477541458915133</v>
      </c>
      <c r="N133">
        <v>-0.66410494059881864</v>
      </c>
      <c r="O133">
        <v>-0.30637228001000788</v>
      </c>
    </row>
    <row r="134" spans="1:15" x14ac:dyDescent="0.25">
      <c r="A134">
        <v>-22.030864000000001</v>
      </c>
      <c r="B134">
        <v>-21.922255</v>
      </c>
      <c r="C134">
        <v>51.665478</v>
      </c>
      <c r="D134">
        <v>53.983699999999999</v>
      </c>
      <c r="E134">
        <v>27.091246999999999</v>
      </c>
      <c r="F134">
        <v>0.82838750000000005</v>
      </c>
      <c r="G134">
        <v>66.738724000000005</v>
      </c>
      <c r="H134">
        <v>-24</v>
      </c>
      <c r="I134">
        <v>24</v>
      </c>
      <c r="J134">
        <v>1.18</v>
      </c>
      <c r="K134">
        <v>10.56940775</v>
      </c>
      <c r="L134">
        <v>-1.5019475411038909</v>
      </c>
      <c r="M134">
        <v>-1.546961492131723</v>
      </c>
      <c r="N134">
        <v>-0.80803606069909284</v>
      </c>
      <c r="O134">
        <v>-0.46476351727130349</v>
      </c>
    </row>
    <row r="135" spans="1:15" x14ac:dyDescent="0.25">
      <c r="A135">
        <v>-30.320554250000001</v>
      </c>
      <c r="B135">
        <v>-30.650707749999999</v>
      </c>
      <c r="C135">
        <v>53.562290249999997</v>
      </c>
      <c r="D135">
        <v>49.633065500000001</v>
      </c>
      <c r="E135">
        <v>18.642003500000001</v>
      </c>
      <c r="F135">
        <v>0.77966100000000005</v>
      </c>
      <c r="G135">
        <v>66.938783999999998</v>
      </c>
      <c r="H135">
        <v>-24</v>
      </c>
      <c r="I135">
        <v>28</v>
      </c>
      <c r="J135">
        <v>1.18</v>
      </c>
      <c r="K135">
        <v>10.5893335</v>
      </c>
      <c r="L135">
        <v>-1.7074594776929211</v>
      </c>
      <c r="M135">
        <v>-1.6341815581725989</v>
      </c>
      <c r="N135">
        <v>-0.98309041429697075</v>
      </c>
      <c r="O135">
        <v>-0.6364066912045524</v>
      </c>
    </row>
    <row r="136" spans="1:15" x14ac:dyDescent="0.25">
      <c r="A136">
        <v>-38.199849749999998</v>
      </c>
      <c r="B136">
        <v>-38.861091500000001</v>
      </c>
      <c r="C136">
        <v>51.800964499999999</v>
      </c>
      <c r="D136">
        <v>43.073031499999999</v>
      </c>
      <c r="E136">
        <v>7.6892802500000004</v>
      </c>
      <c r="F136">
        <v>0.77966100000000005</v>
      </c>
      <c r="G136">
        <v>64.538112499999997</v>
      </c>
      <c r="H136">
        <v>-24</v>
      </c>
      <c r="I136">
        <v>32</v>
      </c>
      <c r="J136">
        <v>1.18</v>
      </c>
      <c r="K136">
        <v>10.395438</v>
      </c>
      <c r="L136">
        <v>-1.947298440155202</v>
      </c>
      <c r="M136">
        <v>-1.7727799161937341</v>
      </c>
      <c r="N136">
        <v>-1.230072655757525</v>
      </c>
      <c r="O136">
        <v>-0.85054462202179926</v>
      </c>
    </row>
    <row r="137" spans="1:15" x14ac:dyDescent="0.25">
      <c r="A137">
        <v>-44.103844000000002</v>
      </c>
      <c r="B137">
        <v>-45.094943749999999</v>
      </c>
      <c r="C137">
        <v>49.588021249999997</v>
      </c>
      <c r="D137">
        <v>36.451870999999997</v>
      </c>
      <c r="E137">
        <v>-2.3192425000000001</v>
      </c>
      <c r="F137">
        <v>0.73093425000000001</v>
      </c>
      <c r="G137">
        <v>61.857360999999997</v>
      </c>
      <c r="H137">
        <v>-24</v>
      </c>
      <c r="I137">
        <v>36</v>
      </c>
      <c r="J137">
        <v>1.18</v>
      </c>
      <c r="K137">
        <v>10.17860875</v>
      </c>
      <c r="L137">
        <v>-2.2159778143031899</v>
      </c>
      <c r="M137">
        <v>-1.9287732992124289</v>
      </c>
      <c r="N137">
        <v>-1.517951447177827</v>
      </c>
      <c r="O137">
        <v>-1.0721687048793671</v>
      </c>
    </row>
    <row r="138" spans="1:15" x14ac:dyDescent="0.25">
      <c r="A138">
        <v>-50.5910455</v>
      </c>
      <c r="B138">
        <v>-51.807618750000003</v>
      </c>
      <c r="C138">
        <v>47.917022000000003</v>
      </c>
      <c r="D138">
        <v>30.1847715</v>
      </c>
      <c r="E138">
        <v>-12.755833000000001</v>
      </c>
      <c r="F138">
        <v>0.77966100000000005</v>
      </c>
      <c r="G138">
        <v>60.296924750000002</v>
      </c>
      <c r="H138">
        <v>-24</v>
      </c>
      <c r="I138">
        <v>40</v>
      </c>
      <c r="J138">
        <v>1.18</v>
      </c>
      <c r="K138">
        <v>10.043738749999999</v>
      </c>
      <c r="L138">
        <v>-2.562569142589993</v>
      </c>
      <c r="M138">
        <v>-2.1329335259973621</v>
      </c>
      <c r="N138">
        <v>-1.9004584393650401</v>
      </c>
      <c r="O138">
        <v>-1.3521724229929279</v>
      </c>
    </row>
    <row r="139" spans="1:15" x14ac:dyDescent="0.25">
      <c r="A139">
        <v>-56.267369500000001</v>
      </c>
      <c r="B139">
        <v>-58.191610500000003</v>
      </c>
      <c r="C139">
        <v>45.162134999999999</v>
      </c>
      <c r="D139">
        <v>24.406586000000001</v>
      </c>
      <c r="E139">
        <v>-23.32622675</v>
      </c>
      <c r="F139">
        <v>0.77966100000000005</v>
      </c>
      <c r="G139">
        <v>58.816505499999998</v>
      </c>
      <c r="H139">
        <v>-24</v>
      </c>
      <c r="I139">
        <v>44</v>
      </c>
      <c r="J139">
        <v>1.18</v>
      </c>
      <c r="K139">
        <v>9.9180287499999995</v>
      </c>
      <c r="L139">
        <v>-2.9917382118937481</v>
      </c>
      <c r="M139">
        <v>-2.436279354037524</v>
      </c>
      <c r="N139">
        <v>-2.4228627472495599</v>
      </c>
      <c r="O139">
        <v>-1.7110211543801559</v>
      </c>
    </row>
    <row r="140" spans="1:15" x14ac:dyDescent="0.25">
      <c r="A140">
        <v>46.712179249999998</v>
      </c>
      <c r="B140">
        <v>-51.471810499999997</v>
      </c>
      <c r="C140">
        <v>-52.062486</v>
      </c>
      <c r="D140">
        <v>23.614872500000001</v>
      </c>
      <c r="E140">
        <v>-4.5046827499999997</v>
      </c>
      <c r="F140">
        <v>0.68220750000000008</v>
      </c>
      <c r="G140">
        <v>57.3761005</v>
      </c>
      <c r="H140">
        <v>-20</v>
      </c>
      <c r="I140">
        <v>-44</v>
      </c>
      <c r="J140">
        <v>1.18</v>
      </c>
      <c r="K140">
        <v>9.802619</v>
      </c>
      <c r="L140">
        <v>2.0899694857400788</v>
      </c>
      <c r="M140">
        <v>-1.5887221400675899</v>
      </c>
      <c r="N140">
        <v>-1.3093515759610741</v>
      </c>
      <c r="O140">
        <v>-1.1097536927896521</v>
      </c>
    </row>
    <row r="141" spans="1:15" x14ac:dyDescent="0.25">
      <c r="A141">
        <v>49.142904999999999</v>
      </c>
      <c r="B141">
        <v>-44.516177249999998</v>
      </c>
      <c r="C141">
        <v>-45.836644999999997</v>
      </c>
      <c r="D141">
        <v>29.531417250000001</v>
      </c>
      <c r="E141">
        <v>4.6493407500000004</v>
      </c>
      <c r="F141">
        <v>0.77966100000000005</v>
      </c>
      <c r="G141">
        <v>58.816505499999998</v>
      </c>
      <c r="H141">
        <v>-20</v>
      </c>
      <c r="I141">
        <v>-40</v>
      </c>
      <c r="J141">
        <v>1.18</v>
      </c>
      <c r="K141">
        <v>9.9180379999999992</v>
      </c>
      <c r="L141">
        <v>1.9062369293478361</v>
      </c>
      <c r="M141">
        <v>-1.4861328599961581</v>
      </c>
      <c r="N141">
        <v>-1.0871326585029231</v>
      </c>
      <c r="O141">
        <v>-0.92233471101952624</v>
      </c>
    </row>
    <row r="142" spans="1:15" x14ac:dyDescent="0.25">
      <c r="A142">
        <v>50.097113499999999</v>
      </c>
      <c r="B142">
        <v>-35.404337750000003</v>
      </c>
      <c r="C142">
        <v>-37.129486249999999</v>
      </c>
      <c r="D142">
        <v>35.315006250000003</v>
      </c>
      <c r="E142">
        <v>14.0820945</v>
      </c>
      <c r="F142">
        <v>0.77966100000000005</v>
      </c>
      <c r="G142">
        <v>59.576719500000003</v>
      </c>
      <c r="H142">
        <v>-20</v>
      </c>
      <c r="I142">
        <v>-36</v>
      </c>
      <c r="J142">
        <v>1.18</v>
      </c>
      <c r="K142">
        <v>9.9827852500000009</v>
      </c>
      <c r="L142">
        <v>1.7324415703672711</v>
      </c>
      <c r="M142">
        <v>-1.4045644662359931</v>
      </c>
      <c r="N142">
        <v>-0.90357969211365807</v>
      </c>
      <c r="O142">
        <v>-0.73578070625761305</v>
      </c>
    </row>
    <row r="143" spans="1:15" x14ac:dyDescent="0.25">
      <c r="A143">
        <v>50.496702999999997</v>
      </c>
      <c r="B143">
        <v>-27.966523250000002</v>
      </c>
      <c r="C143">
        <v>-29.144165999999998</v>
      </c>
      <c r="D143">
        <v>40.529009000000002</v>
      </c>
      <c r="E143">
        <v>21.77135225</v>
      </c>
      <c r="F143">
        <v>0.73093425000000001</v>
      </c>
      <c r="G143">
        <v>60.256912499999999</v>
      </c>
      <c r="H143">
        <v>-20</v>
      </c>
      <c r="I143">
        <v>-32</v>
      </c>
      <c r="J143">
        <v>1.18</v>
      </c>
      <c r="K143">
        <v>10.044468</v>
      </c>
      <c r="L143">
        <v>1.5824809302117651</v>
      </c>
      <c r="M143">
        <v>-1.3610174811581821</v>
      </c>
      <c r="N143">
        <v>-0.76471688880953126</v>
      </c>
      <c r="O143">
        <v>-0.58192574959302856</v>
      </c>
    </row>
    <row r="144" spans="1:15" x14ac:dyDescent="0.25">
      <c r="A144">
        <v>50.184103999999998</v>
      </c>
      <c r="B144">
        <v>-20.388656999999998</v>
      </c>
      <c r="C144">
        <v>-19.624941499999998</v>
      </c>
      <c r="D144">
        <v>45.699202499999998</v>
      </c>
      <c r="E144">
        <v>29.371201249999999</v>
      </c>
      <c r="F144">
        <v>0.82838750000000005</v>
      </c>
      <c r="G144">
        <v>61.217178500000003</v>
      </c>
      <c r="H144">
        <v>-20</v>
      </c>
      <c r="I144">
        <v>-28</v>
      </c>
      <c r="J144">
        <v>1.18</v>
      </c>
      <c r="K144">
        <v>10.117002250000001</v>
      </c>
      <c r="L144">
        <v>1.413776166792468</v>
      </c>
      <c r="M144">
        <v>-1.338406996331339</v>
      </c>
      <c r="N144">
        <v>-0.64494755247698643</v>
      </c>
      <c r="O144">
        <v>-0.42195294578199533</v>
      </c>
    </row>
    <row r="145" spans="1:15" x14ac:dyDescent="0.25">
      <c r="A145">
        <v>48.559413749999997</v>
      </c>
      <c r="B145">
        <v>-13.719431500000001</v>
      </c>
      <c r="C145">
        <v>-10.150831999999999</v>
      </c>
      <c r="D145">
        <v>49.4673005</v>
      </c>
      <c r="E145">
        <v>35.764016750000003</v>
      </c>
      <c r="F145">
        <v>0.87711399999999995</v>
      </c>
      <c r="G145">
        <v>61.497257249999997</v>
      </c>
      <c r="H145">
        <v>-20</v>
      </c>
      <c r="I145">
        <v>-24</v>
      </c>
      <c r="J145">
        <v>1.18</v>
      </c>
      <c r="K145">
        <v>10.136362500000001</v>
      </c>
      <c r="L145">
        <v>1.230851707391865</v>
      </c>
      <c r="M145">
        <v>-1.3247086098855401</v>
      </c>
      <c r="N145">
        <v>-0.53950424259048591</v>
      </c>
      <c r="O145">
        <v>-0.26860914416670018</v>
      </c>
    </row>
    <row r="146" spans="1:15" x14ac:dyDescent="0.25">
      <c r="A146">
        <v>46.483483249999999</v>
      </c>
      <c r="B146">
        <v>-9.2588512499999993</v>
      </c>
      <c r="C146">
        <v>-1.894822</v>
      </c>
      <c r="D146">
        <v>52.928695750000003</v>
      </c>
      <c r="E146">
        <v>41.128615250000003</v>
      </c>
      <c r="F146">
        <v>0.77966100000000005</v>
      </c>
      <c r="G146">
        <v>62.217457750000001</v>
      </c>
      <c r="H146">
        <v>-20</v>
      </c>
      <c r="I146">
        <v>-20</v>
      </c>
      <c r="J146">
        <v>1.18</v>
      </c>
      <c r="K146">
        <v>10.204500250000001</v>
      </c>
      <c r="L146">
        <v>1.0358198774954299</v>
      </c>
      <c r="M146">
        <v>-1.3314820609572751</v>
      </c>
      <c r="N146">
        <v>-0.45152920451590173</v>
      </c>
      <c r="O146">
        <v>-0.13609660755501421</v>
      </c>
    </row>
    <row r="147" spans="1:15" x14ac:dyDescent="0.25">
      <c r="A147">
        <v>43.640305750000003</v>
      </c>
      <c r="B147">
        <v>-6.2361092500000002</v>
      </c>
      <c r="C147">
        <v>5.0130047500000003</v>
      </c>
      <c r="D147">
        <v>55.988626500000002</v>
      </c>
      <c r="E147">
        <v>45.152064999999993</v>
      </c>
      <c r="F147">
        <v>0.77966100000000005</v>
      </c>
      <c r="G147">
        <v>62.897652000000001</v>
      </c>
      <c r="H147">
        <v>-20</v>
      </c>
      <c r="I147">
        <v>-16</v>
      </c>
      <c r="J147">
        <v>1.18</v>
      </c>
      <c r="K147">
        <v>10.260835</v>
      </c>
      <c r="L147">
        <v>0.8440575313625589</v>
      </c>
      <c r="M147">
        <v>-1.359701944526402</v>
      </c>
      <c r="N147">
        <v>-0.38776621782423659</v>
      </c>
      <c r="O147">
        <v>-3.039615270983034E-2</v>
      </c>
    </row>
    <row r="148" spans="1:15" x14ac:dyDescent="0.25">
      <c r="A148">
        <v>39.623764000000001</v>
      </c>
      <c r="B148">
        <v>-3.8376144999999999</v>
      </c>
      <c r="C148">
        <v>11.742161250000001</v>
      </c>
      <c r="D148">
        <v>57.573110749999998</v>
      </c>
      <c r="E148">
        <v>47.8790695</v>
      </c>
      <c r="F148">
        <v>0.87711399999999995</v>
      </c>
      <c r="G148">
        <v>63.217739000000002</v>
      </c>
      <c r="H148">
        <v>-20</v>
      </c>
      <c r="I148">
        <v>-12</v>
      </c>
      <c r="J148">
        <v>1.18</v>
      </c>
      <c r="K148">
        <v>10.2792025</v>
      </c>
      <c r="L148">
        <v>0.634743142503568</v>
      </c>
      <c r="M148">
        <v>-1.3980209989823</v>
      </c>
      <c r="N148">
        <v>-0.34919134977361121</v>
      </c>
      <c r="O148">
        <v>7.0013045259689738E-2</v>
      </c>
    </row>
    <row r="149" spans="1:15" x14ac:dyDescent="0.25">
      <c r="A149">
        <v>35.516980250000003</v>
      </c>
      <c r="B149">
        <v>-2.54238075</v>
      </c>
      <c r="C149">
        <v>18.29066825</v>
      </c>
      <c r="D149">
        <v>59.154218999999998</v>
      </c>
      <c r="E149">
        <v>50.248435000000001</v>
      </c>
      <c r="F149">
        <v>0.87711399999999995</v>
      </c>
      <c r="G149">
        <v>63.817912749999998</v>
      </c>
      <c r="H149">
        <v>-20</v>
      </c>
      <c r="I149">
        <v>-8</v>
      </c>
      <c r="J149">
        <v>1.18</v>
      </c>
      <c r="K149">
        <v>10.328566</v>
      </c>
      <c r="L149">
        <v>0.40652329627206429</v>
      </c>
      <c r="M149">
        <v>-1.455984218086708</v>
      </c>
      <c r="N149">
        <v>-0.32022905392663142</v>
      </c>
      <c r="O149">
        <v>0.1651308347280693</v>
      </c>
    </row>
    <row r="150" spans="1:15" x14ac:dyDescent="0.25">
      <c r="A150">
        <v>30.23682075</v>
      </c>
      <c r="B150">
        <v>-2.2064664999999999</v>
      </c>
      <c r="C150">
        <v>24.252069250000002</v>
      </c>
      <c r="D150">
        <v>59.847667000000001</v>
      </c>
      <c r="E150">
        <v>51.321352750000003</v>
      </c>
      <c r="F150">
        <v>0.87711399999999995</v>
      </c>
      <c r="G150">
        <v>64.258029999999991</v>
      </c>
      <c r="H150">
        <v>-20</v>
      </c>
      <c r="I150">
        <v>-4</v>
      </c>
      <c r="J150">
        <v>1.18</v>
      </c>
      <c r="K150">
        <v>10.36461175</v>
      </c>
      <c r="L150">
        <v>0.14851121140651491</v>
      </c>
      <c r="M150">
        <v>-1.5398601071586799</v>
      </c>
      <c r="N150">
        <v>-0.32103155057754179</v>
      </c>
      <c r="O150">
        <v>0.25176199814738709</v>
      </c>
    </row>
    <row r="151" spans="1:15" x14ac:dyDescent="0.25">
      <c r="A151">
        <v>25.182320000000001</v>
      </c>
      <c r="B151">
        <v>-1.2472004999999999</v>
      </c>
      <c r="C151">
        <v>30.4392815</v>
      </c>
      <c r="D151">
        <v>60.289641500000002</v>
      </c>
      <c r="E151">
        <v>52.215454250000001</v>
      </c>
      <c r="F151">
        <v>0.87711399999999995</v>
      </c>
      <c r="G151">
        <v>64.618137500000003</v>
      </c>
      <c r="H151">
        <v>-20</v>
      </c>
      <c r="I151">
        <v>0</v>
      </c>
      <c r="J151">
        <v>1.18</v>
      </c>
      <c r="K151">
        <v>10.394012</v>
      </c>
      <c r="L151">
        <v>-0.1306104746016668</v>
      </c>
      <c r="M151">
        <v>-1.528940296803357</v>
      </c>
      <c r="N151">
        <v>-0.30815578778969782</v>
      </c>
      <c r="O151">
        <v>0.27556792904054322</v>
      </c>
    </row>
    <row r="152" spans="1:15" x14ac:dyDescent="0.25">
      <c r="A152">
        <v>19.541088500000001</v>
      </c>
      <c r="B152">
        <v>-0.86350674999999999</v>
      </c>
      <c r="C152">
        <v>35.9490585</v>
      </c>
      <c r="D152">
        <v>60.552537999999998</v>
      </c>
      <c r="E152">
        <v>52.215454250000001</v>
      </c>
      <c r="F152">
        <v>0.97456699999999996</v>
      </c>
      <c r="G152">
        <v>65.298325000000006</v>
      </c>
      <c r="H152">
        <v>-20</v>
      </c>
      <c r="I152">
        <v>4</v>
      </c>
      <c r="J152">
        <v>1.18</v>
      </c>
      <c r="K152">
        <v>10.441423</v>
      </c>
      <c r="L152">
        <v>-0.38266571584785691</v>
      </c>
      <c r="M152">
        <v>-1.4323986886423641</v>
      </c>
      <c r="N152">
        <v>-0.30513296867410622</v>
      </c>
      <c r="O152">
        <v>0.19507530789990291</v>
      </c>
    </row>
    <row r="153" spans="1:15" x14ac:dyDescent="0.25">
      <c r="A153">
        <v>13.67424825</v>
      </c>
      <c r="B153">
        <v>4.8321500000000003E-2</v>
      </c>
      <c r="C153">
        <v>41.368515000000002</v>
      </c>
      <c r="D153">
        <v>59.811487499999998</v>
      </c>
      <c r="E153">
        <v>51.321353000000002</v>
      </c>
      <c r="F153">
        <v>0.97456699999999996</v>
      </c>
      <c r="G153">
        <v>65.458365999999998</v>
      </c>
      <c r="H153">
        <v>-20</v>
      </c>
      <c r="I153">
        <v>8</v>
      </c>
      <c r="J153">
        <v>1.18</v>
      </c>
      <c r="K153">
        <v>10.454405</v>
      </c>
      <c r="L153">
        <v>-0.62290758469459451</v>
      </c>
      <c r="M153">
        <v>-1.344188003369531</v>
      </c>
      <c r="N153">
        <v>-0.31796949162085408</v>
      </c>
      <c r="O153">
        <v>0.13241967559068701</v>
      </c>
    </row>
    <row r="154" spans="1:15" x14ac:dyDescent="0.25">
      <c r="A154">
        <v>7.5817515000000002</v>
      </c>
      <c r="B154">
        <v>0.72153200000000006</v>
      </c>
      <c r="C154">
        <v>45.929889500000002</v>
      </c>
      <c r="D154">
        <v>58.620931749999997</v>
      </c>
      <c r="E154">
        <v>49.533153499999997</v>
      </c>
      <c r="F154">
        <v>0.92584049999999996</v>
      </c>
      <c r="G154">
        <v>65.818470250000004</v>
      </c>
      <c r="H154">
        <v>-20</v>
      </c>
      <c r="I154">
        <v>12</v>
      </c>
      <c r="J154">
        <v>1.18</v>
      </c>
      <c r="K154">
        <v>10.4874905</v>
      </c>
      <c r="L154">
        <v>-0.84503887238835984</v>
      </c>
      <c r="M154">
        <v>-1.2758242878320949</v>
      </c>
      <c r="N154">
        <v>-0.35886096978482762</v>
      </c>
      <c r="O154">
        <v>7.1104406820550289E-2</v>
      </c>
    </row>
    <row r="155" spans="1:15" x14ac:dyDescent="0.25">
      <c r="A155">
        <v>0.40628399999999998</v>
      </c>
      <c r="B155">
        <v>-1.4390802499999999</v>
      </c>
      <c r="C155">
        <v>49.949317749999999</v>
      </c>
      <c r="D155">
        <v>56.872042749999999</v>
      </c>
      <c r="E155">
        <v>45.733228500000003</v>
      </c>
      <c r="F155">
        <v>0.92584049999999996</v>
      </c>
      <c r="G155">
        <v>66.218587750000012</v>
      </c>
      <c r="H155">
        <v>-20</v>
      </c>
      <c r="I155">
        <v>16</v>
      </c>
      <c r="J155">
        <v>1.18</v>
      </c>
      <c r="K155">
        <v>10.5197705</v>
      </c>
      <c r="L155">
        <v>-1.071232551063952</v>
      </c>
      <c r="M155">
        <v>-1.2608042956635339</v>
      </c>
      <c r="N155">
        <v>-0.44297292361175639</v>
      </c>
      <c r="O155">
        <v>-3.1212557466644399E-2</v>
      </c>
    </row>
    <row r="156" spans="1:15" x14ac:dyDescent="0.25">
      <c r="A156">
        <v>-7.3882327500000002</v>
      </c>
      <c r="B156">
        <v>-6.5722627500000002</v>
      </c>
      <c r="C156">
        <v>52.930018500000003</v>
      </c>
      <c r="D156">
        <v>53.414066499999997</v>
      </c>
      <c r="E156">
        <v>39.787464249999999</v>
      </c>
      <c r="F156">
        <v>0.87711399999999995</v>
      </c>
      <c r="G156">
        <v>66.258598000000006</v>
      </c>
      <c r="H156">
        <v>-20</v>
      </c>
      <c r="I156">
        <v>20</v>
      </c>
      <c r="J156">
        <v>1.18</v>
      </c>
      <c r="K156">
        <v>10.526918500000001</v>
      </c>
      <c r="L156">
        <v>-1.289732873743648</v>
      </c>
      <c r="M156">
        <v>-1.2826723301891341</v>
      </c>
      <c r="N156">
        <v>-0.56602727456639013</v>
      </c>
      <c r="O156">
        <v>-0.16800637875623281</v>
      </c>
    </row>
    <row r="157" spans="1:15" x14ac:dyDescent="0.25">
      <c r="A157">
        <v>-14.77544125</v>
      </c>
      <c r="B157">
        <v>-13.48039975</v>
      </c>
      <c r="C157">
        <v>55.594581750000003</v>
      </c>
      <c r="D157">
        <v>50.51240825</v>
      </c>
      <c r="E157">
        <v>33.305240499999996</v>
      </c>
      <c r="F157">
        <v>0.82838750000000005</v>
      </c>
      <c r="G157">
        <v>66.618692500000009</v>
      </c>
      <c r="H157">
        <v>-20</v>
      </c>
      <c r="I157">
        <v>24</v>
      </c>
      <c r="J157">
        <v>1.18</v>
      </c>
      <c r="K157">
        <v>10.559776749999999</v>
      </c>
      <c r="L157">
        <v>-1.4835730171649391</v>
      </c>
      <c r="M157">
        <v>-1.349132145159665</v>
      </c>
      <c r="N157">
        <v>-0.70235851445987307</v>
      </c>
      <c r="O157">
        <v>-0.3153143725027775</v>
      </c>
    </row>
    <row r="158" spans="1:15" x14ac:dyDescent="0.25">
      <c r="A158">
        <v>-23.292341749999999</v>
      </c>
      <c r="B158">
        <v>-22.449927250000002</v>
      </c>
      <c r="C158">
        <v>56.588149749999999</v>
      </c>
      <c r="D158">
        <v>45.737177000000003</v>
      </c>
      <c r="E158">
        <v>23.917192750000002</v>
      </c>
      <c r="F158">
        <v>0.87711399999999995</v>
      </c>
      <c r="G158">
        <v>66.178575499999994</v>
      </c>
      <c r="H158">
        <v>-20</v>
      </c>
      <c r="I158">
        <v>28</v>
      </c>
      <c r="J158">
        <v>1.18</v>
      </c>
      <c r="K158">
        <v>10.520464499999999</v>
      </c>
      <c r="L158">
        <v>-1.7072816136457509</v>
      </c>
      <c r="M158">
        <v>-1.457372034679326</v>
      </c>
      <c r="N158">
        <v>-0.90326540963613744</v>
      </c>
      <c r="O158">
        <v>-0.50757789890679861</v>
      </c>
    </row>
    <row r="159" spans="1:15" x14ac:dyDescent="0.25">
      <c r="A159">
        <v>-30.361664999999999</v>
      </c>
      <c r="B159">
        <v>-29.695449</v>
      </c>
      <c r="C159">
        <v>55.097797</v>
      </c>
      <c r="D159">
        <v>39.343465000000002</v>
      </c>
      <c r="E159">
        <v>13.455367750000001</v>
      </c>
      <c r="F159">
        <v>0.77966100000000005</v>
      </c>
      <c r="G159">
        <v>63.377782750000001</v>
      </c>
      <c r="H159">
        <v>-20</v>
      </c>
      <c r="I159">
        <v>32</v>
      </c>
      <c r="J159">
        <v>1.18</v>
      </c>
      <c r="K159">
        <v>10.300409</v>
      </c>
      <c r="L159">
        <v>-1.965331327226616</v>
      </c>
      <c r="M159">
        <v>-1.587691230771064</v>
      </c>
      <c r="N159">
        <v>-1.14807665462237</v>
      </c>
      <c r="O159">
        <v>-0.70849294836157006</v>
      </c>
    </row>
    <row r="160" spans="1:15" x14ac:dyDescent="0.25">
      <c r="A160">
        <v>-38.114697499999998</v>
      </c>
      <c r="B160">
        <v>-37.704401249999997</v>
      </c>
      <c r="C160">
        <v>53.697777000000002</v>
      </c>
      <c r="D160">
        <v>33.209764500000013</v>
      </c>
      <c r="E160">
        <v>2.3246820000000001</v>
      </c>
      <c r="F160">
        <v>0.73093425000000001</v>
      </c>
      <c r="G160">
        <v>61.697316999999998</v>
      </c>
      <c r="H160">
        <v>-20</v>
      </c>
      <c r="I160">
        <v>36</v>
      </c>
      <c r="J160">
        <v>1.18</v>
      </c>
      <c r="K160">
        <v>10.165274999999999</v>
      </c>
      <c r="L160">
        <v>-2.2819705155771088</v>
      </c>
      <c r="M160">
        <v>-1.7625569251380979</v>
      </c>
      <c r="N160">
        <v>-1.475706822442215</v>
      </c>
      <c r="O160">
        <v>-0.9604010485711324</v>
      </c>
    </row>
    <row r="161" spans="1:15" x14ac:dyDescent="0.25">
      <c r="A161">
        <v>-44.782534499999997</v>
      </c>
      <c r="B161">
        <v>-44.324257000000003</v>
      </c>
      <c r="C161">
        <v>50.762237749999997</v>
      </c>
      <c r="D161">
        <v>26.508178999999998</v>
      </c>
      <c r="E161">
        <v>-9.1877682500000013</v>
      </c>
      <c r="F161">
        <v>0.73093425000000001</v>
      </c>
      <c r="G161">
        <v>59.376666</v>
      </c>
      <c r="H161">
        <v>-20</v>
      </c>
      <c r="I161">
        <v>40</v>
      </c>
      <c r="J161">
        <v>1.18</v>
      </c>
      <c r="K161">
        <v>9.9699249999999999</v>
      </c>
      <c r="L161">
        <v>-2.7018974238398918</v>
      </c>
      <c r="M161">
        <v>-2.0029461331607372</v>
      </c>
      <c r="N161">
        <v>-1.9389957807568949</v>
      </c>
      <c r="O161">
        <v>-1.280557418046357</v>
      </c>
    </row>
    <row r="162" spans="1:15" x14ac:dyDescent="0.25">
      <c r="A162">
        <v>-50.9998705</v>
      </c>
      <c r="B162">
        <v>-50.65629775</v>
      </c>
      <c r="C162">
        <v>48.233155250000003</v>
      </c>
      <c r="D162">
        <v>19.760639000000001</v>
      </c>
      <c r="E162">
        <v>-20.694777250000001</v>
      </c>
      <c r="F162">
        <v>0.68220750000000008</v>
      </c>
      <c r="G162">
        <v>57.976269500000001</v>
      </c>
      <c r="H162">
        <v>-20</v>
      </c>
      <c r="I162">
        <v>44</v>
      </c>
      <c r="J162">
        <v>1.18</v>
      </c>
      <c r="K162">
        <v>9.8543659999999988</v>
      </c>
      <c r="L162">
        <v>-3.2933343145297931</v>
      </c>
      <c r="M162">
        <v>-2.3368787982206709</v>
      </c>
      <c r="N162">
        <v>-2.6110279867962451</v>
      </c>
      <c r="O162">
        <v>-1.709434826286317</v>
      </c>
    </row>
    <row r="163" spans="1:15" x14ac:dyDescent="0.25">
      <c r="A163">
        <v>52.398879000000001</v>
      </c>
      <c r="B163">
        <v>-46.486125000000001</v>
      </c>
      <c r="C163">
        <v>-50.84438875</v>
      </c>
      <c r="D163">
        <v>20.810857500000001</v>
      </c>
      <c r="E163">
        <v>-1.9178360000000001</v>
      </c>
      <c r="F163">
        <v>0.77966100000000005</v>
      </c>
      <c r="G163">
        <v>60.016838</v>
      </c>
      <c r="H163">
        <v>-16</v>
      </c>
      <c r="I163">
        <v>-44</v>
      </c>
      <c r="J163">
        <v>1.18</v>
      </c>
      <c r="K163">
        <v>10.020079000000001</v>
      </c>
      <c r="L163">
        <v>2.2085517327368649</v>
      </c>
      <c r="M163">
        <v>-1.4395824976680001</v>
      </c>
      <c r="N163">
        <v>-1.324890001507909</v>
      </c>
      <c r="O163">
        <v>-1.057697892718126</v>
      </c>
    </row>
    <row r="164" spans="1:15" x14ac:dyDescent="0.25">
      <c r="A164">
        <v>54.155507749999998</v>
      </c>
      <c r="B164">
        <v>-38.471935000000002</v>
      </c>
      <c r="C164">
        <v>-43.671134000000002</v>
      </c>
      <c r="D164">
        <v>26.418841749999999</v>
      </c>
      <c r="E164">
        <v>7.9122960000000004</v>
      </c>
      <c r="F164">
        <v>0.77966100000000005</v>
      </c>
      <c r="G164">
        <v>60.496979000000003</v>
      </c>
      <c r="H164">
        <v>-16</v>
      </c>
      <c r="I164">
        <v>-40</v>
      </c>
      <c r="J164">
        <v>1.18</v>
      </c>
      <c r="K164">
        <v>10.060606</v>
      </c>
      <c r="L164">
        <v>1.9971401780466089</v>
      </c>
      <c r="M164">
        <v>-1.324732677401417</v>
      </c>
      <c r="N164">
        <v>-1.0735252519496481</v>
      </c>
      <c r="O164">
        <v>-0.85439147772829349</v>
      </c>
    </row>
    <row r="165" spans="1:15" x14ac:dyDescent="0.25">
      <c r="A165">
        <v>55.419132500000003</v>
      </c>
      <c r="B165">
        <v>-29.787306999999998</v>
      </c>
      <c r="C165">
        <v>-35.415122250000003</v>
      </c>
      <c r="D165">
        <v>32.508744999999998</v>
      </c>
      <c r="E165">
        <v>17.703198499999999</v>
      </c>
      <c r="F165">
        <v>0.77966100000000005</v>
      </c>
      <c r="G165">
        <v>61.377223999999998</v>
      </c>
      <c r="H165">
        <v>-16</v>
      </c>
      <c r="I165">
        <v>-36</v>
      </c>
      <c r="J165">
        <v>1.18</v>
      </c>
      <c r="K165">
        <v>10.13448</v>
      </c>
      <c r="L165">
        <v>1.805703415214901</v>
      </c>
      <c r="M165">
        <v>-1.238381791734962</v>
      </c>
      <c r="N165">
        <v>-0.86820436987062577</v>
      </c>
      <c r="O165">
        <v>-0.66358122937601904</v>
      </c>
    </row>
    <row r="166" spans="1:15" x14ac:dyDescent="0.25">
      <c r="A166">
        <v>55.513030999999998</v>
      </c>
      <c r="B166">
        <v>-21.060256500000001</v>
      </c>
      <c r="C166">
        <v>-26.301932499999999</v>
      </c>
      <c r="D166">
        <v>37.985296249999998</v>
      </c>
      <c r="E166">
        <v>26.778312499999998</v>
      </c>
      <c r="F166">
        <v>0.92584049999999996</v>
      </c>
      <c r="G166">
        <v>61.937381999999999</v>
      </c>
      <c r="H166">
        <v>-16</v>
      </c>
      <c r="I166">
        <v>-32</v>
      </c>
      <c r="J166">
        <v>1.18</v>
      </c>
      <c r="K166">
        <v>10.16903825</v>
      </c>
      <c r="L166">
        <v>1.621400468842483</v>
      </c>
      <c r="M166">
        <v>-1.1701558286899829</v>
      </c>
      <c r="N166">
        <v>-0.69677737433346965</v>
      </c>
      <c r="O166">
        <v>-0.48764355837116202</v>
      </c>
    </row>
    <row r="167" spans="1:15" x14ac:dyDescent="0.25">
      <c r="A167">
        <v>54.967821999999998</v>
      </c>
      <c r="B167">
        <v>-12.95282025</v>
      </c>
      <c r="C167">
        <v>-16.466904499999998</v>
      </c>
      <c r="D167">
        <v>42.722486500000002</v>
      </c>
      <c r="E167">
        <v>34.601685500000002</v>
      </c>
      <c r="F167">
        <v>0.77966100000000005</v>
      </c>
      <c r="G167">
        <v>62.417518999999999</v>
      </c>
      <c r="H167">
        <v>-16</v>
      </c>
      <c r="I167">
        <v>-28</v>
      </c>
      <c r="J167">
        <v>1.18</v>
      </c>
      <c r="K167">
        <v>10.221102999999999</v>
      </c>
      <c r="L167">
        <v>1.448638726879695</v>
      </c>
      <c r="M167">
        <v>-1.129050098281162</v>
      </c>
      <c r="N167">
        <v>-0.56408085687236498</v>
      </c>
      <c r="O167">
        <v>-0.31411173307772289</v>
      </c>
    </row>
    <row r="168" spans="1:15" x14ac:dyDescent="0.25">
      <c r="A168">
        <v>53.613917499999999</v>
      </c>
      <c r="B168">
        <v>-6.2360955000000002</v>
      </c>
      <c r="C168">
        <v>-6.31607275</v>
      </c>
      <c r="D168">
        <v>47.1919185</v>
      </c>
      <c r="E168">
        <v>41.754485250000002</v>
      </c>
      <c r="F168">
        <v>0.77966100000000005</v>
      </c>
      <c r="G168">
        <v>63.137718</v>
      </c>
      <c r="H168">
        <v>-16</v>
      </c>
      <c r="I168">
        <v>-24</v>
      </c>
      <c r="J168">
        <v>1.18</v>
      </c>
      <c r="K168">
        <v>10.280640999999999</v>
      </c>
      <c r="L168">
        <v>1.2477170605373289</v>
      </c>
      <c r="M168">
        <v>-1.1123832484806111</v>
      </c>
      <c r="N168">
        <v>-0.4451932026580972</v>
      </c>
      <c r="O168">
        <v>-0.14687450442907271</v>
      </c>
    </row>
    <row r="169" spans="1:15" x14ac:dyDescent="0.25">
      <c r="A169">
        <v>51.721872249999997</v>
      </c>
      <c r="B169">
        <v>-0.52765974999999998</v>
      </c>
      <c r="C169">
        <v>2.3484389999999999</v>
      </c>
      <c r="D169">
        <v>50.299776250000001</v>
      </c>
      <c r="E169">
        <v>47.208495249999999</v>
      </c>
      <c r="F169">
        <v>0.87711399999999995</v>
      </c>
      <c r="G169">
        <v>63.457805499999999</v>
      </c>
      <c r="H169">
        <v>-16</v>
      </c>
      <c r="I169">
        <v>-20</v>
      </c>
      <c r="J169">
        <v>1.18</v>
      </c>
      <c r="K169">
        <v>10.298969</v>
      </c>
      <c r="L169">
        <v>1.0664252496494759</v>
      </c>
      <c r="M169">
        <v>-1.0978273861574619</v>
      </c>
      <c r="N169">
        <v>-0.35097048516196111</v>
      </c>
      <c r="O169">
        <v>7.1931966571655258E-4</v>
      </c>
    </row>
    <row r="170" spans="1:15" x14ac:dyDescent="0.25">
      <c r="A170">
        <v>48.649691500000003</v>
      </c>
      <c r="B170">
        <v>3.0296857500000001</v>
      </c>
      <c r="C170">
        <v>9.6647034999999999</v>
      </c>
      <c r="D170">
        <v>53.410657999999998</v>
      </c>
      <c r="E170">
        <v>51.544877999999997</v>
      </c>
      <c r="F170">
        <v>0.92584049999999996</v>
      </c>
      <c r="G170">
        <v>63.977956499999998</v>
      </c>
      <c r="H170">
        <v>-16</v>
      </c>
      <c r="I170">
        <v>-16</v>
      </c>
      <c r="J170">
        <v>1.18</v>
      </c>
      <c r="K170">
        <v>10.337692499999999</v>
      </c>
      <c r="L170">
        <v>0.86252969116012967</v>
      </c>
      <c r="M170">
        <v>-1.1146892646262541</v>
      </c>
      <c r="N170">
        <v>-0.27509189771093628</v>
      </c>
      <c r="O170">
        <v>0.1199672964612666</v>
      </c>
    </row>
    <row r="171" spans="1:15" x14ac:dyDescent="0.25">
      <c r="A171">
        <v>44.771473</v>
      </c>
      <c r="B171">
        <v>4.8581857499999996</v>
      </c>
      <c r="C171">
        <v>16.303535249999999</v>
      </c>
      <c r="D171">
        <v>55.857196000000002</v>
      </c>
      <c r="E171">
        <v>54.584817999999999</v>
      </c>
      <c r="F171">
        <v>0.87711399999999995</v>
      </c>
      <c r="G171">
        <v>64.6981605</v>
      </c>
      <c r="H171">
        <v>-16</v>
      </c>
      <c r="I171">
        <v>-12</v>
      </c>
      <c r="J171">
        <v>1.18</v>
      </c>
      <c r="K171">
        <v>10.400534499999999</v>
      </c>
      <c r="L171">
        <v>0.64694156254524859</v>
      </c>
      <c r="M171">
        <v>-1.158973487537091</v>
      </c>
      <c r="N171">
        <v>-0.22983816365243129</v>
      </c>
      <c r="O171">
        <v>0.2205264077054396</v>
      </c>
    </row>
    <row r="172" spans="1:15" x14ac:dyDescent="0.25">
      <c r="A172">
        <v>40.258207249999998</v>
      </c>
      <c r="B172">
        <v>6.3002834999999999</v>
      </c>
      <c r="C172">
        <v>22.310097500000001</v>
      </c>
      <c r="D172">
        <v>57.134950750000002</v>
      </c>
      <c r="E172">
        <v>56.373016999999997</v>
      </c>
      <c r="F172">
        <v>0.87711399999999995</v>
      </c>
      <c r="G172">
        <v>64.85820425</v>
      </c>
      <c r="H172">
        <v>-16</v>
      </c>
      <c r="I172">
        <v>-8</v>
      </c>
      <c r="J172">
        <v>1.18</v>
      </c>
      <c r="K172">
        <v>10.413566749999999</v>
      </c>
      <c r="L172">
        <v>0.42662324234109839</v>
      </c>
      <c r="M172">
        <v>-1.2084073271062381</v>
      </c>
      <c r="N172">
        <v>-0.20172770838208609</v>
      </c>
      <c r="O172">
        <v>0.31922159222485658</v>
      </c>
    </row>
    <row r="173" spans="1:15" x14ac:dyDescent="0.25">
      <c r="A173">
        <v>35.067971</v>
      </c>
      <c r="B173">
        <v>7.21407475</v>
      </c>
      <c r="C173">
        <v>28.8586065</v>
      </c>
      <c r="D173">
        <v>57.967435999999999</v>
      </c>
      <c r="E173">
        <v>57.982395250000003</v>
      </c>
      <c r="F173">
        <v>0.77966100000000005</v>
      </c>
      <c r="G173">
        <v>65.378345499999995</v>
      </c>
      <c r="H173">
        <v>-16</v>
      </c>
      <c r="I173">
        <v>-4</v>
      </c>
      <c r="J173">
        <v>1.18</v>
      </c>
      <c r="K173">
        <v>10.463711</v>
      </c>
      <c r="L173">
        <v>0.15543304330908539</v>
      </c>
      <c r="M173">
        <v>-1.2705428135784711</v>
      </c>
      <c r="N173">
        <v>-0.18514999801778689</v>
      </c>
      <c r="O173">
        <v>0.4320128588160414</v>
      </c>
    </row>
    <row r="174" spans="1:15" x14ac:dyDescent="0.25">
      <c r="A174">
        <v>29.879697</v>
      </c>
      <c r="B174">
        <v>7.35836325</v>
      </c>
      <c r="C174">
        <v>34.503872000000001</v>
      </c>
      <c r="D174">
        <v>58.708545000000001</v>
      </c>
      <c r="E174">
        <v>58.742381250000001</v>
      </c>
      <c r="F174">
        <v>0.82838750000000005</v>
      </c>
      <c r="G174">
        <v>66.058544499999996</v>
      </c>
      <c r="H174">
        <v>-16</v>
      </c>
      <c r="I174">
        <v>0</v>
      </c>
      <c r="J174">
        <v>1.18</v>
      </c>
      <c r="K174">
        <v>10.51472925</v>
      </c>
      <c r="L174">
        <v>-0.11525227946745729</v>
      </c>
      <c r="M174">
        <v>-1.279807996443151</v>
      </c>
      <c r="N174">
        <v>-0.18236213006596161</v>
      </c>
      <c r="O174">
        <v>0.44341045361348408</v>
      </c>
    </row>
    <row r="175" spans="1:15" x14ac:dyDescent="0.25">
      <c r="A175">
        <v>25.006705749999998</v>
      </c>
      <c r="B175">
        <v>8.5114140000000003</v>
      </c>
      <c r="C175">
        <v>39.78783825</v>
      </c>
      <c r="D175">
        <v>58.533296749999998</v>
      </c>
      <c r="E175">
        <v>58.87649725</v>
      </c>
      <c r="F175">
        <v>0.92584049999999996</v>
      </c>
      <c r="G175">
        <v>66.098557</v>
      </c>
      <c r="H175">
        <v>-16</v>
      </c>
      <c r="I175">
        <v>4</v>
      </c>
      <c r="J175">
        <v>1.18</v>
      </c>
      <c r="K175">
        <v>10.51009925</v>
      </c>
      <c r="L175">
        <v>-0.35093589798911218</v>
      </c>
      <c r="M175">
        <v>-1.187664584632296</v>
      </c>
      <c r="N175">
        <v>-0.17147567673008349</v>
      </c>
      <c r="O175">
        <v>0.37596466093048297</v>
      </c>
    </row>
    <row r="176" spans="1:15" x14ac:dyDescent="0.25">
      <c r="A176">
        <v>18.188424250000001</v>
      </c>
      <c r="B176">
        <v>8.9461107500000008</v>
      </c>
      <c r="C176">
        <v>45.523430750000003</v>
      </c>
      <c r="D176">
        <v>57.397838749999998</v>
      </c>
      <c r="E176">
        <v>57.580052250000001</v>
      </c>
      <c r="F176">
        <v>0.97456699999999996</v>
      </c>
      <c r="G176">
        <v>66.738724000000005</v>
      </c>
      <c r="H176">
        <v>-16</v>
      </c>
      <c r="I176">
        <v>8</v>
      </c>
      <c r="J176">
        <v>1.18</v>
      </c>
      <c r="K176">
        <v>10.557683000000001</v>
      </c>
      <c r="L176">
        <v>-0.62107646228962665</v>
      </c>
      <c r="M176">
        <v>-1.100879642197415</v>
      </c>
      <c r="N176">
        <v>-0.20812594760239561</v>
      </c>
      <c r="O176">
        <v>0.28610016147850242</v>
      </c>
    </row>
    <row r="177" spans="1:15" x14ac:dyDescent="0.25">
      <c r="A177">
        <v>11.282383749999999</v>
      </c>
      <c r="B177">
        <v>8.4651579999999989</v>
      </c>
      <c r="C177">
        <v>48.955753250000001</v>
      </c>
      <c r="D177">
        <v>54.371135750000001</v>
      </c>
      <c r="E177">
        <v>53.958945</v>
      </c>
      <c r="F177">
        <v>0.92584049999999996</v>
      </c>
      <c r="G177">
        <v>65.218303750000004</v>
      </c>
      <c r="H177">
        <v>-16</v>
      </c>
      <c r="I177">
        <v>12</v>
      </c>
      <c r="J177">
        <v>1.18</v>
      </c>
      <c r="K177">
        <v>10.438868250000001</v>
      </c>
      <c r="L177">
        <v>-0.85456205086094605</v>
      </c>
      <c r="M177">
        <v>-1.0413014071838169</v>
      </c>
      <c r="N177">
        <v>-0.25540006330433918</v>
      </c>
      <c r="O177">
        <v>0.20298064568800461</v>
      </c>
    </row>
    <row r="178" spans="1:15" x14ac:dyDescent="0.25">
      <c r="A178">
        <v>4.6034994999999999</v>
      </c>
      <c r="B178">
        <v>5.4830939999999986</v>
      </c>
      <c r="C178">
        <v>50.581589000000001</v>
      </c>
      <c r="D178">
        <v>50.73793225</v>
      </c>
      <c r="E178">
        <v>48.275131999999999</v>
      </c>
      <c r="F178">
        <v>0.87711399999999995</v>
      </c>
      <c r="G178">
        <v>62.897652749999999</v>
      </c>
      <c r="H178">
        <v>-16</v>
      </c>
      <c r="I178">
        <v>16</v>
      </c>
      <c r="J178">
        <v>1.18</v>
      </c>
      <c r="K178">
        <v>10.2527755</v>
      </c>
      <c r="L178">
        <v>-1.063524271927283</v>
      </c>
      <c r="M178">
        <v>-1.0467955683261361</v>
      </c>
      <c r="N178">
        <v>-0.33824657051717122</v>
      </c>
      <c r="O178">
        <v>9.6369443975321864E-2</v>
      </c>
    </row>
    <row r="179" spans="1:15" x14ac:dyDescent="0.25">
      <c r="A179">
        <v>-2.2524484999999999</v>
      </c>
      <c r="B179">
        <v>0.96203550000000004</v>
      </c>
      <c r="C179">
        <v>51.936450000000001</v>
      </c>
      <c r="D179">
        <v>46.484919499999997</v>
      </c>
      <c r="E179">
        <v>41.888599499999998</v>
      </c>
      <c r="F179">
        <v>0.87711399999999995</v>
      </c>
      <c r="G179">
        <v>61.217178500000003</v>
      </c>
      <c r="H179">
        <v>-16</v>
      </c>
      <c r="I179">
        <v>20</v>
      </c>
      <c r="J179">
        <v>1.18</v>
      </c>
      <c r="K179">
        <v>10.112916500000001</v>
      </c>
      <c r="L179">
        <v>-1.274029520645009</v>
      </c>
      <c r="M179">
        <v>-1.0702891904580349</v>
      </c>
      <c r="N179">
        <v>-0.45444825006005962</v>
      </c>
      <c r="O179">
        <v>-3.5806329702632811E-2</v>
      </c>
    </row>
    <row r="180" spans="1:15" x14ac:dyDescent="0.25">
      <c r="A180">
        <v>-9.4160509999999995</v>
      </c>
      <c r="B180">
        <v>-5.2287152499999996</v>
      </c>
      <c r="C180">
        <v>52.117096750000002</v>
      </c>
      <c r="D180">
        <v>40.789288499999998</v>
      </c>
      <c r="E180">
        <v>33.57347025</v>
      </c>
      <c r="F180">
        <v>0.73093425000000001</v>
      </c>
      <c r="G180">
        <v>58.856517749999988</v>
      </c>
      <c r="H180">
        <v>-16</v>
      </c>
      <c r="I180">
        <v>24</v>
      </c>
      <c r="J180">
        <v>1.18</v>
      </c>
      <c r="K180">
        <v>9.9256142499999989</v>
      </c>
      <c r="L180">
        <v>-1.50462913814565</v>
      </c>
      <c r="M180">
        <v>-1.1252420059451029</v>
      </c>
      <c r="N180">
        <v>-0.61823462795832673</v>
      </c>
      <c r="O180">
        <v>-0.19692389111531919</v>
      </c>
    </row>
    <row r="181" spans="1:15" x14ac:dyDescent="0.25">
      <c r="A181">
        <v>-16.986039000000002</v>
      </c>
      <c r="B181">
        <v>-12.998970249999999</v>
      </c>
      <c r="C181">
        <v>51.846126750000003</v>
      </c>
      <c r="D181">
        <v>35.796960749999997</v>
      </c>
      <c r="E181">
        <v>24.049743249999999</v>
      </c>
      <c r="F181">
        <v>0.73093425000000001</v>
      </c>
      <c r="G181">
        <v>57.456122999999998</v>
      </c>
      <c r="H181">
        <v>-16</v>
      </c>
      <c r="I181">
        <v>28</v>
      </c>
      <c r="J181">
        <v>1.18</v>
      </c>
      <c r="K181">
        <v>9.8053214999999998</v>
      </c>
      <c r="L181">
        <v>-1.7630352946360801</v>
      </c>
      <c r="M181">
        <v>-1.2498317553220351</v>
      </c>
      <c r="N181">
        <v>-0.85567104256803272</v>
      </c>
      <c r="O181">
        <v>-0.40273839217819718</v>
      </c>
    </row>
    <row r="182" spans="1:15" x14ac:dyDescent="0.25">
      <c r="A182">
        <v>-23.69624125</v>
      </c>
      <c r="B182">
        <v>-19.477143250000001</v>
      </c>
      <c r="C182">
        <v>51.529991250000002</v>
      </c>
      <c r="D182">
        <v>31.148587249999999</v>
      </c>
      <c r="E182">
        <v>15.199718750000001</v>
      </c>
      <c r="F182">
        <v>0.584754</v>
      </c>
      <c r="G182">
        <v>56.215776499999997</v>
      </c>
      <c r="H182">
        <v>-16</v>
      </c>
      <c r="I182">
        <v>32</v>
      </c>
      <c r="J182">
        <v>1.18</v>
      </c>
      <c r="K182">
        <v>9.7102947499999992</v>
      </c>
      <c r="L182">
        <v>-2.0449486699284551</v>
      </c>
      <c r="M182">
        <v>-1.3762026016820019</v>
      </c>
      <c r="N182">
        <v>-1.1149869524629561</v>
      </c>
      <c r="O182">
        <v>-0.60270942844275877</v>
      </c>
    </row>
    <row r="183" spans="1:15" x14ac:dyDescent="0.25">
      <c r="A183">
        <v>-30.408698999999999</v>
      </c>
      <c r="B183">
        <v>-26.047683249999999</v>
      </c>
      <c r="C183">
        <v>49.271887749999998</v>
      </c>
      <c r="D183">
        <v>25.060641</v>
      </c>
      <c r="E183">
        <v>4.29170125</v>
      </c>
      <c r="F183">
        <v>0.584754</v>
      </c>
      <c r="G183">
        <v>54.175199500000012</v>
      </c>
      <c r="H183">
        <v>-16</v>
      </c>
      <c r="I183">
        <v>36</v>
      </c>
      <c r="J183">
        <v>1.18</v>
      </c>
      <c r="K183">
        <v>9.5305409999999995</v>
      </c>
      <c r="L183">
        <v>-2.4503097774219649</v>
      </c>
      <c r="M183">
        <v>-1.571591443026906</v>
      </c>
      <c r="N183">
        <v>-1.5340052535662621</v>
      </c>
      <c r="O183">
        <v>-0.88600293387878848</v>
      </c>
    </row>
    <row r="184" spans="1:15" x14ac:dyDescent="0.25">
      <c r="A184">
        <v>-37.166171249999998</v>
      </c>
      <c r="B184">
        <v>-32.621830000000003</v>
      </c>
      <c r="C184">
        <v>48.413803999999999</v>
      </c>
      <c r="D184">
        <v>19.585345499999999</v>
      </c>
      <c r="E184">
        <v>-6.0657104999999998</v>
      </c>
      <c r="F184">
        <v>0.584754</v>
      </c>
      <c r="G184">
        <v>53.615047250000003</v>
      </c>
      <c r="H184">
        <v>-16</v>
      </c>
      <c r="I184">
        <v>40</v>
      </c>
      <c r="J184">
        <v>1.18</v>
      </c>
      <c r="K184">
        <v>9.4805984999999993</v>
      </c>
      <c r="L184">
        <v>-2.9687415653001108</v>
      </c>
      <c r="M184">
        <v>-1.8109141581714909</v>
      </c>
      <c r="N184">
        <v>-2.070306526929127</v>
      </c>
      <c r="O184">
        <v>-1.2307037331976891</v>
      </c>
    </row>
    <row r="185" spans="1:15" x14ac:dyDescent="0.25">
      <c r="A185">
        <v>-44.920636000000002</v>
      </c>
      <c r="B185">
        <v>-40.387942249999988</v>
      </c>
      <c r="C185">
        <v>48.413806000000001</v>
      </c>
      <c r="D185">
        <v>14.6342625</v>
      </c>
      <c r="E185">
        <v>-17.126712999999999</v>
      </c>
      <c r="F185">
        <v>0.584754</v>
      </c>
      <c r="G185">
        <v>55.095460500000002</v>
      </c>
      <c r="H185">
        <v>-16</v>
      </c>
      <c r="I185">
        <v>44</v>
      </c>
      <c r="J185">
        <v>1.18</v>
      </c>
      <c r="K185">
        <v>9.61202325</v>
      </c>
      <c r="L185">
        <v>-3.6569134320074479</v>
      </c>
      <c r="M185">
        <v>-2.1555963382710801</v>
      </c>
      <c r="N185">
        <v>-2.8298889294054428</v>
      </c>
      <c r="O185">
        <v>-1.694160118787545</v>
      </c>
    </row>
    <row r="186" spans="1:15" x14ac:dyDescent="0.25">
      <c r="A186">
        <v>51.905833250000001</v>
      </c>
      <c r="B186">
        <v>-35.406782</v>
      </c>
      <c r="C186">
        <v>-46.513366499999997</v>
      </c>
      <c r="D186">
        <v>14.283741750000001</v>
      </c>
      <c r="E186">
        <v>8.9529499999999984E-2</v>
      </c>
      <c r="F186">
        <v>0.68220750000000008</v>
      </c>
      <c r="G186">
        <v>56.335808</v>
      </c>
      <c r="H186">
        <v>-12</v>
      </c>
      <c r="I186">
        <v>-44</v>
      </c>
      <c r="J186">
        <v>1.18</v>
      </c>
      <c r="K186">
        <v>9.7122635000000006</v>
      </c>
      <c r="L186">
        <v>2.3976185177542382</v>
      </c>
      <c r="M186">
        <v>-1.2105339628184451</v>
      </c>
      <c r="N186">
        <v>-1.370278011056363</v>
      </c>
      <c r="O186">
        <v>-1.014444355051624</v>
      </c>
    </row>
    <row r="187" spans="1:15" x14ac:dyDescent="0.25">
      <c r="A187">
        <v>53.7112275</v>
      </c>
      <c r="B187">
        <v>-28.206368999999999</v>
      </c>
      <c r="C187">
        <v>-39.836373500000001</v>
      </c>
      <c r="D187">
        <v>20.76438375</v>
      </c>
      <c r="E187">
        <v>9.9245300000000007</v>
      </c>
      <c r="F187">
        <v>0.63348075000000004</v>
      </c>
      <c r="G187">
        <v>57.296078000000001</v>
      </c>
      <c r="H187">
        <v>-12</v>
      </c>
      <c r="I187">
        <v>-40</v>
      </c>
      <c r="J187">
        <v>1.18</v>
      </c>
      <c r="K187">
        <v>9.7999104999999993</v>
      </c>
      <c r="L187">
        <v>2.1287502089620691</v>
      </c>
      <c r="M187">
        <v>-1.114332527209942</v>
      </c>
      <c r="N187">
        <v>-1.0779896552523169</v>
      </c>
      <c r="O187">
        <v>-0.78860010018352089</v>
      </c>
    </row>
    <row r="188" spans="1:15" x14ac:dyDescent="0.25">
      <c r="A188">
        <v>54.5688095</v>
      </c>
      <c r="B188">
        <v>-19.669063000000001</v>
      </c>
      <c r="C188">
        <v>-31.715710000000001</v>
      </c>
      <c r="D188">
        <v>26.504765750000001</v>
      </c>
      <c r="E188">
        <v>19.893743749999999</v>
      </c>
      <c r="F188">
        <v>0.68220750000000008</v>
      </c>
      <c r="G188">
        <v>57.776215000000001</v>
      </c>
      <c r="H188">
        <v>-12</v>
      </c>
      <c r="I188">
        <v>-36</v>
      </c>
      <c r="J188">
        <v>1.18</v>
      </c>
      <c r="K188">
        <v>9.8371455000000001</v>
      </c>
      <c r="L188">
        <v>1.8927738909965599</v>
      </c>
      <c r="M188">
        <v>-1.01288629554775</v>
      </c>
      <c r="N188">
        <v>-0.8310055479252747</v>
      </c>
      <c r="O188">
        <v>-0.5785574885088024</v>
      </c>
    </row>
    <row r="189" spans="1:15" x14ac:dyDescent="0.25">
      <c r="A189">
        <v>54.83963</v>
      </c>
      <c r="B189">
        <v>-12.61697375</v>
      </c>
      <c r="C189">
        <v>-23.595044000000001</v>
      </c>
      <c r="D189">
        <v>31.805722500000002</v>
      </c>
      <c r="E189">
        <v>28.208872249999999</v>
      </c>
      <c r="F189">
        <v>0.63348075000000004</v>
      </c>
      <c r="G189">
        <v>58.456404499999998</v>
      </c>
      <c r="H189">
        <v>-12</v>
      </c>
      <c r="I189">
        <v>-32</v>
      </c>
      <c r="J189">
        <v>1.18</v>
      </c>
      <c r="K189">
        <v>9.8997392499999997</v>
      </c>
      <c r="L189">
        <v>1.6935114632123509</v>
      </c>
      <c r="M189">
        <v>-0.95914896291883267</v>
      </c>
      <c r="N189">
        <v>-0.65309038318901158</v>
      </c>
      <c r="O189">
        <v>-0.40461296889605253</v>
      </c>
    </row>
    <row r="190" spans="1:15" x14ac:dyDescent="0.25">
      <c r="A190">
        <v>54.704201500000003</v>
      </c>
      <c r="B190">
        <v>-5.2290760000000001</v>
      </c>
      <c r="C190">
        <v>-14.346508500000001</v>
      </c>
      <c r="D190">
        <v>36.668602</v>
      </c>
      <c r="E190">
        <v>36.300476000000003</v>
      </c>
      <c r="F190">
        <v>0.73093425000000001</v>
      </c>
      <c r="G190">
        <v>59.456688</v>
      </c>
      <c r="H190">
        <v>-12</v>
      </c>
      <c r="I190">
        <v>-28</v>
      </c>
      <c r="J190">
        <v>1.18</v>
      </c>
      <c r="K190">
        <v>9.9767299999999999</v>
      </c>
      <c r="L190">
        <v>1.4982218859528891</v>
      </c>
      <c r="M190">
        <v>-0.90908578878090163</v>
      </c>
      <c r="N190">
        <v>-0.50244586118396972</v>
      </c>
      <c r="O190">
        <v>-0.2282199645435195</v>
      </c>
    </row>
    <row r="191" spans="1:15" x14ac:dyDescent="0.25">
      <c r="A191">
        <v>53.436933499999988</v>
      </c>
      <c r="B191">
        <v>1.2024742500000001</v>
      </c>
      <c r="C191">
        <v>-5.3235475000000001</v>
      </c>
      <c r="D191">
        <v>40.263540999999996</v>
      </c>
      <c r="E191">
        <v>42.377595999999997</v>
      </c>
      <c r="F191">
        <v>0.77966100000000005</v>
      </c>
      <c r="G191">
        <v>59.616729999999997</v>
      </c>
      <c r="H191">
        <v>-12</v>
      </c>
      <c r="I191">
        <v>-24</v>
      </c>
      <c r="J191">
        <v>1.18</v>
      </c>
      <c r="K191">
        <v>9.9861804999999997</v>
      </c>
      <c r="L191">
        <v>1.322299657472648</v>
      </c>
      <c r="M191">
        <v>-0.87898292379177168</v>
      </c>
      <c r="N191">
        <v>-0.38793041637177772</v>
      </c>
      <c r="O191">
        <v>-6.3892941904719835E-2</v>
      </c>
    </row>
    <row r="192" spans="1:15" x14ac:dyDescent="0.25">
      <c r="A192">
        <v>51.222063249999998</v>
      </c>
      <c r="B192">
        <v>5.6269687499999996</v>
      </c>
      <c r="C192">
        <v>3.5678165000000002</v>
      </c>
      <c r="D192">
        <v>44.294280000000001</v>
      </c>
      <c r="E192">
        <v>47.744953250000002</v>
      </c>
      <c r="F192">
        <v>0.87711399999999995</v>
      </c>
      <c r="G192">
        <v>60.176887999999998</v>
      </c>
      <c r="H192">
        <v>-12</v>
      </c>
      <c r="I192">
        <v>-20</v>
      </c>
      <c r="J192">
        <v>1.18</v>
      </c>
      <c r="K192">
        <v>10.025369</v>
      </c>
      <c r="L192">
        <v>1.104444868279495</v>
      </c>
      <c r="M192">
        <v>-0.89617558175702894</v>
      </c>
      <c r="N192">
        <v>-0.28813120936705272</v>
      </c>
      <c r="O192">
        <v>8.6222517307539048E-2</v>
      </c>
    </row>
    <row r="193" spans="1:15" x14ac:dyDescent="0.25">
      <c r="A193">
        <v>48.6496675</v>
      </c>
      <c r="B193">
        <v>9.3783075</v>
      </c>
      <c r="C193">
        <v>11.064729249999999</v>
      </c>
      <c r="D193">
        <v>47.188912500000001</v>
      </c>
      <c r="E193">
        <v>51.943848750000001</v>
      </c>
      <c r="F193">
        <v>0.97456699999999996</v>
      </c>
      <c r="G193">
        <v>60.817065999999997</v>
      </c>
      <c r="H193">
        <v>-12</v>
      </c>
      <c r="I193">
        <v>-16</v>
      </c>
      <c r="J193">
        <v>1.18</v>
      </c>
      <c r="K193">
        <v>10.071145</v>
      </c>
      <c r="L193">
        <v>0.90080138259362041</v>
      </c>
      <c r="M193">
        <v>-0.90625835273706923</v>
      </c>
      <c r="N193">
        <v>-0.21267528143534789</v>
      </c>
      <c r="O193">
        <v>0.22164518647974821</v>
      </c>
    </row>
    <row r="194" spans="1:15" x14ac:dyDescent="0.25">
      <c r="A194">
        <v>44.864682500000001</v>
      </c>
      <c r="B194">
        <v>11.444733250000001</v>
      </c>
      <c r="C194">
        <v>17.613237999999999</v>
      </c>
      <c r="D194">
        <v>49.288901500000001</v>
      </c>
      <c r="E194">
        <v>54.808342000000003</v>
      </c>
      <c r="F194">
        <v>0.82838750000000005</v>
      </c>
      <c r="G194">
        <v>60.857076499999998</v>
      </c>
      <c r="H194">
        <v>-12</v>
      </c>
      <c r="I194">
        <v>-12</v>
      </c>
      <c r="J194">
        <v>1.18</v>
      </c>
      <c r="K194">
        <v>10.086795</v>
      </c>
      <c r="L194">
        <v>0.67655299580159411</v>
      </c>
      <c r="M194">
        <v>-0.93953549069756681</v>
      </c>
      <c r="N194">
        <v>-0.15016123555514141</v>
      </c>
      <c r="O194">
        <v>0.34015403959224222</v>
      </c>
    </row>
    <row r="195" spans="1:15" x14ac:dyDescent="0.25">
      <c r="A195">
        <v>40.9298565</v>
      </c>
      <c r="B195">
        <v>12.9871915</v>
      </c>
      <c r="C195">
        <v>23.981096000000001</v>
      </c>
      <c r="D195">
        <v>50.822328499999998</v>
      </c>
      <c r="E195">
        <v>56.998888749999999</v>
      </c>
      <c r="F195">
        <v>0.77966100000000005</v>
      </c>
      <c r="G195">
        <v>61.457245</v>
      </c>
      <c r="H195">
        <v>-12</v>
      </c>
      <c r="I195">
        <v>-8</v>
      </c>
      <c r="J195">
        <v>1.18</v>
      </c>
      <c r="K195">
        <v>10.141171</v>
      </c>
      <c r="L195">
        <v>0.44005699165893247</v>
      </c>
      <c r="M195">
        <v>-0.98238031297090966</v>
      </c>
      <c r="N195">
        <v>-0.11578140181223601</v>
      </c>
      <c r="O195">
        <v>0.45968705052968251</v>
      </c>
    </row>
    <row r="196" spans="1:15" x14ac:dyDescent="0.25">
      <c r="A196">
        <v>35.972974999999998</v>
      </c>
      <c r="B196">
        <v>13.94625825</v>
      </c>
      <c r="C196">
        <v>29.807010500000001</v>
      </c>
      <c r="D196">
        <v>51.479520000000001</v>
      </c>
      <c r="E196">
        <v>58.027098250000002</v>
      </c>
      <c r="F196">
        <v>0.77966100000000005</v>
      </c>
      <c r="G196">
        <v>61.777340000000002</v>
      </c>
      <c r="H196">
        <v>-12</v>
      </c>
      <c r="I196">
        <v>-4</v>
      </c>
      <c r="J196">
        <v>1.18</v>
      </c>
      <c r="K196">
        <v>10.167885999999999</v>
      </c>
      <c r="L196">
        <v>0.17056466201540629</v>
      </c>
      <c r="M196">
        <v>-1.038276732106042</v>
      </c>
      <c r="N196">
        <v>-0.1037792870008285</v>
      </c>
      <c r="O196">
        <v>0.58360210130407764</v>
      </c>
    </row>
    <row r="197" spans="1:15" x14ac:dyDescent="0.25">
      <c r="A197">
        <v>31.047125749999999</v>
      </c>
      <c r="B197">
        <v>14.47730675</v>
      </c>
      <c r="C197">
        <v>35.407111999999998</v>
      </c>
      <c r="D197">
        <v>51.6109285</v>
      </c>
      <c r="E197">
        <v>58.652972249999998</v>
      </c>
      <c r="F197">
        <v>0.82838750000000005</v>
      </c>
      <c r="G197">
        <v>62.177446500000002</v>
      </c>
      <c r="H197">
        <v>-12</v>
      </c>
      <c r="I197">
        <v>0</v>
      </c>
      <c r="J197">
        <v>1.18</v>
      </c>
      <c r="K197">
        <v>10.197127999999999</v>
      </c>
      <c r="L197">
        <v>-0.12143935429797111</v>
      </c>
      <c r="M197">
        <v>-1.03455574461974</v>
      </c>
      <c r="N197">
        <v>-9.819365052757395E-2</v>
      </c>
      <c r="O197">
        <v>0.61122123568489306</v>
      </c>
    </row>
    <row r="198" spans="1:15" x14ac:dyDescent="0.25">
      <c r="A198">
        <v>26.131704249999999</v>
      </c>
      <c r="B198">
        <v>14.86104025</v>
      </c>
      <c r="C198">
        <v>40.826568999999999</v>
      </c>
      <c r="D198">
        <v>52.005277499999998</v>
      </c>
      <c r="E198">
        <v>58.876498249999997</v>
      </c>
      <c r="F198">
        <v>0.82838750000000005</v>
      </c>
      <c r="G198">
        <v>62.8576415</v>
      </c>
      <c r="H198">
        <v>-12</v>
      </c>
      <c r="I198">
        <v>4</v>
      </c>
      <c r="J198">
        <v>1.18</v>
      </c>
      <c r="K198">
        <v>10.2534955</v>
      </c>
      <c r="L198">
        <v>-0.38287603181338198</v>
      </c>
      <c r="M198">
        <v>-0.96778403127937274</v>
      </c>
      <c r="N198">
        <v>-0.1037374378468328</v>
      </c>
      <c r="O198">
        <v>0.51247375491604419</v>
      </c>
    </row>
    <row r="199" spans="1:15" x14ac:dyDescent="0.25">
      <c r="A199">
        <v>20.036229250000002</v>
      </c>
      <c r="B199">
        <v>15.103619</v>
      </c>
      <c r="C199">
        <v>45.658916499999997</v>
      </c>
      <c r="D199">
        <v>50.828806999999998</v>
      </c>
      <c r="E199">
        <v>57.889217250000002</v>
      </c>
      <c r="F199">
        <v>0.77966100000000005</v>
      </c>
      <c r="G199">
        <v>63.057696999999997</v>
      </c>
      <c r="H199">
        <v>-12</v>
      </c>
      <c r="I199">
        <v>8</v>
      </c>
      <c r="J199">
        <v>1.18</v>
      </c>
      <c r="K199">
        <v>10.274044999999999</v>
      </c>
      <c r="L199">
        <v>-0.63550439002527259</v>
      </c>
      <c r="M199">
        <v>-0.88605849040887974</v>
      </c>
      <c r="N199">
        <v>-0.12819508972088781</v>
      </c>
      <c r="O199">
        <v>0.41642963158037682</v>
      </c>
    </row>
    <row r="200" spans="1:15" x14ac:dyDescent="0.25">
      <c r="A200">
        <v>13.495513750000001</v>
      </c>
      <c r="B200">
        <v>14.043410250000001</v>
      </c>
      <c r="C200">
        <v>50.129966750000001</v>
      </c>
      <c r="D200">
        <v>49.680044000000002</v>
      </c>
      <c r="E200">
        <v>55.9670305</v>
      </c>
      <c r="F200">
        <v>0.77966100000000005</v>
      </c>
      <c r="G200">
        <v>63.53783</v>
      </c>
      <c r="H200">
        <v>-12</v>
      </c>
      <c r="I200">
        <v>12</v>
      </c>
      <c r="J200">
        <v>1.18</v>
      </c>
      <c r="K200">
        <v>10.313573</v>
      </c>
      <c r="L200">
        <v>-0.86815950184137725</v>
      </c>
      <c r="M200">
        <v>-0.8445149634954332</v>
      </c>
      <c r="N200">
        <v>-0.17942101325305601</v>
      </c>
      <c r="O200">
        <v>0.30783617327651802</v>
      </c>
    </row>
    <row r="201" spans="1:15" x14ac:dyDescent="0.25">
      <c r="A201">
        <v>6.2730197499999996</v>
      </c>
      <c r="B201">
        <v>11.207469250000001</v>
      </c>
      <c r="C201">
        <v>54.149398750000003</v>
      </c>
      <c r="D201">
        <v>47.4019355</v>
      </c>
      <c r="E201">
        <v>52.438978249999998</v>
      </c>
      <c r="F201">
        <v>0.77966100000000005</v>
      </c>
      <c r="G201">
        <v>64.298040499999999</v>
      </c>
      <c r="H201">
        <v>-12</v>
      </c>
      <c r="I201">
        <v>16</v>
      </c>
      <c r="J201">
        <v>1.18</v>
      </c>
      <c r="K201">
        <v>10.375849000000001</v>
      </c>
      <c r="L201">
        <v>-1.095608190049256</v>
      </c>
      <c r="M201">
        <v>-0.82827808066164832</v>
      </c>
      <c r="N201">
        <v>-0.27139345247126068</v>
      </c>
      <c r="O201">
        <v>0.1821623690212569</v>
      </c>
    </row>
    <row r="202" spans="1:15" x14ac:dyDescent="0.25">
      <c r="A202">
        <v>-1.2164239999999999</v>
      </c>
      <c r="B202">
        <v>7.0702807500000002</v>
      </c>
      <c r="C202">
        <v>56.81396075</v>
      </c>
      <c r="D202">
        <v>43.721930749999999</v>
      </c>
      <c r="E202">
        <v>46.672033249999998</v>
      </c>
      <c r="F202">
        <v>0.77966100000000005</v>
      </c>
      <c r="G202">
        <v>64.338050999999993</v>
      </c>
      <c r="H202">
        <v>-12</v>
      </c>
      <c r="I202">
        <v>20</v>
      </c>
      <c r="J202">
        <v>1.18</v>
      </c>
      <c r="K202">
        <v>10.379118</v>
      </c>
      <c r="L202">
        <v>-1.3265525486626299</v>
      </c>
      <c r="M202">
        <v>-0.83784308013197351</v>
      </c>
      <c r="N202">
        <v>-0.40384153908120118</v>
      </c>
      <c r="O202">
        <v>4.9087374770802883E-2</v>
      </c>
    </row>
    <row r="203" spans="1:15" x14ac:dyDescent="0.25">
      <c r="A203">
        <v>-9.2809067499999998</v>
      </c>
      <c r="B203">
        <v>0.76963300000000001</v>
      </c>
      <c r="C203">
        <v>59.478527249999999</v>
      </c>
      <c r="D203">
        <v>40.704258000000003</v>
      </c>
      <c r="E203">
        <v>40.318709249999998</v>
      </c>
      <c r="F203">
        <v>0.77966100000000005</v>
      </c>
      <c r="G203">
        <v>64.938228749999993</v>
      </c>
      <c r="H203">
        <v>-12</v>
      </c>
      <c r="I203">
        <v>24</v>
      </c>
      <c r="J203">
        <v>1.18</v>
      </c>
      <c r="K203">
        <v>10.42800525</v>
      </c>
      <c r="L203">
        <v>-1.542589022705287</v>
      </c>
      <c r="M203">
        <v>-0.89589086471242863</v>
      </c>
      <c r="N203">
        <v>-0.55234327110742176</v>
      </c>
      <c r="O203">
        <v>-0.1129390996561651</v>
      </c>
    </row>
    <row r="204" spans="1:15" x14ac:dyDescent="0.25">
      <c r="A204">
        <v>-18.289050750000001</v>
      </c>
      <c r="B204">
        <v>-6.1885297499999998</v>
      </c>
      <c r="C204">
        <v>60.968875750000002</v>
      </c>
      <c r="D204">
        <v>35.926098750000001</v>
      </c>
      <c r="E204">
        <v>31.649069749999999</v>
      </c>
      <c r="F204">
        <v>0.77966100000000005</v>
      </c>
      <c r="G204">
        <v>65.298325000000006</v>
      </c>
      <c r="H204">
        <v>-12</v>
      </c>
      <c r="I204">
        <v>28</v>
      </c>
      <c r="J204">
        <v>1.18</v>
      </c>
      <c r="K204">
        <v>10.457229999999999</v>
      </c>
      <c r="L204">
        <v>-1.8059245388294669</v>
      </c>
      <c r="M204">
        <v>-0.95958285875473481</v>
      </c>
      <c r="N204">
        <v>-0.76671275645288506</v>
      </c>
      <c r="O204">
        <v>-0.29662761073622812</v>
      </c>
    </row>
    <row r="205" spans="1:15" x14ac:dyDescent="0.25">
      <c r="A205">
        <v>-28.067928500000001</v>
      </c>
      <c r="B205">
        <v>-15.109503500000001</v>
      </c>
      <c r="C205">
        <v>61.781795500000001</v>
      </c>
      <c r="D205">
        <v>30.3162135</v>
      </c>
      <c r="E205">
        <v>20.114638249999999</v>
      </c>
      <c r="F205">
        <v>0.77966100000000005</v>
      </c>
      <c r="G205">
        <v>65.498376500000006</v>
      </c>
      <c r="H205">
        <v>-12</v>
      </c>
      <c r="I205">
        <v>32</v>
      </c>
      <c r="J205">
        <v>1.18</v>
      </c>
      <c r="K205">
        <v>10.473428500000001</v>
      </c>
      <c r="L205">
        <v>-2.1545067160445859</v>
      </c>
      <c r="M205">
        <v>-1.089239626573417</v>
      </c>
      <c r="N205">
        <v>-1.0882641407280349</v>
      </c>
      <c r="O205">
        <v>-0.53636082937920271</v>
      </c>
    </row>
    <row r="206" spans="1:15" x14ac:dyDescent="0.25">
      <c r="A206">
        <v>-36.988386249999998</v>
      </c>
      <c r="B206">
        <v>-23.551638749999999</v>
      </c>
      <c r="C206">
        <v>62.685039500000002</v>
      </c>
      <c r="D206">
        <v>25.321904249999999</v>
      </c>
      <c r="E206">
        <v>8.4492652499999998</v>
      </c>
      <c r="F206">
        <v>0.77966100000000005</v>
      </c>
      <c r="G206">
        <v>66.178577500000003</v>
      </c>
      <c r="H206">
        <v>-12</v>
      </c>
      <c r="I206">
        <v>36</v>
      </c>
      <c r="J206">
        <v>1.18</v>
      </c>
      <c r="K206">
        <v>10.5283225</v>
      </c>
      <c r="L206">
        <v>-2.5742605385399351</v>
      </c>
      <c r="M206">
        <v>-1.262310248732295</v>
      </c>
      <c r="N206">
        <v>-1.4910367876143931</v>
      </c>
      <c r="O206">
        <v>-0.80195178532210154</v>
      </c>
    </row>
    <row r="207" spans="1:15" x14ac:dyDescent="0.25">
      <c r="A207">
        <v>-46.308293249999998</v>
      </c>
      <c r="B207">
        <v>-31.849875000000001</v>
      </c>
      <c r="C207">
        <v>63.091499249999998</v>
      </c>
      <c r="D207">
        <v>18.312358750000001</v>
      </c>
      <c r="E207">
        <v>-5.1736944999999999</v>
      </c>
      <c r="F207">
        <v>0.82838750000000005</v>
      </c>
      <c r="G207">
        <v>66.458650500000005</v>
      </c>
      <c r="H207">
        <v>-12</v>
      </c>
      <c r="I207">
        <v>40</v>
      </c>
      <c r="J207">
        <v>1.18</v>
      </c>
      <c r="K207">
        <v>10.54692975</v>
      </c>
      <c r="L207">
        <v>-3.226714012776692</v>
      </c>
      <c r="M207">
        <v>-1.4795274794645541</v>
      </c>
      <c r="N207">
        <v>-2.112798118302218</v>
      </c>
      <c r="O207">
        <v>-1.1770677199620829</v>
      </c>
    </row>
    <row r="208" spans="1:15" x14ac:dyDescent="0.25">
      <c r="A208">
        <v>-54.468898000000003</v>
      </c>
      <c r="B208">
        <v>-40.292007499999997</v>
      </c>
      <c r="C208">
        <v>61.601146749999998</v>
      </c>
      <c r="D208">
        <v>11.478062250000001</v>
      </c>
      <c r="E208">
        <v>-19.178349999999998</v>
      </c>
      <c r="F208">
        <v>0.82838750000000005</v>
      </c>
      <c r="G208">
        <v>66.738724000000005</v>
      </c>
      <c r="H208">
        <v>-12</v>
      </c>
      <c r="I208">
        <v>44</v>
      </c>
      <c r="J208">
        <v>1.18</v>
      </c>
      <c r="K208">
        <v>10.56940775</v>
      </c>
      <c r="L208">
        <v>-4.1160834731498319</v>
      </c>
      <c r="M208">
        <v>-1.8356833487029871</v>
      </c>
      <c r="N208">
        <v>-3.0469572908952989</v>
      </c>
      <c r="O208">
        <v>-1.709516329893026</v>
      </c>
    </row>
    <row r="209" spans="1:15" x14ac:dyDescent="0.25">
      <c r="A209">
        <v>61.647000249999998</v>
      </c>
      <c r="B209">
        <v>-32.953108999999998</v>
      </c>
      <c r="C209">
        <v>-55.536329500000001</v>
      </c>
      <c r="D209">
        <v>9.06855425</v>
      </c>
      <c r="E209">
        <v>-0.57981125</v>
      </c>
      <c r="F209">
        <v>0.82838750000000005</v>
      </c>
      <c r="G209">
        <v>64.418077499999995</v>
      </c>
      <c r="H209">
        <v>-8</v>
      </c>
      <c r="I209">
        <v>-44</v>
      </c>
      <c r="J209">
        <v>1.18</v>
      </c>
      <c r="K209">
        <v>10.381653</v>
      </c>
      <c r="L209">
        <v>2.6837086014689699</v>
      </c>
      <c r="M209">
        <v>-0.96233853717204509</v>
      </c>
      <c r="N209">
        <v>-1.4885659023567031</v>
      </c>
      <c r="O209">
        <v>-1.0322411546975561</v>
      </c>
    </row>
    <row r="210" spans="1:15" x14ac:dyDescent="0.25">
      <c r="A210">
        <v>60.297055</v>
      </c>
      <c r="B210">
        <v>-22.163651000000002</v>
      </c>
      <c r="C210">
        <v>-43.941822999999999</v>
      </c>
      <c r="D210">
        <v>16.38685825</v>
      </c>
      <c r="E210">
        <v>11.890809000000001</v>
      </c>
      <c r="F210">
        <v>0.77966100000000005</v>
      </c>
      <c r="G210">
        <v>62.057413500000003</v>
      </c>
      <c r="H210">
        <v>-8</v>
      </c>
      <c r="I210">
        <v>-40</v>
      </c>
      <c r="J210">
        <v>1.18</v>
      </c>
      <c r="K210">
        <v>10.19120075</v>
      </c>
      <c r="L210">
        <v>2.319388972799409</v>
      </c>
      <c r="M210">
        <v>-0.85772884689603324</v>
      </c>
      <c r="N210">
        <v>-1.1162612316342331</v>
      </c>
      <c r="O210">
        <v>-0.752792295757992</v>
      </c>
    </row>
    <row r="211" spans="1:15" x14ac:dyDescent="0.25">
      <c r="A211">
        <v>58.770271500000007</v>
      </c>
      <c r="B211">
        <v>-13.433434999999999</v>
      </c>
      <c r="C211">
        <v>-33.745874999999998</v>
      </c>
      <c r="D211">
        <v>22.078587750000001</v>
      </c>
      <c r="E211">
        <v>21.726648000000001</v>
      </c>
      <c r="F211">
        <v>0.73093425000000001</v>
      </c>
      <c r="G211">
        <v>60.496979750000001</v>
      </c>
      <c r="H211">
        <v>-8</v>
      </c>
      <c r="I211">
        <v>-36</v>
      </c>
      <c r="J211">
        <v>1.18</v>
      </c>
      <c r="K211">
        <v>10.064703</v>
      </c>
      <c r="L211">
        <v>2.0415866912455138</v>
      </c>
      <c r="M211">
        <v>-0.78362797253744132</v>
      </c>
      <c r="N211">
        <v>-0.8555501754702205</v>
      </c>
      <c r="O211">
        <v>-0.53666205911041454</v>
      </c>
    </row>
    <row r="212" spans="1:15" x14ac:dyDescent="0.25">
      <c r="A212">
        <v>56.464508250000002</v>
      </c>
      <c r="B212">
        <v>-4.7490350000000001</v>
      </c>
      <c r="C212">
        <v>-23.234126</v>
      </c>
      <c r="D212">
        <v>26.46265975</v>
      </c>
      <c r="E212">
        <v>30.173933000000002</v>
      </c>
      <c r="F212">
        <v>0.73093425000000001</v>
      </c>
      <c r="G212">
        <v>58.336371999999997</v>
      </c>
      <c r="H212">
        <v>-8</v>
      </c>
      <c r="I212">
        <v>-32</v>
      </c>
      <c r="J212">
        <v>1.18</v>
      </c>
      <c r="K212">
        <v>9.8811082500000005</v>
      </c>
      <c r="L212">
        <v>1.804569346174852</v>
      </c>
      <c r="M212">
        <v>-0.70670016710712313</v>
      </c>
      <c r="N212">
        <v>-0.63767449374655805</v>
      </c>
      <c r="O212">
        <v>-0.33335655343158382</v>
      </c>
    </row>
    <row r="213" spans="1:15" x14ac:dyDescent="0.25">
      <c r="A213">
        <v>54.92631325</v>
      </c>
      <c r="B213">
        <v>1.63532575</v>
      </c>
      <c r="C213">
        <v>-14.346508500000001</v>
      </c>
      <c r="D213">
        <v>30.624842000000001</v>
      </c>
      <c r="E213">
        <v>36.879230499999998</v>
      </c>
      <c r="F213">
        <v>0.68220750000000008</v>
      </c>
      <c r="G213">
        <v>57.696190000000001</v>
      </c>
      <c r="H213">
        <v>-8</v>
      </c>
      <c r="I213">
        <v>-28</v>
      </c>
      <c r="J213">
        <v>1.18</v>
      </c>
      <c r="K213">
        <v>9.8302464999999994</v>
      </c>
      <c r="L213">
        <v>1.6022402735132051</v>
      </c>
      <c r="M213">
        <v>-0.67051998276804969</v>
      </c>
      <c r="N213">
        <v>-0.48149113680888761</v>
      </c>
      <c r="O213">
        <v>-0.16277554239215319</v>
      </c>
    </row>
    <row r="214" spans="1:15" x14ac:dyDescent="0.25">
      <c r="A214">
        <v>54.478532749999999</v>
      </c>
      <c r="B214">
        <v>7.262683</v>
      </c>
      <c r="C214">
        <v>-5.0528584999999993</v>
      </c>
      <c r="D214">
        <v>35.707053999999999</v>
      </c>
      <c r="E214">
        <v>44.034439999999996</v>
      </c>
      <c r="F214">
        <v>0.77966100000000005</v>
      </c>
      <c r="G214">
        <v>59.216621000000004</v>
      </c>
      <c r="H214">
        <v>-8</v>
      </c>
      <c r="I214">
        <v>-24</v>
      </c>
      <c r="J214">
        <v>1.18</v>
      </c>
      <c r="K214">
        <v>9.9521700000000006</v>
      </c>
      <c r="L214">
        <v>1.3867335674469079</v>
      </c>
      <c r="M214">
        <v>-0.66257034988674257</v>
      </c>
      <c r="N214">
        <v>-0.35365525741491161</v>
      </c>
      <c r="O214">
        <v>7.5796973563977141E-3</v>
      </c>
    </row>
    <row r="215" spans="1:15" x14ac:dyDescent="0.25">
      <c r="A215">
        <v>52.982119750000003</v>
      </c>
      <c r="B215">
        <v>12.073279749999999</v>
      </c>
      <c r="C215">
        <v>3.56781675</v>
      </c>
      <c r="D215">
        <v>39.255861250000002</v>
      </c>
      <c r="E215">
        <v>49.753466750000001</v>
      </c>
      <c r="F215">
        <v>0.87711399999999995</v>
      </c>
      <c r="G215">
        <v>59.896806499999997</v>
      </c>
      <c r="H215">
        <v>-8</v>
      </c>
      <c r="I215">
        <v>-20</v>
      </c>
      <c r="J215">
        <v>1.18</v>
      </c>
      <c r="K215">
        <v>10.001666500000001</v>
      </c>
      <c r="L215">
        <v>1.17840560425888</v>
      </c>
      <c r="M215">
        <v>-0.64828492246575486</v>
      </c>
      <c r="N215">
        <v>-0.2419300387464455</v>
      </c>
      <c r="O215">
        <v>0.16558126734045769</v>
      </c>
    </row>
    <row r="216" spans="1:15" x14ac:dyDescent="0.25">
      <c r="A216">
        <v>50.683831249999997</v>
      </c>
      <c r="B216">
        <v>16.062243250000002</v>
      </c>
      <c r="C216">
        <v>11.561512499999999</v>
      </c>
      <c r="D216">
        <v>42.544511</v>
      </c>
      <c r="E216">
        <v>54.313040000000001</v>
      </c>
      <c r="F216">
        <v>0.82838750000000005</v>
      </c>
      <c r="G216">
        <v>60.697034500000001</v>
      </c>
      <c r="H216">
        <v>-8</v>
      </c>
      <c r="I216">
        <v>-16</v>
      </c>
      <c r="J216">
        <v>1.18</v>
      </c>
      <c r="K216">
        <v>10.0733455</v>
      </c>
      <c r="L216">
        <v>0.96596618734923556</v>
      </c>
      <c r="M216">
        <v>-0.65386779190781064</v>
      </c>
      <c r="N216">
        <v>-0.15763128490105099</v>
      </c>
      <c r="O216">
        <v>0.32056718022376529</v>
      </c>
    </row>
    <row r="217" spans="1:15" x14ac:dyDescent="0.25">
      <c r="A217">
        <v>47.482546749999997</v>
      </c>
      <c r="B217">
        <v>18.663065</v>
      </c>
      <c r="C217">
        <v>19.193912000000001</v>
      </c>
      <c r="D217">
        <v>45.383806999999997</v>
      </c>
      <c r="E217">
        <v>57.7104225</v>
      </c>
      <c r="F217">
        <v>0.82838750000000005</v>
      </c>
      <c r="G217">
        <v>61.617294000000001</v>
      </c>
      <c r="H217">
        <v>-8</v>
      </c>
      <c r="I217">
        <v>-12</v>
      </c>
      <c r="J217">
        <v>1.18</v>
      </c>
      <c r="K217">
        <v>10.15046725</v>
      </c>
      <c r="L217">
        <v>0.72941982768841473</v>
      </c>
      <c r="M217">
        <v>-0.68900286792008991</v>
      </c>
      <c r="N217">
        <v>-0.1007476463989674</v>
      </c>
      <c r="O217">
        <v>0.4667260353260575</v>
      </c>
    </row>
    <row r="218" spans="1:15" x14ac:dyDescent="0.25">
      <c r="A218">
        <v>43.414635750000002</v>
      </c>
      <c r="B218">
        <v>20.057984000000001</v>
      </c>
      <c r="C218">
        <v>25.516609249999998</v>
      </c>
      <c r="D218">
        <v>47.101277500000002</v>
      </c>
      <c r="E218">
        <v>59.539317250000003</v>
      </c>
      <c r="F218">
        <v>0.82838750000000005</v>
      </c>
      <c r="G218">
        <v>61.937381999999999</v>
      </c>
      <c r="H218">
        <v>-8</v>
      </c>
      <c r="I218">
        <v>-8</v>
      </c>
      <c r="J218">
        <v>1.18</v>
      </c>
      <c r="K218">
        <v>10.17715675</v>
      </c>
      <c r="L218">
        <v>0.48697735203347142</v>
      </c>
      <c r="M218">
        <v>-0.7358361710665593</v>
      </c>
      <c r="N218">
        <v>-6.52579524228587E-2</v>
      </c>
      <c r="O218">
        <v>0.59748928784485011</v>
      </c>
    </row>
    <row r="219" spans="1:15" x14ac:dyDescent="0.25">
      <c r="A219">
        <v>38.951946499999998</v>
      </c>
      <c r="B219">
        <v>21.882710500000002</v>
      </c>
      <c r="C219">
        <v>31.658659249999999</v>
      </c>
      <c r="D219">
        <v>47.580202</v>
      </c>
      <c r="E219">
        <v>61.111749500000002</v>
      </c>
      <c r="F219">
        <v>0.77966100000000005</v>
      </c>
      <c r="G219">
        <v>62.537549749999997</v>
      </c>
      <c r="H219">
        <v>-8</v>
      </c>
      <c r="I219">
        <v>-4</v>
      </c>
      <c r="J219">
        <v>1.18</v>
      </c>
      <c r="K219">
        <v>10.231048749999999</v>
      </c>
      <c r="L219">
        <v>0.21236291174733801</v>
      </c>
      <c r="M219">
        <v>-0.74831045151452846</v>
      </c>
      <c r="N219">
        <v>-4.152910924730821E-2</v>
      </c>
      <c r="O219">
        <v>0.7568521680673862</v>
      </c>
    </row>
    <row r="220" spans="1:15" x14ac:dyDescent="0.25">
      <c r="A220">
        <v>33.939651499999997</v>
      </c>
      <c r="B220">
        <v>21.933907749999999</v>
      </c>
      <c r="C220">
        <v>37.349086749999998</v>
      </c>
      <c r="D220">
        <v>48.325006500000001</v>
      </c>
      <c r="E220">
        <v>61.827025499999998</v>
      </c>
      <c r="F220">
        <v>0.77966100000000005</v>
      </c>
      <c r="G220">
        <v>63.217739000000002</v>
      </c>
      <c r="H220">
        <v>-8</v>
      </c>
      <c r="I220">
        <v>0</v>
      </c>
      <c r="J220">
        <v>1.18</v>
      </c>
      <c r="K220">
        <v>10.287236999999999</v>
      </c>
      <c r="L220">
        <v>-0.10062435496230709</v>
      </c>
      <c r="M220">
        <v>-0.77869947831288644</v>
      </c>
      <c r="N220">
        <v>-4.1055611569655912E-2</v>
      </c>
      <c r="O220">
        <v>0.80133614703436928</v>
      </c>
    </row>
    <row r="221" spans="1:15" x14ac:dyDescent="0.25">
      <c r="A221">
        <v>28.659161999999998</v>
      </c>
      <c r="B221">
        <v>22.363664</v>
      </c>
      <c r="C221">
        <v>42.633054000000001</v>
      </c>
      <c r="D221">
        <v>48.278106749999999</v>
      </c>
      <c r="E221">
        <v>61.827026500000002</v>
      </c>
      <c r="F221">
        <v>0.87711399999999995</v>
      </c>
      <c r="G221">
        <v>63.497817750000003</v>
      </c>
      <c r="H221">
        <v>-8</v>
      </c>
      <c r="I221">
        <v>4</v>
      </c>
      <c r="J221">
        <v>1.18</v>
      </c>
      <c r="K221">
        <v>10.302269000000001</v>
      </c>
      <c r="L221">
        <v>-0.38474267505560888</v>
      </c>
      <c r="M221">
        <v>-0.7135688404697047</v>
      </c>
      <c r="N221">
        <v>-4.6022486208483072E-2</v>
      </c>
      <c r="O221">
        <v>0.67839008319878236</v>
      </c>
    </row>
    <row r="222" spans="1:15" x14ac:dyDescent="0.25">
      <c r="A222">
        <v>22.160076</v>
      </c>
      <c r="B222">
        <v>22.124728749999999</v>
      </c>
      <c r="C222">
        <v>47.826698750000013</v>
      </c>
      <c r="D222">
        <v>47.182922499999997</v>
      </c>
      <c r="E222">
        <v>61.111749500000002</v>
      </c>
      <c r="F222">
        <v>0.87711399999999995</v>
      </c>
      <c r="G222">
        <v>64.178009000000003</v>
      </c>
      <c r="H222">
        <v>-8</v>
      </c>
      <c r="I222">
        <v>8</v>
      </c>
      <c r="J222">
        <v>1.18</v>
      </c>
      <c r="K222">
        <v>10.358069</v>
      </c>
      <c r="L222">
        <v>-0.65865780227498738</v>
      </c>
      <c r="M222">
        <v>-0.64298819849776012</v>
      </c>
      <c r="N222">
        <v>-7.8692068281456654E-2</v>
      </c>
      <c r="O222">
        <v>0.54570958289156901</v>
      </c>
    </row>
    <row r="223" spans="1:15" x14ac:dyDescent="0.25">
      <c r="A223">
        <v>15.345056</v>
      </c>
      <c r="B223">
        <v>20.633743750000001</v>
      </c>
      <c r="C223">
        <v>52.388070999999997</v>
      </c>
      <c r="D223">
        <v>45.696274000000003</v>
      </c>
      <c r="E223">
        <v>59.144728499999999</v>
      </c>
      <c r="F223">
        <v>0.87711399999999995</v>
      </c>
      <c r="G223">
        <v>64.498099999999994</v>
      </c>
      <c r="H223">
        <v>-8</v>
      </c>
      <c r="I223">
        <v>12</v>
      </c>
      <c r="J223">
        <v>1.18</v>
      </c>
      <c r="K223">
        <v>10.384224</v>
      </c>
      <c r="L223">
        <v>-0.90008388275911022</v>
      </c>
      <c r="M223">
        <v>-0.60897228735813602</v>
      </c>
      <c r="N223">
        <v>-0.13010014190562191</v>
      </c>
      <c r="O223">
        <v>0.41578849304986709</v>
      </c>
    </row>
    <row r="224" spans="1:15" x14ac:dyDescent="0.25">
      <c r="A224">
        <v>7.898193</v>
      </c>
      <c r="B224">
        <v>18.132671999999999</v>
      </c>
      <c r="C224">
        <v>56.272014499999997</v>
      </c>
      <c r="D224">
        <v>42.892307500000001</v>
      </c>
      <c r="E224">
        <v>55.8328925</v>
      </c>
      <c r="F224">
        <v>0.87711399999999995</v>
      </c>
      <c r="G224">
        <v>64.978240999999997</v>
      </c>
      <c r="H224">
        <v>-8</v>
      </c>
      <c r="I224">
        <v>16</v>
      </c>
      <c r="J224">
        <v>1.18</v>
      </c>
      <c r="K224">
        <v>10.423335</v>
      </c>
      <c r="L224">
        <v>-1.1297834972290921</v>
      </c>
      <c r="M224">
        <v>-0.57824603441494027</v>
      </c>
      <c r="N224">
        <v>-0.21358453619697379</v>
      </c>
      <c r="O224">
        <v>0.28350668827313902</v>
      </c>
    </row>
    <row r="225" spans="1:15" x14ac:dyDescent="0.25">
      <c r="A225">
        <v>1.4474999999999899E-4</v>
      </c>
      <c r="B225">
        <v>13.99730475</v>
      </c>
      <c r="C225">
        <v>59.659175750000003</v>
      </c>
      <c r="D225">
        <v>39.6063385</v>
      </c>
      <c r="E225">
        <v>50.644170750000001</v>
      </c>
      <c r="F225">
        <v>0.92584049999999996</v>
      </c>
      <c r="G225">
        <v>65.618408000000002</v>
      </c>
      <c r="H225">
        <v>-8</v>
      </c>
      <c r="I225">
        <v>20</v>
      </c>
      <c r="J225">
        <v>1.18</v>
      </c>
      <c r="K225">
        <v>10.471311999999999</v>
      </c>
      <c r="L225">
        <v>-1.366912505951281</v>
      </c>
      <c r="M225">
        <v>-0.58674821414004241</v>
      </c>
      <c r="N225">
        <v>-0.34309945523804242</v>
      </c>
      <c r="O225">
        <v>0.13913624428380231</v>
      </c>
    </row>
    <row r="226" spans="1:15" x14ac:dyDescent="0.25">
      <c r="A226">
        <v>-9.0550507499999995</v>
      </c>
      <c r="B226">
        <v>8.2240129999999994</v>
      </c>
      <c r="C226">
        <v>61.962444499999997</v>
      </c>
      <c r="D226">
        <v>35.444201499999998</v>
      </c>
      <c r="E226">
        <v>43.003441000000002</v>
      </c>
      <c r="F226">
        <v>0.82838750000000005</v>
      </c>
      <c r="G226">
        <v>65.858482500000008</v>
      </c>
      <c r="H226">
        <v>-8</v>
      </c>
      <c r="I226">
        <v>24</v>
      </c>
      <c r="J226">
        <v>1.18</v>
      </c>
      <c r="K226">
        <v>10.4985885</v>
      </c>
      <c r="L226">
        <v>-1.6356402520400919</v>
      </c>
      <c r="M226">
        <v>-0.62691362630350755</v>
      </c>
      <c r="N226">
        <v>-0.52638006465514753</v>
      </c>
      <c r="O226">
        <v>-2.8642534852356211E-2</v>
      </c>
    </row>
    <row r="227" spans="1:15" x14ac:dyDescent="0.25">
      <c r="A227">
        <v>-18.560562999999998</v>
      </c>
      <c r="B227">
        <v>1.0100045</v>
      </c>
      <c r="C227">
        <v>63.046337000000001</v>
      </c>
      <c r="D227">
        <v>30.579087000000001</v>
      </c>
      <c r="E227">
        <v>33.796997249999997</v>
      </c>
      <c r="F227">
        <v>0.82838750000000005</v>
      </c>
      <c r="G227">
        <v>66.2986085</v>
      </c>
      <c r="H227">
        <v>-8</v>
      </c>
      <c r="I227">
        <v>28</v>
      </c>
      <c r="J227">
        <v>1.18</v>
      </c>
      <c r="K227">
        <v>10.534057750000001</v>
      </c>
      <c r="L227">
        <v>-1.916923422476875</v>
      </c>
      <c r="M227">
        <v>-0.6945354252984357</v>
      </c>
      <c r="N227">
        <v>-0.76344279902903656</v>
      </c>
      <c r="O227">
        <v>-0.22556938405869281</v>
      </c>
    </row>
    <row r="228" spans="1:15" x14ac:dyDescent="0.25">
      <c r="A228">
        <v>-28.9220325</v>
      </c>
      <c r="B228">
        <v>-6.6678625</v>
      </c>
      <c r="C228">
        <v>65.033470249999993</v>
      </c>
      <c r="D228">
        <v>25.409550500000002</v>
      </c>
      <c r="E228">
        <v>22.933682749999999</v>
      </c>
      <c r="F228">
        <v>0.87711399999999995</v>
      </c>
      <c r="G228">
        <v>67.018808750000005</v>
      </c>
      <c r="H228">
        <v>-8</v>
      </c>
      <c r="I228">
        <v>32</v>
      </c>
      <c r="J228">
        <v>1.18</v>
      </c>
      <c r="K228">
        <v>10.587937500000001</v>
      </c>
      <c r="L228">
        <v>-2.3068791245241989</v>
      </c>
      <c r="M228">
        <v>-0.78760725878111859</v>
      </c>
      <c r="N228">
        <v>-1.082460805916718</v>
      </c>
      <c r="O228">
        <v>-0.45846079213122187</v>
      </c>
    </row>
    <row r="229" spans="1:15" x14ac:dyDescent="0.25">
      <c r="A229">
        <v>-38.830467249999998</v>
      </c>
      <c r="B229">
        <v>-15.061536500000001</v>
      </c>
      <c r="C229">
        <v>65.168957000000006</v>
      </c>
      <c r="D229">
        <v>18.79547775</v>
      </c>
      <c r="E229">
        <v>9.5662649999999996</v>
      </c>
      <c r="F229">
        <v>0.82838750000000005</v>
      </c>
      <c r="G229">
        <v>67.058823000000004</v>
      </c>
      <c r="H229">
        <v>-8</v>
      </c>
      <c r="I229">
        <v>36</v>
      </c>
      <c r="J229">
        <v>1.18</v>
      </c>
      <c r="K229">
        <v>10.595042250000001</v>
      </c>
      <c r="L229">
        <v>-2.8483350478932001</v>
      </c>
      <c r="M229">
        <v>-0.92728565146653286</v>
      </c>
      <c r="N229">
        <v>-1.574626164157682</v>
      </c>
      <c r="O229">
        <v>-0.76069399835278473</v>
      </c>
    </row>
    <row r="230" spans="1:15" x14ac:dyDescent="0.25">
      <c r="A230">
        <v>-46.044038</v>
      </c>
      <c r="B230">
        <v>-21.680936750000001</v>
      </c>
      <c r="C230">
        <v>63.001173000000001</v>
      </c>
      <c r="D230">
        <v>11.434289</v>
      </c>
      <c r="E230">
        <v>-3.4788637499999999</v>
      </c>
      <c r="F230">
        <v>0.82838750000000005</v>
      </c>
      <c r="G230">
        <v>65.618409999999997</v>
      </c>
      <c r="H230">
        <v>-8</v>
      </c>
      <c r="I230">
        <v>40</v>
      </c>
      <c r="J230">
        <v>1.18</v>
      </c>
      <c r="K230">
        <v>10.479187250000001</v>
      </c>
      <c r="L230">
        <v>-3.5895699653579829</v>
      </c>
      <c r="M230">
        <v>-1.089872557796939</v>
      </c>
      <c r="N230">
        <v>-2.2747735073422759</v>
      </c>
      <c r="O230">
        <v>-1.1419522609683741</v>
      </c>
    </row>
    <row r="231" spans="1:15" x14ac:dyDescent="0.25">
      <c r="A231">
        <v>-52.036048000000001</v>
      </c>
      <c r="B231">
        <v>-28.014436750000002</v>
      </c>
      <c r="C231">
        <v>60.38176825</v>
      </c>
      <c r="D231">
        <v>3.7678284999999998</v>
      </c>
      <c r="E231">
        <v>-16.992909999999998</v>
      </c>
      <c r="F231">
        <v>0.77966100000000005</v>
      </c>
      <c r="G231">
        <v>63.33777225</v>
      </c>
      <c r="H231">
        <v>-8</v>
      </c>
      <c r="I231">
        <v>44</v>
      </c>
      <c r="J231">
        <v>1.18</v>
      </c>
      <c r="K231">
        <v>10.297115</v>
      </c>
      <c r="L231">
        <v>-4.8813888822324207</v>
      </c>
      <c r="M231">
        <v>-1.379919444063529</v>
      </c>
      <c r="N231">
        <v>-3.488096020060278</v>
      </c>
      <c r="O231">
        <v>-1.771783702349069</v>
      </c>
    </row>
    <row r="232" spans="1:15" x14ac:dyDescent="0.25">
      <c r="A232">
        <v>58.672296500000002</v>
      </c>
      <c r="B232">
        <v>-21.490540500000002</v>
      </c>
      <c r="C232">
        <v>-51.205307249999997</v>
      </c>
      <c r="D232">
        <v>2.2345757499999999</v>
      </c>
      <c r="E232">
        <v>0.49170924999999999</v>
      </c>
      <c r="F232">
        <v>0.73093425000000001</v>
      </c>
      <c r="G232">
        <v>60.136875250000003</v>
      </c>
      <c r="H232">
        <v>-4</v>
      </c>
      <c r="I232">
        <v>-44</v>
      </c>
      <c r="J232">
        <v>1.18</v>
      </c>
      <c r="K232">
        <v>10.03432675</v>
      </c>
      <c r="L232">
        <v>2.9825934120227391</v>
      </c>
      <c r="M232">
        <v>-0.6440118776867636</v>
      </c>
      <c r="N232">
        <v>-1.619051650946183</v>
      </c>
      <c r="O232">
        <v>-1.00649412623643</v>
      </c>
    </row>
    <row r="233" spans="1:15" x14ac:dyDescent="0.25">
      <c r="A233">
        <v>57.863692499999999</v>
      </c>
      <c r="B233">
        <v>-12.71116975</v>
      </c>
      <c r="C233">
        <v>-41.189819499999999</v>
      </c>
      <c r="D233">
        <v>9.2876554999999996</v>
      </c>
      <c r="E233">
        <v>11.801306</v>
      </c>
      <c r="F233">
        <v>0.73093425000000001</v>
      </c>
      <c r="G233">
        <v>58.616449500000002</v>
      </c>
      <c r="H233">
        <v>-4</v>
      </c>
      <c r="I233">
        <v>-40</v>
      </c>
      <c r="J233">
        <v>1.18</v>
      </c>
      <c r="K233">
        <v>9.9050987499999987</v>
      </c>
      <c r="L233">
        <v>2.556328832604847</v>
      </c>
      <c r="M233">
        <v>-0.56758510921800975</v>
      </c>
      <c r="N233">
        <v>-1.2082453809168789</v>
      </c>
      <c r="O233">
        <v>-0.71438597786833336</v>
      </c>
    </row>
    <row r="234" spans="1:15" x14ac:dyDescent="0.25">
      <c r="A234">
        <v>55.821643000000002</v>
      </c>
      <c r="B234">
        <v>-4.7487010000000014</v>
      </c>
      <c r="C234">
        <v>-30.632953499999999</v>
      </c>
      <c r="D234">
        <v>15.51154275</v>
      </c>
      <c r="E234">
        <v>21.676277500000001</v>
      </c>
      <c r="F234">
        <v>0.68220750000000008</v>
      </c>
      <c r="G234">
        <v>56.455839500000003</v>
      </c>
      <c r="H234">
        <v>-4</v>
      </c>
      <c r="I234">
        <v>-36</v>
      </c>
      <c r="J234">
        <v>1.18</v>
      </c>
      <c r="K234">
        <v>9.7227262500000009</v>
      </c>
      <c r="L234">
        <v>2.1961912513985209</v>
      </c>
      <c r="M234">
        <v>-0.51461308339935286</v>
      </c>
      <c r="N234">
        <v>-0.88352191873506092</v>
      </c>
      <c r="O234">
        <v>-0.46672434469454482</v>
      </c>
    </row>
    <row r="235" spans="1:15" x14ac:dyDescent="0.25">
      <c r="A235">
        <v>56.870731249999999</v>
      </c>
      <c r="B235">
        <v>1.7313687499999999</v>
      </c>
      <c r="C235">
        <v>-23.143896000000002</v>
      </c>
      <c r="D235">
        <v>21.291443999999998</v>
      </c>
      <c r="E235">
        <v>30.712351250000001</v>
      </c>
      <c r="F235">
        <v>0.68220750000000008</v>
      </c>
      <c r="G235">
        <v>57.976269500000001</v>
      </c>
      <c r="H235">
        <v>-4</v>
      </c>
      <c r="I235">
        <v>-32</v>
      </c>
      <c r="J235">
        <v>1.18</v>
      </c>
      <c r="K235">
        <v>9.8543659999999988</v>
      </c>
      <c r="L235">
        <v>1.9318567856883231</v>
      </c>
      <c r="M235">
        <v>-0.47225147062802481</v>
      </c>
      <c r="N235">
        <v>-0.65826400571692045</v>
      </c>
      <c r="O235">
        <v>-0.27496101481989399</v>
      </c>
    </row>
    <row r="236" spans="1:15" x14ac:dyDescent="0.25">
      <c r="A236">
        <v>57.401080999999998</v>
      </c>
      <c r="B236">
        <v>8.0809277500000007</v>
      </c>
      <c r="C236">
        <v>-14.88788675</v>
      </c>
      <c r="D236">
        <v>26.376703750000001</v>
      </c>
      <c r="E236">
        <v>39.069633500000002</v>
      </c>
      <c r="F236">
        <v>0.77966100000000005</v>
      </c>
      <c r="G236">
        <v>59.17660875</v>
      </c>
      <c r="H236">
        <v>-4</v>
      </c>
      <c r="I236">
        <v>-28</v>
      </c>
      <c r="J236">
        <v>1.18</v>
      </c>
      <c r="K236">
        <v>9.9487605000000006</v>
      </c>
      <c r="L236">
        <v>1.701993415181744</v>
      </c>
      <c r="M236">
        <v>-0.43076106017465338</v>
      </c>
      <c r="N236">
        <v>-0.47340385454433559</v>
      </c>
      <c r="O236">
        <v>-9.848774064846183E-2</v>
      </c>
    </row>
    <row r="237" spans="1:15" x14ac:dyDescent="0.25">
      <c r="A237">
        <v>56.141195250000003</v>
      </c>
      <c r="B237">
        <v>13.564399</v>
      </c>
      <c r="C237">
        <v>-5.7746950000000004</v>
      </c>
      <c r="D237">
        <v>30.62284975</v>
      </c>
      <c r="E237">
        <v>45.685554250000003</v>
      </c>
      <c r="F237">
        <v>0.82838750000000005</v>
      </c>
      <c r="G237">
        <v>59.656740499999998</v>
      </c>
      <c r="H237">
        <v>-4</v>
      </c>
      <c r="I237">
        <v>-24</v>
      </c>
      <c r="J237">
        <v>1.18</v>
      </c>
      <c r="K237">
        <v>9.9854400000000005</v>
      </c>
      <c r="L237">
        <v>1.481601657755679</v>
      </c>
      <c r="M237">
        <v>-0.40817257701198278</v>
      </c>
      <c r="N237">
        <v>-0.33432462106657429</v>
      </c>
      <c r="O237">
        <v>7.3387833635227495E-2</v>
      </c>
    </row>
    <row r="238" spans="1:15" x14ac:dyDescent="0.25">
      <c r="A238">
        <v>54.884744750000003</v>
      </c>
      <c r="B238">
        <v>18.083285499999999</v>
      </c>
      <c r="C238">
        <v>1.8516557499999999</v>
      </c>
      <c r="D238">
        <v>34.215252749999998</v>
      </c>
      <c r="E238">
        <v>51.094511750000002</v>
      </c>
      <c r="F238">
        <v>0.82838750000000005</v>
      </c>
      <c r="G238">
        <v>60.456968500000002</v>
      </c>
      <c r="H238">
        <v>-4</v>
      </c>
      <c r="I238">
        <v>-20</v>
      </c>
      <c r="J238">
        <v>1.18</v>
      </c>
      <c r="K238">
        <v>10.05312575</v>
      </c>
      <c r="L238">
        <v>1.289469374321691</v>
      </c>
      <c r="M238">
        <v>-0.39226360244323638</v>
      </c>
      <c r="N238">
        <v>-0.22764618429387429</v>
      </c>
      <c r="O238">
        <v>0.222226434484564</v>
      </c>
    </row>
    <row r="239" spans="1:15" x14ac:dyDescent="0.25">
      <c r="A239">
        <v>52.176638750000002</v>
      </c>
      <c r="B239">
        <v>22.219375500000002</v>
      </c>
      <c r="C239">
        <v>10.88408025</v>
      </c>
      <c r="D239">
        <v>37.766253499999998</v>
      </c>
      <c r="E239">
        <v>55.836555500000003</v>
      </c>
      <c r="F239">
        <v>0.82838750000000005</v>
      </c>
      <c r="G239">
        <v>61.137154000000002</v>
      </c>
      <c r="H239">
        <v>-4</v>
      </c>
      <c r="I239">
        <v>-16</v>
      </c>
      <c r="J239">
        <v>1.18</v>
      </c>
      <c r="K239">
        <v>10.110301249999999</v>
      </c>
      <c r="L239">
        <v>1.0511041880105769</v>
      </c>
      <c r="M239">
        <v>-0.39573775670443129</v>
      </c>
      <c r="N239">
        <v>-0.13493516372032921</v>
      </c>
      <c r="O239">
        <v>0.40024583277947978</v>
      </c>
    </row>
    <row r="240" spans="1:15" x14ac:dyDescent="0.25">
      <c r="A240">
        <v>48.791457250000001</v>
      </c>
      <c r="B240">
        <v>24.868045500000001</v>
      </c>
      <c r="C240">
        <v>18.471317249999998</v>
      </c>
      <c r="D240">
        <v>40.438802750000001</v>
      </c>
      <c r="E240">
        <v>58.783261250000002</v>
      </c>
      <c r="F240">
        <v>0.87711399999999995</v>
      </c>
      <c r="G240">
        <v>61.577281749999997</v>
      </c>
      <c r="H240">
        <v>-4</v>
      </c>
      <c r="I240">
        <v>-12</v>
      </c>
      <c r="J240">
        <v>1.18</v>
      </c>
      <c r="K240">
        <v>10.14305075</v>
      </c>
      <c r="L240">
        <v>0.81696017503885321</v>
      </c>
      <c r="M240">
        <v>-0.41952691642183221</v>
      </c>
      <c r="N240">
        <v>-7.5279488631297561E-2</v>
      </c>
      <c r="O240">
        <v>0.56025037277003498</v>
      </c>
    </row>
    <row r="241" spans="1:15" x14ac:dyDescent="0.25">
      <c r="A241">
        <v>45.042267000000002</v>
      </c>
      <c r="B241">
        <v>26.790180249999999</v>
      </c>
      <c r="C241">
        <v>25.697258250000001</v>
      </c>
      <c r="D241">
        <v>42.363840250000003</v>
      </c>
      <c r="E241">
        <v>61.022339500000001</v>
      </c>
      <c r="F241">
        <v>0.82838750000000005</v>
      </c>
      <c r="G241">
        <v>62.297481500000004</v>
      </c>
      <c r="H241">
        <v>-4</v>
      </c>
      <c r="I241">
        <v>-8</v>
      </c>
      <c r="J241">
        <v>1.18</v>
      </c>
      <c r="K241">
        <v>10.207100499999999</v>
      </c>
      <c r="L241">
        <v>0.55622774261722097</v>
      </c>
      <c r="M241">
        <v>-0.44778835025813202</v>
      </c>
      <c r="N241">
        <v>-3.6667456770541763E-2</v>
      </c>
      <c r="O241">
        <v>0.73077752435229248</v>
      </c>
    </row>
    <row r="242" spans="1:15" x14ac:dyDescent="0.25">
      <c r="A242">
        <v>40.298084250000002</v>
      </c>
      <c r="B242">
        <v>28.042687000000001</v>
      </c>
      <c r="C242">
        <v>32.019956000000001</v>
      </c>
      <c r="D242">
        <v>42.895032999999998</v>
      </c>
      <c r="E242">
        <v>62.04651475</v>
      </c>
      <c r="F242">
        <v>0.77966100000000005</v>
      </c>
      <c r="G242">
        <v>62.657584999999997</v>
      </c>
      <c r="H242">
        <v>-4</v>
      </c>
      <c r="I242">
        <v>-4</v>
      </c>
      <c r="J242">
        <v>1.18</v>
      </c>
      <c r="K242">
        <v>10.240985999999999</v>
      </c>
      <c r="L242">
        <v>0.25854929687670097</v>
      </c>
      <c r="M242">
        <v>-0.46390869511131583</v>
      </c>
      <c r="N242">
        <v>-1.9079873834037371E-2</v>
      </c>
      <c r="O242">
        <v>0.91369541169108504</v>
      </c>
    </row>
    <row r="243" spans="1:15" x14ac:dyDescent="0.25">
      <c r="A243">
        <v>35.113121</v>
      </c>
      <c r="B243">
        <v>29.00263425</v>
      </c>
      <c r="C243">
        <v>38.116840500000002</v>
      </c>
      <c r="D243">
        <v>43.023725499999998</v>
      </c>
      <c r="E243">
        <v>62.85114875</v>
      </c>
      <c r="F243">
        <v>0.87711399999999995</v>
      </c>
      <c r="G243">
        <v>63.177728500000001</v>
      </c>
      <c r="H243">
        <v>-4</v>
      </c>
      <c r="I243">
        <v>0</v>
      </c>
      <c r="J243">
        <v>1.18</v>
      </c>
      <c r="K243">
        <v>10.275904499999999</v>
      </c>
      <c r="L243">
        <v>-9.7541694332568818E-2</v>
      </c>
      <c r="M243">
        <v>-0.45531726996508148</v>
      </c>
      <c r="N243">
        <v>-1.0603638483117621E-2</v>
      </c>
      <c r="O243">
        <v>1.012595420061946</v>
      </c>
    </row>
    <row r="244" spans="1:15" x14ac:dyDescent="0.25">
      <c r="A244">
        <v>29.469609250000001</v>
      </c>
      <c r="B244">
        <v>29.004698999999999</v>
      </c>
      <c r="C244">
        <v>43.807267250000002</v>
      </c>
      <c r="D244">
        <v>43.018237999999997</v>
      </c>
      <c r="E244">
        <v>62.98935625</v>
      </c>
      <c r="F244">
        <v>0.77966100000000005</v>
      </c>
      <c r="G244">
        <v>63.897935500000003</v>
      </c>
      <c r="H244">
        <v>-4</v>
      </c>
      <c r="I244">
        <v>4</v>
      </c>
      <c r="J244">
        <v>1.18</v>
      </c>
      <c r="K244">
        <v>10.34311825</v>
      </c>
      <c r="L244">
        <v>-0.42477185877192258</v>
      </c>
      <c r="M244">
        <v>-0.41518999864594908</v>
      </c>
      <c r="N244">
        <v>-2.6938915178317729E-2</v>
      </c>
      <c r="O244">
        <v>0.84314315218750746</v>
      </c>
    </row>
    <row r="245" spans="1:15" x14ac:dyDescent="0.25">
      <c r="A245">
        <v>23.559166999999999</v>
      </c>
      <c r="B245">
        <v>28.615885250000002</v>
      </c>
      <c r="C245">
        <v>48.549291750000002</v>
      </c>
      <c r="D245">
        <v>42.235114000000003</v>
      </c>
      <c r="E245">
        <v>62.363483250000002</v>
      </c>
      <c r="F245">
        <v>0.77966100000000005</v>
      </c>
      <c r="G245">
        <v>64.017966999999999</v>
      </c>
      <c r="H245">
        <v>-4</v>
      </c>
      <c r="I245">
        <v>8</v>
      </c>
      <c r="J245">
        <v>1.18</v>
      </c>
      <c r="K245">
        <v>10.35295</v>
      </c>
      <c r="L245">
        <v>-0.68887290940726043</v>
      </c>
      <c r="M245">
        <v>-0.37541752715472038</v>
      </c>
      <c r="N245">
        <v>-4.5605753598702919E-2</v>
      </c>
      <c r="O245">
        <v>0.69766483309985361</v>
      </c>
    </row>
    <row r="246" spans="1:15" x14ac:dyDescent="0.25">
      <c r="A246">
        <v>15.798460499999999</v>
      </c>
      <c r="B246">
        <v>27.078769999999999</v>
      </c>
      <c r="C246">
        <v>53.426803749999998</v>
      </c>
      <c r="D246">
        <v>40.302217499999998</v>
      </c>
      <c r="E246">
        <v>60.664695500000001</v>
      </c>
      <c r="F246">
        <v>0.97456699999999996</v>
      </c>
      <c r="G246">
        <v>64.658150000000006</v>
      </c>
      <c r="H246">
        <v>-4</v>
      </c>
      <c r="I246">
        <v>12</v>
      </c>
      <c r="J246">
        <v>1.18</v>
      </c>
      <c r="K246">
        <v>10.389335000000001</v>
      </c>
      <c r="L246">
        <v>-0.95931541067380555</v>
      </c>
      <c r="M246">
        <v>-0.33709357133423778</v>
      </c>
      <c r="N246">
        <v>-0.1018508014670847</v>
      </c>
      <c r="O246">
        <v>0.52171075421467128</v>
      </c>
    </row>
    <row r="247" spans="1:15" x14ac:dyDescent="0.25">
      <c r="A247">
        <v>7.9432960000000001</v>
      </c>
      <c r="B247">
        <v>23.856257500000002</v>
      </c>
      <c r="C247">
        <v>57.130097499999998</v>
      </c>
      <c r="D247">
        <v>37.590991000000002</v>
      </c>
      <c r="E247">
        <v>57.088299499999998</v>
      </c>
      <c r="F247">
        <v>0.87711399999999995</v>
      </c>
      <c r="G247">
        <v>65.298325000000006</v>
      </c>
      <c r="H247">
        <v>-4</v>
      </c>
      <c r="I247">
        <v>16</v>
      </c>
      <c r="J247">
        <v>1.18</v>
      </c>
      <c r="K247">
        <v>10.4493265</v>
      </c>
      <c r="L247">
        <v>-1.1941506730743381</v>
      </c>
      <c r="M247">
        <v>-0.33345025225289238</v>
      </c>
      <c r="N247">
        <v>-0.1993338766148231</v>
      </c>
      <c r="O247">
        <v>0.3647577014172852</v>
      </c>
    </row>
    <row r="248" spans="1:15" x14ac:dyDescent="0.25">
      <c r="A248">
        <v>0.36106349999999998</v>
      </c>
      <c r="B248">
        <v>20.009882749999999</v>
      </c>
      <c r="C248">
        <v>59.975311249999997</v>
      </c>
      <c r="D248">
        <v>34.434310000000004</v>
      </c>
      <c r="E248">
        <v>52.167328750000003</v>
      </c>
      <c r="F248">
        <v>0.87711399999999995</v>
      </c>
      <c r="G248">
        <v>65.378345499999995</v>
      </c>
      <c r="H248">
        <v>-4</v>
      </c>
      <c r="I248">
        <v>20</v>
      </c>
      <c r="J248">
        <v>1.18</v>
      </c>
      <c r="K248">
        <v>10.4558175</v>
      </c>
      <c r="L248">
        <v>-1.4200240715070329</v>
      </c>
      <c r="M248">
        <v>-0.34353990941495888</v>
      </c>
      <c r="N248">
        <v>-0.31468088290591989</v>
      </c>
      <c r="O248">
        <v>0.22174483630779659</v>
      </c>
    </row>
    <row r="249" spans="1:15" x14ac:dyDescent="0.25">
      <c r="A249">
        <v>-8.6051174999999986</v>
      </c>
      <c r="B249">
        <v>14.76691475</v>
      </c>
      <c r="C249">
        <v>62.59471525</v>
      </c>
      <c r="D249">
        <v>29.921918250000001</v>
      </c>
      <c r="E249">
        <v>44.702105500000002</v>
      </c>
      <c r="F249">
        <v>0.92584049999999996</v>
      </c>
      <c r="G249">
        <v>65.938507000000001</v>
      </c>
      <c r="H249">
        <v>-4</v>
      </c>
      <c r="I249">
        <v>24</v>
      </c>
      <c r="J249">
        <v>1.18</v>
      </c>
      <c r="K249">
        <v>10.49718625</v>
      </c>
      <c r="L249">
        <v>-1.7107357611554701</v>
      </c>
      <c r="M249">
        <v>-0.36410470463702121</v>
      </c>
      <c r="N249">
        <v>-0.51033393324634568</v>
      </c>
      <c r="O249">
        <v>5.1757963479756038E-2</v>
      </c>
    </row>
    <row r="250" spans="1:15" x14ac:dyDescent="0.25">
      <c r="A250">
        <v>-18.11001825</v>
      </c>
      <c r="B250">
        <v>8.9454689999999992</v>
      </c>
      <c r="C250">
        <v>64.40119949999999</v>
      </c>
      <c r="D250">
        <v>24.9698365</v>
      </c>
      <c r="E250">
        <v>35.716993000000002</v>
      </c>
      <c r="F250">
        <v>0.92584049999999996</v>
      </c>
      <c r="G250">
        <v>66.418639999999996</v>
      </c>
      <c r="H250">
        <v>-4</v>
      </c>
      <c r="I250">
        <v>28</v>
      </c>
      <c r="J250">
        <v>1.18</v>
      </c>
      <c r="K250">
        <v>10.53587675</v>
      </c>
      <c r="L250">
        <v>-2.0474619021776461</v>
      </c>
      <c r="M250">
        <v>-0.39763442401680832</v>
      </c>
      <c r="N250">
        <v>-0.76184996756873524</v>
      </c>
      <c r="O250">
        <v>-0.1366795440299251</v>
      </c>
    </row>
    <row r="251" spans="1:15" x14ac:dyDescent="0.25">
      <c r="A251">
        <v>-27.120038749999999</v>
      </c>
      <c r="B251">
        <v>3.36681425</v>
      </c>
      <c r="C251">
        <v>64.897983499999995</v>
      </c>
      <c r="D251">
        <v>18.883091499999999</v>
      </c>
      <c r="E251">
        <v>25.210381000000002</v>
      </c>
      <c r="F251">
        <v>0.82838750000000005</v>
      </c>
      <c r="G251">
        <v>66.618692500000009</v>
      </c>
      <c r="H251">
        <v>-4</v>
      </c>
      <c r="I251">
        <v>32</v>
      </c>
      <c r="J251">
        <v>1.18</v>
      </c>
      <c r="K251">
        <v>10.559776749999999</v>
      </c>
      <c r="L251">
        <v>-2.481262094118315</v>
      </c>
      <c r="M251">
        <v>-0.41838472513614111</v>
      </c>
      <c r="N251">
        <v>-1.1166535942149629</v>
      </c>
      <c r="O251">
        <v>-0.34260567267904007</v>
      </c>
    </row>
    <row r="252" spans="1:15" x14ac:dyDescent="0.25">
      <c r="A252">
        <v>-38.199804</v>
      </c>
      <c r="B252">
        <v>-4.7966677500000001</v>
      </c>
      <c r="C252">
        <v>65.710903000000002</v>
      </c>
      <c r="D252">
        <v>11.4342665</v>
      </c>
      <c r="E252">
        <v>11.220187749999999</v>
      </c>
      <c r="F252">
        <v>0.77966100000000005</v>
      </c>
      <c r="G252">
        <v>67.098833249999998</v>
      </c>
      <c r="H252">
        <v>-4</v>
      </c>
      <c r="I252">
        <v>36</v>
      </c>
      <c r="J252">
        <v>1.18</v>
      </c>
      <c r="K252">
        <v>10.602134749999999</v>
      </c>
      <c r="L252">
        <v>-3.1760445841899081</v>
      </c>
      <c r="M252">
        <v>-0.49613477416274848</v>
      </c>
      <c r="N252">
        <v>-1.707983866806895</v>
      </c>
      <c r="O252">
        <v>-0.68096823027879083</v>
      </c>
    </row>
    <row r="253" spans="1:15" x14ac:dyDescent="0.25">
      <c r="A253">
        <v>-44.737454249999999</v>
      </c>
      <c r="B253">
        <v>-11.368904000000001</v>
      </c>
      <c r="C253">
        <v>62.865688499999997</v>
      </c>
      <c r="D253">
        <v>3.8114154999999998</v>
      </c>
      <c r="E253">
        <v>-2.4530449999999999</v>
      </c>
      <c r="F253">
        <v>0.77966100000000005</v>
      </c>
      <c r="G253">
        <v>63.977956499999998</v>
      </c>
      <c r="H253">
        <v>-4</v>
      </c>
      <c r="I253">
        <v>40</v>
      </c>
      <c r="J253">
        <v>1.18</v>
      </c>
      <c r="K253">
        <v>10.3496685</v>
      </c>
      <c r="L253">
        <v>-4.2036703233982191</v>
      </c>
      <c r="M253">
        <v>-0.59305712508192654</v>
      </c>
      <c r="N253">
        <v>-2.5953817648552691</v>
      </c>
      <c r="O253">
        <v>-1.1264247181014391</v>
      </c>
    </row>
    <row r="254" spans="1:15" x14ac:dyDescent="0.25">
      <c r="A254">
        <v>-50.459201999999998</v>
      </c>
      <c r="B254">
        <v>-19.138704749999999</v>
      </c>
      <c r="C254">
        <v>58.936580500000012</v>
      </c>
      <c r="D254">
        <v>-3.4091274999999999</v>
      </c>
      <c r="E254">
        <v>-16.725304749999999</v>
      </c>
      <c r="F254">
        <v>0.77966100000000005</v>
      </c>
      <c r="G254">
        <v>62.097424750000002</v>
      </c>
      <c r="H254">
        <v>-4</v>
      </c>
      <c r="I254">
        <v>44</v>
      </c>
      <c r="J254">
        <v>1.18</v>
      </c>
      <c r="K254">
        <v>10.1945245</v>
      </c>
      <c r="L254">
        <v>-6.0537432655168777</v>
      </c>
      <c r="M254">
        <v>-0.87032577748047579</v>
      </c>
      <c r="N254">
        <v>-4.3621699952082604</v>
      </c>
      <c r="O254">
        <v>-1.968961152276651</v>
      </c>
    </row>
    <row r="255" spans="1:15" x14ac:dyDescent="0.25">
      <c r="A255">
        <v>58.491765000000001</v>
      </c>
      <c r="B255">
        <v>-12.4233695</v>
      </c>
      <c r="C255">
        <v>-50.122550500000003</v>
      </c>
      <c r="D255">
        <v>-4.7640372499999986</v>
      </c>
      <c r="E255">
        <v>0.84925549999999994</v>
      </c>
      <c r="F255">
        <v>0.68220750000000008</v>
      </c>
      <c r="G255">
        <v>59.496698500000001</v>
      </c>
      <c r="H255">
        <v>0</v>
      </c>
      <c r="I255">
        <v>-44</v>
      </c>
      <c r="J255">
        <v>1.18</v>
      </c>
      <c r="K255">
        <v>9.98426525</v>
      </c>
      <c r="L255">
        <v>3.3814922637496658</v>
      </c>
      <c r="M255">
        <v>-0.23837462048018129</v>
      </c>
      <c r="N255">
        <v>-1.8259335283501501</v>
      </c>
      <c r="O255">
        <v>-0.99485671817457277</v>
      </c>
    </row>
    <row r="256" spans="1:15" x14ac:dyDescent="0.25">
      <c r="A256">
        <v>57.675611250000003</v>
      </c>
      <c r="B256">
        <v>-4.7490082500000002</v>
      </c>
      <c r="C256">
        <v>-40.828900500000003</v>
      </c>
      <c r="D256">
        <v>2.4096722499999998</v>
      </c>
      <c r="E256">
        <v>11.66648475</v>
      </c>
      <c r="F256">
        <v>0.73093425000000001</v>
      </c>
      <c r="G256">
        <v>58.016283000000001</v>
      </c>
      <c r="H256">
        <v>0</v>
      </c>
      <c r="I256">
        <v>-40</v>
      </c>
      <c r="J256">
        <v>1.18</v>
      </c>
      <c r="K256">
        <v>9.8536110000000008</v>
      </c>
      <c r="L256">
        <v>2.8590816588492318</v>
      </c>
      <c r="M256">
        <v>-0.20768353387883781</v>
      </c>
      <c r="N256">
        <v>-1.345331935710381</v>
      </c>
      <c r="O256">
        <v>-0.6826689214222692</v>
      </c>
    </row>
    <row r="257" spans="1:15" x14ac:dyDescent="0.25">
      <c r="A257">
        <v>59.213876749999997</v>
      </c>
      <c r="B257">
        <v>3.0301364999999998</v>
      </c>
      <c r="C257">
        <v>-32.843578000000001</v>
      </c>
      <c r="D257">
        <v>9.0691082499999993</v>
      </c>
      <c r="E257">
        <v>22.619277</v>
      </c>
      <c r="F257">
        <v>0.77966100000000005</v>
      </c>
      <c r="G257">
        <v>59.576719500000003</v>
      </c>
      <c r="H257">
        <v>0</v>
      </c>
      <c r="I257">
        <v>-36</v>
      </c>
      <c r="J257">
        <v>1.18</v>
      </c>
      <c r="K257">
        <v>9.9827852500000009</v>
      </c>
      <c r="L257">
        <v>2.4531898043131388</v>
      </c>
      <c r="M257">
        <v>-0.1609131916155952</v>
      </c>
      <c r="N257">
        <v>-0.98490364964852994</v>
      </c>
      <c r="O257">
        <v>-0.41801093380297027</v>
      </c>
    </row>
    <row r="258" spans="1:15" x14ac:dyDescent="0.25">
      <c r="A258">
        <v>59.578848999999998</v>
      </c>
      <c r="B258">
        <v>9.1866007500000002</v>
      </c>
      <c r="C258">
        <v>-24.271767000000001</v>
      </c>
      <c r="D258">
        <v>15.46578175</v>
      </c>
      <c r="E258">
        <v>32.004636249999997</v>
      </c>
      <c r="F258">
        <v>0.63348075000000004</v>
      </c>
      <c r="G258">
        <v>60.336936999999999</v>
      </c>
      <c r="H258">
        <v>0</v>
      </c>
      <c r="I258">
        <v>-32</v>
      </c>
      <c r="J258">
        <v>1.18</v>
      </c>
      <c r="K258">
        <v>10.059435499999999</v>
      </c>
      <c r="L258">
        <v>2.1203039477064172</v>
      </c>
      <c r="M258">
        <v>-0.1587299131717895</v>
      </c>
      <c r="N258">
        <v>-0.71644027921186471</v>
      </c>
      <c r="O258">
        <v>-0.20674369170666729</v>
      </c>
    </row>
    <row r="259" spans="1:15" x14ac:dyDescent="0.25">
      <c r="A259">
        <v>59.439545750000001</v>
      </c>
      <c r="B259">
        <v>15.0063595</v>
      </c>
      <c r="C259">
        <v>-15.429265750000001</v>
      </c>
      <c r="D259">
        <v>21.20517525</v>
      </c>
      <c r="E259">
        <v>40.5421525</v>
      </c>
      <c r="F259">
        <v>0.82838750000000005</v>
      </c>
      <c r="G259">
        <v>61.057130999999998</v>
      </c>
      <c r="H259">
        <v>0</v>
      </c>
      <c r="I259">
        <v>-28</v>
      </c>
      <c r="J259">
        <v>1.18</v>
      </c>
      <c r="K259">
        <v>10.1035865</v>
      </c>
      <c r="L259">
        <v>1.837121350518546</v>
      </c>
      <c r="M259">
        <v>-0.1520937613315021</v>
      </c>
      <c r="N259">
        <v>-0.50340707439231658</v>
      </c>
      <c r="O259">
        <v>-2.5519841236098791E-2</v>
      </c>
    </row>
    <row r="260" spans="1:15" x14ac:dyDescent="0.25">
      <c r="A260">
        <v>59.029477999999997</v>
      </c>
      <c r="B260">
        <v>20.778018249999999</v>
      </c>
      <c r="C260">
        <v>-6.7672205000000014</v>
      </c>
      <c r="D260">
        <v>25.714552000000001</v>
      </c>
      <c r="E260">
        <v>47.789658750000001</v>
      </c>
      <c r="F260">
        <v>0.97456699999999996</v>
      </c>
      <c r="G260">
        <v>61.937381999999999</v>
      </c>
      <c r="H260">
        <v>0</v>
      </c>
      <c r="I260">
        <v>-24</v>
      </c>
      <c r="J260">
        <v>1.18</v>
      </c>
      <c r="K260">
        <v>10.164979000000001</v>
      </c>
      <c r="L260">
        <v>1.613301092607393</v>
      </c>
      <c r="M260">
        <v>-0.12101544862422529</v>
      </c>
      <c r="N260">
        <v>-0.34691659939155622</v>
      </c>
      <c r="O260">
        <v>0.14788006946661331</v>
      </c>
    </row>
    <row r="261" spans="1:15" x14ac:dyDescent="0.25">
      <c r="A261">
        <v>56.825591750000001</v>
      </c>
      <c r="B261">
        <v>24.723743750000001</v>
      </c>
      <c r="C261">
        <v>1.9419802500000001</v>
      </c>
      <c r="D261">
        <v>29.832390499999999</v>
      </c>
      <c r="E261">
        <v>53.419022499999997</v>
      </c>
      <c r="F261">
        <v>0.92584049999999996</v>
      </c>
      <c r="G261">
        <v>62.257469</v>
      </c>
      <c r="H261">
        <v>0</v>
      </c>
      <c r="I261">
        <v>-20</v>
      </c>
      <c r="J261">
        <v>1.18</v>
      </c>
      <c r="K261">
        <v>10.1956785</v>
      </c>
      <c r="L261">
        <v>1.3691583849153739</v>
      </c>
      <c r="M261">
        <v>-0.1274247431797185</v>
      </c>
      <c r="N261">
        <v>-0.22049111088773579</v>
      </c>
      <c r="O261">
        <v>0.30951571588857141</v>
      </c>
    </row>
    <row r="262" spans="1:15" x14ac:dyDescent="0.25">
      <c r="A262">
        <v>54.436976250000001</v>
      </c>
      <c r="B262">
        <v>28.5677995</v>
      </c>
      <c r="C262">
        <v>10.206648749999999</v>
      </c>
      <c r="D262">
        <v>33.558094750000002</v>
      </c>
      <c r="E262">
        <v>57.848280750000001</v>
      </c>
      <c r="F262">
        <v>0.87711399999999995</v>
      </c>
      <c r="G262">
        <v>62.8576415</v>
      </c>
      <c r="H262">
        <v>0</v>
      </c>
      <c r="I262">
        <v>-16</v>
      </c>
      <c r="J262">
        <v>1.18</v>
      </c>
      <c r="K262">
        <v>10.249468</v>
      </c>
      <c r="L262">
        <v>1.1499950743965539</v>
      </c>
      <c r="M262">
        <v>-0.12974699825612709</v>
      </c>
      <c r="N262">
        <v>-0.13024841586332911</v>
      </c>
      <c r="O262">
        <v>0.48128278209588732</v>
      </c>
    </row>
    <row r="263" spans="1:15" x14ac:dyDescent="0.25">
      <c r="A263">
        <v>51.225444000000003</v>
      </c>
      <c r="B263">
        <v>31.936597750000001</v>
      </c>
      <c r="C263">
        <v>18.426155000000001</v>
      </c>
      <c r="D263">
        <v>35.836193000000002</v>
      </c>
      <c r="E263">
        <v>61.197182750000003</v>
      </c>
      <c r="F263">
        <v>0.82838750000000005</v>
      </c>
      <c r="G263">
        <v>63.697876000000001</v>
      </c>
      <c r="H263">
        <v>0</v>
      </c>
      <c r="I263">
        <v>-12</v>
      </c>
      <c r="J263">
        <v>1.18</v>
      </c>
      <c r="K263">
        <v>10.32271325</v>
      </c>
      <c r="L263">
        <v>0.91069098100614387</v>
      </c>
      <c r="M263">
        <v>-0.1082455861530119</v>
      </c>
      <c r="N263">
        <v>-6.9439710144369712E-2</v>
      </c>
      <c r="O263">
        <v>0.67619037159951356</v>
      </c>
    </row>
    <row r="264" spans="1:15" x14ac:dyDescent="0.25">
      <c r="A264">
        <v>46.850645</v>
      </c>
      <c r="B264">
        <v>33.862864000000002</v>
      </c>
      <c r="C264">
        <v>26.103717499999998</v>
      </c>
      <c r="D264">
        <v>37.413338750000001</v>
      </c>
      <c r="E264">
        <v>62.899944499999997</v>
      </c>
      <c r="F264">
        <v>0.77966100000000005</v>
      </c>
      <c r="G264">
        <v>63.857925000000002</v>
      </c>
      <c r="H264">
        <v>0</v>
      </c>
      <c r="I264">
        <v>-8</v>
      </c>
      <c r="J264">
        <v>1.18</v>
      </c>
      <c r="K264">
        <v>10.339841</v>
      </c>
      <c r="L264">
        <v>0.63029460651067071</v>
      </c>
      <c r="M264">
        <v>-0.10782361493634959</v>
      </c>
      <c r="N264">
        <v>-2.9111236849666908E-2</v>
      </c>
      <c r="O264">
        <v>0.88721454973373459</v>
      </c>
    </row>
    <row r="265" spans="1:15" x14ac:dyDescent="0.25">
      <c r="A265">
        <v>42.066275750000003</v>
      </c>
      <c r="B265">
        <v>35.060456500000001</v>
      </c>
      <c r="C265">
        <v>32.878036250000001</v>
      </c>
      <c r="D265">
        <v>38.420972999999996</v>
      </c>
      <c r="E265">
        <v>64.013396</v>
      </c>
      <c r="F265">
        <v>0.97456699999999996</v>
      </c>
      <c r="G265">
        <v>64.498099999999994</v>
      </c>
      <c r="H265">
        <v>0</v>
      </c>
      <c r="I265">
        <v>-4</v>
      </c>
      <c r="J265">
        <v>1.18</v>
      </c>
      <c r="K265">
        <v>10.376270999999999</v>
      </c>
      <c r="L265">
        <v>0.30579701236426149</v>
      </c>
      <c r="M265">
        <v>-0.11183003801990569</v>
      </c>
      <c r="N265">
        <v>-1.6153630020947631E-2</v>
      </c>
      <c r="O265">
        <v>1.0982601534943379</v>
      </c>
    </row>
    <row r="266" spans="1:15" x14ac:dyDescent="0.25">
      <c r="A266">
        <v>36.650015000000003</v>
      </c>
      <c r="B266">
        <v>35.974221999999997</v>
      </c>
      <c r="C266">
        <v>39.065246250000001</v>
      </c>
      <c r="D266">
        <v>38.425870000000003</v>
      </c>
      <c r="E266">
        <v>64.549821750000007</v>
      </c>
      <c r="F266">
        <v>0.87711399999999995</v>
      </c>
      <c r="G266">
        <v>64.978240999999997</v>
      </c>
      <c r="H266">
        <v>0</v>
      </c>
      <c r="I266">
        <v>0</v>
      </c>
      <c r="J266">
        <v>1.18</v>
      </c>
      <c r="K266">
        <v>10.423335</v>
      </c>
      <c r="L266">
        <v>-8.5501943997010249E-2</v>
      </c>
      <c r="M266">
        <v>-8.6770098805536572E-2</v>
      </c>
      <c r="N266">
        <v>-1.516535047220206E-2</v>
      </c>
      <c r="O266">
        <v>1.2549661024831009</v>
      </c>
    </row>
    <row r="267" spans="1:15" x14ac:dyDescent="0.25">
      <c r="A267">
        <v>30.42332</v>
      </c>
      <c r="B267">
        <v>35.832467000000001</v>
      </c>
      <c r="C267">
        <v>44.8911625</v>
      </c>
      <c r="D267">
        <v>38.335818500000002</v>
      </c>
      <c r="E267">
        <v>64.728641499999995</v>
      </c>
      <c r="F267">
        <v>0.92584049999999996</v>
      </c>
      <c r="G267">
        <v>65.178293499999995</v>
      </c>
      <c r="H267">
        <v>0</v>
      </c>
      <c r="I267">
        <v>4</v>
      </c>
      <c r="J267">
        <v>1.18</v>
      </c>
      <c r="K267">
        <v>10.435631750000001</v>
      </c>
      <c r="L267">
        <v>-0.4578253625687555</v>
      </c>
      <c r="M267">
        <v>-7.9198730572205348E-2</v>
      </c>
      <c r="N267">
        <v>-1.4257351079947999E-2</v>
      </c>
      <c r="O267">
        <v>1.0190781651100651</v>
      </c>
    </row>
    <row r="268" spans="1:15" x14ac:dyDescent="0.25">
      <c r="A268">
        <v>23.647894999999998</v>
      </c>
      <c r="B268">
        <v>34.969176500000003</v>
      </c>
      <c r="C268">
        <v>50.129966750000001</v>
      </c>
      <c r="D268">
        <v>37.498584999999999</v>
      </c>
      <c r="E268">
        <v>64.277427500000002</v>
      </c>
      <c r="F268">
        <v>0.92584049999999996</v>
      </c>
      <c r="G268">
        <v>65.858482500000008</v>
      </c>
      <c r="H268">
        <v>0</v>
      </c>
      <c r="I268">
        <v>8</v>
      </c>
      <c r="J268">
        <v>1.18</v>
      </c>
      <c r="K268">
        <v>10.49071925</v>
      </c>
      <c r="L268">
        <v>-0.7573130189231938</v>
      </c>
      <c r="M268">
        <v>-7.2334561861349386E-2</v>
      </c>
      <c r="N268">
        <v>-4.5219773926981392E-2</v>
      </c>
      <c r="O268">
        <v>0.81165855596729197</v>
      </c>
    </row>
    <row r="269" spans="1:15" x14ac:dyDescent="0.25">
      <c r="A269">
        <v>16.204706999999999</v>
      </c>
      <c r="B269">
        <v>33.574260000000002</v>
      </c>
      <c r="C269">
        <v>54.691337750000002</v>
      </c>
      <c r="D269">
        <v>35.658695000000002</v>
      </c>
      <c r="E269">
        <v>62.67642025</v>
      </c>
      <c r="F269">
        <v>0.87711399999999995</v>
      </c>
      <c r="G269">
        <v>66.098557</v>
      </c>
      <c r="H269">
        <v>0</v>
      </c>
      <c r="I269">
        <v>12</v>
      </c>
      <c r="J269">
        <v>1.18</v>
      </c>
      <c r="K269">
        <v>10.5140265</v>
      </c>
      <c r="L269">
        <v>-1.0185078815103801</v>
      </c>
      <c r="M269">
        <v>-5.5092015887598898E-2</v>
      </c>
      <c r="N269">
        <v>-9.0584232375157309E-2</v>
      </c>
      <c r="O269">
        <v>0.63554069457341933</v>
      </c>
    </row>
    <row r="270" spans="1:15" x14ac:dyDescent="0.25">
      <c r="A270">
        <v>8.2141267500000001</v>
      </c>
      <c r="B270">
        <v>30.4958195</v>
      </c>
      <c r="C270">
        <v>58.4397965</v>
      </c>
      <c r="D270">
        <v>33.032401249999999</v>
      </c>
      <c r="E270">
        <v>59.096185499999997</v>
      </c>
      <c r="F270">
        <v>0.82838750000000005</v>
      </c>
      <c r="G270">
        <v>66.378629500000002</v>
      </c>
      <c r="H270">
        <v>0</v>
      </c>
      <c r="I270">
        <v>16</v>
      </c>
      <c r="J270">
        <v>1.18</v>
      </c>
      <c r="K270">
        <v>10.54049575</v>
      </c>
      <c r="L270">
        <v>-1.2638310326279421</v>
      </c>
      <c r="M270">
        <v>-6.3833127548377416E-2</v>
      </c>
      <c r="N270">
        <v>-0.1832628906948249</v>
      </c>
      <c r="O270">
        <v>0.46617445048734468</v>
      </c>
    </row>
    <row r="271" spans="1:15" x14ac:dyDescent="0.25">
      <c r="A271">
        <v>-0.81081550000000013</v>
      </c>
      <c r="B271">
        <v>26.788276750000001</v>
      </c>
      <c r="C271">
        <v>61.781795750000001</v>
      </c>
      <c r="D271">
        <v>28.563818000000001</v>
      </c>
      <c r="E271">
        <v>53.106087500000001</v>
      </c>
      <c r="F271">
        <v>0.82838750000000005</v>
      </c>
      <c r="G271">
        <v>66.738724000000005</v>
      </c>
      <c r="H271">
        <v>0</v>
      </c>
      <c r="I271">
        <v>20</v>
      </c>
      <c r="J271">
        <v>1.18</v>
      </c>
      <c r="K271">
        <v>10.56940775</v>
      </c>
      <c r="L271">
        <v>-1.56023286787904</v>
      </c>
      <c r="M271">
        <v>-4.4246019354293363E-2</v>
      </c>
      <c r="N271">
        <v>-0.3398109751943974</v>
      </c>
      <c r="O271">
        <v>0.30313656023012581</v>
      </c>
    </row>
    <row r="272" spans="1:15" x14ac:dyDescent="0.25">
      <c r="A272">
        <v>-8.8303367500000007</v>
      </c>
      <c r="B272">
        <v>22.894326</v>
      </c>
      <c r="C272">
        <v>63.81408725</v>
      </c>
      <c r="D272">
        <v>23.877712500000001</v>
      </c>
      <c r="E272">
        <v>45.950736999999997</v>
      </c>
      <c r="F272">
        <v>0.92584049999999996</v>
      </c>
      <c r="G272">
        <v>66.818745000000007</v>
      </c>
      <c r="H272">
        <v>0</v>
      </c>
      <c r="I272">
        <v>24</v>
      </c>
      <c r="J272">
        <v>1.18</v>
      </c>
      <c r="K272">
        <v>10.568006</v>
      </c>
      <c r="L272">
        <v>-1.866675925622457</v>
      </c>
      <c r="M272">
        <v>-2.5253676884044712E-2</v>
      </c>
      <c r="N272">
        <v>-0.53629229205354467</v>
      </c>
      <c r="O272">
        <v>0.15687142813117649</v>
      </c>
    </row>
    <row r="273" spans="1:15" x14ac:dyDescent="0.25">
      <c r="A273">
        <v>-18.291455500000001</v>
      </c>
      <c r="B273">
        <v>16.594738750000001</v>
      </c>
      <c r="C273">
        <v>64.89798325000001</v>
      </c>
      <c r="D273">
        <v>18.179781999999999</v>
      </c>
      <c r="E273">
        <v>36.432225250000002</v>
      </c>
      <c r="F273">
        <v>0.92584049999999996</v>
      </c>
      <c r="G273">
        <v>66.578682000000001</v>
      </c>
      <c r="H273">
        <v>0</v>
      </c>
      <c r="I273">
        <v>28</v>
      </c>
      <c r="J273">
        <v>1.18</v>
      </c>
      <c r="K273">
        <v>10.548738</v>
      </c>
      <c r="L273">
        <v>-2.2314429769605382</v>
      </c>
      <c r="M273">
        <v>-4.2514199847043702E-2</v>
      </c>
      <c r="N273">
        <v>-0.80863660659667291</v>
      </c>
      <c r="O273">
        <v>-4.7589033111311747E-2</v>
      </c>
    </row>
    <row r="274" spans="1:15" x14ac:dyDescent="0.25">
      <c r="A274">
        <v>-26.352486249999998</v>
      </c>
      <c r="B274">
        <v>10.869975</v>
      </c>
      <c r="C274">
        <v>62.82052625</v>
      </c>
      <c r="D274">
        <v>11.084499750000001</v>
      </c>
      <c r="E274">
        <v>24.63087325</v>
      </c>
      <c r="F274">
        <v>0.77966100000000005</v>
      </c>
      <c r="G274">
        <v>64.097988000000001</v>
      </c>
      <c r="H274">
        <v>0</v>
      </c>
      <c r="I274">
        <v>32</v>
      </c>
      <c r="J274">
        <v>1.18</v>
      </c>
      <c r="K274">
        <v>10.35948775</v>
      </c>
      <c r="L274">
        <v>-2.7506352280638611</v>
      </c>
      <c r="M274">
        <v>-6.6013618939353112E-3</v>
      </c>
      <c r="N274">
        <v>-1.217397812785548</v>
      </c>
      <c r="O274">
        <v>-0.2642629823846569</v>
      </c>
    </row>
    <row r="275" spans="1:15" x14ac:dyDescent="0.25">
      <c r="A275">
        <v>-34.15007525</v>
      </c>
      <c r="B275">
        <v>3.7037710000000001</v>
      </c>
      <c r="C275">
        <v>59.884985749999998</v>
      </c>
      <c r="D275">
        <v>3.4175930000000001</v>
      </c>
      <c r="E275">
        <v>10.548316249999999</v>
      </c>
      <c r="F275">
        <v>0.77966100000000005</v>
      </c>
      <c r="G275">
        <v>61.617293250000003</v>
      </c>
      <c r="H275">
        <v>0</v>
      </c>
      <c r="I275">
        <v>36</v>
      </c>
      <c r="J275">
        <v>1.18</v>
      </c>
      <c r="K275">
        <v>10.15453275</v>
      </c>
      <c r="L275">
        <v>-3.6186742085239061</v>
      </c>
      <c r="M275">
        <v>1.106636163745521E-2</v>
      </c>
      <c r="N275">
        <v>-1.9655199001267101</v>
      </c>
      <c r="O275">
        <v>-0.62429194465406301</v>
      </c>
    </row>
    <row r="276" spans="1:15" x14ac:dyDescent="0.25">
      <c r="A276">
        <v>-41.57833025</v>
      </c>
      <c r="B276">
        <v>-3.3579207499999999</v>
      </c>
      <c r="C276">
        <v>57.897850249999998</v>
      </c>
      <c r="D276">
        <v>-4.1521420000000004</v>
      </c>
      <c r="E276">
        <v>-2.85445225</v>
      </c>
      <c r="F276">
        <v>0.68220750000000008</v>
      </c>
      <c r="G276">
        <v>60.056850500000003</v>
      </c>
      <c r="H276">
        <v>0</v>
      </c>
      <c r="I276">
        <v>40</v>
      </c>
      <c r="J276">
        <v>1.18</v>
      </c>
      <c r="K276">
        <v>10.031690749999999</v>
      </c>
      <c r="L276">
        <v>-4.971311538887802</v>
      </c>
      <c r="M276">
        <v>3.9671275677966737E-2</v>
      </c>
      <c r="N276">
        <v>-3.1441159109182069</v>
      </c>
      <c r="O276">
        <v>-1.176889305729806</v>
      </c>
    </row>
    <row r="277" spans="1:15" x14ac:dyDescent="0.25">
      <c r="A277">
        <v>-46.803812999999998</v>
      </c>
      <c r="B277">
        <v>-9.8811359999999997</v>
      </c>
      <c r="C277">
        <v>55.097797249999999</v>
      </c>
      <c r="D277">
        <v>-10.70815575</v>
      </c>
      <c r="E277">
        <v>-15.521084500000001</v>
      </c>
      <c r="F277">
        <v>0.63348075000000004</v>
      </c>
      <c r="G277">
        <v>57.97627275</v>
      </c>
      <c r="H277">
        <v>0</v>
      </c>
      <c r="I277">
        <v>44</v>
      </c>
      <c r="J277">
        <v>1.18</v>
      </c>
      <c r="K277">
        <v>9.8585417500000005</v>
      </c>
      <c r="L277">
        <v>-7.7017602909711496</v>
      </c>
      <c r="M277">
        <v>6.2300533813968023E-2</v>
      </c>
      <c r="N277">
        <v>-5.5552318374657279</v>
      </c>
      <c r="O277">
        <v>-2.2214633765145719</v>
      </c>
    </row>
    <row r="278" spans="1:15" x14ac:dyDescent="0.25">
      <c r="A278">
        <v>56.821856500000003</v>
      </c>
      <c r="B278">
        <v>-3.7416415000000001</v>
      </c>
      <c r="C278">
        <v>-47.9570395</v>
      </c>
      <c r="D278">
        <v>-12.23789275</v>
      </c>
      <c r="E278">
        <v>0.67052975000000004</v>
      </c>
      <c r="F278">
        <v>0.73093425000000001</v>
      </c>
      <c r="G278">
        <v>57.736202499999997</v>
      </c>
      <c r="H278">
        <v>4</v>
      </c>
      <c r="I278">
        <v>-44</v>
      </c>
      <c r="J278">
        <v>1.18</v>
      </c>
      <c r="K278">
        <v>9.8295012499999999</v>
      </c>
      <c r="L278">
        <v>3.4056925469403039</v>
      </c>
      <c r="M278">
        <v>0.27623898851873058</v>
      </c>
      <c r="N278">
        <v>-1.8549485207132099</v>
      </c>
      <c r="O278">
        <v>-1.0020473621819881</v>
      </c>
    </row>
    <row r="279" spans="1:15" x14ac:dyDescent="0.25">
      <c r="A279">
        <v>58.848982749999998</v>
      </c>
      <c r="B279">
        <v>3.3670665</v>
      </c>
      <c r="C279">
        <v>-41.099590499999998</v>
      </c>
      <c r="D279">
        <v>-5.0699847499999997</v>
      </c>
      <c r="E279">
        <v>11.88922275</v>
      </c>
      <c r="F279">
        <v>0.77966100000000005</v>
      </c>
      <c r="G279">
        <v>59.17660875</v>
      </c>
      <c r="H279">
        <v>4</v>
      </c>
      <c r="I279">
        <v>-40</v>
      </c>
      <c r="J279">
        <v>1.18</v>
      </c>
      <c r="K279">
        <v>9.9487605000000006</v>
      </c>
      <c r="L279">
        <v>2.857797216936242</v>
      </c>
      <c r="M279">
        <v>0.2412434648599304</v>
      </c>
      <c r="N279">
        <v>-1.352076924461713</v>
      </c>
      <c r="O279">
        <v>-0.68234983694970486</v>
      </c>
    </row>
    <row r="280" spans="1:15" x14ac:dyDescent="0.25">
      <c r="A280">
        <v>59.349278499999997</v>
      </c>
      <c r="B280">
        <v>9.9080162499999993</v>
      </c>
      <c r="C280">
        <v>-32.888692499999998</v>
      </c>
      <c r="D280">
        <v>1.796146</v>
      </c>
      <c r="E280">
        <v>21.948748250000001</v>
      </c>
      <c r="F280">
        <v>0.77966100000000005</v>
      </c>
      <c r="G280">
        <v>59.576719500000003</v>
      </c>
      <c r="H280">
        <v>4</v>
      </c>
      <c r="I280">
        <v>-36</v>
      </c>
      <c r="J280">
        <v>1.18</v>
      </c>
      <c r="K280">
        <v>9.9827852500000009</v>
      </c>
      <c r="L280">
        <v>2.4600204918562469</v>
      </c>
      <c r="M280">
        <v>0.2163415090888357</v>
      </c>
      <c r="N280">
        <v>-1.0035556008579041</v>
      </c>
      <c r="O280">
        <v>-0.43542273121079023</v>
      </c>
    </row>
    <row r="281" spans="1:15" x14ac:dyDescent="0.25">
      <c r="A281">
        <v>59.751561250000002</v>
      </c>
      <c r="B281">
        <v>16.304987749999999</v>
      </c>
      <c r="C281">
        <v>-23.955962499999998</v>
      </c>
      <c r="D281">
        <v>7.9732732500000001</v>
      </c>
      <c r="E281">
        <v>31.46826875</v>
      </c>
      <c r="F281">
        <v>0.73093425000000001</v>
      </c>
      <c r="G281">
        <v>60.416958000000001</v>
      </c>
      <c r="H281">
        <v>4</v>
      </c>
      <c r="I281">
        <v>-32</v>
      </c>
      <c r="J281">
        <v>1.18</v>
      </c>
      <c r="K281">
        <v>10.057962249999999</v>
      </c>
      <c r="L281">
        <v>2.1213348675838559</v>
      </c>
      <c r="M281">
        <v>0.2111340097191175</v>
      </c>
      <c r="N281">
        <v>-0.73362840835368082</v>
      </c>
      <c r="O281">
        <v>-0.22102135666918521</v>
      </c>
    </row>
    <row r="282" spans="1:15" x14ac:dyDescent="0.25">
      <c r="A282">
        <v>59.710337750000001</v>
      </c>
      <c r="B282">
        <v>21.884252249999999</v>
      </c>
      <c r="C282">
        <v>-15.023231750000001</v>
      </c>
      <c r="D282">
        <v>14.415195000000001</v>
      </c>
      <c r="E282">
        <v>40.450145749999997</v>
      </c>
      <c r="F282">
        <v>0.82838750000000005</v>
      </c>
      <c r="G282">
        <v>61.257190750000007</v>
      </c>
      <c r="H282">
        <v>4</v>
      </c>
      <c r="I282">
        <v>-28</v>
      </c>
      <c r="J282">
        <v>1.18</v>
      </c>
      <c r="K282">
        <v>10.120358</v>
      </c>
      <c r="L282">
        <v>1.833772671659367</v>
      </c>
      <c r="M282">
        <v>0.18327112465500489</v>
      </c>
      <c r="N282">
        <v>-0.51055591829104729</v>
      </c>
      <c r="O282">
        <v>-2.7790265668328561E-2</v>
      </c>
    </row>
    <row r="283" spans="1:15" x14ac:dyDescent="0.25">
      <c r="A283">
        <v>58.585874500000003</v>
      </c>
      <c r="B283">
        <v>26.357301249999999</v>
      </c>
      <c r="C283">
        <v>-6.58676175</v>
      </c>
      <c r="D283">
        <v>19.496497999999999</v>
      </c>
      <c r="E283">
        <v>46.984969</v>
      </c>
      <c r="F283">
        <v>0.92584049999999996</v>
      </c>
      <c r="G283">
        <v>61.617293250000003</v>
      </c>
      <c r="H283">
        <v>4</v>
      </c>
      <c r="I283">
        <v>-24</v>
      </c>
      <c r="J283">
        <v>1.18</v>
      </c>
      <c r="K283">
        <v>10.1423235</v>
      </c>
      <c r="L283">
        <v>1.607991664141007</v>
      </c>
      <c r="M283">
        <v>0.1692812754918582</v>
      </c>
      <c r="N283">
        <v>-0.36102137631747061</v>
      </c>
      <c r="O283">
        <v>0.13642876495566469</v>
      </c>
    </row>
    <row r="284" spans="1:15" x14ac:dyDescent="0.25">
      <c r="A284">
        <v>57.051262749999999</v>
      </c>
      <c r="B284">
        <v>31.022741</v>
      </c>
      <c r="C284">
        <v>2.3484392500000002</v>
      </c>
      <c r="D284">
        <v>24.007621</v>
      </c>
      <c r="E284">
        <v>53.198965000000001</v>
      </c>
      <c r="F284">
        <v>0.87711399999999995</v>
      </c>
      <c r="G284">
        <v>62.337494</v>
      </c>
      <c r="H284">
        <v>4</v>
      </c>
      <c r="I284">
        <v>-20</v>
      </c>
      <c r="J284">
        <v>1.18</v>
      </c>
      <c r="K284">
        <v>10.206371750000001</v>
      </c>
      <c r="L284">
        <v>1.3668545867338091</v>
      </c>
      <c r="M284">
        <v>0.17528715679550491</v>
      </c>
      <c r="N284">
        <v>-0.22834850078000651</v>
      </c>
      <c r="O284">
        <v>0.30737467674954733</v>
      </c>
    </row>
    <row r="285" spans="1:15" x14ac:dyDescent="0.25">
      <c r="A285">
        <v>54.610365000000002</v>
      </c>
      <c r="B285">
        <v>34.483335500000003</v>
      </c>
      <c r="C285">
        <v>10.5679465</v>
      </c>
      <c r="D285">
        <v>27.512388999999999</v>
      </c>
      <c r="E285">
        <v>57.665705500000001</v>
      </c>
      <c r="F285">
        <v>0.92584049999999996</v>
      </c>
      <c r="G285">
        <v>62.777620499999998</v>
      </c>
      <c r="H285">
        <v>4</v>
      </c>
      <c r="I285">
        <v>-16</v>
      </c>
      <c r="J285">
        <v>1.18</v>
      </c>
      <c r="K285">
        <v>10.2388165</v>
      </c>
      <c r="L285">
        <v>1.1402406884660241</v>
      </c>
      <c r="M285">
        <v>0.18048041124591549</v>
      </c>
      <c r="N285">
        <v>-0.13234771472806309</v>
      </c>
      <c r="O285">
        <v>0.46897284252585553</v>
      </c>
    </row>
    <row r="286" spans="1:15" x14ac:dyDescent="0.25">
      <c r="A286">
        <v>50.909487749999997</v>
      </c>
      <c r="B286">
        <v>37.374207499999997</v>
      </c>
      <c r="C286">
        <v>19.01326375</v>
      </c>
      <c r="D286">
        <v>30.142877500000001</v>
      </c>
      <c r="E286">
        <v>60.835609249999997</v>
      </c>
      <c r="F286">
        <v>0.82838750000000005</v>
      </c>
      <c r="G286">
        <v>63.257749500000003</v>
      </c>
      <c r="H286">
        <v>4</v>
      </c>
      <c r="I286">
        <v>-12</v>
      </c>
      <c r="J286">
        <v>1.18</v>
      </c>
      <c r="K286">
        <v>10.286519</v>
      </c>
      <c r="L286">
        <v>0.87968707179690264</v>
      </c>
      <c r="M286">
        <v>0.19943075815810321</v>
      </c>
      <c r="N286">
        <v>-6.6823277282716059E-2</v>
      </c>
      <c r="O286">
        <v>0.65506536760450707</v>
      </c>
    </row>
    <row r="287" spans="1:15" x14ac:dyDescent="0.25">
      <c r="A287">
        <v>46.937824249999998</v>
      </c>
      <c r="B287">
        <v>39.731141000000001</v>
      </c>
      <c r="C287">
        <v>26.284363500000001</v>
      </c>
      <c r="D287">
        <v>31.544873249999998</v>
      </c>
      <c r="E287">
        <v>62.981185000000004</v>
      </c>
      <c r="F287">
        <v>0.87711399999999995</v>
      </c>
      <c r="G287">
        <v>63.897935500000003</v>
      </c>
      <c r="H287">
        <v>4</v>
      </c>
      <c r="I287">
        <v>-8</v>
      </c>
      <c r="J287">
        <v>1.18</v>
      </c>
      <c r="K287">
        <v>10.33512975</v>
      </c>
      <c r="L287">
        <v>0.60625254959465702</v>
      </c>
      <c r="M287">
        <v>0.24029536828538189</v>
      </c>
      <c r="N287">
        <v>-2.6921683555559531E-2</v>
      </c>
      <c r="O287">
        <v>0.82303273909312069</v>
      </c>
    </row>
    <row r="288" spans="1:15" x14ac:dyDescent="0.25">
      <c r="A288">
        <v>41.882980000000003</v>
      </c>
      <c r="B288">
        <v>40.786495250000002</v>
      </c>
      <c r="C288">
        <v>33.239333999999999</v>
      </c>
      <c r="D288">
        <v>32.373185999999997</v>
      </c>
      <c r="E288">
        <v>63.923997749999998</v>
      </c>
      <c r="F288">
        <v>0.87711399999999995</v>
      </c>
      <c r="G288">
        <v>64.218019499999997</v>
      </c>
      <c r="H288">
        <v>4</v>
      </c>
      <c r="I288">
        <v>-4</v>
      </c>
      <c r="J288">
        <v>1.18</v>
      </c>
      <c r="K288">
        <v>10.36134275</v>
      </c>
      <c r="L288">
        <v>0.27776319318709702</v>
      </c>
      <c r="M288">
        <v>0.27035782987960622</v>
      </c>
      <c r="N288">
        <v>-9.4583036244097543E-3</v>
      </c>
      <c r="O288">
        <v>1.02608903030045</v>
      </c>
    </row>
    <row r="289" spans="1:15" x14ac:dyDescent="0.25">
      <c r="A289">
        <v>36.47187125</v>
      </c>
      <c r="B289">
        <v>41.075059750000001</v>
      </c>
      <c r="C289">
        <v>38.974922249999999</v>
      </c>
      <c r="D289">
        <v>32.944776750000003</v>
      </c>
      <c r="E289">
        <v>64.460422249999993</v>
      </c>
      <c r="F289">
        <v>0.82838750000000005</v>
      </c>
      <c r="G289">
        <v>64.738170999999994</v>
      </c>
      <c r="H289">
        <v>4</v>
      </c>
      <c r="I289">
        <v>0</v>
      </c>
      <c r="J289">
        <v>1.18</v>
      </c>
      <c r="K289">
        <v>10.4077675</v>
      </c>
      <c r="L289">
        <v>-8.4106664738649028E-2</v>
      </c>
      <c r="M289">
        <v>0.27325119088023181</v>
      </c>
      <c r="N289">
        <v>-9.3737882794567469E-3</v>
      </c>
      <c r="O289">
        <v>1.138766130808968</v>
      </c>
    </row>
    <row r="290" spans="1:15" x14ac:dyDescent="0.25">
      <c r="A290">
        <v>30.597846000000001</v>
      </c>
      <c r="B290">
        <v>41.126056499999997</v>
      </c>
      <c r="C290">
        <v>44.620186750000002</v>
      </c>
      <c r="D290">
        <v>32.992779749999997</v>
      </c>
      <c r="E290">
        <v>64.809623999999999</v>
      </c>
      <c r="F290">
        <v>0.92584049999999996</v>
      </c>
      <c r="G290">
        <v>65.458365999999998</v>
      </c>
      <c r="H290">
        <v>4</v>
      </c>
      <c r="I290">
        <v>4</v>
      </c>
      <c r="J290">
        <v>1.18</v>
      </c>
      <c r="K290">
        <v>10.45835175</v>
      </c>
      <c r="L290">
        <v>-0.42473478256522862</v>
      </c>
      <c r="M290">
        <v>0.24633803747445071</v>
      </c>
      <c r="N290">
        <v>-1.9656695506269181E-2</v>
      </c>
      <c r="O290">
        <v>0.93506691844482892</v>
      </c>
    </row>
    <row r="291" spans="1:15" x14ac:dyDescent="0.25">
      <c r="A291">
        <v>23.557641749999998</v>
      </c>
      <c r="B291">
        <v>40.693151499999999</v>
      </c>
      <c r="C291">
        <v>49.723507249999997</v>
      </c>
      <c r="D291">
        <v>31.411428000000001</v>
      </c>
      <c r="E291">
        <v>63.834587999999997</v>
      </c>
      <c r="F291">
        <v>0.97456699999999996</v>
      </c>
      <c r="G291">
        <v>65.578397499999994</v>
      </c>
      <c r="H291">
        <v>4</v>
      </c>
      <c r="I291">
        <v>8</v>
      </c>
      <c r="J291">
        <v>1.18</v>
      </c>
      <c r="K291">
        <v>10.46412875</v>
      </c>
      <c r="L291">
        <v>-0.71983736418258226</v>
      </c>
      <c r="M291">
        <v>0.25532366720646932</v>
      </c>
      <c r="N291">
        <v>-4.7969495801812638E-2</v>
      </c>
      <c r="O291">
        <v>0.72931200486546299</v>
      </c>
    </row>
    <row r="292" spans="1:15" x14ac:dyDescent="0.25">
      <c r="A292">
        <v>16.112291750000001</v>
      </c>
      <c r="B292">
        <v>38.62213225</v>
      </c>
      <c r="C292">
        <v>54.239723249999997</v>
      </c>
      <c r="D292">
        <v>30.314264999999999</v>
      </c>
      <c r="E292">
        <v>62.274074499999998</v>
      </c>
      <c r="F292">
        <v>0.92584049999999996</v>
      </c>
      <c r="G292">
        <v>66.098557</v>
      </c>
      <c r="H292">
        <v>4</v>
      </c>
      <c r="I292">
        <v>12</v>
      </c>
      <c r="J292">
        <v>1.18</v>
      </c>
      <c r="K292">
        <v>10.51009925</v>
      </c>
      <c r="L292">
        <v>-0.97611609928657395</v>
      </c>
      <c r="M292">
        <v>0.2126898416322566</v>
      </c>
      <c r="N292">
        <v>-9.7916796235838127E-2</v>
      </c>
      <c r="O292">
        <v>0.5705942862591552</v>
      </c>
    </row>
    <row r="293" spans="1:15" x14ac:dyDescent="0.25">
      <c r="A293">
        <v>7.5376517500000002</v>
      </c>
      <c r="B293">
        <v>36.700799750000002</v>
      </c>
      <c r="C293">
        <v>58.304309750000002</v>
      </c>
      <c r="D293">
        <v>26.9446245</v>
      </c>
      <c r="E293">
        <v>58.693898249999997</v>
      </c>
      <c r="F293">
        <v>0.92584049999999996</v>
      </c>
      <c r="G293">
        <v>66.618692500000009</v>
      </c>
      <c r="H293">
        <v>4</v>
      </c>
      <c r="I293">
        <v>16</v>
      </c>
      <c r="J293">
        <v>1.18</v>
      </c>
      <c r="K293">
        <v>10.55195075</v>
      </c>
      <c r="L293">
        <v>-1.224704749369961</v>
      </c>
      <c r="M293">
        <v>0.23537769927966501</v>
      </c>
      <c r="N293">
        <v>-0.19120815794511609</v>
      </c>
      <c r="O293">
        <v>0.39357207479465178</v>
      </c>
    </row>
    <row r="294" spans="1:15" x14ac:dyDescent="0.25">
      <c r="A294">
        <v>-0.13515350000000001</v>
      </c>
      <c r="B294">
        <v>33.235193000000002</v>
      </c>
      <c r="C294">
        <v>61.104362249999987</v>
      </c>
      <c r="D294">
        <v>23.833905999999999</v>
      </c>
      <c r="E294">
        <v>53.773135250000003</v>
      </c>
      <c r="F294">
        <v>0.97456699999999996</v>
      </c>
      <c r="G294">
        <v>66.858755500000001</v>
      </c>
      <c r="H294">
        <v>4</v>
      </c>
      <c r="I294">
        <v>20</v>
      </c>
      <c r="J294">
        <v>1.18</v>
      </c>
      <c r="K294">
        <v>10.567312250000001</v>
      </c>
      <c r="L294">
        <v>-1.460751564473608</v>
      </c>
      <c r="M294">
        <v>0.22425113881133579</v>
      </c>
      <c r="N294">
        <v>-0.31214980162296002</v>
      </c>
      <c r="O294">
        <v>0.25939030498117471</v>
      </c>
    </row>
    <row r="295" spans="1:15" x14ac:dyDescent="0.25">
      <c r="A295">
        <v>-8.7391057500000002</v>
      </c>
      <c r="B295">
        <v>28.956598249999999</v>
      </c>
      <c r="C295">
        <v>62.278579749999999</v>
      </c>
      <c r="D295">
        <v>17.349664000000001</v>
      </c>
      <c r="E295">
        <v>45.327928249999999</v>
      </c>
      <c r="F295">
        <v>0.97456699999999996</v>
      </c>
      <c r="G295">
        <v>65.698432999999994</v>
      </c>
      <c r="H295">
        <v>4</v>
      </c>
      <c r="I295">
        <v>24</v>
      </c>
      <c r="J295">
        <v>1.18</v>
      </c>
      <c r="K295">
        <v>10.473845000000001</v>
      </c>
      <c r="L295">
        <v>-1.7311917709255069</v>
      </c>
      <c r="M295">
        <v>0.28291084937949312</v>
      </c>
      <c r="N295">
        <v>-0.49657925492841282</v>
      </c>
      <c r="O295">
        <v>8.1194197867961324E-2</v>
      </c>
    </row>
    <row r="296" spans="1:15" x14ac:dyDescent="0.25">
      <c r="A296">
        <v>-17.615641249999999</v>
      </c>
      <c r="B296">
        <v>22.6538225</v>
      </c>
      <c r="C296">
        <v>60.923713249999999</v>
      </c>
      <c r="D296">
        <v>9.7701397500000002</v>
      </c>
      <c r="E296">
        <v>33.879763750000002</v>
      </c>
      <c r="F296">
        <v>0.77966100000000005</v>
      </c>
      <c r="G296">
        <v>62.977674499999999</v>
      </c>
      <c r="H296">
        <v>4</v>
      </c>
      <c r="I296">
        <v>28</v>
      </c>
      <c r="J296">
        <v>1.18</v>
      </c>
      <c r="K296">
        <v>10.267440000000001</v>
      </c>
      <c r="L296">
        <v>-2.0776346838359721</v>
      </c>
      <c r="M296">
        <v>0.34081797627716298</v>
      </c>
      <c r="N296">
        <v>-0.76975513574939125</v>
      </c>
      <c r="O296">
        <v>-0.1243950252477722</v>
      </c>
    </row>
    <row r="297" spans="1:15" x14ac:dyDescent="0.25">
      <c r="A297">
        <v>-25.40810325</v>
      </c>
      <c r="B297">
        <v>16.979544000000001</v>
      </c>
      <c r="C297">
        <v>59.614013499999999</v>
      </c>
      <c r="D297">
        <v>2.71637525</v>
      </c>
      <c r="E297">
        <v>22.528372000000001</v>
      </c>
      <c r="F297">
        <v>0.77966100000000005</v>
      </c>
      <c r="G297">
        <v>61.177166249999999</v>
      </c>
      <c r="H297">
        <v>4</v>
      </c>
      <c r="I297">
        <v>32</v>
      </c>
      <c r="J297">
        <v>1.18</v>
      </c>
      <c r="K297">
        <v>10.1177375</v>
      </c>
      <c r="L297">
        <v>-2.5099742346909868</v>
      </c>
      <c r="M297">
        <v>0.42108982234426878</v>
      </c>
      <c r="N297">
        <v>-1.140999895642222</v>
      </c>
      <c r="O297">
        <v>-0.3579884567471418</v>
      </c>
    </row>
    <row r="298" spans="1:15" x14ac:dyDescent="0.25">
      <c r="A298">
        <v>-32.976525250000002</v>
      </c>
      <c r="B298">
        <v>11.159368499999999</v>
      </c>
      <c r="C298">
        <v>58.484958749999997</v>
      </c>
      <c r="D298">
        <v>-4.5892102500000007</v>
      </c>
      <c r="E298">
        <v>10.68244275</v>
      </c>
      <c r="F298">
        <v>0.87711399999999995</v>
      </c>
      <c r="G298">
        <v>59.776773499999997</v>
      </c>
      <c r="H298">
        <v>4</v>
      </c>
      <c r="I298">
        <v>36</v>
      </c>
      <c r="J298">
        <v>1.18</v>
      </c>
      <c r="K298">
        <v>9.9914869999999993</v>
      </c>
      <c r="L298">
        <v>-3.10445757639912</v>
      </c>
      <c r="M298">
        <v>0.53450047444682636</v>
      </c>
      <c r="N298">
        <v>-1.666545807855115</v>
      </c>
      <c r="O298">
        <v>-0.66733016758601837</v>
      </c>
    </row>
    <row r="299" spans="1:15" x14ac:dyDescent="0.25">
      <c r="A299">
        <v>-39.058268499999997</v>
      </c>
      <c r="B299">
        <v>5.0986890000000002</v>
      </c>
      <c r="C299">
        <v>55.684905999999998</v>
      </c>
      <c r="D299">
        <v>-11.669704749999999</v>
      </c>
      <c r="E299">
        <v>-2.0962382499999999</v>
      </c>
      <c r="F299">
        <v>0.73093425000000001</v>
      </c>
      <c r="G299">
        <v>57.496132750000001</v>
      </c>
      <c r="H299">
        <v>4</v>
      </c>
      <c r="I299">
        <v>40</v>
      </c>
      <c r="J299">
        <v>1.18</v>
      </c>
      <c r="K299">
        <v>9.8087677499999995</v>
      </c>
      <c r="L299">
        <v>-4.0721791955803326</v>
      </c>
      <c r="M299">
        <v>0.72078267976738009</v>
      </c>
      <c r="N299">
        <v>-2.5614911188015248</v>
      </c>
      <c r="O299">
        <v>-1.121668588960856</v>
      </c>
    </row>
    <row r="300" spans="1:15" x14ac:dyDescent="0.25">
      <c r="A300">
        <v>-46.755695250000002</v>
      </c>
      <c r="B300">
        <v>-1.6789665</v>
      </c>
      <c r="C300">
        <v>55.323608249999999</v>
      </c>
      <c r="D300">
        <v>-19.3620935</v>
      </c>
      <c r="E300">
        <v>-15.476482499999999</v>
      </c>
      <c r="F300">
        <v>0.68220750000000008</v>
      </c>
      <c r="G300">
        <v>57.896245749999999</v>
      </c>
      <c r="H300">
        <v>4</v>
      </c>
      <c r="I300">
        <v>44</v>
      </c>
      <c r="J300">
        <v>1.18</v>
      </c>
      <c r="K300">
        <v>9.8474815000000007</v>
      </c>
      <c r="L300">
        <v>-5.8065036387304891</v>
      </c>
      <c r="M300">
        <v>1.005591534024985</v>
      </c>
      <c r="N300">
        <v>-4.1737185037891056</v>
      </c>
      <c r="O300">
        <v>-1.919310371834372</v>
      </c>
    </row>
    <row r="301" spans="1:15" x14ac:dyDescent="0.25">
      <c r="A301">
        <v>58.266095499999999</v>
      </c>
      <c r="B301">
        <v>3.7999722500000002</v>
      </c>
      <c r="C301">
        <v>-49.671401750000001</v>
      </c>
      <c r="D301">
        <v>-21.63484725</v>
      </c>
      <c r="E301">
        <v>-0.57981125</v>
      </c>
      <c r="F301">
        <v>0.77966100000000005</v>
      </c>
      <c r="G301">
        <v>59.376666999999998</v>
      </c>
      <c r="H301">
        <v>8</v>
      </c>
      <c r="I301">
        <v>-44</v>
      </c>
      <c r="J301">
        <v>1.18</v>
      </c>
      <c r="K301">
        <v>9.9657900000000001</v>
      </c>
      <c r="L301">
        <v>3.0775236479881061</v>
      </c>
      <c r="M301">
        <v>0.72510368183241758</v>
      </c>
      <c r="N301">
        <v>-1.7094719095015281</v>
      </c>
      <c r="O301">
        <v>-1.038738225601421</v>
      </c>
    </row>
    <row r="302" spans="1:15" x14ac:dyDescent="0.25">
      <c r="A302">
        <v>59.574961000000002</v>
      </c>
      <c r="B302">
        <v>10.244002500000001</v>
      </c>
      <c r="C302">
        <v>-42.227459000000003</v>
      </c>
      <c r="D302">
        <v>-13.7676295</v>
      </c>
      <c r="E302">
        <v>10.683149500000001</v>
      </c>
      <c r="F302">
        <v>0.77966100000000005</v>
      </c>
      <c r="G302">
        <v>60.096862999999999</v>
      </c>
      <c r="H302">
        <v>8</v>
      </c>
      <c r="I302">
        <v>-40</v>
      </c>
      <c r="J302">
        <v>1.18</v>
      </c>
      <c r="K302">
        <v>10.026843</v>
      </c>
      <c r="L302">
        <v>2.631903455988744</v>
      </c>
      <c r="M302">
        <v>0.62072841853415628</v>
      </c>
      <c r="N302">
        <v>-1.2774978097144301</v>
      </c>
      <c r="O302">
        <v>-0.74396263611579694</v>
      </c>
    </row>
    <row r="303" spans="1:15" x14ac:dyDescent="0.25">
      <c r="A303">
        <v>60.522722999999999</v>
      </c>
      <c r="B303">
        <v>16.546637749999999</v>
      </c>
      <c r="C303">
        <v>-33.836106000000001</v>
      </c>
      <c r="D303">
        <v>-6.5123077499999997</v>
      </c>
      <c r="E303">
        <v>21.051983</v>
      </c>
      <c r="F303">
        <v>0.82838750000000005</v>
      </c>
      <c r="G303">
        <v>60.977108000000001</v>
      </c>
      <c r="H303">
        <v>8</v>
      </c>
      <c r="I303">
        <v>-36</v>
      </c>
      <c r="J303">
        <v>1.18</v>
      </c>
      <c r="K303">
        <v>10.0968775</v>
      </c>
      <c r="L303">
        <v>2.28880095465398</v>
      </c>
      <c r="M303">
        <v>0.55932499302639282</v>
      </c>
      <c r="N303">
        <v>-0.96843621237566535</v>
      </c>
      <c r="O303">
        <v>-0.50944275122608818</v>
      </c>
    </row>
    <row r="304" spans="1:15" x14ac:dyDescent="0.25">
      <c r="A304">
        <v>60.526696250000001</v>
      </c>
      <c r="B304">
        <v>22.655417</v>
      </c>
      <c r="C304">
        <v>-24.5424565</v>
      </c>
      <c r="D304">
        <v>0.525671</v>
      </c>
      <c r="E304">
        <v>30.79975675</v>
      </c>
      <c r="F304">
        <v>0.77966100000000005</v>
      </c>
      <c r="G304">
        <v>61.457245</v>
      </c>
      <c r="H304">
        <v>8</v>
      </c>
      <c r="I304">
        <v>-32</v>
      </c>
      <c r="J304">
        <v>1.18</v>
      </c>
      <c r="K304">
        <v>10.141171</v>
      </c>
      <c r="L304">
        <v>1.9872178625465391</v>
      </c>
      <c r="M304">
        <v>0.51694825054142324</v>
      </c>
      <c r="N304">
        <v>-0.71616142028318508</v>
      </c>
      <c r="O304">
        <v>-0.29872659241792188</v>
      </c>
    </row>
    <row r="305" spans="1:15" x14ac:dyDescent="0.25">
      <c r="A305">
        <v>60.120483249999999</v>
      </c>
      <c r="B305">
        <v>28.042687000000001</v>
      </c>
      <c r="C305">
        <v>-15.248805750000001</v>
      </c>
      <c r="D305">
        <v>7.3161597500000006</v>
      </c>
      <c r="E305">
        <v>39.516661749999997</v>
      </c>
      <c r="F305">
        <v>0.82838750000000005</v>
      </c>
      <c r="G305">
        <v>62.057413500000003</v>
      </c>
      <c r="H305">
        <v>8</v>
      </c>
      <c r="I305">
        <v>-28</v>
      </c>
      <c r="J305">
        <v>1.18</v>
      </c>
      <c r="K305">
        <v>10.18714675</v>
      </c>
      <c r="L305">
        <v>1.733311211638479</v>
      </c>
      <c r="M305">
        <v>0.47665699152570318</v>
      </c>
      <c r="N305">
        <v>-0.51838822912178517</v>
      </c>
      <c r="O305">
        <v>-0.1102619822752447</v>
      </c>
    </row>
    <row r="306" spans="1:15" x14ac:dyDescent="0.25">
      <c r="A306">
        <v>59.571046000000003</v>
      </c>
      <c r="B306">
        <v>32.804648999999998</v>
      </c>
      <c r="C306">
        <v>-6.2258432499999996</v>
      </c>
      <c r="D306">
        <v>13.275118750000001</v>
      </c>
      <c r="E306">
        <v>46.618226249999999</v>
      </c>
      <c r="F306">
        <v>0.92584049999999996</v>
      </c>
      <c r="G306">
        <v>62.897652000000001</v>
      </c>
      <c r="H306">
        <v>8</v>
      </c>
      <c r="I306">
        <v>-24</v>
      </c>
      <c r="J306">
        <v>1.18</v>
      </c>
      <c r="K306">
        <v>10.2487525</v>
      </c>
      <c r="L306">
        <v>1.526850887504472</v>
      </c>
      <c r="M306">
        <v>0.45319114627196871</v>
      </c>
      <c r="N306">
        <v>-0.37777372931929087</v>
      </c>
      <c r="O306">
        <v>6.0313744812157469E-2</v>
      </c>
    </row>
    <row r="307" spans="1:15" x14ac:dyDescent="0.25">
      <c r="A307">
        <v>57.186667499999999</v>
      </c>
      <c r="B307">
        <v>36.941302999999998</v>
      </c>
      <c r="C307">
        <v>3.1161954999999999</v>
      </c>
      <c r="D307">
        <v>18.575244000000001</v>
      </c>
      <c r="E307">
        <v>52.793174749999999</v>
      </c>
      <c r="F307">
        <v>0.77966100000000005</v>
      </c>
      <c r="G307">
        <v>63.097707499999999</v>
      </c>
      <c r="H307">
        <v>8</v>
      </c>
      <c r="I307">
        <v>-20</v>
      </c>
      <c r="J307">
        <v>1.18</v>
      </c>
      <c r="K307">
        <v>10.277343</v>
      </c>
      <c r="L307">
        <v>1.2889970893260081</v>
      </c>
      <c r="M307">
        <v>0.43782147175347758</v>
      </c>
      <c r="N307">
        <v>-0.2456495778217834</v>
      </c>
      <c r="O307">
        <v>0.2399824025690033</v>
      </c>
    </row>
    <row r="308" spans="1:15" x14ac:dyDescent="0.25">
      <c r="A308">
        <v>54.565238000000001</v>
      </c>
      <c r="B308">
        <v>40.161217749999999</v>
      </c>
      <c r="C308">
        <v>11.561512499999999</v>
      </c>
      <c r="D308">
        <v>22.211441499999999</v>
      </c>
      <c r="E308">
        <v>57.263385749999998</v>
      </c>
      <c r="F308">
        <v>0.82838750000000005</v>
      </c>
      <c r="G308">
        <v>63.577841499999998</v>
      </c>
      <c r="H308">
        <v>8</v>
      </c>
      <c r="I308">
        <v>-16</v>
      </c>
      <c r="J308">
        <v>1.18</v>
      </c>
      <c r="K308">
        <v>10.312851500000001</v>
      </c>
      <c r="L308">
        <v>1.0650527857633529</v>
      </c>
      <c r="M308">
        <v>0.44453916931425452</v>
      </c>
      <c r="N308">
        <v>-0.1563858825543073</v>
      </c>
      <c r="O308">
        <v>0.39771240643555528</v>
      </c>
    </row>
    <row r="309" spans="1:15" x14ac:dyDescent="0.25">
      <c r="A309">
        <v>51.183652000000002</v>
      </c>
      <c r="B309">
        <v>43.287567250000002</v>
      </c>
      <c r="C309">
        <v>19.012017</v>
      </c>
      <c r="D309">
        <v>24.314279500000001</v>
      </c>
      <c r="E309">
        <v>60.437242750000003</v>
      </c>
      <c r="F309">
        <v>0.82838750000000005</v>
      </c>
      <c r="G309">
        <v>64.178009000000003</v>
      </c>
      <c r="H309">
        <v>8</v>
      </c>
      <c r="I309">
        <v>-12</v>
      </c>
      <c r="J309">
        <v>1.18</v>
      </c>
      <c r="K309">
        <v>10.3620555</v>
      </c>
      <c r="L309">
        <v>0.82972104766332921</v>
      </c>
      <c r="M309">
        <v>0.48931879548507268</v>
      </c>
      <c r="N309">
        <v>-9.6476173419234756E-2</v>
      </c>
      <c r="O309">
        <v>0.53734184403165297</v>
      </c>
    </row>
    <row r="310" spans="1:15" x14ac:dyDescent="0.25">
      <c r="A310">
        <v>46.712179249999998</v>
      </c>
      <c r="B310">
        <v>45.403818999999999</v>
      </c>
      <c r="C310">
        <v>26.374687999999999</v>
      </c>
      <c r="D310">
        <v>25.628572999999999</v>
      </c>
      <c r="E310">
        <v>62.448837249999997</v>
      </c>
      <c r="F310">
        <v>0.92584049999999996</v>
      </c>
      <c r="G310">
        <v>64.178009000000003</v>
      </c>
      <c r="H310">
        <v>8</v>
      </c>
      <c r="I310">
        <v>-8</v>
      </c>
      <c r="J310">
        <v>1.18</v>
      </c>
      <c r="K310">
        <v>10.354082500000001</v>
      </c>
      <c r="L310">
        <v>0.5579956447333051</v>
      </c>
      <c r="M310">
        <v>0.54256866727762909</v>
      </c>
      <c r="N310">
        <v>-4.7442796728745157E-2</v>
      </c>
      <c r="O310">
        <v>0.6880064490818264</v>
      </c>
    </row>
    <row r="311" spans="1:15" x14ac:dyDescent="0.25">
      <c r="A311">
        <v>41.928130250000002</v>
      </c>
      <c r="B311">
        <v>46.369022000000001</v>
      </c>
      <c r="C311">
        <v>32.155441000000003</v>
      </c>
      <c r="D311">
        <v>26.065005500000002</v>
      </c>
      <c r="E311">
        <v>63.521688249999997</v>
      </c>
      <c r="F311">
        <v>0.87711399999999995</v>
      </c>
      <c r="G311">
        <v>64.658150000000006</v>
      </c>
      <c r="H311">
        <v>8</v>
      </c>
      <c r="I311">
        <v>-4</v>
      </c>
      <c r="J311">
        <v>1.18</v>
      </c>
      <c r="K311">
        <v>10.397278</v>
      </c>
      <c r="L311">
        <v>0.28399552033532582</v>
      </c>
      <c r="M311">
        <v>0.59003847718925961</v>
      </c>
      <c r="N311">
        <v>-3.3030500598802692E-2</v>
      </c>
      <c r="O311">
        <v>0.82045532972462398</v>
      </c>
    </row>
    <row r="312" spans="1:15" x14ac:dyDescent="0.25">
      <c r="A312">
        <v>36.239052749999999</v>
      </c>
      <c r="B312">
        <v>46.320924499999997</v>
      </c>
      <c r="C312">
        <v>38.432975749999997</v>
      </c>
      <c r="D312">
        <v>26.723821749999999</v>
      </c>
      <c r="E312">
        <v>64.281623749999994</v>
      </c>
      <c r="F312">
        <v>0.97456699999999996</v>
      </c>
      <c r="G312">
        <v>65.018251499999991</v>
      </c>
      <c r="H312">
        <v>8</v>
      </c>
      <c r="I312">
        <v>0</v>
      </c>
      <c r="J312">
        <v>1.18</v>
      </c>
      <c r="K312">
        <v>10.418665499999999</v>
      </c>
      <c r="L312">
        <v>-6.6882763617763769E-2</v>
      </c>
      <c r="M312">
        <v>0.59744137934964092</v>
      </c>
      <c r="N312">
        <v>-2.2453160224882241E-2</v>
      </c>
      <c r="O312">
        <v>0.93010765892068825</v>
      </c>
    </row>
    <row r="313" spans="1:15" x14ac:dyDescent="0.25">
      <c r="A313">
        <v>29.834569999999999</v>
      </c>
      <c r="B313">
        <v>46.465226000000001</v>
      </c>
      <c r="C313">
        <v>43.400809250000002</v>
      </c>
      <c r="D313">
        <v>26.0228675</v>
      </c>
      <c r="E313">
        <v>63.61109725</v>
      </c>
      <c r="F313">
        <v>0.92584049999999996</v>
      </c>
      <c r="G313">
        <v>65.298325000000006</v>
      </c>
      <c r="H313">
        <v>8</v>
      </c>
      <c r="I313">
        <v>4</v>
      </c>
      <c r="J313">
        <v>1.18</v>
      </c>
      <c r="K313">
        <v>10.445374749999999</v>
      </c>
      <c r="L313">
        <v>-0.38022129815376049</v>
      </c>
      <c r="M313">
        <v>0.57287123322696654</v>
      </c>
      <c r="N313">
        <v>-4.7291745139152207E-2</v>
      </c>
      <c r="O313">
        <v>0.75676550087426075</v>
      </c>
    </row>
    <row r="314" spans="1:15" x14ac:dyDescent="0.25">
      <c r="A314">
        <v>23.965365500000001</v>
      </c>
      <c r="B314">
        <v>46.080423000000003</v>
      </c>
      <c r="C314">
        <v>48.820267000000001</v>
      </c>
      <c r="D314">
        <v>26.108812499999999</v>
      </c>
      <c r="E314">
        <v>63.606950500000004</v>
      </c>
      <c r="F314">
        <v>0.87711399999999995</v>
      </c>
      <c r="G314">
        <v>65.898494749999998</v>
      </c>
      <c r="H314">
        <v>8</v>
      </c>
      <c r="I314">
        <v>8</v>
      </c>
      <c r="J314">
        <v>1.18</v>
      </c>
      <c r="K314">
        <v>10.497889750000001</v>
      </c>
      <c r="L314">
        <v>-0.64441346741289085</v>
      </c>
      <c r="M314">
        <v>0.51779875744122039</v>
      </c>
      <c r="N314">
        <v>-5.9410617856256273E-2</v>
      </c>
      <c r="O314">
        <v>0.6264011513484502</v>
      </c>
    </row>
    <row r="315" spans="1:15" x14ac:dyDescent="0.25">
      <c r="A315">
        <v>15.977963750000001</v>
      </c>
      <c r="B315">
        <v>44.778582749999998</v>
      </c>
      <c r="C315">
        <v>53.381641500000001</v>
      </c>
      <c r="D315">
        <v>24.1828705</v>
      </c>
      <c r="E315">
        <v>61.282602249999997</v>
      </c>
      <c r="F315">
        <v>0.97456699999999996</v>
      </c>
      <c r="G315">
        <v>66.098557</v>
      </c>
      <c r="H315">
        <v>8</v>
      </c>
      <c r="I315">
        <v>12</v>
      </c>
      <c r="J315">
        <v>1.18</v>
      </c>
      <c r="K315">
        <v>10.506171999999999</v>
      </c>
      <c r="L315">
        <v>-0.90781065673167227</v>
      </c>
      <c r="M315">
        <v>0.49984513862447028</v>
      </c>
      <c r="N315">
        <v>-0.11689886629940099</v>
      </c>
      <c r="O315">
        <v>0.46373272936583898</v>
      </c>
    </row>
    <row r="316" spans="1:15" x14ac:dyDescent="0.25">
      <c r="A316">
        <v>7.7181582500000001</v>
      </c>
      <c r="B316">
        <v>42.328574250000003</v>
      </c>
      <c r="C316">
        <v>57.581715750000001</v>
      </c>
      <c r="D316">
        <v>21.6857045</v>
      </c>
      <c r="E316">
        <v>57.796052000000003</v>
      </c>
      <c r="F316">
        <v>0.97456699999999996</v>
      </c>
      <c r="G316">
        <v>66.538671499999992</v>
      </c>
      <c r="H316">
        <v>8</v>
      </c>
      <c r="I316">
        <v>16</v>
      </c>
      <c r="J316">
        <v>1.18</v>
      </c>
      <c r="K316">
        <v>10.5416115</v>
      </c>
      <c r="L316">
        <v>-1.157079223496112</v>
      </c>
      <c r="M316">
        <v>0.47897776156243749</v>
      </c>
      <c r="N316">
        <v>-0.20289243030783369</v>
      </c>
      <c r="O316">
        <v>0.31857572913428361</v>
      </c>
    </row>
    <row r="317" spans="1:15" x14ac:dyDescent="0.25">
      <c r="A317">
        <v>0.13557150000000001</v>
      </c>
      <c r="B317">
        <v>39.776453750000002</v>
      </c>
      <c r="C317">
        <v>60.788226999999999</v>
      </c>
      <c r="D317">
        <v>18.225900500000002</v>
      </c>
      <c r="E317">
        <v>53.322690000000001</v>
      </c>
      <c r="F317">
        <v>0.97456699999999996</v>
      </c>
      <c r="G317">
        <v>67.178859750000001</v>
      </c>
      <c r="H317">
        <v>8</v>
      </c>
      <c r="I317">
        <v>20</v>
      </c>
      <c r="J317">
        <v>1.18</v>
      </c>
      <c r="K317">
        <v>10.592952</v>
      </c>
      <c r="L317">
        <v>-1.3740468485708719</v>
      </c>
      <c r="M317">
        <v>0.48820561942055968</v>
      </c>
      <c r="N317">
        <v>-0.31391833160859312</v>
      </c>
      <c r="O317">
        <v>0.18589664223336991</v>
      </c>
    </row>
    <row r="318" spans="1:15" x14ac:dyDescent="0.25">
      <c r="A318">
        <v>-8.5594594999999991</v>
      </c>
      <c r="B318">
        <v>34.293332249999999</v>
      </c>
      <c r="C318">
        <v>59.975310999999998</v>
      </c>
      <c r="D318">
        <v>10.60120525</v>
      </c>
      <c r="E318">
        <v>43.131912</v>
      </c>
      <c r="F318">
        <v>0.87711399999999995</v>
      </c>
      <c r="G318">
        <v>64.017966999999999</v>
      </c>
      <c r="H318">
        <v>8</v>
      </c>
      <c r="I318">
        <v>24</v>
      </c>
      <c r="J318">
        <v>1.18</v>
      </c>
      <c r="K318">
        <v>10.34495725</v>
      </c>
      <c r="L318">
        <v>-1.6275044429974861</v>
      </c>
      <c r="M318">
        <v>0.5625816241918109</v>
      </c>
      <c r="N318">
        <v>-0.49598610153413342</v>
      </c>
      <c r="O318">
        <v>3.4151358525824822E-3</v>
      </c>
    </row>
    <row r="319" spans="1:15" x14ac:dyDescent="0.25">
      <c r="A319">
        <v>-17.341948500000001</v>
      </c>
      <c r="B319">
        <v>29.197101499999999</v>
      </c>
      <c r="C319">
        <v>59.749499999999998</v>
      </c>
      <c r="D319">
        <v>2.7599844999999998</v>
      </c>
      <c r="E319">
        <v>33.079560000000001</v>
      </c>
      <c r="F319">
        <v>0.77966100000000005</v>
      </c>
      <c r="G319">
        <v>62.257470249999997</v>
      </c>
      <c r="H319">
        <v>8</v>
      </c>
      <c r="I319">
        <v>28</v>
      </c>
      <c r="J319">
        <v>1.18</v>
      </c>
      <c r="K319">
        <v>10.20782</v>
      </c>
      <c r="L319">
        <v>-1.909609083573133</v>
      </c>
      <c r="M319">
        <v>0.65484480446834026</v>
      </c>
      <c r="N319">
        <v>-0.72277516356750304</v>
      </c>
      <c r="O319">
        <v>-0.19990821198196301</v>
      </c>
    </row>
    <row r="320" spans="1:15" x14ac:dyDescent="0.25">
      <c r="A320">
        <v>-25.630049249999999</v>
      </c>
      <c r="B320">
        <v>23.232624749999999</v>
      </c>
      <c r="C320">
        <v>58.4397965</v>
      </c>
      <c r="D320">
        <v>-5.2448119999999996</v>
      </c>
      <c r="E320">
        <v>21.276805499999998</v>
      </c>
      <c r="F320">
        <v>0.77966100000000005</v>
      </c>
      <c r="G320">
        <v>60.336933500000001</v>
      </c>
      <c r="H320">
        <v>8</v>
      </c>
      <c r="I320">
        <v>32</v>
      </c>
      <c r="J320">
        <v>1.18</v>
      </c>
      <c r="K320">
        <v>10.0471065</v>
      </c>
      <c r="L320">
        <v>-2.289905600224095</v>
      </c>
      <c r="M320">
        <v>0.77568778250888037</v>
      </c>
      <c r="N320">
        <v>-1.0639707686626441</v>
      </c>
      <c r="O320">
        <v>-0.44175160075966008</v>
      </c>
    </row>
    <row r="321" spans="1:15" x14ac:dyDescent="0.25">
      <c r="A321">
        <v>-32.343706249999997</v>
      </c>
      <c r="B321">
        <v>17.027644500000001</v>
      </c>
      <c r="C321">
        <v>56.22685225</v>
      </c>
      <c r="D321">
        <v>-12.7623745</v>
      </c>
      <c r="E321">
        <v>9.0733527499999997</v>
      </c>
      <c r="F321">
        <v>0.77966100000000005</v>
      </c>
      <c r="G321">
        <v>58.336371999999997</v>
      </c>
      <c r="H321">
        <v>8</v>
      </c>
      <c r="I321">
        <v>36</v>
      </c>
      <c r="J321">
        <v>1.18</v>
      </c>
      <c r="K321">
        <v>9.8769279999999995</v>
      </c>
      <c r="L321">
        <v>-2.8006737766075109</v>
      </c>
      <c r="M321">
        <v>0.94201458796410364</v>
      </c>
      <c r="N321">
        <v>-1.557854198279486</v>
      </c>
      <c r="O321">
        <v>-0.73785713205689396</v>
      </c>
    </row>
    <row r="322" spans="1:15" x14ac:dyDescent="0.25">
      <c r="A322">
        <v>-40.136837999999997</v>
      </c>
      <c r="B322">
        <v>11.015066750000001</v>
      </c>
      <c r="C322">
        <v>56.362338999999999</v>
      </c>
      <c r="D322">
        <v>-20.10510975</v>
      </c>
      <c r="E322">
        <v>-2.8098519999999998</v>
      </c>
      <c r="F322">
        <v>0.82838750000000005</v>
      </c>
      <c r="G322">
        <v>59.256632500000002</v>
      </c>
      <c r="H322">
        <v>8</v>
      </c>
      <c r="I322">
        <v>40</v>
      </c>
      <c r="J322">
        <v>1.18</v>
      </c>
      <c r="K322">
        <v>9.9514224999999996</v>
      </c>
      <c r="L322">
        <v>-3.533456119428473</v>
      </c>
      <c r="M322">
        <v>1.1395099826131909</v>
      </c>
      <c r="N322">
        <v>-2.2727244570175991</v>
      </c>
      <c r="O322">
        <v>-1.1332874036171809</v>
      </c>
    </row>
    <row r="323" spans="1:15" x14ac:dyDescent="0.25">
      <c r="A323">
        <v>-47.794817000000002</v>
      </c>
      <c r="B323">
        <v>5.8682992499999997</v>
      </c>
      <c r="C323">
        <v>56.362338999999999</v>
      </c>
      <c r="D323">
        <v>-28.933875</v>
      </c>
      <c r="E323">
        <v>-15.87788875</v>
      </c>
      <c r="F323">
        <v>0.77966100000000005</v>
      </c>
      <c r="G323">
        <v>60.176887999999998</v>
      </c>
      <c r="H323">
        <v>8</v>
      </c>
      <c r="I323">
        <v>44</v>
      </c>
      <c r="J323">
        <v>1.18</v>
      </c>
      <c r="K323">
        <v>10.033607</v>
      </c>
      <c r="L323">
        <v>-4.6324220144447477</v>
      </c>
      <c r="M323">
        <v>1.547773854602968</v>
      </c>
      <c r="N323">
        <v>-3.3827126533357381</v>
      </c>
      <c r="O323">
        <v>-1.74095233230163</v>
      </c>
    </row>
    <row r="324" spans="1:15" x14ac:dyDescent="0.25">
      <c r="A324">
        <v>58.856681000000002</v>
      </c>
      <c r="B324">
        <v>10.149254750000001</v>
      </c>
      <c r="C324">
        <v>-51.566225500000002</v>
      </c>
      <c r="D324">
        <v>-31.731107000000002</v>
      </c>
      <c r="E324">
        <v>-2.3192430000000002</v>
      </c>
      <c r="F324">
        <v>0.82838750000000005</v>
      </c>
      <c r="G324">
        <v>61.257190750000007</v>
      </c>
      <c r="H324">
        <v>12</v>
      </c>
      <c r="I324">
        <v>-44</v>
      </c>
      <c r="J324">
        <v>1.18</v>
      </c>
      <c r="K324">
        <v>10.120358</v>
      </c>
      <c r="L324">
        <v>2.8076920802157721</v>
      </c>
      <c r="M324">
        <v>1.0648524695736501</v>
      </c>
      <c r="N324">
        <v>-1.616561430910741</v>
      </c>
      <c r="O324">
        <v>-1.0800601983530711</v>
      </c>
    </row>
    <row r="325" spans="1:15" x14ac:dyDescent="0.25">
      <c r="A325">
        <v>60.7935315</v>
      </c>
      <c r="B325">
        <v>16.641660000000002</v>
      </c>
      <c r="C325">
        <v>-43.986938500000001</v>
      </c>
      <c r="D325">
        <v>-23.470529500000001</v>
      </c>
      <c r="E325">
        <v>8.9398862500000007</v>
      </c>
      <c r="F325">
        <v>0.87711399999999995</v>
      </c>
      <c r="G325">
        <v>62.177446500000002</v>
      </c>
      <c r="H325">
        <v>12</v>
      </c>
      <c r="I325">
        <v>-40</v>
      </c>
      <c r="J325">
        <v>1.18</v>
      </c>
      <c r="K325">
        <v>10.193073999999999</v>
      </c>
      <c r="L325">
        <v>2.455689529793438</v>
      </c>
      <c r="M325">
        <v>0.94007742633393754</v>
      </c>
      <c r="N325">
        <v>-1.247699486408774</v>
      </c>
      <c r="O325">
        <v>-0.81103377877378813</v>
      </c>
    </row>
    <row r="326" spans="1:15" x14ac:dyDescent="0.25">
      <c r="A326">
        <v>60.978059999999999</v>
      </c>
      <c r="B326">
        <v>23.615759000000001</v>
      </c>
      <c r="C326">
        <v>-34.197023999999999</v>
      </c>
      <c r="D326">
        <v>-15.38477975</v>
      </c>
      <c r="E326">
        <v>19.93710475</v>
      </c>
      <c r="F326">
        <v>0.82838750000000005</v>
      </c>
      <c r="G326">
        <v>62.377506500000003</v>
      </c>
      <c r="H326">
        <v>12</v>
      </c>
      <c r="I326">
        <v>-36</v>
      </c>
      <c r="J326">
        <v>1.18</v>
      </c>
      <c r="K326">
        <v>10.21374</v>
      </c>
      <c r="L326">
        <v>2.1278568455480311</v>
      </c>
      <c r="M326">
        <v>0.87194906932420868</v>
      </c>
      <c r="N326">
        <v>-0.9488532461934519</v>
      </c>
      <c r="O326">
        <v>-0.57277087860061582</v>
      </c>
    </row>
    <row r="327" spans="1:15" x14ac:dyDescent="0.25">
      <c r="A327">
        <v>61.203728499999997</v>
      </c>
      <c r="B327">
        <v>29.149001500000001</v>
      </c>
      <c r="C327">
        <v>-25.444752999999999</v>
      </c>
      <c r="D327">
        <v>-7.9109239999999996</v>
      </c>
      <c r="E327">
        <v>29.369288749999999</v>
      </c>
      <c r="F327">
        <v>0.77966100000000005</v>
      </c>
      <c r="G327">
        <v>63.017685749999998</v>
      </c>
      <c r="H327">
        <v>12</v>
      </c>
      <c r="I327">
        <v>-32</v>
      </c>
      <c r="J327">
        <v>1.18</v>
      </c>
      <c r="K327">
        <v>10.270742500000001</v>
      </c>
      <c r="L327">
        <v>1.8817703769084959</v>
      </c>
      <c r="M327">
        <v>0.80482799247192727</v>
      </c>
      <c r="N327">
        <v>-0.73075987802110942</v>
      </c>
      <c r="O327">
        <v>-0.37912968232244088</v>
      </c>
    </row>
    <row r="328" spans="1:15" x14ac:dyDescent="0.25">
      <c r="A328">
        <v>60.654167000000001</v>
      </c>
      <c r="B328">
        <v>34.77435225</v>
      </c>
      <c r="C328">
        <v>-15.339035750000001</v>
      </c>
      <c r="D328">
        <v>-0.17483974999999999</v>
      </c>
      <c r="E328">
        <v>38.615074999999997</v>
      </c>
      <c r="F328">
        <v>0.77966100000000005</v>
      </c>
      <c r="G328">
        <v>63.617852999999997</v>
      </c>
      <c r="H328">
        <v>12</v>
      </c>
      <c r="I328">
        <v>-28</v>
      </c>
      <c r="J328">
        <v>1.18</v>
      </c>
      <c r="K328">
        <v>10.320144000000001</v>
      </c>
      <c r="L328">
        <v>1.6387757383933039</v>
      </c>
      <c r="M328">
        <v>0.7536676713801842</v>
      </c>
      <c r="N328">
        <v>-0.53917923849957483</v>
      </c>
      <c r="O328">
        <v>-0.1840880666310849</v>
      </c>
    </row>
    <row r="329" spans="1:15" x14ac:dyDescent="0.25">
      <c r="A329">
        <v>59.357072000000002</v>
      </c>
      <c r="B329">
        <v>38.865327000000001</v>
      </c>
      <c r="C329">
        <v>-6.0453840000000003</v>
      </c>
      <c r="D329">
        <v>6.7904675000000001</v>
      </c>
      <c r="E329">
        <v>45.414380749999999</v>
      </c>
      <c r="F329">
        <v>0.87711399999999995</v>
      </c>
      <c r="G329">
        <v>64.017966999999999</v>
      </c>
      <c r="H329">
        <v>12</v>
      </c>
      <c r="I329">
        <v>-24</v>
      </c>
      <c r="J329">
        <v>1.18</v>
      </c>
      <c r="K329">
        <v>10.3449665</v>
      </c>
      <c r="L329">
        <v>1.452031066440495</v>
      </c>
      <c r="M329">
        <v>0.71210735058414554</v>
      </c>
      <c r="N329">
        <v>-0.41302628350123999</v>
      </c>
      <c r="O329">
        <v>-1.119296155955575E-2</v>
      </c>
    </row>
    <row r="330" spans="1:15" x14ac:dyDescent="0.25">
      <c r="A330">
        <v>57.634245749999998</v>
      </c>
      <c r="B330">
        <v>43.434888749999999</v>
      </c>
      <c r="C330">
        <v>3.2065195000000002</v>
      </c>
      <c r="D330">
        <v>12.309671</v>
      </c>
      <c r="E330">
        <v>51.761667000000003</v>
      </c>
      <c r="F330">
        <v>0.97456699999999996</v>
      </c>
      <c r="G330">
        <v>64.618137500000003</v>
      </c>
      <c r="H330">
        <v>12</v>
      </c>
      <c r="I330">
        <v>-20</v>
      </c>
      <c r="J330">
        <v>1.18</v>
      </c>
      <c r="K330">
        <v>10.386069000000001</v>
      </c>
      <c r="L330">
        <v>1.2368906422349231</v>
      </c>
      <c r="M330">
        <v>0.70731968284595648</v>
      </c>
      <c r="N330">
        <v>-0.29216400171686241</v>
      </c>
      <c r="O330">
        <v>0.1541672416939584</v>
      </c>
    </row>
    <row r="331" spans="1:15" x14ac:dyDescent="0.25">
      <c r="A331">
        <v>54.749352999999999</v>
      </c>
      <c r="B331">
        <v>45.984221249999997</v>
      </c>
      <c r="C331">
        <v>11.064729</v>
      </c>
      <c r="D331">
        <v>16.122895</v>
      </c>
      <c r="E331">
        <v>56.455098999999997</v>
      </c>
      <c r="F331">
        <v>0.92584049999999996</v>
      </c>
      <c r="G331">
        <v>64.978240999999997</v>
      </c>
      <c r="H331">
        <v>12</v>
      </c>
      <c r="I331">
        <v>-16</v>
      </c>
      <c r="J331">
        <v>1.18</v>
      </c>
      <c r="K331">
        <v>10.419373500000001</v>
      </c>
      <c r="L331">
        <v>1.019206233461518</v>
      </c>
      <c r="M331">
        <v>0.69668746231126921</v>
      </c>
      <c r="N331">
        <v>-0.19885129087616341</v>
      </c>
      <c r="O331">
        <v>0.29556221263152982</v>
      </c>
    </row>
    <row r="332" spans="1:15" x14ac:dyDescent="0.25">
      <c r="A332">
        <v>51.135167000000003</v>
      </c>
      <c r="B332">
        <v>49.299719749999987</v>
      </c>
      <c r="C332">
        <v>18.606804</v>
      </c>
      <c r="D332">
        <v>17.785521249999999</v>
      </c>
      <c r="E332">
        <v>59.762827000000001</v>
      </c>
      <c r="F332">
        <v>0.87711399999999995</v>
      </c>
      <c r="G332">
        <v>65.418355750000003</v>
      </c>
      <c r="H332">
        <v>12</v>
      </c>
      <c r="I332">
        <v>-12</v>
      </c>
      <c r="J332">
        <v>1.18</v>
      </c>
      <c r="K332">
        <v>10.459053000000001</v>
      </c>
      <c r="L332">
        <v>0.7825580153883327</v>
      </c>
      <c r="M332">
        <v>0.75815196091459724</v>
      </c>
      <c r="N332">
        <v>-0.13605733242910709</v>
      </c>
      <c r="O332">
        <v>0.41665982072567492</v>
      </c>
    </row>
    <row r="333" spans="1:15" x14ac:dyDescent="0.25">
      <c r="A333">
        <v>46.62802525</v>
      </c>
      <c r="B333">
        <v>51.515791999999998</v>
      </c>
      <c r="C333">
        <v>25.60693375</v>
      </c>
      <c r="D333">
        <v>19.099724500000001</v>
      </c>
      <c r="E333">
        <v>62.497600499999997</v>
      </c>
      <c r="F333">
        <v>0.92584049999999996</v>
      </c>
      <c r="G333">
        <v>66.098557</v>
      </c>
      <c r="H333">
        <v>12</v>
      </c>
      <c r="I333">
        <v>-8</v>
      </c>
      <c r="J333">
        <v>1.18</v>
      </c>
      <c r="K333">
        <v>10.51009925</v>
      </c>
      <c r="L333">
        <v>0.52362193036801818</v>
      </c>
      <c r="M333">
        <v>0.80744083130837963</v>
      </c>
      <c r="N333">
        <v>-8.9693461300573291E-2</v>
      </c>
      <c r="O333">
        <v>0.53379047753530906</v>
      </c>
    </row>
    <row r="334" spans="1:15" x14ac:dyDescent="0.25">
      <c r="A334">
        <v>41.431666500000013</v>
      </c>
      <c r="B334">
        <v>52.233630249999997</v>
      </c>
      <c r="C334">
        <v>31.568334749999998</v>
      </c>
      <c r="D334">
        <v>19.2323795</v>
      </c>
      <c r="E334">
        <v>63.428140499999998</v>
      </c>
      <c r="F334">
        <v>0.92584049999999996</v>
      </c>
      <c r="G334">
        <v>66.218587750000012</v>
      </c>
      <c r="H334">
        <v>12</v>
      </c>
      <c r="I334">
        <v>-4</v>
      </c>
      <c r="J334">
        <v>1.18</v>
      </c>
      <c r="K334">
        <v>10.5197705</v>
      </c>
      <c r="L334">
        <v>0.25935811770902523</v>
      </c>
      <c r="M334">
        <v>0.86781278663850347</v>
      </c>
      <c r="N334">
        <v>-7.3397495791648018E-2</v>
      </c>
      <c r="O334">
        <v>0.64361914458664804</v>
      </c>
    </row>
    <row r="335" spans="1:15" x14ac:dyDescent="0.25">
      <c r="A335">
        <v>35.837582500000003</v>
      </c>
      <c r="B335">
        <v>52.570288499999997</v>
      </c>
      <c r="C335">
        <v>37.394249000000002</v>
      </c>
      <c r="D335">
        <v>19.537792499999998</v>
      </c>
      <c r="E335">
        <v>64.013396</v>
      </c>
      <c r="F335">
        <v>0.92584049999999996</v>
      </c>
      <c r="G335">
        <v>66.658703000000003</v>
      </c>
      <c r="H335">
        <v>12</v>
      </c>
      <c r="I335">
        <v>0</v>
      </c>
      <c r="J335">
        <v>1.18</v>
      </c>
      <c r="K335">
        <v>10.555168999999999</v>
      </c>
      <c r="L335">
        <v>-4.28665759858489E-2</v>
      </c>
      <c r="M335">
        <v>0.90930275185119258</v>
      </c>
      <c r="N335">
        <v>-7.285411799319727E-2</v>
      </c>
      <c r="O335">
        <v>0.73673165573425792</v>
      </c>
    </row>
    <row r="336" spans="1:15" x14ac:dyDescent="0.25">
      <c r="A336">
        <v>29.608889749999999</v>
      </c>
      <c r="B336">
        <v>52.52590575</v>
      </c>
      <c r="C336">
        <v>42.587891499999998</v>
      </c>
      <c r="D336">
        <v>19.232390500000001</v>
      </c>
      <c r="E336">
        <v>63.517550499999999</v>
      </c>
      <c r="F336">
        <v>0.97456699999999996</v>
      </c>
      <c r="G336">
        <v>66.618692500000009</v>
      </c>
      <c r="H336">
        <v>12</v>
      </c>
      <c r="I336">
        <v>4</v>
      </c>
      <c r="J336">
        <v>1.18</v>
      </c>
      <c r="K336">
        <v>10.54802675</v>
      </c>
      <c r="L336">
        <v>-0.33196446386586959</v>
      </c>
      <c r="M336">
        <v>0.85155593058496426</v>
      </c>
      <c r="N336">
        <v>-7.9319505144043956E-2</v>
      </c>
      <c r="O336">
        <v>0.59970171116789883</v>
      </c>
    </row>
    <row r="337" spans="1:15" x14ac:dyDescent="0.25">
      <c r="A337">
        <v>21.980987500000001</v>
      </c>
      <c r="B337">
        <v>48.822156249999999</v>
      </c>
      <c r="C337">
        <v>45.159147249999997</v>
      </c>
      <c r="D337">
        <v>18.225944500000001</v>
      </c>
      <c r="E337">
        <v>59.311965999999998</v>
      </c>
      <c r="F337">
        <v>0.87711399999999995</v>
      </c>
      <c r="G337">
        <v>63.657864500000002</v>
      </c>
      <c r="H337">
        <v>12</v>
      </c>
      <c r="I337">
        <v>8</v>
      </c>
      <c r="J337">
        <v>1.18</v>
      </c>
      <c r="K337">
        <v>10.315426</v>
      </c>
      <c r="L337">
        <v>-0.59113606125230023</v>
      </c>
      <c r="M337">
        <v>0.78035125919217252</v>
      </c>
      <c r="N337">
        <v>-0.1108413340864958</v>
      </c>
      <c r="O337">
        <v>0.49037686826708582</v>
      </c>
    </row>
    <row r="338" spans="1:15" x14ac:dyDescent="0.25">
      <c r="A338">
        <v>14.261875249999999</v>
      </c>
      <c r="B338">
        <v>46.465226000000001</v>
      </c>
      <c r="C338">
        <v>48.187994000000003</v>
      </c>
      <c r="D338">
        <v>16.296090499999998</v>
      </c>
      <c r="E338">
        <v>55.512772499999997</v>
      </c>
      <c r="F338">
        <v>0.77966100000000005</v>
      </c>
      <c r="G338">
        <v>61.897371499999998</v>
      </c>
      <c r="H338">
        <v>12</v>
      </c>
      <c r="I338">
        <v>12</v>
      </c>
      <c r="J338">
        <v>1.18</v>
      </c>
      <c r="K338">
        <v>10.1778835</v>
      </c>
      <c r="L338">
        <v>-0.84321975413252759</v>
      </c>
      <c r="M338">
        <v>0.74984409655732154</v>
      </c>
      <c r="N338">
        <v>-0.15869498114602479</v>
      </c>
      <c r="O338">
        <v>0.36037391492361681</v>
      </c>
    </row>
    <row r="339" spans="1:15" x14ac:dyDescent="0.25">
      <c r="A339">
        <v>6.7243102500000003</v>
      </c>
      <c r="B339">
        <v>42.424773250000001</v>
      </c>
      <c r="C339">
        <v>49.678345</v>
      </c>
      <c r="D339">
        <v>13.75529525</v>
      </c>
      <c r="E339">
        <v>49.92577275</v>
      </c>
      <c r="F339">
        <v>0.77966100000000005</v>
      </c>
      <c r="G339">
        <v>59.656741250000003</v>
      </c>
      <c r="H339">
        <v>12</v>
      </c>
      <c r="I339">
        <v>16</v>
      </c>
      <c r="J339">
        <v>1.18</v>
      </c>
      <c r="K339">
        <v>9.9895715000000003</v>
      </c>
      <c r="L339">
        <v>-1.0823887391068721</v>
      </c>
      <c r="M339">
        <v>0.72239776375644416</v>
      </c>
      <c r="N339">
        <v>-0.24523804623049841</v>
      </c>
      <c r="O339">
        <v>0.23841134825395841</v>
      </c>
    </row>
    <row r="340" spans="1:15" x14ac:dyDescent="0.25">
      <c r="A340">
        <v>-0.67569625</v>
      </c>
      <c r="B340">
        <v>38.622121</v>
      </c>
      <c r="C340">
        <v>51.168694500000001</v>
      </c>
      <c r="D340">
        <v>9.9002964999999996</v>
      </c>
      <c r="E340">
        <v>43.626413499999998</v>
      </c>
      <c r="F340">
        <v>0.73093425000000001</v>
      </c>
      <c r="G340">
        <v>57.976269500000001</v>
      </c>
      <c r="H340">
        <v>12</v>
      </c>
      <c r="I340">
        <v>20</v>
      </c>
      <c r="J340">
        <v>1.18</v>
      </c>
      <c r="K340">
        <v>9.8501739999999991</v>
      </c>
      <c r="L340">
        <v>-1.3288578149626931</v>
      </c>
      <c r="M340">
        <v>0.73618978917031974</v>
      </c>
      <c r="N340">
        <v>-0.36781257665425182</v>
      </c>
      <c r="O340">
        <v>9.9488105392675469E-2</v>
      </c>
    </row>
    <row r="341" spans="1:15" x14ac:dyDescent="0.25">
      <c r="A341">
        <v>-7.9282662500000001</v>
      </c>
      <c r="B341">
        <v>35.159115999999997</v>
      </c>
      <c r="C341">
        <v>51.800964750000013</v>
      </c>
      <c r="D341">
        <v>3.8549574999999998</v>
      </c>
      <c r="E341">
        <v>36.611033999999997</v>
      </c>
      <c r="F341">
        <v>0.73093425000000001</v>
      </c>
      <c r="G341">
        <v>56.695910499999997</v>
      </c>
      <c r="H341">
        <v>12</v>
      </c>
      <c r="I341">
        <v>24</v>
      </c>
      <c r="J341">
        <v>1.18</v>
      </c>
      <c r="K341">
        <v>9.7393957499999999</v>
      </c>
      <c r="L341">
        <v>-1.5454853242854829</v>
      </c>
      <c r="M341">
        <v>0.80997739325843909</v>
      </c>
      <c r="N341">
        <v>-0.51970219880283175</v>
      </c>
      <c r="O341">
        <v>-7.1591620065637712E-2</v>
      </c>
    </row>
    <row r="342" spans="1:15" x14ac:dyDescent="0.25">
      <c r="A342">
        <v>-16.172878000000001</v>
      </c>
      <c r="B342">
        <v>31.313529249999998</v>
      </c>
      <c r="C342">
        <v>53.1558305</v>
      </c>
      <c r="D342">
        <v>-3.5839547500000002</v>
      </c>
      <c r="E342">
        <v>28.38394825</v>
      </c>
      <c r="F342">
        <v>0.68220750000000008</v>
      </c>
      <c r="G342">
        <v>57.296078000000001</v>
      </c>
      <c r="H342">
        <v>12</v>
      </c>
      <c r="I342">
        <v>28</v>
      </c>
      <c r="J342">
        <v>1.18</v>
      </c>
      <c r="K342">
        <v>9.7956950000000003</v>
      </c>
      <c r="L342">
        <v>-1.811937887202355</v>
      </c>
      <c r="M342">
        <v>0.91202476763710538</v>
      </c>
      <c r="N342">
        <v>-0.75565628589810185</v>
      </c>
      <c r="O342">
        <v>-0.27600891515916398</v>
      </c>
    </row>
    <row r="343" spans="1:15" x14ac:dyDescent="0.25">
      <c r="A343">
        <v>-24.191785750000001</v>
      </c>
      <c r="B343">
        <v>27.369276750000001</v>
      </c>
      <c r="C343">
        <v>54.2397195</v>
      </c>
      <c r="D343">
        <v>-11.713411000000001</v>
      </c>
      <c r="E343">
        <v>19.398164749999999</v>
      </c>
      <c r="F343">
        <v>0.77966100000000005</v>
      </c>
      <c r="G343">
        <v>58.416392999999999</v>
      </c>
      <c r="H343">
        <v>12</v>
      </c>
      <c r="I343">
        <v>32</v>
      </c>
      <c r="J343">
        <v>1.18</v>
      </c>
      <c r="K343">
        <v>9.883794</v>
      </c>
      <c r="L343">
        <v>-2.099867538253732</v>
      </c>
      <c r="M343">
        <v>1.0463535774043751</v>
      </c>
      <c r="N343">
        <v>-1.0447355618675001</v>
      </c>
      <c r="O343">
        <v>-0.50155923882074693</v>
      </c>
    </row>
    <row r="344" spans="1:15" x14ac:dyDescent="0.25">
      <c r="A344">
        <v>-32.433818000000002</v>
      </c>
      <c r="B344">
        <v>23.665529500000002</v>
      </c>
      <c r="C344">
        <v>55.955879000000003</v>
      </c>
      <c r="D344">
        <v>-20.54217775</v>
      </c>
      <c r="E344">
        <v>8.9398400000000002</v>
      </c>
      <c r="F344">
        <v>0.77966100000000005</v>
      </c>
      <c r="G344">
        <v>59.496698500000001</v>
      </c>
      <c r="H344">
        <v>12</v>
      </c>
      <c r="I344">
        <v>36</v>
      </c>
      <c r="J344">
        <v>1.18</v>
      </c>
      <c r="K344">
        <v>9.9759899999999995</v>
      </c>
      <c r="L344">
        <v>-2.49516078725954</v>
      </c>
      <c r="M344">
        <v>1.247856124140116</v>
      </c>
      <c r="N344">
        <v>-1.42726088086386</v>
      </c>
      <c r="O344">
        <v>-0.76973329076084362</v>
      </c>
    </row>
    <row r="345" spans="1:15" x14ac:dyDescent="0.25">
      <c r="A345">
        <v>-40.139453000000003</v>
      </c>
      <c r="B345">
        <v>17.749153249999999</v>
      </c>
      <c r="C345">
        <v>55.865555000000001</v>
      </c>
      <c r="D345">
        <v>-29.239821750000001</v>
      </c>
      <c r="E345">
        <v>-3.5680649999999998</v>
      </c>
      <c r="F345">
        <v>0.77966100000000005</v>
      </c>
      <c r="G345">
        <v>59.976827499999999</v>
      </c>
      <c r="H345">
        <v>12</v>
      </c>
      <c r="I345">
        <v>40</v>
      </c>
      <c r="J345">
        <v>1.18</v>
      </c>
      <c r="K345">
        <v>10.016693</v>
      </c>
      <c r="L345">
        <v>-3.0848674974504662</v>
      </c>
      <c r="M345">
        <v>1.509841084065989</v>
      </c>
      <c r="N345">
        <v>-2.041869898522275</v>
      </c>
      <c r="O345">
        <v>-1.1397156794130521</v>
      </c>
    </row>
    <row r="346" spans="1:15" x14ac:dyDescent="0.25">
      <c r="A346">
        <v>-48.113307749999997</v>
      </c>
      <c r="B346">
        <v>11.8808775</v>
      </c>
      <c r="C346">
        <v>55.504257250000002</v>
      </c>
      <c r="D346">
        <v>-38.549362250000001</v>
      </c>
      <c r="E346">
        <v>-17.0375105</v>
      </c>
      <c r="F346">
        <v>0.87711399999999995</v>
      </c>
      <c r="G346">
        <v>60.617012750000001</v>
      </c>
      <c r="H346">
        <v>12</v>
      </c>
      <c r="I346">
        <v>44</v>
      </c>
      <c r="J346">
        <v>1.18</v>
      </c>
      <c r="K346">
        <v>10.06250575</v>
      </c>
      <c r="L346">
        <v>-3.9411932929454569</v>
      </c>
      <c r="M346">
        <v>1.918131006760655</v>
      </c>
      <c r="N346">
        <v>-2.9538962484297868</v>
      </c>
      <c r="O346">
        <v>-1.681570533217587</v>
      </c>
    </row>
    <row r="347" spans="1:15" x14ac:dyDescent="0.25">
      <c r="A347">
        <v>57.055011999999998</v>
      </c>
      <c r="B347">
        <v>16.258033749999999</v>
      </c>
      <c r="C347">
        <v>-51.972257999999997</v>
      </c>
      <c r="D347">
        <v>-41.215472499999997</v>
      </c>
      <c r="E347">
        <v>-4.4154809999999998</v>
      </c>
      <c r="F347">
        <v>0.82838750000000005</v>
      </c>
      <c r="G347">
        <v>61.457245</v>
      </c>
      <c r="H347">
        <v>16</v>
      </c>
      <c r="I347">
        <v>-44</v>
      </c>
      <c r="J347">
        <v>1.18</v>
      </c>
      <c r="K347">
        <v>10.137096</v>
      </c>
      <c r="L347">
        <v>2.5849635025433808</v>
      </c>
      <c r="M347">
        <v>1.3626386781538129</v>
      </c>
      <c r="N347">
        <v>-1.561815955534871</v>
      </c>
      <c r="O347">
        <v>-1.1243493564630871</v>
      </c>
    </row>
    <row r="348" spans="1:15" x14ac:dyDescent="0.25">
      <c r="A348">
        <v>58.574365749999998</v>
      </c>
      <c r="B348">
        <v>23.038605499999999</v>
      </c>
      <c r="C348">
        <v>-42.588377999999999</v>
      </c>
      <c r="D348">
        <v>-31.90593475</v>
      </c>
      <c r="E348">
        <v>7.0619882499999997</v>
      </c>
      <c r="F348">
        <v>0.82838750000000005</v>
      </c>
      <c r="G348">
        <v>61.737328499999997</v>
      </c>
      <c r="H348">
        <v>16</v>
      </c>
      <c r="I348">
        <v>-40</v>
      </c>
      <c r="J348">
        <v>1.18</v>
      </c>
      <c r="K348">
        <v>10.16048425</v>
      </c>
      <c r="L348">
        <v>2.283123910215735</v>
      </c>
      <c r="M348">
        <v>1.2400433831419579</v>
      </c>
      <c r="N348">
        <v>-1.233977217323033</v>
      </c>
      <c r="O348">
        <v>-0.85932062188936675</v>
      </c>
    </row>
    <row r="349" spans="1:15" x14ac:dyDescent="0.25">
      <c r="A349">
        <v>59.308041500000002</v>
      </c>
      <c r="B349">
        <v>28.569787999999999</v>
      </c>
      <c r="C349">
        <v>-34.197023999999999</v>
      </c>
      <c r="D349">
        <v>-23.60164975</v>
      </c>
      <c r="E349">
        <v>17.031523499999999</v>
      </c>
      <c r="F349">
        <v>0.77966100000000005</v>
      </c>
      <c r="G349">
        <v>62.297481500000004</v>
      </c>
      <c r="H349">
        <v>16</v>
      </c>
      <c r="I349">
        <v>-36</v>
      </c>
      <c r="J349">
        <v>1.18</v>
      </c>
      <c r="K349">
        <v>10.21114375</v>
      </c>
      <c r="L349">
        <v>2.0357729183184068</v>
      </c>
      <c r="M349">
        <v>1.1358439928618891</v>
      </c>
      <c r="N349">
        <v>-0.98551805643967261</v>
      </c>
      <c r="O349">
        <v>-0.64614420081482971</v>
      </c>
    </row>
    <row r="350" spans="1:15" x14ac:dyDescent="0.25">
      <c r="A350">
        <v>58.901821249999998</v>
      </c>
      <c r="B350">
        <v>34.242844750000003</v>
      </c>
      <c r="C350">
        <v>-24.903375</v>
      </c>
      <c r="D350">
        <v>-15.86555375</v>
      </c>
      <c r="E350">
        <v>26.195443749999999</v>
      </c>
      <c r="F350">
        <v>0.77966100000000005</v>
      </c>
      <c r="G350">
        <v>62.45752925</v>
      </c>
      <c r="H350">
        <v>16</v>
      </c>
      <c r="I350">
        <v>-32</v>
      </c>
      <c r="J350">
        <v>1.18</v>
      </c>
      <c r="K350">
        <v>10.224418249999999</v>
      </c>
      <c r="L350">
        <v>1.7991789094301129</v>
      </c>
      <c r="M350">
        <v>1.0757354056729931</v>
      </c>
      <c r="N350">
        <v>-0.77849551543955531</v>
      </c>
      <c r="O350">
        <v>-0.45433274728377782</v>
      </c>
    </row>
    <row r="351" spans="1:15" x14ac:dyDescent="0.25">
      <c r="A351">
        <v>58.273743750000001</v>
      </c>
      <c r="B351">
        <v>39.250131499999988</v>
      </c>
      <c r="C351">
        <v>-14.842772</v>
      </c>
      <c r="D351">
        <v>-7.03678925</v>
      </c>
      <c r="E351">
        <v>35.404069999999997</v>
      </c>
      <c r="F351">
        <v>0.77966100000000005</v>
      </c>
      <c r="G351">
        <v>62.93766325</v>
      </c>
      <c r="H351">
        <v>16</v>
      </c>
      <c r="I351">
        <v>-28</v>
      </c>
      <c r="J351">
        <v>1.18</v>
      </c>
      <c r="K351">
        <v>10.2641375</v>
      </c>
      <c r="L351">
        <v>1.5776929494982961</v>
      </c>
      <c r="M351">
        <v>0.99877896069820693</v>
      </c>
      <c r="N351">
        <v>-0.59411758676212612</v>
      </c>
      <c r="O351">
        <v>-0.25287811849948288</v>
      </c>
    </row>
    <row r="352" spans="1:15" x14ac:dyDescent="0.25">
      <c r="A352">
        <v>57.235565250000001</v>
      </c>
      <c r="B352">
        <v>43.576129999999999</v>
      </c>
      <c r="C352">
        <v>-6.4965320000000002</v>
      </c>
      <c r="D352">
        <v>-0.61189525</v>
      </c>
      <c r="E352">
        <v>41.838446500000003</v>
      </c>
      <c r="F352">
        <v>0.77966100000000005</v>
      </c>
      <c r="G352">
        <v>63.697876000000001</v>
      </c>
      <c r="H352">
        <v>16</v>
      </c>
      <c r="I352">
        <v>-24</v>
      </c>
      <c r="J352">
        <v>1.18</v>
      </c>
      <c r="K352">
        <v>10.326715</v>
      </c>
      <c r="L352">
        <v>1.404017978207017</v>
      </c>
      <c r="M352">
        <v>0.97346093638549791</v>
      </c>
      <c r="N352">
        <v>-0.48156490236319782</v>
      </c>
      <c r="O352">
        <v>-9.5472685145868152E-2</v>
      </c>
    </row>
    <row r="353" spans="1:15" x14ac:dyDescent="0.25">
      <c r="A353">
        <v>54.752947499999998</v>
      </c>
      <c r="B353">
        <v>47.042433750000001</v>
      </c>
      <c r="C353">
        <v>2.3936014999999999</v>
      </c>
      <c r="D353">
        <v>5.3881964999999994</v>
      </c>
      <c r="E353">
        <v>47.8790695</v>
      </c>
      <c r="F353">
        <v>0.82838750000000005</v>
      </c>
      <c r="G353">
        <v>63.697876000000001</v>
      </c>
      <c r="H353">
        <v>16</v>
      </c>
      <c r="I353">
        <v>-20</v>
      </c>
      <c r="J353">
        <v>1.18</v>
      </c>
      <c r="K353">
        <v>10.32271325</v>
      </c>
      <c r="L353">
        <v>1.1903043897595511</v>
      </c>
      <c r="M353">
        <v>0.94694415899378925</v>
      </c>
      <c r="N353">
        <v>-0.359614441713902</v>
      </c>
      <c r="O353">
        <v>6.9622183826818826E-2</v>
      </c>
    </row>
    <row r="354" spans="1:15" x14ac:dyDescent="0.25">
      <c r="A354">
        <v>52.124665500000013</v>
      </c>
      <c r="B354">
        <v>50.113853249999998</v>
      </c>
      <c r="C354">
        <v>9.8453525000000006</v>
      </c>
      <c r="D354">
        <v>8.7613192499999997</v>
      </c>
      <c r="E354">
        <v>52.652220749999998</v>
      </c>
      <c r="F354">
        <v>0.82838750000000005</v>
      </c>
      <c r="G354">
        <v>64.258029999999991</v>
      </c>
      <c r="H354">
        <v>16</v>
      </c>
      <c r="I354">
        <v>-16</v>
      </c>
      <c r="J354">
        <v>1.18</v>
      </c>
      <c r="K354">
        <v>10.368593499999999</v>
      </c>
      <c r="L354">
        <v>0.97532648524161136</v>
      </c>
      <c r="M354">
        <v>0.95395207044128139</v>
      </c>
      <c r="N354">
        <v>-0.26773241882009241</v>
      </c>
      <c r="O354">
        <v>0.19550570402553469</v>
      </c>
    </row>
    <row r="355" spans="1:15" x14ac:dyDescent="0.25">
      <c r="A355">
        <v>48.691636000000003</v>
      </c>
      <c r="B355">
        <v>52.910708999999997</v>
      </c>
      <c r="C355">
        <v>16.619669500000001</v>
      </c>
      <c r="D355">
        <v>10.427996</v>
      </c>
      <c r="E355">
        <v>56.313658750000002</v>
      </c>
      <c r="F355">
        <v>0.82838750000000005</v>
      </c>
      <c r="G355">
        <v>64.818191999999996</v>
      </c>
      <c r="H355">
        <v>16</v>
      </c>
      <c r="I355">
        <v>-12</v>
      </c>
      <c r="J355">
        <v>1.18</v>
      </c>
      <c r="K355">
        <v>10.4142805</v>
      </c>
      <c r="L355">
        <v>0.749525067417396</v>
      </c>
      <c r="M355">
        <v>0.99281962609330732</v>
      </c>
      <c r="N355">
        <v>-0.19874940141841671</v>
      </c>
      <c r="O355">
        <v>0.29669535962864518</v>
      </c>
    </row>
    <row r="356" spans="1:15" x14ac:dyDescent="0.25">
      <c r="A356">
        <v>43.550052000000001</v>
      </c>
      <c r="B356">
        <v>54.7866365</v>
      </c>
      <c r="C356">
        <v>22.852042999999998</v>
      </c>
      <c r="D356">
        <v>10.7771425</v>
      </c>
      <c r="E356">
        <v>58.280167749999997</v>
      </c>
      <c r="F356">
        <v>0.82838750000000005</v>
      </c>
      <c r="G356">
        <v>65.138283000000001</v>
      </c>
      <c r="H356">
        <v>16</v>
      </c>
      <c r="I356">
        <v>-8</v>
      </c>
      <c r="J356">
        <v>1.18</v>
      </c>
      <c r="K356">
        <v>10.4402955</v>
      </c>
      <c r="L356">
        <v>0.49915798658744148</v>
      </c>
      <c r="M356">
        <v>1.0613292311326741</v>
      </c>
      <c r="N356">
        <v>-0.16539580436422741</v>
      </c>
      <c r="O356">
        <v>0.38555191958262253</v>
      </c>
    </row>
    <row r="357" spans="1:15" x14ac:dyDescent="0.25">
      <c r="A357">
        <v>39.267844500000002</v>
      </c>
      <c r="B357">
        <v>55.748645500000002</v>
      </c>
      <c r="C357">
        <v>28.8586065</v>
      </c>
      <c r="D357">
        <v>11.91540925</v>
      </c>
      <c r="E357">
        <v>60.612097749999997</v>
      </c>
      <c r="F357">
        <v>0.92584049999999996</v>
      </c>
      <c r="G357">
        <v>65.658420500000005</v>
      </c>
      <c r="H357">
        <v>16</v>
      </c>
      <c r="I357">
        <v>-4</v>
      </c>
      <c r="J357">
        <v>1.18</v>
      </c>
      <c r="K357">
        <v>10.4745495</v>
      </c>
      <c r="L357">
        <v>0.25877735252947298</v>
      </c>
      <c r="M357">
        <v>1.089696357693809</v>
      </c>
      <c r="N357">
        <v>-0.12545231492304079</v>
      </c>
      <c r="O357">
        <v>0.48380629101808548</v>
      </c>
    </row>
    <row r="358" spans="1:15" x14ac:dyDescent="0.25">
      <c r="A358">
        <v>33.219718</v>
      </c>
      <c r="B358">
        <v>56.177609500000003</v>
      </c>
      <c r="C358">
        <v>34.232898749999997</v>
      </c>
      <c r="D358">
        <v>11.4335345</v>
      </c>
      <c r="E358">
        <v>60.612110000000001</v>
      </c>
      <c r="F358">
        <v>0.82838750000000005</v>
      </c>
      <c r="G358">
        <v>65.978519500000004</v>
      </c>
      <c r="H358">
        <v>16</v>
      </c>
      <c r="I358">
        <v>0</v>
      </c>
      <c r="J358">
        <v>1.18</v>
      </c>
      <c r="K358">
        <v>10.508275250000001</v>
      </c>
      <c r="L358">
        <v>-2.6469460416469259E-2</v>
      </c>
      <c r="M358">
        <v>1.1686884889493701</v>
      </c>
      <c r="N358">
        <v>-0.14017071120427871</v>
      </c>
      <c r="O358">
        <v>0.5615334642625609</v>
      </c>
    </row>
    <row r="359" spans="1:15" x14ac:dyDescent="0.25">
      <c r="A359">
        <v>27.532650499999999</v>
      </c>
      <c r="B359">
        <v>55.985236999999998</v>
      </c>
      <c r="C359">
        <v>39.9233245</v>
      </c>
      <c r="D359">
        <v>11.915409</v>
      </c>
      <c r="E359">
        <v>60.701530249999998</v>
      </c>
      <c r="F359">
        <v>0.87711399999999995</v>
      </c>
      <c r="G359">
        <v>66.338618999999994</v>
      </c>
      <c r="H359">
        <v>16</v>
      </c>
      <c r="I359">
        <v>4</v>
      </c>
      <c r="J359">
        <v>1.18</v>
      </c>
      <c r="K359">
        <v>10.5333565</v>
      </c>
      <c r="L359">
        <v>-0.30237597635244229</v>
      </c>
      <c r="M359">
        <v>1.075468526416351</v>
      </c>
      <c r="N359">
        <v>-0.13756710987849749</v>
      </c>
      <c r="O359">
        <v>0.45993288436991198</v>
      </c>
    </row>
    <row r="360" spans="1:15" x14ac:dyDescent="0.25">
      <c r="A360">
        <v>20.806111250000001</v>
      </c>
      <c r="B360">
        <v>55.840933499999998</v>
      </c>
      <c r="C360">
        <v>44.6201875</v>
      </c>
      <c r="D360">
        <v>10.7764325</v>
      </c>
      <c r="E360">
        <v>59.137042000000001</v>
      </c>
      <c r="F360">
        <v>0.92584049999999996</v>
      </c>
      <c r="G360">
        <v>66.978794499999992</v>
      </c>
      <c r="H360">
        <v>16</v>
      </c>
      <c r="I360">
        <v>8</v>
      </c>
      <c r="J360">
        <v>1.18</v>
      </c>
      <c r="K360">
        <v>10.580832750000001</v>
      </c>
      <c r="L360">
        <v>-0.54938880924582689</v>
      </c>
      <c r="M360">
        <v>1.039643280239382</v>
      </c>
      <c r="N360">
        <v>-0.18090467557831619</v>
      </c>
      <c r="O360">
        <v>0.34295776824661139</v>
      </c>
    </row>
    <row r="361" spans="1:15" x14ac:dyDescent="0.25">
      <c r="A361">
        <v>13.631815250000001</v>
      </c>
      <c r="B361">
        <v>52.333502750000001</v>
      </c>
      <c r="C361">
        <v>47.239589500000001</v>
      </c>
      <c r="D361">
        <v>9.9879099999999994</v>
      </c>
      <c r="E361">
        <v>54.760066250000001</v>
      </c>
      <c r="F361">
        <v>0.82838750000000005</v>
      </c>
      <c r="G361">
        <v>64.178009000000003</v>
      </c>
      <c r="H361">
        <v>16</v>
      </c>
      <c r="I361">
        <v>12</v>
      </c>
      <c r="J361">
        <v>1.18</v>
      </c>
      <c r="K361">
        <v>10.362046250000001</v>
      </c>
      <c r="L361">
        <v>-0.78248179905023441</v>
      </c>
      <c r="M361">
        <v>0.98592344345974692</v>
      </c>
      <c r="N361">
        <v>-0.21927659430824481</v>
      </c>
      <c r="O361">
        <v>0.2556753564131003</v>
      </c>
    </row>
    <row r="362" spans="1:15" x14ac:dyDescent="0.25">
      <c r="A362">
        <v>5.8668447500000003</v>
      </c>
      <c r="B362">
        <v>48.966458250000002</v>
      </c>
      <c r="C362">
        <v>49.723507249999997</v>
      </c>
      <c r="D362">
        <v>8.10476025</v>
      </c>
      <c r="E362">
        <v>49.213821500000002</v>
      </c>
      <c r="F362">
        <v>0.77966100000000005</v>
      </c>
      <c r="G362">
        <v>62.297481500000004</v>
      </c>
      <c r="H362">
        <v>16</v>
      </c>
      <c r="I362">
        <v>16</v>
      </c>
      <c r="J362">
        <v>1.18</v>
      </c>
      <c r="K362">
        <v>10.21114375</v>
      </c>
      <c r="L362">
        <v>-1.038580175280555</v>
      </c>
      <c r="M362">
        <v>0.96763102896307973</v>
      </c>
      <c r="N362">
        <v>-0.30983794615090948</v>
      </c>
      <c r="O362">
        <v>0.14696999939484329</v>
      </c>
    </row>
    <row r="363" spans="1:15" x14ac:dyDescent="0.25">
      <c r="A363">
        <v>-1.6217732499999999</v>
      </c>
      <c r="B363">
        <v>45.358911499999998</v>
      </c>
      <c r="C363">
        <v>51.123533250000001</v>
      </c>
      <c r="D363">
        <v>4.2935990000000004</v>
      </c>
      <c r="E363">
        <v>43.131887249999998</v>
      </c>
      <c r="F363">
        <v>0.87711399999999995</v>
      </c>
      <c r="G363">
        <v>60.777055500000003</v>
      </c>
      <c r="H363">
        <v>16</v>
      </c>
      <c r="I363">
        <v>20</v>
      </c>
      <c r="J363">
        <v>1.18</v>
      </c>
      <c r="K363">
        <v>10.0759755</v>
      </c>
      <c r="L363">
        <v>-1.261972330642869</v>
      </c>
      <c r="M363">
        <v>0.98252409878100122</v>
      </c>
      <c r="N363">
        <v>-0.42218336070439971</v>
      </c>
      <c r="O363">
        <v>1.0977723608741691E-2</v>
      </c>
    </row>
    <row r="364" spans="1:15" x14ac:dyDescent="0.25">
      <c r="A364">
        <v>-9.9566732499999997</v>
      </c>
      <c r="B364">
        <v>39.872642499999998</v>
      </c>
      <c r="C364">
        <v>51.03320875</v>
      </c>
      <c r="D364">
        <v>-2.7098195</v>
      </c>
      <c r="E364">
        <v>34.371427500000003</v>
      </c>
      <c r="F364">
        <v>0.68220750000000008</v>
      </c>
      <c r="G364">
        <v>58.376382499999998</v>
      </c>
      <c r="H364">
        <v>16</v>
      </c>
      <c r="I364">
        <v>24</v>
      </c>
      <c r="J364">
        <v>1.18</v>
      </c>
      <c r="K364">
        <v>9.8887095000000009</v>
      </c>
      <c r="L364">
        <v>-1.4983643327292779</v>
      </c>
      <c r="M364">
        <v>1.046136840074019</v>
      </c>
      <c r="N364">
        <v>-0.58974758028385432</v>
      </c>
      <c r="O364">
        <v>-0.17235340598421889</v>
      </c>
    </row>
    <row r="365" spans="1:15" x14ac:dyDescent="0.25">
      <c r="A365">
        <v>-17.433179750000001</v>
      </c>
      <c r="B365">
        <v>37.419697749999997</v>
      </c>
      <c r="C365">
        <v>52.975181249999999</v>
      </c>
      <c r="D365">
        <v>-10.35850175</v>
      </c>
      <c r="E365">
        <v>27.220008499999999</v>
      </c>
      <c r="F365">
        <v>0.77966100000000005</v>
      </c>
      <c r="G365">
        <v>58.976551000000001</v>
      </c>
      <c r="H365">
        <v>16</v>
      </c>
      <c r="I365">
        <v>28</v>
      </c>
      <c r="J365">
        <v>1.18</v>
      </c>
      <c r="K365">
        <v>9.9317039999999999</v>
      </c>
      <c r="L365">
        <v>-1.7125013393794191</v>
      </c>
      <c r="M365">
        <v>1.162079517468982</v>
      </c>
      <c r="N365">
        <v>-0.77244146847017392</v>
      </c>
      <c r="O365">
        <v>-0.35695660395727857</v>
      </c>
    </row>
    <row r="366" spans="1:15" x14ac:dyDescent="0.25">
      <c r="A366">
        <v>-25.449873</v>
      </c>
      <c r="B366">
        <v>33.381856999999997</v>
      </c>
      <c r="C366">
        <v>54.601016999999999</v>
      </c>
      <c r="D366">
        <v>-18.793906249999999</v>
      </c>
      <c r="E366">
        <v>18.284363249999998</v>
      </c>
      <c r="F366">
        <v>0.77966100000000005</v>
      </c>
      <c r="G366">
        <v>60.016838</v>
      </c>
      <c r="H366">
        <v>16</v>
      </c>
      <c r="I366">
        <v>32</v>
      </c>
      <c r="J366">
        <v>1.18</v>
      </c>
      <c r="K366">
        <v>10.020079000000001</v>
      </c>
      <c r="L366">
        <v>-1.9811902461165669</v>
      </c>
      <c r="M366">
        <v>1.2912781893296681</v>
      </c>
      <c r="N366">
        <v>-1.032857764538172</v>
      </c>
      <c r="O366">
        <v>-0.56680208557101441</v>
      </c>
    </row>
    <row r="367" spans="1:15" x14ac:dyDescent="0.25">
      <c r="A367">
        <v>-33.605043250000001</v>
      </c>
      <c r="B367">
        <v>29.050748250000002</v>
      </c>
      <c r="C367">
        <v>55.007472999999997</v>
      </c>
      <c r="D367">
        <v>-28.584221500000002</v>
      </c>
      <c r="E367">
        <v>7.1965884999999998</v>
      </c>
      <c r="F367">
        <v>0.77966100000000005</v>
      </c>
      <c r="G367">
        <v>60.697034500000001</v>
      </c>
      <c r="H367">
        <v>16</v>
      </c>
      <c r="I367">
        <v>36</v>
      </c>
      <c r="J367">
        <v>1.18</v>
      </c>
      <c r="K367">
        <v>10.0774425</v>
      </c>
      <c r="L367">
        <v>-2.3142363712192462</v>
      </c>
      <c r="M367">
        <v>1.5052325336140091</v>
      </c>
      <c r="N367">
        <v>-1.3972974135114249</v>
      </c>
      <c r="O367">
        <v>-0.83247101753780117</v>
      </c>
    </row>
    <row r="368" spans="1:15" x14ac:dyDescent="0.25">
      <c r="A368">
        <v>-41.983763000000003</v>
      </c>
      <c r="B368">
        <v>24.146536749999999</v>
      </c>
      <c r="C368">
        <v>55.594581750000003</v>
      </c>
      <c r="D368">
        <v>-37.937467750000003</v>
      </c>
      <c r="E368">
        <v>-4.6384852499999996</v>
      </c>
      <c r="F368">
        <v>0.77966100000000005</v>
      </c>
      <c r="G368">
        <v>61.537269500000001</v>
      </c>
      <c r="H368">
        <v>16</v>
      </c>
      <c r="I368">
        <v>40</v>
      </c>
      <c r="J368">
        <v>1.18</v>
      </c>
      <c r="K368">
        <v>10.147854000000001</v>
      </c>
      <c r="L368">
        <v>-2.762699363099109</v>
      </c>
      <c r="M368">
        <v>1.75766592270085</v>
      </c>
      <c r="N368">
        <v>-1.8736621353574681</v>
      </c>
      <c r="O368">
        <v>-1.1534603446042091</v>
      </c>
    </row>
    <row r="369" spans="1:15" x14ac:dyDescent="0.25">
      <c r="A369">
        <v>-50.137270000000001</v>
      </c>
      <c r="B369">
        <v>18.374461499999999</v>
      </c>
      <c r="C369">
        <v>54.555852999999999</v>
      </c>
      <c r="D369">
        <v>-47.378126249999987</v>
      </c>
      <c r="E369">
        <v>-17.617322250000001</v>
      </c>
      <c r="F369">
        <v>0.82838750000000005</v>
      </c>
      <c r="G369">
        <v>62.097423999999997</v>
      </c>
      <c r="H369">
        <v>16</v>
      </c>
      <c r="I369">
        <v>44</v>
      </c>
      <c r="J369">
        <v>1.18</v>
      </c>
      <c r="K369">
        <v>10.190474999999999</v>
      </c>
      <c r="L369">
        <v>-3.3620714734803419</v>
      </c>
      <c r="M369">
        <v>2.1115040155699401</v>
      </c>
      <c r="N369">
        <v>-2.559970693861886</v>
      </c>
      <c r="O369">
        <v>-1.5923902882877941</v>
      </c>
    </row>
    <row r="370" spans="1:15" x14ac:dyDescent="0.25">
      <c r="A370">
        <v>55.606938999999997</v>
      </c>
      <c r="B370">
        <v>21.212399000000001</v>
      </c>
      <c r="C370">
        <v>-55.761904000000001</v>
      </c>
      <c r="D370">
        <v>-50.962080999999998</v>
      </c>
      <c r="E370">
        <v>-8.2957514999999997</v>
      </c>
      <c r="F370">
        <v>0.77966100000000005</v>
      </c>
      <c r="G370">
        <v>62.817630999999999</v>
      </c>
      <c r="H370">
        <v>20</v>
      </c>
      <c r="I370">
        <v>-44</v>
      </c>
      <c r="J370">
        <v>1.18</v>
      </c>
      <c r="K370">
        <v>10.2542215</v>
      </c>
      <c r="L370">
        <v>2.4712269673375098</v>
      </c>
      <c r="M370">
        <v>1.601516640917835</v>
      </c>
      <c r="N370">
        <v>-1.57797527674711</v>
      </c>
      <c r="O370">
        <v>-1.201366399144306</v>
      </c>
    </row>
    <row r="371" spans="1:15" x14ac:dyDescent="0.25">
      <c r="A371">
        <v>57.276955749999999</v>
      </c>
      <c r="B371">
        <v>28.042687000000001</v>
      </c>
      <c r="C371">
        <v>-47.5058905</v>
      </c>
      <c r="D371">
        <v>-42.876330500000002</v>
      </c>
      <c r="E371">
        <v>2.5476999999999999</v>
      </c>
      <c r="F371">
        <v>0.82838750000000005</v>
      </c>
      <c r="G371">
        <v>63.617852999999997</v>
      </c>
      <c r="H371">
        <v>20</v>
      </c>
      <c r="I371">
        <v>-40</v>
      </c>
      <c r="J371">
        <v>1.18</v>
      </c>
      <c r="K371">
        <v>10.31614225</v>
      </c>
      <c r="L371">
        <v>2.1949293094482791</v>
      </c>
      <c r="M371">
        <v>1.485547381432107</v>
      </c>
      <c r="N371">
        <v>-1.2792513172765581</v>
      </c>
      <c r="O371">
        <v>-0.96397298329971348</v>
      </c>
    </row>
    <row r="372" spans="1:15" x14ac:dyDescent="0.25">
      <c r="A372">
        <v>57.856115000000003</v>
      </c>
      <c r="B372">
        <v>34.632472999999997</v>
      </c>
      <c r="C372">
        <v>-38.031781500000001</v>
      </c>
      <c r="D372">
        <v>-34.134979250000001</v>
      </c>
      <c r="E372">
        <v>13.051285500000001</v>
      </c>
      <c r="F372">
        <v>0.82838750000000005</v>
      </c>
      <c r="G372">
        <v>63.817912749999998</v>
      </c>
      <c r="H372">
        <v>20</v>
      </c>
      <c r="I372">
        <v>-36</v>
      </c>
      <c r="J372">
        <v>1.18</v>
      </c>
      <c r="K372">
        <v>10.332562749999999</v>
      </c>
      <c r="L372">
        <v>1.9515459937167929</v>
      </c>
      <c r="M372">
        <v>1.3995569838595741</v>
      </c>
      <c r="N372">
        <v>-1.0332152304049751</v>
      </c>
      <c r="O372">
        <v>-0.75122341754179067</v>
      </c>
    </row>
    <row r="373" spans="1:15" x14ac:dyDescent="0.25">
      <c r="A373">
        <v>57.867499249999987</v>
      </c>
      <c r="B373">
        <v>39.971641499999997</v>
      </c>
      <c r="C373">
        <v>-28.647902500000001</v>
      </c>
      <c r="D373">
        <v>-25.262506999999999</v>
      </c>
      <c r="E373">
        <v>22.619311499999998</v>
      </c>
      <c r="F373">
        <v>0.73093425000000001</v>
      </c>
      <c r="G373">
        <v>64.45808774999999</v>
      </c>
      <c r="H373">
        <v>20</v>
      </c>
      <c r="I373">
        <v>-32</v>
      </c>
      <c r="J373">
        <v>1.18</v>
      </c>
      <c r="K373">
        <v>10.392882999999999</v>
      </c>
      <c r="L373">
        <v>1.74516773669426</v>
      </c>
      <c r="M373">
        <v>1.3158829556674461</v>
      </c>
      <c r="N373">
        <v>-0.84396230671463468</v>
      </c>
      <c r="O373">
        <v>-0.55847760943170299</v>
      </c>
    </row>
    <row r="374" spans="1:15" x14ac:dyDescent="0.25">
      <c r="A374">
        <v>57.408586499999998</v>
      </c>
      <c r="B374">
        <v>44.685504000000002</v>
      </c>
      <c r="C374">
        <v>-18.361725</v>
      </c>
      <c r="D374">
        <v>-15.909259</v>
      </c>
      <c r="E374">
        <v>31.514991250000001</v>
      </c>
      <c r="F374">
        <v>0.77966100000000005</v>
      </c>
      <c r="G374">
        <v>64.938228749999993</v>
      </c>
      <c r="H374">
        <v>20</v>
      </c>
      <c r="I374">
        <v>-28</v>
      </c>
      <c r="J374">
        <v>1.18</v>
      </c>
      <c r="K374">
        <v>10.42800525</v>
      </c>
      <c r="L374">
        <v>1.557442780021443</v>
      </c>
      <c r="M374">
        <v>1.2455043396589049</v>
      </c>
      <c r="N374">
        <v>-0.68701278588663817</v>
      </c>
      <c r="O374">
        <v>-0.36823712619129528</v>
      </c>
    </row>
    <row r="375" spans="1:15" x14ac:dyDescent="0.25">
      <c r="A375">
        <v>55.693548249999999</v>
      </c>
      <c r="B375">
        <v>48.918356250000002</v>
      </c>
      <c r="C375">
        <v>-8.8425025000000002</v>
      </c>
      <c r="D375">
        <v>-7.8672170000000001</v>
      </c>
      <c r="E375">
        <v>38.7120295</v>
      </c>
      <c r="F375">
        <v>0.77966100000000005</v>
      </c>
      <c r="G375">
        <v>65.298325000000006</v>
      </c>
      <c r="H375">
        <v>20</v>
      </c>
      <c r="I375">
        <v>-24</v>
      </c>
      <c r="J375">
        <v>1.18</v>
      </c>
      <c r="K375">
        <v>10.457229999999999</v>
      </c>
      <c r="L375">
        <v>1.371162599235755</v>
      </c>
      <c r="M375">
        <v>1.206509718974051</v>
      </c>
      <c r="N375">
        <v>-0.5648821065277595</v>
      </c>
      <c r="O375">
        <v>-0.19407784552500379</v>
      </c>
    </row>
    <row r="376" spans="1:15" x14ac:dyDescent="0.25">
      <c r="A376">
        <v>53.489070750000003</v>
      </c>
      <c r="B376">
        <v>52.855215749999999</v>
      </c>
      <c r="C376">
        <v>9.8749999999999866E-5</v>
      </c>
      <c r="D376">
        <v>-2.2727522499999999</v>
      </c>
      <c r="E376">
        <v>44.702092999999998</v>
      </c>
      <c r="F376">
        <v>0.92584049999999996</v>
      </c>
      <c r="G376">
        <v>65.938507000000001</v>
      </c>
      <c r="H376">
        <v>20</v>
      </c>
      <c r="I376">
        <v>-20</v>
      </c>
      <c r="J376">
        <v>1.18</v>
      </c>
      <c r="K376">
        <v>10.49718625</v>
      </c>
      <c r="L376">
        <v>1.1669029424426851</v>
      </c>
      <c r="M376">
        <v>1.2026599910156199</v>
      </c>
      <c r="N376">
        <v>-0.46329468667743168</v>
      </c>
      <c r="O376">
        <v>-4.4989464189941208E-2</v>
      </c>
    </row>
    <row r="377" spans="1:15" x14ac:dyDescent="0.25">
      <c r="A377">
        <v>50.232517250000001</v>
      </c>
      <c r="B377">
        <v>55.892947999999997</v>
      </c>
      <c r="C377">
        <v>7.4065967500000003</v>
      </c>
      <c r="D377">
        <v>0.65708050000000007</v>
      </c>
      <c r="E377">
        <v>49.616129000000001</v>
      </c>
      <c r="F377">
        <v>0.97456699999999996</v>
      </c>
      <c r="G377">
        <v>66.218587750000012</v>
      </c>
      <c r="H377">
        <v>20</v>
      </c>
      <c r="I377">
        <v>-16</v>
      </c>
      <c r="J377">
        <v>1.18</v>
      </c>
      <c r="K377">
        <v>10.515847750000001</v>
      </c>
      <c r="L377">
        <v>0.93948625225869398</v>
      </c>
      <c r="M377">
        <v>1.2117287504625791</v>
      </c>
      <c r="N377">
        <v>-0.36421695652157809</v>
      </c>
      <c r="O377">
        <v>6.7071313245308059E-2</v>
      </c>
    </row>
    <row r="378" spans="1:15" x14ac:dyDescent="0.25">
      <c r="A378">
        <v>46.402334500000002</v>
      </c>
      <c r="B378">
        <v>58.097432249999997</v>
      </c>
      <c r="C378">
        <v>13.684132249999999</v>
      </c>
      <c r="D378">
        <v>2.1905937500000001</v>
      </c>
      <c r="E378">
        <v>53.147350250000002</v>
      </c>
      <c r="F378">
        <v>0.97456699999999996</v>
      </c>
      <c r="G378">
        <v>66.618692500000009</v>
      </c>
      <c r="H378">
        <v>20</v>
      </c>
      <c r="I378">
        <v>-12</v>
      </c>
      <c r="J378">
        <v>1.18</v>
      </c>
      <c r="K378">
        <v>10.548042499999999</v>
      </c>
      <c r="L378">
        <v>0.72369830993524842</v>
      </c>
      <c r="M378">
        <v>1.2365989157305539</v>
      </c>
      <c r="N378">
        <v>-0.29797527798361978</v>
      </c>
      <c r="O378">
        <v>0.1540160496649649</v>
      </c>
    </row>
    <row r="379" spans="1:15" x14ac:dyDescent="0.25">
      <c r="A379">
        <v>41.837865000000001</v>
      </c>
      <c r="B379">
        <v>59.644796999999997</v>
      </c>
      <c r="C379">
        <v>19.734575750000001</v>
      </c>
      <c r="D379">
        <v>3.0226280000000001</v>
      </c>
      <c r="E379">
        <v>55.691579750000002</v>
      </c>
      <c r="F379">
        <v>0.97456699999999996</v>
      </c>
      <c r="G379">
        <v>66.89876975</v>
      </c>
      <c r="H379">
        <v>20</v>
      </c>
      <c r="I379">
        <v>-8</v>
      </c>
      <c r="J379">
        <v>1.18</v>
      </c>
      <c r="K379">
        <v>10.570518249999999</v>
      </c>
      <c r="L379">
        <v>0.49880185111746128</v>
      </c>
      <c r="M379">
        <v>1.277780209485321</v>
      </c>
      <c r="N379">
        <v>-0.25290733269413213</v>
      </c>
      <c r="O379">
        <v>0.2347909764468232</v>
      </c>
    </row>
    <row r="380" spans="1:15" x14ac:dyDescent="0.25">
      <c r="A380">
        <v>34.528662500000003</v>
      </c>
      <c r="B380">
        <v>57.2878665</v>
      </c>
      <c r="C380">
        <v>23.98109625</v>
      </c>
      <c r="D380">
        <v>2.8474012499999999</v>
      </c>
      <c r="E380">
        <v>54.044853000000003</v>
      </c>
      <c r="F380">
        <v>0.92584049999999996</v>
      </c>
      <c r="G380">
        <v>63.777900500000001</v>
      </c>
      <c r="H380">
        <v>20</v>
      </c>
      <c r="I380">
        <v>-4</v>
      </c>
      <c r="J380">
        <v>1.18</v>
      </c>
      <c r="K380">
        <v>10.32127775</v>
      </c>
      <c r="L380">
        <v>0.25959218071271728</v>
      </c>
      <c r="M380">
        <v>1.339887559414513</v>
      </c>
      <c r="N380">
        <v>-0.23955169489642891</v>
      </c>
      <c r="O380">
        <v>0.30736314840560791</v>
      </c>
    </row>
    <row r="381" spans="1:15" x14ac:dyDescent="0.25">
      <c r="A381">
        <v>28.5275055</v>
      </c>
      <c r="B381">
        <v>55.652446500000003</v>
      </c>
      <c r="C381">
        <v>28.723120000000002</v>
      </c>
      <c r="D381">
        <v>3.4168894999999999</v>
      </c>
      <c r="E381">
        <v>53.061406249999997</v>
      </c>
      <c r="F381">
        <v>0.82838750000000005</v>
      </c>
      <c r="G381">
        <v>61.937381999999999</v>
      </c>
      <c r="H381">
        <v>20</v>
      </c>
      <c r="I381">
        <v>0</v>
      </c>
      <c r="J381">
        <v>1.18</v>
      </c>
      <c r="K381">
        <v>10.1771525</v>
      </c>
      <c r="L381">
        <v>-5.2742492698985054E-3</v>
      </c>
      <c r="M381">
        <v>1.408365128480467</v>
      </c>
      <c r="N381">
        <v>-0.23933915929524591</v>
      </c>
      <c r="O381">
        <v>0.40832462011600068</v>
      </c>
    </row>
    <row r="382" spans="1:15" x14ac:dyDescent="0.25">
      <c r="A382">
        <v>22.0697875</v>
      </c>
      <c r="B382">
        <v>54.113225749999998</v>
      </c>
      <c r="C382">
        <v>32.4264145</v>
      </c>
      <c r="D382">
        <v>2.9788217499999998</v>
      </c>
      <c r="E382">
        <v>50.640876749999997</v>
      </c>
      <c r="F382">
        <v>0.82838750000000005</v>
      </c>
      <c r="G382">
        <v>60.056852499999998</v>
      </c>
      <c r="H382">
        <v>20</v>
      </c>
      <c r="I382">
        <v>4</v>
      </c>
      <c r="J382">
        <v>1.18</v>
      </c>
      <c r="K382">
        <v>10.01933275</v>
      </c>
      <c r="L382">
        <v>-0.27168180697162758</v>
      </c>
      <c r="M382">
        <v>1.341499030180219</v>
      </c>
      <c r="N382">
        <v>-0.24701019883267089</v>
      </c>
      <c r="O382">
        <v>0.30688621506988528</v>
      </c>
    </row>
    <row r="383" spans="1:15" x14ac:dyDescent="0.25">
      <c r="A383">
        <v>15.301938249999999</v>
      </c>
      <c r="B383">
        <v>51.660093000000003</v>
      </c>
      <c r="C383">
        <v>35.768410000000003</v>
      </c>
      <c r="D383">
        <v>2.4969467500000002</v>
      </c>
      <c r="E383">
        <v>47.604626000000003</v>
      </c>
      <c r="F383">
        <v>0.77966100000000005</v>
      </c>
      <c r="G383">
        <v>58.016283000000001</v>
      </c>
      <c r="H383">
        <v>20</v>
      </c>
      <c r="I383">
        <v>8</v>
      </c>
      <c r="J383">
        <v>1.18</v>
      </c>
      <c r="K383">
        <v>9.8494250000000001</v>
      </c>
      <c r="L383">
        <v>-0.52877745275276999</v>
      </c>
      <c r="M383">
        <v>1.270200939517272</v>
      </c>
      <c r="N383">
        <v>-0.2690005940148032</v>
      </c>
      <c r="O383">
        <v>0.20978617396803059</v>
      </c>
    </row>
    <row r="384" spans="1:15" x14ac:dyDescent="0.25">
      <c r="A384">
        <v>9.2521690000000003</v>
      </c>
      <c r="B384">
        <v>49.395908499999997</v>
      </c>
      <c r="C384">
        <v>38.794273500000003</v>
      </c>
      <c r="D384">
        <v>1.8399637499999999</v>
      </c>
      <c r="E384">
        <v>44.1180995</v>
      </c>
      <c r="F384">
        <v>0.77966100000000005</v>
      </c>
      <c r="G384">
        <v>56.775933500000001</v>
      </c>
      <c r="H384">
        <v>20</v>
      </c>
      <c r="I384">
        <v>12</v>
      </c>
      <c r="J384">
        <v>1.18</v>
      </c>
      <c r="K384">
        <v>9.7421199999999999</v>
      </c>
      <c r="L384">
        <v>-0.76592138699153223</v>
      </c>
      <c r="M384">
        <v>1.2329237613132511</v>
      </c>
      <c r="N384">
        <v>-0.32820185194648699</v>
      </c>
      <c r="O384">
        <v>0.1235566101463056</v>
      </c>
    </row>
    <row r="385" spans="1:15" x14ac:dyDescent="0.25">
      <c r="A385">
        <v>2.7983977499999999</v>
      </c>
      <c r="B385">
        <v>46.272822000000012</v>
      </c>
      <c r="C385">
        <v>41.007217500000003</v>
      </c>
      <c r="D385">
        <v>1.0513222499999999</v>
      </c>
      <c r="E385">
        <v>40.047858000000012</v>
      </c>
      <c r="F385">
        <v>0.63348075000000004</v>
      </c>
      <c r="G385">
        <v>55.095460500000002</v>
      </c>
      <c r="H385">
        <v>20</v>
      </c>
      <c r="I385">
        <v>16</v>
      </c>
      <c r="J385">
        <v>1.18</v>
      </c>
      <c r="K385">
        <v>9.6077217499999996</v>
      </c>
      <c r="L385">
        <v>-1.0022517909112181</v>
      </c>
      <c r="M385">
        <v>1.1862217916057869</v>
      </c>
      <c r="N385">
        <v>-0.39472432032783622</v>
      </c>
      <c r="O385">
        <v>3.386879675088602E-2</v>
      </c>
    </row>
    <row r="386" spans="1:15" x14ac:dyDescent="0.25">
      <c r="A386">
        <v>-3.9195842500000002</v>
      </c>
      <c r="B386">
        <v>43.095196749999999</v>
      </c>
      <c r="C386">
        <v>42.723377249999999</v>
      </c>
      <c r="D386">
        <v>-2.2290450000000002</v>
      </c>
      <c r="E386">
        <v>34.639611000000002</v>
      </c>
      <c r="F386">
        <v>0.584754</v>
      </c>
      <c r="G386">
        <v>54.25522325</v>
      </c>
      <c r="H386">
        <v>20</v>
      </c>
      <c r="I386">
        <v>20</v>
      </c>
      <c r="J386">
        <v>1.18</v>
      </c>
      <c r="K386">
        <v>9.5376514999999991</v>
      </c>
      <c r="L386">
        <v>-1.2367520027950241</v>
      </c>
      <c r="M386">
        <v>1.201755992874096</v>
      </c>
      <c r="N386">
        <v>-0.5201231686549217</v>
      </c>
      <c r="O386">
        <v>-9.699171009766322E-2</v>
      </c>
    </row>
    <row r="387" spans="1:15" x14ac:dyDescent="0.25">
      <c r="A387">
        <v>-10.76552075</v>
      </c>
      <c r="B387">
        <v>41.895665999999999</v>
      </c>
      <c r="C387">
        <v>45.613754499999999</v>
      </c>
      <c r="D387">
        <v>-8.0857497500000015</v>
      </c>
      <c r="E387">
        <v>29.72692975</v>
      </c>
      <c r="F387">
        <v>0.68220750000000008</v>
      </c>
      <c r="G387">
        <v>55.415550250000003</v>
      </c>
      <c r="H387">
        <v>20</v>
      </c>
      <c r="I387">
        <v>24</v>
      </c>
      <c r="J387">
        <v>1.18</v>
      </c>
      <c r="K387">
        <v>9.6316255000000002</v>
      </c>
      <c r="L387">
        <v>-1.4399897581662231</v>
      </c>
      <c r="M387">
        <v>1.2765539725033119</v>
      </c>
      <c r="N387">
        <v>-0.65612631977049418</v>
      </c>
      <c r="O387">
        <v>-0.25813021158246291</v>
      </c>
    </row>
    <row r="388" spans="1:15" x14ac:dyDescent="0.25">
      <c r="A388">
        <v>-18.694483250000001</v>
      </c>
      <c r="B388">
        <v>38.814536250000003</v>
      </c>
      <c r="C388">
        <v>47.329914000000002</v>
      </c>
      <c r="D388">
        <v>-16.258914499999999</v>
      </c>
      <c r="E388">
        <v>22.215518249999999</v>
      </c>
      <c r="F388">
        <v>0.63348075000000004</v>
      </c>
      <c r="G388">
        <v>56.135754499999997</v>
      </c>
      <c r="H388">
        <v>20</v>
      </c>
      <c r="I388">
        <v>28</v>
      </c>
      <c r="J388">
        <v>1.18</v>
      </c>
      <c r="K388">
        <v>9.6990507499999996</v>
      </c>
      <c r="L388">
        <v>-1.663432999040336</v>
      </c>
      <c r="M388">
        <v>1.387525381462603</v>
      </c>
      <c r="N388">
        <v>-0.85461372570949179</v>
      </c>
      <c r="O388">
        <v>-0.45627383260459531</v>
      </c>
    </row>
    <row r="389" spans="1:15" x14ac:dyDescent="0.25">
      <c r="A389">
        <v>-26.083894749999999</v>
      </c>
      <c r="B389">
        <v>35.399566</v>
      </c>
      <c r="C389">
        <v>48.775104749999997</v>
      </c>
      <c r="D389">
        <v>-24.51949175</v>
      </c>
      <c r="E389">
        <v>14.08023025</v>
      </c>
      <c r="F389">
        <v>0.68220750000000008</v>
      </c>
      <c r="G389">
        <v>56.775933500000001</v>
      </c>
      <c r="H389">
        <v>20</v>
      </c>
      <c r="I389">
        <v>32</v>
      </c>
      <c r="J389">
        <v>1.18</v>
      </c>
      <c r="K389">
        <v>9.7505869999999994</v>
      </c>
      <c r="L389">
        <v>-1.9009143063661811</v>
      </c>
      <c r="M389">
        <v>1.52149802553984</v>
      </c>
      <c r="N389">
        <v>-1.0842382375364501</v>
      </c>
      <c r="O389">
        <v>-0.65982100474357785</v>
      </c>
    </row>
    <row r="390" spans="1:15" x14ac:dyDescent="0.25">
      <c r="A390">
        <v>-34.1951295</v>
      </c>
      <c r="B390">
        <v>32.227441249999998</v>
      </c>
      <c r="C390">
        <v>49.768669500000001</v>
      </c>
      <c r="D390">
        <v>-34.047565499999997</v>
      </c>
      <c r="E390">
        <v>4.6484402500000002</v>
      </c>
      <c r="F390">
        <v>0.68220750000000008</v>
      </c>
      <c r="G390">
        <v>57.736202499999997</v>
      </c>
      <c r="H390">
        <v>20</v>
      </c>
      <c r="I390">
        <v>36</v>
      </c>
      <c r="J390">
        <v>1.18</v>
      </c>
      <c r="K390">
        <v>9.8336989999999993</v>
      </c>
      <c r="L390">
        <v>-2.165773620339225</v>
      </c>
      <c r="M390">
        <v>1.709473210073432</v>
      </c>
      <c r="N390">
        <v>-1.369399993423088</v>
      </c>
      <c r="O390">
        <v>-0.89774205418192476</v>
      </c>
    </row>
    <row r="391" spans="1:15" x14ac:dyDescent="0.25">
      <c r="A391">
        <v>-42.256782749999999</v>
      </c>
      <c r="B391">
        <v>27.174950249999998</v>
      </c>
      <c r="C391">
        <v>48.955751249999999</v>
      </c>
      <c r="D391">
        <v>-42.745209500000001</v>
      </c>
      <c r="E391">
        <v>-6.3779165000000004</v>
      </c>
      <c r="F391">
        <v>0.73093425000000001</v>
      </c>
      <c r="G391">
        <v>58.096310000000003</v>
      </c>
      <c r="H391">
        <v>20</v>
      </c>
      <c r="I391">
        <v>40</v>
      </c>
      <c r="J391">
        <v>1.18</v>
      </c>
      <c r="K391">
        <v>9.8604970000000005</v>
      </c>
      <c r="L391">
        <v>-2.5250730166918922</v>
      </c>
      <c r="M391">
        <v>1.935622013539009</v>
      </c>
      <c r="N391">
        <v>-1.784975722823364</v>
      </c>
      <c r="O391">
        <v>-1.196832752080055</v>
      </c>
    </row>
    <row r="392" spans="1:15" x14ac:dyDescent="0.25">
      <c r="A392">
        <v>-50.04715925</v>
      </c>
      <c r="B392">
        <v>21.6934045</v>
      </c>
      <c r="C392">
        <v>48.639617250000001</v>
      </c>
      <c r="D392">
        <v>-51.311736250000003</v>
      </c>
      <c r="E392">
        <v>-17.884926</v>
      </c>
      <c r="F392">
        <v>0.77966100000000005</v>
      </c>
      <c r="G392">
        <v>58.776493250000001</v>
      </c>
      <c r="H392">
        <v>20</v>
      </c>
      <c r="I392">
        <v>44</v>
      </c>
      <c r="J392">
        <v>1.18</v>
      </c>
      <c r="K392">
        <v>9.9146189999999983</v>
      </c>
      <c r="L392">
        <v>-3.0092727015783809</v>
      </c>
      <c r="M392">
        <v>2.226148755485815</v>
      </c>
      <c r="N392">
        <v>-2.3376498449314962</v>
      </c>
      <c r="O392">
        <v>-1.5691474011562501</v>
      </c>
    </row>
    <row r="393" spans="1:15" x14ac:dyDescent="0.25">
      <c r="A393">
        <v>49.062273750000003</v>
      </c>
      <c r="B393">
        <v>24.818207000000001</v>
      </c>
      <c r="C393">
        <v>-54.679149000000002</v>
      </c>
      <c r="D393">
        <v>-54.67715475</v>
      </c>
      <c r="E393">
        <v>-10.258187749999999</v>
      </c>
      <c r="F393">
        <v>0.73093425000000001</v>
      </c>
      <c r="G393">
        <v>59.536709000000002</v>
      </c>
      <c r="H393">
        <v>24</v>
      </c>
      <c r="I393">
        <v>-44</v>
      </c>
      <c r="J393">
        <v>1.18</v>
      </c>
      <c r="K393">
        <v>9.9835242500000003</v>
      </c>
      <c r="L393">
        <v>2.3354961459654739</v>
      </c>
      <c r="M393">
        <v>1.7896291037557419</v>
      </c>
      <c r="N393">
        <v>-1.571283398975386</v>
      </c>
      <c r="O393">
        <v>-1.2473710149292949</v>
      </c>
    </row>
    <row r="394" spans="1:15" x14ac:dyDescent="0.25">
      <c r="A394">
        <v>50.68715375</v>
      </c>
      <c r="B394">
        <v>30.397490250000001</v>
      </c>
      <c r="C394">
        <v>-48.633761999999997</v>
      </c>
      <c r="D394">
        <v>-48.252259000000002</v>
      </c>
      <c r="E394">
        <v>-1.73943275</v>
      </c>
      <c r="F394">
        <v>0.77966100000000005</v>
      </c>
      <c r="G394">
        <v>60.056850500000003</v>
      </c>
      <c r="H394">
        <v>24</v>
      </c>
      <c r="I394">
        <v>-40</v>
      </c>
      <c r="J394">
        <v>1.18</v>
      </c>
      <c r="K394">
        <v>10.023460999999999</v>
      </c>
      <c r="L394">
        <v>2.12663522093571</v>
      </c>
      <c r="M394">
        <v>1.684009012244402</v>
      </c>
      <c r="N394">
        <v>-1.323159721232877</v>
      </c>
      <c r="O394">
        <v>-1.0539224859969909</v>
      </c>
    </row>
    <row r="395" spans="1:15" x14ac:dyDescent="0.25">
      <c r="A395">
        <v>51.586492499999999</v>
      </c>
      <c r="B395">
        <v>36.457753250000003</v>
      </c>
      <c r="C395">
        <v>-40.287522500000001</v>
      </c>
      <c r="D395">
        <v>-40.0353925</v>
      </c>
      <c r="E395">
        <v>8.0011507500000008</v>
      </c>
      <c r="F395">
        <v>0.77966100000000005</v>
      </c>
      <c r="G395">
        <v>60.857076499999998</v>
      </c>
      <c r="H395">
        <v>24</v>
      </c>
      <c r="I395">
        <v>-36</v>
      </c>
      <c r="J395">
        <v>1.18</v>
      </c>
      <c r="K395">
        <v>10.090892</v>
      </c>
      <c r="L395">
        <v>1.9075942057321631</v>
      </c>
      <c r="M395">
        <v>1.5882354763795119</v>
      </c>
      <c r="N395">
        <v>-1.097465578847908</v>
      </c>
      <c r="O395">
        <v>-0.85007252216185014</v>
      </c>
    </row>
    <row r="396" spans="1:15" x14ac:dyDescent="0.25">
      <c r="A396">
        <v>51.496227249999997</v>
      </c>
      <c r="B396">
        <v>41.507954499999997</v>
      </c>
      <c r="C396">
        <v>-31.445021000000001</v>
      </c>
      <c r="D396">
        <v>-31.381454250000001</v>
      </c>
      <c r="E396">
        <v>16.449292750000001</v>
      </c>
      <c r="F396">
        <v>0.82838750000000005</v>
      </c>
      <c r="G396">
        <v>61.137154000000002</v>
      </c>
      <c r="H396">
        <v>24</v>
      </c>
      <c r="I396">
        <v>-32</v>
      </c>
      <c r="J396">
        <v>1.18</v>
      </c>
      <c r="K396">
        <v>10.110301249999999</v>
      </c>
      <c r="L396">
        <v>1.732903500386068</v>
      </c>
      <c r="M396">
        <v>1.522885912300816</v>
      </c>
      <c r="N396">
        <v>-0.93366476718838709</v>
      </c>
      <c r="O396">
        <v>-0.67362195465743313</v>
      </c>
    </row>
    <row r="397" spans="1:15" x14ac:dyDescent="0.25">
      <c r="A397">
        <v>51.135167000000003</v>
      </c>
      <c r="B397">
        <v>45.641127750000003</v>
      </c>
      <c r="C397">
        <v>-22.422060500000001</v>
      </c>
      <c r="D397">
        <v>-22.771222250000001</v>
      </c>
      <c r="E397">
        <v>24.314775000000001</v>
      </c>
      <c r="F397">
        <v>0.77966100000000005</v>
      </c>
      <c r="G397">
        <v>61.6573055</v>
      </c>
      <c r="H397">
        <v>24</v>
      </c>
      <c r="I397">
        <v>-28</v>
      </c>
      <c r="J397">
        <v>1.18</v>
      </c>
      <c r="K397">
        <v>10.157874250000001</v>
      </c>
      <c r="L397">
        <v>1.567997950888961</v>
      </c>
      <c r="M397">
        <v>1.4583450016711099</v>
      </c>
      <c r="N397">
        <v>-0.79603644765592307</v>
      </c>
      <c r="O397">
        <v>-0.49829080250797542</v>
      </c>
    </row>
    <row r="398" spans="1:15" x14ac:dyDescent="0.25">
      <c r="A398">
        <v>49.381471500000004</v>
      </c>
      <c r="B398">
        <v>50.072774000000003</v>
      </c>
      <c r="C398">
        <v>-13.218639</v>
      </c>
      <c r="D398">
        <v>-15.34107275</v>
      </c>
      <c r="E398">
        <v>31.244732249999998</v>
      </c>
      <c r="F398">
        <v>0.87711399999999995</v>
      </c>
      <c r="G398">
        <v>62.417518999999999</v>
      </c>
      <c r="H398">
        <v>24</v>
      </c>
      <c r="I398">
        <v>-24</v>
      </c>
      <c r="J398">
        <v>1.18</v>
      </c>
      <c r="K398">
        <v>10.2130165</v>
      </c>
      <c r="L398">
        <v>1.375085122924566</v>
      </c>
      <c r="M398">
        <v>1.436881533102186</v>
      </c>
      <c r="N398">
        <v>-0.68474646711577036</v>
      </c>
      <c r="O398">
        <v>-0.3329362837215244</v>
      </c>
    </row>
    <row r="399" spans="1:15" x14ac:dyDescent="0.25">
      <c r="A399">
        <v>47.211713750000001</v>
      </c>
      <c r="B399">
        <v>53.055010499999987</v>
      </c>
      <c r="C399">
        <v>-5.1882029999999997</v>
      </c>
      <c r="D399">
        <v>-10.35850275</v>
      </c>
      <c r="E399">
        <v>36.834537500000003</v>
      </c>
      <c r="F399">
        <v>0.77966100000000005</v>
      </c>
      <c r="G399">
        <v>62.577559999999998</v>
      </c>
      <c r="H399">
        <v>24</v>
      </c>
      <c r="I399">
        <v>-20</v>
      </c>
      <c r="J399">
        <v>1.18</v>
      </c>
      <c r="K399">
        <v>10.234363999999999</v>
      </c>
      <c r="L399">
        <v>1.1746748404473959</v>
      </c>
      <c r="M399">
        <v>1.421573175070878</v>
      </c>
      <c r="N399">
        <v>-0.57709290529378532</v>
      </c>
      <c r="O399">
        <v>-0.19173219466440619</v>
      </c>
    </row>
    <row r="400" spans="1:15" x14ac:dyDescent="0.25">
      <c r="A400">
        <v>44.407504250000002</v>
      </c>
      <c r="B400">
        <v>56.033338499999999</v>
      </c>
      <c r="C400">
        <v>1.6710075</v>
      </c>
      <c r="D400">
        <v>-8.0857489999999999</v>
      </c>
      <c r="E400">
        <v>41.522845250000003</v>
      </c>
      <c r="F400">
        <v>0.77966100000000005</v>
      </c>
      <c r="G400">
        <v>63.177728500000001</v>
      </c>
      <c r="H400">
        <v>24</v>
      </c>
      <c r="I400">
        <v>-16</v>
      </c>
      <c r="J400">
        <v>1.18</v>
      </c>
      <c r="K400">
        <v>10.283939</v>
      </c>
      <c r="L400">
        <v>0.95542929862815784</v>
      </c>
      <c r="M400">
        <v>1.4334602435598971</v>
      </c>
      <c r="N400">
        <v>-0.48412208109093202</v>
      </c>
      <c r="O400">
        <v>-8.9124076523261056E-2</v>
      </c>
    </row>
    <row r="401" spans="1:15" x14ac:dyDescent="0.25">
      <c r="A401">
        <v>40.529026000000002</v>
      </c>
      <c r="B401">
        <v>58.145542249999998</v>
      </c>
      <c r="C401">
        <v>7.9033802499999997</v>
      </c>
      <c r="D401">
        <v>-6.4686012499999999</v>
      </c>
      <c r="E401">
        <v>44.922698750000002</v>
      </c>
      <c r="F401">
        <v>0.97456699999999996</v>
      </c>
      <c r="G401">
        <v>63.697876000000001</v>
      </c>
      <c r="H401">
        <v>24</v>
      </c>
      <c r="I401">
        <v>-12</v>
      </c>
      <c r="J401">
        <v>1.18</v>
      </c>
      <c r="K401">
        <v>10.310708</v>
      </c>
      <c r="L401">
        <v>0.73804058340360257</v>
      </c>
      <c r="M401">
        <v>1.461672104680535</v>
      </c>
      <c r="N401">
        <v>-0.42472449267975831</v>
      </c>
      <c r="O401">
        <v>-5.8118042099450278E-3</v>
      </c>
    </row>
    <row r="402" spans="1:15" x14ac:dyDescent="0.25">
      <c r="A402">
        <v>36.153505250000002</v>
      </c>
      <c r="B402">
        <v>59.308090999999997</v>
      </c>
      <c r="C402">
        <v>13.5477905</v>
      </c>
      <c r="D402">
        <v>-5.7692924999999997</v>
      </c>
      <c r="E402">
        <v>47.202326749999997</v>
      </c>
      <c r="F402">
        <v>0.77966100000000005</v>
      </c>
      <c r="G402">
        <v>63.897935500000003</v>
      </c>
      <c r="H402">
        <v>24</v>
      </c>
      <c r="I402">
        <v>-8</v>
      </c>
      <c r="J402">
        <v>1.18</v>
      </c>
      <c r="K402">
        <v>10.34311825</v>
      </c>
      <c r="L402">
        <v>0.52189159615782477</v>
      </c>
      <c r="M402">
        <v>1.5024809347431469</v>
      </c>
      <c r="N402">
        <v>-0.38545730608292172</v>
      </c>
      <c r="O402">
        <v>7.1818430561428628E-2</v>
      </c>
    </row>
    <row r="403" spans="1:15" x14ac:dyDescent="0.25">
      <c r="A403">
        <v>31.547632499999999</v>
      </c>
      <c r="B403">
        <v>60.554486500000003</v>
      </c>
      <c r="C403">
        <v>19.510046750000001</v>
      </c>
      <c r="D403">
        <v>-5.0262777500000002</v>
      </c>
      <c r="E403">
        <v>49.299984250000001</v>
      </c>
      <c r="F403">
        <v>0.92584049999999996</v>
      </c>
      <c r="G403">
        <v>64.538112499999997</v>
      </c>
      <c r="H403">
        <v>24</v>
      </c>
      <c r="I403">
        <v>-4</v>
      </c>
      <c r="J403">
        <v>1.18</v>
      </c>
      <c r="K403">
        <v>10.383513499999999</v>
      </c>
      <c r="L403">
        <v>0.28619608205022451</v>
      </c>
      <c r="M403">
        <v>1.559291767298709</v>
      </c>
      <c r="N403">
        <v>-0.36230374559634609</v>
      </c>
      <c r="O403">
        <v>0.15019028689953631</v>
      </c>
    </row>
    <row r="404" spans="1:15" x14ac:dyDescent="0.25">
      <c r="A404">
        <v>25.682092749999999</v>
      </c>
      <c r="B404">
        <v>60.987365500000003</v>
      </c>
      <c r="C404">
        <v>24.88433925</v>
      </c>
      <c r="D404">
        <v>-5.3759317499999986</v>
      </c>
      <c r="E404">
        <v>49.344700000000003</v>
      </c>
      <c r="F404">
        <v>0.92584049999999996</v>
      </c>
      <c r="G404">
        <v>64.818191999999996</v>
      </c>
      <c r="H404">
        <v>24</v>
      </c>
      <c r="I404">
        <v>0</v>
      </c>
      <c r="J404">
        <v>1.18</v>
      </c>
      <c r="K404">
        <v>10.406347500000001</v>
      </c>
      <c r="L404">
        <v>2.012055351359774E-2</v>
      </c>
      <c r="M404">
        <v>1.676245917776795</v>
      </c>
      <c r="N404">
        <v>-0.39082898803580629</v>
      </c>
      <c r="O404">
        <v>0.2230133556619677</v>
      </c>
    </row>
    <row r="405" spans="1:15" x14ac:dyDescent="0.25">
      <c r="A405">
        <v>19.724218749999999</v>
      </c>
      <c r="B405">
        <v>61.131642249999999</v>
      </c>
      <c r="C405">
        <v>30.755414999999999</v>
      </c>
      <c r="D405">
        <v>-5.1136912499999996</v>
      </c>
      <c r="E405">
        <v>49.255313999999998</v>
      </c>
      <c r="F405">
        <v>0.97456699999999996</v>
      </c>
      <c r="G405">
        <v>65.258314500000012</v>
      </c>
      <c r="H405">
        <v>24</v>
      </c>
      <c r="I405">
        <v>4</v>
      </c>
      <c r="J405">
        <v>1.18</v>
      </c>
      <c r="K405">
        <v>10.438173750000001</v>
      </c>
      <c r="L405">
        <v>-0.26295925041193791</v>
      </c>
      <c r="M405">
        <v>1.57915243881784</v>
      </c>
      <c r="N405">
        <v>-0.38147875424442018</v>
      </c>
      <c r="O405">
        <v>0.15091593726968189</v>
      </c>
    </row>
    <row r="406" spans="1:15" x14ac:dyDescent="0.25">
      <c r="A406">
        <v>14.170677250000001</v>
      </c>
      <c r="B406">
        <v>61.415930750000001</v>
      </c>
      <c r="C406">
        <v>36.400680749999999</v>
      </c>
      <c r="D406">
        <v>-5.1573979999999997</v>
      </c>
      <c r="E406">
        <v>48.674264749999999</v>
      </c>
      <c r="F406">
        <v>0.97456699999999996</v>
      </c>
      <c r="G406">
        <v>65.898494749999998</v>
      </c>
      <c r="H406">
        <v>24</v>
      </c>
      <c r="I406">
        <v>8</v>
      </c>
      <c r="J406">
        <v>1.18</v>
      </c>
      <c r="K406">
        <v>10.4900205</v>
      </c>
      <c r="L406">
        <v>-0.50328054987562743</v>
      </c>
      <c r="M406">
        <v>1.507307993188967</v>
      </c>
      <c r="N406">
        <v>-0.38998274524035442</v>
      </c>
      <c r="O406">
        <v>7.9974842061308254E-2</v>
      </c>
    </row>
    <row r="407" spans="1:15" x14ac:dyDescent="0.25">
      <c r="A407">
        <v>5.8672342500000001</v>
      </c>
      <c r="B407">
        <v>60.222005000000003</v>
      </c>
      <c r="C407">
        <v>40.871730999999997</v>
      </c>
      <c r="D407">
        <v>-7.0804954999999996</v>
      </c>
      <c r="E407">
        <v>45.274388999999999</v>
      </c>
      <c r="F407">
        <v>0.97456699999999996</v>
      </c>
      <c r="G407">
        <v>66.018531999999993</v>
      </c>
      <c r="H407">
        <v>24</v>
      </c>
      <c r="I407">
        <v>12</v>
      </c>
      <c r="J407">
        <v>1.18</v>
      </c>
      <c r="K407">
        <v>10.499713</v>
      </c>
      <c r="L407">
        <v>-0.76294053601821099</v>
      </c>
      <c r="M407">
        <v>1.4669183613527239</v>
      </c>
      <c r="N407">
        <v>-0.45214602200333098</v>
      </c>
      <c r="O407">
        <v>-3.4470912381364467E-2</v>
      </c>
    </row>
    <row r="408" spans="1:15" x14ac:dyDescent="0.25">
      <c r="A408">
        <v>-1.5766579999999999</v>
      </c>
      <c r="B408">
        <v>58.822986749999998</v>
      </c>
      <c r="C408">
        <v>45.658916499999997</v>
      </c>
      <c r="D408">
        <v>-7.2553219999999996</v>
      </c>
      <c r="E408">
        <v>42.059211500000004</v>
      </c>
      <c r="F408">
        <v>0.77966100000000005</v>
      </c>
      <c r="G408">
        <v>66.418639999999996</v>
      </c>
      <c r="H408">
        <v>24</v>
      </c>
      <c r="I408">
        <v>16</v>
      </c>
      <c r="J408">
        <v>1.18</v>
      </c>
      <c r="K408">
        <v>10.54763</v>
      </c>
      <c r="L408">
        <v>-1.016362668341964</v>
      </c>
      <c r="M408">
        <v>1.4217944024688001</v>
      </c>
      <c r="N408">
        <v>-0.52414024489226152</v>
      </c>
      <c r="O408">
        <v>-0.11179240586665599</v>
      </c>
    </row>
    <row r="409" spans="1:15" x14ac:dyDescent="0.25">
      <c r="A409">
        <v>-9.5511947499999987</v>
      </c>
      <c r="B409">
        <v>57.331961499999998</v>
      </c>
      <c r="C409">
        <v>49.226725500000001</v>
      </c>
      <c r="D409">
        <v>-11.014103</v>
      </c>
      <c r="E409">
        <v>37.408352999999998</v>
      </c>
      <c r="F409">
        <v>0.87711399999999995</v>
      </c>
      <c r="G409">
        <v>67.178859750000001</v>
      </c>
      <c r="H409">
        <v>24</v>
      </c>
      <c r="I409">
        <v>20</v>
      </c>
      <c r="J409">
        <v>1.18</v>
      </c>
      <c r="K409">
        <v>10.600745</v>
      </c>
      <c r="L409">
        <v>-1.232487616153505</v>
      </c>
      <c r="M409">
        <v>1.4331121242742031</v>
      </c>
      <c r="N409">
        <v>-0.6242420786351166</v>
      </c>
      <c r="O409">
        <v>-0.23399483034665991</v>
      </c>
    </row>
    <row r="410" spans="1:15" x14ac:dyDescent="0.25">
      <c r="A410">
        <v>-18.738313250000001</v>
      </c>
      <c r="B410">
        <v>53.965158250000002</v>
      </c>
      <c r="C410">
        <v>51.168695249999999</v>
      </c>
      <c r="D410">
        <v>-18.531666000000001</v>
      </c>
      <c r="E410">
        <v>29.905702999999999</v>
      </c>
      <c r="F410">
        <v>0.92584049999999996</v>
      </c>
      <c r="G410">
        <v>67.178859750000001</v>
      </c>
      <c r="H410">
        <v>24</v>
      </c>
      <c r="I410">
        <v>24</v>
      </c>
      <c r="J410">
        <v>1.18</v>
      </c>
      <c r="K410">
        <v>10.59684625</v>
      </c>
      <c r="L410">
        <v>-1.44017014036081</v>
      </c>
      <c r="M410">
        <v>1.4935172854570029</v>
      </c>
      <c r="N410">
        <v>-0.76787631109791377</v>
      </c>
      <c r="O410">
        <v>-0.40297555619755809</v>
      </c>
    </row>
    <row r="411" spans="1:15" x14ac:dyDescent="0.25">
      <c r="A411">
        <v>-26.442574499999999</v>
      </c>
      <c r="B411">
        <v>49.49212275</v>
      </c>
      <c r="C411">
        <v>51.526626750000013</v>
      </c>
      <c r="D411">
        <v>-26.442589999999999</v>
      </c>
      <c r="E411">
        <v>21.589728749999999</v>
      </c>
      <c r="F411">
        <v>0.77966100000000005</v>
      </c>
      <c r="G411">
        <v>65.538387</v>
      </c>
      <c r="H411">
        <v>24</v>
      </c>
      <c r="I411">
        <v>28</v>
      </c>
      <c r="J411">
        <v>1.18</v>
      </c>
      <c r="K411">
        <v>10.476665000000001</v>
      </c>
      <c r="L411">
        <v>-1.623280672297478</v>
      </c>
      <c r="M411">
        <v>1.580913525292708</v>
      </c>
      <c r="N411">
        <v>-0.9150009065945075</v>
      </c>
      <c r="O411">
        <v>-0.56675342761330993</v>
      </c>
    </row>
    <row r="412" spans="1:15" x14ac:dyDescent="0.25">
      <c r="A412">
        <v>-34.2334575</v>
      </c>
      <c r="B412">
        <v>43.531090499999998</v>
      </c>
      <c r="C412">
        <v>50.310615499999997</v>
      </c>
      <c r="D412">
        <v>-35.096527250000001</v>
      </c>
      <c r="E412">
        <v>11.442241750000001</v>
      </c>
      <c r="F412">
        <v>0.77966100000000005</v>
      </c>
      <c r="G412">
        <v>63.017685</v>
      </c>
      <c r="H412">
        <v>24</v>
      </c>
      <c r="I412">
        <v>32</v>
      </c>
      <c r="J412">
        <v>1.18</v>
      </c>
      <c r="K412">
        <v>10.270738</v>
      </c>
      <c r="L412">
        <v>-1.833641786368547</v>
      </c>
      <c r="M412">
        <v>1.705321131684217</v>
      </c>
      <c r="N412">
        <v>-1.1185944475206639</v>
      </c>
      <c r="O412">
        <v>-0.76873929000778796</v>
      </c>
    </row>
    <row r="413" spans="1:15" x14ac:dyDescent="0.25">
      <c r="A413">
        <v>-41.0404415</v>
      </c>
      <c r="B413">
        <v>37.08300775</v>
      </c>
      <c r="C413">
        <v>48.5492925</v>
      </c>
      <c r="D413">
        <v>-42.745208750000003</v>
      </c>
      <c r="E413">
        <v>1.20685</v>
      </c>
      <c r="F413">
        <v>0.77966100000000005</v>
      </c>
      <c r="G413">
        <v>61.137154000000002</v>
      </c>
      <c r="H413">
        <v>24</v>
      </c>
      <c r="I413">
        <v>36</v>
      </c>
      <c r="J413">
        <v>1.18</v>
      </c>
      <c r="K413">
        <v>10.114387000000001</v>
      </c>
      <c r="L413">
        <v>-2.0787212740245011</v>
      </c>
      <c r="M413">
        <v>1.8522425485782421</v>
      </c>
      <c r="N413">
        <v>-1.390604928084078</v>
      </c>
      <c r="O413">
        <v>-0.990124372111996</v>
      </c>
    </row>
    <row r="414" spans="1:15" x14ac:dyDescent="0.25">
      <c r="A414">
        <v>-48.377280249999998</v>
      </c>
      <c r="B414">
        <v>31.265428</v>
      </c>
      <c r="C414">
        <v>46.604309999999998</v>
      </c>
      <c r="D414">
        <v>-50.830961250000001</v>
      </c>
      <c r="E414">
        <v>-9.7229777500000001</v>
      </c>
      <c r="F414">
        <v>0.77966100000000005</v>
      </c>
      <c r="G414">
        <v>59.616729999999997</v>
      </c>
      <c r="H414">
        <v>24</v>
      </c>
      <c r="I414">
        <v>40</v>
      </c>
      <c r="J414">
        <v>1.18</v>
      </c>
      <c r="K414">
        <v>9.9861804999999997</v>
      </c>
      <c r="L414">
        <v>-2.381671583918016</v>
      </c>
      <c r="M414">
        <v>2.0585720577379312</v>
      </c>
      <c r="N414">
        <v>-1.7388021231948769</v>
      </c>
      <c r="O414">
        <v>-1.2634160246526951</v>
      </c>
    </row>
    <row r="415" spans="1:15" x14ac:dyDescent="0.25">
      <c r="A415">
        <v>-52.79504575</v>
      </c>
      <c r="B415">
        <v>25.0586965</v>
      </c>
      <c r="C415">
        <v>43.578636250000002</v>
      </c>
      <c r="D415">
        <v>-56.206895000000003</v>
      </c>
      <c r="E415">
        <v>-19.713560000000001</v>
      </c>
      <c r="F415">
        <v>0.68220750000000008</v>
      </c>
      <c r="G415">
        <v>57.45612225</v>
      </c>
      <c r="H415">
        <v>24</v>
      </c>
      <c r="I415">
        <v>44</v>
      </c>
      <c r="J415">
        <v>1.18</v>
      </c>
      <c r="K415">
        <v>9.8095320000000008</v>
      </c>
      <c r="L415">
        <v>-2.770372029256873</v>
      </c>
      <c r="M415">
        <v>2.3360827991114772</v>
      </c>
      <c r="N415">
        <v>-2.2183726067354801</v>
      </c>
      <c r="O415">
        <v>-1.586296111442935</v>
      </c>
    </row>
    <row r="416" spans="1:15" x14ac:dyDescent="0.25">
      <c r="A416">
        <v>44.50651775</v>
      </c>
      <c r="B416">
        <v>27.657881</v>
      </c>
      <c r="C416">
        <v>-58.919943000000004</v>
      </c>
      <c r="D416">
        <v>-61.539113499999999</v>
      </c>
      <c r="E416">
        <v>-14.8520705</v>
      </c>
      <c r="F416">
        <v>0.77966100000000005</v>
      </c>
      <c r="G416">
        <v>59.096584250000006</v>
      </c>
      <c r="H416">
        <v>28</v>
      </c>
      <c r="I416">
        <v>-44</v>
      </c>
      <c r="J416">
        <v>1.18</v>
      </c>
      <c r="K416">
        <v>9.9419415000000004</v>
      </c>
      <c r="L416">
        <v>2.2792817354661379</v>
      </c>
      <c r="M416">
        <v>1.9656876105196419</v>
      </c>
      <c r="N416">
        <v>-1.6296740630059701</v>
      </c>
      <c r="O416">
        <v>-1.3444922922521141</v>
      </c>
    </row>
    <row r="417" spans="1:15" x14ac:dyDescent="0.25">
      <c r="A417">
        <v>46.438333749999998</v>
      </c>
      <c r="B417">
        <v>33.810036750000002</v>
      </c>
      <c r="C417">
        <v>-53.551278500000002</v>
      </c>
      <c r="D417">
        <v>-55.4201695</v>
      </c>
      <c r="E417">
        <v>-6.3779165000000004</v>
      </c>
      <c r="F417">
        <v>0.82838750000000005</v>
      </c>
      <c r="G417">
        <v>60.056850500000003</v>
      </c>
      <c r="H417">
        <v>28</v>
      </c>
      <c r="I417">
        <v>-40</v>
      </c>
      <c r="J417">
        <v>1.18</v>
      </c>
      <c r="K417">
        <v>10.019342</v>
      </c>
      <c r="L417">
        <v>2.078464917137913</v>
      </c>
      <c r="M417">
        <v>1.854815799104667</v>
      </c>
      <c r="N417">
        <v>-1.3809832778995359</v>
      </c>
      <c r="O417">
        <v>-1.1498037149736069</v>
      </c>
    </row>
    <row r="418" spans="1:15" x14ac:dyDescent="0.25">
      <c r="A418">
        <v>47.253755499999997</v>
      </c>
      <c r="B418">
        <v>39.343576499999998</v>
      </c>
      <c r="C418">
        <v>-45.791529500000003</v>
      </c>
      <c r="D418">
        <v>-47.028473750000003</v>
      </c>
      <c r="E418">
        <v>2.5478147500000001</v>
      </c>
      <c r="F418">
        <v>0.82838750000000005</v>
      </c>
      <c r="G418">
        <v>60.617012750000001</v>
      </c>
      <c r="H418">
        <v>28</v>
      </c>
      <c r="I418">
        <v>-36</v>
      </c>
      <c r="J418">
        <v>1.18</v>
      </c>
      <c r="K418">
        <v>10.06660825</v>
      </c>
      <c r="L418">
        <v>1.9005176193819919</v>
      </c>
      <c r="M418">
        <v>1.7642083255933101</v>
      </c>
      <c r="N418">
        <v>-1.186105431312038</v>
      </c>
      <c r="O418">
        <v>-0.96487301227626598</v>
      </c>
    </row>
    <row r="419" spans="1:15" x14ac:dyDescent="0.25">
      <c r="A419">
        <v>47.614817500000001</v>
      </c>
      <c r="B419">
        <v>44.054020749999999</v>
      </c>
      <c r="C419">
        <v>-37.400173500000001</v>
      </c>
      <c r="D419">
        <v>-38.4619505</v>
      </c>
      <c r="E419">
        <v>10.815782499999999</v>
      </c>
      <c r="F419">
        <v>0.82838750000000005</v>
      </c>
      <c r="G419">
        <v>61.457246750000003</v>
      </c>
      <c r="H419">
        <v>28</v>
      </c>
      <c r="I419">
        <v>-32</v>
      </c>
      <c r="J419">
        <v>1.18</v>
      </c>
      <c r="K419">
        <v>10.137092000000001</v>
      </c>
      <c r="L419">
        <v>1.744042362255213</v>
      </c>
      <c r="M419">
        <v>1.692779054425716</v>
      </c>
      <c r="N419">
        <v>-1.0389101284644271</v>
      </c>
      <c r="O419">
        <v>-0.79513624922903969</v>
      </c>
    </row>
    <row r="420" spans="1:15" x14ac:dyDescent="0.25">
      <c r="A420">
        <v>46.85063375</v>
      </c>
      <c r="B420">
        <v>48.433963000000013</v>
      </c>
      <c r="C420">
        <v>-28.783246999999999</v>
      </c>
      <c r="D420">
        <v>-30.332491000000001</v>
      </c>
      <c r="E420">
        <v>17.922031749999999</v>
      </c>
      <c r="F420">
        <v>0.73093425000000001</v>
      </c>
      <c r="G420">
        <v>61.977392500000001</v>
      </c>
      <c r="H420">
        <v>28</v>
      </c>
      <c r="I420">
        <v>-28</v>
      </c>
      <c r="J420">
        <v>1.18</v>
      </c>
      <c r="K420">
        <v>10.18859675</v>
      </c>
      <c r="L420">
        <v>1.5929714394588379</v>
      </c>
      <c r="M420">
        <v>1.658942949694431</v>
      </c>
      <c r="N420">
        <v>-0.92787762076439084</v>
      </c>
      <c r="O420">
        <v>-0.63792657556846188</v>
      </c>
    </row>
    <row r="421" spans="1:15" x14ac:dyDescent="0.25">
      <c r="A421">
        <v>45.586862749999987</v>
      </c>
      <c r="B421">
        <v>52.329859999999996</v>
      </c>
      <c r="C421">
        <v>-20.0309755</v>
      </c>
      <c r="D421">
        <v>-23.20828925</v>
      </c>
      <c r="E421">
        <v>24.629227</v>
      </c>
      <c r="F421">
        <v>0.77966100000000005</v>
      </c>
      <c r="G421">
        <v>62.417518999999999</v>
      </c>
      <c r="H421">
        <v>28</v>
      </c>
      <c r="I421">
        <v>-24</v>
      </c>
      <c r="J421">
        <v>1.18</v>
      </c>
      <c r="K421">
        <v>10.221102999999999</v>
      </c>
      <c r="L421">
        <v>1.418803733454931</v>
      </c>
      <c r="M421">
        <v>1.6333214989925811</v>
      </c>
      <c r="N421">
        <v>-0.81708268187619604</v>
      </c>
      <c r="O421">
        <v>-0.48430946314750561</v>
      </c>
    </row>
    <row r="422" spans="1:15" x14ac:dyDescent="0.25">
      <c r="A422">
        <v>43.41182225</v>
      </c>
      <c r="B422">
        <v>55.881239000000001</v>
      </c>
      <c r="C422">
        <v>-12.63214625</v>
      </c>
      <c r="D422">
        <v>-19.536920500000001</v>
      </c>
      <c r="E422">
        <v>29.989248750000002</v>
      </c>
      <c r="F422">
        <v>0.82838750000000005</v>
      </c>
      <c r="G422">
        <v>63.177728500000001</v>
      </c>
      <c r="H422">
        <v>28</v>
      </c>
      <c r="I422">
        <v>-20</v>
      </c>
      <c r="J422">
        <v>1.18</v>
      </c>
      <c r="K422">
        <v>10.27992175</v>
      </c>
      <c r="L422">
        <v>1.216397883621513</v>
      </c>
      <c r="M422">
        <v>1.636905673565995</v>
      </c>
      <c r="N422">
        <v>-0.72033805253667837</v>
      </c>
      <c r="O422">
        <v>-0.36708595960357532</v>
      </c>
    </row>
    <row r="423" spans="1:15" x14ac:dyDescent="0.25">
      <c r="A423">
        <v>40.128086250000003</v>
      </c>
      <c r="B423">
        <v>58.346080499999999</v>
      </c>
      <c r="C423">
        <v>-5.9551542500000014</v>
      </c>
      <c r="D423">
        <v>-17.613824999999999</v>
      </c>
      <c r="E423">
        <v>33.928897749999997</v>
      </c>
      <c r="F423">
        <v>0.82838750000000005</v>
      </c>
      <c r="G423">
        <v>63.53783</v>
      </c>
      <c r="H423">
        <v>28</v>
      </c>
      <c r="I423">
        <v>-16</v>
      </c>
      <c r="J423">
        <v>1.18</v>
      </c>
      <c r="K423">
        <v>10.309566</v>
      </c>
      <c r="L423">
        <v>1.008101488965385</v>
      </c>
      <c r="M423">
        <v>1.6616648225538631</v>
      </c>
      <c r="N423">
        <v>-0.64772306006284097</v>
      </c>
      <c r="O423">
        <v>-0.27591315576104491</v>
      </c>
    </row>
    <row r="424" spans="1:15" x14ac:dyDescent="0.25">
      <c r="A424">
        <v>36.557374750000001</v>
      </c>
      <c r="B424">
        <v>60.169695750000002</v>
      </c>
      <c r="C424">
        <v>0.54189225000000008</v>
      </c>
      <c r="D424">
        <v>-16.084087</v>
      </c>
      <c r="E424">
        <v>37.455458</v>
      </c>
      <c r="F424">
        <v>0.82838750000000005</v>
      </c>
      <c r="G424">
        <v>63.857925000000002</v>
      </c>
      <c r="H424">
        <v>28</v>
      </c>
      <c r="I424">
        <v>-12</v>
      </c>
      <c r="J424">
        <v>1.18</v>
      </c>
      <c r="K424">
        <v>10.335844249999999</v>
      </c>
      <c r="L424">
        <v>0.79634466663002224</v>
      </c>
      <c r="M424">
        <v>1.6860225300761349</v>
      </c>
      <c r="N424">
        <v>-0.5837750982918356</v>
      </c>
      <c r="O424">
        <v>-0.190128986055281</v>
      </c>
    </row>
    <row r="425" spans="1:15" x14ac:dyDescent="0.25">
      <c r="A425">
        <v>32.587813500000003</v>
      </c>
      <c r="B425">
        <v>61.656419999999997</v>
      </c>
      <c r="C425">
        <v>7.2711105000000007</v>
      </c>
      <c r="D425">
        <v>-14.2921105</v>
      </c>
      <c r="E425">
        <v>40.7209255</v>
      </c>
      <c r="F425">
        <v>0.77966100000000005</v>
      </c>
      <c r="G425">
        <v>64.45808774999999</v>
      </c>
      <c r="H425">
        <v>28</v>
      </c>
      <c r="I425">
        <v>-8</v>
      </c>
      <c r="J425">
        <v>1.18</v>
      </c>
      <c r="K425">
        <v>10.388912250000001</v>
      </c>
      <c r="L425">
        <v>0.57236846232938077</v>
      </c>
      <c r="M425">
        <v>1.7171076712751689</v>
      </c>
      <c r="N425">
        <v>-0.53668375902759768</v>
      </c>
      <c r="O425">
        <v>-9.7002288709600273E-2</v>
      </c>
    </row>
    <row r="426" spans="1:15" x14ac:dyDescent="0.25">
      <c r="A426">
        <v>26.855597499999998</v>
      </c>
      <c r="B426">
        <v>61.997397749999998</v>
      </c>
      <c r="C426">
        <v>13.45832175</v>
      </c>
      <c r="D426">
        <v>-13.986162999999999</v>
      </c>
      <c r="E426">
        <v>41.707054999999997</v>
      </c>
      <c r="F426">
        <v>0.82838750000000005</v>
      </c>
      <c r="G426">
        <v>64.378063249999997</v>
      </c>
      <c r="H426">
        <v>28</v>
      </c>
      <c r="I426">
        <v>-4</v>
      </c>
      <c r="J426">
        <v>1.18</v>
      </c>
      <c r="K426">
        <v>10.378401</v>
      </c>
      <c r="L426">
        <v>0.3191597142177478</v>
      </c>
      <c r="M426">
        <v>1.8104049668468549</v>
      </c>
      <c r="N426">
        <v>-0.5401664506282613</v>
      </c>
      <c r="O426">
        <v>-2.6011700564779E-2</v>
      </c>
    </row>
    <row r="427" spans="1:15" x14ac:dyDescent="0.25">
      <c r="A427">
        <v>20.942874750000001</v>
      </c>
      <c r="B427">
        <v>62.622653999999997</v>
      </c>
      <c r="C427">
        <v>20.050675250000001</v>
      </c>
      <c r="D427">
        <v>-13.680216250000001</v>
      </c>
      <c r="E427">
        <v>42.282667250000003</v>
      </c>
      <c r="F427">
        <v>0.82838750000000005</v>
      </c>
      <c r="G427">
        <v>64.818191999999996</v>
      </c>
      <c r="H427">
        <v>28</v>
      </c>
      <c r="I427">
        <v>0</v>
      </c>
      <c r="J427">
        <v>1.18</v>
      </c>
      <c r="K427">
        <v>10.4142805</v>
      </c>
      <c r="L427">
        <v>2.2822572461470771E-2</v>
      </c>
      <c r="M427">
        <v>1.951611550936216</v>
      </c>
      <c r="N427">
        <v>-0.57639733712587526</v>
      </c>
      <c r="O427">
        <v>6.0285974092148073E-2</v>
      </c>
    </row>
    <row r="428" spans="1:15" x14ac:dyDescent="0.25">
      <c r="A428">
        <v>14.261875249999999</v>
      </c>
      <c r="B428">
        <v>62.854337999999998</v>
      </c>
      <c r="C428">
        <v>25.019825000000001</v>
      </c>
      <c r="D428">
        <v>-14.816592249999999</v>
      </c>
      <c r="E428">
        <v>41.344036250000002</v>
      </c>
      <c r="F428">
        <v>0.92584049999999996</v>
      </c>
      <c r="G428">
        <v>65.33833525</v>
      </c>
      <c r="H428">
        <v>28</v>
      </c>
      <c r="I428">
        <v>4</v>
      </c>
      <c r="J428">
        <v>1.18</v>
      </c>
      <c r="K428">
        <v>10.448620249999999</v>
      </c>
      <c r="L428">
        <v>-0.25849911511367019</v>
      </c>
      <c r="M428">
        <v>1.866138390755365</v>
      </c>
      <c r="N428">
        <v>-0.57652868104797017</v>
      </c>
      <c r="O428">
        <v>-2.8908860855457349E-2</v>
      </c>
    </row>
    <row r="429" spans="1:15" x14ac:dyDescent="0.25">
      <c r="A429">
        <v>7.5381239999999998</v>
      </c>
      <c r="B429">
        <v>62.959344000000002</v>
      </c>
      <c r="C429">
        <v>31.2952975</v>
      </c>
      <c r="D429">
        <v>-14.991419499999999</v>
      </c>
      <c r="E429">
        <v>40.628908249999988</v>
      </c>
      <c r="F429">
        <v>0.82838750000000005</v>
      </c>
      <c r="G429">
        <v>65.458365999999998</v>
      </c>
      <c r="H429">
        <v>28</v>
      </c>
      <c r="I429">
        <v>8</v>
      </c>
      <c r="J429">
        <v>1.18</v>
      </c>
      <c r="K429">
        <v>10.46624525</v>
      </c>
      <c r="L429">
        <v>-0.53556944611909318</v>
      </c>
      <c r="M429">
        <v>1.7574258726336269</v>
      </c>
      <c r="N429">
        <v>-0.55978558200310924</v>
      </c>
      <c r="O429">
        <v>-0.10266167260611619</v>
      </c>
    </row>
    <row r="430" spans="1:15" x14ac:dyDescent="0.25">
      <c r="A430">
        <v>-0.1800795</v>
      </c>
      <c r="B430">
        <v>62.482733499999988</v>
      </c>
      <c r="C430">
        <v>35.901561999999998</v>
      </c>
      <c r="D430">
        <v>-16.56486125</v>
      </c>
      <c r="E430">
        <v>38.083692249999999</v>
      </c>
      <c r="F430">
        <v>0.82838750000000005</v>
      </c>
      <c r="G430">
        <v>66.098557</v>
      </c>
      <c r="H430">
        <v>28</v>
      </c>
      <c r="I430">
        <v>12</v>
      </c>
      <c r="J430">
        <v>1.18</v>
      </c>
      <c r="K430">
        <v>10.51795375</v>
      </c>
      <c r="L430">
        <v>-0.77666067126077143</v>
      </c>
      <c r="M430">
        <v>1.701573011782638</v>
      </c>
      <c r="N430">
        <v>-0.60304647261668942</v>
      </c>
      <c r="O430">
        <v>-0.19804448333182981</v>
      </c>
    </row>
    <row r="431" spans="1:15" x14ac:dyDescent="0.25">
      <c r="A431">
        <v>-8.0639287500000005</v>
      </c>
      <c r="B431">
        <v>60.646427000000003</v>
      </c>
      <c r="C431">
        <v>40.103973250000003</v>
      </c>
      <c r="D431">
        <v>-16.91451575</v>
      </c>
      <c r="E431">
        <v>34.463097750000003</v>
      </c>
      <c r="F431">
        <v>0.77966100000000005</v>
      </c>
      <c r="G431">
        <v>66.338618999999994</v>
      </c>
      <c r="H431">
        <v>28</v>
      </c>
      <c r="I431">
        <v>16</v>
      </c>
      <c r="J431">
        <v>1.18</v>
      </c>
      <c r="K431">
        <v>10.541197</v>
      </c>
      <c r="L431">
        <v>-1.025888165548106</v>
      </c>
      <c r="M431">
        <v>1.651923129319028</v>
      </c>
      <c r="N431">
        <v>-0.67890007780269879</v>
      </c>
      <c r="O431">
        <v>-0.28260643172448618</v>
      </c>
    </row>
    <row r="432" spans="1:15" x14ac:dyDescent="0.25">
      <c r="A432">
        <v>-17.298035250000002</v>
      </c>
      <c r="B432">
        <v>59.255823249999999</v>
      </c>
      <c r="C432">
        <v>43.536296</v>
      </c>
      <c r="D432">
        <v>-20.673297999999999</v>
      </c>
      <c r="E432">
        <v>29.011671750000001</v>
      </c>
      <c r="F432">
        <v>0.77966100000000005</v>
      </c>
      <c r="G432">
        <v>66.698713499999997</v>
      </c>
      <c r="H432">
        <v>28</v>
      </c>
      <c r="I432">
        <v>20</v>
      </c>
      <c r="J432">
        <v>1.18</v>
      </c>
      <c r="K432">
        <v>10.57010725</v>
      </c>
      <c r="L432">
        <v>-1.267456741203044</v>
      </c>
      <c r="M432">
        <v>1.6652825558226509</v>
      </c>
      <c r="N432">
        <v>-0.78519321876193904</v>
      </c>
      <c r="O432">
        <v>-0.41180134794494028</v>
      </c>
    </row>
    <row r="433" spans="1:15" x14ac:dyDescent="0.25">
      <c r="A433">
        <v>-25.226289749999999</v>
      </c>
      <c r="B433">
        <v>56.414140000000003</v>
      </c>
      <c r="C433">
        <v>45.83956525</v>
      </c>
      <c r="D433">
        <v>-26.486297749999999</v>
      </c>
      <c r="E433">
        <v>23.2405455</v>
      </c>
      <c r="F433">
        <v>0.77966100000000005</v>
      </c>
      <c r="G433">
        <v>66.578682000000001</v>
      </c>
      <c r="H433">
        <v>28</v>
      </c>
      <c r="I433">
        <v>24</v>
      </c>
      <c r="J433">
        <v>1.18</v>
      </c>
      <c r="K433">
        <v>10.560477000000001</v>
      </c>
      <c r="L433">
        <v>-1.447456959744075</v>
      </c>
      <c r="M433">
        <v>1.6885063561750151</v>
      </c>
      <c r="N433">
        <v>-0.88270485281444355</v>
      </c>
      <c r="O433">
        <v>-0.54251532361262966</v>
      </c>
    </row>
    <row r="434" spans="1:15" x14ac:dyDescent="0.25">
      <c r="A434">
        <v>-32.83709125</v>
      </c>
      <c r="B434">
        <v>50.546733000000003</v>
      </c>
      <c r="C434">
        <v>45.252458500000003</v>
      </c>
      <c r="D434">
        <v>-33.39196475</v>
      </c>
      <c r="E434">
        <v>14.481601749999999</v>
      </c>
      <c r="F434">
        <v>0.77966100000000005</v>
      </c>
      <c r="G434">
        <v>63.697876749999999</v>
      </c>
      <c r="H434">
        <v>28</v>
      </c>
      <c r="I434">
        <v>28</v>
      </c>
      <c r="J434">
        <v>1.18</v>
      </c>
      <c r="K434">
        <v>10.326711</v>
      </c>
      <c r="L434">
        <v>-1.640674236090002</v>
      </c>
      <c r="M434">
        <v>1.7635748073665991</v>
      </c>
      <c r="N434">
        <v>-1.034059179648662</v>
      </c>
      <c r="O434">
        <v>-0.71213000077549327</v>
      </c>
    </row>
    <row r="435" spans="1:15" x14ac:dyDescent="0.25">
      <c r="A435">
        <v>-40.812556000000001</v>
      </c>
      <c r="B435">
        <v>44.826697250000002</v>
      </c>
      <c r="C435">
        <v>44.0782405</v>
      </c>
      <c r="D435">
        <v>-41.827368749999998</v>
      </c>
      <c r="E435">
        <v>4.8275022500000002</v>
      </c>
      <c r="F435">
        <v>0.77966100000000005</v>
      </c>
      <c r="G435">
        <v>61.857360999999997</v>
      </c>
      <c r="H435">
        <v>28</v>
      </c>
      <c r="I435">
        <v>32</v>
      </c>
      <c r="J435">
        <v>1.18</v>
      </c>
      <c r="K435">
        <v>10.174550999999999</v>
      </c>
      <c r="L435">
        <v>-1.83955183850777</v>
      </c>
      <c r="M435">
        <v>1.8777881160461369</v>
      </c>
      <c r="N435">
        <v>-1.235872230067131</v>
      </c>
      <c r="O435">
        <v>-0.91230733746674675</v>
      </c>
    </row>
    <row r="436" spans="1:15" x14ac:dyDescent="0.25">
      <c r="A436">
        <v>-47.038255749999998</v>
      </c>
      <c r="B436">
        <v>39.145696000000001</v>
      </c>
      <c r="C436">
        <v>43.174999249999999</v>
      </c>
      <c r="D436">
        <v>-48.864155750000002</v>
      </c>
      <c r="E436">
        <v>-4.0140737499999997</v>
      </c>
      <c r="F436">
        <v>0.82838750000000005</v>
      </c>
      <c r="G436">
        <v>60.336935250000003</v>
      </c>
      <c r="H436">
        <v>28</v>
      </c>
      <c r="I436">
        <v>36</v>
      </c>
      <c r="J436">
        <v>1.18</v>
      </c>
      <c r="K436">
        <v>10.042992249999999</v>
      </c>
      <c r="L436">
        <v>-2.0532564106344271</v>
      </c>
      <c r="M436">
        <v>2.0030995451931739</v>
      </c>
      <c r="N436">
        <v>-1.464654063723259</v>
      </c>
      <c r="O436">
        <v>-1.1102266916405381</v>
      </c>
    </row>
    <row r="437" spans="1:15" x14ac:dyDescent="0.25">
      <c r="A437">
        <v>-51.755581999999997</v>
      </c>
      <c r="B437">
        <v>33.189455000000002</v>
      </c>
      <c r="C437">
        <v>40.236793499999997</v>
      </c>
      <c r="D437">
        <v>-54.2837915</v>
      </c>
      <c r="E437">
        <v>-12.845034500000001</v>
      </c>
      <c r="F437">
        <v>0.77966100000000005</v>
      </c>
      <c r="G437">
        <v>58.016283000000001</v>
      </c>
      <c r="H437">
        <v>28</v>
      </c>
      <c r="I437">
        <v>40</v>
      </c>
      <c r="J437">
        <v>1.18</v>
      </c>
      <c r="K437">
        <v>9.8494250000000001</v>
      </c>
      <c r="L437">
        <v>-2.289833582082494</v>
      </c>
      <c r="M437">
        <v>2.1773253060084459</v>
      </c>
      <c r="N437">
        <v>-1.7638698104902759</v>
      </c>
      <c r="O437">
        <v>-1.339150461365896</v>
      </c>
    </row>
    <row r="438" spans="1:15" x14ac:dyDescent="0.25">
      <c r="A438">
        <v>-58.835187750000003</v>
      </c>
      <c r="B438">
        <v>29.09476025</v>
      </c>
      <c r="C438">
        <v>39.965868</v>
      </c>
      <c r="D438">
        <v>-62.937734499999998</v>
      </c>
      <c r="E438">
        <v>-23.370826749999999</v>
      </c>
      <c r="F438">
        <v>0.77966100000000005</v>
      </c>
      <c r="G438">
        <v>59.056573749999998</v>
      </c>
      <c r="H438">
        <v>28</v>
      </c>
      <c r="I438">
        <v>44</v>
      </c>
      <c r="J438">
        <v>1.18</v>
      </c>
      <c r="K438">
        <v>9.9385274999999993</v>
      </c>
      <c r="L438">
        <v>-2.6336506817977301</v>
      </c>
      <c r="M438">
        <v>2.453175972604924</v>
      </c>
      <c r="N438">
        <v>-2.1972083463365539</v>
      </c>
      <c r="O438">
        <v>-1.6437668090426449</v>
      </c>
    </row>
    <row r="439" spans="1:15" x14ac:dyDescent="0.25">
      <c r="A439">
        <v>40.303345499999999</v>
      </c>
      <c r="B439">
        <v>30.683927499999999</v>
      </c>
      <c r="C439">
        <v>-65.642047750000003</v>
      </c>
      <c r="D439">
        <v>-69.493745750000002</v>
      </c>
      <c r="E439">
        <v>-21.051583749999999</v>
      </c>
      <c r="F439">
        <v>0.77966100000000005</v>
      </c>
      <c r="G439">
        <v>60.216900249999988</v>
      </c>
      <c r="H439">
        <v>32</v>
      </c>
      <c r="I439">
        <v>-44</v>
      </c>
      <c r="J439">
        <v>1.18</v>
      </c>
      <c r="K439">
        <v>10.03698425</v>
      </c>
      <c r="L439">
        <v>2.277645006194585</v>
      </c>
      <c r="M439">
        <v>2.1536680470029501</v>
      </c>
      <c r="N439">
        <v>-1.7471787419341001</v>
      </c>
      <c r="O439">
        <v>-1.4693826295697281</v>
      </c>
    </row>
    <row r="440" spans="1:15" x14ac:dyDescent="0.25">
      <c r="A440">
        <v>42.156527500000003</v>
      </c>
      <c r="B440">
        <v>36.503283500000002</v>
      </c>
      <c r="C440">
        <v>-60.002699</v>
      </c>
      <c r="D440">
        <v>-62.500665499999997</v>
      </c>
      <c r="E440">
        <v>-12.131422000000001</v>
      </c>
      <c r="F440">
        <v>0.77966100000000005</v>
      </c>
      <c r="G440">
        <v>60.977108000000001</v>
      </c>
      <c r="H440">
        <v>32</v>
      </c>
      <c r="I440">
        <v>-40</v>
      </c>
      <c r="J440">
        <v>1.18</v>
      </c>
      <c r="K440">
        <v>10.100968999999999</v>
      </c>
      <c r="L440">
        <v>2.0797780967052071</v>
      </c>
      <c r="M440">
        <v>2.015550501271365</v>
      </c>
      <c r="N440">
        <v>-1.4883662295694511</v>
      </c>
      <c r="O440">
        <v>-1.2628506229602361</v>
      </c>
    </row>
    <row r="441" spans="1:15" x14ac:dyDescent="0.25">
      <c r="A441">
        <v>43.014122999999998</v>
      </c>
      <c r="B441">
        <v>42.175418749999999</v>
      </c>
      <c r="C441">
        <v>-53.145244000000012</v>
      </c>
      <c r="D441">
        <v>-54.764570249999998</v>
      </c>
      <c r="E441">
        <v>-3.880271</v>
      </c>
      <c r="F441">
        <v>0.82838750000000005</v>
      </c>
      <c r="G441">
        <v>61.897371499999998</v>
      </c>
      <c r="H441">
        <v>32</v>
      </c>
      <c r="I441">
        <v>-36</v>
      </c>
      <c r="J441">
        <v>1.18</v>
      </c>
      <c r="K441">
        <v>10.173824249999999</v>
      </c>
      <c r="L441">
        <v>1.920332934000172</v>
      </c>
      <c r="M441">
        <v>1.935912706042461</v>
      </c>
      <c r="N441">
        <v>-1.3136000360640101</v>
      </c>
      <c r="O441">
        <v>-1.0940287996634981</v>
      </c>
    </row>
    <row r="442" spans="1:15" x14ac:dyDescent="0.25">
      <c r="A442">
        <v>43.008470750000001</v>
      </c>
      <c r="B442">
        <v>46.603005500000002</v>
      </c>
      <c r="C442">
        <v>-45.385496000000003</v>
      </c>
      <c r="D442">
        <v>-46.63511175</v>
      </c>
      <c r="E442">
        <v>3.30747575</v>
      </c>
      <c r="F442">
        <v>0.77966100000000005</v>
      </c>
      <c r="G442">
        <v>62.257469</v>
      </c>
      <c r="H442">
        <v>32</v>
      </c>
      <c r="I442">
        <v>-32</v>
      </c>
      <c r="J442">
        <v>1.18</v>
      </c>
      <c r="K442">
        <v>10.207824</v>
      </c>
      <c r="L442">
        <v>1.792328672219051</v>
      </c>
      <c r="M442">
        <v>1.890556778905099</v>
      </c>
      <c r="N442">
        <v>-1.1953034318939191</v>
      </c>
      <c r="O442">
        <v>-0.94872187151473275</v>
      </c>
    </row>
    <row r="443" spans="1:15" x14ac:dyDescent="0.25">
      <c r="A443">
        <v>42.156537749999998</v>
      </c>
      <c r="B443">
        <v>50.931471999999999</v>
      </c>
      <c r="C443">
        <v>-37.986666999999997</v>
      </c>
      <c r="D443">
        <v>-39.642030750000004</v>
      </c>
      <c r="E443">
        <v>9.6102987500000001</v>
      </c>
      <c r="F443">
        <v>0.77966100000000005</v>
      </c>
      <c r="G443">
        <v>62.8576415</v>
      </c>
      <c r="H443">
        <v>32</v>
      </c>
      <c r="I443">
        <v>-28</v>
      </c>
      <c r="J443">
        <v>1.18</v>
      </c>
      <c r="K443">
        <v>10.25752825</v>
      </c>
      <c r="L443">
        <v>1.6549939566523759</v>
      </c>
      <c r="M443">
        <v>1.870393733526754</v>
      </c>
      <c r="N443">
        <v>-1.0995804618176379</v>
      </c>
      <c r="O443">
        <v>-0.81762089779445746</v>
      </c>
    </row>
    <row r="444" spans="1:15" x14ac:dyDescent="0.25">
      <c r="A444">
        <v>40.398918999999999</v>
      </c>
      <c r="B444">
        <v>55.123339000000001</v>
      </c>
      <c r="C444">
        <v>-29.820887500000001</v>
      </c>
      <c r="D444">
        <v>-33.610497500000001</v>
      </c>
      <c r="E444">
        <v>15.50961925</v>
      </c>
      <c r="F444">
        <v>0.82838750000000005</v>
      </c>
      <c r="G444">
        <v>63.53783</v>
      </c>
      <c r="H444">
        <v>32</v>
      </c>
      <c r="I444">
        <v>-24</v>
      </c>
      <c r="J444">
        <v>1.18</v>
      </c>
      <c r="K444">
        <v>10.309566</v>
      </c>
      <c r="L444">
        <v>1.4869023727559789</v>
      </c>
      <c r="M444">
        <v>1.8789466471225029</v>
      </c>
      <c r="N444">
        <v>-1.0169999086102091</v>
      </c>
      <c r="O444">
        <v>-0.68912171761415308</v>
      </c>
    </row>
    <row r="445" spans="1:15" x14ac:dyDescent="0.25">
      <c r="A445">
        <v>38.681130500000002</v>
      </c>
      <c r="B445">
        <v>57.905078750000001</v>
      </c>
      <c r="C445">
        <v>-20.752811250000001</v>
      </c>
      <c r="D445">
        <v>-28.58422075</v>
      </c>
      <c r="E445">
        <v>21.945898499999998</v>
      </c>
      <c r="F445">
        <v>0.82838750000000005</v>
      </c>
      <c r="G445">
        <v>63.737888249999997</v>
      </c>
      <c r="H445">
        <v>32</v>
      </c>
      <c r="I445">
        <v>-20</v>
      </c>
      <c r="J445">
        <v>1.18</v>
      </c>
      <c r="K445">
        <v>10.32599475</v>
      </c>
      <c r="L445">
        <v>1.2750250172242119</v>
      </c>
      <c r="M445">
        <v>1.855433442002886</v>
      </c>
      <c r="N445">
        <v>-0.89656140803651707</v>
      </c>
      <c r="O445">
        <v>-0.54698140331241007</v>
      </c>
    </row>
    <row r="446" spans="1:15" x14ac:dyDescent="0.25">
      <c r="A446">
        <v>36.015759500000001</v>
      </c>
      <c r="B446">
        <v>60.405978249999997</v>
      </c>
      <c r="C446">
        <v>-13.850246</v>
      </c>
      <c r="D446">
        <v>-26.661123750000002</v>
      </c>
      <c r="E446">
        <v>26.238410999999999</v>
      </c>
      <c r="F446">
        <v>0.77966100000000005</v>
      </c>
      <c r="G446">
        <v>64.45808774999999</v>
      </c>
      <c r="H446">
        <v>32</v>
      </c>
      <c r="I446">
        <v>-16</v>
      </c>
      <c r="J446">
        <v>1.18</v>
      </c>
      <c r="K446">
        <v>10.388912250000001</v>
      </c>
      <c r="L446">
        <v>1.0725087961566699</v>
      </c>
      <c r="M446">
        <v>1.872644843390342</v>
      </c>
      <c r="N446">
        <v>-0.8220258320181757</v>
      </c>
      <c r="O446">
        <v>-0.45242117351728012</v>
      </c>
    </row>
    <row r="447" spans="1:15" x14ac:dyDescent="0.25">
      <c r="A447">
        <v>31.865658750000001</v>
      </c>
      <c r="B447">
        <v>62.482733499999988</v>
      </c>
      <c r="C447">
        <v>-6.2709582500000014</v>
      </c>
      <c r="D447">
        <v>-25.262506500000001</v>
      </c>
      <c r="E447">
        <v>29.8609975</v>
      </c>
      <c r="F447">
        <v>0.87711399999999995</v>
      </c>
      <c r="G447">
        <v>64.85820425</v>
      </c>
      <c r="H447">
        <v>32</v>
      </c>
      <c r="I447">
        <v>-12</v>
      </c>
      <c r="J447">
        <v>1.18</v>
      </c>
      <c r="K447">
        <v>10.413566749999999</v>
      </c>
      <c r="L447">
        <v>0.83583406932598958</v>
      </c>
      <c r="M447">
        <v>1.9230825169153081</v>
      </c>
      <c r="N447">
        <v>-0.76702675772322948</v>
      </c>
      <c r="O447">
        <v>-0.36477589047321168</v>
      </c>
    </row>
    <row r="448" spans="1:15" x14ac:dyDescent="0.25">
      <c r="A448">
        <v>27.08128975</v>
      </c>
      <c r="B448">
        <v>63.483947999999998</v>
      </c>
      <c r="C448">
        <v>0.54195425000000008</v>
      </c>
      <c r="D448">
        <v>-24.606904750000002</v>
      </c>
      <c r="E448">
        <v>31.823729</v>
      </c>
      <c r="F448">
        <v>0.77966100000000005</v>
      </c>
      <c r="G448">
        <v>65.258314500000012</v>
      </c>
      <c r="H448">
        <v>32</v>
      </c>
      <c r="I448">
        <v>-8</v>
      </c>
      <c r="J448">
        <v>1.18</v>
      </c>
      <c r="K448">
        <v>10.4539855</v>
      </c>
      <c r="L448">
        <v>0.6051481703504572</v>
      </c>
      <c r="M448">
        <v>2.0086408135258171</v>
      </c>
      <c r="N448">
        <v>-0.7623842670285762</v>
      </c>
      <c r="O448">
        <v>-0.2921467858733357</v>
      </c>
    </row>
    <row r="449" spans="1:15" x14ac:dyDescent="0.25">
      <c r="A449">
        <v>22.34353625</v>
      </c>
      <c r="B449">
        <v>64.695362500000002</v>
      </c>
      <c r="C449">
        <v>6.6384002500000001</v>
      </c>
      <c r="D449">
        <v>-23.907597500000001</v>
      </c>
      <c r="E449">
        <v>33.611581749999999</v>
      </c>
      <c r="F449">
        <v>0.82838750000000005</v>
      </c>
      <c r="G449">
        <v>65.858482500000008</v>
      </c>
      <c r="H449">
        <v>32</v>
      </c>
      <c r="I449">
        <v>-4</v>
      </c>
      <c r="J449">
        <v>1.18</v>
      </c>
      <c r="K449">
        <v>10.4985885</v>
      </c>
      <c r="L449">
        <v>0.37175281748702832</v>
      </c>
      <c r="M449">
        <v>2.0973128964807759</v>
      </c>
      <c r="N449">
        <v>-0.76331744579302685</v>
      </c>
      <c r="O449">
        <v>-0.22399847145549309</v>
      </c>
    </row>
    <row r="450" spans="1:15" x14ac:dyDescent="0.25">
      <c r="A450">
        <v>15.48249225</v>
      </c>
      <c r="B450">
        <v>64.935863500000011</v>
      </c>
      <c r="C450">
        <v>13.412280750000001</v>
      </c>
      <c r="D450">
        <v>-23.77647675</v>
      </c>
      <c r="E450">
        <v>33.705394750000004</v>
      </c>
      <c r="F450">
        <v>0.82838750000000005</v>
      </c>
      <c r="G450">
        <v>66.098557</v>
      </c>
      <c r="H450">
        <v>32</v>
      </c>
      <c r="I450">
        <v>0</v>
      </c>
      <c r="J450">
        <v>1.18</v>
      </c>
      <c r="K450">
        <v>10.51795375</v>
      </c>
      <c r="L450">
        <v>5.3232781815401593E-2</v>
      </c>
      <c r="M450">
        <v>2.2812566198452058</v>
      </c>
      <c r="N450">
        <v>-0.8330015451572752</v>
      </c>
      <c r="O450">
        <v>-0.154553816999248</v>
      </c>
    </row>
    <row r="451" spans="1:15" x14ac:dyDescent="0.25">
      <c r="A451">
        <v>8.6203012500000007</v>
      </c>
      <c r="B451">
        <v>65.11006549999999</v>
      </c>
      <c r="C451">
        <v>20.00683025</v>
      </c>
      <c r="D451">
        <v>-24.082424249999999</v>
      </c>
      <c r="E451">
        <v>33.524395749999996</v>
      </c>
      <c r="F451">
        <v>0.77966100000000005</v>
      </c>
      <c r="G451">
        <v>66.578682000000001</v>
      </c>
      <c r="H451">
        <v>32</v>
      </c>
      <c r="I451">
        <v>4</v>
      </c>
      <c r="J451">
        <v>1.18</v>
      </c>
      <c r="K451">
        <v>10.560480999999999</v>
      </c>
      <c r="L451">
        <v>-0.27595639692499002</v>
      </c>
      <c r="M451">
        <v>2.162041622459272</v>
      </c>
      <c r="N451">
        <v>-0.80126509998437334</v>
      </c>
      <c r="O451">
        <v>-0.20632039454168491</v>
      </c>
    </row>
    <row r="452" spans="1:15" x14ac:dyDescent="0.25">
      <c r="A452">
        <v>0.99290800000000001</v>
      </c>
      <c r="B452">
        <v>64.782527999999999</v>
      </c>
      <c r="C452">
        <v>25.426285</v>
      </c>
      <c r="D452">
        <v>-25.349920000000001</v>
      </c>
      <c r="E452">
        <v>31.736404749999998</v>
      </c>
      <c r="F452">
        <v>0.82838750000000005</v>
      </c>
      <c r="G452">
        <v>66.858759250000006</v>
      </c>
      <c r="H452">
        <v>32</v>
      </c>
      <c r="I452">
        <v>8</v>
      </c>
      <c r="J452">
        <v>1.18</v>
      </c>
      <c r="K452">
        <v>10.579019000000001</v>
      </c>
      <c r="L452">
        <v>-0.55634609584403516</v>
      </c>
      <c r="M452">
        <v>2.0525051327425659</v>
      </c>
      <c r="N452">
        <v>-0.79984318948583233</v>
      </c>
      <c r="O452">
        <v>-0.29620317638349741</v>
      </c>
    </row>
    <row r="453" spans="1:15" x14ac:dyDescent="0.25">
      <c r="A453">
        <v>-7.7475717500000014</v>
      </c>
      <c r="B453">
        <v>61.227844249999997</v>
      </c>
      <c r="C453">
        <v>28.721270749999999</v>
      </c>
      <c r="D453">
        <v>-25.786988999999998</v>
      </c>
      <c r="E453">
        <v>27.04125775</v>
      </c>
      <c r="F453">
        <v>0.77966100000000005</v>
      </c>
      <c r="G453">
        <v>63.697876749999999</v>
      </c>
      <c r="H453">
        <v>32</v>
      </c>
      <c r="I453">
        <v>12</v>
      </c>
      <c r="J453">
        <v>1.18</v>
      </c>
      <c r="K453">
        <v>10.326711</v>
      </c>
      <c r="L453">
        <v>-0.83244782798350148</v>
      </c>
      <c r="M453">
        <v>1.9862564537085641</v>
      </c>
      <c r="N453">
        <v>-0.83675458272817849</v>
      </c>
      <c r="O453">
        <v>-0.40054205248595071</v>
      </c>
    </row>
    <row r="454" spans="1:15" x14ac:dyDescent="0.25">
      <c r="A454">
        <v>-15.000626499999999</v>
      </c>
      <c r="B454">
        <v>58.0934095</v>
      </c>
      <c r="C454">
        <v>31.656595750000001</v>
      </c>
      <c r="D454">
        <v>-25.175093</v>
      </c>
      <c r="E454">
        <v>23.064785749999999</v>
      </c>
      <c r="F454">
        <v>0.77966100000000005</v>
      </c>
      <c r="G454">
        <v>61.897371499999998</v>
      </c>
      <c r="H454">
        <v>32</v>
      </c>
      <c r="I454">
        <v>16</v>
      </c>
      <c r="J454">
        <v>1.18</v>
      </c>
      <c r="K454">
        <v>10.1778835</v>
      </c>
      <c r="L454">
        <v>-1.081235997021365</v>
      </c>
      <c r="M454">
        <v>1.929629067517445</v>
      </c>
      <c r="N454">
        <v>-0.8999067655948898</v>
      </c>
      <c r="O454">
        <v>-0.48356871567652648</v>
      </c>
    </row>
    <row r="455" spans="1:15" x14ac:dyDescent="0.25">
      <c r="A455">
        <v>-22.161659</v>
      </c>
      <c r="B455">
        <v>54.253775500000003</v>
      </c>
      <c r="C455">
        <v>33.553262750000002</v>
      </c>
      <c r="D455">
        <v>-26.748537249999998</v>
      </c>
      <c r="E455">
        <v>18.060838499999999</v>
      </c>
      <c r="F455">
        <v>0.82838750000000005</v>
      </c>
      <c r="G455">
        <v>59.936818250000002</v>
      </c>
      <c r="H455">
        <v>32</v>
      </c>
      <c r="I455">
        <v>20</v>
      </c>
      <c r="J455">
        <v>1.18</v>
      </c>
      <c r="K455">
        <v>10.009179</v>
      </c>
      <c r="L455">
        <v>-1.310462191440632</v>
      </c>
      <c r="M455">
        <v>1.905214691852517</v>
      </c>
      <c r="N455">
        <v>-0.98498510491032365</v>
      </c>
      <c r="O455">
        <v>-0.59468226358338794</v>
      </c>
    </row>
    <row r="456" spans="1:15" x14ac:dyDescent="0.25">
      <c r="A456">
        <v>-28.8750915</v>
      </c>
      <c r="B456">
        <v>49.873376499999999</v>
      </c>
      <c r="C456">
        <v>34.501632000000001</v>
      </c>
      <c r="D456">
        <v>-30.638437750000001</v>
      </c>
      <c r="E456">
        <v>12.157359749999999</v>
      </c>
      <c r="F456">
        <v>0.68220750000000008</v>
      </c>
      <c r="G456">
        <v>58.016283000000001</v>
      </c>
      <c r="H456">
        <v>32</v>
      </c>
      <c r="I456">
        <v>24</v>
      </c>
      <c r="J456">
        <v>1.18</v>
      </c>
      <c r="K456">
        <v>9.8578030000000005</v>
      </c>
      <c r="L456">
        <v>-1.512061765780373</v>
      </c>
      <c r="M456">
        <v>1.9208702478306059</v>
      </c>
      <c r="N456">
        <v>-1.0941197898767521</v>
      </c>
      <c r="O456">
        <v>-0.72622430223486067</v>
      </c>
    </row>
    <row r="457" spans="1:15" x14ac:dyDescent="0.25">
      <c r="A457">
        <v>-35.451966249999998</v>
      </c>
      <c r="B457">
        <v>46.365781499999997</v>
      </c>
      <c r="C457">
        <v>35.224152500000002</v>
      </c>
      <c r="D457">
        <v>-36.145488749999998</v>
      </c>
      <c r="E457">
        <v>5.9445952499999999</v>
      </c>
      <c r="F457">
        <v>0.73093425000000001</v>
      </c>
      <c r="G457">
        <v>56.695910499999997</v>
      </c>
      <c r="H457">
        <v>32</v>
      </c>
      <c r="I457">
        <v>28</v>
      </c>
      <c r="J457">
        <v>1.18</v>
      </c>
      <c r="K457">
        <v>9.7393957499999999</v>
      </c>
      <c r="L457">
        <v>-1.693122599342493</v>
      </c>
      <c r="M457">
        <v>1.9766384327147679</v>
      </c>
      <c r="N457">
        <v>-1.2158011589960449</v>
      </c>
      <c r="O457">
        <v>-0.87510122137480961</v>
      </c>
    </row>
    <row r="458" spans="1:15" x14ac:dyDescent="0.25">
      <c r="A458">
        <v>-40.990060749999998</v>
      </c>
      <c r="B458">
        <v>41.411769</v>
      </c>
      <c r="C458">
        <v>34.095195750000002</v>
      </c>
      <c r="D458">
        <v>-41.302887249999998</v>
      </c>
      <c r="E458">
        <v>-0.89201600000000003</v>
      </c>
      <c r="F458">
        <v>0.584754</v>
      </c>
      <c r="G458">
        <v>54.815385999999997</v>
      </c>
      <c r="H458">
        <v>32</v>
      </c>
      <c r="I458">
        <v>32</v>
      </c>
      <c r="J458">
        <v>1.18</v>
      </c>
      <c r="K458">
        <v>9.5872975</v>
      </c>
      <c r="L458">
        <v>-1.8652748912991539</v>
      </c>
      <c r="M458">
        <v>2.054828545767319</v>
      </c>
      <c r="N458">
        <v>-1.3839496894786489</v>
      </c>
      <c r="O458">
        <v>-1.03670010888626</v>
      </c>
    </row>
    <row r="459" spans="1:15" x14ac:dyDescent="0.25">
      <c r="A459">
        <v>-47.347416000000003</v>
      </c>
      <c r="B459">
        <v>36.837391749999988</v>
      </c>
      <c r="C459">
        <v>33.690954249999997</v>
      </c>
      <c r="D459">
        <v>-47.771485249999998</v>
      </c>
      <c r="E459">
        <v>-8.5187557500000004</v>
      </c>
      <c r="F459">
        <v>0.584754</v>
      </c>
      <c r="G459">
        <v>54.615326250000003</v>
      </c>
      <c r="H459">
        <v>32</v>
      </c>
      <c r="I459">
        <v>36</v>
      </c>
      <c r="J459">
        <v>1.18</v>
      </c>
      <c r="K459">
        <v>9.5695979999999992</v>
      </c>
      <c r="L459">
        <v>-2.0758174797568039</v>
      </c>
      <c r="M459">
        <v>2.1672963399296892</v>
      </c>
      <c r="N459">
        <v>-1.6173665763592211</v>
      </c>
      <c r="O459">
        <v>-1.233253284345289</v>
      </c>
    </row>
    <row r="460" spans="1:15" x14ac:dyDescent="0.25">
      <c r="A460">
        <v>-55.362707</v>
      </c>
      <c r="B460">
        <v>34.004782749999997</v>
      </c>
      <c r="C460">
        <v>34.411283750000003</v>
      </c>
      <c r="D460">
        <v>-56.250594</v>
      </c>
      <c r="E460">
        <v>-16.903708999999999</v>
      </c>
      <c r="F460">
        <v>0.584754</v>
      </c>
      <c r="G460">
        <v>56.175764999999998</v>
      </c>
      <c r="H460">
        <v>32</v>
      </c>
      <c r="I460">
        <v>40</v>
      </c>
      <c r="J460">
        <v>1.18</v>
      </c>
      <c r="K460">
        <v>9.7067992499999995</v>
      </c>
      <c r="L460">
        <v>-2.3076421868072359</v>
      </c>
      <c r="M460">
        <v>2.3200617443194651</v>
      </c>
      <c r="N460">
        <v>-1.878604420324212</v>
      </c>
      <c r="O460">
        <v>-1.4495781397858281</v>
      </c>
    </row>
    <row r="461" spans="1:15" x14ac:dyDescent="0.25">
      <c r="A461">
        <v>-61.849471000000001</v>
      </c>
      <c r="B461">
        <v>30.108913749999999</v>
      </c>
      <c r="C461">
        <v>33.191965750000001</v>
      </c>
      <c r="D461">
        <v>-63.811866999999999</v>
      </c>
      <c r="E461">
        <v>-26.269878500000001</v>
      </c>
      <c r="F461">
        <v>0.68220750000000008</v>
      </c>
      <c r="G461">
        <v>56.8959695</v>
      </c>
      <c r="H461">
        <v>32</v>
      </c>
      <c r="I461">
        <v>44</v>
      </c>
      <c r="J461">
        <v>1.18</v>
      </c>
      <c r="K461">
        <v>9.7610224999999993</v>
      </c>
      <c r="L461">
        <v>-2.5995715926630441</v>
      </c>
      <c r="M461">
        <v>2.5689104424933769</v>
      </c>
      <c r="N461">
        <v>-2.2747611568468589</v>
      </c>
      <c r="O461">
        <v>-1.7371942005841241</v>
      </c>
    </row>
    <row r="462" spans="1:15" x14ac:dyDescent="0.25">
      <c r="A462">
        <v>33.398072999999997</v>
      </c>
      <c r="B462">
        <v>31.212952749999999</v>
      </c>
      <c r="C462">
        <v>-67.807558</v>
      </c>
      <c r="D462">
        <v>-70.280467999999999</v>
      </c>
      <c r="E462">
        <v>-26.046875</v>
      </c>
      <c r="F462">
        <v>0.63348075000000004</v>
      </c>
      <c r="G462">
        <v>58.136320249999997</v>
      </c>
      <c r="H462">
        <v>36</v>
      </c>
      <c r="I462">
        <v>-44</v>
      </c>
      <c r="J462">
        <v>1.18</v>
      </c>
      <c r="K462">
        <v>9.8723010000000002</v>
      </c>
      <c r="L462">
        <v>2.3537982034773139</v>
      </c>
      <c r="M462">
        <v>2.360494325801092</v>
      </c>
      <c r="N462">
        <v>-1.9579259763023029</v>
      </c>
      <c r="O462">
        <v>-1.620519534078138</v>
      </c>
    </row>
    <row r="463" spans="1:15" x14ac:dyDescent="0.25">
      <c r="A463">
        <v>34.709191250000003</v>
      </c>
      <c r="B463">
        <v>36.789278000000003</v>
      </c>
      <c r="C463">
        <v>-63.476537499999999</v>
      </c>
      <c r="D463">
        <v>-64.336345499999993</v>
      </c>
      <c r="E463">
        <v>-18.59853975</v>
      </c>
      <c r="F463">
        <v>0.68220750000000008</v>
      </c>
      <c r="G463">
        <v>58.856517749999988</v>
      </c>
      <c r="H463">
        <v>36</v>
      </c>
      <c r="I463">
        <v>-40</v>
      </c>
      <c r="J463">
        <v>1.18</v>
      </c>
      <c r="K463">
        <v>9.9297714999999993</v>
      </c>
      <c r="L463">
        <v>2.167081381779044</v>
      </c>
      <c r="M463">
        <v>2.231980522474164</v>
      </c>
      <c r="N463">
        <v>-1.709546996842072</v>
      </c>
      <c r="O463">
        <v>-1.4255458371742571</v>
      </c>
    </row>
    <row r="464" spans="1:15" x14ac:dyDescent="0.25">
      <c r="A464">
        <v>35.564435000000003</v>
      </c>
      <c r="B464">
        <v>41.264575749999999</v>
      </c>
      <c r="C464">
        <v>-57.025118999999997</v>
      </c>
      <c r="D464">
        <v>-57.299558750000003</v>
      </c>
      <c r="E464">
        <v>-11.150202500000001</v>
      </c>
      <c r="F464">
        <v>0.77966100000000005</v>
      </c>
      <c r="G464">
        <v>59.136596500000003</v>
      </c>
      <c r="H464">
        <v>36</v>
      </c>
      <c r="I464">
        <v>-36</v>
      </c>
      <c r="J464">
        <v>1.18</v>
      </c>
      <c r="K464">
        <v>9.9453510000000005</v>
      </c>
      <c r="L464">
        <v>2.0123214837924901</v>
      </c>
      <c r="M464">
        <v>2.1421689334509222</v>
      </c>
      <c r="N464">
        <v>-1.527625896523723</v>
      </c>
      <c r="O464">
        <v>-1.25930488810104</v>
      </c>
    </row>
    <row r="465" spans="1:15" x14ac:dyDescent="0.25">
      <c r="A465">
        <v>35.067982499999999</v>
      </c>
      <c r="B465">
        <v>45.974591250000003</v>
      </c>
      <c r="C465">
        <v>-50.483469749999998</v>
      </c>
      <c r="D465">
        <v>-50.830963250000003</v>
      </c>
      <c r="E465">
        <v>-5.0844924999999996</v>
      </c>
      <c r="F465">
        <v>0.77966100000000005</v>
      </c>
      <c r="G465">
        <v>59.736762249999998</v>
      </c>
      <c r="H465">
        <v>36</v>
      </c>
      <c r="I465">
        <v>-32</v>
      </c>
      <c r="J465">
        <v>1.18</v>
      </c>
      <c r="K465">
        <v>9.9963620000000013</v>
      </c>
      <c r="L465">
        <v>1.877252768052591</v>
      </c>
      <c r="M465">
        <v>2.1241982656068958</v>
      </c>
      <c r="N465">
        <v>-1.422378344511674</v>
      </c>
      <c r="O465">
        <v>-1.1286792243722781</v>
      </c>
    </row>
    <row r="466" spans="1:15" x14ac:dyDescent="0.25">
      <c r="A466">
        <v>34.483512750000003</v>
      </c>
      <c r="B466">
        <v>49.777203749999998</v>
      </c>
      <c r="C466">
        <v>-43.129756</v>
      </c>
      <c r="D466">
        <v>-44.406066750000001</v>
      </c>
      <c r="E466">
        <v>0.89384850000000005</v>
      </c>
      <c r="F466">
        <v>0.77966100000000005</v>
      </c>
      <c r="G466">
        <v>60.176887999999998</v>
      </c>
      <c r="H466">
        <v>36</v>
      </c>
      <c r="I466">
        <v>-28</v>
      </c>
      <c r="J466">
        <v>1.18</v>
      </c>
      <c r="K466">
        <v>10.033607</v>
      </c>
      <c r="L466">
        <v>1.7378173099480849</v>
      </c>
      <c r="M466">
        <v>2.1088438840497452</v>
      </c>
      <c r="N466">
        <v>-1.327413889921401</v>
      </c>
      <c r="O466">
        <v>-0.99746552193848492</v>
      </c>
    </row>
    <row r="467" spans="1:15" x14ac:dyDescent="0.25">
      <c r="A467">
        <v>33.219718</v>
      </c>
      <c r="B467">
        <v>53.147486499999999</v>
      </c>
      <c r="C467">
        <v>-34.783514750000002</v>
      </c>
      <c r="D467">
        <v>-38.636775</v>
      </c>
      <c r="E467">
        <v>7.0629594999999998</v>
      </c>
      <c r="F467">
        <v>0.77966100000000005</v>
      </c>
      <c r="G467">
        <v>60.577001500000001</v>
      </c>
      <c r="H467">
        <v>36</v>
      </c>
      <c r="I467">
        <v>-24</v>
      </c>
      <c r="J467">
        <v>1.18</v>
      </c>
      <c r="K467">
        <v>10.067342500000001</v>
      </c>
      <c r="L467">
        <v>1.553520502309494</v>
      </c>
      <c r="M467">
        <v>2.0968061212400602</v>
      </c>
      <c r="N467">
        <v>-1.222518235678997</v>
      </c>
      <c r="O467">
        <v>-0.85643963548057178</v>
      </c>
    </row>
    <row r="468" spans="1:15" x14ac:dyDescent="0.25">
      <c r="A468">
        <v>31.235814999999999</v>
      </c>
      <c r="B468">
        <v>56.373956</v>
      </c>
      <c r="C468">
        <v>-27.6553775</v>
      </c>
      <c r="D468">
        <v>-35.752128499999998</v>
      </c>
      <c r="E468">
        <v>11.710414249999999</v>
      </c>
      <c r="F468">
        <v>0.77966100000000005</v>
      </c>
      <c r="G468">
        <v>61.337213499999997</v>
      </c>
      <c r="H468">
        <v>36</v>
      </c>
      <c r="I468">
        <v>-20</v>
      </c>
      <c r="J468">
        <v>1.18</v>
      </c>
      <c r="K468">
        <v>10.1311345</v>
      </c>
      <c r="L468">
        <v>1.356492022733278</v>
      </c>
      <c r="M468">
        <v>2.1220341042170481</v>
      </c>
      <c r="N468">
        <v>-1.1431076942621341</v>
      </c>
      <c r="O468">
        <v>-0.7482123326883614</v>
      </c>
    </row>
    <row r="469" spans="1:15" x14ac:dyDescent="0.25">
      <c r="A469">
        <v>28.433517500000001</v>
      </c>
      <c r="B469">
        <v>58.434105000000002</v>
      </c>
      <c r="C469">
        <v>-21.06861425</v>
      </c>
      <c r="D469">
        <v>-34.35351275</v>
      </c>
      <c r="E469">
        <v>14.838187250000001</v>
      </c>
      <c r="F469">
        <v>0.92584049999999996</v>
      </c>
      <c r="G469">
        <v>61.577281749999997</v>
      </c>
      <c r="H469">
        <v>36</v>
      </c>
      <c r="I469">
        <v>-16</v>
      </c>
      <c r="J469">
        <v>1.18</v>
      </c>
      <c r="K469">
        <v>10.13898625</v>
      </c>
      <c r="L469">
        <v>1.163416466418145</v>
      </c>
      <c r="M469">
        <v>2.180729350281847</v>
      </c>
      <c r="N469">
        <v>-1.0984889941235101</v>
      </c>
      <c r="O469">
        <v>-0.67304394515018695</v>
      </c>
    </row>
    <row r="470" spans="1:15" x14ac:dyDescent="0.25">
      <c r="A470">
        <v>24.824545000000001</v>
      </c>
      <c r="B470">
        <v>60.213602999999999</v>
      </c>
      <c r="C470">
        <v>-13.669786500000001</v>
      </c>
      <c r="D470">
        <v>-33.1734285</v>
      </c>
      <c r="E470">
        <v>18.50552575</v>
      </c>
      <c r="F470">
        <v>0.77966100000000005</v>
      </c>
      <c r="G470">
        <v>62.097423999999997</v>
      </c>
      <c r="H470">
        <v>36</v>
      </c>
      <c r="I470">
        <v>-12</v>
      </c>
      <c r="J470">
        <v>1.18</v>
      </c>
      <c r="K470">
        <v>10.194528999999999</v>
      </c>
      <c r="L470">
        <v>0.91811898802935987</v>
      </c>
      <c r="M470">
        <v>2.227437631221671</v>
      </c>
      <c r="N470">
        <v>-1.039776704776775</v>
      </c>
      <c r="O470">
        <v>-0.57725648484984304</v>
      </c>
    </row>
    <row r="471" spans="1:15" x14ac:dyDescent="0.25">
      <c r="A471">
        <v>19.725506750000001</v>
      </c>
      <c r="B471">
        <v>61.616922500000001</v>
      </c>
      <c r="C471">
        <v>-6.9025654999999997</v>
      </c>
      <c r="D471">
        <v>-33.217136250000003</v>
      </c>
      <c r="E471">
        <v>19.937128000000001</v>
      </c>
      <c r="F471">
        <v>0.87711399999999995</v>
      </c>
      <c r="G471">
        <v>62.897652000000001</v>
      </c>
      <c r="H471">
        <v>36</v>
      </c>
      <c r="I471">
        <v>-8</v>
      </c>
      <c r="J471">
        <v>1.18</v>
      </c>
      <c r="K471">
        <v>10.25278</v>
      </c>
      <c r="L471">
        <v>0.66575644833074943</v>
      </c>
      <c r="M471">
        <v>2.3710478662219692</v>
      </c>
      <c r="N471">
        <v>-1.074114586958451</v>
      </c>
      <c r="O471">
        <v>-0.52347301746505459</v>
      </c>
    </row>
    <row r="472" spans="1:15" x14ac:dyDescent="0.25">
      <c r="A472">
        <v>14.488476500000001</v>
      </c>
      <c r="B472">
        <v>61.901211000000004</v>
      </c>
      <c r="C472">
        <v>-0.72183699999999995</v>
      </c>
      <c r="D472">
        <v>-32.736362249999999</v>
      </c>
      <c r="E472">
        <v>20.73904825</v>
      </c>
      <c r="F472">
        <v>0.82838750000000005</v>
      </c>
      <c r="G472">
        <v>63.017685749999998</v>
      </c>
      <c r="H472">
        <v>36</v>
      </c>
      <c r="I472">
        <v>-4</v>
      </c>
      <c r="J472">
        <v>1.18</v>
      </c>
      <c r="K472">
        <v>10.266719999999999</v>
      </c>
      <c r="L472">
        <v>0.40595830920154591</v>
      </c>
      <c r="M472">
        <v>2.525877010264225</v>
      </c>
      <c r="N472">
        <v>-1.1284445133176979</v>
      </c>
      <c r="O472">
        <v>-0.46862307974165429</v>
      </c>
    </row>
    <row r="473" spans="1:15" x14ac:dyDescent="0.25">
      <c r="A473">
        <v>8.4397592499999998</v>
      </c>
      <c r="B473">
        <v>62.906848999999987</v>
      </c>
      <c r="C473">
        <v>6.1407939999999996</v>
      </c>
      <c r="D473">
        <v>-32.561535499999998</v>
      </c>
      <c r="E473">
        <v>21.3634235</v>
      </c>
      <c r="F473">
        <v>0.82838750000000005</v>
      </c>
      <c r="G473">
        <v>63.53783</v>
      </c>
      <c r="H473">
        <v>36</v>
      </c>
      <c r="I473">
        <v>0</v>
      </c>
      <c r="J473">
        <v>1.18</v>
      </c>
      <c r="K473">
        <v>10.309566</v>
      </c>
      <c r="L473">
        <v>6.6431406634744547E-2</v>
      </c>
      <c r="M473">
        <v>2.7613403083438421</v>
      </c>
      <c r="N473">
        <v>-1.2198587267284879</v>
      </c>
      <c r="O473">
        <v>-0.40604293352031562</v>
      </c>
    </row>
    <row r="474" spans="1:15" x14ac:dyDescent="0.25">
      <c r="A474">
        <v>1.7604015</v>
      </c>
      <c r="B474">
        <v>63.151720249999997</v>
      </c>
      <c r="C474">
        <v>12.147812500000001</v>
      </c>
      <c r="D474">
        <v>-32.954896499999997</v>
      </c>
      <c r="E474">
        <v>21.364802000000001</v>
      </c>
      <c r="F474">
        <v>0.77966100000000005</v>
      </c>
      <c r="G474">
        <v>64.017966999999999</v>
      </c>
      <c r="H474">
        <v>36</v>
      </c>
      <c r="I474">
        <v>4</v>
      </c>
      <c r="J474">
        <v>1.18</v>
      </c>
      <c r="K474">
        <v>10.35295</v>
      </c>
      <c r="L474">
        <v>-0.28102468644278328</v>
      </c>
      <c r="M474">
        <v>2.600146602609704</v>
      </c>
      <c r="N474">
        <v>-1.153977779858103</v>
      </c>
      <c r="O474">
        <v>-0.44307743364017238</v>
      </c>
    </row>
    <row r="475" spans="1:15" x14ac:dyDescent="0.25">
      <c r="A475">
        <v>-6.5318070000000006</v>
      </c>
      <c r="B475">
        <v>63.147325000000002</v>
      </c>
      <c r="C475">
        <v>17.65605025</v>
      </c>
      <c r="D475">
        <v>-34.397219749999998</v>
      </c>
      <c r="E475">
        <v>19.396913250000001</v>
      </c>
      <c r="F475">
        <v>0.77966100000000005</v>
      </c>
      <c r="G475">
        <v>64.338050999999993</v>
      </c>
      <c r="H475">
        <v>36</v>
      </c>
      <c r="I475">
        <v>8</v>
      </c>
      <c r="J475">
        <v>1.18</v>
      </c>
      <c r="K475">
        <v>10.379118</v>
      </c>
      <c r="L475">
        <v>-0.60678343132594881</v>
      </c>
      <c r="M475">
        <v>2.4471288714567891</v>
      </c>
      <c r="N475">
        <v>-1.127466530017265</v>
      </c>
      <c r="O475">
        <v>-0.53296247118087525</v>
      </c>
    </row>
    <row r="476" spans="1:15" x14ac:dyDescent="0.25">
      <c r="A476">
        <v>-14.954616</v>
      </c>
      <c r="B476">
        <v>62.911232249999998</v>
      </c>
      <c r="C476">
        <v>22.308650499999999</v>
      </c>
      <c r="D476">
        <v>-35.621008750000001</v>
      </c>
      <c r="E476">
        <v>16.94103625</v>
      </c>
      <c r="F476">
        <v>0.77966100000000005</v>
      </c>
      <c r="G476">
        <v>64.978240999999997</v>
      </c>
      <c r="H476">
        <v>36</v>
      </c>
      <c r="I476">
        <v>12</v>
      </c>
      <c r="J476">
        <v>1.18</v>
      </c>
      <c r="K476">
        <v>10.431258</v>
      </c>
      <c r="L476">
        <v>-0.88241719339324487</v>
      </c>
      <c r="M476">
        <v>2.3333277403446862</v>
      </c>
      <c r="N476">
        <v>-1.137596800521383</v>
      </c>
      <c r="O476">
        <v>-0.61731678654674493</v>
      </c>
    </row>
    <row r="477" spans="1:15" x14ac:dyDescent="0.25">
      <c r="A477">
        <v>-22.930364749999999</v>
      </c>
      <c r="B477">
        <v>62.041156749999999</v>
      </c>
      <c r="C477">
        <v>26.4650125</v>
      </c>
      <c r="D477">
        <v>-35.883247500000003</v>
      </c>
      <c r="E477">
        <v>14.035501249999999</v>
      </c>
      <c r="F477">
        <v>0.82838750000000005</v>
      </c>
      <c r="G477">
        <v>65.258314500000012</v>
      </c>
      <c r="H477">
        <v>36</v>
      </c>
      <c r="I477">
        <v>16</v>
      </c>
      <c r="J477">
        <v>1.18</v>
      </c>
      <c r="K477">
        <v>10.450029000000001</v>
      </c>
      <c r="L477">
        <v>-1.1371153787587771</v>
      </c>
      <c r="M477">
        <v>2.254229671857475</v>
      </c>
      <c r="N477">
        <v>-1.1792473823751279</v>
      </c>
      <c r="O477">
        <v>-0.69605850533996982</v>
      </c>
    </row>
    <row r="478" spans="1:15" x14ac:dyDescent="0.25">
      <c r="A478">
        <v>-32.0734645</v>
      </c>
      <c r="B478">
        <v>59.881091750000003</v>
      </c>
      <c r="C478">
        <v>29.803074500000001</v>
      </c>
      <c r="D478">
        <v>-38.636777250000002</v>
      </c>
      <c r="E478">
        <v>9.6550615000000004</v>
      </c>
      <c r="F478">
        <v>0.77966100000000005</v>
      </c>
      <c r="G478">
        <v>65.618408000000002</v>
      </c>
      <c r="H478">
        <v>36</v>
      </c>
      <c r="I478">
        <v>20</v>
      </c>
      <c r="J478">
        <v>1.18</v>
      </c>
      <c r="K478">
        <v>10.483138</v>
      </c>
      <c r="L478">
        <v>-1.374708580262296</v>
      </c>
      <c r="M478">
        <v>2.1887698872484829</v>
      </c>
      <c r="N478">
        <v>-1.2433441715511839</v>
      </c>
      <c r="O478">
        <v>-0.80278982015195854</v>
      </c>
    </row>
    <row r="479" spans="1:15" x14ac:dyDescent="0.25">
      <c r="A479">
        <v>-41.353085499999999</v>
      </c>
      <c r="B479">
        <v>58.3379355</v>
      </c>
      <c r="C479">
        <v>32.424269250000002</v>
      </c>
      <c r="D479">
        <v>-44.406067749999998</v>
      </c>
      <c r="E479">
        <v>4.0226392500000001</v>
      </c>
      <c r="F479">
        <v>0.77966100000000005</v>
      </c>
      <c r="G479">
        <v>66.2986085</v>
      </c>
      <c r="H479">
        <v>36</v>
      </c>
      <c r="I479">
        <v>24</v>
      </c>
      <c r="J479">
        <v>1.18</v>
      </c>
      <c r="K479">
        <v>10.5379805</v>
      </c>
      <c r="L479">
        <v>-1.572987489518062</v>
      </c>
      <c r="M479">
        <v>2.190611153163097</v>
      </c>
      <c r="N479">
        <v>-1.327791021299157</v>
      </c>
      <c r="O479">
        <v>-0.93085426890251999</v>
      </c>
    </row>
    <row r="480" spans="1:15" x14ac:dyDescent="0.25">
      <c r="A480">
        <v>-50.053722499999999</v>
      </c>
      <c r="B480">
        <v>55.311881249999999</v>
      </c>
      <c r="C480">
        <v>34.363844749999998</v>
      </c>
      <c r="D480">
        <v>-50.918374999999997</v>
      </c>
      <c r="E480">
        <v>-2.4530447500000001</v>
      </c>
      <c r="F480">
        <v>0.82838750000000005</v>
      </c>
      <c r="G480">
        <v>66.378629500000002</v>
      </c>
      <c r="H480">
        <v>36</v>
      </c>
      <c r="I480">
        <v>28</v>
      </c>
      <c r="J480">
        <v>1.18</v>
      </c>
      <c r="K480">
        <v>10.54049575</v>
      </c>
      <c r="L480">
        <v>-1.7575261826846209</v>
      </c>
      <c r="M480">
        <v>2.211720484072373</v>
      </c>
      <c r="N480">
        <v>-1.433124990185404</v>
      </c>
      <c r="O480">
        <v>-1.0683710242862561</v>
      </c>
    </row>
    <row r="481" spans="1:15" x14ac:dyDescent="0.25">
      <c r="A481">
        <v>-59.142800250000001</v>
      </c>
      <c r="B481">
        <v>52.181899999999999</v>
      </c>
      <c r="C481">
        <v>35.041206500000001</v>
      </c>
      <c r="D481">
        <v>-58.261105499999999</v>
      </c>
      <c r="E481">
        <v>-10.079784500000001</v>
      </c>
      <c r="F481">
        <v>0.82838750000000005</v>
      </c>
      <c r="G481">
        <v>66.858755500000001</v>
      </c>
      <c r="H481">
        <v>36</v>
      </c>
      <c r="I481">
        <v>32</v>
      </c>
      <c r="J481">
        <v>1.18</v>
      </c>
      <c r="K481">
        <v>10.5790275</v>
      </c>
      <c r="L481">
        <v>-1.937059691356583</v>
      </c>
      <c r="M481">
        <v>2.2714612909296772</v>
      </c>
      <c r="N481">
        <v>-1.582379199063991</v>
      </c>
      <c r="O481">
        <v>-1.224347037578831</v>
      </c>
    </row>
    <row r="482" spans="1:15" x14ac:dyDescent="0.25">
      <c r="A482">
        <v>-65.502563749999993</v>
      </c>
      <c r="B482">
        <v>47.709157750000003</v>
      </c>
      <c r="C482">
        <v>35.535654999999998</v>
      </c>
      <c r="D482">
        <v>-63.855576499999998</v>
      </c>
      <c r="E482">
        <v>-16.992909999999998</v>
      </c>
      <c r="F482">
        <v>0.82838750000000005</v>
      </c>
      <c r="G482">
        <v>66.498660999999998</v>
      </c>
      <c r="H482">
        <v>36</v>
      </c>
      <c r="I482">
        <v>36</v>
      </c>
      <c r="J482">
        <v>1.18</v>
      </c>
      <c r="K482">
        <v>10.55013475</v>
      </c>
      <c r="L482">
        <v>-2.118847894733606</v>
      </c>
      <c r="M482">
        <v>2.3396426106530042</v>
      </c>
      <c r="N482">
        <v>-1.750978551126722</v>
      </c>
      <c r="O482">
        <v>-1.373782063347627</v>
      </c>
    </row>
    <row r="483" spans="1:15" x14ac:dyDescent="0.25">
      <c r="A483">
        <v>-68.926319000000007</v>
      </c>
      <c r="B483">
        <v>40.158447250000002</v>
      </c>
      <c r="C483">
        <v>32.2866845</v>
      </c>
      <c r="D483">
        <v>-67.089876250000003</v>
      </c>
      <c r="E483">
        <v>-25.511666000000002</v>
      </c>
      <c r="F483">
        <v>0.77960375000000004</v>
      </c>
      <c r="G483">
        <v>63.57784075</v>
      </c>
      <c r="H483">
        <v>36</v>
      </c>
      <c r="I483">
        <v>40</v>
      </c>
      <c r="J483">
        <v>1.18</v>
      </c>
      <c r="K483">
        <v>10.31685875</v>
      </c>
      <c r="L483">
        <v>-2.3817783832426862</v>
      </c>
      <c r="M483">
        <v>2.5238155803188969</v>
      </c>
      <c r="N483">
        <v>-2.0966580296255279</v>
      </c>
      <c r="O483">
        <v>-1.6187777332890241</v>
      </c>
    </row>
    <row r="484" spans="1:15" x14ac:dyDescent="0.25">
      <c r="A484">
        <v>-71.764505499999999</v>
      </c>
      <c r="B484">
        <v>34.382346249999998</v>
      </c>
      <c r="C484">
        <v>30.168308249999999</v>
      </c>
      <c r="D484">
        <v>-70.586418250000008</v>
      </c>
      <c r="E484">
        <v>-32.915399999999998</v>
      </c>
      <c r="F484">
        <v>0.77966100000000005</v>
      </c>
      <c r="G484">
        <v>61.817350500000003</v>
      </c>
      <c r="H484">
        <v>36</v>
      </c>
      <c r="I484">
        <v>44</v>
      </c>
      <c r="J484">
        <v>1.18</v>
      </c>
      <c r="K484">
        <v>10.1712185</v>
      </c>
      <c r="L484">
        <v>-2.6642406774559531</v>
      </c>
      <c r="M484">
        <v>2.743586709586125</v>
      </c>
      <c r="N484">
        <v>-2.4760599912145218</v>
      </c>
      <c r="O484">
        <v>-1.8806935806536429</v>
      </c>
    </row>
    <row r="485" spans="1:15" x14ac:dyDescent="0.25">
      <c r="A485">
        <v>28.433504750000001</v>
      </c>
      <c r="B485">
        <v>32.896260249999997</v>
      </c>
      <c r="C485">
        <v>-72.228809500000011</v>
      </c>
      <c r="D485">
        <v>-71.329429500000003</v>
      </c>
      <c r="E485">
        <v>-31.532775749999999</v>
      </c>
      <c r="F485">
        <v>0.63348075000000004</v>
      </c>
      <c r="G485">
        <v>58.896529999999998</v>
      </c>
      <c r="H485">
        <v>40</v>
      </c>
      <c r="I485">
        <v>-44</v>
      </c>
      <c r="J485">
        <v>1.18</v>
      </c>
      <c r="K485">
        <v>9.9373477499999989</v>
      </c>
      <c r="L485">
        <v>2.5011601348199251</v>
      </c>
      <c r="M485">
        <v>2.5897024512154281</v>
      </c>
      <c r="N485">
        <v>-2.2469061848923819</v>
      </c>
      <c r="O485">
        <v>-1.799211480389076</v>
      </c>
    </row>
    <row r="486" spans="1:15" x14ac:dyDescent="0.25">
      <c r="A486">
        <v>28.798335250000001</v>
      </c>
      <c r="B486">
        <v>37.419684500000002</v>
      </c>
      <c r="C486">
        <v>-67.897787250000007</v>
      </c>
      <c r="D486">
        <v>-65.909794000000005</v>
      </c>
      <c r="E486">
        <v>-25.467063249999999</v>
      </c>
      <c r="F486">
        <v>0.73093425000000001</v>
      </c>
      <c r="G486">
        <v>58.816505499999998</v>
      </c>
      <c r="H486">
        <v>40</v>
      </c>
      <c r="I486">
        <v>-40</v>
      </c>
      <c r="J486">
        <v>1.18</v>
      </c>
      <c r="K486">
        <v>9.9221952499999997</v>
      </c>
      <c r="L486">
        <v>2.3336758600679679</v>
      </c>
      <c r="M486">
        <v>2.4938048916916031</v>
      </c>
      <c r="N486">
        <v>-2.0342239507180659</v>
      </c>
      <c r="O486">
        <v>-1.632333371715001</v>
      </c>
    </row>
    <row r="487" spans="1:15" x14ac:dyDescent="0.25">
      <c r="A487">
        <v>30.281960999999999</v>
      </c>
      <c r="B487">
        <v>42.755504500000001</v>
      </c>
      <c r="C487">
        <v>-63.792341</v>
      </c>
      <c r="D487">
        <v>-62.1073035</v>
      </c>
      <c r="E487">
        <v>-18.955346250000002</v>
      </c>
      <c r="F487">
        <v>0.77966100000000005</v>
      </c>
      <c r="G487">
        <v>60.176887749999999</v>
      </c>
      <c r="H487">
        <v>40</v>
      </c>
      <c r="I487">
        <v>-36</v>
      </c>
      <c r="J487">
        <v>1.18</v>
      </c>
      <c r="K487">
        <v>10.03360225</v>
      </c>
      <c r="L487">
        <v>2.1383110983516631</v>
      </c>
      <c r="M487">
        <v>2.3835431944564101</v>
      </c>
      <c r="N487">
        <v>-1.7986774359690361</v>
      </c>
      <c r="O487">
        <v>-1.4485689529244561</v>
      </c>
    </row>
    <row r="488" spans="1:15" x14ac:dyDescent="0.25">
      <c r="A488">
        <v>29.966037499999999</v>
      </c>
      <c r="B488">
        <v>47.224939249999998</v>
      </c>
      <c r="C488">
        <v>-56.889774500000001</v>
      </c>
      <c r="D488">
        <v>-56.294306749999997</v>
      </c>
      <c r="E488">
        <v>-12.755833000000001</v>
      </c>
      <c r="F488">
        <v>0.77966100000000005</v>
      </c>
      <c r="G488">
        <v>60.657024</v>
      </c>
      <c r="H488">
        <v>40</v>
      </c>
      <c r="I488">
        <v>-32</v>
      </c>
      <c r="J488">
        <v>1.18</v>
      </c>
      <c r="K488">
        <v>10.074078999999999</v>
      </c>
      <c r="L488">
        <v>1.981387344310767</v>
      </c>
      <c r="M488">
        <v>2.3615135335039992</v>
      </c>
      <c r="N488">
        <v>-1.674726393307836</v>
      </c>
      <c r="O488">
        <v>-1.3087719963954909</v>
      </c>
    </row>
    <row r="489" spans="1:15" x14ac:dyDescent="0.25">
      <c r="A489">
        <v>28.978889500000001</v>
      </c>
      <c r="B489">
        <v>51.175524750000001</v>
      </c>
      <c r="C489">
        <v>-50.438354750000002</v>
      </c>
      <c r="D489">
        <v>-51.879925</v>
      </c>
      <c r="E489">
        <v>-7.8943452500000006</v>
      </c>
      <c r="F489">
        <v>0.77966100000000005</v>
      </c>
      <c r="G489">
        <v>61.497257249999997</v>
      </c>
      <c r="H489">
        <v>40</v>
      </c>
      <c r="I489">
        <v>-28</v>
      </c>
      <c r="J489">
        <v>1.18</v>
      </c>
      <c r="K489">
        <v>10.144512499999999</v>
      </c>
      <c r="L489">
        <v>1.8355999268957699</v>
      </c>
      <c r="M489">
        <v>2.3820021272331759</v>
      </c>
      <c r="N489">
        <v>-1.6039160074240399</v>
      </c>
      <c r="O489">
        <v>-1.2004904025629211</v>
      </c>
    </row>
    <row r="490" spans="1:15" x14ac:dyDescent="0.25">
      <c r="A490">
        <v>27.803458249999998</v>
      </c>
      <c r="B490">
        <v>54.830893750000001</v>
      </c>
      <c r="C490">
        <v>-43.355330500000001</v>
      </c>
      <c r="D490">
        <v>-47.727780500000001</v>
      </c>
      <c r="E490">
        <v>-2.85445225</v>
      </c>
      <c r="F490">
        <v>0.77966100000000005</v>
      </c>
      <c r="G490">
        <v>62.257469</v>
      </c>
      <c r="H490">
        <v>40</v>
      </c>
      <c r="I490">
        <v>-24</v>
      </c>
      <c r="J490">
        <v>1.18</v>
      </c>
      <c r="K490">
        <v>10.207824</v>
      </c>
      <c r="L490">
        <v>1.6669984381910401</v>
      </c>
      <c r="M490">
        <v>2.4026110983019442</v>
      </c>
      <c r="N490">
        <v>-1.525356833130999</v>
      </c>
      <c r="O490">
        <v>-1.085124937549871</v>
      </c>
    </row>
    <row r="491" spans="1:15" x14ac:dyDescent="0.25">
      <c r="A491">
        <v>25.409595750000001</v>
      </c>
      <c r="B491">
        <v>57.616529499999999</v>
      </c>
      <c r="C491">
        <v>-36.768568250000001</v>
      </c>
      <c r="D491">
        <v>-45.45503025</v>
      </c>
      <c r="E491">
        <v>0.80455349999999992</v>
      </c>
      <c r="F491">
        <v>0.92584049999999996</v>
      </c>
      <c r="G491">
        <v>62.577559999999998</v>
      </c>
      <c r="H491">
        <v>40</v>
      </c>
      <c r="I491">
        <v>-20</v>
      </c>
      <c r="J491">
        <v>1.18</v>
      </c>
      <c r="K491">
        <v>10.222250000000001</v>
      </c>
      <c r="L491">
        <v>1.483378040917575</v>
      </c>
      <c r="M491">
        <v>2.4590305883427162</v>
      </c>
      <c r="N491">
        <v>-1.473754041947914</v>
      </c>
      <c r="O491">
        <v>-1.002909760223238</v>
      </c>
    </row>
    <row r="492" spans="1:15" x14ac:dyDescent="0.25">
      <c r="A492">
        <v>22.4759855</v>
      </c>
      <c r="B492">
        <v>59.872743749999998</v>
      </c>
      <c r="C492">
        <v>-29.505082999999999</v>
      </c>
      <c r="D492">
        <v>-44.143828249999999</v>
      </c>
      <c r="E492">
        <v>4.24639525</v>
      </c>
      <c r="F492">
        <v>0.77966100000000005</v>
      </c>
      <c r="G492">
        <v>63.337770499999998</v>
      </c>
      <c r="H492">
        <v>40</v>
      </c>
      <c r="I492">
        <v>-16</v>
      </c>
      <c r="J492">
        <v>1.18</v>
      </c>
      <c r="K492">
        <v>10.297119</v>
      </c>
      <c r="L492">
        <v>1.2656445513430239</v>
      </c>
      <c r="M492">
        <v>2.5327627083043391</v>
      </c>
      <c r="N492">
        <v>-1.43889414744286</v>
      </c>
      <c r="O492">
        <v>-0.91565811648926532</v>
      </c>
    </row>
    <row r="493" spans="1:15" x14ac:dyDescent="0.25">
      <c r="A493">
        <v>18.865406</v>
      </c>
      <c r="B493">
        <v>61.7482775</v>
      </c>
      <c r="C493">
        <v>-21.65510725</v>
      </c>
      <c r="D493">
        <v>-43.094861999999999</v>
      </c>
      <c r="E493">
        <v>7.5541707499999999</v>
      </c>
      <c r="F493">
        <v>0.77966100000000005</v>
      </c>
      <c r="G493">
        <v>63.697876000000001</v>
      </c>
      <c r="H493">
        <v>40</v>
      </c>
      <c r="I493">
        <v>-12</v>
      </c>
      <c r="J493">
        <v>1.18</v>
      </c>
      <c r="K493">
        <v>10.326715</v>
      </c>
      <c r="L493">
        <v>1.0148101228505939</v>
      </c>
      <c r="M493">
        <v>2.6257382395732729</v>
      </c>
      <c r="N493">
        <v>-1.4060892762611621</v>
      </c>
      <c r="O493">
        <v>-0.8303389036345481</v>
      </c>
    </row>
    <row r="494" spans="1:15" x14ac:dyDescent="0.25">
      <c r="A494">
        <v>14.351219</v>
      </c>
      <c r="B494">
        <v>62.954962999999999</v>
      </c>
      <c r="C494">
        <v>-15.339035000000001</v>
      </c>
      <c r="D494">
        <v>-42.920036250000003</v>
      </c>
      <c r="E494">
        <v>8.8492730000000002</v>
      </c>
      <c r="F494">
        <v>0.82838750000000005</v>
      </c>
      <c r="G494">
        <v>64.178009000000003</v>
      </c>
      <c r="H494">
        <v>40</v>
      </c>
      <c r="I494">
        <v>-8</v>
      </c>
      <c r="J494">
        <v>1.18</v>
      </c>
      <c r="K494">
        <v>10.3620555</v>
      </c>
      <c r="L494">
        <v>0.78176275273500428</v>
      </c>
      <c r="M494">
        <v>2.7877742494007092</v>
      </c>
      <c r="N494">
        <v>-1.4568670334683971</v>
      </c>
      <c r="O494">
        <v>-0.78882501057935872</v>
      </c>
    </row>
    <row r="495" spans="1:15" x14ac:dyDescent="0.25">
      <c r="A495">
        <v>8.3038249999999998</v>
      </c>
      <c r="B495">
        <v>63.859798249999997</v>
      </c>
      <c r="C495">
        <v>-8.2560099999999998</v>
      </c>
      <c r="D495">
        <v>-43.007449999999999</v>
      </c>
      <c r="E495">
        <v>9.5196724999999986</v>
      </c>
      <c r="F495">
        <v>0.82838750000000005</v>
      </c>
      <c r="G495">
        <v>64.85820425</v>
      </c>
      <c r="H495">
        <v>40</v>
      </c>
      <c r="I495">
        <v>-4</v>
      </c>
      <c r="J495">
        <v>1.18</v>
      </c>
      <c r="K495">
        <v>10.41753825</v>
      </c>
      <c r="L495">
        <v>0.47109435520291021</v>
      </c>
      <c r="M495">
        <v>3.04019619512757</v>
      </c>
      <c r="N495">
        <v>-1.574307028909796</v>
      </c>
      <c r="O495">
        <v>-0.75274518001027624</v>
      </c>
    </row>
    <row r="496" spans="1:15" x14ac:dyDescent="0.25">
      <c r="A496">
        <v>1.76029575</v>
      </c>
      <c r="B496">
        <v>64.45035974999999</v>
      </c>
      <c r="C496">
        <v>-1.0827555</v>
      </c>
      <c r="D496">
        <v>-42.832624249999988</v>
      </c>
      <c r="E496">
        <v>9.8331987500000011</v>
      </c>
      <c r="F496">
        <v>0.92584049999999996</v>
      </c>
      <c r="G496">
        <v>65.138283000000001</v>
      </c>
      <c r="H496">
        <v>40</v>
      </c>
      <c r="I496">
        <v>0</v>
      </c>
      <c r="J496">
        <v>1.18</v>
      </c>
      <c r="K496">
        <v>10.432382499999999</v>
      </c>
      <c r="L496">
        <v>8.9423058606991873E-2</v>
      </c>
      <c r="M496">
        <v>3.374769222259951</v>
      </c>
      <c r="N496">
        <v>-1.7397613193681709</v>
      </c>
      <c r="O496">
        <v>-0.71986620074410002</v>
      </c>
    </row>
    <row r="497" spans="1:15" x14ac:dyDescent="0.25">
      <c r="A497">
        <v>-5.5861542499999999</v>
      </c>
      <c r="B497">
        <v>64.638240999999994</v>
      </c>
      <c r="C497">
        <v>5.0122652499999996</v>
      </c>
      <c r="D497">
        <v>-43.444518250000002</v>
      </c>
      <c r="E497">
        <v>9.2973987499999993</v>
      </c>
      <c r="F497">
        <v>0.77966100000000005</v>
      </c>
      <c r="G497">
        <v>65.538387</v>
      </c>
      <c r="H497">
        <v>40</v>
      </c>
      <c r="I497">
        <v>4</v>
      </c>
      <c r="J497">
        <v>1.18</v>
      </c>
      <c r="K497">
        <v>10.476665000000001</v>
      </c>
      <c r="L497">
        <v>-0.31333479676913678</v>
      </c>
      <c r="M497">
        <v>3.1968609239480279</v>
      </c>
      <c r="N497">
        <v>-1.663624560348357</v>
      </c>
      <c r="O497">
        <v>-0.7482176019651976</v>
      </c>
    </row>
    <row r="498" spans="1:15" x14ac:dyDescent="0.25">
      <c r="A498">
        <v>-13.78522675</v>
      </c>
      <c r="B498">
        <v>65.018421250000003</v>
      </c>
      <c r="C498">
        <v>10.11494575</v>
      </c>
      <c r="D498">
        <v>-44.930548999999999</v>
      </c>
      <c r="E498">
        <v>7.4637775</v>
      </c>
      <c r="F498">
        <v>0.82838750000000005</v>
      </c>
      <c r="G498">
        <v>66.378629500000002</v>
      </c>
      <c r="H498">
        <v>40</v>
      </c>
      <c r="I498">
        <v>8</v>
      </c>
      <c r="J498">
        <v>1.18</v>
      </c>
      <c r="K498">
        <v>10.54049575</v>
      </c>
      <c r="L498">
        <v>-0.64907650639111714</v>
      </c>
      <c r="M498">
        <v>2.9860112848584079</v>
      </c>
      <c r="N498">
        <v>-1.6000156200217699</v>
      </c>
      <c r="O498">
        <v>-0.81979608136900572</v>
      </c>
    </row>
    <row r="499" spans="1:15" x14ac:dyDescent="0.25">
      <c r="A499">
        <v>-21.577513</v>
      </c>
      <c r="B499">
        <v>64.629194249999998</v>
      </c>
      <c r="C499">
        <v>15.3541335</v>
      </c>
      <c r="D499">
        <v>-44.97425775</v>
      </c>
      <c r="E499">
        <v>6.2127907499999999</v>
      </c>
      <c r="F499">
        <v>0.87711399999999995</v>
      </c>
      <c r="G499">
        <v>66.2986085</v>
      </c>
      <c r="H499">
        <v>40</v>
      </c>
      <c r="I499">
        <v>12</v>
      </c>
      <c r="J499">
        <v>1.18</v>
      </c>
      <c r="K499">
        <v>10.530139999999999</v>
      </c>
      <c r="L499">
        <v>-0.93525798681759909</v>
      </c>
      <c r="M499">
        <v>2.7756470399150892</v>
      </c>
      <c r="N499">
        <v>-1.5216559662885361</v>
      </c>
      <c r="O499">
        <v>-0.86491034302019798</v>
      </c>
    </row>
    <row r="500" spans="1:15" x14ac:dyDescent="0.25">
      <c r="A500">
        <v>-30.949283999999999</v>
      </c>
      <c r="B500">
        <v>63.532074000000001</v>
      </c>
      <c r="C500">
        <v>18.290668499999999</v>
      </c>
      <c r="D500">
        <v>-46.722528250000003</v>
      </c>
      <c r="E500">
        <v>1.6537854999999999</v>
      </c>
      <c r="F500">
        <v>0.82838750000000005</v>
      </c>
      <c r="G500">
        <v>66.818745000000007</v>
      </c>
      <c r="H500">
        <v>40</v>
      </c>
      <c r="I500">
        <v>16</v>
      </c>
      <c r="J500">
        <v>1.18</v>
      </c>
      <c r="K500">
        <v>10.575817750000001</v>
      </c>
      <c r="L500">
        <v>-1.216104585131079</v>
      </c>
      <c r="M500">
        <v>2.7232677220125829</v>
      </c>
      <c r="N500">
        <v>-1.6096450644424369</v>
      </c>
      <c r="O500">
        <v>-0.97969432074944296</v>
      </c>
    </row>
    <row r="501" spans="1:15" x14ac:dyDescent="0.25">
      <c r="A501">
        <v>-39.058266750000001</v>
      </c>
      <c r="B501">
        <v>61.079253000000001</v>
      </c>
      <c r="C501">
        <v>22.308638500000001</v>
      </c>
      <c r="D501">
        <v>-47.684076500000003</v>
      </c>
      <c r="E501">
        <v>-1.3380255000000001</v>
      </c>
      <c r="F501">
        <v>0.82838750000000005</v>
      </c>
      <c r="G501">
        <v>66.018529999999998</v>
      </c>
      <c r="H501">
        <v>40</v>
      </c>
      <c r="I501">
        <v>20</v>
      </c>
      <c r="J501">
        <v>1.18</v>
      </c>
      <c r="K501">
        <v>10.511496749999999</v>
      </c>
      <c r="L501">
        <v>-1.459962541325023</v>
      </c>
      <c r="M501">
        <v>2.5876049773082528</v>
      </c>
      <c r="N501">
        <v>-1.602498590655913</v>
      </c>
      <c r="O501">
        <v>-1.051549179379194</v>
      </c>
    </row>
    <row r="502" spans="1:15" x14ac:dyDescent="0.25">
      <c r="A502">
        <v>-45.320177000000001</v>
      </c>
      <c r="B502">
        <v>56.221799750000002</v>
      </c>
      <c r="C502">
        <v>23.934357250000001</v>
      </c>
      <c r="D502">
        <v>-49.432346500000001</v>
      </c>
      <c r="E502">
        <v>-5.7089040000000004</v>
      </c>
      <c r="F502">
        <v>0.82838750000000005</v>
      </c>
      <c r="G502">
        <v>63.457805499999999</v>
      </c>
      <c r="H502">
        <v>40</v>
      </c>
      <c r="I502">
        <v>24</v>
      </c>
      <c r="J502">
        <v>1.18</v>
      </c>
      <c r="K502">
        <v>10.302986000000001</v>
      </c>
      <c r="L502">
        <v>-1.6620920892921149</v>
      </c>
      <c r="M502">
        <v>2.5357059022789308</v>
      </c>
      <c r="N502">
        <v>-1.660027340121387</v>
      </c>
      <c r="O502">
        <v>-1.1568999498146599</v>
      </c>
    </row>
    <row r="503" spans="1:15" x14ac:dyDescent="0.25">
      <c r="A503">
        <v>-52.160977500000001</v>
      </c>
      <c r="B503">
        <v>51.412410000000001</v>
      </c>
      <c r="C503">
        <v>23.93279175</v>
      </c>
      <c r="D503">
        <v>-52.841471499999997</v>
      </c>
      <c r="E503">
        <v>-11.863815499999999</v>
      </c>
      <c r="F503">
        <v>0.82838750000000005</v>
      </c>
      <c r="G503">
        <v>61.137154750000001</v>
      </c>
      <c r="H503">
        <v>40</v>
      </c>
      <c r="I503">
        <v>28</v>
      </c>
      <c r="J503">
        <v>1.18</v>
      </c>
      <c r="K503">
        <v>10.110291500000001</v>
      </c>
      <c r="L503">
        <v>-1.872516335418698</v>
      </c>
      <c r="M503">
        <v>2.5654748977391639</v>
      </c>
      <c r="N503">
        <v>-1.796405602330756</v>
      </c>
      <c r="O503">
        <v>-1.312335791325776</v>
      </c>
    </row>
    <row r="504" spans="1:15" x14ac:dyDescent="0.25">
      <c r="A504">
        <v>-56.034761750000001</v>
      </c>
      <c r="B504">
        <v>45.644274750000001</v>
      </c>
      <c r="C504">
        <v>23.931225749999999</v>
      </c>
      <c r="D504">
        <v>-54.677158499999997</v>
      </c>
      <c r="E504">
        <v>-16.546902500000002</v>
      </c>
      <c r="F504">
        <v>0.77966100000000005</v>
      </c>
      <c r="G504">
        <v>58.73648275</v>
      </c>
      <c r="H504">
        <v>40</v>
      </c>
      <c r="I504">
        <v>32</v>
      </c>
      <c r="J504">
        <v>1.18</v>
      </c>
      <c r="K504">
        <v>9.9111957499999992</v>
      </c>
      <c r="L504">
        <v>-2.0605152522823968</v>
      </c>
      <c r="M504">
        <v>2.58500751409604</v>
      </c>
      <c r="N504">
        <v>-1.939888639065741</v>
      </c>
      <c r="O504">
        <v>-1.446479474372806</v>
      </c>
    </row>
    <row r="505" spans="1:15" x14ac:dyDescent="0.25">
      <c r="A505">
        <v>-60.588155749999999</v>
      </c>
      <c r="B505">
        <v>40.831736500000012</v>
      </c>
      <c r="C505">
        <v>23.390917250000001</v>
      </c>
      <c r="D505">
        <v>-57.736627499999997</v>
      </c>
      <c r="E505">
        <v>-22.255806249999999</v>
      </c>
      <c r="F505">
        <v>0.77966100000000005</v>
      </c>
      <c r="G505">
        <v>57.216056999999999</v>
      </c>
      <c r="H505">
        <v>40</v>
      </c>
      <c r="I505">
        <v>36</v>
      </c>
      <c r="J505">
        <v>1.18</v>
      </c>
      <c r="K505">
        <v>9.7803304999999998</v>
      </c>
      <c r="L505">
        <v>-2.2755391337955921</v>
      </c>
      <c r="M505">
        <v>2.6708111162468828</v>
      </c>
      <c r="N505">
        <v>-2.1534602807088139</v>
      </c>
      <c r="O505">
        <v>-1.6242164613480019</v>
      </c>
    </row>
    <row r="506" spans="1:15" x14ac:dyDescent="0.25">
      <c r="A506">
        <v>-65.822214000000002</v>
      </c>
      <c r="B506">
        <v>37.075230500000004</v>
      </c>
      <c r="C506">
        <v>22.671394750000001</v>
      </c>
      <c r="D506">
        <v>-61.713943499999999</v>
      </c>
      <c r="E506">
        <v>-28.767524000000002</v>
      </c>
      <c r="F506">
        <v>0.68220750000000008</v>
      </c>
      <c r="G506">
        <v>57.536144</v>
      </c>
      <c r="H506">
        <v>40</v>
      </c>
      <c r="I506">
        <v>40</v>
      </c>
      <c r="J506">
        <v>1.18</v>
      </c>
      <c r="K506">
        <v>9.8164392500000002</v>
      </c>
      <c r="L506">
        <v>-2.528425640912463</v>
      </c>
      <c r="M506">
        <v>2.8226892070527878</v>
      </c>
      <c r="N506">
        <v>-2.4660711742522552</v>
      </c>
      <c r="O506">
        <v>-1.8415479851995269</v>
      </c>
    </row>
    <row r="507" spans="1:15" x14ac:dyDescent="0.25">
      <c r="A507">
        <v>-70.493896499999991</v>
      </c>
      <c r="B507">
        <v>33.571904250000003</v>
      </c>
      <c r="C507">
        <v>22.03480725</v>
      </c>
      <c r="D507">
        <v>-66.521684750000006</v>
      </c>
      <c r="E507">
        <v>-35.859055499999997</v>
      </c>
      <c r="F507">
        <v>0.63348075000000004</v>
      </c>
      <c r="G507">
        <v>58.256351000000002</v>
      </c>
      <c r="H507">
        <v>40</v>
      </c>
      <c r="I507">
        <v>44</v>
      </c>
      <c r="J507">
        <v>1.18</v>
      </c>
      <c r="K507">
        <v>9.8826027500000002</v>
      </c>
      <c r="L507">
        <v>-2.8344309771754488</v>
      </c>
      <c r="M507">
        <v>3.0661712757214281</v>
      </c>
      <c r="N507">
        <v>-2.8834557466629631</v>
      </c>
      <c r="O507">
        <v>-2.117962351935021</v>
      </c>
    </row>
    <row r="508" spans="1:15" x14ac:dyDescent="0.25">
      <c r="A508">
        <v>22.114937250000001</v>
      </c>
      <c r="B508">
        <v>33.567205250000001</v>
      </c>
      <c r="C508">
        <v>-76.469602500000008</v>
      </c>
      <c r="D508">
        <v>-72.684339249999994</v>
      </c>
      <c r="E508">
        <v>-38.579703500000001</v>
      </c>
      <c r="F508">
        <v>0.77966100000000005</v>
      </c>
      <c r="G508">
        <v>59.576719500000003</v>
      </c>
      <c r="H508">
        <v>44</v>
      </c>
      <c r="I508">
        <v>-44</v>
      </c>
      <c r="J508">
        <v>1.18</v>
      </c>
      <c r="K508">
        <v>9.9827852500000009</v>
      </c>
      <c r="L508">
        <v>2.7388892381491461</v>
      </c>
      <c r="M508">
        <v>2.9519739568455252</v>
      </c>
      <c r="N508">
        <v>-2.727217066414664</v>
      </c>
      <c r="O508">
        <v>-2.093600907420146</v>
      </c>
    </row>
    <row r="509" spans="1:15" x14ac:dyDescent="0.25">
      <c r="A509">
        <v>22.97395075</v>
      </c>
      <c r="B509">
        <v>38.574019499999999</v>
      </c>
      <c r="C509">
        <v>-73.943176499999993</v>
      </c>
      <c r="D509">
        <v>-69.624866499999996</v>
      </c>
      <c r="E509">
        <v>-33.450607000000012</v>
      </c>
      <c r="F509">
        <v>0.77966100000000005</v>
      </c>
      <c r="G509">
        <v>60.256912499999999</v>
      </c>
      <c r="H509">
        <v>44</v>
      </c>
      <c r="I509">
        <v>-40</v>
      </c>
      <c r="J509">
        <v>1.18</v>
      </c>
      <c r="K509">
        <v>10.040361499999999</v>
      </c>
      <c r="L509">
        <v>2.5284206542087539</v>
      </c>
      <c r="M509">
        <v>2.8228263028979921</v>
      </c>
      <c r="N509">
        <v>-2.444862688969629</v>
      </c>
      <c r="O509">
        <v>-1.893115596999472</v>
      </c>
    </row>
    <row r="510" spans="1:15" x14ac:dyDescent="0.25">
      <c r="A510">
        <v>23.693021999999999</v>
      </c>
      <c r="B510">
        <v>43.137242499999999</v>
      </c>
      <c r="C510">
        <v>-69.070776250000009</v>
      </c>
      <c r="D510">
        <v>-65.866090999999997</v>
      </c>
      <c r="E510">
        <v>-27.652505999999999</v>
      </c>
      <c r="F510">
        <v>0.73093425000000001</v>
      </c>
      <c r="G510">
        <v>60.697034500000001</v>
      </c>
      <c r="H510">
        <v>44</v>
      </c>
      <c r="I510">
        <v>-36</v>
      </c>
      <c r="J510">
        <v>1.18</v>
      </c>
      <c r="K510">
        <v>10.081538</v>
      </c>
      <c r="L510">
        <v>2.3298191460520572</v>
      </c>
      <c r="M510">
        <v>2.737682398065683</v>
      </c>
      <c r="N510">
        <v>-2.2189512995276561</v>
      </c>
      <c r="O510">
        <v>-1.7128686973523299</v>
      </c>
    </row>
    <row r="511" spans="1:15" x14ac:dyDescent="0.25">
      <c r="A511">
        <v>23.065752499999999</v>
      </c>
      <c r="B511">
        <v>47.279628500000001</v>
      </c>
      <c r="C511">
        <v>-64.333714999999998</v>
      </c>
      <c r="D511">
        <v>-62.719200000000001</v>
      </c>
      <c r="E511">
        <v>-23.415427749999999</v>
      </c>
      <c r="F511">
        <v>0.82838750000000005</v>
      </c>
      <c r="G511">
        <v>61.457245</v>
      </c>
      <c r="H511">
        <v>44</v>
      </c>
      <c r="I511">
        <v>-32</v>
      </c>
      <c r="J511">
        <v>1.18</v>
      </c>
      <c r="K511">
        <v>10.137096</v>
      </c>
      <c r="L511">
        <v>2.1789973542992072</v>
      </c>
      <c r="M511">
        <v>2.7424513651542868</v>
      </c>
      <c r="N511">
        <v>-2.1160527536730398</v>
      </c>
      <c r="O511">
        <v>-1.604488770425041</v>
      </c>
    </row>
    <row r="512" spans="1:15" x14ac:dyDescent="0.25">
      <c r="A512">
        <v>21.981010749999999</v>
      </c>
      <c r="B512">
        <v>50.979559000000002</v>
      </c>
      <c r="C512">
        <v>-57.566496999999998</v>
      </c>
      <c r="D512">
        <v>-58.61076525</v>
      </c>
      <c r="E512">
        <v>-18.375535500000002</v>
      </c>
      <c r="F512">
        <v>0.77966100000000005</v>
      </c>
      <c r="G512">
        <v>61.937381999999999</v>
      </c>
      <c r="H512">
        <v>44</v>
      </c>
      <c r="I512">
        <v>-28</v>
      </c>
      <c r="J512">
        <v>1.18</v>
      </c>
      <c r="K512">
        <v>10.181215999999999</v>
      </c>
      <c r="L512">
        <v>2.0030605601027061</v>
      </c>
      <c r="M512">
        <v>2.7596288394650039</v>
      </c>
      <c r="N512">
        <v>-2.022402746801256</v>
      </c>
      <c r="O512">
        <v>-1.4823653223951221</v>
      </c>
    </row>
    <row r="513" spans="1:15" x14ac:dyDescent="0.25">
      <c r="A513">
        <v>20.310982750000001</v>
      </c>
      <c r="B513">
        <v>54.253747750000002</v>
      </c>
      <c r="C513">
        <v>-51.295536749999997</v>
      </c>
      <c r="D513">
        <v>-55.85723875</v>
      </c>
      <c r="E513">
        <v>-14.49526475</v>
      </c>
      <c r="F513">
        <v>0.92584049999999996</v>
      </c>
      <c r="G513">
        <v>62.417518999999999</v>
      </c>
      <c r="H513">
        <v>44</v>
      </c>
      <c r="I513">
        <v>-24</v>
      </c>
      <c r="J513">
        <v>1.18</v>
      </c>
      <c r="K513">
        <v>10.20897325</v>
      </c>
      <c r="L513">
        <v>1.8322968810258671</v>
      </c>
      <c r="M513">
        <v>2.8175614833882299</v>
      </c>
      <c r="N513">
        <v>-1.968101784719787</v>
      </c>
      <c r="O513">
        <v>-1.39463917359457</v>
      </c>
    </row>
    <row r="514" spans="1:15" x14ac:dyDescent="0.25">
      <c r="A514">
        <v>17.962743750000001</v>
      </c>
      <c r="B514">
        <v>57.372035749999988</v>
      </c>
      <c r="C514">
        <v>-44.618544499999999</v>
      </c>
      <c r="D514">
        <v>-53.890431499999998</v>
      </c>
      <c r="E514">
        <v>-10.92719975</v>
      </c>
      <c r="F514">
        <v>0.92584049999999996</v>
      </c>
      <c r="G514">
        <v>63.217739000000002</v>
      </c>
      <c r="H514">
        <v>44</v>
      </c>
      <c r="I514">
        <v>-20</v>
      </c>
      <c r="J514">
        <v>1.18</v>
      </c>
      <c r="K514">
        <v>10.27518525</v>
      </c>
      <c r="L514">
        <v>1.6327794880595581</v>
      </c>
      <c r="M514">
        <v>2.902956898121551</v>
      </c>
      <c r="N514">
        <v>-1.9345068351007979</v>
      </c>
      <c r="O514">
        <v>-1.309231325140606</v>
      </c>
    </row>
    <row r="515" spans="1:15" x14ac:dyDescent="0.25">
      <c r="A515">
        <v>14.532658</v>
      </c>
      <c r="B515">
        <v>59.584204499999998</v>
      </c>
      <c r="C515">
        <v>-37.535519749999999</v>
      </c>
      <c r="D515">
        <v>-52.841470749999999</v>
      </c>
      <c r="E515">
        <v>-8.3849532499999988</v>
      </c>
      <c r="F515">
        <v>0.77966100000000005</v>
      </c>
      <c r="G515">
        <v>63.377780999999999</v>
      </c>
      <c r="H515">
        <v>44</v>
      </c>
      <c r="I515">
        <v>-16</v>
      </c>
      <c r="J515">
        <v>1.175</v>
      </c>
      <c r="K515">
        <v>10.3223755</v>
      </c>
      <c r="L515">
        <v>1.4147507607313721</v>
      </c>
      <c r="M515">
        <v>3.0547672525059859</v>
      </c>
      <c r="N515">
        <v>-1.9499004161297919</v>
      </c>
      <c r="O515">
        <v>-1.2490164126010661</v>
      </c>
    </row>
    <row r="516" spans="1:15" x14ac:dyDescent="0.25">
      <c r="A516">
        <v>11.013785</v>
      </c>
      <c r="B516">
        <v>61.22782875</v>
      </c>
      <c r="C516">
        <v>-31.038986999999999</v>
      </c>
      <c r="D516">
        <v>-52.316993750000002</v>
      </c>
      <c r="E516">
        <v>-6.1103120000000004</v>
      </c>
      <c r="F516">
        <v>0.77966100000000005</v>
      </c>
      <c r="G516">
        <v>63.977956499999998</v>
      </c>
      <c r="H516">
        <v>44</v>
      </c>
      <c r="I516">
        <v>-12</v>
      </c>
      <c r="J516">
        <v>1.1775</v>
      </c>
      <c r="K516">
        <v>10.360709999999999</v>
      </c>
      <c r="L516">
        <v>1.1823221517895779</v>
      </c>
      <c r="M516">
        <v>3.1923577475011542</v>
      </c>
      <c r="N516">
        <v>-1.9705658079900441</v>
      </c>
      <c r="O516">
        <v>-1.193694859927348</v>
      </c>
    </row>
    <row r="517" spans="1:15" x14ac:dyDescent="0.25">
      <c r="A517">
        <v>5.8224615000000002</v>
      </c>
      <c r="B517">
        <v>62.714459499999997</v>
      </c>
      <c r="C517">
        <v>-23.54993</v>
      </c>
      <c r="D517">
        <v>-52.360698499999998</v>
      </c>
      <c r="E517">
        <v>-4.8168889999999998</v>
      </c>
      <c r="F517">
        <v>0.77960375000000004</v>
      </c>
      <c r="G517">
        <v>64.618137500000003</v>
      </c>
      <c r="H517">
        <v>44</v>
      </c>
      <c r="I517">
        <v>-8</v>
      </c>
      <c r="J517">
        <v>1.18</v>
      </c>
      <c r="K517">
        <v>10.401964749999999</v>
      </c>
      <c r="L517">
        <v>0.88630493859091775</v>
      </c>
      <c r="M517">
        <v>3.4726456754996868</v>
      </c>
      <c r="N517">
        <v>-2.0953674356311618</v>
      </c>
      <c r="O517">
        <v>-1.1688670225959601</v>
      </c>
    </row>
    <row r="518" spans="1:15" x14ac:dyDescent="0.25">
      <c r="A518">
        <v>0.72215874999999996</v>
      </c>
      <c r="B518">
        <v>63.488408249999999</v>
      </c>
      <c r="C518">
        <v>-15.56460925</v>
      </c>
      <c r="D518">
        <v>-51.442855000000002</v>
      </c>
      <c r="E518">
        <v>-3.1220574999999999</v>
      </c>
      <c r="F518">
        <v>0.77960375000000004</v>
      </c>
      <c r="G518">
        <v>64.738170999999994</v>
      </c>
      <c r="H518">
        <v>44</v>
      </c>
      <c r="I518">
        <v>-4</v>
      </c>
      <c r="J518">
        <v>1.18</v>
      </c>
      <c r="K518">
        <v>10.41173875</v>
      </c>
      <c r="L518">
        <v>0.53607555500047099</v>
      </c>
      <c r="M518">
        <v>3.782952573793751</v>
      </c>
      <c r="N518">
        <v>-2.2336276004206481</v>
      </c>
      <c r="O518">
        <v>-1.1284358337133771</v>
      </c>
    </row>
    <row r="519" spans="1:15" x14ac:dyDescent="0.25">
      <c r="A519">
        <v>-5.2708217499999996</v>
      </c>
      <c r="B519">
        <v>64.100234999999998</v>
      </c>
      <c r="C519">
        <v>-9.0680770000000006</v>
      </c>
      <c r="D519">
        <v>-51.661388500000001</v>
      </c>
      <c r="E519">
        <v>-2.80985175</v>
      </c>
      <c r="F519">
        <v>0.82838750000000005</v>
      </c>
      <c r="G519">
        <v>65.298325000000006</v>
      </c>
      <c r="H519">
        <v>44</v>
      </c>
      <c r="I519">
        <v>0</v>
      </c>
      <c r="J519">
        <v>1.175</v>
      </c>
      <c r="K519">
        <v>10.47557525</v>
      </c>
      <c r="L519">
        <v>0.13782936664838799</v>
      </c>
      <c r="M519">
        <v>4.201339001320016</v>
      </c>
      <c r="N519">
        <v>-2.4719221308828079</v>
      </c>
      <c r="O519">
        <v>-1.132110423336891</v>
      </c>
    </row>
    <row r="520" spans="1:15" x14ac:dyDescent="0.25">
      <c r="A520">
        <v>-12.793327250000001</v>
      </c>
      <c r="B520">
        <v>64.638227749999999</v>
      </c>
      <c r="C520">
        <v>-3.2933807499999999</v>
      </c>
      <c r="D520">
        <v>-52.404403500000001</v>
      </c>
      <c r="E520">
        <v>-4.1032752500000003</v>
      </c>
      <c r="F520">
        <v>0.97456699999999996</v>
      </c>
      <c r="G520">
        <v>65.778458000000001</v>
      </c>
      <c r="H520">
        <v>44</v>
      </c>
      <c r="I520">
        <v>4</v>
      </c>
      <c r="J520">
        <v>1.175</v>
      </c>
      <c r="K520">
        <v>10.502666</v>
      </c>
      <c r="L520">
        <v>-0.33339189863994401</v>
      </c>
      <c r="M520">
        <v>4.1074438725214746</v>
      </c>
      <c r="N520">
        <v>-2.4524070298327341</v>
      </c>
      <c r="O520">
        <v>-1.1782187500593491</v>
      </c>
    </row>
    <row r="521" spans="1:15" x14ac:dyDescent="0.25">
      <c r="A521">
        <v>-20.36254825</v>
      </c>
      <c r="B521">
        <v>64.345176750000007</v>
      </c>
      <c r="C521">
        <v>1.8061065000000001</v>
      </c>
      <c r="D521">
        <v>-53.060004249999999</v>
      </c>
      <c r="E521">
        <v>-5.3520979999999998</v>
      </c>
      <c r="F521">
        <v>0.82838750000000005</v>
      </c>
      <c r="G521">
        <v>66.058544499999996</v>
      </c>
      <c r="H521">
        <v>44</v>
      </c>
      <c r="I521">
        <v>8</v>
      </c>
      <c r="J521">
        <v>1.18</v>
      </c>
      <c r="K521">
        <v>10.51472425</v>
      </c>
      <c r="L521">
        <v>-0.70682495704159398</v>
      </c>
      <c r="M521">
        <v>3.7442365173809571</v>
      </c>
      <c r="N521">
        <v>-2.277463990781619</v>
      </c>
      <c r="O521">
        <v>-1.1971802393854889</v>
      </c>
    </row>
    <row r="522" spans="1:15" x14ac:dyDescent="0.25">
      <c r="A522">
        <v>-29.00835</v>
      </c>
      <c r="B522">
        <v>63.82059675</v>
      </c>
      <c r="C522">
        <v>6.2315357499999999</v>
      </c>
      <c r="D522">
        <v>-54.065261</v>
      </c>
      <c r="E522">
        <v>-7.7159412500000002</v>
      </c>
      <c r="F522">
        <v>0.82838750000000005</v>
      </c>
      <c r="G522">
        <v>66.738724000000005</v>
      </c>
      <c r="H522">
        <v>44</v>
      </c>
      <c r="I522">
        <v>12</v>
      </c>
      <c r="J522">
        <v>1.18</v>
      </c>
      <c r="K522">
        <v>10.56940775</v>
      </c>
      <c r="L522">
        <v>-1.041952589800903</v>
      </c>
      <c r="M522">
        <v>3.485902244185485</v>
      </c>
      <c r="N522">
        <v>-2.2017182676755112</v>
      </c>
      <c r="O522">
        <v>-1.2527329019429989</v>
      </c>
    </row>
    <row r="523" spans="1:15" x14ac:dyDescent="0.25">
      <c r="A523">
        <v>-37.841935999999997</v>
      </c>
      <c r="B523">
        <v>62.6576205</v>
      </c>
      <c r="C523">
        <v>10.38729775</v>
      </c>
      <c r="D523">
        <v>-55.026810500000003</v>
      </c>
      <c r="E523">
        <v>-10.481192</v>
      </c>
      <c r="F523">
        <v>0.92584049999999996</v>
      </c>
      <c r="G523">
        <v>66.898765999999995</v>
      </c>
      <c r="H523">
        <v>44</v>
      </c>
      <c r="I523">
        <v>16</v>
      </c>
      <c r="J523">
        <v>1.1725000000000001</v>
      </c>
      <c r="K523">
        <v>10.60825</v>
      </c>
      <c r="L523">
        <v>-1.341445103699727</v>
      </c>
      <c r="M523">
        <v>3.2734417412838481</v>
      </c>
      <c r="N523">
        <v>-2.1523574607875759</v>
      </c>
      <c r="O523">
        <v>-1.317347342467486</v>
      </c>
    </row>
    <row r="524" spans="1:15" x14ac:dyDescent="0.25">
      <c r="A524">
        <v>-45.899858500000001</v>
      </c>
      <c r="B524">
        <v>60.987340750000001</v>
      </c>
      <c r="C524">
        <v>13.86203725</v>
      </c>
      <c r="D524">
        <v>-56.469134500000003</v>
      </c>
      <c r="E524">
        <v>-13.514047250000001</v>
      </c>
      <c r="F524">
        <v>0.82838750000000005</v>
      </c>
      <c r="G524">
        <v>66.658703000000003</v>
      </c>
      <c r="H524">
        <v>44</v>
      </c>
      <c r="I524">
        <v>20</v>
      </c>
      <c r="J524">
        <v>1.1775</v>
      </c>
      <c r="K524">
        <v>10.574259</v>
      </c>
      <c r="L524">
        <v>-1.586462376106166</v>
      </c>
      <c r="M524">
        <v>3.1181755188843518</v>
      </c>
      <c r="N524">
        <v>-2.1284285108965819</v>
      </c>
      <c r="O524">
        <v>-1.3808117026478119</v>
      </c>
    </row>
    <row r="525" spans="1:15" x14ac:dyDescent="0.25">
      <c r="A525">
        <v>-52.257898249999997</v>
      </c>
      <c r="B525">
        <v>55.977413249999998</v>
      </c>
      <c r="C525">
        <v>15.668179</v>
      </c>
      <c r="D525">
        <v>-57.34326575</v>
      </c>
      <c r="E525">
        <v>-17.483518</v>
      </c>
      <c r="F525">
        <v>0.82833025000000005</v>
      </c>
      <c r="G525">
        <v>64.418075499999986</v>
      </c>
      <c r="H525">
        <v>44</v>
      </c>
      <c r="I525">
        <v>24</v>
      </c>
      <c r="J525">
        <v>1.18</v>
      </c>
      <c r="K525">
        <v>10.381675749999999</v>
      </c>
      <c r="L525">
        <v>-1.820280472075996</v>
      </c>
      <c r="M525">
        <v>3.0367264582118678</v>
      </c>
      <c r="N525">
        <v>-2.194802334268767</v>
      </c>
      <c r="O525">
        <v>-1.490727247496461</v>
      </c>
    </row>
    <row r="526" spans="1:15" x14ac:dyDescent="0.25">
      <c r="A526">
        <v>-57.521218500000003</v>
      </c>
      <c r="B526">
        <v>51.268134750000002</v>
      </c>
      <c r="C526">
        <v>16.166968000000001</v>
      </c>
      <c r="D526">
        <v>-58.698180000000001</v>
      </c>
      <c r="E526">
        <v>-21.809799000000002</v>
      </c>
      <c r="F526">
        <v>0.82831650000000001</v>
      </c>
      <c r="G526">
        <v>61.777338999999998</v>
      </c>
      <c r="H526">
        <v>44</v>
      </c>
      <c r="I526">
        <v>28</v>
      </c>
      <c r="J526">
        <v>1.1775</v>
      </c>
      <c r="K526">
        <v>10.174664999999999</v>
      </c>
      <c r="L526">
        <v>-2.0300646852411819</v>
      </c>
      <c r="M526">
        <v>3.0295388816437532</v>
      </c>
      <c r="N526">
        <v>-2.3028749515830582</v>
      </c>
      <c r="O526">
        <v>-1.6237307117786239</v>
      </c>
    </row>
    <row r="527" spans="1:15" x14ac:dyDescent="0.25">
      <c r="A527">
        <v>-62.570210750000001</v>
      </c>
      <c r="B527">
        <v>46.843494499999998</v>
      </c>
      <c r="C527">
        <v>17.160513250000001</v>
      </c>
      <c r="D527">
        <v>-60.796103250000002</v>
      </c>
      <c r="E527">
        <v>-26.1360755</v>
      </c>
      <c r="F527">
        <v>0.82838750000000005</v>
      </c>
      <c r="G527">
        <v>60.256912499999999</v>
      </c>
      <c r="H527">
        <v>44</v>
      </c>
      <c r="I527">
        <v>32</v>
      </c>
      <c r="J527">
        <v>1.18</v>
      </c>
      <c r="K527">
        <v>10.0362425</v>
      </c>
      <c r="L527">
        <v>-2.2429737120366351</v>
      </c>
      <c r="M527">
        <v>3.028150816691098</v>
      </c>
      <c r="N527">
        <v>-2.4304653673950081</v>
      </c>
      <c r="O527">
        <v>-1.758596816643448</v>
      </c>
    </row>
    <row r="528" spans="1:15" x14ac:dyDescent="0.25">
      <c r="A528">
        <v>-66.530017749999999</v>
      </c>
      <c r="B528">
        <v>41.991868250000003</v>
      </c>
      <c r="C528">
        <v>16.571256250000001</v>
      </c>
      <c r="D528">
        <v>-62.238428999999996</v>
      </c>
      <c r="E528">
        <v>-31.220570500000001</v>
      </c>
      <c r="F528">
        <v>0.77960375000000004</v>
      </c>
      <c r="G528">
        <v>58.376383500000003</v>
      </c>
      <c r="H528">
        <v>44</v>
      </c>
      <c r="I528">
        <v>36</v>
      </c>
      <c r="J528">
        <v>1.18</v>
      </c>
      <c r="K528">
        <v>9.88036125</v>
      </c>
      <c r="L528">
        <v>-2.505815477708484</v>
      </c>
      <c r="M528">
        <v>3.142997652620457</v>
      </c>
      <c r="N528">
        <v>-2.701765446418948</v>
      </c>
      <c r="O528">
        <v>-1.964962074741182</v>
      </c>
    </row>
    <row r="529" spans="1:15" x14ac:dyDescent="0.25">
      <c r="A529">
        <v>-70.318325250000001</v>
      </c>
      <c r="B529">
        <v>37.751087249999998</v>
      </c>
      <c r="C529">
        <v>16.2121435</v>
      </c>
      <c r="D529">
        <v>-64.686001750000003</v>
      </c>
      <c r="E529">
        <v>-36.438866500000003</v>
      </c>
      <c r="F529">
        <v>0.77966100000000005</v>
      </c>
      <c r="G529">
        <v>57.896245749999999</v>
      </c>
      <c r="H529">
        <v>44</v>
      </c>
      <c r="I529">
        <v>40</v>
      </c>
      <c r="J529">
        <v>1.18</v>
      </c>
      <c r="K529">
        <v>9.8390917499999997</v>
      </c>
      <c r="L529">
        <v>-2.7856675427328672</v>
      </c>
      <c r="M529">
        <v>3.2976806484223391</v>
      </c>
      <c r="N529">
        <v>-3.0369320891914211</v>
      </c>
      <c r="O529">
        <v>-2.1981485729897718</v>
      </c>
    </row>
    <row r="530" spans="1:15" x14ac:dyDescent="0.25">
      <c r="A530">
        <v>-70.994231999999997</v>
      </c>
      <c r="B530">
        <v>34.726224999999999</v>
      </c>
      <c r="C530">
        <v>15.6692</v>
      </c>
      <c r="D530">
        <v>-65.429019749999995</v>
      </c>
      <c r="E530">
        <v>-41.255752749999999</v>
      </c>
      <c r="F530">
        <v>0.77966100000000005</v>
      </c>
      <c r="G530">
        <v>59.296644000000001</v>
      </c>
      <c r="H530">
        <v>44</v>
      </c>
      <c r="I530">
        <v>44</v>
      </c>
      <c r="J530">
        <v>1.18</v>
      </c>
      <c r="K530">
        <v>9.9589800000000004</v>
      </c>
      <c r="L530">
        <v>-3.217556459127024</v>
      </c>
      <c r="M530">
        <v>3.7195228609750748</v>
      </c>
      <c r="N530">
        <v>-3.7364080041560479</v>
      </c>
      <c r="O530">
        <v>-2.5608318546614819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2025-11-30T02:59:43Z</dcterms:modified>
</cp:coreProperties>
</file>